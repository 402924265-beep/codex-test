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bengisu.ceran\Desktop\06- DW\"/>
    </mc:Choice>
  </mc:AlternateContent>
  <xr:revisionPtr revIDLastSave="0" documentId="13_ncr:1_{648AAEBA-CFDD-44BE-9321-E89F2C71A5FE}" xr6:coauthVersionLast="47" xr6:coauthVersionMax="47" xr10:uidLastSave="{00000000-0000-0000-0000-000000000000}"/>
  <bookViews>
    <workbookView xWindow="-108" yWindow="-108" windowWidth="23256" windowHeight="12456" tabRatio="856" firstSheet="8" activeTab="16" xr2:uid="{F7CFCB76-F359-4C66-B50F-B617B657680A}"/>
  </bookViews>
  <sheets>
    <sheet name="Instruction" sheetId="11" state="hidden" r:id="rId1"/>
    <sheet name="Root cause explanations" sheetId="19" state="hidden" r:id="rId2"/>
    <sheet name="HC 2026" sheetId="14" r:id="rId3"/>
    <sheet name="G&amp;A _Out of Per_" sheetId="17" state="hidden" r:id="rId4"/>
    <sheet name="CC" sheetId="68" r:id="rId5"/>
    <sheet name="ACE 2026" sheetId="15" r:id="rId6"/>
    <sheet name="VOLUME" sheetId="69" r:id="rId7"/>
    <sheet name="HQD" sheetId="71" state="hidden" r:id="rId8"/>
    <sheet name="&gt;&gt;&gt;" sheetId="13" r:id="rId9"/>
    <sheet name="MTD Report  (HQD) (deneme)" sheetId="55" state="hidden" r:id="rId10"/>
    <sheet name="MTD Report  (HQD)" sheetId="53" r:id="rId11"/>
    <sheet name="YTD Report  (HQD)" sheetId="73" r:id="rId12"/>
    <sheet name="MTD VAR " sheetId="6" r:id="rId13"/>
    <sheet name="Obsolete" sheetId="74" state="hidden" r:id="rId14"/>
    <sheet name="YTD VAR" sheetId="60" r:id="rId15"/>
    <sheet name="ACE Details_FULL" sheetId="70" state="hidden" r:id="rId16"/>
    <sheet name="MTD Report(HQD)_variance" sheetId="57" r:id="rId17"/>
    <sheet name="YTD Report(HQD)_variance " sheetId="61" r:id="rId18"/>
    <sheet name="List" sheetId="62" state="hidden" r:id="rId19"/>
    <sheet name="data entry " sheetId="5" r:id="rId20"/>
    <sheet name="Budget assumption" sheetId="1" r:id="rId21"/>
    <sheet name="SAP_ACT_EUR" sheetId="72" r:id="rId22"/>
    <sheet name="SAP Actual extraction" sheetId="21" state="hidden" r:id="rId23"/>
    <sheet name="MTD" sheetId="27" state="hidden" r:id="rId24"/>
    <sheet name="YTD" sheetId="30" state="hidden" r:id="rId25"/>
    <sheet name="FCST &gt;&gt;" sheetId="63" r:id="rId26"/>
    <sheet name="GTN FCST " sheetId="65" r:id="rId27"/>
    <sheet name="Sheet12" sheetId="90" state="hidden" r:id="rId28"/>
    <sheet name="FCST 26 " sheetId="66" r:id="rId29"/>
    <sheet name="FCST CPU " sheetId="67" r:id="rId30"/>
    <sheet name="Scrap Recovery" sheetId="76" state="hidden" r:id="rId31"/>
    <sheet name="EFF DW" sheetId="77" state="hidden" r:id="rId32"/>
    <sheet name="Sheet3" sheetId="78" state="hidden" r:id="rId33"/>
    <sheet name="Scrap_Recovery" sheetId="40" state="hidden" r:id="rId34"/>
    <sheet name="SCRAP SALES" sheetId="80" state="hidden" r:id="rId35"/>
    <sheet name="DL " sheetId="86" state="hidden" r:id="rId36"/>
    <sheet name="IND " sheetId="87" state="hidden" r:id="rId37"/>
    <sheet name="FL " sheetId="88" state="hidden" r:id="rId38"/>
    <sheet name="FX IMPACT" sheetId="89" state="hidden" r:id="rId39"/>
    <sheet name="depreciation" sheetId="45" state="hidden" r:id="rId40"/>
    <sheet name="ACE" sheetId="36" state="hidden" r:id="rId41"/>
    <sheet name="Sheet1" sheetId="16" state="hidden" r:id="rId42"/>
  </sheets>
  <definedNames>
    <definedName name="\0" localSheetId="35">#REF!</definedName>
    <definedName name="\0" localSheetId="31">#REF!</definedName>
    <definedName name="\0">#REF!</definedName>
    <definedName name="\A" localSheetId="31">#REF!</definedName>
    <definedName name="\A" localSheetId="33">#REF!</definedName>
    <definedName name="\A">#REF!</definedName>
    <definedName name="\b" localSheetId="31">#REF!</definedName>
    <definedName name="\B" localSheetId="33">#REF!</definedName>
    <definedName name="\B">#REF!</definedName>
    <definedName name="\c" localSheetId="31">#REF!</definedName>
    <definedName name="\C" localSheetId="33">#REF!</definedName>
    <definedName name="\C">#REF!</definedName>
    <definedName name="\e" localSheetId="31">#REF!</definedName>
    <definedName name="\e">#REF!</definedName>
    <definedName name="\m" localSheetId="31">#REF!</definedName>
    <definedName name="\m">#REF!</definedName>
    <definedName name="\P" localSheetId="31">#REF!</definedName>
    <definedName name="\P" localSheetId="33">#REF!</definedName>
    <definedName name="\P">#REF!</definedName>
    <definedName name="\Q" localSheetId="31">#REF!</definedName>
    <definedName name="\Q" localSheetId="33">#REF!</definedName>
    <definedName name="\Q">#REF!</definedName>
    <definedName name="\R" localSheetId="31">#REF!</definedName>
    <definedName name="\R" localSheetId="33">#REF!</definedName>
    <definedName name="\R">#REF!</definedName>
    <definedName name="\s" localSheetId="31">#REF!</definedName>
    <definedName name="\S" localSheetId="33">#REF!</definedName>
    <definedName name="\S">#REF!</definedName>
    <definedName name="\t" localSheetId="31">#REF!</definedName>
    <definedName name="\T" localSheetId="33">#REF!</definedName>
    <definedName name="\T">#REF!</definedName>
    <definedName name="\v">#N/A</definedName>
    <definedName name="\w" localSheetId="31">#REF!</definedName>
    <definedName name="\w">#REF!</definedName>
    <definedName name="\x" localSheetId="31">#REF!</definedName>
    <definedName name="\X" localSheetId="33">#REF!</definedName>
    <definedName name="\X">#REF!</definedName>
    <definedName name="_" localSheetId="31">#REF!</definedName>
    <definedName name="_">#REF!</definedName>
    <definedName name="___________ok1" localSheetId="35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____ok1" localSheetId="3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____ok1" localSheetId="37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____ok1" localSheetId="36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_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___ok1" localSheetId="35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___ok1" localSheetId="3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___ok1" localSheetId="37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___ok1" localSheetId="36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__ok1" localSheetId="35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__ok1" localSheetId="3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__ok1" localSheetId="37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__ok1" localSheetId="36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_ok1" localSheetId="35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_ok1" localSheetId="3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_ok1" localSheetId="37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_ok1" localSheetId="36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ok1" localSheetId="35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ok1" localSheetId="3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ok1" localSheetId="37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ok1" localSheetId="36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ok1" localSheetId="35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ok1" localSheetId="3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ok1" localSheetId="37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ok1" localSheetId="36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ok1" localSheetId="35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ok1" localSheetId="3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ok1" localSheetId="37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ok1" localSheetId="36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GG1" localSheetId="4" hidden="1">{#N/A,#N/A,FALSE,"Aging Summary";#N/A,#N/A,FALSE,"Ratio Analysis";#N/A,#N/A,FALSE,"Test 120 Day Accts";#N/A,#N/A,FALSE,"Tickmarks"}</definedName>
    <definedName name="____GG1" localSheetId="35" hidden="1">{#N/A,#N/A,FALSE,"Aging Summary";#N/A,#N/A,FALSE,"Ratio Analysis";#N/A,#N/A,FALSE,"Test 120 Day Accts";#N/A,#N/A,FALSE,"Tickmarks"}</definedName>
    <definedName name="____GG1" localSheetId="31" hidden="1">{#N/A,#N/A,FALSE,"Aging Summary";#N/A,#N/A,FALSE,"Ratio Analysis";#N/A,#N/A,FALSE,"Test 120 Day Accts";#N/A,#N/A,FALSE,"Tickmarks"}</definedName>
    <definedName name="____GG1" localSheetId="37" hidden="1">{#N/A,#N/A,FALSE,"Aging Summary";#N/A,#N/A,FALSE,"Ratio Analysis";#N/A,#N/A,FALSE,"Test 120 Day Accts";#N/A,#N/A,FALSE,"Tickmarks"}</definedName>
    <definedName name="____GG1" localSheetId="38" hidden="1">{#N/A,#N/A,FALSE,"Aging Summary";#N/A,#N/A,FALSE,"Ratio Analysis";#N/A,#N/A,FALSE,"Test 120 Day Accts";#N/A,#N/A,FALSE,"Tickmarks"}</definedName>
    <definedName name="____GG1" localSheetId="7" hidden="1">{#N/A,#N/A,FALSE,"Aging Summary";#N/A,#N/A,FALSE,"Ratio Analysis";#N/A,#N/A,FALSE,"Test 120 Day Accts";#N/A,#N/A,FALSE,"Tickmarks"}</definedName>
    <definedName name="____GG1" localSheetId="36" hidden="1">{#N/A,#N/A,FALSE,"Aging Summary";#N/A,#N/A,FALSE,"Ratio Analysis";#N/A,#N/A,FALSE,"Test 120 Day Accts";#N/A,#N/A,FALSE,"Tickmarks"}</definedName>
    <definedName name="____GG1" localSheetId="21" hidden="1">{#N/A,#N/A,FALSE,"Aging Summary";#N/A,#N/A,FALSE,"Ratio Analysis";#N/A,#N/A,FALSE,"Test 120 Day Accts";#N/A,#N/A,FALSE,"Tickmarks"}</definedName>
    <definedName name="____GG1" localSheetId="30" hidden="1">{#N/A,#N/A,FALSE,"Aging Summary";#N/A,#N/A,FALSE,"Ratio Analysis";#N/A,#N/A,FALSE,"Test 120 Day Accts";#N/A,#N/A,FALSE,"Tickmarks"}</definedName>
    <definedName name="____GG1" localSheetId="34" hidden="1">{#N/A,#N/A,FALSE,"Aging Summary";#N/A,#N/A,FALSE,"Ratio Analysis";#N/A,#N/A,FALSE,"Test 120 Day Accts";#N/A,#N/A,FALSE,"Tickmarks"}</definedName>
    <definedName name="____GG1" localSheetId="33" hidden="1">{#N/A,#N/A,FALSE,"Aging Summary";#N/A,#N/A,FALSE,"Ratio Analysis";#N/A,#N/A,FALSE,"Test 120 Day Accts";#N/A,#N/A,FALSE,"Tickmarks"}</definedName>
    <definedName name="____GG1" localSheetId="6" hidden="1">{#N/A,#N/A,FALSE,"Aging Summary";#N/A,#N/A,FALSE,"Ratio Analysis";#N/A,#N/A,FALSE,"Test 120 Day Accts";#N/A,#N/A,FALSE,"Tickmarks"}</definedName>
    <definedName name="____GG1" hidden="1">{#N/A,#N/A,FALSE,"Aging Summary";#N/A,#N/A,FALSE,"Ratio Analysis";#N/A,#N/A,FALSE,"Test 120 Day Accts";#N/A,#N/A,FALSE,"Tickmarks"}</definedName>
    <definedName name="____GG2" localSheetId="4" hidden="1">{#N/A,#N/A,FALSE,"Aging Summary";#N/A,#N/A,FALSE,"Ratio Analysis";#N/A,#N/A,FALSE,"Test 120 Day Accts";#N/A,#N/A,FALSE,"Tickmarks"}</definedName>
    <definedName name="____GG2" localSheetId="35" hidden="1">{#N/A,#N/A,FALSE,"Aging Summary";#N/A,#N/A,FALSE,"Ratio Analysis";#N/A,#N/A,FALSE,"Test 120 Day Accts";#N/A,#N/A,FALSE,"Tickmarks"}</definedName>
    <definedName name="____GG2" localSheetId="31" hidden="1">{#N/A,#N/A,FALSE,"Aging Summary";#N/A,#N/A,FALSE,"Ratio Analysis";#N/A,#N/A,FALSE,"Test 120 Day Accts";#N/A,#N/A,FALSE,"Tickmarks"}</definedName>
    <definedName name="____GG2" localSheetId="37" hidden="1">{#N/A,#N/A,FALSE,"Aging Summary";#N/A,#N/A,FALSE,"Ratio Analysis";#N/A,#N/A,FALSE,"Test 120 Day Accts";#N/A,#N/A,FALSE,"Tickmarks"}</definedName>
    <definedName name="____GG2" localSheetId="38" hidden="1">{#N/A,#N/A,FALSE,"Aging Summary";#N/A,#N/A,FALSE,"Ratio Analysis";#N/A,#N/A,FALSE,"Test 120 Day Accts";#N/A,#N/A,FALSE,"Tickmarks"}</definedName>
    <definedName name="____GG2" localSheetId="7" hidden="1">{#N/A,#N/A,FALSE,"Aging Summary";#N/A,#N/A,FALSE,"Ratio Analysis";#N/A,#N/A,FALSE,"Test 120 Day Accts";#N/A,#N/A,FALSE,"Tickmarks"}</definedName>
    <definedName name="____GG2" localSheetId="36" hidden="1">{#N/A,#N/A,FALSE,"Aging Summary";#N/A,#N/A,FALSE,"Ratio Analysis";#N/A,#N/A,FALSE,"Test 120 Day Accts";#N/A,#N/A,FALSE,"Tickmarks"}</definedName>
    <definedName name="____GG2" localSheetId="21" hidden="1">{#N/A,#N/A,FALSE,"Aging Summary";#N/A,#N/A,FALSE,"Ratio Analysis";#N/A,#N/A,FALSE,"Test 120 Day Accts";#N/A,#N/A,FALSE,"Tickmarks"}</definedName>
    <definedName name="____GG2" localSheetId="30" hidden="1">{#N/A,#N/A,FALSE,"Aging Summary";#N/A,#N/A,FALSE,"Ratio Analysis";#N/A,#N/A,FALSE,"Test 120 Day Accts";#N/A,#N/A,FALSE,"Tickmarks"}</definedName>
    <definedName name="____GG2" localSheetId="34" hidden="1">{#N/A,#N/A,FALSE,"Aging Summary";#N/A,#N/A,FALSE,"Ratio Analysis";#N/A,#N/A,FALSE,"Test 120 Day Accts";#N/A,#N/A,FALSE,"Tickmarks"}</definedName>
    <definedName name="____GG2" localSheetId="33" hidden="1">{#N/A,#N/A,FALSE,"Aging Summary";#N/A,#N/A,FALSE,"Ratio Analysis";#N/A,#N/A,FALSE,"Test 120 Day Accts";#N/A,#N/A,FALSE,"Tickmarks"}</definedName>
    <definedName name="____GG2" localSheetId="6" hidden="1">{#N/A,#N/A,FALSE,"Aging Summary";#N/A,#N/A,FALSE,"Ratio Analysis";#N/A,#N/A,FALSE,"Test 120 Day Accts";#N/A,#N/A,FALSE,"Tickmarks"}</definedName>
    <definedName name="____GG2" hidden="1">{#N/A,#N/A,FALSE,"Aging Summary";#N/A,#N/A,FALSE,"Ratio Analysis";#N/A,#N/A,FALSE,"Test 120 Day Accts";#N/A,#N/A,FALSE,"Tickmarks"}</definedName>
    <definedName name="____ok1" localSheetId="35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ok1" localSheetId="3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ok1" localSheetId="37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ok1" localSheetId="36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CNQ07">#REF!</definedName>
    <definedName name="___CON1" localSheetId="31">#REF!</definedName>
    <definedName name="___CON1" localSheetId="33">#REF!</definedName>
    <definedName name="___CON1">#REF!</definedName>
    <definedName name="___CON2" localSheetId="31">#REF!</definedName>
    <definedName name="___CON2" localSheetId="33">#REF!</definedName>
    <definedName name="___CON2">#REF!</definedName>
    <definedName name="___ddn400" localSheetId="31">#REF!</definedName>
    <definedName name="___ddn400" localSheetId="33">#REF!</definedName>
    <definedName name="___ddn400">#REF!</definedName>
    <definedName name="___ddn600" localSheetId="31">#REF!</definedName>
    <definedName name="___ddn600" localSheetId="33">#REF!</definedName>
    <definedName name="___ddn600">#REF!</definedName>
    <definedName name="___E99999" localSheetId="31">#REF!</definedName>
    <definedName name="___E99999" localSheetId="33">#REF!</definedName>
    <definedName name="___E99999">#REF!</definedName>
    <definedName name="___GG1" localSheetId="4" hidden="1">{#N/A,#N/A,FALSE,"Aging Summary";#N/A,#N/A,FALSE,"Ratio Analysis";#N/A,#N/A,FALSE,"Test 120 Day Accts";#N/A,#N/A,FALSE,"Tickmarks"}</definedName>
    <definedName name="___GG1" localSheetId="35" hidden="1">{#N/A,#N/A,FALSE,"Aging Summary";#N/A,#N/A,FALSE,"Ratio Analysis";#N/A,#N/A,FALSE,"Test 120 Day Accts";#N/A,#N/A,FALSE,"Tickmarks"}</definedName>
    <definedName name="___GG1" localSheetId="31" hidden="1">{#N/A,#N/A,FALSE,"Aging Summary";#N/A,#N/A,FALSE,"Ratio Analysis";#N/A,#N/A,FALSE,"Test 120 Day Accts";#N/A,#N/A,FALSE,"Tickmarks"}</definedName>
    <definedName name="___GG1" localSheetId="37" hidden="1">{#N/A,#N/A,FALSE,"Aging Summary";#N/A,#N/A,FALSE,"Ratio Analysis";#N/A,#N/A,FALSE,"Test 120 Day Accts";#N/A,#N/A,FALSE,"Tickmarks"}</definedName>
    <definedName name="___GG1" localSheetId="38" hidden="1">{#N/A,#N/A,FALSE,"Aging Summary";#N/A,#N/A,FALSE,"Ratio Analysis";#N/A,#N/A,FALSE,"Test 120 Day Accts";#N/A,#N/A,FALSE,"Tickmarks"}</definedName>
    <definedName name="___GG1" localSheetId="7" hidden="1">{#N/A,#N/A,FALSE,"Aging Summary";#N/A,#N/A,FALSE,"Ratio Analysis";#N/A,#N/A,FALSE,"Test 120 Day Accts";#N/A,#N/A,FALSE,"Tickmarks"}</definedName>
    <definedName name="___GG1" localSheetId="36" hidden="1">{#N/A,#N/A,FALSE,"Aging Summary";#N/A,#N/A,FALSE,"Ratio Analysis";#N/A,#N/A,FALSE,"Test 120 Day Accts";#N/A,#N/A,FALSE,"Tickmarks"}</definedName>
    <definedName name="___GG1" localSheetId="21" hidden="1">{#N/A,#N/A,FALSE,"Aging Summary";#N/A,#N/A,FALSE,"Ratio Analysis";#N/A,#N/A,FALSE,"Test 120 Day Accts";#N/A,#N/A,FALSE,"Tickmarks"}</definedName>
    <definedName name="___GG1" localSheetId="30" hidden="1">{#N/A,#N/A,FALSE,"Aging Summary";#N/A,#N/A,FALSE,"Ratio Analysis";#N/A,#N/A,FALSE,"Test 120 Day Accts";#N/A,#N/A,FALSE,"Tickmarks"}</definedName>
    <definedName name="___GG1" localSheetId="34" hidden="1">{#N/A,#N/A,FALSE,"Aging Summary";#N/A,#N/A,FALSE,"Ratio Analysis";#N/A,#N/A,FALSE,"Test 120 Day Accts";#N/A,#N/A,FALSE,"Tickmarks"}</definedName>
    <definedName name="___GG1" localSheetId="33" hidden="1">{#N/A,#N/A,FALSE,"Aging Summary";#N/A,#N/A,FALSE,"Ratio Analysis";#N/A,#N/A,FALSE,"Test 120 Day Accts";#N/A,#N/A,FALSE,"Tickmarks"}</definedName>
    <definedName name="___GG1" localSheetId="6" hidden="1">{#N/A,#N/A,FALSE,"Aging Summary";#N/A,#N/A,FALSE,"Ratio Analysis";#N/A,#N/A,FALSE,"Test 120 Day Accts";#N/A,#N/A,FALSE,"Tickmarks"}</definedName>
    <definedName name="___GG1" hidden="1">{#N/A,#N/A,FALSE,"Aging Summary";#N/A,#N/A,FALSE,"Ratio Analysis";#N/A,#N/A,FALSE,"Test 120 Day Accts";#N/A,#N/A,FALSE,"Tickmarks"}</definedName>
    <definedName name="___GG2" localSheetId="4" hidden="1">{#N/A,#N/A,FALSE,"Aging Summary";#N/A,#N/A,FALSE,"Ratio Analysis";#N/A,#N/A,FALSE,"Test 120 Day Accts";#N/A,#N/A,FALSE,"Tickmarks"}</definedName>
    <definedName name="___GG2" localSheetId="35" hidden="1">{#N/A,#N/A,FALSE,"Aging Summary";#N/A,#N/A,FALSE,"Ratio Analysis";#N/A,#N/A,FALSE,"Test 120 Day Accts";#N/A,#N/A,FALSE,"Tickmarks"}</definedName>
    <definedName name="___GG2" localSheetId="31" hidden="1">{#N/A,#N/A,FALSE,"Aging Summary";#N/A,#N/A,FALSE,"Ratio Analysis";#N/A,#N/A,FALSE,"Test 120 Day Accts";#N/A,#N/A,FALSE,"Tickmarks"}</definedName>
    <definedName name="___GG2" localSheetId="37" hidden="1">{#N/A,#N/A,FALSE,"Aging Summary";#N/A,#N/A,FALSE,"Ratio Analysis";#N/A,#N/A,FALSE,"Test 120 Day Accts";#N/A,#N/A,FALSE,"Tickmarks"}</definedName>
    <definedName name="___GG2" localSheetId="38" hidden="1">{#N/A,#N/A,FALSE,"Aging Summary";#N/A,#N/A,FALSE,"Ratio Analysis";#N/A,#N/A,FALSE,"Test 120 Day Accts";#N/A,#N/A,FALSE,"Tickmarks"}</definedName>
    <definedName name="___GG2" localSheetId="7" hidden="1">{#N/A,#N/A,FALSE,"Aging Summary";#N/A,#N/A,FALSE,"Ratio Analysis";#N/A,#N/A,FALSE,"Test 120 Day Accts";#N/A,#N/A,FALSE,"Tickmarks"}</definedName>
    <definedName name="___GG2" localSheetId="36" hidden="1">{#N/A,#N/A,FALSE,"Aging Summary";#N/A,#N/A,FALSE,"Ratio Analysis";#N/A,#N/A,FALSE,"Test 120 Day Accts";#N/A,#N/A,FALSE,"Tickmarks"}</definedName>
    <definedName name="___GG2" localSheetId="21" hidden="1">{#N/A,#N/A,FALSE,"Aging Summary";#N/A,#N/A,FALSE,"Ratio Analysis";#N/A,#N/A,FALSE,"Test 120 Day Accts";#N/A,#N/A,FALSE,"Tickmarks"}</definedName>
    <definedName name="___GG2" localSheetId="30" hidden="1">{#N/A,#N/A,FALSE,"Aging Summary";#N/A,#N/A,FALSE,"Ratio Analysis";#N/A,#N/A,FALSE,"Test 120 Day Accts";#N/A,#N/A,FALSE,"Tickmarks"}</definedName>
    <definedName name="___GG2" localSheetId="34" hidden="1">{#N/A,#N/A,FALSE,"Aging Summary";#N/A,#N/A,FALSE,"Ratio Analysis";#N/A,#N/A,FALSE,"Test 120 Day Accts";#N/A,#N/A,FALSE,"Tickmarks"}</definedName>
    <definedName name="___GG2" localSheetId="33" hidden="1">{#N/A,#N/A,FALSE,"Aging Summary";#N/A,#N/A,FALSE,"Ratio Analysis";#N/A,#N/A,FALSE,"Test 120 Day Accts";#N/A,#N/A,FALSE,"Tickmarks"}</definedName>
    <definedName name="___GG2" localSheetId="6" hidden="1">{#N/A,#N/A,FALSE,"Aging Summary";#N/A,#N/A,FALSE,"Ratio Analysis";#N/A,#N/A,FALSE,"Test 120 Day Accts";#N/A,#N/A,FALSE,"Tickmarks"}</definedName>
    <definedName name="___GG2" hidden="1">{#N/A,#N/A,FALSE,"Aging Summary";#N/A,#N/A,FALSE,"Ratio Analysis";#N/A,#N/A,FALSE,"Test 120 Day Accts";#N/A,#N/A,FALSE,"Tickmarks"}</definedName>
    <definedName name="___gon4" localSheetId="33">#REF!</definedName>
    <definedName name="___gon4">#REF!</definedName>
    <definedName name="___IV999999" localSheetId="31">#REF!</definedName>
    <definedName name="___IV999999" localSheetId="33">#REF!</definedName>
    <definedName name="___IV999999">#REF!</definedName>
    <definedName name="___IZ53" localSheetId="31">#REF!</definedName>
    <definedName name="___IZ53" localSheetId="33">#REF!</definedName>
    <definedName name="___IZ53">#REF!</definedName>
    <definedName name="___JZ123" localSheetId="31">#REF!</definedName>
    <definedName name="___JZ123" localSheetId="33">#REF!</definedName>
    <definedName name="___JZ123">#REF!</definedName>
    <definedName name="___lap1" localSheetId="31">#REF!</definedName>
    <definedName name="___lap1" localSheetId="33">#REF!</definedName>
    <definedName name="___lap1">#REF!</definedName>
    <definedName name="___lap2" localSheetId="31">#REF!</definedName>
    <definedName name="___lap2" localSheetId="33">#REF!</definedName>
    <definedName name="___lap2">#REF!</definedName>
    <definedName name="___LI10" localSheetId="35">OFFSET(#REF!,4,0,COUNTA(#REF!)-1,1)</definedName>
    <definedName name="___LI10" localSheetId="31">OFFSET(#REF!,4,0,COUNTA(#REF!)-1,1)</definedName>
    <definedName name="___LI10" localSheetId="37">OFFSET(#REF!,4,0,COUNTA(#REF!)-1,1)</definedName>
    <definedName name="___LI10" localSheetId="36">OFFSET(#REF!,4,0,COUNTA(#REF!)-1,1)</definedName>
    <definedName name="___LI10" localSheetId="30">OFFSET(#REF!,4,0,COUNTA(#REF!)-1,1)</definedName>
    <definedName name="___LI10" localSheetId="34">OFFSET(#REF!,4,0,COUNTA(#REF!)-1,1)</definedName>
    <definedName name="___LI10">OFFSET(#REF!,4,0,COUNTA(#REF!)-1,1)</definedName>
    <definedName name="___LI3" localSheetId="35">OFFSET(#REF!,4,0,COUNTA(#REF!)-1,1)</definedName>
    <definedName name="___LI3" localSheetId="31">OFFSET(#REF!,4,0,COUNTA(#REF!)-1,1)</definedName>
    <definedName name="___LI3" localSheetId="37">OFFSET(#REF!,4,0,COUNTA(#REF!)-1,1)</definedName>
    <definedName name="___LI3" localSheetId="36">OFFSET(#REF!,4,0,COUNTA(#REF!)-1,1)</definedName>
    <definedName name="___LI3" localSheetId="30">OFFSET(#REF!,4,0,COUNTA(#REF!)-1,1)</definedName>
    <definedName name="___LI3" localSheetId="34">OFFSET(#REF!,4,0,COUNTA(#REF!)-1,1)</definedName>
    <definedName name="___LI3">OFFSET(#REF!,4,0,COUNTA(#REF!)-1,1)</definedName>
    <definedName name="___LI6" localSheetId="35">OFFSET(#REF!,4,0,COUNTA(#REF!)-1,1)</definedName>
    <definedName name="___LI6" localSheetId="31">OFFSET(#REF!,4,0,COUNTA(#REF!)-1,1)</definedName>
    <definedName name="___LI6" localSheetId="37">OFFSET(#REF!,4,0,COUNTA(#REF!)-1,1)</definedName>
    <definedName name="___LI6" localSheetId="36">OFFSET(#REF!,4,0,COUNTA(#REF!)-1,1)</definedName>
    <definedName name="___LI6" localSheetId="30">OFFSET(#REF!,4,0,COUNTA(#REF!)-1,1)</definedName>
    <definedName name="___LI6" localSheetId="34">OFFSET(#REF!,4,0,COUNTA(#REF!)-1,1)</definedName>
    <definedName name="___LI6">OFFSET(#REF!,4,0,COUNTA(#REF!)-1,1)</definedName>
    <definedName name="___LI7" localSheetId="35">OFFSET(#REF!,4,0,COUNTA(#REF!)-1,1)</definedName>
    <definedName name="___LI7" localSheetId="31">OFFSET(#REF!,4,0,COUNTA(#REF!)-1,1)</definedName>
    <definedName name="___LI7" localSheetId="37">OFFSET(#REF!,4,0,COUNTA(#REF!)-1,1)</definedName>
    <definedName name="___LI7" localSheetId="36">OFFSET(#REF!,4,0,COUNTA(#REF!)-1,1)</definedName>
    <definedName name="___LI7" localSheetId="30">OFFSET(#REF!,4,0,COUNTA(#REF!)-1,1)</definedName>
    <definedName name="___LI7" localSheetId="34">OFFSET(#REF!,4,0,COUNTA(#REF!)-1,1)</definedName>
    <definedName name="___LI7">OFFSET(#REF!,4,0,COUNTA(#REF!)-1,1)</definedName>
    <definedName name="___LZ123" localSheetId="31">#REF!</definedName>
    <definedName name="___LZ123" localSheetId="33">#REF!</definedName>
    <definedName name="___LZ123">#REF!</definedName>
    <definedName name="___MAC12" localSheetId="31">#REF!</definedName>
    <definedName name="___MAC12" localSheetId="33">#REF!</definedName>
    <definedName name="___MAC12">#REF!</definedName>
    <definedName name="___MAC46" localSheetId="31">#REF!</definedName>
    <definedName name="___MAC46" localSheetId="33">#REF!</definedName>
    <definedName name="___MAC46">#REF!</definedName>
    <definedName name="___MZ53" localSheetId="31">#REF!</definedName>
    <definedName name="___MZ53" localSheetId="33">#REF!</definedName>
    <definedName name="___MZ53">#REF!</definedName>
    <definedName name="___NCL100" localSheetId="31">#REF!</definedName>
    <definedName name="___NCL100" localSheetId="33">#REF!</definedName>
    <definedName name="___NCL100">#REF!</definedName>
    <definedName name="___NCL200" localSheetId="31">#REF!</definedName>
    <definedName name="___NCL200" localSheetId="33">#REF!</definedName>
    <definedName name="___NCL200">#REF!</definedName>
    <definedName name="___NCL250" localSheetId="31">#REF!</definedName>
    <definedName name="___NCL250" localSheetId="33">#REF!</definedName>
    <definedName name="___NCL250">#REF!</definedName>
    <definedName name="___NET2" localSheetId="31">#REF!</definedName>
    <definedName name="___NET2" localSheetId="33">#REF!</definedName>
    <definedName name="___NET2">#REF!</definedName>
    <definedName name="___nin190" localSheetId="31">#REF!</definedName>
    <definedName name="___nin190" localSheetId="33">#REF!</definedName>
    <definedName name="___nin190">#REF!</definedName>
    <definedName name="___ok1" localSheetId="35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ok1" localSheetId="3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ok1" localSheetId="37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ok1" localSheetId="36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sc1" localSheetId="33">#REF!</definedName>
    <definedName name="___sc1">#REF!</definedName>
    <definedName name="___SC2" localSheetId="31">#REF!</definedName>
    <definedName name="___SC2" localSheetId="33">#REF!</definedName>
    <definedName name="___SC2">#REF!</definedName>
    <definedName name="___sc3" localSheetId="31">#REF!</definedName>
    <definedName name="___sc3" localSheetId="33">#REF!</definedName>
    <definedName name="___sc3">#REF!</definedName>
    <definedName name="___SN3" localSheetId="31">#REF!</definedName>
    <definedName name="___SN3" localSheetId="33">#REF!</definedName>
    <definedName name="___SN3">#REF!</definedName>
    <definedName name="___TB1" localSheetId="31">#REF!</definedName>
    <definedName name="___TB1" localSheetId="33">#REF!</definedName>
    <definedName name="___TB1">#REF!</definedName>
    <definedName name="___thinkcell_DNs_wG8C0uWLmzpLFzJzA" localSheetId="31" hidden="1">#REF!</definedName>
    <definedName name="___thinkcell_DNs_wG8C0uWLmzpLFzJzA" hidden="1">#REF!</definedName>
    <definedName name="___thinkcell_voAYBEVVEa24r8QmL5N0Q" localSheetId="31" hidden="1">#REF!</definedName>
    <definedName name="___thinkcell_voAYBEVVEa24r8QmL5N0Q" hidden="1">#REF!</definedName>
    <definedName name="___thinkcell043XS0DZs0alA.0SU5M7gw" localSheetId="31" hidden="1">#REF!</definedName>
    <definedName name="___thinkcell043XS0DZs0alA.0SU5M7gw" hidden="1">#REF!</definedName>
    <definedName name="___thinkcell0IEnHRm6B0mQEwt13IIcyw" localSheetId="31" hidden="1">#REF!</definedName>
    <definedName name="___thinkcell0IEnHRm6B0mQEwt13IIcyw" hidden="1">#REF!</definedName>
    <definedName name="___thinkcell0Zm2KJg1Z0uVa0c_tg6JLQ" localSheetId="31" hidden="1">#REF!</definedName>
    <definedName name="___thinkcell0Zm2KJg1Z0uVa0c_tg6JLQ" hidden="1">#REF!</definedName>
    <definedName name="___thinkcell1IzHonWvG0CW9.0ucU4gaA" localSheetId="31" hidden="1">#REF!</definedName>
    <definedName name="___thinkcell1IzHonWvG0CW9.0ucU4gaA" hidden="1">#REF!</definedName>
    <definedName name="___thinkcell3CkpzNCDAk.Rfi9bhQHoDg" localSheetId="31" hidden="1">#REF!</definedName>
    <definedName name="___thinkcell3CkpzNCDAk.Rfi9bhQHoDg" hidden="1">#REF!</definedName>
    <definedName name="___thinkcell6HdtysVJy0a8NNBBFLo_ig" localSheetId="31" hidden="1">#REF!</definedName>
    <definedName name="___thinkcell6HdtysVJy0a8NNBBFLo_ig" hidden="1">#REF!</definedName>
    <definedName name="___thinkcell8a.fXP8Wo02j_8zB9DTpYQ" localSheetId="31" hidden="1">#REF!</definedName>
    <definedName name="___thinkcell8a.fXP8Wo02j_8zB9DTpYQ" hidden="1">#REF!</definedName>
    <definedName name="___thinkcellA4uxLXI.rEeqaXr14EVlNg" localSheetId="31" hidden="1">#REF!</definedName>
    <definedName name="___thinkcellA4uxLXI.rEeqaXr14EVlNg" hidden="1">#REF!</definedName>
    <definedName name="___thinkcellaDE0GOcpX0Wza4.CgTLAig" localSheetId="31" hidden="1">#REF!</definedName>
    <definedName name="___thinkcellaDE0GOcpX0Wza4.CgTLAig" hidden="1">#REF!</definedName>
    <definedName name="___thinkcellAFIZjOnakEOmvAiO2uHecA" localSheetId="31" hidden="1">#REF!</definedName>
    <definedName name="___thinkcellAFIZjOnakEOmvAiO2uHecA" hidden="1">#REF!</definedName>
    <definedName name="___thinkcellAHQXpXJh1kaMAw3iLaWTzQ" localSheetId="31" hidden="1">#REF!</definedName>
    <definedName name="___thinkcellAHQXpXJh1kaMAw3iLaWTzQ" hidden="1">#REF!</definedName>
    <definedName name="___thinkcellak0UHapjGkSKlcSd.HK8Fw" localSheetId="31" hidden="1">#REF!</definedName>
    <definedName name="___thinkcellak0UHapjGkSKlcSd.HK8Fw" hidden="1">#REF!</definedName>
    <definedName name="___thinkcellaMkC2.0tb02.7CdnFnVsnw" localSheetId="31" hidden="1">#REF!</definedName>
    <definedName name="___thinkcellaMkC2.0tb02.7CdnFnVsnw" hidden="1">#REF!</definedName>
    <definedName name="___thinkcellaZK_y_6vCkWI4j4E56OQAw" localSheetId="31" hidden="1">#REF!</definedName>
    <definedName name="___thinkcellaZK_y_6vCkWI4j4E56OQAw" hidden="1">#REF!</definedName>
    <definedName name="___thinkcellaZOsxcrOG0KcI_Y0CfyMRA" localSheetId="31" hidden="1">#REF!</definedName>
    <definedName name="___thinkcellaZOsxcrOG0KcI_Y0CfyMRA" hidden="1">#REF!</definedName>
    <definedName name="___thinkcellb9uJDWwE4U6tK8EkuQYhTA" localSheetId="31" hidden="1">#REF!</definedName>
    <definedName name="___thinkcellb9uJDWwE4U6tK8EkuQYhTA" hidden="1">#REF!</definedName>
    <definedName name="___thinkcellBBkSoYj0a0a5EyhWKCs_Sw" localSheetId="31" hidden="1">#REF!</definedName>
    <definedName name="___thinkcellBBkSoYj0a0a5EyhWKCs_Sw" hidden="1">#REF!</definedName>
    <definedName name="___thinkcellbNvzMDw_HU2l4HiVeLhnQg" localSheetId="31" hidden="1">#REF!</definedName>
    <definedName name="___thinkcellbNvzMDw_HU2l4HiVeLhnQg" hidden="1">#REF!</definedName>
    <definedName name="___thinkcellc6rdv5y6OkmDcXyCiOHvCw" localSheetId="31" hidden="1">#REF!</definedName>
    <definedName name="___thinkcellc6rdv5y6OkmDcXyCiOHvCw" hidden="1">#REF!</definedName>
    <definedName name="___thinkcellCX1SbexqjUCBWVW.1gTdEQ" localSheetId="31" hidden="1">#REF!</definedName>
    <definedName name="___thinkcellCX1SbexqjUCBWVW.1gTdEQ" hidden="1">#REF!</definedName>
    <definedName name="___thinkcellcYHk8Zc_XECSbNFhj1Wmug" localSheetId="31" hidden="1">#REF!</definedName>
    <definedName name="___thinkcellcYHk8Zc_XECSbNFhj1Wmug" hidden="1">#REF!</definedName>
    <definedName name="___thinkcellcZ92KekzG0yJMfDWLtxOwg" localSheetId="31" hidden="1">#REF!</definedName>
    <definedName name="___thinkcellcZ92KekzG0yJMfDWLtxOwg" hidden="1">#REF!</definedName>
    <definedName name="___thinkcelld7xfzEQyzEuk.3NyYvqHgQ" localSheetId="31" hidden="1">#REF!</definedName>
    <definedName name="___thinkcelld7xfzEQyzEuk.3NyYvqHgQ" hidden="1">#REF!</definedName>
    <definedName name="___thinkcelldFAHIp9RkUeQQh6WQDfh.Q" localSheetId="31" hidden="1">#REF!</definedName>
    <definedName name="___thinkcelldFAHIp9RkUeQQh6WQDfh.Q" hidden="1">#REF!</definedName>
    <definedName name="___thinkcellDr0aF2M_4UqCV1nVLAIRHg" localSheetId="31" hidden="1">#REF!</definedName>
    <definedName name="___thinkcellDr0aF2M_4UqCV1nVLAIRHg" hidden="1">#REF!</definedName>
    <definedName name="___thinkcellDU8cbxQYEU2VaWb5YayMGw" localSheetId="31" hidden="1">#REF!</definedName>
    <definedName name="___thinkcellDU8cbxQYEU2VaWb5YayMGw" hidden="1">#REF!</definedName>
    <definedName name="___thinkcelleJdYYJf6DEeAyWWmfzBZxA" localSheetId="31" hidden="1">#REF!</definedName>
    <definedName name="___thinkcelleJdYYJf6DEeAyWWmfzBZxA" hidden="1">#REF!</definedName>
    <definedName name="___thinkcelleTs1Dg.yq0ajJfuGOQp4vQ" localSheetId="31" hidden="1">#REF!</definedName>
    <definedName name="___thinkcelleTs1Dg.yq0ajJfuGOQp4vQ" hidden="1">#REF!</definedName>
    <definedName name="___thinkcellEyJ05HXxeka_tlhHTwhRWw" localSheetId="31" hidden="1">#REF!</definedName>
    <definedName name="___thinkcellEyJ05HXxeka_tlhHTwhRWw" hidden="1">#REF!</definedName>
    <definedName name="___thinkcellf2z0ASoSSEGWsNYU1bephA" localSheetId="31" hidden="1">#REF!</definedName>
    <definedName name="___thinkcellf2z0ASoSSEGWsNYU1bephA" hidden="1">#REF!</definedName>
    <definedName name="___thinkcellF8vaaRZWUEuki3aXKmo0nw" localSheetId="31" hidden="1">#REF!</definedName>
    <definedName name="___thinkcellF8vaaRZWUEuki3aXKmo0nw" hidden="1">#REF!</definedName>
    <definedName name="___thinkcellFTSGYzJ_70qQ5h6ftVrMHQ" localSheetId="31" hidden="1">#REF!</definedName>
    <definedName name="___thinkcellFTSGYzJ_70qQ5h6ftVrMHQ" hidden="1">#REF!</definedName>
    <definedName name="___thinkcellGFm6AfPMlUacDTp7YR5epw" localSheetId="31" hidden="1">#REF!</definedName>
    <definedName name="___thinkcellGFm6AfPMlUacDTp7YR5epw" hidden="1">#REF!</definedName>
    <definedName name="___thinkcellGj6HZB297Ea6tEmWMWuFtg" localSheetId="31" hidden="1">#REF!</definedName>
    <definedName name="___thinkcellGj6HZB297Ea6tEmWMWuFtg" hidden="1">#REF!</definedName>
    <definedName name="___thinkcellhcAK1GQ5F0u0TmCvaRSrUw" localSheetId="31" hidden="1">#REF!</definedName>
    <definedName name="___thinkcellhcAK1GQ5F0u0TmCvaRSrUw" hidden="1">#REF!</definedName>
    <definedName name="___thinkcellhLiXpG66HUWa4NeFTs78gg" localSheetId="31" hidden="1">#REF!</definedName>
    <definedName name="___thinkcellhLiXpG66HUWa4NeFTs78gg" hidden="1">#REF!</definedName>
    <definedName name="___thinkcellht.edkTcK0eGuHuHltEUMg" localSheetId="31" hidden="1">#REF!</definedName>
    <definedName name="___thinkcellht.edkTcK0eGuHuHltEUMg" hidden="1">#REF!</definedName>
    <definedName name="___thinkcellIH7IgoRY00ehlFxFfHmeFw" localSheetId="31" hidden="1">#REF!</definedName>
    <definedName name="___thinkcellIH7IgoRY00ehlFxFfHmeFw" hidden="1">#REF!</definedName>
    <definedName name="___thinkcellj1iN8tVVzES7xdZfpmgNFw" localSheetId="31" hidden="1">#REF!</definedName>
    <definedName name="___thinkcellj1iN8tVVzES7xdZfpmgNFw" hidden="1">#REF!</definedName>
    <definedName name="___thinkcelljjaKqyD5Gk6z6mR6p9Wp9Q" localSheetId="31" hidden="1">#REF!</definedName>
    <definedName name="___thinkcelljjaKqyD5Gk6z6mR6p9Wp9Q" hidden="1">#REF!</definedName>
    <definedName name="___thinkcellk5GVOlnGQ0Sb12o2tcWd1g" localSheetId="31" hidden="1">#REF!</definedName>
    <definedName name="___thinkcellk5GVOlnGQ0Sb12o2tcWd1g" hidden="1">#REF!</definedName>
    <definedName name="___thinkcellKP3jEzR4t0.15S417Uy2.Q" localSheetId="31" hidden="1">#REF!</definedName>
    <definedName name="___thinkcellKP3jEzR4t0.15S417Uy2.Q" hidden="1">#REF!</definedName>
    <definedName name="___thinkcellKUgLwrmmkkWsMADj65uRnA" localSheetId="31" hidden="1">#REF!</definedName>
    <definedName name="___thinkcellKUgLwrmmkkWsMADj65uRnA" hidden="1">#REF!</definedName>
    <definedName name="___thinkcellL42lfPxQMEy0nSoWOO8tFg" localSheetId="31" hidden="1">#REF!</definedName>
    <definedName name="___thinkcellL42lfPxQMEy0nSoWOO8tFg" hidden="1">#REF!</definedName>
    <definedName name="___thinkcelllDr5MzjBzkK9cdq6hsAV5Q" localSheetId="31" hidden="1">#REF!</definedName>
    <definedName name="___thinkcelllDr5MzjBzkK9cdq6hsAV5Q" hidden="1">#REF!</definedName>
    <definedName name="___thinkcellN.D267R_1kWrVLBAC5Lqug" localSheetId="31" hidden="1">#REF!</definedName>
    <definedName name="___thinkcellN.D267R_1kWrVLBAC5Lqug" hidden="1">#REF!</definedName>
    <definedName name="___thinkcellN4Cat_DMr0ekmD6tEqj1VA" localSheetId="31" hidden="1">#REF!</definedName>
    <definedName name="___thinkcellN4Cat_DMr0ekmD6tEqj1VA" hidden="1">#REF!</definedName>
    <definedName name="___thinkcellNCZv0325lEWV3YLxf410gw" localSheetId="31" hidden="1">#REF!</definedName>
    <definedName name="___thinkcellNCZv0325lEWV3YLxf410gw" hidden="1">#REF!</definedName>
    <definedName name="___thinkcellNPAHkR9Z1EWLJ_7p2COc.A" localSheetId="31" hidden="1">#REF!</definedName>
    <definedName name="___thinkcellNPAHkR9Z1EWLJ_7p2COc.A" hidden="1">#REF!</definedName>
    <definedName name="___thinkcellNtfLbUih902DBhuJrvdm5w" localSheetId="31" hidden="1">#REF!</definedName>
    <definedName name="___thinkcellNtfLbUih902DBhuJrvdm5w" hidden="1">#REF!</definedName>
    <definedName name="___thinkcelloaz4ntSjKkmX5rpjq_PBHg" localSheetId="31" hidden="1">#REF!</definedName>
    <definedName name="___thinkcelloaz4ntSjKkmX5rpjq_PBHg" hidden="1">#REF!</definedName>
    <definedName name="___thinkcellOEYBybFUkkeB9CmiB4zU1Q" localSheetId="31" hidden="1">#REF!</definedName>
    <definedName name="___thinkcellOEYBybFUkkeB9CmiB4zU1Q" hidden="1">#REF!</definedName>
    <definedName name="___thinkcellOkJQixAq.kKH94THFTISiQ" localSheetId="31" hidden="1">#REF!</definedName>
    <definedName name="___thinkcellOkJQixAq.kKH94THFTISiQ" hidden="1">#REF!</definedName>
    <definedName name="___thinkcellOkWAFZd_r0acTuz03s_5ww" localSheetId="31" hidden="1">#REF!</definedName>
    <definedName name="___thinkcellOkWAFZd_r0acTuz03s_5ww" hidden="1">#REF!</definedName>
    <definedName name="___thinkcellomykuSZ9KUGtNghcqOWQ3w" localSheetId="31" hidden="1">#REF!</definedName>
    <definedName name="___thinkcellomykuSZ9KUGtNghcqOWQ3w" hidden="1">#REF!</definedName>
    <definedName name="___thinkcellOudIRUoEEk2JE204HNEfZw" localSheetId="31" hidden="1">#REF!</definedName>
    <definedName name="___thinkcellOudIRUoEEk2JE204HNEfZw" hidden="1">#REF!</definedName>
    <definedName name="___thinkcellp1ERvNwnWkKvuWdP.hQ3.w" localSheetId="31" hidden="1">#REF!</definedName>
    <definedName name="___thinkcellp1ERvNwnWkKvuWdP.hQ3.w" hidden="1">#REF!</definedName>
    <definedName name="___thinkcellQy1WsWMOBEG.Av1nP8gX_g" localSheetId="31" hidden="1">#REF!</definedName>
    <definedName name="___thinkcellQy1WsWMOBEG.Av1nP8gX_g" hidden="1">#REF!</definedName>
    <definedName name="___thinkcellrEx.K4ibE0SvzyjYyp0azg" localSheetId="31" hidden="1">#REF!</definedName>
    <definedName name="___thinkcellrEx.K4ibE0SvzyjYyp0azg" hidden="1">#REF!</definedName>
    <definedName name="___thinkcellRtVsAS_shE26ymloJ8xo_A" localSheetId="31" hidden="1">#REF!</definedName>
    <definedName name="___thinkcellRtVsAS_shE26ymloJ8xo_A" hidden="1">#REF!</definedName>
    <definedName name="___thinkcellRuQalZpShE._OlltY.wCdQ" localSheetId="31" hidden="1">#REF!</definedName>
    <definedName name="___thinkcellRuQalZpShE._OlltY.wCdQ" hidden="1">#REF!</definedName>
    <definedName name="___thinkcellRYO94VQT5ESThlIvphuCqw" localSheetId="31" hidden="1">#REF!</definedName>
    <definedName name="___thinkcellRYO94VQT5ESThlIvphuCqw" hidden="1">#REF!</definedName>
    <definedName name="___thinkcellsD_74UpczUOaKXRxL8wM1w" localSheetId="31" hidden="1">#REF!</definedName>
    <definedName name="___thinkcellsD_74UpczUOaKXRxL8wM1w" hidden="1">#REF!</definedName>
    <definedName name="___thinkcelluJ4cKxsDrEiI_lpATNfyXw" localSheetId="31" hidden="1">#REF!</definedName>
    <definedName name="___thinkcelluJ4cKxsDrEiI_lpATNfyXw" hidden="1">#REF!</definedName>
    <definedName name="___thinkcelluTsMdOZSeEG_E8cD_K8GoQ" localSheetId="31" hidden="1">#REF!</definedName>
    <definedName name="___thinkcelluTsMdOZSeEG_E8cD_K8GoQ" hidden="1">#REF!</definedName>
    <definedName name="___thinkcellvofahpE1XEOsDkxwH8KFsw" localSheetId="31" hidden="1">#REF!</definedName>
    <definedName name="___thinkcellvofahpE1XEOsDkxwH8KFsw" hidden="1">#REF!</definedName>
    <definedName name="___thinkcellVyQO6dgVd0aztE6jNVqRtQ" localSheetId="31" hidden="1">#REF!</definedName>
    <definedName name="___thinkcellVyQO6dgVd0aztE6jNVqRtQ" hidden="1">#REF!</definedName>
    <definedName name="___thinkcellW1uu8q0KdUiT5agLNthfaQ" localSheetId="31" hidden="1">#REF!</definedName>
    <definedName name="___thinkcellW1uu8q0KdUiT5agLNthfaQ" hidden="1">#REF!</definedName>
    <definedName name="___thinkcellW9LcKWt6qUSR6t.a7Yc76w" localSheetId="31" hidden="1">#REF!</definedName>
    <definedName name="___thinkcellW9LcKWt6qUSR6t.a7Yc76w" hidden="1">#REF!</definedName>
    <definedName name="___thinkcellwAge4GgAMkaXeVvyzCnN1A" localSheetId="31" hidden="1">#REF!</definedName>
    <definedName name="___thinkcellwAge4GgAMkaXeVvyzCnN1A" hidden="1">#REF!</definedName>
    <definedName name="___thinkcellwDFFRJahcEWPNq6oMgcFnQ" localSheetId="31" hidden="1">#REF!</definedName>
    <definedName name="___thinkcellwDFFRJahcEWPNq6oMgcFnQ" hidden="1">#REF!</definedName>
    <definedName name="___thinkcellWnqBDpJDI0uMWev1R3X.Dg" localSheetId="31" hidden="1">#REF!</definedName>
    <definedName name="___thinkcellWnqBDpJDI0uMWev1R3X.Dg" hidden="1">#REF!</definedName>
    <definedName name="___thinkcellWqiAYZoWiUeg78h8uHDhvw" localSheetId="31" hidden="1">#REF!</definedName>
    <definedName name="___thinkcellWqiAYZoWiUeg78h8uHDhvw" hidden="1">#REF!</definedName>
    <definedName name="___thinkcellWUAY_9sQAEWctGo3xB1tOg" localSheetId="31" hidden="1">#REF!</definedName>
    <definedName name="___thinkcellWUAY_9sQAEWctGo3xB1tOg" hidden="1">#REF!</definedName>
    <definedName name="___thinkcellZ20tt05b50C.qaT4KABMyw" localSheetId="31" hidden="1">#REF!</definedName>
    <definedName name="___thinkcellZ20tt05b50C.qaT4KABMyw" hidden="1">#REF!</definedName>
    <definedName name="___thinkcellZFpYwnWEJkC7IBxGmg42.w" localSheetId="31" hidden="1">#REF!</definedName>
    <definedName name="___thinkcellZFpYwnWEJkC7IBxGmg42.w" hidden="1">#REF!</definedName>
    <definedName name="___TL1" localSheetId="31">#REF!</definedName>
    <definedName name="___TL1" localSheetId="33">#REF!</definedName>
    <definedName name="___TL1">#REF!</definedName>
    <definedName name="___TL2" localSheetId="31">#REF!</definedName>
    <definedName name="___TL2" localSheetId="33">#REF!</definedName>
    <definedName name="___TL2">#REF!</definedName>
    <definedName name="___TL3" localSheetId="31">#REF!</definedName>
    <definedName name="___TL3" localSheetId="33">#REF!</definedName>
    <definedName name="___TL3">#REF!</definedName>
    <definedName name="___TLA120" localSheetId="31">#REF!</definedName>
    <definedName name="___TLA120" localSheetId="33">#REF!</definedName>
    <definedName name="___TLA120">#REF!</definedName>
    <definedName name="___TLA35" localSheetId="31">#REF!</definedName>
    <definedName name="___TLA35" localSheetId="33">#REF!</definedName>
    <definedName name="___TLA35">#REF!</definedName>
    <definedName name="___TLA50" localSheetId="31">#REF!</definedName>
    <definedName name="___TLA50" localSheetId="33">#REF!</definedName>
    <definedName name="___TLA50">#REF!</definedName>
    <definedName name="___TLA70" localSheetId="31">#REF!</definedName>
    <definedName name="___TLA70" localSheetId="33">#REF!</definedName>
    <definedName name="___TLA70">#REF!</definedName>
    <definedName name="___TLA95" localSheetId="31">#REF!</definedName>
    <definedName name="___TLA95" localSheetId="33">#REF!</definedName>
    <definedName name="___TLA95">#REF!</definedName>
    <definedName name="___VALUE_MOIS" localSheetId="31">#REF!</definedName>
    <definedName name="___VALUE_MOIS">#REF!</definedName>
    <definedName name="___VL100" localSheetId="31">#REF!</definedName>
    <definedName name="___VL100" localSheetId="33">#REF!</definedName>
    <definedName name="___VL100">#REF!</definedName>
    <definedName name="___VL200" localSheetId="31">#REF!</definedName>
    <definedName name="___VL200" localSheetId="33">#REF!</definedName>
    <definedName name="___VL200">#REF!</definedName>
    <definedName name="___VL250" localSheetId="31">#REF!</definedName>
    <definedName name="___VL250" localSheetId="33">#REF!</definedName>
    <definedName name="___VL250">#REF!</definedName>
    <definedName name="___XY123" localSheetId="31">#REF!</definedName>
    <definedName name="___XY123" localSheetId="33">#REF!</definedName>
    <definedName name="___XY123">#REF!</definedName>
    <definedName name="__1" localSheetId="31">#REF!</definedName>
    <definedName name="__1" localSheetId="33">#REF!</definedName>
    <definedName name="__1">#REF!</definedName>
    <definedName name="__1__123Graph_ACHART_1" hidden="1">#N/A</definedName>
    <definedName name="__10__123Graph_LBL_ACHART_2" localSheetId="35" hidden="1">#REF!</definedName>
    <definedName name="__10__123Graph_LBL_ACHART_2" localSheetId="31" hidden="1">#REF!</definedName>
    <definedName name="__10__123Graph_LBL_ACHART_2" hidden="1">#REF!</definedName>
    <definedName name="__11__123Graph_LBL_ACHART_3" localSheetId="31" hidden="1">#REF!</definedName>
    <definedName name="__11__123Graph_LBL_ACHART_3" hidden="1">#REF!</definedName>
    <definedName name="__12__123Graph_LBL_DCHART_1" hidden="1">#N/A</definedName>
    <definedName name="__123Graph_A" localSheetId="35" hidden="1">#REF!</definedName>
    <definedName name="__123Graph_A" localSheetId="31" hidden="1">#REF!</definedName>
    <definedName name="__123Graph_A" hidden="1">#REF!</definedName>
    <definedName name="__123Graph_AGRAFIND" localSheetId="31" hidden="1">#REF!</definedName>
    <definedName name="__123Graph_AGRAFIND" hidden="1">#REF!</definedName>
    <definedName name="__123Graph_AGRAFTOT" localSheetId="31" hidden="1">#REF!</definedName>
    <definedName name="__123Graph_AGRAFTOT" hidden="1">#REF!</definedName>
    <definedName name="__123Graph_AGRAPH1" localSheetId="31" hidden="1">#REF!</definedName>
    <definedName name="__123Graph_AGRAPH1" hidden="1">#REF!</definedName>
    <definedName name="__123Graph_AGRAPH2" localSheetId="31" hidden="1">#REF!</definedName>
    <definedName name="__123Graph_AGRAPH2" hidden="1">#REF!</definedName>
    <definedName name="__123Graph_APRINCIPALE" localSheetId="31" hidden="1">#REF!</definedName>
    <definedName name="__123Graph_APRINCIPALE" hidden="1">#REF!</definedName>
    <definedName name="__123Graph_B" localSheetId="31" hidden="1">#REF!</definedName>
    <definedName name="__123Graph_B" hidden="1">#REF!</definedName>
    <definedName name="__123Graph_BGRAFIND" localSheetId="31" hidden="1">#REF!</definedName>
    <definedName name="__123Graph_BGRAFIND" hidden="1">#REF!</definedName>
    <definedName name="__123Graph_BGRAFTOT" localSheetId="31" hidden="1">#REF!</definedName>
    <definedName name="__123Graph_BGRAFTOT" hidden="1">#REF!</definedName>
    <definedName name="__123Graph_BGRAPH1" localSheetId="31" hidden="1">#REF!</definedName>
    <definedName name="__123Graph_BGRAPH1" hidden="1">#REF!</definedName>
    <definedName name="__123Graph_BGRAPH2" localSheetId="31" hidden="1">#REF!</definedName>
    <definedName name="__123Graph_BGRAPH2" hidden="1">#REF!</definedName>
    <definedName name="__123Graph_BPRINCIPALE" localSheetId="31" hidden="1">#REF!</definedName>
    <definedName name="__123Graph_BPRINCIPALE" hidden="1">#REF!</definedName>
    <definedName name="__123Graph_C" localSheetId="31" hidden="1">#REF!</definedName>
    <definedName name="__123Graph_C" hidden="1">#REF!</definedName>
    <definedName name="__123Graph_CGRAPH1" localSheetId="31" hidden="1">#REF!</definedName>
    <definedName name="__123Graph_CGRAPH1" hidden="1">#REF!</definedName>
    <definedName name="__123Graph_CPRINCIPALE" localSheetId="31" hidden="1">#REF!</definedName>
    <definedName name="__123Graph_CPRINCIPALE" hidden="1">#REF!</definedName>
    <definedName name="__123Graph_D" localSheetId="31" hidden="1">#REF!</definedName>
    <definedName name="__123Graph_D" hidden="1">#REF!</definedName>
    <definedName name="__123Graph_DGRAPH1" localSheetId="31" hidden="1">#REF!</definedName>
    <definedName name="__123Graph_DGRAPH1" hidden="1">#REF!</definedName>
    <definedName name="__123Graph_E" localSheetId="31" hidden="1">#REF!</definedName>
    <definedName name="__123Graph_E" hidden="1">#REF!</definedName>
    <definedName name="__123Graph_F" localSheetId="31" hidden="1">#REF!</definedName>
    <definedName name="__123Graph_F" hidden="1">#REF!</definedName>
    <definedName name="__123Graph_X" localSheetId="31" hidden="1">#REF!</definedName>
    <definedName name="__123Graph_X" hidden="1">#REF!</definedName>
    <definedName name="__123Graph_XCFINVBE1" localSheetId="31" hidden="1">#REF!</definedName>
    <definedName name="__123Graph_XCFINVBE1" hidden="1">#REF!</definedName>
    <definedName name="__123Graph_XCFINVCL1" localSheetId="31" hidden="1">#REF!</definedName>
    <definedName name="__123Graph_XCFINVCL1" hidden="1">#REF!</definedName>
    <definedName name="__123Graph_XCFINVLA1" localSheetId="31" hidden="1">#REF!</definedName>
    <definedName name="__123Graph_XCFINVLA1" hidden="1">#REF!</definedName>
    <definedName name="__123Graph_XEVCABE1" localSheetId="31" hidden="1">#REF!</definedName>
    <definedName name="__123Graph_XEVCABE1" hidden="1">#REF!</definedName>
    <definedName name="__123Graph_XEVRATBE1" localSheetId="31" hidden="1">#REF!</definedName>
    <definedName name="__123Graph_XEVRATBE1" hidden="1">#REF!</definedName>
    <definedName name="__123Graph_XGRAPH1" localSheetId="31" hidden="1">#REF!</definedName>
    <definedName name="__123Graph_XGRAPH1" hidden="1">#REF!</definedName>
    <definedName name="__123Graph_XGRAPH2" localSheetId="31" hidden="1">#REF!</definedName>
    <definedName name="__123Graph_XGRAPH2" hidden="1">#REF!</definedName>
    <definedName name="__123Graph_XJR_JR" localSheetId="31" hidden="1">#REF!</definedName>
    <definedName name="__123Graph_XJR_JR" hidden="1">#REF!</definedName>
    <definedName name="__123Graph_XPRINCIPALE" localSheetId="31" hidden="1">#REF!</definedName>
    <definedName name="__123Graph_XPRINCIPALE" hidden="1">#REF!</definedName>
    <definedName name="__13__123Graph_LBL_DCHART_2" localSheetId="31" hidden="1">#REF!</definedName>
    <definedName name="__13__123Graph_LBL_DCHART_2" hidden="1">#REF!</definedName>
    <definedName name="__14__123Graph_XCHART_2" localSheetId="31" hidden="1">#REF!</definedName>
    <definedName name="__14__123Graph_XCHART_2" hidden="1">#REF!</definedName>
    <definedName name="__2" localSheetId="31">#REF!</definedName>
    <definedName name="__2" localSheetId="33">#REF!</definedName>
    <definedName name="__2">#REF!</definedName>
    <definedName name="__2__123Graph_ACHART_2" localSheetId="31" hidden="1">#REF!</definedName>
    <definedName name="__2__123Graph_ACHART_2" hidden="1">#REF!</definedName>
    <definedName name="__3__123Graph_ACHART_3" localSheetId="31" hidden="1">#REF!</definedName>
    <definedName name="__3__123Graph_ACHART_3" hidden="1">#REF!</definedName>
    <definedName name="__4__123Graph_BCHART_1" hidden="1">#N/A</definedName>
    <definedName name="__5__123Graph_BCHART_2" localSheetId="31" hidden="1">#REF!</definedName>
    <definedName name="__5__123Graph_BCHART_2" hidden="1">#REF!</definedName>
    <definedName name="__6__123Graph_BCHART_3" localSheetId="31" hidden="1">#REF!</definedName>
    <definedName name="__6__123Graph_BCHART_3" hidden="1">#REF!</definedName>
    <definedName name="__7__123Graph_DCHART_1" hidden="1">#N/A</definedName>
    <definedName name="__8__123Graph_DCHART_2" localSheetId="31" hidden="1">#REF!</definedName>
    <definedName name="__8__123Graph_DCHART_2" hidden="1">#REF!</definedName>
    <definedName name="__9__123Graph_LBL_ACHART_1" hidden="1">#N/A</definedName>
    <definedName name="__Amount_for_Gross_Profit_Monthly_ASDA_All_Unit_2" localSheetId="31" hidden="1">#REF!</definedName>
    <definedName name="__Amount_for_Gross_Profit_Monthly_ASDA_All_Unit_2" hidden="1">#REF!</definedName>
    <definedName name="__Amount_for_Gross_Profit_Monthly_TESCO_All_1" localSheetId="31" hidden="1">#REF!</definedName>
    <definedName name="__Amount_for_Gross_Profit_Monthly_TESCO_All_1" hidden="1">#REF!</definedName>
    <definedName name="__Amount_for_Monthly_1" localSheetId="31" hidden="1">#REF!</definedName>
    <definedName name="__Amount_for_Monthly_1" hidden="1">#REF!</definedName>
    <definedName name="__c" localSheetId="35" hidden="1">{"SPM1",#N/A,FALSE,"RIEP"}</definedName>
    <definedName name="__c" localSheetId="31" hidden="1">{"SPM1",#N/A,FALSE,"RIEP"}</definedName>
    <definedName name="__c" localSheetId="37" hidden="1">{"SPM1",#N/A,FALSE,"RIEP"}</definedName>
    <definedName name="__c" localSheetId="36" hidden="1">{"SPM1",#N/A,FALSE,"RIEP"}</definedName>
    <definedName name="__c" hidden="1">{"SPM1",#N/A,FALSE,"RIEP"}</definedName>
    <definedName name="__CNQ07">#REF!</definedName>
    <definedName name="__CON1" localSheetId="31">#REF!</definedName>
    <definedName name="__CON1" localSheetId="33">#REF!</definedName>
    <definedName name="__CON1">#REF!</definedName>
    <definedName name="__CON2" localSheetId="31">#REF!</definedName>
    <definedName name="__CON2" localSheetId="33">#REF!</definedName>
    <definedName name="__CON2">#REF!</definedName>
    <definedName name="__ddn400" localSheetId="31">#REF!</definedName>
    <definedName name="__ddn400" localSheetId="33">#REF!</definedName>
    <definedName name="__ddn400">#REF!</definedName>
    <definedName name="__ddn600" localSheetId="31">#REF!</definedName>
    <definedName name="__ddn600" localSheetId="33">#REF!</definedName>
    <definedName name="__ddn600">#REF!</definedName>
    <definedName name="__E99999" localSheetId="31">#REF!</definedName>
    <definedName name="__E99999" localSheetId="33">#REF!</definedName>
    <definedName name="__E99999">#REF!</definedName>
    <definedName name="__GG1" localSheetId="4" hidden="1">{#N/A,#N/A,FALSE,"Aging Summary";#N/A,#N/A,FALSE,"Ratio Analysis";#N/A,#N/A,FALSE,"Test 120 Day Accts";#N/A,#N/A,FALSE,"Tickmarks"}</definedName>
    <definedName name="__GG1" localSheetId="35" hidden="1">{#N/A,#N/A,FALSE,"Aging Summary";#N/A,#N/A,FALSE,"Ratio Analysis";#N/A,#N/A,FALSE,"Test 120 Day Accts";#N/A,#N/A,FALSE,"Tickmarks"}</definedName>
    <definedName name="__GG1" localSheetId="31" hidden="1">{#N/A,#N/A,FALSE,"Aging Summary";#N/A,#N/A,FALSE,"Ratio Analysis";#N/A,#N/A,FALSE,"Test 120 Day Accts";#N/A,#N/A,FALSE,"Tickmarks"}</definedName>
    <definedName name="__GG1" localSheetId="37" hidden="1">{#N/A,#N/A,FALSE,"Aging Summary";#N/A,#N/A,FALSE,"Ratio Analysis";#N/A,#N/A,FALSE,"Test 120 Day Accts";#N/A,#N/A,FALSE,"Tickmarks"}</definedName>
    <definedName name="__GG1" localSheetId="38" hidden="1">{#N/A,#N/A,FALSE,"Aging Summary";#N/A,#N/A,FALSE,"Ratio Analysis";#N/A,#N/A,FALSE,"Test 120 Day Accts";#N/A,#N/A,FALSE,"Tickmarks"}</definedName>
    <definedName name="__GG1" localSheetId="7" hidden="1">{#N/A,#N/A,FALSE,"Aging Summary";#N/A,#N/A,FALSE,"Ratio Analysis";#N/A,#N/A,FALSE,"Test 120 Day Accts";#N/A,#N/A,FALSE,"Tickmarks"}</definedName>
    <definedName name="__GG1" localSheetId="36" hidden="1">{#N/A,#N/A,FALSE,"Aging Summary";#N/A,#N/A,FALSE,"Ratio Analysis";#N/A,#N/A,FALSE,"Test 120 Day Accts";#N/A,#N/A,FALSE,"Tickmarks"}</definedName>
    <definedName name="__GG1" localSheetId="21" hidden="1">{#N/A,#N/A,FALSE,"Aging Summary";#N/A,#N/A,FALSE,"Ratio Analysis";#N/A,#N/A,FALSE,"Test 120 Day Accts";#N/A,#N/A,FALSE,"Tickmarks"}</definedName>
    <definedName name="__GG1" localSheetId="30" hidden="1">{#N/A,#N/A,FALSE,"Aging Summary";#N/A,#N/A,FALSE,"Ratio Analysis";#N/A,#N/A,FALSE,"Test 120 Day Accts";#N/A,#N/A,FALSE,"Tickmarks"}</definedName>
    <definedName name="__GG1" localSheetId="34" hidden="1">{#N/A,#N/A,FALSE,"Aging Summary";#N/A,#N/A,FALSE,"Ratio Analysis";#N/A,#N/A,FALSE,"Test 120 Day Accts";#N/A,#N/A,FALSE,"Tickmarks"}</definedName>
    <definedName name="__GG1" localSheetId="33" hidden="1">{#N/A,#N/A,FALSE,"Aging Summary";#N/A,#N/A,FALSE,"Ratio Analysis";#N/A,#N/A,FALSE,"Test 120 Day Accts";#N/A,#N/A,FALSE,"Tickmarks"}</definedName>
    <definedName name="__GG1" localSheetId="6" hidden="1">{#N/A,#N/A,FALSE,"Aging Summary";#N/A,#N/A,FALSE,"Ratio Analysis";#N/A,#N/A,FALSE,"Test 120 Day Accts";#N/A,#N/A,FALSE,"Tickmarks"}</definedName>
    <definedName name="__GG1" hidden="1">{#N/A,#N/A,FALSE,"Aging Summary";#N/A,#N/A,FALSE,"Ratio Analysis";#N/A,#N/A,FALSE,"Test 120 Day Accts";#N/A,#N/A,FALSE,"Tickmarks"}</definedName>
    <definedName name="__GG2" localSheetId="4" hidden="1">{#N/A,#N/A,FALSE,"Aging Summary";#N/A,#N/A,FALSE,"Ratio Analysis";#N/A,#N/A,FALSE,"Test 120 Day Accts";#N/A,#N/A,FALSE,"Tickmarks"}</definedName>
    <definedName name="__GG2" localSheetId="35" hidden="1">{#N/A,#N/A,FALSE,"Aging Summary";#N/A,#N/A,FALSE,"Ratio Analysis";#N/A,#N/A,FALSE,"Test 120 Day Accts";#N/A,#N/A,FALSE,"Tickmarks"}</definedName>
    <definedName name="__GG2" localSheetId="31" hidden="1">{#N/A,#N/A,FALSE,"Aging Summary";#N/A,#N/A,FALSE,"Ratio Analysis";#N/A,#N/A,FALSE,"Test 120 Day Accts";#N/A,#N/A,FALSE,"Tickmarks"}</definedName>
    <definedName name="__GG2" localSheetId="37" hidden="1">{#N/A,#N/A,FALSE,"Aging Summary";#N/A,#N/A,FALSE,"Ratio Analysis";#N/A,#N/A,FALSE,"Test 120 Day Accts";#N/A,#N/A,FALSE,"Tickmarks"}</definedName>
    <definedName name="__GG2" localSheetId="38" hidden="1">{#N/A,#N/A,FALSE,"Aging Summary";#N/A,#N/A,FALSE,"Ratio Analysis";#N/A,#N/A,FALSE,"Test 120 Day Accts";#N/A,#N/A,FALSE,"Tickmarks"}</definedName>
    <definedName name="__GG2" localSheetId="7" hidden="1">{#N/A,#N/A,FALSE,"Aging Summary";#N/A,#N/A,FALSE,"Ratio Analysis";#N/A,#N/A,FALSE,"Test 120 Day Accts";#N/A,#N/A,FALSE,"Tickmarks"}</definedName>
    <definedName name="__GG2" localSheetId="36" hidden="1">{#N/A,#N/A,FALSE,"Aging Summary";#N/A,#N/A,FALSE,"Ratio Analysis";#N/A,#N/A,FALSE,"Test 120 Day Accts";#N/A,#N/A,FALSE,"Tickmarks"}</definedName>
    <definedName name="__GG2" localSheetId="21" hidden="1">{#N/A,#N/A,FALSE,"Aging Summary";#N/A,#N/A,FALSE,"Ratio Analysis";#N/A,#N/A,FALSE,"Test 120 Day Accts";#N/A,#N/A,FALSE,"Tickmarks"}</definedName>
    <definedName name="__GG2" localSheetId="30" hidden="1">{#N/A,#N/A,FALSE,"Aging Summary";#N/A,#N/A,FALSE,"Ratio Analysis";#N/A,#N/A,FALSE,"Test 120 Day Accts";#N/A,#N/A,FALSE,"Tickmarks"}</definedName>
    <definedName name="__GG2" localSheetId="34" hidden="1">{#N/A,#N/A,FALSE,"Aging Summary";#N/A,#N/A,FALSE,"Ratio Analysis";#N/A,#N/A,FALSE,"Test 120 Day Accts";#N/A,#N/A,FALSE,"Tickmarks"}</definedName>
    <definedName name="__GG2" localSheetId="33" hidden="1">{#N/A,#N/A,FALSE,"Aging Summary";#N/A,#N/A,FALSE,"Ratio Analysis";#N/A,#N/A,FALSE,"Test 120 Day Accts";#N/A,#N/A,FALSE,"Tickmarks"}</definedName>
    <definedName name="__GG2" localSheetId="6" hidden="1">{#N/A,#N/A,FALSE,"Aging Summary";#N/A,#N/A,FALSE,"Ratio Analysis";#N/A,#N/A,FALSE,"Test 120 Day Accts";#N/A,#N/A,FALSE,"Tickmarks"}</definedName>
    <definedName name="__GG2" hidden="1">{#N/A,#N/A,FALSE,"Aging Summary";#N/A,#N/A,FALSE,"Ratio Analysis";#N/A,#N/A,FALSE,"Test 120 Day Accts";#N/A,#N/A,FALSE,"Tickmarks"}</definedName>
    <definedName name="__gon4" localSheetId="33">#REF!</definedName>
    <definedName name="__gon4">#REF!</definedName>
    <definedName name="__IV17532" localSheetId="31">#REF!</definedName>
    <definedName name="__IV17532" localSheetId="33">#REF!</definedName>
    <definedName name="__IV17532">#REF!</definedName>
    <definedName name="__IV19999" localSheetId="31">#REF!</definedName>
    <definedName name="__IV19999" localSheetId="33">#REF!</definedName>
    <definedName name="__IV19999">#REF!</definedName>
    <definedName name="__IV20000" localSheetId="31">#REF!</definedName>
    <definedName name="__IV20000" localSheetId="33">#REF!</definedName>
    <definedName name="__IV20000">#REF!</definedName>
    <definedName name="__IV60000" localSheetId="31">#REF!</definedName>
    <definedName name="__IV60000" localSheetId="33">#REF!</definedName>
    <definedName name="__IV60000">#REF!</definedName>
    <definedName name="__IV999999" localSheetId="31">#REF!</definedName>
    <definedName name="__IV999999" localSheetId="33">#REF!</definedName>
    <definedName name="__IV999999">#REF!</definedName>
    <definedName name="__IZ53" localSheetId="31">#REF!</definedName>
    <definedName name="__IZ53" localSheetId="33">#REF!</definedName>
    <definedName name="__IZ53">#REF!</definedName>
    <definedName name="__JZ123" localSheetId="31">#REF!</definedName>
    <definedName name="__JZ123" localSheetId="33">#REF!</definedName>
    <definedName name="__JZ123">#REF!</definedName>
    <definedName name="__lap1" localSheetId="31">#REF!</definedName>
    <definedName name="__lap1" localSheetId="33">#REF!</definedName>
    <definedName name="__lap1">#REF!</definedName>
    <definedName name="__lap2" localSheetId="31">#REF!</definedName>
    <definedName name="__lap2" localSheetId="33">#REF!</definedName>
    <definedName name="__lap2">#REF!</definedName>
    <definedName name="__LI1" localSheetId="35">OFFSET(#REF!,4,0,COUNTA(#REF!)-1,1)</definedName>
    <definedName name="__LI1" localSheetId="31">OFFSET(#REF!,4,0,COUNTA(#REF!)-1,1)</definedName>
    <definedName name="__LI1" localSheetId="37">OFFSET(#REF!,4,0,COUNTA(#REF!)-1,1)</definedName>
    <definedName name="__LI1" localSheetId="36">OFFSET(#REF!,4,0,COUNTA(#REF!)-1,1)</definedName>
    <definedName name="__LI1" localSheetId="30">OFFSET(#REF!,4,0,COUNTA(#REF!)-1,1)</definedName>
    <definedName name="__LI1" localSheetId="34">OFFSET(#REF!,4,0,COUNTA(#REF!)-1,1)</definedName>
    <definedName name="__LI1">OFFSET(#REF!,4,0,COUNTA(#REF!)-1,1)</definedName>
    <definedName name="__LI10" localSheetId="35">OFFSET(#REF!,4,0,COUNTA(#REF!)-1,1)</definedName>
    <definedName name="__LI10" localSheetId="31">OFFSET(#REF!,4,0,COUNTA(#REF!)-1,1)</definedName>
    <definedName name="__LI10" localSheetId="37">OFFSET(#REF!,4,0,COUNTA(#REF!)-1,1)</definedName>
    <definedName name="__LI10" localSheetId="36">OFFSET(#REF!,4,0,COUNTA(#REF!)-1,1)</definedName>
    <definedName name="__LI10" localSheetId="30">OFFSET(#REF!,4,0,COUNTA(#REF!)-1,1)</definedName>
    <definedName name="__LI10" localSheetId="34">OFFSET(#REF!,4,0,COUNTA(#REF!)-1,1)</definedName>
    <definedName name="__LI10">OFFSET(#REF!,4,0,COUNTA(#REF!)-1,1)</definedName>
    <definedName name="__LI11" localSheetId="35">OFFSET(#REF!,4,0,COUNTA(#REF!)-1,1)</definedName>
    <definedName name="__LI11" localSheetId="31">OFFSET(#REF!,4,0,COUNTA(#REF!)-1,1)</definedName>
    <definedName name="__LI11" localSheetId="37">OFFSET(#REF!,4,0,COUNTA(#REF!)-1,1)</definedName>
    <definedName name="__LI11" localSheetId="36">OFFSET(#REF!,4,0,COUNTA(#REF!)-1,1)</definedName>
    <definedName name="__LI11" localSheetId="30">OFFSET(#REF!,4,0,COUNTA(#REF!)-1,1)</definedName>
    <definedName name="__LI11" localSheetId="34">OFFSET(#REF!,4,0,COUNTA(#REF!)-1,1)</definedName>
    <definedName name="__LI11">OFFSET(#REF!,4,0,COUNTA(#REF!)-1,1)</definedName>
    <definedName name="__LI12" localSheetId="35">OFFSET(#REF!,4,0,COUNTA(#REF!)-1,1)</definedName>
    <definedName name="__LI12" localSheetId="31">OFFSET(#REF!,4,0,COUNTA(#REF!)-1,1)</definedName>
    <definedName name="__LI12" localSheetId="37">OFFSET(#REF!,4,0,COUNTA(#REF!)-1,1)</definedName>
    <definedName name="__LI12" localSheetId="36">OFFSET(#REF!,4,0,COUNTA(#REF!)-1,1)</definedName>
    <definedName name="__LI12" localSheetId="30">OFFSET(#REF!,4,0,COUNTA(#REF!)-1,1)</definedName>
    <definedName name="__LI12" localSheetId="34">OFFSET(#REF!,4,0,COUNTA(#REF!)-1,1)</definedName>
    <definedName name="__LI12">OFFSET(#REF!,4,0,COUNTA(#REF!)-1,1)</definedName>
    <definedName name="__LI13" localSheetId="35">OFFSET(#REF!,4,0,COUNTA(#REF!)-1,1)</definedName>
    <definedName name="__LI13" localSheetId="31">OFFSET(#REF!,4,0,COUNTA(#REF!)-1,1)</definedName>
    <definedName name="__LI13" localSheetId="37">OFFSET(#REF!,4,0,COUNTA(#REF!)-1,1)</definedName>
    <definedName name="__LI13" localSheetId="36">OFFSET(#REF!,4,0,COUNTA(#REF!)-1,1)</definedName>
    <definedName name="__LI13" localSheetId="30">OFFSET(#REF!,4,0,COUNTA(#REF!)-1,1)</definedName>
    <definedName name="__LI13" localSheetId="34">OFFSET(#REF!,4,0,COUNTA(#REF!)-1,1)</definedName>
    <definedName name="__LI13">OFFSET(#REF!,4,0,COUNTA(#REF!)-1,1)</definedName>
    <definedName name="__LI14" localSheetId="35">OFFSET(#REF!,4,0,COUNTA(#REF!)-1,1)</definedName>
    <definedName name="__LI14" localSheetId="31">OFFSET(#REF!,4,0,COUNTA(#REF!)-1,1)</definedName>
    <definedName name="__LI14" localSheetId="37">OFFSET(#REF!,4,0,COUNTA(#REF!)-1,1)</definedName>
    <definedName name="__LI14" localSheetId="36">OFFSET(#REF!,4,0,COUNTA(#REF!)-1,1)</definedName>
    <definedName name="__LI14" localSheetId="30">OFFSET(#REF!,4,0,COUNTA(#REF!)-1,1)</definedName>
    <definedName name="__LI14" localSheetId="34">OFFSET(#REF!,4,0,COUNTA(#REF!)-1,1)</definedName>
    <definedName name="__LI14">OFFSET(#REF!,4,0,COUNTA(#REF!)-1,1)</definedName>
    <definedName name="__LI15" localSheetId="35">OFFSET(#REF!,4,0,COUNTA(#REF!)-1,1)</definedName>
    <definedName name="__LI15" localSheetId="31">OFFSET(#REF!,4,0,COUNTA(#REF!)-1,1)</definedName>
    <definedName name="__LI15" localSheetId="37">OFFSET(#REF!,4,0,COUNTA(#REF!)-1,1)</definedName>
    <definedName name="__LI15" localSheetId="36">OFFSET(#REF!,4,0,COUNTA(#REF!)-1,1)</definedName>
    <definedName name="__LI15" localSheetId="30">OFFSET(#REF!,4,0,COUNTA(#REF!)-1,1)</definedName>
    <definedName name="__LI15" localSheetId="34">OFFSET(#REF!,4,0,COUNTA(#REF!)-1,1)</definedName>
    <definedName name="__LI15">OFFSET(#REF!,4,0,COUNTA(#REF!)-1,1)</definedName>
    <definedName name="__LI16" localSheetId="35">OFFSET(#REF!,4,0,COUNTA(#REF!)-1,1)</definedName>
    <definedName name="__LI16" localSheetId="31">OFFSET(#REF!,4,0,COUNTA(#REF!)-1,1)</definedName>
    <definedName name="__LI16" localSheetId="37">OFFSET(#REF!,4,0,COUNTA(#REF!)-1,1)</definedName>
    <definedName name="__LI16" localSheetId="36">OFFSET(#REF!,4,0,COUNTA(#REF!)-1,1)</definedName>
    <definedName name="__LI16" localSheetId="30">OFFSET(#REF!,4,0,COUNTA(#REF!)-1,1)</definedName>
    <definedName name="__LI16" localSheetId="34">OFFSET(#REF!,4,0,COUNTA(#REF!)-1,1)</definedName>
    <definedName name="__LI16">OFFSET(#REF!,4,0,COUNTA(#REF!)-1,1)</definedName>
    <definedName name="__LI17" localSheetId="35">OFFSET(#REF!,4,0,COUNTA(#REF!)-1,1)</definedName>
    <definedName name="__LI17" localSheetId="31">OFFSET(#REF!,4,0,COUNTA(#REF!)-1,1)</definedName>
    <definedName name="__LI17" localSheetId="37">OFFSET(#REF!,4,0,COUNTA(#REF!)-1,1)</definedName>
    <definedName name="__LI17" localSheetId="36">OFFSET(#REF!,4,0,COUNTA(#REF!)-1,1)</definedName>
    <definedName name="__LI17" localSheetId="30">OFFSET(#REF!,4,0,COUNTA(#REF!)-1,1)</definedName>
    <definedName name="__LI17" localSheetId="34">OFFSET(#REF!,4,0,COUNTA(#REF!)-1,1)</definedName>
    <definedName name="__LI17">OFFSET(#REF!,4,0,COUNTA(#REF!)-1,1)</definedName>
    <definedName name="__LI18" localSheetId="35">OFFSET(#REF!,4,0,COUNTA(#REF!)-1,1)</definedName>
    <definedName name="__LI18" localSheetId="31">OFFSET(#REF!,4,0,COUNTA(#REF!)-1,1)</definedName>
    <definedName name="__LI18" localSheetId="37">OFFSET(#REF!,4,0,COUNTA(#REF!)-1,1)</definedName>
    <definedName name="__LI18" localSheetId="36">OFFSET(#REF!,4,0,COUNTA(#REF!)-1,1)</definedName>
    <definedName name="__LI18" localSheetId="30">OFFSET(#REF!,4,0,COUNTA(#REF!)-1,1)</definedName>
    <definedName name="__LI18" localSheetId="34">OFFSET(#REF!,4,0,COUNTA(#REF!)-1,1)</definedName>
    <definedName name="__LI18">OFFSET(#REF!,4,0,COUNTA(#REF!)-1,1)</definedName>
    <definedName name="__LI19" localSheetId="35">OFFSET(#REF!,4,0,COUNTA(#REF!)-1,1)</definedName>
    <definedName name="__LI19" localSheetId="31">OFFSET(#REF!,4,0,COUNTA(#REF!)-1,1)</definedName>
    <definedName name="__LI19" localSheetId="37">OFFSET(#REF!,4,0,COUNTA(#REF!)-1,1)</definedName>
    <definedName name="__LI19" localSheetId="36">OFFSET(#REF!,4,0,COUNTA(#REF!)-1,1)</definedName>
    <definedName name="__LI19" localSheetId="30">OFFSET(#REF!,4,0,COUNTA(#REF!)-1,1)</definedName>
    <definedName name="__LI19" localSheetId="34">OFFSET(#REF!,4,0,COUNTA(#REF!)-1,1)</definedName>
    <definedName name="__LI19">OFFSET(#REF!,4,0,COUNTA(#REF!)-1,1)</definedName>
    <definedName name="__LI2" localSheetId="35">OFFSET(#REF!,4,0,COUNTA(#REF!)-1,1)</definedName>
    <definedName name="__LI2" localSheetId="31">OFFSET(#REF!,4,0,COUNTA(#REF!)-1,1)</definedName>
    <definedName name="__LI2" localSheetId="37">OFFSET(#REF!,4,0,COUNTA(#REF!)-1,1)</definedName>
    <definedName name="__LI2" localSheetId="36">OFFSET(#REF!,4,0,COUNTA(#REF!)-1,1)</definedName>
    <definedName name="__LI2" localSheetId="30">OFFSET(#REF!,4,0,COUNTA(#REF!)-1,1)</definedName>
    <definedName name="__LI2" localSheetId="34">OFFSET(#REF!,4,0,COUNTA(#REF!)-1,1)</definedName>
    <definedName name="__LI2">OFFSET(#REF!,4,0,COUNTA(#REF!)-1,1)</definedName>
    <definedName name="__LI20" localSheetId="35">OFFSET(#REF!,4,0,COUNTA(#REF!)-1,1)</definedName>
    <definedName name="__LI20" localSheetId="31">OFFSET(#REF!,4,0,COUNTA(#REF!)-1,1)</definedName>
    <definedName name="__LI20" localSheetId="37">OFFSET(#REF!,4,0,COUNTA(#REF!)-1,1)</definedName>
    <definedName name="__LI20" localSheetId="36">OFFSET(#REF!,4,0,COUNTA(#REF!)-1,1)</definedName>
    <definedName name="__LI20" localSheetId="30">OFFSET(#REF!,4,0,COUNTA(#REF!)-1,1)</definedName>
    <definedName name="__LI20" localSheetId="34">OFFSET(#REF!,4,0,COUNTA(#REF!)-1,1)</definedName>
    <definedName name="__LI20">OFFSET(#REF!,4,0,COUNTA(#REF!)-1,1)</definedName>
    <definedName name="__LI21" localSheetId="35">OFFSET(#REF!,4,0,COUNTA(#REF!)-1,1)</definedName>
    <definedName name="__LI21" localSheetId="31">OFFSET(#REF!,4,0,COUNTA(#REF!)-1,1)</definedName>
    <definedName name="__LI21" localSheetId="37">OFFSET(#REF!,4,0,COUNTA(#REF!)-1,1)</definedName>
    <definedName name="__LI21" localSheetId="36">OFFSET(#REF!,4,0,COUNTA(#REF!)-1,1)</definedName>
    <definedName name="__LI21" localSheetId="30">OFFSET(#REF!,4,0,COUNTA(#REF!)-1,1)</definedName>
    <definedName name="__LI21" localSheetId="34">OFFSET(#REF!,4,0,COUNTA(#REF!)-1,1)</definedName>
    <definedName name="__LI21">OFFSET(#REF!,4,0,COUNTA(#REF!)-1,1)</definedName>
    <definedName name="__LI22" localSheetId="35">OFFSET(#REF!,4,0,COUNTA(#REF!)-1,1)</definedName>
    <definedName name="__LI22" localSheetId="31">OFFSET(#REF!,4,0,COUNTA(#REF!)-1,1)</definedName>
    <definedName name="__LI22" localSheetId="37">OFFSET(#REF!,4,0,COUNTA(#REF!)-1,1)</definedName>
    <definedName name="__LI22" localSheetId="36">OFFSET(#REF!,4,0,COUNTA(#REF!)-1,1)</definedName>
    <definedName name="__LI22" localSheetId="30">OFFSET(#REF!,4,0,COUNTA(#REF!)-1,1)</definedName>
    <definedName name="__LI22" localSheetId="34">OFFSET(#REF!,4,0,COUNTA(#REF!)-1,1)</definedName>
    <definedName name="__LI22">OFFSET(#REF!,4,0,COUNTA(#REF!)-1,1)</definedName>
    <definedName name="__LI23" localSheetId="35">OFFSET(#REF!,4,0,COUNTA(#REF!)-1,1)</definedName>
    <definedName name="__LI23" localSheetId="31">OFFSET(#REF!,4,0,COUNTA(#REF!)-1,1)</definedName>
    <definedName name="__LI23" localSheetId="37">OFFSET(#REF!,4,0,COUNTA(#REF!)-1,1)</definedName>
    <definedName name="__LI23" localSheetId="36">OFFSET(#REF!,4,0,COUNTA(#REF!)-1,1)</definedName>
    <definedName name="__LI23" localSheetId="30">OFFSET(#REF!,4,0,COUNTA(#REF!)-1,1)</definedName>
    <definedName name="__LI23" localSheetId="34">OFFSET(#REF!,4,0,COUNTA(#REF!)-1,1)</definedName>
    <definedName name="__LI23">OFFSET(#REF!,4,0,COUNTA(#REF!)-1,1)</definedName>
    <definedName name="__LI24" localSheetId="35">OFFSET(#REF!,4,0,COUNTA(#REF!)-1,1)</definedName>
    <definedName name="__LI24" localSheetId="31">OFFSET(#REF!,4,0,COUNTA(#REF!)-1,1)</definedName>
    <definedName name="__LI24" localSheetId="37">OFFSET(#REF!,4,0,COUNTA(#REF!)-1,1)</definedName>
    <definedName name="__LI24" localSheetId="36">OFFSET(#REF!,4,0,COUNTA(#REF!)-1,1)</definedName>
    <definedName name="__LI24" localSheetId="30">OFFSET(#REF!,4,0,COUNTA(#REF!)-1,1)</definedName>
    <definedName name="__LI24" localSheetId="34">OFFSET(#REF!,4,0,COUNTA(#REF!)-1,1)</definedName>
    <definedName name="__LI24">OFFSET(#REF!,4,0,COUNTA(#REF!)-1,1)</definedName>
    <definedName name="__LI25" localSheetId="35">OFFSET(#REF!,4,0,COUNTA(#REF!)-1,1)</definedName>
    <definedName name="__LI25" localSheetId="31">OFFSET(#REF!,4,0,COUNTA(#REF!)-1,1)</definedName>
    <definedName name="__LI25" localSheetId="37">OFFSET(#REF!,4,0,COUNTA(#REF!)-1,1)</definedName>
    <definedName name="__LI25" localSheetId="36">OFFSET(#REF!,4,0,COUNTA(#REF!)-1,1)</definedName>
    <definedName name="__LI25" localSheetId="30">OFFSET(#REF!,4,0,COUNTA(#REF!)-1,1)</definedName>
    <definedName name="__LI25" localSheetId="34">OFFSET(#REF!,4,0,COUNTA(#REF!)-1,1)</definedName>
    <definedName name="__LI25">OFFSET(#REF!,4,0,COUNTA(#REF!)-1,1)</definedName>
    <definedName name="__LI3" localSheetId="35">OFFSET(#REF!,4,0,COUNTA(#REF!)-1,1)</definedName>
    <definedName name="__LI3" localSheetId="31">OFFSET(#REF!,4,0,COUNTA(#REF!)-1,1)</definedName>
    <definedName name="__LI3" localSheetId="37">OFFSET(#REF!,4,0,COUNTA(#REF!)-1,1)</definedName>
    <definedName name="__LI3" localSheetId="36">OFFSET(#REF!,4,0,COUNTA(#REF!)-1,1)</definedName>
    <definedName name="__LI3" localSheetId="30">OFFSET(#REF!,4,0,COUNTA(#REF!)-1,1)</definedName>
    <definedName name="__LI3" localSheetId="34">OFFSET(#REF!,4,0,COUNTA(#REF!)-1,1)</definedName>
    <definedName name="__LI3">OFFSET(#REF!,4,0,COUNTA(#REF!)-1,1)</definedName>
    <definedName name="__LI30" localSheetId="35">OFFSET(#REF!,4,0,COUNTA(#REF!)-1,1)</definedName>
    <definedName name="__LI30" localSheetId="31">OFFSET(#REF!,4,0,COUNTA(#REF!)-1,1)</definedName>
    <definedName name="__LI30" localSheetId="37">OFFSET(#REF!,4,0,COUNTA(#REF!)-1,1)</definedName>
    <definedName name="__LI30" localSheetId="36">OFFSET(#REF!,4,0,COUNTA(#REF!)-1,1)</definedName>
    <definedName name="__LI30" localSheetId="30">OFFSET(#REF!,4,0,COUNTA(#REF!)-1,1)</definedName>
    <definedName name="__LI30" localSheetId="34">OFFSET(#REF!,4,0,COUNTA(#REF!)-1,1)</definedName>
    <definedName name="__LI30">OFFSET(#REF!,4,0,COUNTA(#REF!)-1,1)</definedName>
    <definedName name="__LI4" localSheetId="35">OFFSET(#REF!,4,0,COUNTA(#REF!)-1,1)</definedName>
    <definedName name="__LI4" localSheetId="31">OFFSET(#REF!,4,0,COUNTA(#REF!)-1,1)</definedName>
    <definedName name="__LI4" localSheetId="37">OFFSET(#REF!,4,0,COUNTA(#REF!)-1,1)</definedName>
    <definedName name="__LI4" localSheetId="36">OFFSET(#REF!,4,0,COUNTA(#REF!)-1,1)</definedName>
    <definedName name="__LI4" localSheetId="30">OFFSET(#REF!,4,0,COUNTA(#REF!)-1,1)</definedName>
    <definedName name="__LI4" localSheetId="34">OFFSET(#REF!,4,0,COUNTA(#REF!)-1,1)</definedName>
    <definedName name="__LI4">OFFSET(#REF!,4,0,COUNTA(#REF!)-1,1)</definedName>
    <definedName name="__LI5" localSheetId="35">OFFSET(#REF!,4,0,COUNTA(#REF!)-1,1)</definedName>
    <definedName name="__LI5" localSheetId="31">OFFSET(#REF!,4,0,COUNTA(#REF!)-1,1)</definedName>
    <definedName name="__LI5" localSheetId="37">OFFSET(#REF!,4,0,COUNTA(#REF!)-1,1)</definedName>
    <definedName name="__LI5" localSheetId="36">OFFSET(#REF!,4,0,COUNTA(#REF!)-1,1)</definedName>
    <definedName name="__LI5" localSheetId="30">OFFSET(#REF!,4,0,COUNTA(#REF!)-1,1)</definedName>
    <definedName name="__LI5" localSheetId="34">OFFSET(#REF!,4,0,COUNTA(#REF!)-1,1)</definedName>
    <definedName name="__LI5">OFFSET(#REF!,4,0,COUNTA(#REF!)-1,1)</definedName>
    <definedName name="__LI6" localSheetId="35">OFFSET(#REF!,4,0,COUNTA(#REF!)-1,1)</definedName>
    <definedName name="__LI6" localSheetId="31">OFFSET(#REF!,4,0,COUNTA(#REF!)-1,1)</definedName>
    <definedName name="__LI6" localSheetId="37">OFFSET(#REF!,4,0,COUNTA(#REF!)-1,1)</definedName>
    <definedName name="__LI6" localSheetId="36">OFFSET(#REF!,4,0,COUNTA(#REF!)-1,1)</definedName>
    <definedName name="__LI6" localSheetId="30">OFFSET(#REF!,4,0,COUNTA(#REF!)-1,1)</definedName>
    <definedName name="__LI6" localSheetId="34">OFFSET(#REF!,4,0,COUNTA(#REF!)-1,1)</definedName>
    <definedName name="__LI6">OFFSET(#REF!,4,0,COUNTA(#REF!)-1,1)</definedName>
    <definedName name="__LI7" localSheetId="35">OFFSET(#REF!,4,0,COUNTA(#REF!)-1,1)</definedName>
    <definedName name="__LI7" localSheetId="31">OFFSET(#REF!,4,0,COUNTA(#REF!)-1,1)</definedName>
    <definedName name="__LI7" localSheetId="37">OFFSET(#REF!,4,0,COUNTA(#REF!)-1,1)</definedName>
    <definedName name="__LI7" localSheetId="36">OFFSET(#REF!,4,0,COUNTA(#REF!)-1,1)</definedName>
    <definedName name="__LI7" localSheetId="30">OFFSET(#REF!,4,0,COUNTA(#REF!)-1,1)</definedName>
    <definedName name="__LI7" localSheetId="34">OFFSET(#REF!,4,0,COUNTA(#REF!)-1,1)</definedName>
    <definedName name="__LI7">OFFSET(#REF!,4,0,COUNTA(#REF!)-1,1)</definedName>
    <definedName name="__LI8" localSheetId="35">OFFSET(#REF!,4,0,COUNTA(#REF!)-1,1)</definedName>
    <definedName name="__LI8" localSheetId="31">OFFSET(#REF!,4,0,COUNTA(#REF!)-1,1)</definedName>
    <definedName name="__LI8" localSheetId="37">OFFSET(#REF!,4,0,COUNTA(#REF!)-1,1)</definedName>
    <definedName name="__LI8" localSheetId="36">OFFSET(#REF!,4,0,COUNTA(#REF!)-1,1)</definedName>
    <definedName name="__LI8" localSheetId="30">OFFSET(#REF!,4,0,COUNTA(#REF!)-1,1)</definedName>
    <definedName name="__LI8" localSheetId="34">OFFSET(#REF!,4,0,COUNTA(#REF!)-1,1)</definedName>
    <definedName name="__LI8">OFFSET(#REF!,4,0,COUNTA(#REF!)-1,1)</definedName>
    <definedName name="__LI9" localSheetId="35">OFFSET(#REF!,4,0,COUNTA(#REF!)-1,1)</definedName>
    <definedName name="__LI9" localSheetId="31">OFFSET(#REF!,4,0,COUNTA(#REF!)-1,1)</definedName>
    <definedName name="__LI9" localSheetId="37">OFFSET(#REF!,4,0,COUNTA(#REF!)-1,1)</definedName>
    <definedName name="__LI9" localSheetId="36">OFFSET(#REF!,4,0,COUNTA(#REF!)-1,1)</definedName>
    <definedName name="__LI9" localSheetId="30">OFFSET(#REF!,4,0,COUNTA(#REF!)-1,1)</definedName>
    <definedName name="__LI9" localSheetId="34">OFFSET(#REF!,4,0,COUNTA(#REF!)-1,1)</definedName>
    <definedName name="__LI9">OFFSET(#REF!,4,0,COUNTA(#REF!)-1,1)</definedName>
    <definedName name="__LZ123" localSheetId="31">#REF!</definedName>
    <definedName name="__LZ123" localSheetId="33">#REF!</definedName>
    <definedName name="__LZ123">#REF!</definedName>
    <definedName name="__MAC12" localSheetId="31">#REF!</definedName>
    <definedName name="__MAC12" localSheetId="33">#REF!</definedName>
    <definedName name="__MAC12">#REF!</definedName>
    <definedName name="__MAC46" localSheetId="31">#REF!</definedName>
    <definedName name="__MAC46" localSheetId="33">#REF!</definedName>
    <definedName name="__MAC46">#REF!</definedName>
    <definedName name="__MZ53" localSheetId="31">#REF!</definedName>
    <definedName name="__MZ53" localSheetId="33">#REF!</definedName>
    <definedName name="__MZ53">#REF!</definedName>
    <definedName name="__NCL100" localSheetId="31">#REF!</definedName>
    <definedName name="__NCL100" localSheetId="33">#REF!</definedName>
    <definedName name="__NCL100">#REF!</definedName>
    <definedName name="__NCL200" localSheetId="31">#REF!</definedName>
    <definedName name="__NCL200" localSheetId="33">#REF!</definedName>
    <definedName name="__NCL200">#REF!</definedName>
    <definedName name="__NCL250" localSheetId="31">#REF!</definedName>
    <definedName name="__NCL250" localSheetId="33">#REF!</definedName>
    <definedName name="__NCL250">#REF!</definedName>
    <definedName name="__NET2" localSheetId="31">#REF!</definedName>
    <definedName name="__NET2" localSheetId="33">#REF!</definedName>
    <definedName name="__NET2">#REF!</definedName>
    <definedName name="__nin190" localSheetId="31">#REF!</definedName>
    <definedName name="__nin190" localSheetId="33">#REF!</definedName>
    <definedName name="__nin190">#REF!</definedName>
    <definedName name="__ok1" localSheetId="35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ok1" localSheetId="3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ok1" localSheetId="37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ok1" localSheetId="36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PCI08">#REF!</definedName>
    <definedName name="__sc1" localSheetId="31">#REF!</definedName>
    <definedName name="__sc1" localSheetId="33">#REF!</definedName>
    <definedName name="__sc1">#REF!</definedName>
    <definedName name="__SC2" localSheetId="31">#REF!</definedName>
    <definedName name="__SC2" localSheetId="33">#REF!</definedName>
    <definedName name="__SC2">#REF!</definedName>
    <definedName name="__sc3" localSheetId="31">#REF!</definedName>
    <definedName name="__sc3" localSheetId="33">#REF!</definedName>
    <definedName name="__sc3">#REF!</definedName>
    <definedName name="__SN3" localSheetId="31">#REF!</definedName>
    <definedName name="__SN3" localSheetId="33">#REF!</definedName>
    <definedName name="__SN3">#REF!</definedName>
    <definedName name="__TB1" localSheetId="31">#REF!</definedName>
    <definedName name="__TB1" localSheetId="33">#REF!</definedName>
    <definedName name="__TB1">#REF!</definedName>
    <definedName name="__TL1" localSheetId="31">#REF!</definedName>
    <definedName name="__TL1" localSheetId="33">#REF!</definedName>
    <definedName name="__TL1">#REF!</definedName>
    <definedName name="__TL2" localSheetId="31">#REF!</definedName>
    <definedName name="__TL2" localSheetId="33">#REF!</definedName>
    <definedName name="__TL2">#REF!</definedName>
    <definedName name="__TL3" localSheetId="31">#REF!</definedName>
    <definedName name="__TL3" localSheetId="33">#REF!</definedName>
    <definedName name="__TL3">#REF!</definedName>
    <definedName name="__TLA120" localSheetId="31">#REF!</definedName>
    <definedName name="__TLA120" localSheetId="33">#REF!</definedName>
    <definedName name="__TLA120">#REF!</definedName>
    <definedName name="__TLA35" localSheetId="31">#REF!</definedName>
    <definedName name="__TLA35" localSheetId="33">#REF!</definedName>
    <definedName name="__TLA35">#REF!</definedName>
    <definedName name="__TLA50" localSheetId="31">#REF!</definedName>
    <definedName name="__TLA50" localSheetId="33">#REF!</definedName>
    <definedName name="__TLA50">#REF!</definedName>
    <definedName name="__TLA70" localSheetId="31">#REF!</definedName>
    <definedName name="__TLA70" localSheetId="33">#REF!</definedName>
    <definedName name="__TLA70">#REF!</definedName>
    <definedName name="__TLA95" localSheetId="31">#REF!</definedName>
    <definedName name="__TLA95" localSheetId="33">#REF!</definedName>
    <definedName name="__TLA95">#REF!</definedName>
    <definedName name="__VL100" localSheetId="31">#REF!</definedName>
    <definedName name="__VL100" localSheetId="33">#REF!</definedName>
    <definedName name="__VL100">#REF!</definedName>
    <definedName name="__VL200" localSheetId="31">#REF!</definedName>
    <definedName name="__VL200" localSheetId="33">#REF!</definedName>
    <definedName name="__VL200">#REF!</definedName>
    <definedName name="__VL250" localSheetId="31">#REF!</definedName>
    <definedName name="__VL250" localSheetId="33">#REF!</definedName>
    <definedName name="__VL250">#REF!</definedName>
    <definedName name="__XY123" localSheetId="31">#REF!</definedName>
    <definedName name="__XY123" localSheetId="33">#REF!</definedName>
    <definedName name="__XY123">#REF!</definedName>
    <definedName name="_0" localSheetId="35">#REF!,#REF!,#REF!,#REF!</definedName>
    <definedName name="_0" localSheetId="31">#REF!,#REF!,#REF!,#REF!</definedName>
    <definedName name="_0">#REF!,#REF!,#REF!,#REF!</definedName>
    <definedName name="_000139" localSheetId="35">#REF!</definedName>
    <definedName name="_000139" localSheetId="31">#REF!</definedName>
    <definedName name="_000139" localSheetId="37">#REF!</definedName>
    <definedName name="_000139" localSheetId="36">#REF!</definedName>
    <definedName name="_000139" localSheetId="30">#REF!</definedName>
    <definedName name="_000139" localSheetId="34">#REF!</definedName>
    <definedName name="_000139">#REF!</definedName>
    <definedName name="_00103工资及附加费" localSheetId="35">#REF!</definedName>
    <definedName name="_00103工资及附加费" localSheetId="31">#REF!</definedName>
    <definedName name="_00103工资及附加费" localSheetId="33">#REF!</definedName>
    <definedName name="_00103工资及附加费">#REF!</definedName>
    <definedName name="_0013600" localSheetId="35">#REF!</definedName>
    <definedName name="_0013600" localSheetId="31">#REF!</definedName>
    <definedName name="_0013600" localSheetId="37">#REF!</definedName>
    <definedName name="_0013600" localSheetId="36">#REF!</definedName>
    <definedName name="_0013600" localSheetId="30">#REF!</definedName>
    <definedName name="_0013600" localSheetId="34">#REF!</definedName>
    <definedName name="_0013600">#REF!</definedName>
    <definedName name="_012月" localSheetId="31">#REF!</definedName>
    <definedName name="_012月" localSheetId="33">#REF!</definedName>
    <definedName name="_012月">#REF!</definedName>
    <definedName name="_0136" localSheetId="31">#REF!</definedName>
    <definedName name="_0136" localSheetId="33">#REF!</definedName>
    <definedName name="_0136">#REF!</definedName>
    <definedName name="_0139" localSheetId="31">#REF!</definedName>
    <definedName name="_0139" localSheetId="33">#REF!</definedName>
    <definedName name="_0139">#REF!</definedName>
    <definedName name="_0170608" localSheetId="31">#REF!</definedName>
    <definedName name="_0170608">#REF!</definedName>
    <definedName name="_02制造费用" localSheetId="31">#REF!</definedName>
    <definedName name="_02制造费用" localSheetId="33">#REF!</definedName>
    <definedName name="_02制造费用">#REF!</definedName>
    <definedName name="_02差异" localSheetId="31">#REF!</definedName>
    <definedName name="_02差异" localSheetId="33">#REF!</definedName>
    <definedName name="_02差异">#REF!</definedName>
    <definedName name="_02标准" localSheetId="31">#REF!</definedName>
    <definedName name="_02标准" localSheetId="33">#REF!</definedName>
    <definedName name="_02标准">#REF!</definedName>
    <definedName name="_03差异" localSheetId="31">#REF!</definedName>
    <definedName name="_03差异" localSheetId="33">#REF!</definedName>
    <definedName name="_03差异">#REF!</definedName>
    <definedName name="_03标准" localSheetId="31">#REF!</definedName>
    <definedName name="_03标准" localSheetId="33">#REF!</definedName>
    <definedName name="_03标准">#REF!</definedName>
    <definedName name="_03费用" localSheetId="31">#REF!</definedName>
    <definedName name="_03费用" localSheetId="33">#REF!</definedName>
    <definedName name="_03费用">#REF!</definedName>
    <definedName name="_04" localSheetId="31">#REF!</definedName>
    <definedName name="_04">#REF!</definedName>
    <definedName name="_04372_09" localSheetId="31">#REF!</definedName>
    <definedName name="_04372_09">#REF!</definedName>
    <definedName name="_04373_00" localSheetId="31">#REF!</definedName>
    <definedName name="_04373_00">#REF!</definedName>
    <definedName name="_04差异" localSheetId="31">#REF!</definedName>
    <definedName name="_04差异" localSheetId="33">#REF!</definedName>
    <definedName name="_04差异">#REF!</definedName>
    <definedName name="_04标准" localSheetId="31">#REF!</definedName>
    <definedName name="_04标准" localSheetId="33">#REF!</definedName>
    <definedName name="_04标准">#REF!</definedName>
    <definedName name="_050202" localSheetId="31">#REF!</definedName>
    <definedName name="_050202" localSheetId="33">#REF!</definedName>
    <definedName name="_050202">#REF!</definedName>
    <definedName name="_05B箱体差异" localSheetId="31">#REF!</definedName>
    <definedName name="_05B箱体差异" localSheetId="33">#REF!</definedName>
    <definedName name="_05B箱体差异">#REF!</definedName>
    <definedName name="_05B箱体材料" localSheetId="31">#REF!</definedName>
    <definedName name="_05B箱体材料" localSheetId="33">#REF!</definedName>
    <definedName name="_05B箱体材料">#REF!</definedName>
    <definedName name="_05G机差异" localSheetId="31">#REF!</definedName>
    <definedName name="_05G机差异" localSheetId="33">#REF!</definedName>
    <definedName name="_05G机差异">#REF!</definedName>
    <definedName name="_05G机材料" localSheetId="31">#REF!</definedName>
    <definedName name="_05G机材料" localSheetId="33">#REF!</definedName>
    <definedName name="_05G机材料">#REF!</definedName>
    <definedName name="_05G箱体差异" localSheetId="31">#REF!</definedName>
    <definedName name="_05G箱体差异" localSheetId="33">#REF!</definedName>
    <definedName name="_05G箱体差异">#REF!</definedName>
    <definedName name="_05G箱体材料" localSheetId="31">#REF!</definedName>
    <definedName name="_05G箱体材料" localSheetId="33">#REF!</definedName>
    <definedName name="_05G箱体材料">#REF!</definedName>
    <definedName name="_05Q机差异" localSheetId="31">#REF!</definedName>
    <definedName name="_05Q机差异" localSheetId="33">#REF!</definedName>
    <definedName name="_05Q机差异">#REF!</definedName>
    <definedName name="_05Q机材料" localSheetId="31">#REF!</definedName>
    <definedName name="_05Q机材料" localSheetId="33">#REF!</definedName>
    <definedName name="_05Q机材料">#REF!</definedName>
    <definedName name="_05吹塑差异" localSheetId="31">#REF!</definedName>
    <definedName name="_05吹塑差异" localSheetId="33">#REF!</definedName>
    <definedName name="_05吹塑差异">#REF!</definedName>
    <definedName name="_05吹塑材料" localSheetId="31">#REF!</definedName>
    <definedName name="_05吹塑材料" localSheetId="33">#REF!</definedName>
    <definedName name="_05吹塑材料">#REF!</definedName>
    <definedName name="_05差异" localSheetId="31">#REF!</definedName>
    <definedName name="_05差异" localSheetId="33">#REF!</definedName>
    <definedName name="_05差异">#REF!</definedName>
    <definedName name="_05月" localSheetId="31">#REF!</definedName>
    <definedName name="_05月" localSheetId="33">#REF!</definedName>
    <definedName name="_05月">#REF!</definedName>
    <definedName name="_05标准" localSheetId="31">#REF!</definedName>
    <definedName name="_05标准" localSheetId="33">#REF!</definedName>
    <definedName name="_05标准">#REF!</definedName>
    <definedName name="_05注塑差异" localSheetId="31">#REF!</definedName>
    <definedName name="_05注塑差异" localSheetId="33">#REF!</definedName>
    <definedName name="_05注塑差异">#REF!</definedName>
    <definedName name="_05注塑材料" localSheetId="31">#REF!</definedName>
    <definedName name="_05注塑材料" localSheetId="33">#REF!</definedName>
    <definedName name="_05注塑材料">#REF!</definedName>
    <definedName name="_05费用" localSheetId="31">#REF!</definedName>
    <definedName name="_05费用" localSheetId="33">#REF!</definedName>
    <definedName name="_05费用">#REF!</definedName>
    <definedName name="_06差异" localSheetId="31">#REF!</definedName>
    <definedName name="_06差异" localSheetId="33">#REF!</definedName>
    <definedName name="_06差异">#REF!</definedName>
    <definedName name="_06月" localSheetId="31">#REF!</definedName>
    <definedName name="_06月" localSheetId="33">#REF!</definedName>
    <definedName name="_06月">#REF!</definedName>
    <definedName name="_06月差异" localSheetId="31">#REF!</definedName>
    <definedName name="_06月差异" localSheetId="33">#REF!</definedName>
    <definedName name="_06月差异">#REF!</definedName>
    <definedName name="_06月材料" localSheetId="31">#REF!</definedName>
    <definedName name="_06月材料" localSheetId="33">#REF!</definedName>
    <definedName name="_06月材料">#REF!</definedName>
    <definedName name="_06标准" localSheetId="31">#REF!</definedName>
    <definedName name="_06标准" localSheetId="33">#REF!</definedName>
    <definedName name="_06标准">#REF!</definedName>
    <definedName name="_06费用" localSheetId="31">#REF!</definedName>
    <definedName name="_06费用" localSheetId="33">#REF!</definedName>
    <definedName name="_06费用">#REF!</definedName>
    <definedName name="_07制造费用" localSheetId="31">#REF!</definedName>
    <definedName name="_07制造费用" localSheetId="33">#REF!</definedName>
    <definedName name="_07制造费用">#REF!</definedName>
    <definedName name="_07差异" localSheetId="31">#REF!</definedName>
    <definedName name="_07差异" localSheetId="33">#REF!</definedName>
    <definedName name="_07差异">#REF!</definedName>
    <definedName name="_07材料" localSheetId="31">#REF!</definedName>
    <definedName name="_07材料" localSheetId="33">#REF!</definedName>
    <definedName name="_07材料">#REF!</definedName>
    <definedName name="_07费用" localSheetId="31">#REF!</definedName>
    <definedName name="_07费用" localSheetId="33">#REF!</definedName>
    <definedName name="_07费用">#REF!</definedName>
    <definedName name="_08制造费用" localSheetId="31">#REF!</definedName>
    <definedName name="_08制造费用" localSheetId="33">#REF!</definedName>
    <definedName name="_08制造费用">#REF!</definedName>
    <definedName name="_08差异" localSheetId="31">#REF!</definedName>
    <definedName name="_08差异" localSheetId="33">#REF!</definedName>
    <definedName name="_08差异">#REF!</definedName>
    <definedName name="_08标准" localSheetId="31">#REF!</definedName>
    <definedName name="_08标准" localSheetId="33">#REF!</definedName>
    <definedName name="_08标准">#REF!</definedName>
    <definedName name="_09" localSheetId="31">#REF!</definedName>
    <definedName name="_09">#REF!</definedName>
    <definedName name="_0901" localSheetId="31">#REF!</definedName>
    <definedName name="_0901">#REF!</definedName>
    <definedName name="_0902" localSheetId="31">#REF!</definedName>
    <definedName name="_0902">#REF!</definedName>
    <definedName name="_0903" localSheetId="31">#REF!</definedName>
    <definedName name="_0903">#REF!</definedName>
    <definedName name="_0904" localSheetId="31">#REF!</definedName>
    <definedName name="_0904">#REF!</definedName>
    <definedName name="_0910制造费用" localSheetId="31">#REF!</definedName>
    <definedName name="_0910制造费用" localSheetId="33">#REF!</definedName>
    <definedName name="_0910制造费用">#REF!</definedName>
    <definedName name="_09制造费用" localSheetId="31">#REF!</definedName>
    <definedName name="_09制造费用" localSheetId="33">#REF!</definedName>
    <definedName name="_09制造费用">#REF!</definedName>
    <definedName name="_09差异" localSheetId="31">#REF!</definedName>
    <definedName name="_09差异" localSheetId="33">#REF!</definedName>
    <definedName name="_09差异">#REF!</definedName>
    <definedName name="_09标准" localSheetId="31">#REF!</definedName>
    <definedName name="_09标准" localSheetId="33">#REF!</definedName>
    <definedName name="_09标准">#REF!</definedName>
    <definedName name="_09销售" localSheetId="31">#REF!</definedName>
    <definedName name="_09销售">#REF!</definedName>
    <definedName name="_0出口机" localSheetId="31">#REF!</definedName>
    <definedName name="_0出口机" localSheetId="33">#REF!</definedName>
    <definedName name="_0出口机">#REF!</definedName>
    <definedName name="_1">#N/A</definedName>
    <definedName name="_1__123Graph_ACHART_1" hidden="1">#N/A</definedName>
    <definedName name="_1__123Graph_ACHART_3" localSheetId="35" hidden="1">#REF!</definedName>
    <definedName name="_1__123Graph_ACHART_3" localSheetId="31" hidden="1">#REF!</definedName>
    <definedName name="_1__123Graph_ACHART_3" hidden="1">#REF!</definedName>
    <definedName name="_1_0_S" localSheetId="31" hidden="1">#REF!</definedName>
    <definedName name="_1_0_S" hidden="1">#REF!</definedName>
    <definedName name="_1_0LOT_" localSheetId="31">#REF!</definedName>
    <definedName name="_1_0LOT_">#REF!</definedName>
    <definedName name="_1_119_7">#REF!</definedName>
    <definedName name="_1_231060302固话" localSheetId="31">#REF!</definedName>
    <definedName name="_1_231060302固话" localSheetId="33">#REF!</definedName>
    <definedName name="_1_231060302固话">#REF!</definedName>
    <definedName name="_10__123Graph_LBL_ACHART_2" localSheetId="31" hidden="1">#REF!</definedName>
    <definedName name="_10__123Graph_LBL_ACHART_2" hidden="1">#REF!</definedName>
    <definedName name="_10_2" localSheetId="31">#REF!</definedName>
    <definedName name="_10_2" localSheetId="33">#REF!</definedName>
    <definedName name="_10_2">#REF!</definedName>
    <definedName name="_10_231060505出差补助" localSheetId="31">#REF!</definedName>
    <definedName name="_10_231060505出差补助" localSheetId="33">#REF!</definedName>
    <definedName name="_10_231060505出差补助">#REF!</definedName>
    <definedName name="_100_PV" localSheetId="31">#REF!</definedName>
    <definedName name="_100_PV">#REF!</definedName>
    <definedName name="_100_SVI" localSheetId="31">#REF!</definedName>
    <definedName name="_100_SVI">#REF!</definedName>
    <definedName name="_1000_XM" localSheetId="31">#REF!</definedName>
    <definedName name="_1000_XM">#REF!</definedName>
    <definedName name="_1000A01">#N/A</definedName>
    <definedName name="_1001" localSheetId="31">#REF!</definedName>
    <definedName name="_1001">#REF!</definedName>
    <definedName name="_1002" localSheetId="31">#REF!</definedName>
    <definedName name="_1002">#REF!</definedName>
    <definedName name="_1003" localSheetId="31">#REF!</definedName>
    <definedName name="_1003">#REF!</definedName>
    <definedName name="_1005" localSheetId="31">#REF!</definedName>
    <definedName name="_1005">#REF!</definedName>
    <definedName name="_1006" localSheetId="31">#REF!</definedName>
    <definedName name="_1006">#REF!</definedName>
    <definedName name="_1007" localSheetId="31">#REF!</definedName>
    <definedName name="_1007">#REF!</definedName>
    <definedName name="_10IV19999_" localSheetId="31">#REF!</definedName>
    <definedName name="_10IV19999_" localSheetId="33">#REF!</definedName>
    <definedName name="_10IV19999_">#REF!</definedName>
    <definedName name="_10THAØNH_TIEÀN" localSheetId="31">#REF!</definedName>
    <definedName name="_10THAØNH_TIEÀN" localSheetId="33">#REF!</definedName>
    <definedName name="_10THAØNH_TIEÀN">#REF!</definedName>
    <definedName name="_10差异" localSheetId="31">#REF!</definedName>
    <definedName name="_10差异" localSheetId="33">#REF!</definedName>
    <definedName name="_10差异">#REF!</definedName>
    <definedName name="_10标准" localSheetId="31">#REF!</definedName>
    <definedName name="_10标准" localSheetId="33">#REF!</definedName>
    <definedName name="_10标准">#REF!</definedName>
    <definedName name="_10预提" localSheetId="31">#REF!</definedName>
    <definedName name="_10预提">#REF!</definedName>
    <definedName name="_11__123Graph_LBL_ACHART_3" localSheetId="31" hidden="1">#REF!</definedName>
    <definedName name="_11__123Graph_LBL_ACHART_3" hidden="1">#REF!</definedName>
    <definedName name="_11_231060506住宿费" localSheetId="31">#REF!</definedName>
    <definedName name="_11_231060506住宿费" localSheetId="33">#REF!</definedName>
    <definedName name="_11_231060506住宿费">#REF!</definedName>
    <definedName name="_1101" localSheetId="31">#REF!</definedName>
    <definedName name="_1101">#REF!</definedName>
    <definedName name="_1102" localSheetId="31">#REF!</definedName>
    <definedName name="_1102">#REF!</definedName>
    <definedName name="_1103" localSheetId="31">#REF!</definedName>
    <definedName name="_1103">#REF!</definedName>
    <definedName name="_1104" localSheetId="31">#REF!</definedName>
    <definedName name="_1104">#REF!</definedName>
    <definedName name="_1105" localSheetId="31">#REF!</definedName>
    <definedName name="_1105">#REF!</definedName>
    <definedName name="_111" localSheetId="31">#REF!</definedName>
    <definedName name="_111" localSheetId="33">#REF!</definedName>
    <definedName name="_111">#REF!</definedName>
    <definedName name="_11IV20000_" localSheetId="31">#REF!</definedName>
    <definedName name="_11IV20000_" localSheetId="33">#REF!</definedName>
    <definedName name="_11IV20000_">#REF!</definedName>
    <definedName name="_11TRÒ_GIAÙ" localSheetId="31">#REF!</definedName>
    <definedName name="_11TRÒ_GIAÙ" localSheetId="33">#REF!</definedName>
    <definedName name="_11TRÒ_GIAÙ">#REF!</definedName>
    <definedName name="_11差异" localSheetId="31">#REF!</definedName>
    <definedName name="_11差异" localSheetId="33">#REF!</definedName>
    <definedName name="_11差异">#REF!</definedName>
    <definedName name="_11月费用" localSheetId="31">#REF!</definedName>
    <definedName name="_11月费用" localSheetId="33">#REF!</definedName>
    <definedName name="_11月费用">#REF!</definedName>
    <definedName name="_11标准" localSheetId="31">#REF!</definedName>
    <definedName name="_11标准" localSheetId="33">#REF!</definedName>
    <definedName name="_11标准">#REF!</definedName>
    <definedName name="_12__123Graph_LBL_DCHART_1" hidden="1">#N/A</definedName>
    <definedName name="_12_231060510杂费" localSheetId="31">#REF!</definedName>
    <definedName name="_12_231060510杂费" localSheetId="33">#REF!</definedName>
    <definedName name="_12_231060510杂费">#REF!</definedName>
    <definedName name="_1201" localSheetId="31">#REF!</definedName>
    <definedName name="_1201">#REF!</definedName>
    <definedName name="_1202" localSheetId="31">#REF!</definedName>
    <definedName name="_1202">#REF!</definedName>
    <definedName name="_1203" localSheetId="31">#REF!</definedName>
    <definedName name="_1203">#REF!</definedName>
    <definedName name="_123" localSheetId="31">#REF!</definedName>
    <definedName name="_123">#REF!</definedName>
    <definedName name="_12IV60000_" localSheetId="31">#REF!</definedName>
    <definedName name="_12IV60000_" localSheetId="33">#REF!</definedName>
    <definedName name="_12IV60000_">#REF!</definedName>
    <definedName name="_12TRÒ_GIAÙ__VAT" localSheetId="31">#REF!</definedName>
    <definedName name="_12TRÒ_GIAÙ__VAT" localSheetId="33">#REF!</definedName>
    <definedName name="_12TRÒ_GIAÙ__VAT">#REF!</definedName>
    <definedName name="_12月差异" localSheetId="31">#REF!</definedName>
    <definedName name="_12月差异" localSheetId="33">#REF!</definedName>
    <definedName name="_12月差异">#REF!</definedName>
    <definedName name="_12月费用" localSheetId="31">#REF!</definedName>
    <definedName name="_12月费用" localSheetId="33">#REF!</definedName>
    <definedName name="_12月费用">#REF!</definedName>
    <definedName name="_12标准" localSheetId="31">#REF!</definedName>
    <definedName name="_12标准" localSheetId="33">#REF!</definedName>
    <definedName name="_12标准">#REF!</definedName>
    <definedName name="_13__123Graph_LBL_DCHART_2" localSheetId="31" hidden="1">#REF!</definedName>
    <definedName name="_13__123Graph_LBL_DCHART_2" hidden="1">#REF!</definedName>
    <definedName name="_13_231060601至经营部运费" localSheetId="31">#REF!</definedName>
    <definedName name="_13_231060601至经营部运费" localSheetId="33">#REF!</definedName>
    <definedName name="_13_231060601至经营部运费">#REF!</definedName>
    <definedName name="_136_出口滚筒" localSheetId="31">#REF!</definedName>
    <definedName name="_136_出口滚筒" localSheetId="33">#REF!</definedName>
    <definedName name="_136_出口滚筒">#REF!</definedName>
    <definedName name="_136产成" localSheetId="31">#REF!</definedName>
    <definedName name="_136产成" localSheetId="33">#REF!</definedName>
    <definedName name="_136产成">#REF!</definedName>
    <definedName name="_136产成品" localSheetId="31">#REF!</definedName>
    <definedName name="_136产成品" localSheetId="33">#REF!</definedName>
    <definedName name="_136产成品">#REF!</definedName>
    <definedName name="_136产成品12" localSheetId="31">#REF!</definedName>
    <definedName name="_136产成品12" localSheetId="33">#REF!</definedName>
    <definedName name="_136产成品12">#REF!</definedName>
    <definedName name="_136产成品12月" localSheetId="31">#REF!</definedName>
    <definedName name="_136产成品12月" localSheetId="33">#REF!</definedName>
    <definedName name="_136产成品12月">#REF!</definedName>
    <definedName name="_136产成品出口机仓库" localSheetId="31">#REF!</definedName>
    <definedName name="_136产成品出口机仓库" localSheetId="33">#REF!</definedName>
    <definedName name="_136产成品出口机仓库">#REF!</definedName>
    <definedName name="_136出口" localSheetId="35">#REF!</definedName>
    <definedName name="_136出口" localSheetId="31">#REF!</definedName>
    <definedName name="_136出口" localSheetId="37">#REF!</definedName>
    <definedName name="_136出口" localSheetId="36">#REF!</definedName>
    <definedName name="_136出口" localSheetId="30">#REF!</definedName>
    <definedName name="_136出口" localSheetId="34">#REF!</definedName>
    <definedName name="_136出口">#REF!</definedName>
    <definedName name="_136出口1" localSheetId="31">#REF!</definedName>
    <definedName name="_136出口1" localSheetId="33">#REF!</definedName>
    <definedName name="_136出口1">#REF!</definedName>
    <definedName name="_136出口仓" localSheetId="35">#REF!</definedName>
    <definedName name="_136出口仓" localSheetId="31">#REF!</definedName>
    <definedName name="_136出口仓" localSheetId="37">#REF!</definedName>
    <definedName name="_136出口仓" localSheetId="36">#REF!</definedName>
    <definedName name="_136出口仓" localSheetId="30">#REF!</definedName>
    <definedName name="_136出口仓" localSheetId="34">#REF!</definedName>
    <definedName name="_136出口仓">#REF!</definedName>
    <definedName name="_136出口仓库" localSheetId="31">#REF!</definedName>
    <definedName name="_136出口仓库" localSheetId="33">#REF!</definedName>
    <definedName name="_136出口仓库">#REF!</definedName>
    <definedName name="_136出口机" localSheetId="35">#REF!</definedName>
    <definedName name="_136出口机" localSheetId="31">#REF!</definedName>
    <definedName name="_136出口机" localSheetId="37">#REF!</definedName>
    <definedName name="_136出口机" localSheetId="36">#REF!</definedName>
    <definedName name="_136出口机" localSheetId="30">#REF!</definedName>
    <definedName name="_136出口机" localSheetId="34">#REF!</definedName>
    <definedName name="_136出口机">#REF!</definedName>
    <definedName name="_136出口机仓" localSheetId="35">#REF!</definedName>
    <definedName name="_136出口机仓" localSheetId="31">#REF!</definedName>
    <definedName name="_136出口机仓" localSheetId="37">#REF!</definedName>
    <definedName name="_136出口机仓" localSheetId="36">#REF!</definedName>
    <definedName name="_136出口机仓" localSheetId="30">#REF!</definedName>
    <definedName name="_136出口机仓" localSheetId="34">#REF!</definedName>
    <definedName name="_136出口机仓">#REF!</definedName>
    <definedName name="_136出口机仓库12" localSheetId="31">#REF!</definedName>
    <definedName name="_136出口机仓库12" localSheetId="33">#REF!</definedName>
    <definedName name="_136出口机仓库12">#REF!</definedName>
    <definedName name="_136出口机仓库12月" localSheetId="31">#REF!</definedName>
    <definedName name="_136出口机仓库12月" localSheetId="33">#REF!</definedName>
    <definedName name="_136出口机仓库12月">#REF!</definedName>
    <definedName name="_136出口机仓新" localSheetId="31">#REF!</definedName>
    <definedName name="_136出口机仓新" localSheetId="33">#REF!</definedName>
    <definedName name="_136出口机仓新">#REF!</definedName>
    <definedName name="_137" localSheetId="31">#REF!</definedName>
    <definedName name="_137" localSheetId="33">#REF!</definedName>
    <definedName name="_137">#REF!</definedName>
    <definedName name="_1370101" localSheetId="31">#REF!</definedName>
    <definedName name="_1370101" localSheetId="33">#REF!</definedName>
    <definedName name="_1370101">#REF!</definedName>
    <definedName name="_1370202" localSheetId="31">#REF!</definedName>
    <definedName name="_1370202" localSheetId="33">#REF!</definedName>
    <definedName name="_1370202">#REF!</definedName>
    <definedName name="_13703" localSheetId="31">#REF!</definedName>
    <definedName name="_13703" localSheetId="33">#REF!</definedName>
    <definedName name="_13703">#REF!</definedName>
    <definedName name="_139" localSheetId="31">#REF!</definedName>
    <definedName name="_139" localSheetId="33">#REF!</definedName>
    <definedName name="_139">#REF!</definedName>
    <definedName name="_139产成品12月" localSheetId="31">#REF!</definedName>
    <definedName name="_139产成品12月" localSheetId="33">#REF!</definedName>
    <definedName name="_139产成品12月">#REF!</definedName>
    <definedName name="_139产成品发出" localSheetId="35">#REF!</definedName>
    <definedName name="_139产成品发出" localSheetId="31">#REF!</definedName>
    <definedName name="_139产成品发出" localSheetId="37">#REF!</definedName>
    <definedName name="_139产成品发出" localSheetId="36">#REF!</definedName>
    <definedName name="_139产成品发出" localSheetId="30">#REF!</definedName>
    <definedName name="_139产成品发出" localSheetId="34">#REF!</definedName>
    <definedName name="_139产成品发出">#REF!</definedName>
    <definedName name="_139发出" localSheetId="35">#REF!</definedName>
    <definedName name="_139发出" localSheetId="31">#REF!</definedName>
    <definedName name="_139发出" localSheetId="37">#REF!</definedName>
    <definedName name="_139发出" localSheetId="36">#REF!</definedName>
    <definedName name="_139发出" localSheetId="30">#REF!</definedName>
    <definedName name="_139发出" localSheetId="34">#REF!</definedName>
    <definedName name="_139发出">#REF!</definedName>
    <definedName name="_139发出12" localSheetId="31">#REF!</definedName>
    <definedName name="_139发出12" localSheetId="33">#REF!</definedName>
    <definedName name="_139发出12">#REF!</definedName>
    <definedName name="_139发出12月" localSheetId="31">#REF!</definedName>
    <definedName name="_139发出12月" localSheetId="33">#REF!</definedName>
    <definedName name="_139发出12月">#REF!</definedName>
    <definedName name="_139发出商品" localSheetId="31">#REF!</definedName>
    <definedName name="_139发出商品" localSheetId="33">#REF!</definedName>
    <definedName name="_139发出商品">#REF!</definedName>
    <definedName name="_13MAÕ_HAØNG" localSheetId="31">#REF!</definedName>
    <definedName name="_13MAÕ_HAØNG" localSheetId="33">#REF!</definedName>
    <definedName name="_13MAÕ_HAØNG">#REF!</definedName>
    <definedName name="_14__123Graph_XCHART_2" localSheetId="31" hidden="1">#REF!</definedName>
    <definedName name="_14__123Graph_XCHART_2" hidden="1">#REF!</definedName>
    <definedName name="_14_231060604其他运费" localSheetId="31">#REF!</definedName>
    <definedName name="_14_231060604其他运费" localSheetId="33">#REF!</definedName>
    <definedName name="_14_231060604其他运费">#REF!</definedName>
    <definedName name="_145110" localSheetId="31">#REF!</definedName>
    <definedName name="_145110">#REF!</definedName>
    <definedName name="_14MAÕ_SOÁ_THUEÁ" localSheetId="31">#REF!</definedName>
    <definedName name="_14MAÕ_SOÁ_THUEÁ" localSheetId="33">#REF!</definedName>
    <definedName name="_14MAÕ_SOÁ_THUEÁ">#REF!</definedName>
    <definedName name="_15_231060605至客户运费" localSheetId="31">#REF!</definedName>
    <definedName name="_15_231060605至客户运费" localSheetId="33">#REF!</definedName>
    <definedName name="_15_231060605至客户运费">#REF!</definedName>
    <definedName name="_15ÑÔN_GIAÙ" localSheetId="31">#REF!</definedName>
    <definedName name="_15ÑÔN_GIAÙ" localSheetId="33">#REF!</definedName>
    <definedName name="_15ÑÔN_GIAÙ">#REF!</definedName>
    <definedName name="_16_231060701赠送品" localSheetId="31">#REF!</definedName>
    <definedName name="_16_231060701赠送品" localSheetId="33">#REF!</definedName>
    <definedName name="_16_231060701赠送品">#REF!</definedName>
    <definedName name="_160201" localSheetId="31">#REF!</definedName>
    <definedName name="_160201">#REF!</definedName>
    <definedName name="_160202" localSheetId="31">#REF!</definedName>
    <definedName name="_160202">#REF!</definedName>
    <definedName name="_160203" localSheetId="31">#REF!</definedName>
    <definedName name="_160203">#REF!</definedName>
    <definedName name="_160402" localSheetId="31">#REF!</definedName>
    <definedName name="_160402">#REF!</definedName>
    <definedName name="_162460" localSheetId="31">#REF!</definedName>
    <definedName name="_162460">#REF!</definedName>
    <definedName name="_16SOÁ_CTÖØ" localSheetId="31">#REF!</definedName>
    <definedName name="_16SOÁ_CTÖØ" localSheetId="33">#REF!</definedName>
    <definedName name="_16SOÁ_CTÖØ">#REF!</definedName>
    <definedName name="_17_231060702促销活动费" localSheetId="31">#REF!</definedName>
    <definedName name="_17_231060702促销活动费" localSheetId="33">#REF!</definedName>
    <definedName name="_17_231060702促销活动费">#REF!</definedName>
    <definedName name="_170_LIGHT" localSheetId="31">#REF!</definedName>
    <definedName name="_170_LIGHT">#REF!</definedName>
    <definedName name="_170_PV" localSheetId="31">#REF!</definedName>
    <definedName name="_170_PV">#REF!</definedName>
    <definedName name="_171015" localSheetId="31">#REF!</definedName>
    <definedName name="_171015">#REF!</definedName>
    <definedName name="_171064" localSheetId="31">#REF!</definedName>
    <definedName name="_171064">#REF!</definedName>
    <definedName name="_171066" localSheetId="31">#REF!</definedName>
    <definedName name="_171066">#REF!</definedName>
    <definedName name="_171068" localSheetId="31">#REF!</definedName>
    <definedName name="_171068">#REF!</definedName>
    <definedName name="_171510" localSheetId="31">#REF!</definedName>
    <definedName name="_171510">#REF!</definedName>
    <definedName name="_171562" localSheetId="31">#REF!</definedName>
    <definedName name="_171562">#REF!</definedName>
    <definedName name="_172012" localSheetId="31">#REF!</definedName>
    <definedName name="_172012">#REF!</definedName>
    <definedName name="_172020" localSheetId="31">#REF!</definedName>
    <definedName name="_172020">#REF!</definedName>
    <definedName name="_172022" localSheetId="31">#REF!</definedName>
    <definedName name="_172022">#REF!</definedName>
    <definedName name="_172062" localSheetId="31">#REF!</definedName>
    <definedName name="_172062">#REF!</definedName>
    <definedName name="_172510" localSheetId="31">#REF!</definedName>
    <definedName name="_172510">#REF!</definedName>
    <definedName name="_172610" localSheetId="31">#REF!</definedName>
    <definedName name="_172610">#REF!</definedName>
    <definedName name="_176072" localSheetId="31">#REF!</definedName>
    <definedName name="_176072">#REF!</definedName>
    <definedName name="_17SOÁ_LÖÔÏNG" localSheetId="31">#REF!</definedName>
    <definedName name="_17SOÁ_LÖÔÏNG" localSheetId="33">#REF!</definedName>
    <definedName name="_17SOÁ_LÖÔÏNG">#REF!</definedName>
    <definedName name="_18_2310608办公室租金" localSheetId="31">#REF!</definedName>
    <definedName name="_18_2310608办公室租金" localSheetId="33">#REF!</definedName>
    <definedName name="_18_2310608办公室租金">#REF!</definedName>
    <definedName name="_19_2310609贴息费用" localSheetId="31">#REF!</definedName>
    <definedName name="_19_2310609贴息费用" localSheetId="33">#REF!</definedName>
    <definedName name="_19_2310609贴息费用">#REF!</definedName>
    <definedName name="_19T02_" localSheetId="4">{"Book1"}</definedName>
    <definedName name="_19T02_" localSheetId="35">{"Book1"}</definedName>
    <definedName name="_19T02_" localSheetId="31">{"Book1"}</definedName>
    <definedName name="_19T02_" localSheetId="37">{"Book1"}</definedName>
    <definedName name="_19T02_" localSheetId="38">{"Book1"}</definedName>
    <definedName name="_19T02_" localSheetId="7">{"Book1"}</definedName>
    <definedName name="_19T02_" localSheetId="36">{"Book1"}</definedName>
    <definedName name="_19T02_" localSheetId="21">{"Book1"}</definedName>
    <definedName name="_19T02_" localSheetId="30">{"Book1"}</definedName>
    <definedName name="_19T02_" localSheetId="34">{"Book1"}</definedName>
    <definedName name="_19T02_" localSheetId="33">{"Book1"}</definedName>
    <definedName name="_19T02_" localSheetId="6">{"Book1"}</definedName>
    <definedName name="_19T02_">{"Book1"}</definedName>
    <definedName name="_1BA2500" localSheetId="33">#REF!</definedName>
    <definedName name="_1BA2500">#REF!</definedName>
    <definedName name="_1BA3250" localSheetId="31">#REF!</definedName>
    <definedName name="_1BA3250" localSheetId="33">#REF!</definedName>
    <definedName name="_1BA3250">#REF!</definedName>
    <definedName name="_1BA400P" localSheetId="31">#REF!</definedName>
    <definedName name="_1BA400P" localSheetId="33">#REF!</definedName>
    <definedName name="_1BA400P">#REF!</definedName>
    <definedName name="_1CAP001" localSheetId="31">#REF!</definedName>
    <definedName name="_1CAP001" localSheetId="33">#REF!</definedName>
    <definedName name="_1CAP001">#REF!</definedName>
    <definedName name="_1CAP011" localSheetId="31">#REF!</definedName>
    <definedName name="_1CAP011" localSheetId="33">#REF!</definedName>
    <definedName name="_1CAP011">#REF!</definedName>
    <definedName name="_1CAP012" localSheetId="31">#REF!</definedName>
    <definedName name="_1CAP012" localSheetId="33">#REF!</definedName>
    <definedName name="_1CAP012">#REF!</definedName>
    <definedName name="_1CDHT03" localSheetId="31">#REF!</definedName>
    <definedName name="_1CDHT03" localSheetId="33">#REF!</definedName>
    <definedName name="_1CDHT03">#REF!</definedName>
    <definedName name="_1CHANG2" localSheetId="31">#REF!</definedName>
    <definedName name="_1CHANG2" localSheetId="33">#REF!</definedName>
    <definedName name="_1CHANG2">#REF!</definedName>
    <definedName name="_1DADOI1" localSheetId="31">#REF!</definedName>
    <definedName name="_1DADOI1" localSheetId="33">#REF!</definedName>
    <definedName name="_1DADOI1">#REF!</definedName>
    <definedName name="_1DAU002" localSheetId="31">#REF!</definedName>
    <definedName name="_1DAU002" localSheetId="33">#REF!</definedName>
    <definedName name="_1DAU002">#REF!</definedName>
    <definedName name="_1DDAY03" localSheetId="31">#REF!</definedName>
    <definedName name="_1DDAY03" localSheetId="33">#REF!</definedName>
    <definedName name="_1DDAY03">#REF!</definedName>
    <definedName name="_1DDTT01" localSheetId="31">#REF!</definedName>
    <definedName name="_1DDTT01" localSheetId="33">#REF!</definedName>
    <definedName name="_1DDTT01">#REF!</definedName>
    <definedName name="_1FCO101" localSheetId="31">#REF!</definedName>
    <definedName name="_1FCO101" localSheetId="33">#REF!</definedName>
    <definedName name="_1FCO101">#REF!</definedName>
    <definedName name="_1GIA101" localSheetId="31">#REF!</definedName>
    <definedName name="_1GIA101" localSheetId="33">#REF!</definedName>
    <definedName name="_1GIA101">#REF!</definedName>
    <definedName name="_1LA1001" localSheetId="31">#REF!</definedName>
    <definedName name="_1LA1001" localSheetId="33">#REF!</definedName>
    <definedName name="_1LA1001">#REF!</definedName>
    <definedName name="_1LP" localSheetId="31">#REF!</definedName>
    <definedName name="_1LP" localSheetId="33">#REF!</definedName>
    <definedName name="_1LP">#REF!</definedName>
    <definedName name="_1MCCBO2" localSheetId="31">#REF!</definedName>
    <definedName name="_1MCCBO2" localSheetId="33">#REF!</definedName>
    <definedName name="_1MCCBO2">#REF!</definedName>
    <definedName name="_1Personal_Einga_e" localSheetId="35">#REF!,#REF!,#REF!,#REF!,#REF!,#REF!,#REF!,#REF!,#REF!,#REF!,#REF!,#REF!,#REF!</definedName>
    <definedName name="_1Personal_Einga_e" localSheetId="31">#REF!,#REF!,#REF!,#REF!,#REF!,#REF!,#REF!,#REF!,#REF!,#REF!,#REF!,#REF!,#REF!</definedName>
    <definedName name="_1Personal_Einga_e" localSheetId="33">#REF!,#REF!,#REF!,#REF!,#REF!,#REF!,#REF!,#REF!,#REF!,#REF!,#REF!,#REF!,#REF!</definedName>
    <definedName name="_1Personal_Einga_e">#REF!,#REF!,#REF!,#REF!,#REF!,#REF!,#REF!,#REF!,#REF!,#REF!,#REF!,#REF!,#REF!</definedName>
    <definedName name="_1PKCAP1" localSheetId="35">#REF!</definedName>
    <definedName name="_1PKCAP1" localSheetId="31">#REF!</definedName>
    <definedName name="_1PKCAP1" localSheetId="33">#REF!</definedName>
    <definedName name="_1PKCAP1">#REF!</definedName>
    <definedName name="_1PKIEN2" localSheetId="35">#REF!</definedName>
    <definedName name="_1PKIEN2" localSheetId="31">#REF!</definedName>
    <definedName name="_1PKIEN2" localSheetId="33">#REF!</definedName>
    <definedName name="_1PKIEN2">#REF!</definedName>
    <definedName name="_1PKTT01" localSheetId="35">#REF!</definedName>
    <definedName name="_1PKTT01" localSheetId="31">#REF!</definedName>
    <definedName name="_1PKTT01" localSheetId="33">#REF!</definedName>
    <definedName name="_1PKTT01">#REF!</definedName>
    <definedName name="_1TCD101" localSheetId="31">#REF!</definedName>
    <definedName name="_1TCD101" localSheetId="33">#REF!</definedName>
    <definedName name="_1TCD101">#REF!</definedName>
    <definedName name="_1TCD201" localSheetId="31">#REF!</definedName>
    <definedName name="_1TCD201" localSheetId="33">#REF!</definedName>
    <definedName name="_1TCD201">#REF!</definedName>
    <definedName name="_1TCD203" localSheetId="31">#REF!</definedName>
    <definedName name="_1TCD203" localSheetId="33">#REF!</definedName>
    <definedName name="_1TCD203">#REF!</definedName>
    <definedName name="_1TD2001" localSheetId="31">#REF!</definedName>
    <definedName name="_1TD2001" localSheetId="33">#REF!</definedName>
    <definedName name="_1TD2001">#REF!</definedName>
    <definedName name="_1TIHT01" localSheetId="31">#REF!</definedName>
    <definedName name="_1TIHT01" localSheetId="33">#REF!</definedName>
    <definedName name="_1TIHT01">#REF!</definedName>
    <definedName name="_1TIHT06" localSheetId="31">#REF!</definedName>
    <definedName name="_1TIHT06" localSheetId="33">#REF!</definedName>
    <definedName name="_1TIHT06">#REF!</definedName>
    <definedName name="_1TIHT07" localSheetId="31">#REF!</definedName>
    <definedName name="_1TIHT07" localSheetId="33">#REF!</definedName>
    <definedName name="_1TIHT07">#REF!</definedName>
    <definedName name="_1TRU121" localSheetId="31">#REF!</definedName>
    <definedName name="_1TRU121" localSheetId="33">#REF!</definedName>
    <definedName name="_1TRU121">#REF!</definedName>
    <definedName name="_1月" localSheetId="31">#REF!</definedName>
    <definedName name="_1月" localSheetId="33">#REF!</definedName>
    <definedName name="_1月">#REF!</definedName>
    <definedName name="_1月G机差异" localSheetId="31">#REF!</definedName>
    <definedName name="_1月G机差异" localSheetId="33">#REF!</definedName>
    <definedName name="_1月G机差异">#REF!</definedName>
    <definedName name="_1月G机标准" localSheetId="31">#REF!</definedName>
    <definedName name="_1月G机标准" localSheetId="33">#REF!</definedName>
    <definedName name="_1月G机标准">#REF!</definedName>
    <definedName name="_1月差异" localSheetId="31">#REF!</definedName>
    <definedName name="_1月差异" localSheetId="33">#REF!</definedName>
    <definedName name="_1月差异">#REF!</definedName>
    <definedName name="_1月总装波轮机差异" localSheetId="31">#REF!</definedName>
    <definedName name="_1月总装波轮机差异" localSheetId="33">#REF!</definedName>
    <definedName name="_1月总装波轮机差异">#REF!</definedName>
    <definedName name="_1月标准" localSheetId="31">#REF!</definedName>
    <definedName name="_1月标准" localSheetId="33">#REF!</definedName>
    <definedName name="_1月标准">#REF!</definedName>
    <definedName name="_1月波轮总装标准" localSheetId="31">#REF!</definedName>
    <definedName name="_1月波轮总装标准" localSheetId="33">#REF!</definedName>
    <definedName name="_1月波轮总装标准">#REF!</definedName>
    <definedName name="_1月直接" localSheetId="35">#REF!</definedName>
    <definedName name="_1月直接" localSheetId="31">#REF!</definedName>
    <definedName name="_1月直接" localSheetId="37">#REF!</definedName>
    <definedName name="_1月直接" localSheetId="36">#REF!</definedName>
    <definedName name="_1月直接" localSheetId="30">#REF!</definedName>
    <definedName name="_1月直接" localSheetId="34">#REF!</definedName>
    <definedName name="_1月直接">#REF!</definedName>
    <definedName name="_1月费用" localSheetId="31">#REF!</definedName>
    <definedName name="_1月费用" localSheetId="33">#REF!</definedName>
    <definedName name="_1月费用">#REF!</definedName>
    <definedName name="_1月间接" localSheetId="31">#REF!</definedName>
    <definedName name="_1月间接">#REF!</definedName>
    <definedName name="_2">#N/A</definedName>
    <definedName name="_2__123Graph_ACHART_2" localSheetId="31" hidden="1">#REF!</definedName>
    <definedName name="_2__123Graph_ACHART_2" hidden="1">#REF!</definedName>
    <definedName name="_2__123Graph_ACHART_4" localSheetId="31" hidden="1">#REF!</definedName>
    <definedName name="_2__123Graph_ACHART_4" hidden="1">#REF!</definedName>
    <definedName name="_2_0_S" localSheetId="31" hidden="1">#REF!</definedName>
    <definedName name="_2_0_S" hidden="1">#REF!</definedName>
    <definedName name="_2_0LOT_" localSheetId="31">#REF!</definedName>
    <definedName name="_2_0LOT_">#REF!</definedName>
    <definedName name="_2_231060401邮寄电汇费" localSheetId="35">#REF!</definedName>
    <definedName name="_2_231060401邮寄电汇费" localSheetId="31">#REF!</definedName>
    <definedName name="_2_231060401邮寄电汇费" localSheetId="37">#REF!</definedName>
    <definedName name="_2_231060401邮寄电汇费" localSheetId="36">#REF!</definedName>
    <definedName name="_2_231060401邮寄电汇费" localSheetId="30">#REF!</definedName>
    <definedName name="_2_231060401邮寄电汇费" localSheetId="34">#REF!</definedName>
    <definedName name="_2_231060401邮寄电汇费">#REF!</definedName>
    <definedName name="_20_231061001维修零件费用" localSheetId="31">#REF!</definedName>
    <definedName name="_20_231061001维修零件费用" localSheetId="33">#REF!</definedName>
    <definedName name="_20_231061001维修零件费用">#REF!</definedName>
    <definedName name="_201601" localSheetId="31">#REF!</definedName>
    <definedName name="_201601">#REF!</definedName>
    <definedName name="_201601001" localSheetId="31">#REF!</definedName>
    <definedName name="_201601001">#REF!</definedName>
    <definedName name="_201601002" localSheetId="31">#REF!</definedName>
    <definedName name="_201601002">#REF!</definedName>
    <definedName name="_201601003" localSheetId="31">#REF!</definedName>
    <definedName name="_201601003">#REF!</definedName>
    <definedName name="_201601005" localSheetId="31">#REF!</definedName>
    <definedName name="_201601005">#REF!</definedName>
    <definedName name="_201601预提" localSheetId="31">#REF!</definedName>
    <definedName name="_201601预提">#REF!</definedName>
    <definedName name="_201602" localSheetId="31">#REF!</definedName>
    <definedName name="_201602">#REF!</definedName>
    <definedName name="_201602在产品" localSheetId="31">#REF!</definedName>
    <definedName name="_201602在产品">#REF!</definedName>
    <definedName name="_201602差异" localSheetId="31">#REF!</definedName>
    <definedName name="_201602差异">#REF!</definedName>
    <definedName name="_201603" localSheetId="31">#REF!</definedName>
    <definedName name="_201603">#REF!</definedName>
    <definedName name="_20160301" localSheetId="31">#REF!</definedName>
    <definedName name="_20160301">#REF!</definedName>
    <definedName name="_20160302" localSheetId="31">#REF!</definedName>
    <definedName name="_20160302">#REF!</definedName>
    <definedName name="_20160306" localSheetId="31">#REF!</definedName>
    <definedName name="_20160306">#REF!</definedName>
    <definedName name="_20160307" localSheetId="31">#REF!</definedName>
    <definedName name="_20160307">#REF!</definedName>
    <definedName name="_20160502" localSheetId="31">#REF!</definedName>
    <definedName name="_20160502">#REF!</definedName>
    <definedName name="_20160503" localSheetId="31">#REF!</definedName>
    <definedName name="_20160503">#REF!</definedName>
    <definedName name="_20160504" localSheetId="31">#REF!</definedName>
    <definedName name="_20160504">#REF!</definedName>
    <definedName name="_20160505" localSheetId="31">#REF!</definedName>
    <definedName name="_20160505">#REF!</definedName>
    <definedName name="_20160507" localSheetId="31">#REF!</definedName>
    <definedName name="_20160507">#REF!</definedName>
    <definedName name="_201606007" localSheetId="31">#REF!</definedName>
    <definedName name="_201606007">#REF!</definedName>
    <definedName name="_20160601" localSheetId="31">#REF!</definedName>
    <definedName name="_20160601">#REF!</definedName>
    <definedName name="_20160602" localSheetId="31">#REF!</definedName>
    <definedName name="_20160602">#REF!</definedName>
    <definedName name="_20160603" localSheetId="31">#REF!</definedName>
    <definedName name="_20160603">#REF!</definedName>
    <definedName name="_20160701" localSheetId="31">#REF!</definedName>
    <definedName name="_20160701">#REF!</definedName>
    <definedName name="_20160702" localSheetId="31">#REF!</definedName>
    <definedName name="_20160702">#REF!</definedName>
    <definedName name="_20160703" localSheetId="31">#REF!</definedName>
    <definedName name="_20160703">#REF!</definedName>
    <definedName name="_20160705" localSheetId="31">#REF!</definedName>
    <definedName name="_20160705">#REF!</definedName>
    <definedName name="_20160801" localSheetId="31">#REF!</definedName>
    <definedName name="_20160801">#REF!</definedName>
    <definedName name="_20160802" localSheetId="31">#REF!</definedName>
    <definedName name="_20160802">#REF!</definedName>
    <definedName name="_20160804" localSheetId="31">#REF!</definedName>
    <definedName name="_20160804">#REF!</definedName>
    <definedName name="_20160805" localSheetId="31">#REF!</definedName>
    <definedName name="_20160805">#REF!</definedName>
    <definedName name="_20160806" localSheetId="31">#REF!</definedName>
    <definedName name="_20160806">#REF!</definedName>
    <definedName name="_20160807" localSheetId="31">#REF!</definedName>
    <definedName name="_20160807">#REF!</definedName>
    <definedName name="_201608预提" localSheetId="31">#REF!</definedName>
    <definedName name="_201608预提">#REF!</definedName>
    <definedName name="_201609" localSheetId="31">#REF!</definedName>
    <definedName name="_201609">#REF!</definedName>
    <definedName name="_20161101" localSheetId="31">#REF!</definedName>
    <definedName name="_20161101">#REF!</definedName>
    <definedName name="_20161102" localSheetId="31">#REF!</definedName>
    <definedName name="_20161102">#REF!</definedName>
    <definedName name="_20161103" localSheetId="31">#REF!</definedName>
    <definedName name="_20161103">#REF!</definedName>
    <definedName name="_20161104" localSheetId="31">#REF!</definedName>
    <definedName name="_20161104">#REF!</definedName>
    <definedName name="_20161105" localSheetId="31">#REF!</definedName>
    <definedName name="_20161105">#REF!</definedName>
    <definedName name="_20161201" localSheetId="31">#REF!</definedName>
    <definedName name="_20161201">#REF!</definedName>
    <definedName name="_20161204" localSheetId="31">#REF!</definedName>
    <definedName name="_20161204">#REF!</definedName>
    <definedName name="_20161206" localSheetId="31">#REF!</definedName>
    <definedName name="_20161206">#REF!</definedName>
    <definedName name="_20161208" localSheetId="31">#REF!</definedName>
    <definedName name="_20161208">#REF!</definedName>
    <definedName name="_2016年水" localSheetId="31">#REF!</definedName>
    <definedName name="_2016年水">#REF!</definedName>
    <definedName name="_201701" localSheetId="31">#REF!</definedName>
    <definedName name="_201701">#REF!</definedName>
    <definedName name="_20170101" localSheetId="31">#REF!</definedName>
    <definedName name="_20170101">#REF!</definedName>
    <definedName name="_20170102" localSheetId="31">#REF!</definedName>
    <definedName name="_20170102">#REF!</definedName>
    <definedName name="_20170103" localSheetId="31">#REF!</definedName>
    <definedName name="_20170103">#REF!</definedName>
    <definedName name="_20170104" localSheetId="31">#REF!</definedName>
    <definedName name="_20170104">#REF!</definedName>
    <definedName name="_20170105" localSheetId="31">#REF!</definedName>
    <definedName name="_20170105">#REF!</definedName>
    <definedName name="_20170109" localSheetId="31">#REF!</definedName>
    <definedName name="_20170109">#REF!</definedName>
    <definedName name="_201701销售" localSheetId="31">#REF!</definedName>
    <definedName name="_201701销售">#REF!</definedName>
    <definedName name="_20170201" localSheetId="31">#REF!</definedName>
    <definedName name="_20170201">#REF!</definedName>
    <definedName name="_20170202" localSheetId="31">#REF!</definedName>
    <definedName name="_20170202">#REF!</definedName>
    <definedName name="_20170203" localSheetId="31">#REF!</definedName>
    <definedName name="_20170203">#REF!</definedName>
    <definedName name="_20170204" localSheetId="31">#REF!</definedName>
    <definedName name="_20170204">#REF!</definedName>
    <definedName name="_20170205" localSheetId="31">#REF!</definedName>
    <definedName name="_20170205">#REF!</definedName>
    <definedName name="_20170206" localSheetId="31">#REF!</definedName>
    <definedName name="_20170206">#REF!</definedName>
    <definedName name="_20170207" localSheetId="31">#REF!</definedName>
    <definedName name="_20170207">#REF!</definedName>
    <definedName name="_201702224210" localSheetId="31">#REF!</definedName>
    <definedName name="_201702224210">#REF!</definedName>
    <definedName name="_20170301" localSheetId="31">#REF!</definedName>
    <definedName name="_20170301">#REF!</definedName>
    <definedName name="_20170302" localSheetId="31">#REF!</definedName>
    <definedName name="_20170302">#REF!</definedName>
    <definedName name="_20170303" localSheetId="31">#REF!</definedName>
    <definedName name="_20170303">#REF!</definedName>
    <definedName name="_20170304" localSheetId="31">#REF!</definedName>
    <definedName name="_20170304">#REF!</definedName>
    <definedName name="_20170306" localSheetId="31">#REF!</definedName>
    <definedName name="_20170306">#REF!</definedName>
    <definedName name="_20170401" localSheetId="31">#REF!</definedName>
    <definedName name="_20170401">#REF!</definedName>
    <definedName name="_20170402" localSheetId="31">#REF!</definedName>
    <definedName name="_20170402">#REF!</definedName>
    <definedName name="_20170403" localSheetId="31">#REF!</definedName>
    <definedName name="_20170403">#REF!</definedName>
    <definedName name="_20170404" localSheetId="31">#REF!</definedName>
    <definedName name="_20170404">#REF!</definedName>
    <definedName name="_20170405" localSheetId="31">#REF!</definedName>
    <definedName name="_20170405">#REF!</definedName>
    <definedName name="_20170501" localSheetId="31">#REF!</definedName>
    <definedName name="_20170501">#REF!</definedName>
    <definedName name="_20170502" localSheetId="31">#REF!</definedName>
    <definedName name="_20170502">#REF!</definedName>
    <definedName name="_20170503" localSheetId="31">#REF!</definedName>
    <definedName name="_20170503">#REF!</definedName>
    <definedName name="_20170504" localSheetId="31">#REF!</definedName>
    <definedName name="_20170504">#REF!</definedName>
    <definedName name="_20170505" localSheetId="31">#REF!</definedName>
    <definedName name="_20170505">#REF!</definedName>
    <definedName name="_20170507" localSheetId="31">#REF!</definedName>
    <definedName name="_20170507">#REF!</definedName>
    <definedName name="_20170508" localSheetId="31">#REF!</definedName>
    <definedName name="_20170508">#REF!</definedName>
    <definedName name="_20170509" localSheetId="31">#REF!</definedName>
    <definedName name="_20170509">#REF!</definedName>
    <definedName name="_20170601" localSheetId="31">#REF!</definedName>
    <definedName name="_20170601">#REF!</definedName>
    <definedName name="_20170602" localSheetId="31">#REF!</definedName>
    <definedName name="_20170602">#REF!</definedName>
    <definedName name="_20170603" localSheetId="31">#REF!</definedName>
    <definedName name="_20170603">#REF!</definedName>
    <definedName name="_20170604" localSheetId="31">#REF!</definedName>
    <definedName name="_20170604">#REF!</definedName>
    <definedName name="_20170605" localSheetId="31">#REF!</definedName>
    <definedName name="_20170605">#REF!</definedName>
    <definedName name="_201706预提" localSheetId="31">#REF!</definedName>
    <definedName name="_201706预提">#REF!</definedName>
    <definedName name="_20170701" localSheetId="31">#REF!</definedName>
    <definedName name="_20170701">#REF!</definedName>
    <definedName name="_20170702" localSheetId="31">#REF!</definedName>
    <definedName name="_20170702">#REF!</definedName>
    <definedName name="_20170703" localSheetId="31">#REF!</definedName>
    <definedName name="_20170703">#REF!</definedName>
    <definedName name="_20170704" localSheetId="31">#REF!</definedName>
    <definedName name="_20170704">#REF!</definedName>
    <definedName name="_20170801" localSheetId="31">#REF!</definedName>
    <definedName name="_20170801">#REF!</definedName>
    <definedName name="_20170802" localSheetId="31">#REF!</definedName>
    <definedName name="_20170802">#REF!</definedName>
    <definedName name="_20170803" localSheetId="31">#REF!</definedName>
    <definedName name="_20170803">#REF!</definedName>
    <definedName name="_20170804" localSheetId="31">#REF!</definedName>
    <definedName name="_20170804">#REF!</definedName>
    <definedName name="_20170805" localSheetId="31">#REF!</definedName>
    <definedName name="_20170805">#REF!</definedName>
    <definedName name="_20170806" localSheetId="31">#REF!</definedName>
    <definedName name="_20170806">#REF!</definedName>
    <definedName name="_20170901" localSheetId="31">#REF!</definedName>
    <definedName name="_20170901">#REF!</definedName>
    <definedName name="_20170902" localSheetId="31">#REF!</definedName>
    <definedName name="_20170902">#REF!</definedName>
    <definedName name="_20170903" localSheetId="31">#REF!</definedName>
    <definedName name="_20170903">#REF!</definedName>
    <definedName name="_20171001" localSheetId="31">#REF!</definedName>
    <definedName name="_20171001">#REF!</definedName>
    <definedName name="_20171101" localSheetId="31">#REF!</definedName>
    <definedName name="_20171101">#REF!</definedName>
    <definedName name="_20171102" localSheetId="31">#REF!</definedName>
    <definedName name="_20171102">#REF!</definedName>
    <definedName name="_20171103" localSheetId="31">#REF!</definedName>
    <definedName name="_20171103">#REF!</definedName>
    <definedName name="_20171104" localSheetId="31">#REF!</definedName>
    <definedName name="_20171104">#REF!</definedName>
    <definedName name="_20171105" localSheetId="31">#REF!</definedName>
    <definedName name="_20171105">#REF!</definedName>
    <definedName name="_20171106" localSheetId="31">#REF!</definedName>
    <definedName name="_20171106">#REF!</definedName>
    <definedName name="_20171107" localSheetId="31">#REF!</definedName>
    <definedName name="_20171107">#REF!</definedName>
    <definedName name="_20171201" localSheetId="31">#REF!</definedName>
    <definedName name="_20171201">#REF!</definedName>
    <definedName name="_20171202" localSheetId="31">#REF!</definedName>
    <definedName name="_20171202">#REF!</definedName>
    <definedName name="_20171203" localSheetId="31">#REF!</definedName>
    <definedName name="_20171203">#REF!</definedName>
    <definedName name="_20171204" localSheetId="31">#REF!</definedName>
    <definedName name="_20171204">#REF!</definedName>
    <definedName name="_20171205" localSheetId="31">#REF!</definedName>
    <definedName name="_20171205">#REF!</definedName>
    <definedName name="_20171206" localSheetId="31">#REF!</definedName>
    <definedName name="_20171206">#REF!</definedName>
    <definedName name="_2017年水" localSheetId="31">#REF!</definedName>
    <definedName name="_2017年水">#REF!</definedName>
    <definedName name="_20180101" localSheetId="31">#REF!</definedName>
    <definedName name="_20180101">#REF!</definedName>
    <definedName name="_20180102" localSheetId="31">#REF!</definedName>
    <definedName name="_20180102">#REF!</definedName>
    <definedName name="_20180103" localSheetId="31">#REF!</definedName>
    <definedName name="_20180103">#REF!</definedName>
    <definedName name="_20180104" localSheetId="31">#REF!</definedName>
    <definedName name="_20180104">#REF!</definedName>
    <definedName name="_20180105" localSheetId="31">#REF!</definedName>
    <definedName name="_20180105">#REF!</definedName>
    <definedName name="_20180201" localSheetId="31">#REF!</definedName>
    <definedName name="_20180201">#REF!</definedName>
    <definedName name="_20180202" localSheetId="31">#REF!</definedName>
    <definedName name="_20180202">#REF!</definedName>
    <definedName name="_20180203" localSheetId="31">#REF!</definedName>
    <definedName name="_20180203">#REF!</definedName>
    <definedName name="_20180204" localSheetId="31">#REF!</definedName>
    <definedName name="_20180204">#REF!</definedName>
    <definedName name="_20180205" localSheetId="31">#REF!</definedName>
    <definedName name="_20180205">#REF!</definedName>
    <definedName name="_20180208" localSheetId="31">#REF!</definedName>
    <definedName name="_20180208">#REF!</definedName>
    <definedName name="_20180301" localSheetId="31">#REF!</definedName>
    <definedName name="_20180301">#REF!</definedName>
    <definedName name="_20180302" localSheetId="31">#REF!</definedName>
    <definedName name="_20180302">#REF!</definedName>
    <definedName name="_20180303" localSheetId="31">#REF!</definedName>
    <definedName name="_20180303">#REF!</definedName>
    <definedName name="_20180305" localSheetId="31">#REF!</definedName>
    <definedName name="_20180305">#REF!</definedName>
    <definedName name="_20180306" localSheetId="31">#REF!</definedName>
    <definedName name="_20180306">#REF!</definedName>
    <definedName name="_20180309" localSheetId="31">#REF!</definedName>
    <definedName name="_20180309">#REF!</definedName>
    <definedName name="_20180401" localSheetId="31">#REF!</definedName>
    <definedName name="_20180401">#REF!</definedName>
    <definedName name="_20180402" localSheetId="31">#REF!</definedName>
    <definedName name="_20180402">#REF!</definedName>
    <definedName name="_20180403" localSheetId="31">#REF!</definedName>
    <definedName name="_20180403">#REF!</definedName>
    <definedName name="_20180404" localSheetId="31">#REF!</definedName>
    <definedName name="_20180404">#REF!</definedName>
    <definedName name="_20180501" localSheetId="31">#REF!</definedName>
    <definedName name="_20180501">#REF!</definedName>
    <definedName name="_20180502" localSheetId="31">#REF!</definedName>
    <definedName name="_20180502">#REF!</definedName>
    <definedName name="_20180503" localSheetId="31">#REF!</definedName>
    <definedName name="_20180503">#REF!</definedName>
    <definedName name="_20180504" localSheetId="31">#REF!</definedName>
    <definedName name="_20180504">#REF!</definedName>
    <definedName name="_20180506" localSheetId="31">#REF!</definedName>
    <definedName name="_20180506">#REF!</definedName>
    <definedName name="_20180601" localSheetId="31">#REF!</definedName>
    <definedName name="_20180601">#REF!</definedName>
    <definedName name="_20180602" localSheetId="31">#REF!</definedName>
    <definedName name="_20180602">#REF!</definedName>
    <definedName name="_20180603" localSheetId="31">#REF!</definedName>
    <definedName name="_20180603">#REF!</definedName>
    <definedName name="_20180605" localSheetId="31">#REF!</definedName>
    <definedName name="_20180605">#REF!</definedName>
    <definedName name="_201806预提" localSheetId="31">#REF!</definedName>
    <definedName name="_201806预提">#REF!</definedName>
    <definedName name="_20180701" localSheetId="31">#REF!</definedName>
    <definedName name="_20180701">#REF!</definedName>
    <definedName name="_20180702" localSheetId="31">#REF!</definedName>
    <definedName name="_20180702">#REF!</definedName>
    <definedName name="_20180703" localSheetId="31">#REF!</definedName>
    <definedName name="_20180703">#REF!</definedName>
    <definedName name="_20180704" localSheetId="31">#REF!</definedName>
    <definedName name="_20180704">#REF!</definedName>
    <definedName name="_20180705" localSheetId="31">#REF!</definedName>
    <definedName name="_20180705">#REF!</definedName>
    <definedName name="_20180709" localSheetId="31">#REF!</definedName>
    <definedName name="_20180709">#REF!</definedName>
    <definedName name="_20180801" localSheetId="31">#REF!</definedName>
    <definedName name="_20180801">#REF!</definedName>
    <definedName name="_20180802" localSheetId="31">#REF!</definedName>
    <definedName name="_20180802">#REF!</definedName>
    <definedName name="_20180803" localSheetId="31">#REF!</definedName>
    <definedName name="_20180803">#REF!</definedName>
    <definedName name="_20180804" localSheetId="31">#REF!</definedName>
    <definedName name="_20180804">#REF!</definedName>
    <definedName name="_20180805" localSheetId="31">#REF!</definedName>
    <definedName name="_20180805">#REF!</definedName>
    <definedName name="_20180808" localSheetId="31">#REF!</definedName>
    <definedName name="_20180808">#REF!</definedName>
    <definedName name="_20180901" localSheetId="31">#REF!</definedName>
    <definedName name="_20180901">#REF!</definedName>
    <definedName name="_20180902" localSheetId="31">#REF!</definedName>
    <definedName name="_20180902">#REF!</definedName>
    <definedName name="_20180903" localSheetId="31">#REF!</definedName>
    <definedName name="_20180903">#REF!</definedName>
    <definedName name="_20180904" localSheetId="31">#REF!</definedName>
    <definedName name="_20180904">#REF!</definedName>
    <definedName name="_20180905" localSheetId="31">#REF!</definedName>
    <definedName name="_20180905">#REF!</definedName>
    <definedName name="_20180906" localSheetId="31">#REF!</definedName>
    <definedName name="_20180906">#REF!</definedName>
    <definedName name="_20180907" localSheetId="31">#REF!</definedName>
    <definedName name="_20180907">#REF!</definedName>
    <definedName name="_20181001" localSheetId="31">#REF!</definedName>
    <definedName name="_20181001">#REF!</definedName>
    <definedName name="_20181002" localSheetId="31">#REF!</definedName>
    <definedName name="_20181002">#REF!</definedName>
    <definedName name="_20181003" localSheetId="31">#REF!</definedName>
    <definedName name="_20181003">#REF!</definedName>
    <definedName name="_20181004" localSheetId="31">#REF!</definedName>
    <definedName name="_20181004">#REF!</definedName>
    <definedName name="_20181005" localSheetId="31">#REF!</definedName>
    <definedName name="_20181005">#REF!</definedName>
    <definedName name="_20181006" localSheetId="31">#REF!</definedName>
    <definedName name="_20181006">#REF!</definedName>
    <definedName name="_20181101" localSheetId="31">#REF!</definedName>
    <definedName name="_20181101">#REF!</definedName>
    <definedName name="_20181102" localSheetId="31">#REF!</definedName>
    <definedName name="_20181102">#REF!</definedName>
    <definedName name="_20181103" localSheetId="31">#REF!</definedName>
    <definedName name="_20181103">#REF!</definedName>
    <definedName name="_20181104" localSheetId="31">#REF!</definedName>
    <definedName name="_20181104">#REF!</definedName>
    <definedName name="_20181105" localSheetId="31">#REF!</definedName>
    <definedName name="_20181105">#REF!</definedName>
    <definedName name="_201811预提" localSheetId="31">#REF!</definedName>
    <definedName name="_201811预提">#REF!</definedName>
    <definedName name="_201812" localSheetId="31">#REF!</definedName>
    <definedName name="_201812">#REF!</definedName>
    <definedName name="_20181201" localSheetId="31">#REF!</definedName>
    <definedName name="_20181201">#REF!</definedName>
    <definedName name="_20181202" localSheetId="31">#REF!</definedName>
    <definedName name="_20181202">#REF!</definedName>
    <definedName name="_20181203" localSheetId="31">#REF!</definedName>
    <definedName name="_20181203">#REF!</definedName>
    <definedName name="_20181204" localSheetId="31">#REF!</definedName>
    <definedName name="_20181204">#REF!</definedName>
    <definedName name="_20181205" localSheetId="31">#REF!</definedName>
    <definedName name="_20181205">#REF!</definedName>
    <definedName name="_20181206" localSheetId="31">#REF!</definedName>
    <definedName name="_20181206">#REF!</definedName>
    <definedName name="_201901" localSheetId="31">#REF!</definedName>
    <definedName name="_201901">#REF!</definedName>
    <definedName name="_20190101" localSheetId="31">#REF!</definedName>
    <definedName name="_20190101">#REF!</definedName>
    <definedName name="_20190102" localSheetId="31">#REF!</definedName>
    <definedName name="_20190102">#REF!</definedName>
    <definedName name="_20190103" localSheetId="31">#REF!</definedName>
    <definedName name="_20190103">#REF!</definedName>
    <definedName name="_20190105" localSheetId="31">#REF!</definedName>
    <definedName name="_20190105">#REF!</definedName>
    <definedName name="_20190201" localSheetId="31">#REF!</definedName>
    <definedName name="_20190201">#REF!</definedName>
    <definedName name="_20190203" localSheetId="31">#REF!</definedName>
    <definedName name="_20190203">#REF!</definedName>
    <definedName name="_20190205" localSheetId="31">#REF!</definedName>
    <definedName name="_20190205">#REF!</definedName>
    <definedName name="_20190206" localSheetId="31">#REF!</definedName>
    <definedName name="_20190206">#REF!</definedName>
    <definedName name="_20190208" localSheetId="31">#REF!</definedName>
    <definedName name="_20190208">#REF!</definedName>
    <definedName name="_20190301" localSheetId="31">#REF!</definedName>
    <definedName name="_20190301">#REF!</definedName>
    <definedName name="_20190302" localSheetId="31">#REF!</definedName>
    <definedName name="_20190302">#REF!</definedName>
    <definedName name="_20190303" localSheetId="31">#REF!</definedName>
    <definedName name="_20190303">#REF!</definedName>
    <definedName name="_20190306" localSheetId="31">#REF!</definedName>
    <definedName name="_20190306">#REF!</definedName>
    <definedName name="_20190309" localSheetId="31">#REF!</definedName>
    <definedName name="_20190309">#REF!</definedName>
    <definedName name="_20190401" localSheetId="31">#REF!</definedName>
    <definedName name="_20190401">#REF!</definedName>
    <definedName name="_20190402" localSheetId="31">#REF!</definedName>
    <definedName name="_20190402">#REF!</definedName>
    <definedName name="_20190403" localSheetId="31">#REF!</definedName>
    <definedName name="_20190403">#REF!</definedName>
    <definedName name="_20190404" localSheetId="31">#REF!</definedName>
    <definedName name="_20190404">#REF!</definedName>
    <definedName name="_20190406" localSheetId="31">#REF!</definedName>
    <definedName name="_20190406">#REF!</definedName>
    <definedName name="_20190409" localSheetId="31">#REF!</definedName>
    <definedName name="_20190409">#REF!</definedName>
    <definedName name="_20190410" localSheetId="31">#REF!</definedName>
    <definedName name="_20190410">#REF!</definedName>
    <definedName name="_20190501" localSheetId="31">#REF!</definedName>
    <definedName name="_20190501">#REF!</definedName>
    <definedName name="_20190502" localSheetId="31">#REF!</definedName>
    <definedName name="_20190502">#REF!</definedName>
    <definedName name="_20190503" localSheetId="31">#REF!</definedName>
    <definedName name="_20190503">#REF!</definedName>
    <definedName name="_20190504" localSheetId="31">#REF!</definedName>
    <definedName name="_20190504">#REF!</definedName>
    <definedName name="_20190505" localSheetId="31">#REF!</definedName>
    <definedName name="_20190505">#REF!</definedName>
    <definedName name="_20190507" localSheetId="31">#REF!</definedName>
    <definedName name="_20190507">#REF!</definedName>
    <definedName name="_20190508" localSheetId="31">#REF!</definedName>
    <definedName name="_20190508">#REF!</definedName>
    <definedName name="_20190509" localSheetId="31">#REF!</definedName>
    <definedName name="_20190509">#REF!</definedName>
    <definedName name="_20190510" localSheetId="31">#REF!</definedName>
    <definedName name="_20190510">#REF!</definedName>
    <definedName name="_20190601" localSheetId="31">#REF!</definedName>
    <definedName name="_20190601">#REF!</definedName>
    <definedName name="_20190602" localSheetId="31">#REF!</definedName>
    <definedName name="_20190602">#REF!</definedName>
    <definedName name="_20190603" localSheetId="31">#REF!</definedName>
    <definedName name="_20190603">#REF!</definedName>
    <definedName name="_20190605" localSheetId="31">#REF!</definedName>
    <definedName name="_20190605">#REF!</definedName>
    <definedName name="_20190606" localSheetId="31">#REF!</definedName>
    <definedName name="_20190606">#REF!</definedName>
    <definedName name="_20190701" localSheetId="31">#REF!</definedName>
    <definedName name="_20190701">#REF!</definedName>
    <definedName name="_20190702" localSheetId="31">#REF!</definedName>
    <definedName name="_20190702">#REF!</definedName>
    <definedName name="_20190703" localSheetId="31">#REF!</definedName>
    <definedName name="_20190703">#REF!</definedName>
    <definedName name="_20190705" localSheetId="31">#REF!</definedName>
    <definedName name="_20190705">#REF!</definedName>
    <definedName name="_20190706" localSheetId="31">#REF!</definedName>
    <definedName name="_20190706">#REF!</definedName>
    <definedName name="_20190801" localSheetId="31">#REF!</definedName>
    <definedName name="_20190801">#REF!</definedName>
    <definedName name="_20190802" localSheetId="31">#REF!</definedName>
    <definedName name="_20190802">#REF!</definedName>
    <definedName name="_20190803" localSheetId="31">#REF!</definedName>
    <definedName name="_20190803">#REF!</definedName>
    <definedName name="_20190804" localSheetId="31">#REF!</definedName>
    <definedName name="_20190804">#REF!</definedName>
    <definedName name="_20190805" localSheetId="31">#REF!</definedName>
    <definedName name="_20190805">#REF!</definedName>
    <definedName name="_20190806" localSheetId="31">#REF!</definedName>
    <definedName name="_20190806">#REF!</definedName>
    <definedName name="_20190807" localSheetId="31">#REF!</definedName>
    <definedName name="_20190807">#REF!</definedName>
    <definedName name="_20190901" localSheetId="31">#REF!</definedName>
    <definedName name="_20190901">#REF!</definedName>
    <definedName name="_20190902" localSheetId="31">#REF!</definedName>
    <definedName name="_20190902">#REF!</definedName>
    <definedName name="_20190903" localSheetId="31">#REF!</definedName>
    <definedName name="_20190903">#REF!</definedName>
    <definedName name="_20190904" localSheetId="31">#REF!</definedName>
    <definedName name="_20190904">#REF!</definedName>
    <definedName name="_20190905" localSheetId="31">#REF!</definedName>
    <definedName name="_20190905">#REF!</definedName>
    <definedName name="_20190908" localSheetId="31">#REF!</definedName>
    <definedName name="_20190908">#REF!</definedName>
    <definedName name="_20190909" localSheetId="31">#REF!</definedName>
    <definedName name="_20190909">#REF!</definedName>
    <definedName name="_20190910" localSheetId="31">#REF!</definedName>
    <definedName name="_20190910">#REF!</definedName>
    <definedName name="_20190911" localSheetId="31">#REF!</definedName>
    <definedName name="_20190911">#REF!</definedName>
    <definedName name="_20191001" localSheetId="31">#REF!</definedName>
    <definedName name="_20191001">#REF!</definedName>
    <definedName name="_20191002" localSheetId="31">#REF!</definedName>
    <definedName name="_20191002">#REF!</definedName>
    <definedName name="_20191003" localSheetId="31">#REF!</definedName>
    <definedName name="_20191003">#REF!</definedName>
    <definedName name="_20191004" localSheetId="31">#REF!</definedName>
    <definedName name="_20191004">#REF!</definedName>
    <definedName name="_20191005" localSheetId="31">#REF!</definedName>
    <definedName name="_20191005">#REF!</definedName>
    <definedName name="_20191008" localSheetId="31">#REF!</definedName>
    <definedName name="_20191008">#REF!</definedName>
    <definedName name="_20191101" localSheetId="31">#REF!</definedName>
    <definedName name="_20191101">#REF!</definedName>
    <definedName name="_20191102" localSheetId="31">#REF!</definedName>
    <definedName name="_20191102">#REF!</definedName>
    <definedName name="_20191103" localSheetId="31">#REF!</definedName>
    <definedName name="_20191103">#REF!</definedName>
    <definedName name="_20191105" localSheetId="31">#REF!</definedName>
    <definedName name="_20191105">#REF!</definedName>
    <definedName name="_20191201" localSheetId="31">#REF!</definedName>
    <definedName name="_20191201">#REF!</definedName>
    <definedName name="_20191202" localSheetId="31">#REF!</definedName>
    <definedName name="_20191202">#REF!</definedName>
    <definedName name="_20191203" localSheetId="31">#REF!</definedName>
    <definedName name="_20191203">#REF!</definedName>
    <definedName name="_20191204" localSheetId="31">#REF!</definedName>
    <definedName name="_20191204">#REF!</definedName>
    <definedName name="_20191205" localSheetId="31">#REF!</definedName>
    <definedName name="_20191205">#REF!</definedName>
    <definedName name="_20191206" localSheetId="31">#REF!</definedName>
    <definedName name="_20191206">#REF!</definedName>
    <definedName name="_20191207" localSheetId="31">#REF!</definedName>
    <definedName name="_20191207">#REF!</definedName>
    <definedName name="_20191208" localSheetId="31">#REF!</definedName>
    <definedName name="_20191208">#REF!</definedName>
    <definedName name="_20191209" localSheetId="31">#REF!</definedName>
    <definedName name="_20191209">#REF!</definedName>
    <definedName name="_20191210" localSheetId="31">#REF!</definedName>
    <definedName name="_20191210">#REF!</definedName>
    <definedName name="_20200110" localSheetId="35">#REF!</definedName>
    <definedName name="_20200110" localSheetId="31">#REF!</definedName>
    <definedName name="_20200110" localSheetId="37">#REF!</definedName>
    <definedName name="_20200110" localSheetId="36">#REF!</definedName>
    <definedName name="_20200110" localSheetId="30">#REF!</definedName>
    <definedName name="_20200110" localSheetId="34">#REF!</definedName>
    <definedName name="_20200110">#REF!</definedName>
    <definedName name="_20200201" localSheetId="31">#REF!</definedName>
    <definedName name="_20200201">#REF!</definedName>
    <definedName name="_20200202" localSheetId="31">#REF!</definedName>
    <definedName name="_20200202">#REF!</definedName>
    <definedName name="_20200203" localSheetId="31">#REF!</definedName>
    <definedName name="_20200203">#REF!</definedName>
    <definedName name="_20200301" localSheetId="31">#REF!</definedName>
    <definedName name="_20200301">#REF!</definedName>
    <definedName name="_20200302" localSheetId="31">#REF!</definedName>
    <definedName name="_20200302">#REF!</definedName>
    <definedName name="_20200303" localSheetId="31">#REF!</definedName>
    <definedName name="_20200303">#REF!</definedName>
    <definedName name="_20200304" localSheetId="31">#REF!</definedName>
    <definedName name="_20200304">#REF!</definedName>
    <definedName name="_20200305" localSheetId="31">#REF!</definedName>
    <definedName name="_20200305">#REF!</definedName>
    <definedName name="_20200309" localSheetId="31">#REF!</definedName>
    <definedName name="_20200309">#REF!</definedName>
    <definedName name="_20200401" localSheetId="31">#REF!</definedName>
    <definedName name="_20200401">#REF!</definedName>
    <definedName name="_20200402" localSheetId="31">#REF!</definedName>
    <definedName name="_20200402">#REF!</definedName>
    <definedName name="_20200403" localSheetId="31">#REF!</definedName>
    <definedName name="_20200403">#REF!</definedName>
    <definedName name="_20200405" localSheetId="31">#REF!</definedName>
    <definedName name="_20200405">#REF!</definedName>
    <definedName name="_20200501" localSheetId="31">#REF!</definedName>
    <definedName name="_20200501">#REF!</definedName>
    <definedName name="_20200502" localSheetId="31">#REF!</definedName>
    <definedName name="_20200502">#REF!</definedName>
    <definedName name="_20200503" localSheetId="31">#REF!</definedName>
    <definedName name="_20200503">#REF!</definedName>
    <definedName name="_20200504" localSheetId="31">#REF!</definedName>
    <definedName name="_20200504">#REF!</definedName>
    <definedName name="_20200601" localSheetId="31">#REF!</definedName>
    <definedName name="_20200601">#REF!</definedName>
    <definedName name="_20200602" localSheetId="31">#REF!</definedName>
    <definedName name="_20200602">#REF!</definedName>
    <definedName name="_20200603" localSheetId="31">#REF!</definedName>
    <definedName name="_20200603">#REF!</definedName>
    <definedName name="_20200701" localSheetId="31">#REF!</definedName>
    <definedName name="_20200701">#REF!</definedName>
    <definedName name="_20200702" localSheetId="31">#REF!</definedName>
    <definedName name="_20200702">#REF!</definedName>
    <definedName name="_20200703" localSheetId="31">#REF!</definedName>
    <definedName name="_20200703">#REF!</definedName>
    <definedName name="_20200706" localSheetId="31">#REF!</definedName>
    <definedName name="_20200706">#REF!</definedName>
    <definedName name="_20200801" localSheetId="31">#REF!</definedName>
    <definedName name="_20200801">#REF!</definedName>
    <definedName name="_20200802" localSheetId="31">#REF!</definedName>
    <definedName name="_20200802">#REF!</definedName>
    <definedName name="_20200803" localSheetId="31">#REF!</definedName>
    <definedName name="_20200803">#REF!</definedName>
    <definedName name="_20200804" localSheetId="31">#REF!</definedName>
    <definedName name="_20200804">#REF!</definedName>
    <definedName name="_20200805" localSheetId="31">#REF!</definedName>
    <definedName name="_20200805">#REF!</definedName>
    <definedName name="_20200901" localSheetId="31">#REF!</definedName>
    <definedName name="_20200901">#REF!</definedName>
    <definedName name="_20200902" localSheetId="31">#REF!</definedName>
    <definedName name="_20200902">#REF!</definedName>
    <definedName name="_20200903" localSheetId="31">#REF!</definedName>
    <definedName name="_20200903">#REF!</definedName>
    <definedName name="_20200904" localSheetId="31">#REF!</definedName>
    <definedName name="_20200904">#REF!</definedName>
    <definedName name="_20201001" localSheetId="31">#REF!</definedName>
    <definedName name="_20201001">#REF!</definedName>
    <definedName name="_20201002" localSheetId="31">#REF!</definedName>
    <definedName name="_20201002">#REF!</definedName>
    <definedName name="_20201003" localSheetId="31">#REF!</definedName>
    <definedName name="_20201003">#REF!</definedName>
    <definedName name="_20201102" localSheetId="31">#REF!</definedName>
    <definedName name="_20201102">#REF!</definedName>
    <definedName name="_20201103" localSheetId="31">#REF!</definedName>
    <definedName name="_20201103">#REF!</definedName>
    <definedName name="_20201105" localSheetId="31">#REF!</definedName>
    <definedName name="_20201105">#REF!</definedName>
    <definedName name="_20201203" localSheetId="31">#REF!</definedName>
    <definedName name="_20201203">#REF!</definedName>
    <definedName name="_20201205" localSheetId="31">#REF!</definedName>
    <definedName name="_20201205">#REF!</definedName>
    <definedName name="_20210202" localSheetId="31">#REF!</definedName>
    <definedName name="_20210202">#REF!</definedName>
    <definedName name="_20210203" localSheetId="31">#REF!</definedName>
    <definedName name="_20210203">#REF!</definedName>
    <definedName name="_20210301" localSheetId="31">#REF!</definedName>
    <definedName name="_20210301">#REF!</definedName>
    <definedName name="_20210302" localSheetId="31">#REF!</definedName>
    <definedName name="_20210302">#REF!</definedName>
    <definedName name="_20210401" localSheetId="31">#REF!</definedName>
    <definedName name="_20210401">#REF!</definedName>
    <definedName name="_20210402" localSheetId="31">#REF!</definedName>
    <definedName name="_20210402">#REF!</definedName>
    <definedName name="_20210403" localSheetId="31">#REF!</definedName>
    <definedName name="_20210403">#REF!</definedName>
    <definedName name="_20210404" localSheetId="31">#REF!</definedName>
    <definedName name="_20210404">#REF!</definedName>
    <definedName name="_2021年" localSheetId="31">#REF!</definedName>
    <definedName name="_2021年">#REF!</definedName>
    <definedName name="_20TEÂN_HAØNG" localSheetId="31">#REF!</definedName>
    <definedName name="_20TEÂN_HAØNG" localSheetId="33">#REF!</definedName>
    <definedName name="_20TEÂN_HAØNG">#REF!</definedName>
    <definedName name="_21" localSheetId="31">#REF!</definedName>
    <definedName name="_21" localSheetId="33">#REF!</definedName>
    <definedName name="_21">#REF!</definedName>
    <definedName name="_21_231061101电视收音机" localSheetId="31">#REF!</definedName>
    <definedName name="_21_231061101电视收音机" localSheetId="33">#REF!</definedName>
    <definedName name="_21_231061101电视收音机">#REF!</definedName>
    <definedName name="_21TEÂN_KHAÙCH_HAØ" localSheetId="31">#REF!</definedName>
    <definedName name="_21TEÂN_KHAÙCH_HAØ" localSheetId="33">#REF!</definedName>
    <definedName name="_21TEÂN_KHAÙCH_HAØ">#REF!</definedName>
    <definedName name="_22_231061102出版物" localSheetId="31">#REF!</definedName>
    <definedName name="_22_231061102出版物" localSheetId="33">#REF!</definedName>
    <definedName name="_22_231061102出版物">#REF!</definedName>
    <definedName name="_224210" localSheetId="31">#REF!</definedName>
    <definedName name="_224210">#REF!</definedName>
    <definedName name="_22421002" localSheetId="31">#REF!</definedName>
    <definedName name="_22421002">#REF!</definedName>
    <definedName name="_22421006" localSheetId="31">#REF!</definedName>
    <definedName name="_22421006">#REF!</definedName>
    <definedName name="_2242100601" localSheetId="31">#REF!</definedName>
    <definedName name="_2242100601">#REF!</definedName>
    <definedName name="_22THAØNH_TIEÀN" localSheetId="31">#REF!</definedName>
    <definedName name="_22THAØNH_TIEÀN" localSheetId="33">#REF!</definedName>
    <definedName name="_22THAØNH_TIEÀN">#REF!</definedName>
    <definedName name="_23_231061103海报广告" localSheetId="31">#REF!</definedName>
    <definedName name="_23_231061103海报广告" localSheetId="33">#REF!</definedName>
    <definedName name="_23_231061103海报广告">#REF!</definedName>
    <definedName name="_231060302固话" localSheetId="31">#REF!</definedName>
    <definedName name="_231060302固话" localSheetId="33">#REF!</definedName>
    <definedName name="_231060302固话">#REF!</definedName>
    <definedName name="_231060401邮寄费" localSheetId="31">#REF!</definedName>
    <definedName name="_231060401邮寄费" localSheetId="33">#REF!</definedName>
    <definedName name="_231060401邮寄费">#REF!</definedName>
    <definedName name="_231060402文具印刷" localSheetId="31">#REF!</definedName>
    <definedName name="_231060402文具印刷" localSheetId="33">#REF!</definedName>
    <definedName name="_231060402文具印刷">#REF!</definedName>
    <definedName name="_231060402文具印刷费" localSheetId="35">#REF!</definedName>
    <definedName name="_231060402文具印刷费" localSheetId="31">#REF!</definedName>
    <definedName name="_231060402文具印刷费" localSheetId="37">#REF!</definedName>
    <definedName name="_231060402文具印刷费" localSheetId="36">#REF!</definedName>
    <definedName name="_231060402文具印刷费" localSheetId="30">#REF!</definedName>
    <definedName name="_231060402文具印刷费" localSheetId="34">#REF!</definedName>
    <definedName name="_231060402文具印刷费">#REF!</definedName>
    <definedName name="_231060403办公其他费用" localSheetId="31">#REF!</definedName>
    <definedName name="_231060403办公其他费用" localSheetId="33">#REF!</definedName>
    <definedName name="_231060403办公其他费用">#REF!</definedName>
    <definedName name="_231060501飞机票费" localSheetId="31">#REF!</definedName>
    <definedName name="_231060501飞机票费" localSheetId="33">#REF!</definedName>
    <definedName name="_231060501飞机票费">#REF!</definedName>
    <definedName name="_231060502火车轮船" localSheetId="31">#REF!</definedName>
    <definedName name="_231060502火车轮船" localSheetId="33">#REF!</definedName>
    <definedName name="_231060502火车轮船">#REF!</definedName>
    <definedName name="_231060503其他交通费" localSheetId="31">#REF!</definedName>
    <definedName name="_231060503其他交通费" localSheetId="33">#REF!</definedName>
    <definedName name="_231060503其他交通费">#REF!</definedName>
    <definedName name="_231060505出差补助" localSheetId="31">#REF!</definedName>
    <definedName name="_231060505出差补助" localSheetId="33">#REF!</definedName>
    <definedName name="_231060505出差补助">#REF!</definedName>
    <definedName name="_231060506住宿费" localSheetId="31">#REF!</definedName>
    <definedName name="_231060506住宿费" localSheetId="33">#REF!</definedName>
    <definedName name="_231060506住宿费">#REF!</definedName>
    <definedName name="_231060510杂费" localSheetId="31">#REF!</definedName>
    <definedName name="_231060510杂费" localSheetId="33">#REF!</definedName>
    <definedName name="_231060510杂费">#REF!</definedName>
    <definedName name="_231060601至经营部运费" localSheetId="31">#REF!</definedName>
    <definedName name="_231060601至经营部运费" localSheetId="33">#REF!</definedName>
    <definedName name="_231060601至经营部运费">#REF!</definedName>
    <definedName name="_231060604其他运费" localSheetId="31">#REF!</definedName>
    <definedName name="_231060604其他运费" localSheetId="33">#REF!</definedName>
    <definedName name="_231060604其他运费">#REF!</definedName>
    <definedName name="_231060605至客户运费" localSheetId="31">#REF!</definedName>
    <definedName name="_231060605至客户运费" localSheetId="33">#REF!</definedName>
    <definedName name="_231060605至客户运费">#REF!</definedName>
    <definedName name="_231060701赠送品" localSheetId="31">#REF!</definedName>
    <definedName name="_231060701赠送品" localSheetId="33">#REF!</definedName>
    <definedName name="_231060701赠送品">#REF!</definedName>
    <definedName name="_231060702促销活动费" localSheetId="31">#REF!</definedName>
    <definedName name="_231060702促销活动费" localSheetId="33">#REF!</definedName>
    <definedName name="_231060702促销活动费">#REF!</definedName>
    <definedName name="_2310608办公室租金" localSheetId="31">#REF!</definedName>
    <definedName name="_2310608办公室租金" localSheetId="33">#REF!</definedName>
    <definedName name="_2310608办公室租金">#REF!</definedName>
    <definedName name="_2310609贴息费用" localSheetId="31">#REF!</definedName>
    <definedName name="_2310609贴息费用" localSheetId="33">#REF!</definedName>
    <definedName name="_2310609贴息费用">#REF!</definedName>
    <definedName name="_231061001维修零件费用" localSheetId="31">#REF!</definedName>
    <definedName name="_231061001维修零件费用" localSheetId="33">#REF!</definedName>
    <definedName name="_231061001维修零件费用">#REF!</definedName>
    <definedName name="_231061101电视收音机" localSheetId="31">#REF!</definedName>
    <definedName name="_231061101电视收音机" localSheetId="33">#REF!</definedName>
    <definedName name="_231061101电视收音机">#REF!</definedName>
    <definedName name="_231061102出版物" localSheetId="31">#REF!</definedName>
    <definedName name="_231061102出版物" localSheetId="33">#REF!</definedName>
    <definedName name="_231061102出版物">#REF!</definedName>
    <definedName name="_231061103海报广告" localSheetId="31">#REF!</definedName>
    <definedName name="_231061103海报广告" localSheetId="33">#REF!</definedName>
    <definedName name="_231061103海报广告">#REF!</definedName>
    <definedName name="_231061105目录和手册" localSheetId="31">#REF!</definedName>
    <definedName name="_231061105目录和手册" localSheetId="33">#REF!</definedName>
    <definedName name="_231061105目录和手册">#REF!</definedName>
    <definedName name="_231061106门头广告" localSheetId="31">#REF!</definedName>
    <definedName name="_231061106门头广告" localSheetId="33">#REF!</definedName>
    <definedName name="_231061106门头广告">#REF!</definedName>
    <definedName name="_231061107商场展销费" localSheetId="31">#REF!</definedName>
    <definedName name="_231061107商场展销费" localSheetId="33">#REF!</definedName>
    <definedName name="_231061107商场展销费">#REF!</definedName>
    <definedName name="_231061108展会费" localSheetId="31">#REF!</definedName>
    <definedName name="_231061108展会费" localSheetId="33">#REF!</definedName>
    <definedName name="_231061108展会费">#REF!</definedName>
    <definedName name="_231061110其他" localSheetId="31">#REF!</definedName>
    <definedName name="_231061110其他" localSheetId="33">#REF!</definedName>
    <definedName name="_231061110其他">#REF!</definedName>
    <definedName name="_231061203" localSheetId="35">#REF!</definedName>
    <definedName name="_231061203" localSheetId="31">#REF!</definedName>
    <definedName name="_231061203" localSheetId="37">#REF!</definedName>
    <definedName name="_231061203" localSheetId="36">#REF!</definedName>
    <definedName name="_231061203" localSheetId="30">#REF!</definedName>
    <definedName name="_231061203" localSheetId="34">#REF!</definedName>
    <definedName name="_231061203">#REF!</definedName>
    <definedName name="_231061301电费" localSheetId="35">#REF!</definedName>
    <definedName name="_231061301电费" localSheetId="31">#REF!</definedName>
    <definedName name="_231061301电费" localSheetId="37">#REF!</definedName>
    <definedName name="_231061301电费" localSheetId="36">#REF!</definedName>
    <definedName name="_231061301电费" localSheetId="30">#REF!</definedName>
    <definedName name="_231061301电费" localSheetId="34">#REF!</definedName>
    <definedName name="_231061301电费">#REF!</definedName>
    <definedName name="_231061302燃油" localSheetId="31">#REF!</definedName>
    <definedName name="_231061302燃油" localSheetId="33">#REF!</definedName>
    <definedName name="_231061302燃油">#REF!</definedName>
    <definedName name="_231061303保暖费" localSheetId="31">#REF!</definedName>
    <definedName name="_231061303保暖费" localSheetId="33">#REF!</definedName>
    <definedName name="_231061303保暖费">#REF!</definedName>
    <definedName name="_231061304" localSheetId="35">#REF!</definedName>
    <definedName name="_231061304" localSheetId="31">#REF!</definedName>
    <definedName name="_231061304" localSheetId="37">#REF!</definedName>
    <definedName name="_231061304" localSheetId="36">#REF!</definedName>
    <definedName name="_231061304" localSheetId="30">#REF!</definedName>
    <definedName name="_231061304" localSheetId="34">#REF!</definedName>
    <definedName name="_231061304">#REF!</definedName>
    <definedName name="_231061304水" localSheetId="31">#REF!</definedName>
    <definedName name="_231061304水" localSheetId="33">#REF!</definedName>
    <definedName name="_231061304水">#REF!</definedName>
    <definedName name="_231061401客户" localSheetId="31">#REF!</definedName>
    <definedName name="_231061401客户" localSheetId="33">#REF!</definedName>
    <definedName name="_231061401客户">#REF!</definedName>
    <definedName name="_231061402个人" localSheetId="31">#REF!</definedName>
    <definedName name="_231061402个人" localSheetId="33">#REF!</definedName>
    <definedName name="_231061402个人">#REF!</definedName>
    <definedName name="_2310615安装费" localSheetId="31">#REF!</definedName>
    <definedName name="_2310615安装费" localSheetId="33">#REF!</definedName>
    <definedName name="_2310615安装费">#REF!</definedName>
    <definedName name="_231061601进场费" localSheetId="31">#REF!</definedName>
    <definedName name="_231061601进场费" localSheetId="33">#REF!</definedName>
    <definedName name="_231061601进场费">#REF!</definedName>
    <definedName name="_231061602节庆店庆费" localSheetId="31">#REF!</definedName>
    <definedName name="_231061602节庆店庆费" localSheetId="33">#REF!</definedName>
    <definedName name="_231061602节庆店庆费">#REF!</definedName>
    <definedName name="_231061603赞助费" localSheetId="31">#REF!</definedName>
    <definedName name="_231061603赞助费" localSheetId="33">#REF!</definedName>
    <definedName name="_231061603赞助费">#REF!</definedName>
    <definedName name="_231061604促销员管理费" localSheetId="31">#REF!</definedName>
    <definedName name="_231061604促销员管理费" localSheetId="33">#REF!</definedName>
    <definedName name="_231061604促销员管理费">#REF!</definedName>
    <definedName name="_231061610渠道费其他" localSheetId="31">#REF!</definedName>
    <definedName name="_231061610渠道费其他" localSheetId="33">#REF!</definedName>
    <definedName name="_231061610渠道费其他">#REF!</definedName>
    <definedName name="_2310617折旧修理费" localSheetId="31">#REF!</definedName>
    <definedName name="_2310617折旧修理费" localSheetId="33">#REF!</definedName>
    <definedName name="_2310617折旧修理费">#REF!</definedName>
    <definedName name="_2310621仓租" localSheetId="31">#REF!</definedName>
    <definedName name="_2310621仓租" localSheetId="33">#REF!</definedName>
    <definedName name="_2310621仓租">#REF!</definedName>
    <definedName name="_2310622仓库管理成本" localSheetId="31">#REF!</definedName>
    <definedName name="_2310622仓库管理成本" localSheetId="33">#REF!</definedName>
    <definedName name="_2310622仓库管理成本">#REF!</definedName>
    <definedName name="_2310650其他" localSheetId="31">#REF!</definedName>
    <definedName name="_2310650其他" localSheetId="33">#REF!</definedName>
    <definedName name="_2310650其他">#REF!</definedName>
    <definedName name="_23TRÒ_GIAÙ" localSheetId="31">#REF!</definedName>
    <definedName name="_23TRÒ_GIAÙ" localSheetId="33">#REF!</definedName>
    <definedName name="_23TRÒ_GIAÙ">#REF!</definedName>
    <definedName name="_24_231061105目录和手册" localSheetId="31">#REF!</definedName>
    <definedName name="_24_231061105目录和手册" localSheetId="33">#REF!</definedName>
    <definedName name="_24_231061105目录和手册">#REF!</definedName>
    <definedName name="_24TRÒ_GIAÙ__VAT" localSheetId="31">#REF!</definedName>
    <definedName name="_24TRÒ_GIAÙ__VAT" localSheetId="33">#REF!</definedName>
    <definedName name="_24TRÒ_GIAÙ__VAT">#REF!</definedName>
    <definedName name="_25_231061106门头广告" localSheetId="31">#REF!</definedName>
    <definedName name="_25_231061106门头广告" localSheetId="33">#REF!</definedName>
    <definedName name="_25_231061106门头广告">#REF!</definedName>
    <definedName name="_250BeyazKoli" localSheetId="31">#REF!</definedName>
    <definedName name="_250BeyazKoli">#REF!</definedName>
    <definedName name="_26_231061107商场展销费" localSheetId="31">#REF!</definedName>
    <definedName name="_26_231061107商场展销费" localSheetId="33">#REF!</definedName>
    <definedName name="_26_231061107商场展销费">#REF!</definedName>
    <definedName name="_261203" localSheetId="31">#REF!</definedName>
    <definedName name="_261203">#REF!</definedName>
    <definedName name="_27_231061108展会费" localSheetId="31">#REF!</definedName>
    <definedName name="_27_231061108展会费" localSheetId="33">#REF!</definedName>
    <definedName name="_27_231061108展会费">#REF!</definedName>
    <definedName name="_28_231061110其他" localSheetId="31">#REF!</definedName>
    <definedName name="_28_231061110其他" localSheetId="33">#REF!</definedName>
    <definedName name="_28_231061110其他">#REF!</definedName>
    <definedName name="_29_231061203" localSheetId="35">#REF!</definedName>
    <definedName name="_29_231061203" localSheetId="31">#REF!</definedName>
    <definedName name="_29_231061203" localSheetId="37">#REF!</definedName>
    <definedName name="_29_231061203" localSheetId="36">#REF!</definedName>
    <definedName name="_29_231061203" localSheetId="30">#REF!</definedName>
    <definedName name="_29_231061203" localSheetId="34">#REF!</definedName>
    <definedName name="_29_231061203">#REF!</definedName>
    <definedName name="_2BLA100" localSheetId="31">#REF!</definedName>
    <definedName name="_2BLA100" localSheetId="33">#REF!</definedName>
    <definedName name="_2BLA100">#REF!</definedName>
    <definedName name="_2CHANG1" localSheetId="31">#REF!</definedName>
    <definedName name="_2CHANG1" localSheetId="33">#REF!</definedName>
    <definedName name="_2CHANG1">#REF!</definedName>
    <definedName name="_2CHANG2" localSheetId="31">#REF!</definedName>
    <definedName name="_2CHANG2" localSheetId="33">#REF!</definedName>
    <definedName name="_2CHANG2">#REF!</definedName>
    <definedName name="_2DADOI1" localSheetId="31">#REF!</definedName>
    <definedName name="_2DADOI1" localSheetId="33">#REF!</definedName>
    <definedName name="_2DADOI1">#REF!</definedName>
    <definedName name="_2DAL201" localSheetId="31">#REF!</definedName>
    <definedName name="_2DAL201" localSheetId="33">#REF!</definedName>
    <definedName name="_2DAL201">#REF!</definedName>
    <definedName name="_2KD0222" localSheetId="31">#REF!</definedName>
    <definedName name="_2KD0222" localSheetId="33">#REF!</definedName>
    <definedName name="_2KD0222">#REF!</definedName>
    <definedName name="_2LOT_" localSheetId="31">#REF!</definedName>
    <definedName name="_2LOT_">#REF!</definedName>
    <definedName name="_2LP" localSheetId="31">#REF!</definedName>
    <definedName name="_2LP" localSheetId="33">#REF!</definedName>
    <definedName name="_2LP">#REF!</definedName>
    <definedName name="_2TD2001" localSheetId="31">#REF!</definedName>
    <definedName name="_2TD2001" localSheetId="33">#REF!</definedName>
    <definedName name="_2TD2001">#REF!</definedName>
    <definedName name="_2月" localSheetId="31">#REF!</definedName>
    <definedName name="_2月" localSheetId="33">#REF!</definedName>
    <definedName name="_2月">#REF!</definedName>
    <definedName name="_2月G机差异" localSheetId="31">#REF!</definedName>
    <definedName name="_2月G机差异" localSheetId="33">#REF!</definedName>
    <definedName name="_2月G机差异">#REF!</definedName>
    <definedName name="_2月G机标准" localSheetId="31">#REF!</definedName>
    <definedName name="_2月G机标准" localSheetId="33">#REF!</definedName>
    <definedName name="_2月G机标准">#REF!</definedName>
    <definedName name="_2月Q机差异" localSheetId="31">#REF!</definedName>
    <definedName name="_2月Q机差异" localSheetId="33">#REF!</definedName>
    <definedName name="_2月Q机差异">#REF!</definedName>
    <definedName name="_2月Q机标准" localSheetId="31">#REF!</definedName>
    <definedName name="_2月Q机标准" localSheetId="33">#REF!</definedName>
    <definedName name="_2月Q机标准">#REF!</definedName>
    <definedName name="_3__123Graph_ACHART_3" localSheetId="31" hidden="1">#REF!</definedName>
    <definedName name="_3__123Graph_ACHART_3" hidden="1">#REF!</definedName>
    <definedName name="_3__123Graph_ACHART_5" localSheetId="31" hidden="1">#REF!</definedName>
    <definedName name="_3__123Graph_ACHART_5" hidden="1">#REF!</definedName>
    <definedName name="_3_119_8">#REF!</definedName>
    <definedName name="_3_20190418" localSheetId="31">#REF!</definedName>
    <definedName name="_3_20190418">#REF!</definedName>
    <definedName name="_3_231060401邮寄费" localSheetId="31">#REF!</definedName>
    <definedName name="_3_231060401邮寄费" localSheetId="33">#REF!</definedName>
    <definedName name="_3_231060401邮寄费">#REF!</definedName>
    <definedName name="_30_231061301电费" localSheetId="35">#REF!</definedName>
    <definedName name="_30_231061301电费" localSheetId="31">#REF!</definedName>
    <definedName name="_30_231061301电费" localSheetId="37">#REF!</definedName>
    <definedName name="_30_231061301电费" localSheetId="36">#REF!</definedName>
    <definedName name="_30_231061301电费" localSheetId="30">#REF!</definedName>
    <definedName name="_30_231061301电费" localSheetId="34">#REF!</definedName>
    <definedName name="_30_231061301电费">#REF!</definedName>
    <definedName name="_31_231061302" localSheetId="35">#REF!</definedName>
    <definedName name="_31_231061302" localSheetId="31">#REF!</definedName>
    <definedName name="_31_231061302" localSheetId="37">#REF!</definedName>
    <definedName name="_31_231061302" localSheetId="36">#REF!</definedName>
    <definedName name="_31_231061302" localSheetId="30">#REF!</definedName>
    <definedName name="_31_231061302" localSheetId="34">#REF!</definedName>
    <definedName name="_31_231061302">#REF!</definedName>
    <definedName name="_32_231061302燃油" localSheetId="31">#REF!</definedName>
    <definedName name="_32_231061302燃油" localSheetId="33">#REF!</definedName>
    <definedName name="_32_231061302燃油">#REF!</definedName>
    <definedName name="_33_231061303保暖费" localSheetId="31">#REF!</definedName>
    <definedName name="_33_231061303保暖费" localSheetId="33">#REF!</definedName>
    <definedName name="_33_231061303保暖费">#REF!</definedName>
    <definedName name="_34_231061304" localSheetId="35">#REF!</definedName>
    <definedName name="_34_231061304" localSheetId="31">#REF!</definedName>
    <definedName name="_34_231061304" localSheetId="37">#REF!</definedName>
    <definedName name="_34_231061304" localSheetId="36">#REF!</definedName>
    <definedName name="_34_231061304" localSheetId="30">#REF!</definedName>
    <definedName name="_34_231061304" localSheetId="34">#REF!</definedName>
    <definedName name="_34_231061304">#REF!</definedName>
    <definedName name="_35_231061304水" localSheetId="31">#REF!</definedName>
    <definedName name="_35_231061304水" localSheetId="33">#REF!</definedName>
    <definedName name="_35_231061304水">#REF!</definedName>
    <definedName name="_36_231061401客户" localSheetId="31">#REF!</definedName>
    <definedName name="_36_231061401客户" localSheetId="33">#REF!</definedName>
    <definedName name="_36_231061401客户">#REF!</definedName>
    <definedName name="_37_231061402个人" localSheetId="31">#REF!</definedName>
    <definedName name="_37_231061402个人" localSheetId="33">#REF!</definedName>
    <definedName name="_37_231061402个人">#REF!</definedName>
    <definedName name="_38_2310615安装费" localSheetId="31">#REF!</definedName>
    <definedName name="_38_2310615安装费" localSheetId="33">#REF!</definedName>
    <definedName name="_38_2310615安装费">#REF!</definedName>
    <definedName name="_39_231061601进场费" localSheetId="31">#REF!</definedName>
    <definedName name="_39_231061601进场费" localSheetId="33">#REF!</definedName>
    <definedName name="_39_231061601进场费">#REF!</definedName>
    <definedName name="_3BLXMD" localSheetId="31">#REF!</definedName>
    <definedName name="_3BLXMD" localSheetId="33">#REF!</definedName>
    <definedName name="_3BLXMD">#REF!</definedName>
    <definedName name="_3BOAG01" localSheetId="31">#REF!</definedName>
    <definedName name="_3BOAG01" localSheetId="33">#REF!</definedName>
    <definedName name="_3BOAG01">#REF!</definedName>
    <definedName name="_3COSSE1" localSheetId="31">#REF!</definedName>
    <definedName name="_3COSSE1" localSheetId="33">#REF!</definedName>
    <definedName name="_3COSSE1">#REF!</definedName>
    <definedName name="_3CTKHAC" localSheetId="31">#REF!</definedName>
    <definedName name="_3CTKHAC" localSheetId="33">#REF!</definedName>
    <definedName name="_3CTKHAC">#REF!</definedName>
    <definedName name="_3DMINO1" localSheetId="31">#REF!</definedName>
    <definedName name="_3DMINO1" localSheetId="33">#REF!</definedName>
    <definedName name="_3DMINO1">#REF!</definedName>
    <definedName name="_3DMINO2" localSheetId="31">#REF!</definedName>
    <definedName name="_3DMINO2" localSheetId="33">#REF!</definedName>
    <definedName name="_3DMINO2">#REF!</definedName>
    <definedName name="_3DUPSSS" localSheetId="31">#REF!</definedName>
    <definedName name="_3DUPSSS" localSheetId="33">#REF!</definedName>
    <definedName name="_3DUPSSS">#REF!</definedName>
    <definedName name="_3HTTR01" localSheetId="31">#REF!</definedName>
    <definedName name="_3HTTR01" localSheetId="33">#REF!</definedName>
    <definedName name="_3HTTR01">#REF!</definedName>
    <definedName name="_3HTTR02" localSheetId="31">#REF!</definedName>
    <definedName name="_3HTTR02" localSheetId="33">#REF!</definedName>
    <definedName name="_3HTTR02">#REF!</definedName>
    <definedName name="_3HTTR03" localSheetId="31">#REF!</definedName>
    <definedName name="_3HTTR03" localSheetId="33">#REF!</definedName>
    <definedName name="_3HTTR03">#REF!</definedName>
    <definedName name="_3HTTR04" localSheetId="31">#REF!</definedName>
    <definedName name="_3HTTR04" localSheetId="33">#REF!</definedName>
    <definedName name="_3HTTR04">#REF!</definedName>
    <definedName name="_3HTTR05" localSheetId="31">#REF!</definedName>
    <definedName name="_3HTTR05" localSheetId="33">#REF!</definedName>
    <definedName name="_3HTTR05">#REF!</definedName>
    <definedName name="_3LOT_" localSheetId="31">#REF!</definedName>
    <definedName name="_3LOT_">#REF!</definedName>
    <definedName name="_3MAÕ_HAØNG" localSheetId="31">#REF!</definedName>
    <definedName name="_3MAÕ_HAØNG" localSheetId="33">#REF!</definedName>
    <definedName name="_3MAÕ_HAØNG">#REF!</definedName>
    <definedName name="_3PKDOM1" localSheetId="31">#REF!</definedName>
    <definedName name="_3PKDOM1" localSheetId="33">#REF!</definedName>
    <definedName name="_3PKDOM1">#REF!</definedName>
    <definedName name="_3PKDOM2" localSheetId="31">#REF!</definedName>
    <definedName name="_3PKDOM2" localSheetId="33">#REF!</definedName>
    <definedName name="_3PKDOM2">#REF!</definedName>
    <definedName name="_3TRU122" localSheetId="31">#REF!</definedName>
    <definedName name="_3TRU122" localSheetId="33">#REF!</definedName>
    <definedName name="_3TRU122">#REF!</definedName>
    <definedName name="_3TU0609" localSheetId="31">#REF!</definedName>
    <definedName name="_3TU0609" localSheetId="33">#REF!</definedName>
    <definedName name="_3TU0609">#REF!</definedName>
    <definedName name="_3月" localSheetId="31">#REF!</definedName>
    <definedName name="_3月" localSheetId="33">#REF!</definedName>
    <definedName name="_3月">#REF!</definedName>
    <definedName name="_3月G机差异" localSheetId="31">#REF!</definedName>
    <definedName name="_3月G机差异" localSheetId="33">#REF!</definedName>
    <definedName name="_3月G机差异">#REF!</definedName>
    <definedName name="_3月G机标准" localSheetId="31">#REF!</definedName>
    <definedName name="_3月G机标准" localSheetId="33">#REF!</definedName>
    <definedName name="_3月G机标准">#REF!</definedName>
    <definedName name="_3月Q机差异" localSheetId="31">#REF!</definedName>
    <definedName name="_3月Q机差异" localSheetId="33">#REF!</definedName>
    <definedName name="_3月Q机差异">#REF!</definedName>
    <definedName name="_3月Q机标准" localSheetId="31">#REF!</definedName>
    <definedName name="_3月Q机标准" localSheetId="33">#REF!</definedName>
    <definedName name="_3月Q机标准">#REF!</definedName>
    <definedName name="_4__123Graph_BCHART_1" hidden="1">#N/A</definedName>
    <definedName name="_4__123Graph_XCHART_4" localSheetId="31" hidden="1">#REF!</definedName>
    <definedName name="_4__123Graph_XCHART_4" hidden="1">#REF!</definedName>
    <definedName name="_4_123">#REF!</definedName>
    <definedName name="_4_231060402文具印刷" localSheetId="31">#REF!</definedName>
    <definedName name="_4_231060402文具印刷" localSheetId="33">#REF!</definedName>
    <definedName name="_4_231060402文具印刷">#REF!</definedName>
    <definedName name="_40_231061602节庆店庆费" localSheetId="31">#REF!</definedName>
    <definedName name="_40_231061602节庆店庆费" localSheetId="33">#REF!</definedName>
    <definedName name="_40_231061602节庆店庆费">#REF!</definedName>
    <definedName name="_4010103在产品差异" localSheetId="31">#REF!</definedName>
    <definedName name="_4010103在产品差异" localSheetId="33">#REF!</definedName>
    <definedName name="_4010103在产品差异">#REF!</definedName>
    <definedName name="_41_231061603赞助费" localSheetId="31">#REF!</definedName>
    <definedName name="_41_231061603赞助费" localSheetId="33">#REF!</definedName>
    <definedName name="_41_231061603赞助费">#REF!</definedName>
    <definedName name="_42_231061604促销员管理费" localSheetId="31">#REF!</definedName>
    <definedName name="_42_231061604促销员管理费" localSheetId="33">#REF!</definedName>
    <definedName name="_42_231061604促销员管理费">#REF!</definedName>
    <definedName name="_43_231061610渠道费其他" localSheetId="31">#REF!</definedName>
    <definedName name="_43_231061610渠道费其他" localSheetId="33">#REF!</definedName>
    <definedName name="_43_231061610渠道费其他">#REF!</definedName>
    <definedName name="_430.001" localSheetId="31">#REF!</definedName>
    <definedName name="_430.001" localSheetId="33">#REF!</definedName>
    <definedName name="_430.001">#REF!</definedName>
    <definedName name="_44_2310617折旧修理费" localSheetId="31">#REF!</definedName>
    <definedName name="_44_2310617折旧修理费" localSheetId="33">#REF!</definedName>
    <definedName name="_44_2310617折旧修理费">#REF!</definedName>
    <definedName name="_45_2310621仓租" localSheetId="31">#REF!</definedName>
    <definedName name="_45_2310621仓租" localSheetId="33">#REF!</definedName>
    <definedName name="_45_2310621仓租">#REF!</definedName>
    <definedName name="_456" localSheetId="31">#REF!</definedName>
    <definedName name="_456">#REF!</definedName>
    <definedName name="_46_2310622仓库管理成本" localSheetId="31">#REF!</definedName>
    <definedName name="_46_2310622仓库管理成本" localSheetId="33">#REF!</definedName>
    <definedName name="_46_2310622仓库管理成本">#REF!</definedName>
    <definedName name="_47_2310650其他" localSheetId="31">#REF!</definedName>
    <definedName name="_47_2310650其他" localSheetId="33">#REF!</definedName>
    <definedName name="_47_2310650其他">#REF!</definedName>
    <definedName name="_48_80001" localSheetId="31">#REF!</definedName>
    <definedName name="_48_80001" localSheetId="33">#REF!</definedName>
    <definedName name="_48_80001">#REF!</definedName>
    <definedName name="_49_86003" localSheetId="31">#REF!</definedName>
    <definedName name="_49_86003" localSheetId="33">#REF!</definedName>
    <definedName name="_49_86003">#REF!</definedName>
    <definedName name="_4CNT240" localSheetId="31">#REF!</definedName>
    <definedName name="_4CNT240" localSheetId="33">#REF!</definedName>
    <definedName name="_4CNT240">#REF!</definedName>
    <definedName name="_4CTL240" localSheetId="31">#REF!</definedName>
    <definedName name="_4CTL240" localSheetId="33">#REF!</definedName>
    <definedName name="_4CTL240">#REF!</definedName>
    <definedName name="_4FCO100" localSheetId="31">#REF!</definedName>
    <definedName name="_4FCO100" localSheetId="33">#REF!</definedName>
    <definedName name="_4FCO100">#REF!</definedName>
    <definedName name="_4HDCTT4" localSheetId="31">#REF!</definedName>
    <definedName name="_4HDCTT4" localSheetId="33">#REF!</definedName>
    <definedName name="_4HDCTT4">#REF!</definedName>
    <definedName name="_4HNCTT4" localSheetId="31">#REF!</definedName>
    <definedName name="_4HNCTT4" localSheetId="33">#REF!</definedName>
    <definedName name="_4HNCTT4">#REF!</definedName>
    <definedName name="_4LBCO01" localSheetId="31">#REF!</definedName>
    <definedName name="_4LBCO01" localSheetId="33">#REF!</definedName>
    <definedName name="_4LBCO01">#REF!</definedName>
    <definedName name="_4MAÕ_SOÁ_THUEÁ" localSheetId="31">#REF!</definedName>
    <definedName name="_4MAÕ_SOÁ_THUEÁ" localSheetId="33">#REF!</definedName>
    <definedName name="_4MAÕ_SOÁ_THUEÁ">#REF!</definedName>
    <definedName name="_4OSLCTT" localSheetId="31">#REF!</definedName>
    <definedName name="_4OSLCTT" localSheetId="33">#REF!</definedName>
    <definedName name="_4OSLCTT">#REF!</definedName>
    <definedName name="_4月" localSheetId="31">#REF!</definedName>
    <definedName name="_4月">#REF!</definedName>
    <definedName name="_4月B箱体差异" localSheetId="31">#REF!</definedName>
    <definedName name="_4月B箱体差异" localSheetId="33">#REF!</definedName>
    <definedName name="_4月B箱体差异">#REF!</definedName>
    <definedName name="_4月B箱体材料" localSheetId="31">#REF!</definedName>
    <definedName name="_4月B箱体材料" localSheetId="33">#REF!</definedName>
    <definedName name="_4月B箱体材料">#REF!</definedName>
    <definedName name="_4月G机箱体差异" localSheetId="31">#REF!</definedName>
    <definedName name="_4月G机箱体差异" localSheetId="33">#REF!</definedName>
    <definedName name="_4月G机箱体差异">#REF!</definedName>
    <definedName name="_4月G机箱体材料" localSheetId="31">#REF!</definedName>
    <definedName name="_4月G机箱体材料" localSheetId="33">#REF!</definedName>
    <definedName name="_4月G机箱体材料">#REF!</definedName>
    <definedName name="_4月G机车间差异" localSheetId="31">#REF!</definedName>
    <definedName name="_4月G机车间差异" localSheetId="33">#REF!</definedName>
    <definedName name="_4月G机车间差异">#REF!</definedName>
    <definedName name="_4月G机车间材料" localSheetId="31">#REF!</definedName>
    <definedName name="_4月G机车间材料" localSheetId="33">#REF!</definedName>
    <definedName name="_4月G机车间材料">#REF!</definedName>
    <definedName name="_4月Q机车间差异" localSheetId="31">#REF!</definedName>
    <definedName name="_4月Q机车间差异" localSheetId="33">#REF!</definedName>
    <definedName name="_4月Q机车间差异">#REF!</definedName>
    <definedName name="_4月Q机车间材料" localSheetId="31">#REF!</definedName>
    <definedName name="_4月Q机车间材料" localSheetId="33">#REF!</definedName>
    <definedName name="_4月Q机车间材料">#REF!</definedName>
    <definedName name="_4月制造费用" localSheetId="31">#REF!</definedName>
    <definedName name="_4月制造费用" localSheetId="33">#REF!</definedName>
    <definedName name="_4月制造费用">#REF!</definedName>
    <definedName name="_4月注塑差异" localSheetId="31">#REF!</definedName>
    <definedName name="_4月注塑差异" localSheetId="33">#REF!</definedName>
    <definedName name="_4月注塑差异">#REF!</definedName>
    <definedName name="_4月注塑材料" localSheetId="31">#REF!</definedName>
    <definedName name="_4月注塑材料" localSheetId="33">#REF!</definedName>
    <definedName name="_4月注塑材料">#REF!</definedName>
    <definedName name="_5__123Graph_BCHART_2" localSheetId="31" hidden="1">#REF!</definedName>
    <definedName name="_5__123Graph_BCHART_2" hidden="1">#REF!</definedName>
    <definedName name="_5_131">#REF!</definedName>
    <definedName name="_5_231060402文具印刷费" localSheetId="35">#REF!</definedName>
    <definedName name="_5_231060402文具印刷费" localSheetId="31">#REF!</definedName>
    <definedName name="_5_231060402文具印刷费" localSheetId="37">#REF!</definedName>
    <definedName name="_5_231060402文具印刷费" localSheetId="36">#REF!</definedName>
    <definedName name="_5_231060402文具印刷费" localSheetId="30">#REF!</definedName>
    <definedName name="_5_231060402文具印刷费" localSheetId="34">#REF!</definedName>
    <definedName name="_5_231060402文具印刷费">#REF!</definedName>
    <definedName name="_50_86004" localSheetId="31">#REF!</definedName>
    <definedName name="_50_86004" localSheetId="33">#REF!</definedName>
    <definedName name="_50_86004">#REF!</definedName>
    <definedName name="_5001010201" localSheetId="31">#REF!</definedName>
    <definedName name="_5001010201">#REF!</definedName>
    <definedName name="_5001010202" localSheetId="31">#REF!</definedName>
    <definedName name="_5001010202">#REF!</definedName>
    <definedName name="_500101020601" localSheetId="31">#REF!</definedName>
    <definedName name="_500101020601">#REF!</definedName>
    <definedName name="_500102" localSheetId="31">#REF!</definedName>
    <definedName name="_500102">#REF!</definedName>
    <definedName name="_501" localSheetId="31">#REF!</definedName>
    <definedName name="_501" localSheetId="33">#REF!</definedName>
    <definedName name="_501">#REF!</definedName>
    <definedName name="_501_2" localSheetId="31">#REF!</definedName>
    <definedName name="_501_2" localSheetId="33">#REF!</definedName>
    <definedName name="_501_2">#REF!</definedName>
    <definedName name="_502" localSheetId="31">#REF!</definedName>
    <definedName name="_502" localSheetId="33">#REF!</definedName>
    <definedName name="_502">#REF!</definedName>
    <definedName name="_50202" localSheetId="35">#REF!</definedName>
    <definedName name="_50202" localSheetId="31">#REF!</definedName>
    <definedName name="_50202" localSheetId="37">#REF!</definedName>
    <definedName name="_50202" localSheetId="36">#REF!</definedName>
    <definedName name="_50202" localSheetId="30">#REF!</definedName>
    <definedName name="_50202" localSheetId="34">#REF!</definedName>
    <definedName name="_50202">#REF!</definedName>
    <definedName name="_50202出口" localSheetId="31">#REF!</definedName>
    <definedName name="_50202出口" localSheetId="33">#REF!</definedName>
    <definedName name="_50202出口">#REF!</definedName>
    <definedName name="_50202出口12月" localSheetId="31">#REF!</definedName>
    <definedName name="_50202出口12月" localSheetId="33">#REF!</definedName>
    <definedName name="_50202出口12月">#REF!</definedName>
    <definedName name="_50202出口销售" localSheetId="35">#REF!</definedName>
    <definedName name="_50202出口销售" localSheetId="31">#REF!</definedName>
    <definedName name="_50202出口销售" localSheetId="37">#REF!</definedName>
    <definedName name="_50202出口销售" localSheetId="36">#REF!</definedName>
    <definedName name="_50202出口销售" localSheetId="30">#REF!</definedName>
    <definedName name="_50202出口销售" localSheetId="34">#REF!</definedName>
    <definedName name="_50202出口销售">#REF!</definedName>
    <definedName name="_50202出口销机" localSheetId="31">#REF!</definedName>
    <definedName name="_50202出口销机" localSheetId="33">#REF!</definedName>
    <definedName name="_50202出口销机">#REF!</definedName>
    <definedName name="_50203" localSheetId="31">#REF!</definedName>
    <definedName name="_50203" localSheetId="33">#REF!</definedName>
    <definedName name="_50203">#REF!</definedName>
    <definedName name="_50203出口CANDY" localSheetId="31">#REF!</definedName>
    <definedName name="_50203出口CANDY" localSheetId="33">#REF!</definedName>
    <definedName name="_50203出口CANDY">#REF!</definedName>
    <definedName name="_50203出口CANDY12月" localSheetId="31">#REF!</definedName>
    <definedName name="_50203出口CANDY12月" localSheetId="33">#REF!</definedName>
    <definedName name="_50203出口CANDY12月">#REF!</definedName>
    <definedName name="_50203直接出口CANDY" localSheetId="31">#REF!</definedName>
    <definedName name="_50203直接出口CANDY" localSheetId="33">#REF!</definedName>
    <definedName name="_50203直接出口CANDY">#REF!</definedName>
    <definedName name="_50205定牌销售" localSheetId="31">#REF!</definedName>
    <definedName name="_50205定牌销售" localSheetId="33">#REF!</definedName>
    <definedName name="_50205定牌销售">#REF!</definedName>
    <definedName name="_502出口" localSheetId="31">#REF!</definedName>
    <definedName name="_502出口" localSheetId="33">#REF!</definedName>
    <definedName name="_502出口">#REF!</definedName>
    <definedName name="_5080591" localSheetId="31">#REF!</definedName>
    <definedName name="_5080591" localSheetId="33">#REF!</definedName>
    <definedName name="_5080591">#REF!</definedName>
    <definedName name="_51_86005" localSheetId="31">#REF!</definedName>
    <definedName name="_51_86005" localSheetId="33">#REF!</definedName>
    <definedName name="_51_86005">#REF!</definedName>
    <definedName name="_51010401" localSheetId="31">#REF!</definedName>
    <definedName name="_51010401">#REF!</definedName>
    <definedName name="_51010402" localSheetId="31">#REF!</definedName>
    <definedName name="_51010402">#REF!</definedName>
    <definedName name="_51010403" localSheetId="31">#REF!</definedName>
    <definedName name="_51010403">#REF!</definedName>
    <definedName name="_51010404" localSheetId="31">#REF!</definedName>
    <definedName name="_51010404">#REF!</definedName>
    <definedName name="_510105" localSheetId="31">#REF!</definedName>
    <definedName name="_510105">#REF!</definedName>
    <definedName name="_510142" localSheetId="31">#REF!</definedName>
    <definedName name="_510142">#REF!</definedName>
    <definedName name="_52_86006" localSheetId="31">#REF!</definedName>
    <definedName name="_52_86006" localSheetId="33">#REF!</definedName>
    <definedName name="_52_86006">#REF!</definedName>
    <definedName name="_53_86007" localSheetId="31">#REF!</definedName>
    <definedName name="_53_86007" localSheetId="33">#REF!</definedName>
    <definedName name="_53_86007">#REF!</definedName>
    <definedName name="_54_86008" localSheetId="31">#REF!</definedName>
    <definedName name="_54_86008" localSheetId="33">#REF!</definedName>
    <definedName name="_54_86008">#REF!</definedName>
    <definedName name="_5GG1_" localSheetId="4" hidden="1">{#N/A,#N/A,FALSE,"Aging Summary";#N/A,#N/A,FALSE,"Ratio Analysis";#N/A,#N/A,FALSE,"Test 120 Day Accts";#N/A,#N/A,FALSE,"Tickmarks"}</definedName>
    <definedName name="_5GG1_" localSheetId="35" hidden="1">{#N/A,#N/A,FALSE,"Aging Summary";#N/A,#N/A,FALSE,"Ratio Analysis";#N/A,#N/A,FALSE,"Test 120 Day Accts";#N/A,#N/A,FALSE,"Tickmarks"}</definedName>
    <definedName name="_5GG1_" localSheetId="31" hidden="1">{#N/A,#N/A,FALSE,"Aging Summary";#N/A,#N/A,FALSE,"Ratio Analysis";#N/A,#N/A,FALSE,"Test 120 Day Accts";#N/A,#N/A,FALSE,"Tickmarks"}</definedName>
    <definedName name="_5GG1_" localSheetId="37" hidden="1">{#N/A,#N/A,FALSE,"Aging Summary";#N/A,#N/A,FALSE,"Ratio Analysis";#N/A,#N/A,FALSE,"Test 120 Day Accts";#N/A,#N/A,FALSE,"Tickmarks"}</definedName>
    <definedName name="_5GG1_" localSheetId="38" hidden="1">{#N/A,#N/A,FALSE,"Aging Summary";#N/A,#N/A,FALSE,"Ratio Analysis";#N/A,#N/A,FALSE,"Test 120 Day Accts";#N/A,#N/A,FALSE,"Tickmarks"}</definedName>
    <definedName name="_5GG1_" localSheetId="7" hidden="1">{#N/A,#N/A,FALSE,"Aging Summary";#N/A,#N/A,FALSE,"Ratio Analysis";#N/A,#N/A,FALSE,"Test 120 Day Accts";#N/A,#N/A,FALSE,"Tickmarks"}</definedName>
    <definedName name="_5GG1_" localSheetId="36" hidden="1">{#N/A,#N/A,FALSE,"Aging Summary";#N/A,#N/A,FALSE,"Ratio Analysis";#N/A,#N/A,FALSE,"Test 120 Day Accts";#N/A,#N/A,FALSE,"Tickmarks"}</definedName>
    <definedName name="_5GG1_" localSheetId="21" hidden="1">{#N/A,#N/A,FALSE,"Aging Summary";#N/A,#N/A,FALSE,"Ratio Analysis";#N/A,#N/A,FALSE,"Test 120 Day Accts";#N/A,#N/A,FALSE,"Tickmarks"}</definedName>
    <definedName name="_5GG1_" localSheetId="30" hidden="1">{#N/A,#N/A,FALSE,"Aging Summary";#N/A,#N/A,FALSE,"Ratio Analysis";#N/A,#N/A,FALSE,"Test 120 Day Accts";#N/A,#N/A,FALSE,"Tickmarks"}</definedName>
    <definedName name="_5GG1_" localSheetId="34" hidden="1">{#N/A,#N/A,FALSE,"Aging Summary";#N/A,#N/A,FALSE,"Ratio Analysis";#N/A,#N/A,FALSE,"Test 120 Day Accts";#N/A,#N/A,FALSE,"Tickmarks"}</definedName>
    <definedName name="_5GG1_" localSheetId="33" hidden="1">{#N/A,#N/A,FALSE,"Aging Summary";#N/A,#N/A,FALSE,"Ratio Analysis";#N/A,#N/A,FALSE,"Test 120 Day Accts";#N/A,#N/A,FALSE,"Tickmarks"}</definedName>
    <definedName name="_5GG1_" localSheetId="6" hidden="1">{#N/A,#N/A,FALSE,"Aging Summary";#N/A,#N/A,FALSE,"Ratio Analysis";#N/A,#N/A,FALSE,"Test 120 Day Accts";#N/A,#N/A,FALSE,"Tickmarks"}</definedName>
    <definedName name="_5GG1_" hidden="1">{#N/A,#N/A,FALSE,"Aging Summary";#N/A,#N/A,FALSE,"Ratio Analysis";#N/A,#N/A,FALSE,"Test 120 Day Accts";#N/A,#N/A,FALSE,"Tickmarks"}</definedName>
    <definedName name="_5ÑÔN_GIAÙ" localSheetId="33">#REF!</definedName>
    <definedName name="_5ÑÔN_GIAÙ">#REF!</definedName>
    <definedName name="_6" localSheetId="31">#REF!</definedName>
    <definedName name="_6">#REF!</definedName>
    <definedName name="_6__123Graph_BCHART_3" localSheetId="31" hidden="1">#REF!</definedName>
    <definedName name="_6__123Graph_BCHART_3" hidden="1">#REF!</definedName>
    <definedName name="_6_13120">#REF!</definedName>
    <definedName name="_6_231060403办公其他费用" localSheetId="31">#REF!</definedName>
    <definedName name="_6_231060403办公其他费用" localSheetId="33">#REF!</definedName>
    <definedName name="_6_231060403办公其他费用">#REF!</definedName>
    <definedName name="_65" localSheetId="31">#REF!</definedName>
    <definedName name="_65">#REF!</definedName>
    <definedName name="_67" localSheetId="31">#REF!</definedName>
    <definedName name="_67">#REF!</definedName>
    <definedName name="_6SOÁ_CTÖØ" localSheetId="31">#REF!</definedName>
    <definedName name="_6SOÁ_CTÖØ" localSheetId="33">#REF!</definedName>
    <definedName name="_6SOÁ_CTÖØ">#REF!</definedName>
    <definedName name="_6月" localSheetId="31">#REF!</definedName>
    <definedName name="_6月">#REF!</definedName>
    <definedName name="_7__123Graph_DCHART_1" hidden="1">#N/A</definedName>
    <definedName name="_7_134_138">#REF!</definedName>
    <definedName name="_7_231060501飞机票费" localSheetId="31">#REF!</definedName>
    <definedName name="_7_231060501飞机票费" localSheetId="33">#REF!</definedName>
    <definedName name="_7_231060501飞机票费">#REF!</definedName>
    <definedName name="_7GG2_" localSheetId="4" hidden="1">{#N/A,#N/A,FALSE,"Aging Summary";#N/A,#N/A,FALSE,"Ratio Analysis";#N/A,#N/A,FALSE,"Test 120 Day Accts";#N/A,#N/A,FALSE,"Tickmarks"}</definedName>
    <definedName name="_7GG2_" localSheetId="35" hidden="1">{#N/A,#N/A,FALSE,"Aging Summary";#N/A,#N/A,FALSE,"Ratio Analysis";#N/A,#N/A,FALSE,"Test 120 Day Accts";#N/A,#N/A,FALSE,"Tickmarks"}</definedName>
    <definedName name="_7GG2_" localSheetId="31" hidden="1">{#N/A,#N/A,FALSE,"Aging Summary";#N/A,#N/A,FALSE,"Ratio Analysis";#N/A,#N/A,FALSE,"Test 120 Day Accts";#N/A,#N/A,FALSE,"Tickmarks"}</definedName>
    <definedName name="_7GG2_" localSheetId="37" hidden="1">{#N/A,#N/A,FALSE,"Aging Summary";#N/A,#N/A,FALSE,"Ratio Analysis";#N/A,#N/A,FALSE,"Test 120 Day Accts";#N/A,#N/A,FALSE,"Tickmarks"}</definedName>
    <definedName name="_7GG2_" localSheetId="38" hidden="1">{#N/A,#N/A,FALSE,"Aging Summary";#N/A,#N/A,FALSE,"Ratio Analysis";#N/A,#N/A,FALSE,"Test 120 Day Accts";#N/A,#N/A,FALSE,"Tickmarks"}</definedName>
    <definedName name="_7GG2_" localSheetId="7" hidden="1">{#N/A,#N/A,FALSE,"Aging Summary";#N/A,#N/A,FALSE,"Ratio Analysis";#N/A,#N/A,FALSE,"Test 120 Day Accts";#N/A,#N/A,FALSE,"Tickmarks"}</definedName>
    <definedName name="_7GG2_" localSheetId="36" hidden="1">{#N/A,#N/A,FALSE,"Aging Summary";#N/A,#N/A,FALSE,"Ratio Analysis";#N/A,#N/A,FALSE,"Test 120 Day Accts";#N/A,#N/A,FALSE,"Tickmarks"}</definedName>
    <definedName name="_7GG2_" localSheetId="21" hidden="1">{#N/A,#N/A,FALSE,"Aging Summary";#N/A,#N/A,FALSE,"Ratio Analysis";#N/A,#N/A,FALSE,"Test 120 Day Accts";#N/A,#N/A,FALSE,"Tickmarks"}</definedName>
    <definedName name="_7GG2_" localSheetId="30" hidden="1">{#N/A,#N/A,FALSE,"Aging Summary";#N/A,#N/A,FALSE,"Ratio Analysis";#N/A,#N/A,FALSE,"Test 120 Day Accts";#N/A,#N/A,FALSE,"Tickmarks"}</definedName>
    <definedName name="_7GG2_" localSheetId="34" hidden="1">{#N/A,#N/A,FALSE,"Aging Summary";#N/A,#N/A,FALSE,"Ratio Analysis";#N/A,#N/A,FALSE,"Test 120 Day Accts";#N/A,#N/A,FALSE,"Tickmarks"}</definedName>
    <definedName name="_7GG2_" localSheetId="33" hidden="1">{#N/A,#N/A,FALSE,"Aging Summary";#N/A,#N/A,FALSE,"Ratio Analysis";#N/A,#N/A,FALSE,"Test 120 Day Accts";#N/A,#N/A,FALSE,"Tickmarks"}</definedName>
    <definedName name="_7GG2_" localSheetId="6" hidden="1">{#N/A,#N/A,FALSE,"Aging Summary";#N/A,#N/A,FALSE,"Ratio Analysis";#N/A,#N/A,FALSE,"Test 120 Day Accts";#N/A,#N/A,FALSE,"Tickmarks"}</definedName>
    <definedName name="_7GG2_" hidden="1">{#N/A,#N/A,FALSE,"Aging Summary";#N/A,#N/A,FALSE,"Ratio Analysis";#N/A,#N/A,FALSE,"Test 120 Day Accts";#N/A,#N/A,FALSE,"Tickmarks"}</definedName>
    <definedName name="_7SOÁ_LÖÔÏNG" localSheetId="33">#REF!</definedName>
    <definedName name="_7SOÁ_LÖÔÏNG">#REF!</definedName>
    <definedName name="_7月销售" localSheetId="31">#REF!</definedName>
    <definedName name="_7月销售" localSheetId="33">#REF!</definedName>
    <definedName name="_7月销售">#REF!</definedName>
    <definedName name="_8" localSheetId="31">#REF!</definedName>
    <definedName name="_8">#REF!</definedName>
    <definedName name="_8__123Graph_DCHART_2" localSheetId="31" hidden="1">#REF!</definedName>
    <definedName name="_8__123Graph_DCHART_2" hidden="1">#REF!</definedName>
    <definedName name="_8_0LOT_" localSheetId="31">#REF!</definedName>
    <definedName name="_8_0LOT_">#REF!</definedName>
    <definedName name="_8_231060502火车轮船" localSheetId="31">#REF!</definedName>
    <definedName name="_8_231060502火车轮船" localSheetId="33">#REF!</definedName>
    <definedName name="_8_231060502火车轮船">#REF!</definedName>
    <definedName name="_80001" localSheetId="31">#REF!</definedName>
    <definedName name="_80001" localSheetId="33">#REF!</definedName>
    <definedName name="_80001">#REF!</definedName>
    <definedName name="_86003" localSheetId="31">#REF!</definedName>
    <definedName name="_86003" localSheetId="33">#REF!</definedName>
    <definedName name="_86003">#REF!</definedName>
    <definedName name="_86004" localSheetId="31">#REF!</definedName>
    <definedName name="_86004" localSheetId="33">#REF!</definedName>
    <definedName name="_86004">#REF!</definedName>
    <definedName name="_86005" localSheetId="31">#REF!</definedName>
    <definedName name="_86005" localSheetId="33">#REF!</definedName>
    <definedName name="_86005">#REF!</definedName>
    <definedName name="_86006" localSheetId="31">#REF!</definedName>
    <definedName name="_86006" localSheetId="33">#REF!</definedName>
    <definedName name="_86006">#REF!</definedName>
    <definedName name="_86007" localSheetId="31">#REF!</definedName>
    <definedName name="_86007" localSheetId="33">#REF!</definedName>
    <definedName name="_86007">#REF!</definedName>
    <definedName name="_86008" localSheetId="31">#REF!</definedName>
    <definedName name="_86008" localSheetId="33">#REF!</definedName>
    <definedName name="_86008">#REF!</definedName>
    <definedName name="_8IV16532_" localSheetId="31">#REF!</definedName>
    <definedName name="_8IV16532_" localSheetId="33">#REF!</definedName>
    <definedName name="_8IV16532_">#REF!</definedName>
    <definedName name="_8TEÂN_HAØNG" localSheetId="31">#REF!</definedName>
    <definedName name="_8TEÂN_HAØNG" localSheetId="33">#REF!</definedName>
    <definedName name="_8TEÂN_HAØNG">#REF!</definedName>
    <definedName name="_9" localSheetId="31">#REF!</definedName>
    <definedName name="_9">#REF!</definedName>
    <definedName name="_9__123Graph_LBL_ACHART_1" hidden="1">#N/A</definedName>
    <definedName name="_9_231060503其他交通费" localSheetId="31">#REF!</definedName>
    <definedName name="_9_231060503其他交通费" localSheetId="33">#REF!</definedName>
    <definedName name="_9_231060503其他交通费">#REF!</definedName>
    <definedName name="_93" localSheetId="31">#REF!</definedName>
    <definedName name="_93" localSheetId="33">#REF!</definedName>
    <definedName name="_93">#REF!</definedName>
    <definedName name="_94" localSheetId="31">#REF!</definedName>
    <definedName name="_94" localSheetId="33">#REF!</definedName>
    <definedName name="_94">#REF!</definedName>
    <definedName name="_95" localSheetId="31">#REF!</definedName>
    <definedName name="_95" localSheetId="33">#REF!</definedName>
    <definedName name="_95">#REF!</definedName>
    <definedName name="_96" localSheetId="31">#REF!</definedName>
    <definedName name="_96" localSheetId="33">#REF!</definedName>
    <definedName name="_96">#REF!</definedName>
    <definedName name="_97" localSheetId="31">#REF!</definedName>
    <definedName name="_97" localSheetId="33">#REF!</definedName>
    <definedName name="_97">#REF!</definedName>
    <definedName name="_98" localSheetId="31">#REF!</definedName>
    <definedName name="_98" localSheetId="33">#REF!</definedName>
    <definedName name="_98">#REF!</definedName>
    <definedName name="_99" localSheetId="31">#REF!</definedName>
    <definedName name="_99" localSheetId="33">#REF!</definedName>
    <definedName name="_99">#REF!</definedName>
    <definedName name="_9IV17532_" localSheetId="31">#REF!</definedName>
    <definedName name="_9IV17532_" localSheetId="33">#REF!</definedName>
    <definedName name="_9IV17532_">#REF!</definedName>
    <definedName name="_9TEÂN_KHAÙCH_HAØ" localSheetId="31">#REF!</definedName>
    <definedName name="_9TEÂN_KHAÙCH_HAØ" localSheetId="33">#REF!</definedName>
    <definedName name="_9TEÂN_KHAÙCH_HAØ">#REF!</definedName>
    <definedName name="_9月预提" localSheetId="31">#REF!</definedName>
    <definedName name="_9月预提">#REF!</definedName>
    <definedName name="_A" localSheetId="31">#REF!</definedName>
    <definedName name="_A" localSheetId="33">#REF!</definedName>
    <definedName name="_A">#REF!</definedName>
    <definedName name="_aa03" localSheetId="31">#REF!</definedName>
    <definedName name="_aa03">#REF!</definedName>
    <definedName name="_Amount_for_Monthly" localSheetId="31" hidden="1">#REF!</definedName>
    <definedName name="_Amount_for_Monthly" hidden="1">#REF!</definedName>
    <definedName name="_c" localSheetId="35" hidden="1">{"SPM1",#N/A,FALSE,"RIEP"}</definedName>
    <definedName name="_c" localSheetId="31" hidden="1">{"SPM1",#N/A,FALSE,"RIEP"}</definedName>
    <definedName name="_c" localSheetId="37" hidden="1">{"SPM1",#N/A,FALSE,"RIEP"}</definedName>
    <definedName name="_c" localSheetId="36" hidden="1">{"SPM1",#N/A,FALSE,"RIEP"}</definedName>
    <definedName name="_c" hidden="1">{"SPM1",#N/A,FALSE,"RIEP"}</definedName>
    <definedName name="_CNQ07">#REF!</definedName>
    <definedName name="_CON1" localSheetId="31">#REF!</definedName>
    <definedName name="_CON1" localSheetId="33">#REF!</definedName>
    <definedName name="_CON1">#REF!</definedName>
    <definedName name="_CON2" localSheetId="31">#REF!</definedName>
    <definedName name="_CON2" localSheetId="33">#REF!</definedName>
    <definedName name="_CON2">#REF!</definedName>
    <definedName name="_ddn400" localSheetId="31">#REF!</definedName>
    <definedName name="_ddn400" localSheetId="33">#REF!</definedName>
    <definedName name="_ddn400">#REF!</definedName>
    <definedName name="_ddn600" localSheetId="31">#REF!</definedName>
    <definedName name="_ddn600" localSheetId="33">#REF!</definedName>
    <definedName name="_ddn600">#REF!</definedName>
    <definedName name="_Dist_Bin" localSheetId="31" hidden="1">#REF!</definedName>
    <definedName name="_Dist_Bin" hidden="1">#REF!</definedName>
    <definedName name="_Dist_Values" localSheetId="31" hidden="1">#REF!</definedName>
    <definedName name="_Dist_Values" hidden="1">#REF!</definedName>
    <definedName name="_E99999" localSheetId="31">#REF!</definedName>
    <definedName name="_E99999" localSheetId="33">#REF!</definedName>
    <definedName name="_E99999">#REF!</definedName>
    <definedName name="_FAC1" localSheetId="31">#REF!</definedName>
    <definedName name="_FAC1">#REF!</definedName>
    <definedName name="_FAC10" localSheetId="31">#REF!</definedName>
    <definedName name="_FAC10">#REF!</definedName>
    <definedName name="_FAC11" localSheetId="31">#REF!</definedName>
    <definedName name="_FAC11">#REF!</definedName>
    <definedName name="_FAC12" localSheetId="31">#REF!</definedName>
    <definedName name="_FAC12">#REF!</definedName>
    <definedName name="_FAC2" localSheetId="31">#REF!</definedName>
    <definedName name="_FAC2">#REF!</definedName>
    <definedName name="_FAC3" localSheetId="31">#REF!</definedName>
    <definedName name="_FAC3">#REF!</definedName>
    <definedName name="_FAC4" localSheetId="31">#REF!</definedName>
    <definedName name="_FAC4">#REF!</definedName>
    <definedName name="_FAC5" localSheetId="31">#REF!</definedName>
    <definedName name="_FAC5">#REF!</definedName>
    <definedName name="_FAC6" localSheetId="31">#REF!</definedName>
    <definedName name="_FAC6">#REF!</definedName>
    <definedName name="_FAC7" localSheetId="31">#REF!</definedName>
    <definedName name="_FAC7">#REF!</definedName>
    <definedName name="_FAC8" localSheetId="31">#REF!</definedName>
    <definedName name="_FAC8">#REF!</definedName>
    <definedName name="_FAC9" localSheetId="31">#REF!</definedName>
    <definedName name="_FAC9">#REF!</definedName>
    <definedName name="_Fill" localSheetId="31" hidden="1">#REF!</definedName>
    <definedName name="_Fill" localSheetId="33" hidden="1">#REF!</definedName>
    <definedName name="_Fill" hidden="1">#REF!</definedName>
    <definedName name="_xlnm._FilterDatabase" localSheetId="15" hidden="1">'ACE Details_FULL'!$A$24:$S$44</definedName>
    <definedName name="_xlnm._FilterDatabase" localSheetId="20" hidden="1">'Budget assumption'!$A$1:$AB$339</definedName>
    <definedName name="_xlnm._FilterDatabase" localSheetId="35" hidden="1">#REF!</definedName>
    <definedName name="_xlnm._FilterDatabase" localSheetId="31" hidden="1">#REF!</definedName>
    <definedName name="_xlnm._FilterDatabase" localSheetId="23" hidden="1">MTD!$A$13:$L$234</definedName>
    <definedName name="_xlnm._FilterDatabase" localSheetId="22" hidden="1">'SAP Actual extraction'!$B$28:$K$256</definedName>
    <definedName name="_xlnm._FilterDatabase" localSheetId="21" hidden="1">SAP_ACT_EUR!$A$4:$O$339</definedName>
    <definedName name="_xlnm._FilterDatabase" localSheetId="33" hidden="1">Scrap_Recovery!$B$14:$CK$33</definedName>
    <definedName name="_xlnm._FilterDatabase">#REF!</definedName>
    <definedName name="_GG1" localSheetId="4" hidden="1">{#N/A,#N/A,FALSE,"Aging Summary";#N/A,#N/A,FALSE,"Ratio Analysis";#N/A,#N/A,FALSE,"Test 120 Day Accts";#N/A,#N/A,FALSE,"Tickmarks"}</definedName>
    <definedName name="_GG1" localSheetId="35" hidden="1">{#N/A,#N/A,FALSE,"Aging Summary";#N/A,#N/A,FALSE,"Ratio Analysis";#N/A,#N/A,FALSE,"Test 120 Day Accts";#N/A,#N/A,FALSE,"Tickmarks"}</definedName>
    <definedName name="_GG1" localSheetId="31" hidden="1">{#N/A,#N/A,FALSE,"Aging Summary";#N/A,#N/A,FALSE,"Ratio Analysis";#N/A,#N/A,FALSE,"Test 120 Day Accts";#N/A,#N/A,FALSE,"Tickmarks"}</definedName>
    <definedName name="_GG1" localSheetId="37" hidden="1">{#N/A,#N/A,FALSE,"Aging Summary";#N/A,#N/A,FALSE,"Ratio Analysis";#N/A,#N/A,FALSE,"Test 120 Day Accts";#N/A,#N/A,FALSE,"Tickmarks"}</definedName>
    <definedName name="_GG1" localSheetId="38" hidden="1">{#N/A,#N/A,FALSE,"Aging Summary";#N/A,#N/A,FALSE,"Ratio Analysis";#N/A,#N/A,FALSE,"Test 120 Day Accts";#N/A,#N/A,FALSE,"Tickmarks"}</definedName>
    <definedName name="_GG1" localSheetId="7" hidden="1">{#N/A,#N/A,FALSE,"Aging Summary";#N/A,#N/A,FALSE,"Ratio Analysis";#N/A,#N/A,FALSE,"Test 120 Day Accts";#N/A,#N/A,FALSE,"Tickmarks"}</definedName>
    <definedName name="_GG1" localSheetId="36" hidden="1">{#N/A,#N/A,FALSE,"Aging Summary";#N/A,#N/A,FALSE,"Ratio Analysis";#N/A,#N/A,FALSE,"Test 120 Day Accts";#N/A,#N/A,FALSE,"Tickmarks"}</definedName>
    <definedName name="_GG1" localSheetId="21" hidden="1">{#N/A,#N/A,FALSE,"Aging Summary";#N/A,#N/A,FALSE,"Ratio Analysis";#N/A,#N/A,FALSE,"Test 120 Day Accts";#N/A,#N/A,FALSE,"Tickmarks"}</definedName>
    <definedName name="_GG1" localSheetId="30" hidden="1">{#N/A,#N/A,FALSE,"Aging Summary";#N/A,#N/A,FALSE,"Ratio Analysis";#N/A,#N/A,FALSE,"Test 120 Day Accts";#N/A,#N/A,FALSE,"Tickmarks"}</definedName>
    <definedName name="_GG1" localSheetId="34" hidden="1">{#N/A,#N/A,FALSE,"Aging Summary";#N/A,#N/A,FALSE,"Ratio Analysis";#N/A,#N/A,FALSE,"Test 120 Day Accts";#N/A,#N/A,FALSE,"Tickmarks"}</definedName>
    <definedName name="_GG1" localSheetId="33" hidden="1">{#N/A,#N/A,FALSE,"Aging Summary";#N/A,#N/A,FALSE,"Ratio Analysis";#N/A,#N/A,FALSE,"Test 120 Day Accts";#N/A,#N/A,FALSE,"Tickmarks"}</definedName>
    <definedName name="_GG1" localSheetId="6" hidden="1">{#N/A,#N/A,FALSE,"Aging Summary";#N/A,#N/A,FALSE,"Ratio Analysis";#N/A,#N/A,FALSE,"Test 120 Day Accts";#N/A,#N/A,FALSE,"Tickmarks"}</definedName>
    <definedName name="_GG1" hidden="1">{#N/A,#N/A,FALSE,"Aging Summary";#N/A,#N/A,FALSE,"Ratio Analysis";#N/A,#N/A,FALSE,"Test 120 Day Accts";#N/A,#N/A,FALSE,"Tickmarks"}</definedName>
    <definedName name="_GG2" localSheetId="4" hidden="1">{#N/A,#N/A,FALSE,"Aging Summary";#N/A,#N/A,FALSE,"Ratio Analysis";#N/A,#N/A,FALSE,"Test 120 Day Accts";#N/A,#N/A,FALSE,"Tickmarks"}</definedName>
    <definedName name="_GG2" localSheetId="35" hidden="1">{#N/A,#N/A,FALSE,"Aging Summary";#N/A,#N/A,FALSE,"Ratio Analysis";#N/A,#N/A,FALSE,"Test 120 Day Accts";#N/A,#N/A,FALSE,"Tickmarks"}</definedName>
    <definedName name="_GG2" localSheetId="31" hidden="1">{#N/A,#N/A,FALSE,"Aging Summary";#N/A,#N/A,FALSE,"Ratio Analysis";#N/A,#N/A,FALSE,"Test 120 Day Accts";#N/A,#N/A,FALSE,"Tickmarks"}</definedName>
    <definedName name="_GG2" localSheetId="37" hidden="1">{#N/A,#N/A,FALSE,"Aging Summary";#N/A,#N/A,FALSE,"Ratio Analysis";#N/A,#N/A,FALSE,"Test 120 Day Accts";#N/A,#N/A,FALSE,"Tickmarks"}</definedName>
    <definedName name="_GG2" localSheetId="38" hidden="1">{#N/A,#N/A,FALSE,"Aging Summary";#N/A,#N/A,FALSE,"Ratio Analysis";#N/A,#N/A,FALSE,"Test 120 Day Accts";#N/A,#N/A,FALSE,"Tickmarks"}</definedName>
    <definedName name="_GG2" localSheetId="7" hidden="1">{#N/A,#N/A,FALSE,"Aging Summary";#N/A,#N/A,FALSE,"Ratio Analysis";#N/A,#N/A,FALSE,"Test 120 Day Accts";#N/A,#N/A,FALSE,"Tickmarks"}</definedName>
    <definedName name="_GG2" localSheetId="36" hidden="1">{#N/A,#N/A,FALSE,"Aging Summary";#N/A,#N/A,FALSE,"Ratio Analysis";#N/A,#N/A,FALSE,"Test 120 Day Accts";#N/A,#N/A,FALSE,"Tickmarks"}</definedName>
    <definedName name="_GG2" localSheetId="21" hidden="1">{#N/A,#N/A,FALSE,"Aging Summary";#N/A,#N/A,FALSE,"Ratio Analysis";#N/A,#N/A,FALSE,"Test 120 Day Accts";#N/A,#N/A,FALSE,"Tickmarks"}</definedName>
    <definedName name="_GG2" localSheetId="30" hidden="1">{#N/A,#N/A,FALSE,"Aging Summary";#N/A,#N/A,FALSE,"Ratio Analysis";#N/A,#N/A,FALSE,"Test 120 Day Accts";#N/A,#N/A,FALSE,"Tickmarks"}</definedName>
    <definedName name="_GG2" localSheetId="34" hidden="1">{#N/A,#N/A,FALSE,"Aging Summary";#N/A,#N/A,FALSE,"Ratio Analysis";#N/A,#N/A,FALSE,"Test 120 Day Accts";#N/A,#N/A,FALSE,"Tickmarks"}</definedName>
    <definedName name="_GG2" localSheetId="33" hidden="1">{#N/A,#N/A,FALSE,"Aging Summary";#N/A,#N/A,FALSE,"Ratio Analysis";#N/A,#N/A,FALSE,"Test 120 Day Accts";#N/A,#N/A,FALSE,"Tickmarks"}</definedName>
    <definedName name="_GG2" localSheetId="6" hidden="1">{#N/A,#N/A,FALSE,"Aging Summary";#N/A,#N/A,FALSE,"Ratio Analysis";#N/A,#N/A,FALSE,"Test 120 Day Accts";#N/A,#N/A,FALSE,"Tickmarks"}</definedName>
    <definedName name="_GG2" hidden="1">{#N/A,#N/A,FALSE,"Aging Summary";#N/A,#N/A,FALSE,"Ratio Analysis";#N/A,#N/A,FALSE,"Test 120 Day Accts";#N/A,#N/A,FALSE,"Tickmarks"}</definedName>
    <definedName name="_gon4" localSheetId="33">#REF!</definedName>
    <definedName name="_gon4">#REF!</definedName>
    <definedName name="_IV16532" localSheetId="31">#REF!</definedName>
    <definedName name="_IV16532" localSheetId="33">#REF!</definedName>
    <definedName name="_IV16532">#REF!</definedName>
    <definedName name="_IV17532" localSheetId="31">#REF!</definedName>
    <definedName name="_IV17532" localSheetId="33">#REF!</definedName>
    <definedName name="_IV17532">#REF!</definedName>
    <definedName name="_IV19999" localSheetId="31">#REF!</definedName>
    <definedName name="_IV19999" localSheetId="33">#REF!</definedName>
    <definedName name="_IV19999">#REF!</definedName>
    <definedName name="_IV20000" localSheetId="31">#REF!</definedName>
    <definedName name="_IV20000" localSheetId="33">#REF!</definedName>
    <definedName name="_IV20000">#REF!</definedName>
    <definedName name="_IV60000" localSheetId="31">#REF!</definedName>
    <definedName name="_IV60000" localSheetId="33">#REF!</definedName>
    <definedName name="_IV60000">#REF!</definedName>
    <definedName name="_IV999999" localSheetId="31">#REF!</definedName>
    <definedName name="_IV999999" localSheetId="33">#REF!</definedName>
    <definedName name="_IV999999">#REF!</definedName>
    <definedName name="_IZ53" localSheetId="31">#REF!</definedName>
    <definedName name="_IZ53" localSheetId="33">#REF!</definedName>
    <definedName name="_IZ53">#REF!</definedName>
    <definedName name="_i" localSheetId="31" hidden="1">#REF!</definedName>
    <definedName name="_i" hidden="1">#REF!</definedName>
    <definedName name="_JZ123" localSheetId="31">#REF!</definedName>
    <definedName name="_JZ123" localSheetId="33">#REF!</definedName>
    <definedName name="_JZ123">#REF!</definedName>
    <definedName name="_Key1" localSheetId="31" hidden="1">#REF!</definedName>
    <definedName name="_Key1" localSheetId="33" hidden="1">#REF!</definedName>
    <definedName name="_Key1" hidden="1">#REF!</definedName>
    <definedName name="_Key2" localSheetId="31" hidden="1">#REF!</definedName>
    <definedName name="_Key2" localSheetId="33" hidden="1">#REF!</definedName>
    <definedName name="_Key2" hidden="1">#REF!</definedName>
    <definedName name="_lap1" localSheetId="31">#REF!</definedName>
    <definedName name="_lap1" localSheetId="33">#REF!</definedName>
    <definedName name="_lap1">#REF!</definedName>
    <definedName name="_lap2" localSheetId="31">#REF!</definedName>
    <definedName name="_lap2" localSheetId="33">#REF!</definedName>
    <definedName name="_lap2">#REF!</definedName>
    <definedName name="_LI1" localSheetId="35">OFFSET(#REF!,4,0,COUNTA(#REF!)-1,1)</definedName>
    <definedName name="_LI1" localSheetId="31">OFFSET(#REF!,4,0,COUNTA(#REF!)-1,1)</definedName>
    <definedName name="_LI1" localSheetId="37">OFFSET(#REF!,4,0,COUNTA(#REF!)-1,1)</definedName>
    <definedName name="_LI1" localSheetId="36">OFFSET(#REF!,4,0,COUNTA(#REF!)-1,1)</definedName>
    <definedName name="_LI1" localSheetId="30">OFFSET(#REF!,4,0,COUNTA(#REF!)-1,1)</definedName>
    <definedName name="_LI1" localSheetId="34">OFFSET(#REF!,4,0,COUNTA(#REF!)-1,1)</definedName>
    <definedName name="_LI1">OFFSET(#REF!,4,0,COUNTA(#REF!)-1,1)</definedName>
    <definedName name="_LI10" localSheetId="35">OFFSET(#REF!,4,0,COUNTA(#REF!)-1,1)</definedName>
    <definedName name="_LI10" localSheetId="31">OFFSET(#REF!,4,0,COUNTA(#REF!)-1,1)</definedName>
    <definedName name="_LI10" localSheetId="37">OFFSET(#REF!,4,0,COUNTA(#REF!)-1,1)</definedName>
    <definedName name="_LI10" localSheetId="36">OFFSET(#REF!,4,0,COUNTA(#REF!)-1,1)</definedName>
    <definedName name="_LI10" localSheetId="30">OFFSET(#REF!,4,0,COUNTA(#REF!)-1,1)</definedName>
    <definedName name="_LI10" localSheetId="34">OFFSET(#REF!,4,0,COUNTA(#REF!)-1,1)</definedName>
    <definedName name="_LI10">OFFSET(#REF!,4,0,COUNTA(#REF!)-1,1)</definedName>
    <definedName name="_LI11" localSheetId="35">OFFSET(#REF!,4,0,COUNTA(#REF!)-1,1)</definedName>
    <definedName name="_LI11" localSheetId="31">OFFSET(#REF!,4,0,COUNTA(#REF!)-1,1)</definedName>
    <definedName name="_LI11" localSheetId="37">OFFSET(#REF!,4,0,COUNTA(#REF!)-1,1)</definedName>
    <definedName name="_LI11" localSheetId="36">OFFSET(#REF!,4,0,COUNTA(#REF!)-1,1)</definedName>
    <definedName name="_LI11" localSheetId="30">OFFSET(#REF!,4,0,COUNTA(#REF!)-1,1)</definedName>
    <definedName name="_LI11" localSheetId="34">OFFSET(#REF!,4,0,COUNTA(#REF!)-1,1)</definedName>
    <definedName name="_LI11">OFFSET(#REF!,4,0,COUNTA(#REF!)-1,1)</definedName>
    <definedName name="_LI12" localSheetId="35">OFFSET(#REF!,4,0,COUNTA(#REF!)-1,1)</definedName>
    <definedName name="_LI12" localSheetId="31">OFFSET(#REF!,4,0,COUNTA(#REF!)-1,1)</definedName>
    <definedName name="_LI12" localSheetId="37">OFFSET(#REF!,4,0,COUNTA(#REF!)-1,1)</definedName>
    <definedName name="_LI12" localSheetId="36">OFFSET(#REF!,4,0,COUNTA(#REF!)-1,1)</definedName>
    <definedName name="_LI12" localSheetId="30">OFFSET(#REF!,4,0,COUNTA(#REF!)-1,1)</definedName>
    <definedName name="_LI12" localSheetId="34">OFFSET(#REF!,4,0,COUNTA(#REF!)-1,1)</definedName>
    <definedName name="_LI12">OFFSET(#REF!,4,0,COUNTA(#REF!)-1,1)</definedName>
    <definedName name="_LI13" localSheetId="35">OFFSET(#REF!,4,0,COUNTA(#REF!)-1,1)</definedName>
    <definedName name="_LI13" localSheetId="31">OFFSET(#REF!,4,0,COUNTA(#REF!)-1,1)</definedName>
    <definedName name="_LI13" localSheetId="37">OFFSET(#REF!,4,0,COUNTA(#REF!)-1,1)</definedName>
    <definedName name="_LI13" localSheetId="36">OFFSET(#REF!,4,0,COUNTA(#REF!)-1,1)</definedName>
    <definedName name="_LI13" localSheetId="30">OFFSET(#REF!,4,0,COUNTA(#REF!)-1,1)</definedName>
    <definedName name="_LI13" localSheetId="34">OFFSET(#REF!,4,0,COUNTA(#REF!)-1,1)</definedName>
    <definedName name="_LI13">OFFSET(#REF!,4,0,COUNTA(#REF!)-1,1)</definedName>
    <definedName name="_LI14" localSheetId="35">OFFSET(#REF!,4,0,COUNTA(#REF!)-1,1)</definedName>
    <definedName name="_LI14" localSheetId="31">OFFSET(#REF!,4,0,COUNTA(#REF!)-1,1)</definedName>
    <definedName name="_LI14" localSheetId="37">OFFSET(#REF!,4,0,COUNTA(#REF!)-1,1)</definedName>
    <definedName name="_LI14" localSheetId="36">OFFSET(#REF!,4,0,COUNTA(#REF!)-1,1)</definedName>
    <definedName name="_LI14" localSheetId="30">OFFSET(#REF!,4,0,COUNTA(#REF!)-1,1)</definedName>
    <definedName name="_LI14" localSheetId="34">OFFSET(#REF!,4,0,COUNTA(#REF!)-1,1)</definedName>
    <definedName name="_LI14">OFFSET(#REF!,4,0,COUNTA(#REF!)-1,1)</definedName>
    <definedName name="_LI15" localSheetId="35">OFFSET(#REF!,4,0,COUNTA(#REF!)-1,1)</definedName>
    <definedName name="_LI15" localSheetId="31">OFFSET(#REF!,4,0,COUNTA(#REF!)-1,1)</definedName>
    <definedName name="_LI15" localSheetId="37">OFFSET(#REF!,4,0,COUNTA(#REF!)-1,1)</definedName>
    <definedName name="_LI15" localSheetId="36">OFFSET(#REF!,4,0,COUNTA(#REF!)-1,1)</definedName>
    <definedName name="_LI15" localSheetId="30">OFFSET(#REF!,4,0,COUNTA(#REF!)-1,1)</definedName>
    <definedName name="_LI15" localSheetId="34">OFFSET(#REF!,4,0,COUNTA(#REF!)-1,1)</definedName>
    <definedName name="_LI15">OFFSET(#REF!,4,0,COUNTA(#REF!)-1,1)</definedName>
    <definedName name="_LI16" localSheetId="35">OFFSET(#REF!,4,0,COUNTA(#REF!)-1,1)</definedName>
    <definedName name="_LI16" localSheetId="31">OFFSET(#REF!,4,0,COUNTA(#REF!)-1,1)</definedName>
    <definedName name="_LI16" localSheetId="37">OFFSET(#REF!,4,0,COUNTA(#REF!)-1,1)</definedName>
    <definedName name="_LI16" localSheetId="36">OFFSET(#REF!,4,0,COUNTA(#REF!)-1,1)</definedName>
    <definedName name="_LI16" localSheetId="30">OFFSET(#REF!,4,0,COUNTA(#REF!)-1,1)</definedName>
    <definedName name="_LI16" localSheetId="34">OFFSET(#REF!,4,0,COUNTA(#REF!)-1,1)</definedName>
    <definedName name="_LI16">OFFSET(#REF!,4,0,COUNTA(#REF!)-1,1)</definedName>
    <definedName name="_LI17" localSheetId="35">OFFSET(#REF!,4,0,COUNTA(#REF!)-1,1)</definedName>
    <definedName name="_LI17" localSheetId="31">OFFSET(#REF!,4,0,COUNTA(#REF!)-1,1)</definedName>
    <definedName name="_LI17" localSheetId="37">OFFSET(#REF!,4,0,COUNTA(#REF!)-1,1)</definedName>
    <definedName name="_LI17" localSheetId="36">OFFSET(#REF!,4,0,COUNTA(#REF!)-1,1)</definedName>
    <definedName name="_LI17" localSheetId="30">OFFSET(#REF!,4,0,COUNTA(#REF!)-1,1)</definedName>
    <definedName name="_LI17" localSheetId="34">OFFSET(#REF!,4,0,COUNTA(#REF!)-1,1)</definedName>
    <definedName name="_LI17">OFFSET(#REF!,4,0,COUNTA(#REF!)-1,1)</definedName>
    <definedName name="_LI18" localSheetId="35">OFFSET(#REF!,4,0,COUNTA(#REF!)-1,1)</definedName>
    <definedName name="_LI18" localSheetId="31">OFFSET(#REF!,4,0,COUNTA(#REF!)-1,1)</definedName>
    <definedName name="_LI18" localSheetId="37">OFFSET(#REF!,4,0,COUNTA(#REF!)-1,1)</definedName>
    <definedName name="_LI18" localSheetId="36">OFFSET(#REF!,4,0,COUNTA(#REF!)-1,1)</definedName>
    <definedName name="_LI18" localSheetId="30">OFFSET(#REF!,4,0,COUNTA(#REF!)-1,1)</definedName>
    <definedName name="_LI18" localSheetId="34">OFFSET(#REF!,4,0,COUNTA(#REF!)-1,1)</definedName>
    <definedName name="_LI18">OFFSET(#REF!,4,0,COUNTA(#REF!)-1,1)</definedName>
    <definedName name="_LI19" localSheetId="35">OFFSET(#REF!,4,0,COUNTA(#REF!)-1,1)</definedName>
    <definedName name="_LI19" localSheetId="31">OFFSET(#REF!,4,0,COUNTA(#REF!)-1,1)</definedName>
    <definedName name="_LI19" localSheetId="37">OFFSET(#REF!,4,0,COUNTA(#REF!)-1,1)</definedName>
    <definedName name="_LI19" localSheetId="36">OFFSET(#REF!,4,0,COUNTA(#REF!)-1,1)</definedName>
    <definedName name="_LI19" localSheetId="30">OFFSET(#REF!,4,0,COUNTA(#REF!)-1,1)</definedName>
    <definedName name="_LI19" localSheetId="34">OFFSET(#REF!,4,0,COUNTA(#REF!)-1,1)</definedName>
    <definedName name="_LI19">OFFSET(#REF!,4,0,COUNTA(#REF!)-1,1)</definedName>
    <definedName name="_LI2" localSheetId="35">OFFSET(#REF!,4,0,COUNTA(#REF!)-1,1)</definedName>
    <definedName name="_LI2" localSheetId="31">OFFSET(#REF!,4,0,COUNTA(#REF!)-1,1)</definedName>
    <definedName name="_LI2" localSheetId="37">OFFSET(#REF!,4,0,COUNTA(#REF!)-1,1)</definedName>
    <definedName name="_LI2" localSheetId="36">OFFSET(#REF!,4,0,COUNTA(#REF!)-1,1)</definedName>
    <definedName name="_LI2" localSheetId="30">OFFSET(#REF!,4,0,COUNTA(#REF!)-1,1)</definedName>
    <definedName name="_LI2" localSheetId="34">OFFSET(#REF!,4,0,COUNTA(#REF!)-1,1)</definedName>
    <definedName name="_LI2">OFFSET(#REF!,4,0,COUNTA(#REF!)-1,1)</definedName>
    <definedName name="_LI20" localSheetId="35">OFFSET(#REF!,4,0,COUNTA(#REF!)-1,1)</definedName>
    <definedName name="_LI20" localSheetId="31">OFFSET(#REF!,4,0,COUNTA(#REF!)-1,1)</definedName>
    <definedName name="_LI20" localSheetId="37">OFFSET(#REF!,4,0,COUNTA(#REF!)-1,1)</definedName>
    <definedName name="_LI20" localSheetId="36">OFFSET(#REF!,4,0,COUNTA(#REF!)-1,1)</definedName>
    <definedName name="_LI20" localSheetId="30">OFFSET(#REF!,4,0,COUNTA(#REF!)-1,1)</definedName>
    <definedName name="_LI20" localSheetId="34">OFFSET(#REF!,4,0,COUNTA(#REF!)-1,1)</definedName>
    <definedName name="_LI20">OFFSET(#REF!,4,0,COUNTA(#REF!)-1,1)</definedName>
    <definedName name="_LI21" localSheetId="35">OFFSET(#REF!,4,0,COUNTA(#REF!)-1,1)</definedName>
    <definedName name="_LI21" localSheetId="31">OFFSET(#REF!,4,0,COUNTA(#REF!)-1,1)</definedName>
    <definedName name="_LI21" localSheetId="37">OFFSET(#REF!,4,0,COUNTA(#REF!)-1,1)</definedName>
    <definedName name="_LI21" localSheetId="36">OFFSET(#REF!,4,0,COUNTA(#REF!)-1,1)</definedName>
    <definedName name="_LI21" localSheetId="30">OFFSET(#REF!,4,0,COUNTA(#REF!)-1,1)</definedName>
    <definedName name="_LI21" localSheetId="34">OFFSET(#REF!,4,0,COUNTA(#REF!)-1,1)</definedName>
    <definedName name="_LI21">OFFSET(#REF!,4,0,COUNTA(#REF!)-1,1)</definedName>
    <definedName name="_LI22" localSheetId="35">OFFSET(#REF!,4,0,COUNTA(#REF!)-1,1)</definedName>
    <definedName name="_LI22" localSheetId="31">OFFSET(#REF!,4,0,COUNTA(#REF!)-1,1)</definedName>
    <definedName name="_LI22" localSheetId="37">OFFSET(#REF!,4,0,COUNTA(#REF!)-1,1)</definedName>
    <definedName name="_LI22" localSheetId="36">OFFSET(#REF!,4,0,COUNTA(#REF!)-1,1)</definedName>
    <definedName name="_LI22" localSheetId="30">OFFSET(#REF!,4,0,COUNTA(#REF!)-1,1)</definedName>
    <definedName name="_LI22" localSheetId="34">OFFSET(#REF!,4,0,COUNTA(#REF!)-1,1)</definedName>
    <definedName name="_LI22">OFFSET(#REF!,4,0,COUNTA(#REF!)-1,1)</definedName>
    <definedName name="_LI23" localSheetId="35">OFFSET(#REF!,4,0,COUNTA(#REF!)-1,1)</definedName>
    <definedName name="_LI23" localSheetId="31">OFFSET(#REF!,4,0,COUNTA(#REF!)-1,1)</definedName>
    <definedName name="_LI23" localSheetId="37">OFFSET(#REF!,4,0,COUNTA(#REF!)-1,1)</definedName>
    <definedName name="_LI23" localSheetId="36">OFFSET(#REF!,4,0,COUNTA(#REF!)-1,1)</definedName>
    <definedName name="_LI23" localSheetId="30">OFFSET(#REF!,4,0,COUNTA(#REF!)-1,1)</definedName>
    <definedName name="_LI23" localSheetId="34">OFFSET(#REF!,4,0,COUNTA(#REF!)-1,1)</definedName>
    <definedName name="_LI23">OFFSET(#REF!,4,0,COUNTA(#REF!)-1,1)</definedName>
    <definedName name="_LI24" localSheetId="35">OFFSET(#REF!,4,0,COUNTA(#REF!)-1,1)</definedName>
    <definedName name="_LI24" localSheetId="31">OFFSET(#REF!,4,0,COUNTA(#REF!)-1,1)</definedName>
    <definedName name="_LI24" localSheetId="37">OFFSET(#REF!,4,0,COUNTA(#REF!)-1,1)</definedName>
    <definedName name="_LI24" localSheetId="36">OFFSET(#REF!,4,0,COUNTA(#REF!)-1,1)</definedName>
    <definedName name="_LI24" localSheetId="30">OFFSET(#REF!,4,0,COUNTA(#REF!)-1,1)</definedName>
    <definedName name="_LI24" localSheetId="34">OFFSET(#REF!,4,0,COUNTA(#REF!)-1,1)</definedName>
    <definedName name="_LI24">OFFSET(#REF!,4,0,COUNTA(#REF!)-1,1)</definedName>
    <definedName name="_LI25" localSheetId="35">OFFSET(#REF!,4,0,COUNTA(#REF!)-1,1)</definedName>
    <definedName name="_LI25" localSheetId="31">OFFSET(#REF!,4,0,COUNTA(#REF!)-1,1)</definedName>
    <definedName name="_LI25" localSheetId="37">OFFSET(#REF!,4,0,COUNTA(#REF!)-1,1)</definedName>
    <definedName name="_LI25" localSheetId="36">OFFSET(#REF!,4,0,COUNTA(#REF!)-1,1)</definedName>
    <definedName name="_LI25" localSheetId="30">OFFSET(#REF!,4,0,COUNTA(#REF!)-1,1)</definedName>
    <definedName name="_LI25" localSheetId="34">OFFSET(#REF!,4,0,COUNTA(#REF!)-1,1)</definedName>
    <definedName name="_LI25">OFFSET(#REF!,4,0,COUNTA(#REF!)-1,1)</definedName>
    <definedName name="_LI3" localSheetId="35">OFFSET(#REF!,4,0,COUNTA(#REF!)-1,1)</definedName>
    <definedName name="_LI3" localSheetId="31">OFFSET(#REF!,4,0,COUNTA(#REF!)-1,1)</definedName>
    <definedName name="_LI3" localSheetId="37">OFFSET(#REF!,4,0,COUNTA(#REF!)-1,1)</definedName>
    <definedName name="_LI3" localSheetId="36">OFFSET(#REF!,4,0,COUNTA(#REF!)-1,1)</definedName>
    <definedName name="_LI3" localSheetId="30">OFFSET(#REF!,4,0,COUNTA(#REF!)-1,1)</definedName>
    <definedName name="_LI3" localSheetId="34">OFFSET(#REF!,4,0,COUNTA(#REF!)-1,1)</definedName>
    <definedName name="_LI3">OFFSET(#REF!,4,0,COUNTA(#REF!)-1,1)</definedName>
    <definedName name="_LI30" localSheetId="35">OFFSET(#REF!,4,0,COUNTA(#REF!)-1,1)</definedName>
    <definedName name="_LI30" localSheetId="31">OFFSET(#REF!,4,0,COUNTA(#REF!)-1,1)</definedName>
    <definedName name="_LI30" localSheetId="37">OFFSET(#REF!,4,0,COUNTA(#REF!)-1,1)</definedName>
    <definedName name="_LI30" localSheetId="36">OFFSET(#REF!,4,0,COUNTA(#REF!)-1,1)</definedName>
    <definedName name="_LI30" localSheetId="30">OFFSET(#REF!,4,0,COUNTA(#REF!)-1,1)</definedName>
    <definedName name="_LI30" localSheetId="34">OFFSET(#REF!,4,0,COUNTA(#REF!)-1,1)</definedName>
    <definedName name="_LI30">OFFSET(#REF!,4,0,COUNTA(#REF!)-1,1)</definedName>
    <definedName name="_LI4" localSheetId="35">OFFSET(#REF!,4,0,COUNTA(#REF!)-1,1)</definedName>
    <definedName name="_LI4" localSheetId="31">OFFSET(#REF!,4,0,COUNTA(#REF!)-1,1)</definedName>
    <definedName name="_LI4" localSheetId="37">OFFSET(#REF!,4,0,COUNTA(#REF!)-1,1)</definedName>
    <definedName name="_LI4" localSheetId="36">OFFSET(#REF!,4,0,COUNTA(#REF!)-1,1)</definedName>
    <definedName name="_LI4" localSheetId="30">OFFSET(#REF!,4,0,COUNTA(#REF!)-1,1)</definedName>
    <definedName name="_LI4" localSheetId="34">OFFSET(#REF!,4,0,COUNTA(#REF!)-1,1)</definedName>
    <definedName name="_LI4">OFFSET(#REF!,4,0,COUNTA(#REF!)-1,1)</definedName>
    <definedName name="_LI5" localSheetId="35">OFFSET(#REF!,4,0,COUNTA(#REF!)-1,1)</definedName>
    <definedName name="_LI5" localSheetId="31">OFFSET(#REF!,4,0,COUNTA(#REF!)-1,1)</definedName>
    <definedName name="_LI5" localSheetId="37">OFFSET(#REF!,4,0,COUNTA(#REF!)-1,1)</definedName>
    <definedName name="_LI5" localSheetId="36">OFFSET(#REF!,4,0,COUNTA(#REF!)-1,1)</definedName>
    <definedName name="_LI5" localSheetId="30">OFFSET(#REF!,4,0,COUNTA(#REF!)-1,1)</definedName>
    <definedName name="_LI5" localSheetId="34">OFFSET(#REF!,4,0,COUNTA(#REF!)-1,1)</definedName>
    <definedName name="_LI5">OFFSET(#REF!,4,0,COUNTA(#REF!)-1,1)</definedName>
    <definedName name="_LI6" localSheetId="35">OFFSET(#REF!,4,0,COUNTA(#REF!)-1,1)</definedName>
    <definedName name="_LI6" localSheetId="31">OFFSET(#REF!,4,0,COUNTA(#REF!)-1,1)</definedName>
    <definedName name="_LI6" localSheetId="37">OFFSET(#REF!,4,0,COUNTA(#REF!)-1,1)</definedName>
    <definedName name="_LI6" localSheetId="36">OFFSET(#REF!,4,0,COUNTA(#REF!)-1,1)</definedName>
    <definedName name="_LI6" localSheetId="30">OFFSET(#REF!,4,0,COUNTA(#REF!)-1,1)</definedName>
    <definedName name="_LI6" localSheetId="34">OFFSET(#REF!,4,0,COUNTA(#REF!)-1,1)</definedName>
    <definedName name="_LI6">OFFSET(#REF!,4,0,COUNTA(#REF!)-1,1)</definedName>
    <definedName name="_LI7" localSheetId="35">OFFSET(#REF!,4,0,COUNTA(#REF!)-1,1)</definedName>
    <definedName name="_LI7" localSheetId="31">OFFSET(#REF!,4,0,COUNTA(#REF!)-1,1)</definedName>
    <definedName name="_LI7" localSheetId="37">OFFSET(#REF!,4,0,COUNTA(#REF!)-1,1)</definedName>
    <definedName name="_LI7" localSheetId="36">OFFSET(#REF!,4,0,COUNTA(#REF!)-1,1)</definedName>
    <definedName name="_LI7" localSheetId="30">OFFSET(#REF!,4,0,COUNTA(#REF!)-1,1)</definedName>
    <definedName name="_LI7" localSheetId="34">OFFSET(#REF!,4,0,COUNTA(#REF!)-1,1)</definedName>
    <definedName name="_LI7">OFFSET(#REF!,4,0,COUNTA(#REF!)-1,1)</definedName>
    <definedName name="_LI8" localSheetId="35">OFFSET(#REF!,4,0,COUNTA(#REF!)-1,1)</definedName>
    <definedName name="_LI8" localSheetId="31">OFFSET(#REF!,4,0,COUNTA(#REF!)-1,1)</definedName>
    <definedName name="_LI8" localSheetId="37">OFFSET(#REF!,4,0,COUNTA(#REF!)-1,1)</definedName>
    <definedName name="_LI8" localSheetId="36">OFFSET(#REF!,4,0,COUNTA(#REF!)-1,1)</definedName>
    <definedName name="_LI8" localSheetId="30">OFFSET(#REF!,4,0,COUNTA(#REF!)-1,1)</definedName>
    <definedName name="_LI8" localSheetId="34">OFFSET(#REF!,4,0,COUNTA(#REF!)-1,1)</definedName>
    <definedName name="_LI8">OFFSET(#REF!,4,0,COUNTA(#REF!)-1,1)</definedName>
    <definedName name="_LI9" localSheetId="35">OFFSET(#REF!,4,0,COUNTA(#REF!)-1,1)</definedName>
    <definedName name="_LI9" localSheetId="31">OFFSET(#REF!,4,0,COUNTA(#REF!)-1,1)</definedName>
    <definedName name="_LI9" localSheetId="37">OFFSET(#REF!,4,0,COUNTA(#REF!)-1,1)</definedName>
    <definedName name="_LI9" localSheetId="36">OFFSET(#REF!,4,0,COUNTA(#REF!)-1,1)</definedName>
    <definedName name="_LI9" localSheetId="30">OFFSET(#REF!,4,0,COUNTA(#REF!)-1,1)</definedName>
    <definedName name="_LI9" localSheetId="34">OFFSET(#REF!,4,0,COUNTA(#REF!)-1,1)</definedName>
    <definedName name="_LI9">OFFSET(#REF!,4,0,COUNTA(#REF!)-1,1)</definedName>
    <definedName name="_Li94" localSheetId="31">#REF!</definedName>
    <definedName name="_Li94">#REF!</definedName>
    <definedName name="_Li95" localSheetId="31">#REF!</definedName>
    <definedName name="_Li95">#REF!</definedName>
    <definedName name="_Li96" localSheetId="31">#REF!</definedName>
    <definedName name="_Li96">#REF!</definedName>
    <definedName name="_Li97" localSheetId="31">#REF!</definedName>
    <definedName name="_Li97">#REF!</definedName>
    <definedName name="_Li98" localSheetId="31">#REF!</definedName>
    <definedName name="_Li98">#REF!</definedName>
    <definedName name="_Li99" localSheetId="31">#REF!</definedName>
    <definedName name="_Li99">#REF!</definedName>
    <definedName name="_LiB99" localSheetId="31">#REF!</definedName>
    <definedName name="_LiB99">#REF!</definedName>
    <definedName name="_LZ123" localSheetId="31">#REF!</definedName>
    <definedName name="_LZ123" localSheetId="33">#REF!</definedName>
    <definedName name="_LZ123">#REF!</definedName>
    <definedName name="_M1" localSheetId="35">#REF!,#REF!,#REF!,#REF!,#REF!,#REF!,#REF!,#REF!,#REF!,#REF!,#REF!,#REF!,#REF!,#REF!,#REF!,#REF!,#REF!</definedName>
    <definedName name="_M1" localSheetId="31">#REF!,#REF!,#REF!,#REF!,#REF!,#REF!,#REF!,#REF!,#REF!,#REF!,#REF!,#REF!,#REF!,#REF!,#REF!,#REF!,#REF!</definedName>
    <definedName name="_M1">#REF!,#REF!,#REF!,#REF!,#REF!,#REF!,#REF!,#REF!,#REF!,#REF!,#REF!,#REF!,#REF!,#REF!,#REF!,#REF!,#REF!</definedName>
    <definedName name="_M136" localSheetId="35">#REF!</definedName>
    <definedName name="_M136" localSheetId="31">#REF!</definedName>
    <definedName name="_M136" localSheetId="33">#REF!</definedName>
    <definedName name="_M136">#REF!</definedName>
    <definedName name="_M139" localSheetId="35">#REF!</definedName>
    <definedName name="_M139" localSheetId="31">#REF!</definedName>
    <definedName name="_M139" localSheetId="33">#REF!</definedName>
    <definedName name="_M139">#REF!</definedName>
    <definedName name="_M2" localSheetId="35">#REF!,#REF!,#REF!,#REF!,#REF!,#REF!,#REF!,#REF!,#REF!,#REF!,#REF!,#REF!,#REF!,#REF!,#REF!</definedName>
    <definedName name="_M2" localSheetId="31">#REF!,#REF!,#REF!,#REF!,#REF!,#REF!,#REF!,#REF!,#REF!,#REF!,#REF!,#REF!,#REF!,#REF!,#REF!</definedName>
    <definedName name="_M2">#REF!,#REF!,#REF!,#REF!,#REF!,#REF!,#REF!,#REF!,#REF!,#REF!,#REF!,#REF!,#REF!,#REF!,#REF!</definedName>
    <definedName name="_M5" localSheetId="35">#REF!,#REF!,#REF!,#REF!,#REF!,#REF!</definedName>
    <definedName name="_M5" localSheetId="31">#REF!,#REF!,#REF!,#REF!,#REF!,#REF!</definedName>
    <definedName name="_M5">#REF!,#REF!,#REF!,#REF!,#REF!,#REF!</definedName>
    <definedName name="_MAC12" localSheetId="35">#REF!</definedName>
    <definedName name="_MAC12" localSheetId="31">#REF!</definedName>
    <definedName name="_MAC12" localSheetId="33">#REF!</definedName>
    <definedName name="_MAC12">#REF!</definedName>
    <definedName name="_MAC46" localSheetId="35">#REF!</definedName>
    <definedName name="_MAC46" localSheetId="31">#REF!</definedName>
    <definedName name="_MAC46" localSheetId="33">#REF!</definedName>
    <definedName name="_MAC46">#REF!</definedName>
    <definedName name="_MZ53" localSheetId="35">#REF!</definedName>
    <definedName name="_MZ53" localSheetId="31">#REF!</definedName>
    <definedName name="_MZ53" localSheetId="33">#REF!</definedName>
    <definedName name="_MZ53">#REF!</definedName>
    <definedName name="_NCL100" localSheetId="31">#REF!</definedName>
    <definedName name="_NCL100" localSheetId="33">#REF!</definedName>
    <definedName name="_NCL100">#REF!</definedName>
    <definedName name="_NCL200" localSheetId="31">#REF!</definedName>
    <definedName name="_NCL200" localSheetId="33">#REF!</definedName>
    <definedName name="_NCL200">#REF!</definedName>
    <definedName name="_NCL250" localSheetId="31">#REF!</definedName>
    <definedName name="_NCL250" localSheetId="33">#REF!</definedName>
    <definedName name="_NCL250">#REF!</definedName>
    <definedName name="_NET2" localSheetId="31">#REF!</definedName>
    <definedName name="_NET2" localSheetId="33">#REF!</definedName>
    <definedName name="_NET2">#REF!</definedName>
    <definedName name="_nin190" localSheetId="31">#REF!</definedName>
    <definedName name="_nin190" localSheetId="33">#REF!</definedName>
    <definedName name="_nin190">#REF!</definedName>
    <definedName name="_ok1" localSheetId="35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k1" localSheetId="3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k1" localSheetId="37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k1" localSheetId="36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rder1" hidden="1">255</definedName>
    <definedName name="_Order2" hidden="1">255</definedName>
    <definedName name="_Parse_In" hidden="1">#REF!</definedName>
    <definedName name="_Parse_Out" localSheetId="31" hidden="1">#REF!</definedName>
    <definedName name="_Parse_Out" localSheetId="33" hidden="1">#REF!</definedName>
    <definedName name="_Parse_Out" hidden="1">#REF!</definedName>
    <definedName name="_PCI08" localSheetId="31">#REF!</definedName>
    <definedName name="_PCI08">#REF!</definedName>
    <definedName name="_pcSlicerSheet_Slicer1" localSheetId="31" hidden="1">#REF!</definedName>
    <definedName name="_pcSlicerSheet_Slicer1" hidden="1">#REF!</definedName>
    <definedName name="_pcSlicerSheet_Slicer2" localSheetId="31" hidden="1">#REF!</definedName>
    <definedName name="_pcSlicerSheet_Slicer2" hidden="1">#REF!</definedName>
    <definedName name="_pcSlicerSheet_Slicer3" localSheetId="31" hidden="1">#REF!</definedName>
    <definedName name="_pcSlicerSheet_Slicer3" hidden="1">#REF!</definedName>
    <definedName name="_pcSlicerSheet1_Slicer1" localSheetId="31" hidden="1">#REF!</definedName>
    <definedName name="_pcSlicerSheet1_Slicer1" hidden="1">#REF!</definedName>
    <definedName name="_pcSlicerSheet1_Slicer2" localSheetId="31" hidden="1">#REF!</definedName>
    <definedName name="_pcSlicerSheet1_Slicer2" hidden="1">#REF!</definedName>
    <definedName name="_pcSlicerSheet1_Slicer3" localSheetId="31" hidden="1">#REF!</definedName>
    <definedName name="_pcSlicerSheet1_Slicer3" hidden="1">#REF!</definedName>
    <definedName name="_pcSlicerSheet10_Slicer1" localSheetId="31" hidden="1">#REF!</definedName>
    <definedName name="_pcSlicerSheet10_Slicer1" hidden="1">#REF!</definedName>
    <definedName name="_pcSlicerSheet11_Slicer1" localSheetId="31" hidden="1">#REF!</definedName>
    <definedName name="_pcSlicerSheet11_Slicer1" hidden="1">#REF!</definedName>
    <definedName name="_pcSlicerSheet12_Slicer1" localSheetId="31" hidden="1">#REF!</definedName>
    <definedName name="_pcSlicerSheet12_Slicer1" hidden="1">#REF!</definedName>
    <definedName name="_pcSlicerSheet12_Slicer2" localSheetId="31" hidden="1">#REF!</definedName>
    <definedName name="_pcSlicerSheet12_Slicer2" hidden="1">#REF!</definedName>
    <definedName name="_pcSlicerSheet12_Slicer3" localSheetId="31" hidden="1">#REF!</definedName>
    <definedName name="_pcSlicerSheet12_Slicer3" hidden="1">#REF!</definedName>
    <definedName name="_pcSlicerSheet13_Slicer2" localSheetId="31" hidden="1">#REF!</definedName>
    <definedName name="_pcSlicerSheet13_Slicer2" hidden="1">#REF!</definedName>
    <definedName name="_pcSlicerSheet13_Slicer3" localSheetId="31" hidden="1">#REF!</definedName>
    <definedName name="_pcSlicerSheet13_Slicer3" hidden="1">#REF!</definedName>
    <definedName name="_pcSlicerSheet14_Slicer1" localSheetId="31" hidden="1">#REF!</definedName>
    <definedName name="_pcSlicerSheet14_Slicer1" hidden="1">#REF!</definedName>
    <definedName name="_pcSlicerSheet14_Slicer2" localSheetId="31" hidden="1">#REF!</definedName>
    <definedName name="_pcSlicerSheet14_Slicer2" hidden="1">#REF!</definedName>
    <definedName name="_pcSlicerSheet14_Slicer3" localSheetId="31" hidden="1">#REF!</definedName>
    <definedName name="_pcSlicerSheet14_Slicer3" hidden="1">#REF!</definedName>
    <definedName name="_pcSlicerSheet15_Slicer1" localSheetId="31" hidden="1">#REF!</definedName>
    <definedName name="_pcSlicerSheet15_Slicer1" hidden="1">#REF!</definedName>
    <definedName name="_pcSlicerSheet15_Slicer2" localSheetId="31" hidden="1">#REF!</definedName>
    <definedName name="_pcSlicerSheet15_Slicer2" hidden="1">#REF!</definedName>
    <definedName name="_pcSlicerSheet15_Slicer3" localSheetId="31" hidden="1">#REF!</definedName>
    <definedName name="_pcSlicerSheet15_Slicer3" hidden="1">#REF!</definedName>
    <definedName name="_pcSlicerSheet16_Slicer1" localSheetId="31" hidden="1">#REF!</definedName>
    <definedName name="_pcSlicerSheet16_Slicer1" hidden="1">#REF!</definedName>
    <definedName name="_pcSlicerSheet16_Slicer2" localSheetId="31" hidden="1">#REF!</definedName>
    <definedName name="_pcSlicerSheet16_Slicer2" hidden="1">#REF!</definedName>
    <definedName name="_pcSlicerSheet16_Slicer3" localSheetId="31" hidden="1">#REF!</definedName>
    <definedName name="_pcSlicerSheet16_Slicer3" hidden="1">#REF!</definedName>
    <definedName name="_pcSlicerSheet17_Slicer1" localSheetId="31" hidden="1">#REF!</definedName>
    <definedName name="_pcSlicerSheet17_Slicer1" hidden="1">#REF!</definedName>
    <definedName name="_pcSlicerSheet17_Slicer2" localSheetId="31" hidden="1">#REF!</definedName>
    <definedName name="_pcSlicerSheet17_Slicer2" hidden="1">#REF!</definedName>
    <definedName name="_pcSlicerSheet17_Slicer3" localSheetId="31" hidden="1">#REF!</definedName>
    <definedName name="_pcSlicerSheet17_Slicer3" hidden="1">#REF!</definedName>
    <definedName name="_pcSlicerSheet18_Slicer1" localSheetId="31" hidden="1">#REF!</definedName>
    <definedName name="_pcSlicerSheet18_Slicer1" hidden="1">#REF!</definedName>
    <definedName name="_pcSlicerSheet19_Slicer1" localSheetId="31" hidden="1">#REF!</definedName>
    <definedName name="_pcSlicerSheet19_Slicer1" hidden="1">#REF!</definedName>
    <definedName name="_pcSlicerSheet2_Slicer1" localSheetId="31" hidden="1">#REF!</definedName>
    <definedName name="_pcSlicerSheet2_Slicer1" hidden="1">#REF!</definedName>
    <definedName name="_pcSlicerSheet2_Slicer2" localSheetId="31" hidden="1">#REF!</definedName>
    <definedName name="_pcSlicerSheet2_Slicer2" hidden="1">#REF!</definedName>
    <definedName name="_pcSlicerSheet2_Slicer3" localSheetId="31" hidden="1">#REF!</definedName>
    <definedName name="_pcSlicerSheet2_Slicer3" hidden="1">#REF!</definedName>
    <definedName name="_pcSlicerSheet20_Slicer1" localSheetId="31" hidden="1">#REF!</definedName>
    <definedName name="_pcSlicerSheet20_Slicer1" hidden="1">#REF!</definedName>
    <definedName name="_pcSlicerSheet20_Slicer2" localSheetId="31" hidden="1">#REF!</definedName>
    <definedName name="_pcSlicerSheet20_Slicer2" hidden="1">#REF!</definedName>
    <definedName name="_pcSlicerSheet20_Slicer3" localSheetId="31" hidden="1">#REF!</definedName>
    <definedName name="_pcSlicerSheet20_Slicer3" hidden="1">#REF!</definedName>
    <definedName name="_pcSlicerSheet21_Slicer1" localSheetId="31" hidden="1">#REF!</definedName>
    <definedName name="_pcSlicerSheet21_Slicer1" hidden="1">#REF!</definedName>
    <definedName name="_pcSlicerSheet22_Slicer1" localSheetId="31" hidden="1">#REF!</definedName>
    <definedName name="_pcSlicerSheet22_Slicer1" hidden="1">#REF!</definedName>
    <definedName name="_pcSlicerSheet22_Slicer2" localSheetId="31" hidden="1">#REF!</definedName>
    <definedName name="_pcSlicerSheet22_Slicer2" hidden="1">#REF!</definedName>
    <definedName name="_pcSlicerSheet22_Slicer3" localSheetId="31" hidden="1">#REF!</definedName>
    <definedName name="_pcSlicerSheet22_Slicer3" hidden="1">#REF!</definedName>
    <definedName name="_pcSlicerSheet23_Slicer1" localSheetId="31" hidden="1">#REF!</definedName>
    <definedName name="_pcSlicerSheet23_Slicer1" hidden="1">#REF!</definedName>
    <definedName name="_pcSlicerSheet23_Slicer2" localSheetId="31" hidden="1">#REF!</definedName>
    <definedName name="_pcSlicerSheet23_Slicer2" hidden="1">#REF!</definedName>
    <definedName name="_pcSlicerSheet23_Slicer3" localSheetId="31" hidden="1">#REF!</definedName>
    <definedName name="_pcSlicerSheet23_Slicer3" hidden="1">#REF!</definedName>
    <definedName name="_pcSlicerSheet24_Slicer1" localSheetId="31" hidden="1">#REF!</definedName>
    <definedName name="_pcSlicerSheet24_Slicer1" hidden="1">#REF!</definedName>
    <definedName name="_pcSlicerSheet25_Slicer1" localSheetId="31" hidden="1">#REF!</definedName>
    <definedName name="_pcSlicerSheet25_Slicer1" hidden="1">#REF!</definedName>
    <definedName name="_pcSlicerSheet26_Slicer1" localSheetId="31" hidden="1">#REF!</definedName>
    <definedName name="_pcSlicerSheet26_Slicer1" hidden="1">#REF!</definedName>
    <definedName name="_pcSlicerSheet27_Slicer1" localSheetId="31" hidden="1">#REF!</definedName>
    <definedName name="_pcSlicerSheet27_Slicer1" hidden="1">#REF!</definedName>
    <definedName name="_pcSlicerSheet28_Slicer1" localSheetId="31" hidden="1">#REF!</definedName>
    <definedName name="_pcSlicerSheet28_Slicer1" hidden="1">#REF!</definedName>
    <definedName name="_pcSlicerSheet29_Slicer1" localSheetId="31" hidden="1">#REF!</definedName>
    <definedName name="_pcSlicerSheet29_Slicer1" hidden="1">#REF!</definedName>
    <definedName name="_pcSlicerSheet30_Slicer1" localSheetId="31" hidden="1">#REF!</definedName>
    <definedName name="_pcSlicerSheet30_Slicer1" hidden="1">#REF!</definedName>
    <definedName name="_pcSlicerSheet31_Slicer1" localSheetId="31" hidden="1">#REF!</definedName>
    <definedName name="_pcSlicerSheet31_Slicer1" hidden="1">#REF!</definedName>
    <definedName name="_pcSlicerSheet32_Slicer1" localSheetId="31" hidden="1">#REF!</definedName>
    <definedName name="_pcSlicerSheet32_Slicer1" hidden="1">#REF!</definedName>
    <definedName name="_pcSlicerSheet32_Slicer2" localSheetId="31" hidden="1">#REF!</definedName>
    <definedName name="_pcSlicerSheet32_Slicer2" hidden="1">#REF!</definedName>
    <definedName name="_pcSlicerSheet32_Slicer3" localSheetId="31" hidden="1">#REF!</definedName>
    <definedName name="_pcSlicerSheet32_Slicer3" hidden="1">#REF!</definedName>
    <definedName name="_pcSlicerSheet33_Slicer1" localSheetId="31" hidden="1">#REF!</definedName>
    <definedName name="_pcSlicerSheet33_Slicer1" hidden="1">#REF!</definedName>
    <definedName name="_pcSlicerSheet33_Slicer2" localSheetId="31" hidden="1">#REF!</definedName>
    <definedName name="_pcSlicerSheet33_Slicer2" hidden="1">#REF!</definedName>
    <definedName name="_pcSlicerSheet33_Slicer3" localSheetId="31" hidden="1">#REF!</definedName>
    <definedName name="_pcSlicerSheet33_Slicer3" hidden="1">#REF!</definedName>
    <definedName name="_pcSlicerSheet34_Slicer1" localSheetId="31" hidden="1">#REF!</definedName>
    <definedName name="_pcSlicerSheet34_Slicer1" hidden="1">#REF!</definedName>
    <definedName name="_pcSlicerSheet34_Slicer2" localSheetId="31" hidden="1">#REF!</definedName>
    <definedName name="_pcSlicerSheet34_Slicer2" hidden="1">#REF!</definedName>
    <definedName name="_pcSlicerSheet34_Slicer3" localSheetId="31" hidden="1">#REF!</definedName>
    <definedName name="_pcSlicerSheet34_Slicer3" hidden="1">#REF!</definedName>
    <definedName name="_pcSlicerSheet35_Slicer1" localSheetId="31" hidden="1">#REF!</definedName>
    <definedName name="_pcSlicerSheet35_Slicer1" hidden="1">#REF!</definedName>
    <definedName name="_pcSlicerSheet35_Slicer2" localSheetId="31" hidden="1">#REF!</definedName>
    <definedName name="_pcSlicerSheet35_Slicer2" hidden="1">#REF!</definedName>
    <definedName name="_pcSlicerSheet35_Slicer3" localSheetId="31" hidden="1">#REF!</definedName>
    <definedName name="_pcSlicerSheet35_Slicer3" hidden="1">#REF!</definedName>
    <definedName name="_pcSlicerSheet36_Slicer1" localSheetId="31" hidden="1">#REF!</definedName>
    <definedName name="_pcSlicerSheet36_Slicer1" hidden="1">#REF!</definedName>
    <definedName name="_pcSlicerSheet37_Slicer1" localSheetId="31" hidden="1">#REF!</definedName>
    <definedName name="_pcSlicerSheet37_Slicer1" hidden="1">#REF!</definedName>
    <definedName name="_pcSlicerSheet38_Slicer1" localSheetId="31" hidden="1">#REF!</definedName>
    <definedName name="_pcSlicerSheet38_Slicer1" hidden="1">#REF!</definedName>
    <definedName name="_pcSlicerSheet39_Slicer1" localSheetId="31" hidden="1">#REF!</definedName>
    <definedName name="_pcSlicerSheet39_Slicer1" hidden="1">#REF!</definedName>
    <definedName name="_pcSlicerSheet4_Slicer1" localSheetId="31" hidden="1">#REF!</definedName>
    <definedName name="_pcSlicerSheet4_Slicer1" hidden="1">#REF!</definedName>
    <definedName name="_pcSlicerSheet4_Slicer2" localSheetId="31" hidden="1">#REF!</definedName>
    <definedName name="_pcSlicerSheet4_Slicer2" hidden="1">#REF!</definedName>
    <definedName name="_pcSlicerSheet40_Slicer1" localSheetId="31" hidden="1">#REF!</definedName>
    <definedName name="_pcSlicerSheet40_Slicer1" hidden="1">#REF!</definedName>
    <definedName name="_pcSlicerSheet41_Slicer1" localSheetId="31" hidden="1">#REF!</definedName>
    <definedName name="_pcSlicerSheet41_Slicer1" hidden="1">#REF!</definedName>
    <definedName name="_pcSlicerSheet42_Slicer1" localSheetId="31" hidden="1">#REF!</definedName>
    <definedName name="_pcSlicerSheet42_Slicer1" hidden="1">#REF!</definedName>
    <definedName name="_pcSlicerSheet43_Slicer1" localSheetId="31" hidden="1">#REF!</definedName>
    <definedName name="_pcSlicerSheet43_Slicer1" hidden="1">#REF!</definedName>
    <definedName name="_pcSlicerSheet44_Slicer1" localSheetId="31" hidden="1">#REF!</definedName>
    <definedName name="_pcSlicerSheet44_Slicer1" hidden="1">#REF!</definedName>
    <definedName name="_pcSlicerSheet45_Slicer1" localSheetId="31" hidden="1">#REF!</definedName>
    <definedName name="_pcSlicerSheet45_Slicer1" hidden="1">#REF!</definedName>
    <definedName name="_pcSlicerSheet46_Slicer1" localSheetId="31" hidden="1">#REF!</definedName>
    <definedName name="_pcSlicerSheet46_Slicer1" hidden="1">#REF!</definedName>
    <definedName name="_pcSlicerSheet47_Slicer1" localSheetId="31" hidden="1">#REF!</definedName>
    <definedName name="_pcSlicerSheet47_Slicer1" hidden="1">#REF!</definedName>
    <definedName name="_pcSlicerSheet48_Slicer1" localSheetId="31" hidden="1">#REF!</definedName>
    <definedName name="_pcSlicerSheet48_Slicer1" hidden="1">#REF!</definedName>
    <definedName name="_pcSlicerSheet49_Slicer1" localSheetId="31" hidden="1">#REF!</definedName>
    <definedName name="_pcSlicerSheet49_Slicer1" hidden="1">#REF!</definedName>
    <definedName name="_pcSlicerSheet49_Slicer2" localSheetId="31" hidden="1">#REF!</definedName>
    <definedName name="_pcSlicerSheet49_Slicer2" hidden="1">#REF!</definedName>
    <definedName name="_pcSlicerSheet5_Slicer1" localSheetId="31" hidden="1">#REF!</definedName>
    <definedName name="_pcSlicerSheet5_Slicer1" hidden="1">#REF!</definedName>
    <definedName name="_pcSlicerSheet50_Slicer1" localSheetId="31" hidden="1">#REF!</definedName>
    <definedName name="_pcSlicerSheet50_Slicer1" hidden="1">#REF!</definedName>
    <definedName name="_pcSlicerSheet50_Slicer2" localSheetId="31" hidden="1">#REF!</definedName>
    <definedName name="_pcSlicerSheet50_Slicer2" hidden="1">#REF!</definedName>
    <definedName name="_pcSlicerSheet51_Slicer1" localSheetId="31" hidden="1">#REF!</definedName>
    <definedName name="_pcSlicerSheet51_Slicer1" hidden="1">#REF!</definedName>
    <definedName name="_pcSlicerSheet52_Slicer1" localSheetId="31" hidden="1">#REF!</definedName>
    <definedName name="_pcSlicerSheet52_Slicer1" hidden="1">#REF!</definedName>
    <definedName name="_pcSlicerSheet53_Slicer1" localSheetId="31" hidden="1">#REF!</definedName>
    <definedName name="_pcSlicerSheet53_Slicer1" hidden="1">#REF!</definedName>
    <definedName name="_pcSlicerSheet54_Slicer1" localSheetId="31" hidden="1">#REF!</definedName>
    <definedName name="_pcSlicerSheet54_Slicer1" hidden="1">#REF!</definedName>
    <definedName name="_pcSlicerSheet55_Slicer1" localSheetId="31" hidden="1">#REF!</definedName>
    <definedName name="_pcSlicerSheet55_Slicer1" hidden="1">#REF!</definedName>
    <definedName name="_pcSlicerSheet55_Slicer2" localSheetId="31" hidden="1">#REF!</definedName>
    <definedName name="_pcSlicerSheet55_Slicer2" hidden="1">#REF!</definedName>
    <definedName name="_pcSlicerSheet56_Slicer1" localSheetId="31" hidden="1">#REF!</definedName>
    <definedName name="_pcSlicerSheet56_Slicer1" hidden="1">#REF!</definedName>
    <definedName name="_pcSlicerSheet58_Slicer1" localSheetId="31" hidden="1">#REF!</definedName>
    <definedName name="_pcSlicerSheet58_Slicer1" hidden="1">#REF!</definedName>
    <definedName name="_pcSlicerSheet59_Slicer1" localSheetId="31" hidden="1">#REF!</definedName>
    <definedName name="_pcSlicerSheet59_Slicer1" hidden="1">#REF!</definedName>
    <definedName name="_pcSlicerSheet6_Slicer1" localSheetId="31" hidden="1">#REF!</definedName>
    <definedName name="_pcSlicerSheet6_Slicer1" hidden="1">#REF!</definedName>
    <definedName name="_pcSlicerSheet6_Slicer2" localSheetId="31" hidden="1">#REF!</definedName>
    <definedName name="_pcSlicerSheet6_Slicer2" hidden="1">#REF!</definedName>
    <definedName name="_pcSlicerSheet60_Slicer1" localSheetId="31" hidden="1">#REF!</definedName>
    <definedName name="_pcSlicerSheet60_Slicer1" hidden="1">#REF!</definedName>
    <definedName name="_pcSlicerSheet61_Slicer1" localSheetId="31" hidden="1">#REF!</definedName>
    <definedName name="_pcSlicerSheet61_Slicer1" hidden="1">#REF!</definedName>
    <definedName name="_pcSlicerSheet7_Slicer1" localSheetId="31" hidden="1">#REF!</definedName>
    <definedName name="_pcSlicerSheet7_Slicer1" hidden="1">#REF!</definedName>
    <definedName name="_pcSlicerSheet7_Slicer2" localSheetId="31" hidden="1">#REF!</definedName>
    <definedName name="_pcSlicerSheet7_Slicer2" hidden="1">#REF!</definedName>
    <definedName name="_pcSlicerSheet8_Slicer1" localSheetId="31" hidden="1">#REF!</definedName>
    <definedName name="_pcSlicerSheet8_Slicer1" hidden="1">#REF!</definedName>
    <definedName name="_pcSlicerSheet8_Slicer2" localSheetId="31" hidden="1">#REF!</definedName>
    <definedName name="_pcSlicerSheet8_Slicer2" hidden="1">#REF!</definedName>
    <definedName name="_pcSlicerSheet9_Slicer1" localSheetId="31" hidden="1">#REF!</definedName>
    <definedName name="_pcSlicerSheet9_Slicer1" hidden="1">#REF!</definedName>
    <definedName name="_PRO1" localSheetId="31">#REF!</definedName>
    <definedName name="_PRO1">#REF!</definedName>
    <definedName name="_PRO10" localSheetId="31">#REF!</definedName>
    <definedName name="_PRO10">#REF!</definedName>
    <definedName name="_PRO11" localSheetId="31">#REF!</definedName>
    <definedName name="_PRO11">#REF!</definedName>
    <definedName name="_PRO12" localSheetId="31">#REF!</definedName>
    <definedName name="_PRO12">#REF!</definedName>
    <definedName name="_PRO2" localSheetId="31">#REF!</definedName>
    <definedName name="_PRO2">#REF!</definedName>
    <definedName name="_PRO3" localSheetId="31">#REF!</definedName>
    <definedName name="_PRO3">#REF!</definedName>
    <definedName name="_PRO4" localSheetId="31">#REF!</definedName>
    <definedName name="_PRO4">#REF!</definedName>
    <definedName name="_PRO5" localSheetId="31">#REF!</definedName>
    <definedName name="_PRO5">#REF!</definedName>
    <definedName name="_PRO6" localSheetId="31">#REF!</definedName>
    <definedName name="_PRO6">#REF!</definedName>
    <definedName name="_PRO7" localSheetId="31">#REF!</definedName>
    <definedName name="_PRO7">#REF!</definedName>
    <definedName name="_PRO8" localSheetId="31">#REF!</definedName>
    <definedName name="_PRO8">#REF!</definedName>
    <definedName name="_PRO9" localSheetId="31">#REF!</definedName>
    <definedName name="_PRO9">#REF!</definedName>
    <definedName name="_Regression_Out" localSheetId="31" hidden="1">#REF!</definedName>
    <definedName name="_Regression_Out" hidden="1">#REF!</definedName>
    <definedName name="_Regression_X" localSheetId="31" hidden="1">#REF!</definedName>
    <definedName name="_Regression_X" localSheetId="33" hidden="1">#REF!</definedName>
    <definedName name="_Regression_X" hidden="1">#REF!</definedName>
    <definedName name="_Regression_Y" localSheetId="31" hidden="1">#REF!</definedName>
    <definedName name="_Regression_Y" hidden="1">#REF!</definedName>
    <definedName name="_sc1" localSheetId="31">#REF!</definedName>
    <definedName name="_sc1" localSheetId="33">#REF!</definedName>
    <definedName name="_sc1">#REF!</definedName>
    <definedName name="_SC2" localSheetId="31">#REF!</definedName>
    <definedName name="_SC2" localSheetId="33">#REF!</definedName>
    <definedName name="_SC2">#REF!</definedName>
    <definedName name="_sc3" localSheetId="31">#REF!</definedName>
    <definedName name="_sc3" localSheetId="33">#REF!</definedName>
    <definedName name="_sc3">#REF!</definedName>
    <definedName name="_SN3" localSheetId="31">#REF!</definedName>
    <definedName name="_SN3" localSheetId="33">#REF!</definedName>
    <definedName name="_SN3">#REF!</definedName>
    <definedName name="_Sort" localSheetId="31" hidden="1">#REF!</definedName>
    <definedName name="_Sort" localSheetId="33" hidden="1">#REF!</definedName>
    <definedName name="_Sort" hidden="1">#REF!</definedName>
    <definedName name="_Sort1" localSheetId="31" hidden="1">#REF!</definedName>
    <definedName name="_Sort1" hidden="1">#REF!</definedName>
    <definedName name="_Sort2" localSheetId="31" hidden="1">#REF!</definedName>
    <definedName name="_Sort2" hidden="1">#REF!</definedName>
    <definedName name="_Sort3" localSheetId="31" hidden="1">#REF!</definedName>
    <definedName name="_Sort3" hidden="1">#REF!</definedName>
    <definedName name="_Sort4" localSheetId="31" hidden="1">#REF!</definedName>
    <definedName name="_Sort4" hidden="1">#REF!</definedName>
    <definedName name="_T02" localSheetId="4">{"Book1"}</definedName>
    <definedName name="_T02" localSheetId="35">{"Book1"}</definedName>
    <definedName name="_T02" localSheetId="31">{"Book1"}</definedName>
    <definedName name="_T02" localSheetId="37">{"Book1"}</definedName>
    <definedName name="_T02" localSheetId="38">{"Book1"}</definedName>
    <definedName name="_T02" localSheetId="7">{"Book1"}</definedName>
    <definedName name="_T02" localSheetId="36">{"Book1"}</definedName>
    <definedName name="_T02" localSheetId="21">{"Book1"}</definedName>
    <definedName name="_T02" localSheetId="30">{"Book1"}</definedName>
    <definedName name="_T02" localSheetId="34">{"Book1"}</definedName>
    <definedName name="_T02" localSheetId="33">{"Book1"}</definedName>
    <definedName name="_T02" localSheetId="6">{"Book1"}</definedName>
    <definedName name="_T02">{"Book1"}</definedName>
    <definedName name="_Table2_In1" hidden="1">#REF!</definedName>
    <definedName name="_Table2_In2" localSheetId="31" hidden="1">#REF!</definedName>
    <definedName name="_Table2_In2" hidden="1">#REF!</definedName>
    <definedName name="_Table2_Out" localSheetId="31" hidden="1">#REF!</definedName>
    <definedName name="_Table2_Out" hidden="1">#REF!</definedName>
    <definedName name="_TB1" localSheetId="31">#REF!</definedName>
    <definedName name="_TB1" localSheetId="33">#REF!</definedName>
    <definedName name="_TB1">#REF!</definedName>
    <definedName name="_TC07" localSheetId="31">#REF!</definedName>
    <definedName name="_TC07" localSheetId="33">#REF!</definedName>
    <definedName name="_TC07">#REF!</definedName>
    <definedName name="_TL1" localSheetId="31">#REF!</definedName>
    <definedName name="_TL1" localSheetId="33">#REF!</definedName>
    <definedName name="_TL1">#REF!</definedName>
    <definedName name="_TL2" localSheetId="31">#REF!</definedName>
    <definedName name="_TL2" localSheetId="33">#REF!</definedName>
    <definedName name="_TL2">#REF!</definedName>
    <definedName name="_TL3" localSheetId="31">#REF!</definedName>
    <definedName name="_TL3" localSheetId="33">#REF!</definedName>
    <definedName name="_TL3">#REF!</definedName>
    <definedName name="_TLA120" localSheetId="31">#REF!</definedName>
    <definedName name="_TLA120" localSheetId="33">#REF!</definedName>
    <definedName name="_TLA120">#REF!</definedName>
    <definedName name="_TLA35" localSheetId="31">#REF!</definedName>
    <definedName name="_TLA35" localSheetId="33">#REF!</definedName>
    <definedName name="_TLA35">#REF!</definedName>
    <definedName name="_TLA50" localSheetId="31">#REF!</definedName>
    <definedName name="_TLA50" localSheetId="33">#REF!</definedName>
    <definedName name="_TLA50">#REF!</definedName>
    <definedName name="_TLA70" localSheetId="31">#REF!</definedName>
    <definedName name="_TLA70" localSheetId="33">#REF!</definedName>
    <definedName name="_TLA70">#REF!</definedName>
    <definedName name="_TLA95" localSheetId="31">#REF!</definedName>
    <definedName name="_TLA95" localSheetId="33">#REF!</definedName>
    <definedName name="_TLA95">#REF!</definedName>
    <definedName name="_Uc94" localSheetId="31">#REF!</definedName>
    <definedName name="_Uc94">#REF!</definedName>
    <definedName name="_Uc95" localSheetId="31">#REF!</definedName>
    <definedName name="_Uc95">#REF!</definedName>
    <definedName name="_Uc96" localSheetId="31">#REF!</definedName>
    <definedName name="_Uc96">#REF!</definedName>
    <definedName name="_Uc97" localSheetId="31">#REF!</definedName>
    <definedName name="_Uc97">#REF!</definedName>
    <definedName name="_Uc98" localSheetId="31">#REF!</definedName>
    <definedName name="_Uc98">#REF!</definedName>
    <definedName name="_Uc99" localSheetId="31">#REF!</definedName>
    <definedName name="_Uc99">#REF!</definedName>
    <definedName name="_Ucb2000" localSheetId="31">#REF!</definedName>
    <definedName name="_Ucb2000">#REF!</definedName>
    <definedName name="_UcB2001" localSheetId="31">#REF!</definedName>
    <definedName name="_UcB2001">#REF!</definedName>
    <definedName name="_Ucb99" localSheetId="31">#REF!</definedName>
    <definedName name="_Ucb99">#REF!</definedName>
    <definedName name="_VL100" localSheetId="31">#REF!</definedName>
    <definedName name="_VL100" localSheetId="33">#REF!</definedName>
    <definedName name="_VL100">#REF!</definedName>
    <definedName name="_VL200" localSheetId="31">#REF!</definedName>
    <definedName name="_VL200" localSheetId="33">#REF!</definedName>
    <definedName name="_VL200">#REF!</definedName>
    <definedName name="_VL250" localSheetId="31">#REF!</definedName>
    <definedName name="_VL250" localSheetId="33">#REF!</definedName>
    <definedName name="_VL250">#REF!</definedName>
    <definedName name="_xlchart.v5.0" hidden="1">Sheet12!$G$6:$G$14</definedName>
    <definedName name="_xlchart.v5.1" hidden="1">Sheet12!$H$6:$H$14</definedName>
    <definedName name="_XY123" localSheetId="31">#REF!</definedName>
    <definedName name="_XY123" localSheetId="33">#REF!</definedName>
    <definedName name="_XY123">#REF!</definedName>
    <definedName name="_YN52" localSheetId="31">#REF!</definedName>
    <definedName name="_YN52">#REF!</definedName>
    <definedName name="_销售09" localSheetId="31">#REF!</definedName>
    <definedName name="_销售09">#REF!</definedName>
    <definedName name="_预提06" localSheetId="31">#REF!</definedName>
    <definedName name="_预提06">#REF!</definedName>
    <definedName name="_预提08" localSheetId="31">#REF!</definedName>
    <definedName name="_预提08">#REF!</definedName>
    <definedName name="a" localSheetId="4">{"Book1"}</definedName>
    <definedName name="A" localSheetId="35">#REF!</definedName>
    <definedName name="A" localSheetId="31">#REF!</definedName>
    <definedName name="A" localSheetId="37">#REF!</definedName>
    <definedName name="a" localSheetId="38">{"Book1"}</definedName>
    <definedName name="a" localSheetId="7">{"Book1"}</definedName>
    <definedName name="A" localSheetId="36">#REF!</definedName>
    <definedName name="a" localSheetId="21">{"Book1"}</definedName>
    <definedName name="a" localSheetId="30">{"Book1"}</definedName>
    <definedName name="a" localSheetId="34">{"Book1"}</definedName>
    <definedName name="a" localSheetId="33">#REF!,#REF!,#REF!,#REF!,#REF!</definedName>
    <definedName name="a" localSheetId="6">{"Book1"}</definedName>
    <definedName name="a">{"Book1"}</definedName>
    <definedName name="A_impresión_IM" localSheetId="31">#REF!</definedName>
    <definedName name="A_impresión_IM" localSheetId="33">#REF!</definedName>
    <definedName name="A_impresión_IM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20_" localSheetId="31">#REF!</definedName>
    <definedName name="A120_" localSheetId="33">#REF!</definedName>
    <definedName name="A120_">#REF!</definedName>
    <definedName name="a277Print_Titles" localSheetId="31">#REF!</definedName>
    <definedName name="a277Print_Titles" localSheetId="33">#REF!</definedName>
    <definedName name="a277Print_Titles">#REF!</definedName>
    <definedName name="A35_" localSheetId="31">#REF!</definedName>
    <definedName name="A35_" localSheetId="33">#REF!</definedName>
    <definedName name="A35_">#REF!</definedName>
    <definedName name="A50_" localSheetId="31">#REF!</definedName>
    <definedName name="A50_" localSheetId="33">#REF!</definedName>
    <definedName name="A50_">#REF!</definedName>
    <definedName name="A70_" localSheetId="31">#REF!</definedName>
    <definedName name="A70_" localSheetId="33">#REF!</definedName>
    <definedName name="A70_">#REF!</definedName>
    <definedName name="A95_" localSheetId="31">#REF!</definedName>
    <definedName name="A95_" localSheetId="33">#REF!</definedName>
    <definedName name="A95_">#REF!</definedName>
    <definedName name="aa" localSheetId="31" hidden="1">#REF!</definedName>
    <definedName name="AA" localSheetId="33">#REF!</definedName>
    <definedName name="AA">#REF!</definedName>
    <definedName name="AA_SIZE" localSheetId="31">#REF!</definedName>
    <definedName name="AA_SIZE" localSheetId="33">#REF!</definedName>
    <definedName name="AA_SIZE">#REF!</definedName>
    <definedName name="aaa" localSheetId="31" hidden="1">#REF!</definedName>
    <definedName name="aaa" hidden="1">#REF!</definedName>
    <definedName name="aaaa" localSheetId="31" hidden="1">#REF!</definedName>
    <definedName name="aaaa" hidden="1">#REF!</definedName>
    <definedName name="aaaaa" localSheetId="35" hidden="1">{#N/A,#N/A,FALSE,"RIEP"}</definedName>
    <definedName name="aaaaa" localSheetId="31" hidden="1">{#N/A,#N/A,FALSE,"RIEP"}</definedName>
    <definedName name="aaaaa" localSheetId="37" hidden="1">{#N/A,#N/A,FALSE,"RIEP"}</definedName>
    <definedName name="aaaaa" localSheetId="36" hidden="1">{#N/A,#N/A,FALSE,"RIEP"}</definedName>
    <definedName name="aaaaa" hidden="1">{#N/A,#N/A,FALSE,"RIEP"}</definedName>
    <definedName name="aaaaa1" localSheetId="35" hidden="1">{#N/A,#N/A,FALSE,"RIEP"}</definedName>
    <definedName name="aaaaa1" localSheetId="31" hidden="1">{#N/A,#N/A,FALSE,"RIEP"}</definedName>
    <definedName name="aaaaa1" localSheetId="37" hidden="1">{#N/A,#N/A,FALSE,"RIEP"}</definedName>
    <definedName name="aaaaa1" localSheetId="36" hidden="1">{#N/A,#N/A,FALSE,"RIEP"}</definedName>
    <definedName name="aaaaa1" hidden="1">{#N/A,#N/A,FALSE,"RIEP"}</definedName>
    <definedName name="aaaaaaaaaaaaaaaa" localSheetId="35" hidden="1">{#N/A,#N/A,FALSE,"RIEP"}</definedName>
    <definedName name="aaaaaaaaaaaaaaaa" localSheetId="31" hidden="1">{#N/A,#N/A,FALSE,"RIEP"}</definedName>
    <definedName name="aaaaaaaaaaaaaaaa" localSheetId="37" hidden="1">{#N/A,#N/A,FALSE,"RIEP"}</definedName>
    <definedName name="aaaaaaaaaaaaaaaa" localSheetId="36" hidden="1">{#N/A,#N/A,FALSE,"RIEP"}</definedName>
    <definedName name="aaaaaaaaaaaaaaaa" hidden="1">{#N/A,#N/A,FALSE,"RIEP"}</definedName>
    <definedName name="AASAS" localSheetId="35" hidden="1">{"QQQ",#N/A,FALSE,"RIEP"}</definedName>
    <definedName name="AASAS" localSheetId="31" hidden="1">{"QQQ",#N/A,FALSE,"RIEP"}</definedName>
    <definedName name="AASAS" localSheetId="37" hidden="1">{"QQQ",#N/A,FALSE,"RIEP"}</definedName>
    <definedName name="AASAS" localSheetId="36" hidden="1">{"QQQ",#N/A,FALSE,"RIEP"}</definedName>
    <definedName name="AASAS" hidden="1">{"QQQ",#N/A,FALSE,"RIEP"}</definedName>
    <definedName name="AB" hidden="1">#REF!</definedName>
    <definedName name="abc" localSheetId="35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abc" localSheetId="31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abc" localSheetId="37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abc" localSheetId="36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ABC" localSheetId="33">#REF!</definedName>
    <definedName name="ABC">#REF!</definedName>
    <definedName name="abcd" hidden="1">#REF!</definedName>
    <definedName name="AC120_" localSheetId="31">#REF!</definedName>
    <definedName name="AC120_" localSheetId="33">#REF!</definedName>
    <definedName name="AC120_">#REF!</definedName>
    <definedName name="AC35_" localSheetId="31">#REF!</definedName>
    <definedName name="AC35_" localSheetId="33">#REF!</definedName>
    <definedName name="AC35_">#REF!</definedName>
    <definedName name="AC50_" localSheetId="31">#REF!</definedName>
    <definedName name="AC50_" localSheetId="33">#REF!</definedName>
    <definedName name="AC50_">#REF!</definedName>
    <definedName name="AC70_" localSheetId="31">#REF!</definedName>
    <definedName name="AC70_" localSheetId="33">#REF!</definedName>
    <definedName name="AC70_">#REF!</definedName>
    <definedName name="AC95_" localSheetId="31">#REF!</definedName>
    <definedName name="AC95_" localSheetId="33">#REF!</definedName>
    <definedName name="AC95_">#REF!</definedName>
    <definedName name="ACIDE" localSheetId="31">#REF!</definedName>
    <definedName name="ACIDE">#REF!</definedName>
    <definedName name="ACTIVECELL_EDIT" localSheetId="31">#REF!</definedName>
    <definedName name="ACTIVECELL_EDIT">#REF!</definedName>
    <definedName name="ACTLY" localSheetId="31">#REF!</definedName>
    <definedName name="ACTLY">#REF!</definedName>
    <definedName name="ActualCONSOL" localSheetId="31">#REF!</definedName>
    <definedName name="ActualCONSOL">#REF!</definedName>
    <definedName name="ActualGP" localSheetId="31">#REF!</definedName>
    <definedName name="ActualGP">#REF!</definedName>
    <definedName name="ActualLY_Consol" localSheetId="31">#REF!</definedName>
    <definedName name="ActualLY_Consol">#REF!</definedName>
    <definedName name="ad" localSheetId="31">#REF!</definedName>
    <definedName name="ad" localSheetId="33">#REF!</definedName>
    <definedName name="ad">#REF!</definedName>
    <definedName name="addg" localSheetId="35" hidden="1">{#N/A,#N/A,FALSE,"CBE";#N/A,#N/A,FALSE,"SWK"}</definedName>
    <definedName name="addg" localSheetId="31" hidden="1">{#N/A,#N/A,FALSE,"CBE";#N/A,#N/A,FALSE,"SWK"}</definedName>
    <definedName name="addg" localSheetId="37" hidden="1">{#N/A,#N/A,FALSE,"CBE";#N/A,#N/A,FALSE,"SWK"}</definedName>
    <definedName name="addg" localSheetId="36" hidden="1">{#N/A,#N/A,FALSE,"CBE";#N/A,#N/A,FALSE,"SWK"}</definedName>
    <definedName name="addg" hidden="1">{#N/A,#N/A,FALSE,"CBE";#N/A,#N/A,FALSE,"SWK"}</definedName>
    <definedName name="Address" localSheetId="33">#REF!</definedName>
    <definedName name="Address">#REF!</definedName>
    <definedName name="ADV" localSheetId="35" hidden="1">{#N/A,#N/A,TRUE,"ANALYSE";#N/A,#N/A,TRUE,"PM VOLUME";#N/A,#N/A,TRUE,"PM VALEUR";#N/A,#N/A,TRUE,"AR1";#N/A,#N/A,TRUE,"AR2";#N/A,#N/A,TRUE,"RAF";#N/A,#N/A,TRUE,"BILAN";#N/A,#N/A,TRUE,"CASH FLOW";#N/A,#N/A,TRUE,"ETAT FI"}</definedName>
    <definedName name="ADV" localSheetId="31" hidden="1">{#N/A,#N/A,TRUE,"ANALYSE";#N/A,#N/A,TRUE,"PM VOLUME";#N/A,#N/A,TRUE,"PM VALEUR";#N/A,#N/A,TRUE,"AR1";#N/A,#N/A,TRUE,"AR2";#N/A,#N/A,TRUE,"RAF";#N/A,#N/A,TRUE,"BILAN";#N/A,#N/A,TRUE,"CASH FLOW";#N/A,#N/A,TRUE,"ETAT FI"}</definedName>
    <definedName name="ADV" localSheetId="37" hidden="1">{#N/A,#N/A,TRUE,"ANALYSE";#N/A,#N/A,TRUE,"PM VOLUME";#N/A,#N/A,TRUE,"PM VALEUR";#N/A,#N/A,TRUE,"AR1";#N/A,#N/A,TRUE,"AR2";#N/A,#N/A,TRUE,"RAF";#N/A,#N/A,TRUE,"BILAN";#N/A,#N/A,TRUE,"CASH FLOW";#N/A,#N/A,TRUE,"ETAT FI"}</definedName>
    <definedName name="ADV" localSheetId="36" hidden="1">{#N/A,#N/A,TRUE,"ANALYSE";#N/A,#N/A,TRUE,"PM VOLUME";#N/A,#N/A,TRUE,"PM VALEUR";#N/A,#N/A,TRUE,"AR1";#N/A,#N/A,TRUE,"AR2";#N/A,#N/A,TRUE,"RAF";#N/A,#N/A,TRUE,"BILAN";#N/A,#N/A,TRUE,"CASH FLOW";#N/A,#N/A,TRUE,"ETAT FI"}</definedName>
    <definedName name="ADV" hidden="1">{#N/A,#N/A,TRUE,"ANALYSE";#N/A,#N/A,TRUE,"PM VOLUME";#N/A,#N/A,TRUE,"PM VALEUR";#N/A,#N/A,TRUE,"AR1";#N/A,#N/A,TRUE,"AR2";#N/A,#N/A,TRUE,"RAF";#N/A,#N/A,TRUE,"BILAN";#N/A,#N/A,TRUE,"CASH FLOW";#N/A,#N/A,TRUE,"ETAT FI"}</definedName>
    <definedName name="age">#REF!</definedName>
    <definedName name="Ajax" localSheetId="35" hidden="1">{#N/A,#N/A,TRUE,"Pro Forma";#N/A,#N/A,TRUE,"PF_Bal";#N/A,#N/A,TRUE,"PF_INC";#N/A,#N/A,TRUE,"CBE";#N/A,#N/A,TRUE,"SWK"}</definedName>
    <definedName name="Ajax" localSheetId="31" hidden="1">{#N/A,#N/A,TRUE,"Pro Forma";#N/A,#N/A,TRUE,"PF_Bal";#N/A,#N/A,TRUE,"PF_INC";#N/A,#N/A,TRUE,"CBE";#N/A,#N/A,TRUE,"SWK"}</definedName>
    <definedName name="Ajax" localSheetId="37" hidden="1">{#N/A,#N/A,TRUE,"Pro Forma";#N/A,#N/A,TRUE,"PF_Bal";#N/A,#N/A,TRUE,"PF_INC";#N/A,#N/A,TRUE,"CBE";#N/A,#N/A,TRUE,"SWK"}</definedName>
    <definedName name="Ajax" localSheetId="36" hidden="1">{#N/A,#N/A,TRUE,"Pro Forma";#N/A,#N/A,TRUE,"PF_Bal";#N/A,#N/A,TRUE,"PF_INC";#N/A,#N/A,TRUE,"CBE";#N/A,#N/A,TRUE,"SWK"}</definedName>
    <definedName name="Ajax" hidden="1">{#N/A,#N/A,TRUE,"Pro Forma";#N/A,#N/A,TRUE,"PF_Bal";#N/A,#N/A,TRUE,"PF_INC";#N/A,#N/A,TRUE,"CBE";#N/A,#N/A,TRUE,"SWK"}</definedName>
    <definedName name="All_Item" localSheetId="33">#REF!</definedName>
    <definedName name="All_Item">#REF!</definedName>
    <definedName name="ALPIN">#N/A</definedName>
    <definedName name="ALPJYOU">#N/A</definedName>
    <definedName name="ALPTOI">#N/A</definedName>
    <definedName name="AluType">#REF!</definedName>
    <definedName name="AML_act" localSheetId="31">#REF!</definedName>
    <definedName name="AML_act">#REF!</definedName>
    <definedName name="AML_bud" localSheetId="31">#REF!</definedName>
    <definedName name="AML_bud">#REF!</definedName>
    <definedName name="AML_n_1" localSheetId="31">#REF!</definedName>
    <definedName name="AML_n_1">#REF!</definedName>
    <definedName name="ANA" localSheetId="31">#REF!</definedName>
    <definedName name="ANA">#REF!</definedName>
    <definedName name="aNC" localSheetId="31">#REF!</definedName>
    <definedName name="aNC">#REF!</definedName>
    <definedName name="ANNEE" localSheetId="31">#REF!</definedName>
    <definedName name="ANNEE">#REF!</definedName>
    <definedName name="Année" localSheetId="31">#REF!</definedName>
    <definedName name="Année">#REF!</definedName>
    <definedName name="Annexe28" localSheetId="35" hidden="1">{"CE_complet",#N/A,FALSE,"CEA";"ELT_techn",#N/A,FALSE,"CEA"}</definedName>
    <definedName name="Annexe28" localSheetId="31" hidden="1">{"CE_complet",#N/A,FALSE,"CEA";"ELT_techn",#N/A,FALSE,"CEA"}</definedName>
    <definedName name="Annexe28" localSheetId="37" hidden="1">{"CE_complet",#N/A,FALSE,"CEA";"ELT_techn",#N/A,FALSE,"CEA"}</definedName>
    <definedName name="Annexe28" localSheetId="36" hidden="1">{"CE_complet",#N/A,FALSE,"CEA";"ELT_techn",#N/A,FALSE,"CEA"}</definedName>
    <definedName name="Annexe28" hidden="1">{"CE_complet",#N/A,FALSE,"CEA";"ELT_techn",#N/A,FALSE,"CEA"}</definedName>
    <definedName name="anscount" hidden="1">1</definedName>
    <definedName name="Ansicht_Prog">#REF!</definedName>
    <definedName name="Ansicht_Prog_1">#N/A</definedName>
    <definedName name="Ansicht_Prog_1_1">#N/A</definedName>
    <definedName name="Ansicht_Prog_1_1_1">#N/A</definedName>
    <definedName name="Ansicht_Prog_10">#N/A</definedName>
    <definedName name="Ansicht_Prog_10_1">#N/A</definedName>
    <definedName name="Ansicht_Prog_10_1_1">#N/A</definedName>
    <definedName name="Ansicht_Prog_11">#N/A</definedName>
    <definedName name="Ansicht_Prog_11_1">#N/A</definedName>
    <definedName name="Ansicht_Prog_11_1_1">#N/A</definedName>
    <definedName name="Ansicht_Prog_12">#N/A</definedName>
    <definedName name="Ansicht_Prog_13">#N/A</definedName>
    <definedName name="Ansicht_Prog_14">#N/A</definedName>
    <definedName name="Ansicht_Prog_15">#N/A</definedName>
    <definedName name="Ansicht_Prog_16">#N/A</definedName>
    <definedName name="Ansicht_Prog_17">#N/A</definedName>
    <definedName name="Ansicht_Prog_18">#N/A</definedName>
    <definedName name="Ansicht_Prog_19">#N/A</definedName>
    <definedName name="Ansicht_Prog_2">#N/A</definedName>
    <definedName name="Ansicht_Prog_20">#N/A</definedName>
    <definedName name="Ansicht_Prog_21">#N/A</definedName>
    <definedName name="Ansicht_Prog_22">#N/A</definedName>
    <definedName name="Ansicht_Prog_22_1">#N/A</definedName>
    <definedName name="Ansicht_Prog_23">#N/A</definedName>
    <definedName name="Ansicht_Prog_23_1">#N/A</definedName>
    <definedName name="Ansicht_Prog_24">#N/A</definedName>
    <definedName name="Ansicht_Prog_24_1">#N/A</definedName>
    <definedName name="Ansicht_Prog_25">#N/A</definedName>
    <definedName name="Ansicht_Prog_25_1">#N/A</definedName>
    <definedName name="Ansicht_Prog_26">#N/A</definedName>
    <definedName name="Ansicht_Prog_27">#N/A</definedName>
    <definedName name="Ansicht_Prog_27_1">#N/A</definedName>
    <definedName name="Ansicht_Prog_27_1_1">#N/A</definedName>
    <definedName name="Ansicht_Prog_28">#N/A</definedName>
    <definedName name="Ansicht_Prog_28_1">#N/A</definedName>
    <definedName name="Ansicht_Prog_28_1_1">#N/A</definedName>
    <definedName name="Ansicht_Prog_29">#N/A</definedName>
    <definedName name="Ansicht_Prog_29_1">#N/A</definedName>
    <definedName name="Ansicht_Prog_29_1_1">#N/A</definedName>
    <definedName name="Ansicht_Prog_3">#N/A</definedName>
    <definedName name="Ansicht_Prog_30">#N/A</definedName>
    <definedName name="Ansicht_Prog_31">#N/A</definedName>
    <definedName name="Ansicht_Prog_32">#N/A</definedName>
    <definedName name="Ansicht_Prog_33">#N/A</definedName>
    <definedName name="Ansicht_Prog_34">#N/A</definedName>
    <definedName name="Ansicht_Prog_35">#N/A</definedName>
    <definedName name="Ansicht_Prog_35_1">#N/A</definedName>
    <definedName name="Ansicht_Prog_35_1_1">#N/A</definedName>
    <definedName name="Ansicht_Prog_36">#N/A</definedName>
    <definedName name="Ansicht_Prog_36_1">#N/A</definedName>
    <definedName name="Ansicht_Prog_36_1_1">#N/A</definedName>
    <definedName name="Ansicht_Prog_37">#N/A</definedName>
    <definedName name="Ansicht_Prog_37_1">#N/A</definedName>
    <definedName name="Ansicht_Prog_37_1_1">#N/A</definedName>
    <definedName name="Ansicht_Prog_38">#N/A</definedName>
    <definedName name="Ansicht_Prog_38_1">#N/A</definedName>
    <definedName name="Ansicht_Prog_38_1_1">#N/A</definedName>
    <definedName name="Ansicht_Prog_39">#N/A</definedName>
    <definedName name="Ansicht_Prog_40">#N/A</definedName>
    <definedName name="Ansicht_Prog_41">#N/A</definedName>
    <definedName name="Ansicht_Prog_42">NA()</definedName>
    <definedName name="Ansicht_Prog_43">#N/A</definedName>
    <definedName name="Ansicht_Prog_44">#N/A</definedName>
    <definedName name="Ansicht_Prog_45">#N/A</definedName>
    <definedName name="Ansicht_Prog_46">#N/A</definedName>
    <definedName name="Ansicht_Prog_47">#N/A</definedName>
    <definedName name="Ansicht_Prog_48">#N/A</definedName>
    <definedName name="Ansicht_Prog_49">#N/A</definedName>
    <definedName name="Ansicht_Prog_50">#N/A</definedName>
    <definedName name="Ansicht_Prog_51">#N/A</definedName>
    <definedName name="Ansicht_Prog_52">#N/A</definedName>
    <definedName name="Ansicht_Prog_53">#N/A</definedName>
    <definedName name="Ansicht_Prog_54">#N/A</definedName>
    <definedName name="Ansicht_Prog_55">#N/A</definedName>
    <definedName name="Ansicht_Prog_56">#N/A</definedName>
    <definedName name="Ansicht_Prog_59">#N/A</definedName>
    <definedName name="Ansicht_Prog_6">#N/A</definedName>
    <definedName name="Ansicht_Prog_60">#N/A</definedName>
    <definedName name="Ansicht_Prog_61">#N/A</definedName>
    <definedName name="Ansicht_Prog_62">#N/A</definedName>
    <definedName name="Ansicht_Prog_63">#N/A</definedName>
    <definedName name="Ansicht_Prog_64">#N/A</definedName>
    <definedName name="Ansicht_Prog_65">#N/A</definedName>
    <definedName name="Ansicht_Prog_66">#N/A</definedName>
    <definedName name="Ansicht_Prog_66_1">#N/A</definedName>
    <definedName name="Ansicht_Prog_67">#N/A</definedName>
    <definedName name="Ansicht_Prog_67_1">#N/A</definedName>
    <definedName name="Ansicht_Prog_68">#N/A</definedName>
    <definedName name="Ansicht_Prog_68_1">#N/A</definedName>
    <definedName name="Ansicht_Prog_69">#N/A</definedName>
    <definedName name="Ansicht_Prog_69_1">#N/A</definedName>
    <definedName name="Ansicht_Prog_7">#N/A</definedName>
    <definedName name="Ansicht_Prog_7_1">#N/A</definedName>
    <definedName name="Ansicht_Prog_7_1_1">#N/A</definedName>
    <definedName name="Ansicht_Prog_70">#N/A</definedName>
    <definedName name="Ansicht_Prog_70_1">#N/A</definedName>
    <definedName name="Ansicht_Prog_71">#N/A</definedName>
    <definedName name="Ansicht_Prog_71_1">#N/A</definedName>
    <definedName name="Ansicht_Prog_72">#N/A</definedName>
    <definedName name="Ansicht_Prog_72_1">#N/A</definedName>
    <definedName name="Ansicht_Prog_73">#N/A</definedName>
    <definedName name="Ansicht_Prog_73_1">#N/A</definedName>
    <definedName name="Ansicht_Prog_74">#N/A</definedName>
    <definedName name="Ansicht_Prog_74_1">#N/A</definedName>
    <definedName name="Ansicht_Prog_75">#N/A</definedName>
    <definedName name="Ansicht_Prog_76">#N/A</definedName>
    <definedName name="Ansicht_Prog_77">#N/A</definedName>
    <definedName name="Ansicht_Prog_8">#N/A</definedName>
    <definedName name="Ansicht_Prog_8_1">#N/A</definedName>
    <definedName name="Ansicht_Prog_8_1_1">#N/A</definedName>
    <definedName name="Ansicht_Prog_9">#N/A</definedName>
    <definedName name="Ansicht_Prog_9_1">#N/A</definedName>
    <definedName name="Ansicht_Prog_9_1_1">#N/A</definedName>
    <definedName name="app" hidden="1">#REF!</definedName>
    <definedName name="April" localSheetId="31">#REF!</definedName>
    <definedName name="April" localSheetId="33">#REF!</definedName>
    <definedName name="April">#REF!</definedName>
    <definedName name="Arbeitsinhalte_Bemerkungen" localSheetId="31">#REF!,#REF!</definedName>
    <definedName name="Arbeitsinhalte_Bemerkungen" localSheetId="33">#REF!,#REF!</definedName>
    <definedName name="Arbeitsinhalte_Bemerkungen">#REF!,#REF!</definedName>
    <definedName name="Arbeitsinhalte_Eingabe" localSheetId="35">#REF!,#REF!,#REF!,#REF!</definedName>
    <definedName name="Arbeitsinhalte_Eingabe" localSheetId="31">#REF!,#REF!,#REF!,#REF!</definedName>
    <definedName name="Arbeitsinhalte_Eingabe" localSheetId="33">#REF!,#REF!,#REF!,#REF!</definedName>
    <definedName name="Arbeitsinhalte_Eingabe">#REF!,#REF!,#REF!,#REF!</definedName>
    <definedName name="ARCHIVO" localSheetId="35">#REF!</definedName>
    <definedName name="ARCHIVO" localSheetId="31">#REF!</definedName>
    <definedName name="ARCHIVO" localSheetId="33">#REF!</definedName>
    <definedName name="ARCHIVO">#REF!</definedName>
    <definedName name="ardqer" localSheetId="35" hidden="1">{"SPM1",#N/A,FALSE,"RIEP"}</definedName>
    <definedName name="ardqer" localSheetId="31" hidden="1">{"SPM1",#N/A,FALSE,"RIEP"}</definedName>
    <definedName name="ardqer" localSheetId="37" hidden="1">{"SPM1",#N/A,FALSE,"RIEP"}</definedName>
    <definedName name="ardqer" localSheetId="36" hidden="1">{"SPM1",#N/A,FALSE,"RIEP"}</definedName>
    <definedName name="ardqer" hidden="1">{"SPM1",#N/A,FALSE,"RIEP"}</definedName>
    <definedName name="Area_access">#REF!</definedName>
    <definedName name="Area_access_852" localSheetId="35">#REF!</definedName>
    <definedName name="Area_access_852" localSheetId="31">#REF!</definedName>
    <definedName name="Area_access_852" localSheetId="37">#REF!</definedName>
    <definedName name="Area_access_852" localSheetId="36">#REF!</definedName>
    <definedName name="Area_access_852" localSheetId="33">#REF!</definedName>
    <definedName name="Area_access_852">#REF!</definedName>
    <definedName name="Array_für_Werte" localSheetId="35">{"vol1998","SUMME(vol1998)","JNNNN",FALSE;"vol1999","SUMME(vol1999)","JNNNN",FALSE;"vol2000","SUMME(vol2000)","JNNNN",FALSE;"vol2001","SUMME(vol2001)","JNNNN",FALSE;"vol2002","SUMME(vol2002)","JNNNN",FALSE;"cann1998","SUMME(cann1998)","JNNNN",FALSE;"cann1999","SUMME(cann1999)","JNNNN",FALSE;"cann2000","SUMME(cann2000)","JNNNN",FALSE;"cann2001","SUMME(cann2001)","JNNNN",FALSE;"cann2002","SUMME(cann2002)","JNNNN",FALSE;"cm1998","SUMME(cm1998)","JNNNN",FALSE;"cm1999","SUMME(cm1999)","JNNNN",FALSE;"cm2000","SUMME(cm2000)","JNNNN",FALSE;"cm2001","SUMME(cm2001)","JNNNN",FALSE;"cm2002","SUMME(cm2002)","JNNNN",FALSE}</definedName>
    <definedName name="Array_für_Werte" localSheetId="31">{"vol1998","SUMME(vol1998)","JNNNN",FALSE;"vol1999","SUMME(vol1999)","JNNNN",FALSE;"vol2000","SUMME(vol2000)","JNNNN",FALSE;"vol2001","SUMME(vol2001)","JNNNN",FALSE;"vol2002","SUMME(vol2002)","JNNNN",FALSE;"cann1998","SUMME(cann1998)","JNNNN",FALSE;"cann1999","SUMME(cann1999)","JNNNN",FALSE;"cann2000","SUMME(cann2000)","JNNNN",FALSE;"cann2001","SUMME(cann2001)","JNNNN",FALSE;"cann2002","SUMME(cann2002)","JNNNN",FALSE;"cm1998","SUMME(cm1998)","JNNNN",FALSE;"cm1999","SUMME(cm1999)","JNNNN",FALSE;"cm2000","SUMME(cm2000)","JNNNN",FALSE;"cm2001","SUMME(cm2001)","JNNNN",FALSE;"cm2002","SUMME(cm2002)","JNNNN",FALSE}</definedName>
    <definedName name="Array_für_Werte" localSheetId="37">{"vol1998","SUMME(vol1998)","JNNNN",FALSE;"vol1999","SUMME(vol1999)","JNNNN",FALSE;"vol2000","SUMME(vol2000)","JNNNN",FALSE;"vol2001","SUMME(vol2001)","JNNNN",FALSE;"vol2002","SUMME(vol2002)","JNNNN",FALSE;"cann1998","SUMME(cann1998)","JNNNN",FALSE;"cann1999","SUMME(cann1999)","JNNNN",FALSE;"cann2000","SUMME(cann2000)","JNNNN",FALSE;"cann2001","SUMME(cann2001)","JNNNN",FALSE;"cann2002","SUMME(cann2002)","JNNNN",FALSE;"cm1998","SUMME(cm1998)","JNNNN",FALSE;"cm1999","SUMME(cm1999)","JNNNN",FALSE;"cm2000","SUMME(cm2000)","JNNNN",FALSE;"cm2001","SUMME(cm2001)","JNNNN",FALSE;"cm2002","SUMME(cm2002)","JNNNN",FALSE}</definedName>
    <definedName name="Array_für_Werte" localSheetId="36">{"vol1998","SUMME(vol1998)","JNNNN",FALSE;"vol1999","SUMME(vol1999)","JNNNN",FALSE;"vol2000","SUMME(vol2000)","JNNNN",FALSE;"vol2001","SUMME(vol2001)","JNNNN",FALSE;"vol2002","SUMME(vol2002)","JNNNN",FALSE;"cann1998","SUMME(cann1998)","JNNNN",FALSE;"cann1999","SUMME(cann1999)","JNNNN",FALSE;"cann2000","SUMME(cann2000)","JNNNN",FALSE;"cann2001","SUMME(cann2001)","JNNNN",FALSE;"cann2002","SUMME(cann2002)","JNNNN",FALSE;"cm1998","SUMME(cm1998)","JNNNN",FALSE;"cm1999","SUMME(cm1999)","JNNNN",FALSE;"cm2000","SUMME(cm2000)","JNNNN",FALSE;"cm2001","SUMME(cm2001)","JNNNN",FALSE;"cm2002","SUMME(cm2002)","JNNNN",FALSE}</definedName>
    <definedName name="Array_für_Werte">{"vol1998","SUMME(vol1998)","JNNNN",FALSE;"vol1999","SUMME(vol1999)","JNNNN",FALSE;"vol2000","SUMME(vol2000)","JNNNN",FALSE;"vol2001","SUMME(vol2001)","JNNNN",FALSE;"vol2002","SUMME(vol2002)","JNNNN",FALSE;"cann1998","SUMME(cann1998)","JNNNN",FALSE;"cann1999","SUMME(cann1999)","JNNNN",FALSE;"cann2000","SUMME(cann2000)","JNNNN",FALSE;"cann2001","SUMME(cann2001)","JNNNN",FALSE;"cann2002","SUMME(cann2002)","JNNNN",FALSE;"cm1998","SUMME(cm1998)","JNNNN",FALSE;"cm1999","SUMME(cm1999)","JNNNN",FALSE;"cm2000","SUMME(cm2000)","JNNNN",FALSE;"cm2001","SUMME(cm2001)","JNNNN",FALSE;"cm2002","SUMME(cm2002)","JNNNN",FALSE}</definedName>
    <definedName name="Array_für_Zeilen" localSheetId="35">{"regrsf",0,"Auto","Auto","";"sf",0,"Auto","Auto","";"marque",0,"Auto","Auto","";"marqgrp",0,"Auto","Auto",""}</definedName>
    <definedName name="Array_für_Zeilen" localSheetId="31">{"regrsf",0,"Auto","Auto","";"sf",0,"Auto","Auto","";"marque",0,"Auto","Auto","";"marqgrp",0,"Auto","Auto",""}</definedName>
    <definedName name="Array_für_Zeilen" localSheetId="37">{"regrsf",0,"Auto","Auto","";"sf",0,"Auto","Auto","";"marque",0,"Auto","Auto","";"marqgrp",0,"Auto","Auto",""}</definedName>
    <definedName name="Array_für_Zeilen" localSheetId="36">{"regrsf",0,"Auto","Auto","";"sf",0,"Auto","Auto","";"marque",0,"Auto","Auto","";"marqgrp",0,"Auto","Auto",""}</definedName>
    <definedName name="Array_für_Zeilen">{"regrsf",0,"Auto","Auto","";"sf",0,"Auto","Auto","";"marque",0,"Auto","Auto","";"marqgrp",0,"Auto","Auto",""}</definedName>
    <definedName name="art">#REF!</definedName>
    <definedName name="Artems" localSheetId="35" hidden="1">{"First Page",#N/A,FALSE,"Surfactants LBO";"Second Page",#N/A,FALSE,"Surfactants LBO"}</definedName>
    <definedName name="Artems" localSheetId="31" hidden="1">{"First Page",#N/A,FALSE,"Surfactants LBO";"Second Page",#N/A,FALSE,"Surfactants LBO"}</definedName>
    <definedName name="Artems" localSheetId="37" hidden="1">{"First Page",#N/A,FALSE,"Surfactants LBO";"Second Page",#N/A,FALSE,"Surfactants LBO"}</definedName>
    <definedName name="Artems" localSheetId="36" hidden="1">{"First Page",#N/A,FALSE,"Surfactants LBO";"Second Page",#N/A,FALSE,"Surfactants LBO"}</definedName>
    <definedName name="Artems" hidden="1">{"First Page",#N/A,FALSE,"Surfactants LBO";"Second Page",#N/A,FALSE,"Surfactants LBO"}</definedName>
    <definedName name="Artic" localSheetId="35" hidden="1">{"First Page",#N/A,FALSE,"Surfactants LBO";"Second Page",#N/A,FALSE,"Surfactants LBO"}</definedName>
    <definedName name="Artic" localSheetId="31" hidden="1">{"First Page",#N/A,FALSE,"Surfactants LBO";"Second Page",#N/A,FALSE,"Surfactants LBO"}</definedName>
    <definedName name="Artic" localSheetId="37" hidden="1">{"First Page",#N/A,FALSE,"Surfactants LBO";"Second Page",#N/A,FALSE,"Surfactants LBO"}</definedName>
    <definedName name="Artic" localSheetId="36" hidden="1">{"First Page",#N/A,FALSE,"Surfactants LBO";"Second Page",#N/A,FALSE,"Surfactants LBO"}</definedName>
    <definedName name="Artic" hidden="1">{"First Page",#N/A,FALSE,"Surfactants LBO";"Second Page",#N/A,FALSE,"Surfactants LBO"}</definedName>
    <definedName name="as">#N/A</definedName>
    <definedName name="AS2DocOpenMode" hidden="1">"AS2DocumentEdit"</definedName>
    <definedName name="ASD" localSheetId="35" hidden="1">{"QQQ",#N/A,FALSE,"RIEP"}</definedName>
    <definedName name="ASD" localSheetId="31" hidden="1">{"QQQ",#N/A,FALSE,"RIEP"}</definedName>
    <definedName name="ASD" localSheetId="37" hidden="1">{"QQQ",#N/A,FALSE,"RIEP"}</definedName>
    <definedName name="ASD" localSheetId="36" hidden="1">{"QQQ",#N/A,FALSE,"RIEP"}</definedName>
    <definedName name="ASD" hidden="1">{"QQQ",#N/A,FALSE,"RIEP"}</definedName>
    <definedName name="asdaddasdasd">#REF!</definedName>
    <definedName name="asder" localSheetId="31" hidden="1">#REF!</definedName>
    <definedName name="asder" hidden="1">#REF!</definedName>
    <definedName name="ASDF" localSheetId="35" hidden="1">{#N/A,#N/A,FALSE,"RIEP"}</definedName>
    <definedName name="ASDF" localSheetId="31" hidden="1">{#N/A,#N/A,FALSE,"RIEP"}</definedName>
    <definedName name="ASDF" localSheetId="37" hidden="1">{#N/A,#N/A,FALSE,"RIEP"}</definedName>
    <definedName name="ASDF" localSheetId="36" hidden="1">{#N/A,#N/A,FALSE,"RIEP"}</definedName>
    <definedName name="ASDF" hidden="1">{#N/A,#N/A,FALSE,"RIEP"}</definedName>
    <definedName name="asdfas" localSheetId="35" hidden="1">{#N/A,#N/A,FALSE,"RIEP"}</definedName>
    <definedName name="asdfas" localSheetId="31" hidden="1">{#N/A,#N/A,FALSE,"RIEP"}</definedName>
    <definedName name="asdfas" localSheetId="37" hidden="1">{#N/A,#N/A,FALSE,"RIEP"}</definedName>
    <definedName name="asdfas" localSheetId="36" hidden="1">{#N/A,#N/A,FALSE,"RIEP"}</definedName>
    <definedName name="asdfas" hidden="1">{#N/A,#N/A,FALSE,"RIEP"}</definedName>
    <definedName name="asfefwegfwer" hidden="1">#REF!</definedName>
    <definedName name="Assump" localSheetId="35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sump" localSheetId="3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sump" localSheetId="37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sump" localSheetId="36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sump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sumptionProductionOverhead" localSheetId="33">#REF!</definedName>
    <definedName name="assumptionProductionOverhead">#REF!</definedName>
    <definedName name="aùsw" localSheetId="35" hidden="1">{"SPM1",#N/A,FALSE,"RIEP"}</definedName>
    <definedName name="aùsw" localSheetId="31" hidden="1">{"SPM1",#N/A,FALSE,"RIEP"}</definedName>
    <definedName name="aùsw" localSheetId="37" hidden="1">{"SPM1",#N/A,FALSE,"RIEP"}</definedName>
    <definedName name="aùsw" localSheetId="36" hidden="1">{"SPM1",#N/A,FALSE,"RIEP"}</definedName>
    <definedName name="aùsw" hidden="1">{"SPM1",#N/A,FALSE,"RIEP"}</definedName>
    <definedName name="AUTRES" localSheetId="35">#REF!,#REF!,#REF!,#REF!,#REF!,#REF!,#REF!,#REF!,#REF!,#REF!,#REF!,#REF!,#REF!,#REF!,#REF!,#REF!,#REF!,#REF!,#REF!,#REF!,#REF!,#REF!,#REF!,#REF!,#REF!,#REF!,#REF!,#REF!,#REF!,#REF!,#REF!,#REF!,#REF!,#REF!,#REF!</definedName>
    <definedName name="AUTRES" localSheetId="31">#REF!,#REF!,#REF!,#REF!,#REF!,#REF!,#REF!,#REF!,#REF!,#REF!,#REF!,#REF!,#REF!,#REF!,#REF!,#REF!,#REF!,#REF!,#REF!,#REF!,#REF!,#REF!,#REF!,#REF!,#REF!,#REF!,#REF!,#REF!,#REF!,#REF!,#REF!,#REF!,#REF!,#REF!,#REF!</definedName>
    <definedName name="AUTRES">#REF!,#REF!,#REF!,#REF!,#REF!,#REF!,#REF!,#REF!,#REF!,#REF!,#REF!,#REF!,#REF!,#REF!,#REF!,#REF!,#REF!,#REF!,#REF!,#REF!,#REF!,#REF!,#REF!,#REF!,#REF!,#REF!,#REF!,#REF!,#REF!,#REF!,#REF!,#REF!,#REF!,#REF!,#REF!</definedName>
    <definedName name="AUTRES1" localSheetId="35">#REF!</definedName>
    <definedName name="AUTRES1" localSheetId="31">#REF!</definedName>
    <definedName name="AUTRES1">#REF!</definedName>
    <definedName name="AUTRES10" localSheetId="31">#REF!</definedName>
    <definedName name="AUTRES10">#REF!</definedName>
    <definedName name="AUTRES11" localSheetId="31">#REF!</definedName>
    <definedName name="AUTRES11">#REF!</definedName>
    <definedName name="AUTRES12" localSheetId="31">#REF!</definedName>
    <definedName name="AUTRES12">#REF!</definedName>
    <definedName name="AUTRES2" localSheetId="31">#REF!</definedName>
    <definedName name="AUTRES2">#REF!</definedName>
    <definedName name="AUTRES3" localSheetId="31">#REF!</definedName>
    <definedName name="AUTRES3">#REF!</definedName>
    <definedName name="AUTRES4" localSheetId="31">#REF!</definedName>
    <definedName name="AUTRES4">#REF!</definedName>
    <definedName name="AUTRES5" localSheetId="31">#REF!</definedName>
    <definedName name="AUTRES5">#REF!</definedName>
    <definedName name="AUTRES6" localSheetId="31">#REF!</definedName>
    <definedName name="AUTRES6">#REF!</definedName>
    <definedName name="AUTRES7" localSheetId="31">#REF!</definedName>
    <definedName name="AUTRES7">#REF!</definedName>
    <definedName name="AUTRES8" localSheetId="31">#REF!</definedName>
    <definedName name="AUTRES8">#REF!</definedName>
    <definedName name="AUTRES9" localSheetId="31">#REF!</definedName>
    <definedName name="AUTRES9">#REF!</definedName>
    <definedName name="AVC_act" localSheetId="31">#REF!</definedName>
    <definedName name="AVC_act">#REF!</definedName>
    <definedName name="AVC_bud" localSheetId="31">#REF!</definedName>
    <definedName name="AVC_bud">#REF!</definedName>
    <definedName name="AVC_n_1" localSheetId="31">#REF!</definedName>
    <definedName name="AVC_n_1">#REF!</definedName>
    <definedName name="Average_Months" localSheetId="31">#REF!</definedName>
    <definedName name="Average_Months">#REF!</definedName>
    <definedName name="AWEQWERQWERQWERQWRE" localSheetId="35" hidden="1">{"Procjena kapaciteta prema procijenjenim izlazima",#N/A,FALSE,"zaliha"}</definedName>
    <definedName name="AWEQWERQWERQWERQWRE" localSheetId="31" hidden="1">{"Procjena kapaciteta prema procijenjenim izlazima",#N/A,FALSE,"zaliha"}</definedName>
    <definedName name="AWEQWERQWERQWERQWRE" localSheetId="37" hidden="1">{"Procjena kapaciteta prema procijenjenim izlazima",#N/A,FALSE,"zaliha"}</definedName>
    <definedName name="AWEQWERQWERQWERQWRE" localSheetId="36" hidden="1">{"Procjena kapaciteta prema procijenjenim izlazima",#N/A,FALSE,"zaliha"}</definedName>
    <definedName name="AWEQWERQWERQWERQWRE" hidden="1">{"Procjena kapaciteta prema procijenjenim izlazima",#N/A,FALSE,"zaliha"}</definedName>
    <definedName name="b" localSheetId="33">#REF!</definedName>
    <definedName name="b">#REF!</definedName>
    <definedName name="b_240" localSheetId="31">#REF!</definedName>
    <definedName name="b_240" localSheetId="33">#REF!</definedName>
    <definedName name="b_240">#REF!</definedName>
    <definedName name="b_280" localSheetId="31">#REF!</definedName>
    <definedName name="b_280" localSheetId="33">#REF!</definedName>
    <definedName name="b_280">#REF!</definedName>
    <definedName name="b_320" localSheetId="31">#REF!</definedName>
    <definedName name="b_320" localSheetId="33">#REF!</definedName>
    <definedName name="b_320">#REF!</definedName>
    <definedName name="B_tinh" localSheetId="31">#REF!</definedName>
    <definedName name="B_tinh" localSheetId="33">#REF!</definedName>
    <definedName name="B_tinh">#REF!</definedName>
    <definedName name="BABEURRE" localSheetId="31">#REF!</definedName>
    <definedName name="BABEURRE">#REF!</definedName>
    <definedName name="Bal" localSheetId="31">#REF!</definedName>
    <definedName name="Bal">#REF!</definedName>
    <definedName name="Bang_cly" localSheetId="31">#REF!</definedName>
    <definedName name="Bang_cly" localSheetId="33">#REF!</definedName>
    <definedName name="Bang_cly">#REF!</definedName>
    <definedName name="Bang_CVC" localSheetId="31">#REF!</definedName>
    <definedName name="Bang_CVC" localSheetId="33">#REF!</definedName>
    <definedName name="Bang_CVC">#REF!</definedName>
    <definedName name="bang_gia" localSheetId="31">#REF!</definedName>
    <definedName name="bang_gia" localSheetId="33">#REF!</definedName>
    <definedName name="bang_gia">#REF!</definedName>
    <definedName name="Bang_travl" localSheetId="31">#REF!</definedName>
    <definedName name="Bang_travl" localSheetId="33">#REF!</definedName>
    <definedName name="Bang_travl">#REF!</definedName>
    <definedName name="BarData" localSheetId="31">#REF!</definedName>
    <definedName name="BarData" localSheetId="33">#REF!</definedName>
    <definedName name="BarData">#REF!</definedName>
    <definedName name="BASE" localSheetId="31">#REF!</definedName>
    <definedName name="BASE">#REF!</definedName>
    <definedName name="BASE_SAISIE" localSheetId="31">#REF!</definedName>
    <definedName name="BASE_SAISIE">#REF!</definedName>
    <definedName name="BASE2" localSheetId="31">#REF!</definedName>
    <definedName name="BASE2">#REF!</definedName>
    <definedName name="BASEATT" localSheetId="31">#REF!</definedName>
    <definedName name="BASEATT">#REF!</definedName>
    <definedName name="Basisdaten_Eingabe" localSheetId="31">#REF!,#REF!,#REF!,#REF!,#REF!,#REF!,#REF!,#REF!,#REF!,#REF!,#REF!,#REF!,#REF!,#REF!,#REF!,#REF!</definedName>
    <definedName name="Basisdaten_Eingabe" localSheetId="33">#REF!,#REF!,#REF!,#REF!,#REF!,#REF!,#REF!,#REF!,#REF!,#REF!,#REF!,#REF!,#REF!,#REF!,#REF!,#REF!</definedName>
    <definedName name="Basisdaten_Eingabe">#REF!,#REF!,#REF!,#REF!,#REF!,#REF!,#REF!,#REF!,#REF!,#REF!,#REF!,#REF!,#REF!,#REF!,#REF!,#REF!</definedName>
    <definedName name="baza" localSheetId="35">#REF!</definedName>
    <definedName name="baza" localSheetId="31">#REF!</definedName>
    <definedName name="baza">#REF!</definedName>
    <definedName name="bb" localSheetId="35">#REF!</definedName>
    <definedName name="bb" localSheetId="31">#REF!</definedName>
    <definedName name="BB" localSheetId="33">#REF!,#REF!,#REF!,#REF!,#REF!</definedName>
    <definedName name="BB">#REF!</definedName>
    <definedName name="bb_23" localSheetId="35">#REF!</definedName>
    <definedName name="bb_23" localSheetId="31">#REF!</definedName>
    <definedName name="bb_23">#REF!</definedName>
    <definedName name="BBA" localSheetId="31">#REF!</definedName>
    <definedName name="BBA">#REF!</definedName>
    <definedName name="bbb" localSheetId="35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bbb" localSheetId="3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bbb" localSheetId="37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bbb" localSheetId="36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bbb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bbbbb" localSheetId="35" hidden="1">{"QQQ",#N/A,FALSE,"RIEP"}</definedName>
    <definedName name="bbbbb" localSheetId="31" hidden="1">{"QQQ",#N/A,FALSE,"RIEP"}</definedName>
    <definedName name="bbbbb" localSheetId="37" hidden="1">{"QQQ",#N/A,FALSE,"RIEP"}</definedName>
    <definedName name="bbbbb" localSheetId="36" hidden="1">{"QQQ",#N/A,FALSE,"RIEP"}</definedName>
    <definedName name="bbbbb" hidden="1">{"QQQ",#N/A,FALSE,"RIEP"}</definedName>
    <definedName name="bbbbbbbbbbbbb" localSheetId="35" hidden="1">{#N/A,#N/A,FALSE,"RIEP"}</definedName>
    <definedName name="bbbbbbbbbbbbb" localSheetId="31" hidden="1">{#N/A,#N/A,FALSE,"RIEP"}</definedName>
    <definedName name="bbbbbbbbbbbbb" localSheetId="37" hidden="1">{#N/A,#N/A,FALSE,"RIEP"}</definedName>
    <definedName name="bbbbbbbbbbbbb" localSheetId="36" hidden="1">{#N/A,#N/A,FALSE,"RIEP"}</definedName>
    <definedName name="bbbbbbbbbbbbb" hidden="1">{#N/A,#N/A,FALSE,"RIEP"}</definedName>
    <definedName name="bd">#REF!</definedName>
    <definedName name="begin10" localSheetId="31">#REF!</definedName>
    <definedName name="begin10" localSheetId="30">#REF!</definedName>
    <definedName name="begin10" localSheetId="34">#REF!</definedName>
    <definedName name="begin10">#REF!</definedName>
    <definedName name="BIL_NO">"MO85110026"</definedName>
    <definedName name="BLA" localSheetId="35" hidden="1">{"Procjena kapaciteta prema procijenjenim izlazima",#N/A,FALSE,"zaliha"}</definedName>
    <definedName name="BLA" localSheetId="31" hidden="1">{"Procjena kapaciteta prema procijenjenim izlazima",#N/A,FALSE,"zaliha"}</definedName>
    <definedName name="BLA" localSheetId="37" hidden="1">{"Procjena kapaciteta prema procijenjenim izlazima",#N/A,FALSE,"zaliha"}</definedName>
    <definedName name="BLA" localSheetId="36" hidden="1">{"Procjena kapaciteta prema procijenjenim izlazima",#N/A,FALSE,"zaliha"}</definedName>
    <definedName name="BLA" hidden="1">{"Procjena kapaciteta prema procijenjenim izlazima",#N/A,FALSE,"zaliha"}</definedName>
    <definedName name="BlendFatCost2009">#REF!</definedName>
    <definedName name="BlendFatCostBud08" localSheetId="31">#REF!</definedName>
    <definedName name="BlendFatCostBud08">#REF!</definedName>
    <definedName name="BlendFatCostEst08" localSheetId="31">#REF!</definedName>
    <definedName name="BlendFatCostEst08">#REF!</definedName>
    <definedName name="blkh" localSheetId="31">#REF!</definedName>
    <definedName name="blkh" localSheetId="33">#REF!</definedName>
    <definedName name="blkh">#REF!</definedName>
    <definedName name="blkh1" localSheetId="31">#REF!</definedName>
    <definedName name="blkh1" localSheetId="33">#REF!</definedName>
    <definedName name="blkh1">#REF!</definedName>
    <definedName name="BLOCK1" localSheetId="31">#REF!</definedName>
    <definedName name="BLOCK1" localSheetId="33">#REF!</definedName>
    <definedName name="BLOCK1">#REF!</definedName>
    <definedName name="BLOCK2" localSheetId="31">#REF!</definedName>
    <definedName name="BLOCK2" localSheetId="33">#REF!</definedName>
    <definedName name="BLOCK2">#REF!</definedName>
    <definedName name="BLOCK3" localSheetId="31">#REF!</definedName>
    <definedName name="BLOCK3" localSheetId="33">#REF!</definedName>
    <definedName name="BLOCK3">#REF!</definedName>
    <definedName name="BLPH1" localSheetId="31" hidden="1">#REF!</definedName>
    <definedName name="BLPH1" hidden="1">#REF!</definedName>
    <definedName name="BLPH2" localSheetId="31" hidden="1">#REF!</definedName>
    <definedName name="BLPH2" hidden="1">#REF!</definedName>
    <definedName name="BLPH3" localSheetId="31" hidden="1">#REF!</definedName>
    <definedName name="BLPH3" hidden="1">#REF!</definedName>
    <definedName name="BLPH4" localSheetId="31" hidden="1">#REF!</definedName>
    <definedName name="BLPH4" hidden="1">#REF!</definedName>
    <definedName name="BLPH5" localSheetId="31" hidden="1">#REF!</definedName>
    <definedName name="BLPH5" hidden="1">#REF!</definedName>
    <definedName name="BLPH6" localSheetId="31" hidden="1">#REF!</definedName>
    <definedName name="BLPH6" hidden="1">#REF!</definedName>
    <definedName name="BLPH7" localSheetId="31" hidden="1">#REF!</definedName>
    <definedName name="BLPH7" hidden="1">#REF!</definedName>
    <definedName name="BLPH9" localSheetId="31" hidden="1">#REF!</definedName>
    <definedName name="BLPH9" hidden="1">#REF!</definedName>
    <definedName name="bnkj" localSheetId="35" hidden="1">{#N/A,#N/A,FALSE,"output";#N/A,#N/A,FALSE,"contrib";#N/A,#N/A,FALSE,"profile";#N/A,#N/A,FALSE,"comps"}</definedName>
    <definedName name="bnkj" localSheetId="31" hidden="1">{#N/A,#N/A,FALSE,"output";#N/A,#N/A,FALSE,"contrib";#N/A,#N/A,FALSE,"profile";#N/A,#N/A,FALSE,"comps"}</definedName>
    <definedName name="bnkj" localSheetId="37" hidden="1">{#N/A,#N/A,FALSE,"output";#N/A,#N/A,FALSE,"contrib";#N/A,#N/A,FALSE,"profile";#N/A,#N/A,FALSE,"comps"}</definedName>
    <definedName name="bnkj" localSheetId="36" hidden="1">{#N/A,#N/A,FALSE,"output";#N/A,#N/A,FALSE,"contrib";#N/A,#N/A,FALSE,"profile";#N/A,#N/A,FALSE,"comps"}</definedName>
    <definedName name="bnkj" hidden="1">{#N/A,#N/A,FALSE,"output";#N/A,#N/A,FALSE,"contrib";#N/A,#N/A,FALSE,"profile";#N/A,#N/A,FALSE,"comps"}</definedName>
    <definedName name="bof">"ComboBox1"</definedName>
    <definedName name="BOLAIDOR">#REF!</definedName>
    <definedName name="BOM_Item" localSheetId="31">#REF!</definedName>
    <definedName name="BOM_Item">#REF!</definedName>
    <definedName name="BOM_Month" localSheetId="31">#REF!</definedName>
    <definedName name="BOM_Month">#REF!</definedName>
    <definedName name="BOQ" localSheetId="31">#REF!</definedName>
    <definedName name="BOQ" localSheetId="33">#REF!</definedName>
    <definedName name="BOQ">#REF!</definedName>
    <definedName name="BOUCLE" localSheetId="31">#REF!</definedName>
    <definedName name="BOUCLE">#REF!</definedName>
    <definedName name="BOUV_EMM1_EMM2" localSheetId="31">#REF!</definedName>
    <definedName name="BOUV_EMM1_EMM2">#REF!</definedName>
    <definedName name="BP_ODP_label" localSheetId="31">#REF!</definedName>
    <definedName name="BP_ODP_label">#REF!</definedName>
    <definedName name="brandtable" localSheetId="31">#REF!</definedName>
    <definedName name="brandtable">#REF!</definedName>
    <definedName name="BREAKDOWN" localSheetId="31">#REF!</definedName>
    <definedName name="BREAKDOWN" localSheetId="33">#REF!</definedName>
    <definedName name="BREAKDOWN">#REF!</definedName>
    <definedName name="BriePxSér" localSheetId="31">#REF!+#REF!</definedName>
    <definedName name="BriePxSér">#REF!+#REF!</definedName>
    <definedName name="Brnd" localSheetId="31">#REF!</definedName>
    <definedName name="Brnd">#REF!</definedName>
    <definedName name="BTLT1pm" localSheetId="31">#REF!</definedName>
    <definedName name="BTLT1pm" localSheetId="33">#REF!</definedName>
    <definedName name="BTLT1pm">#REF!</definedName>
    <definedName name="BTLT3pm" localSheetId="31">#REF!</definedName>
    <definedName name="BTLT3pm" localSheetId="33">#REF!</definedName>
    <definedName name="BTLT3pm">#REF!</definedName>
    <definedName name="BTLTct" localSheetId="31">#REF!</definedName>
    <definedName name="BTLTct" localSheetId="33">#REF!</definedName>
    <definedName name="BTLTct">#REF!</definedName>
    <definedName name="BTLTHTDL" localSheetId="31">#REF!</definedName>
    <definedName name="BTLTHTDL" localSheetId="33">#REF!</definedName>
    <definedName name="BTLTHTDL">#REF!</definedName>
    <definedName name="BTLTHTHH" localSheetId="31">#REF!</definedName>
    <definedName name="BTLTHTHH" localSheetId="33">#REF!</definedName>
    <definedName name="BTLTHTHH">#REF!</definedName>
    <definedName name="BTRAM" localSheetId="31">#REF!</definedName>
    <definedName name="BTRAM" localSheetId="33">#REF!</definedName>
    <definedName name="BTRAM">#REF!</definedName>
    <definedName name="budget" localSheetId="31" hidden="1">#REF!</definedName>
    <definedName name="budget" hidden="1">#REF!</definedName>
    <definedName name="Budget_Pack" localSheetId="31">#REF!</definedName>
    <definedName name="Budget_Pack">#REF!</definedName>
    <definedName name="BudgetCONSOL" localSheetId="31">#REF!</definedName>
    <definedName name="BudgetCONSOL">#REF!</definedName>
    <definedName name="BudgetList" localSheetId="31">#REF!</definedName>
    <definedName name="BudgetList">#REF!</definedName>
    <definedName name="BUDNY" localSheetId="31">#REF!</definedName>
    <definedName name="BUDNY">#REF!</definedName>
    <definedName name="BUDTY" localSheetId="31">#REF!</definedName>
    <definedName name="BUDTY">#REF!</definedName>
    <definedName name="Build">1</definedName>
    <definedName name="BUTTER" localSheetId="31">#REF!</definedName>
    <definedName name="BUTTER">#REF!</definedName>
    <definedName name="BVCISUMMARY" localSheetId="31">#REF!</definedName>
    <definedName name="BVCISUMMARY" localSheetId="33">#REF!</definedName>
    <definedName name="BVCISUMMARY">#REF!</definedName>
    <definedName name="byikbyuj" localSheetId="35" hidden="1">{"SPM1",#N/A,FALSE,"RIEP"}</definedName>
    <definedName name="byikbyuj" localSheetId="31" hidden="1">{"SPM1",#N/A,FALSE,"RIEP"}</definedName>
    <definedName name="byikbyuj" localSheetId="37" hidden="1">{"SPM1",#N/A,FALSE,"RIEP"}</definedName>
    <definedName name="byikbyuj" localSheetId="36" hidden="1">{"SPM1",#N/A,FALSE,"RIEP"}</definedName>
    <definedName name="byikbyuj" hidden="1">{"SPM1",#N/A,FALSE,"RIEP"}</definedName>
    <definedName name="byubtyuj" localSheetId="35" hidden="1">{"QQQ",#N/A,FALSE,"RIEP"}</definedName>
    <definedName name="byubtyuj" localSheetId="31" hidden="1">{"QQQ",#N/A,FALSE,"RIEP"}</definedName>
    <definedName name="byubtyuj" localSheetId="37" hidden="1">{"QQQ",#N/A,FALSE,"RIEP"}</definedName>
    <definedName name="byubtyuj" localSheetId="36" hidden="1">{"QQQ",#N/A,FALSE,"RIEP"}</definedName>
    <definedName name="byubtyuj" hidden="1">{"QQQ",#N/A,FALSE,"RIEP"}</definedName>
    <definedName name="byukkty" localSheetId="35" hidden="1">{#N/A,#N/A,FALSE,"RIEP"}</definedName>
    <definedName name="byukkty" localSheetId="31" hidden="1">{#N/A,#N/A,FALSE,"RIEP"}</definedName>
    <definedName name="byukkty" localSheetId="37" hidden="1">{#N/A,#N/A,FALSE,"RIEP"}</definedName>
    <definedName name="byukkty" localSheetId="36" hidden="1">{#N/A,#N/A,FALSE,"RIEP"}</definedName>
    <definedName name="byukkty" hidden="1">{#N/A,#N/A,FALSE,"RIEP"}</definedName>
    <definedName name="byuku" localSheetId="35" hidden="1">{#N/A,#N/A,FALSE,"RIEP"}</definedName>
    <definedName name="byuku" localSheetId="31" hidden="1">{#N/A,#N/A,FALSE,"RIEP"}</definedName>
    <definedName name="byuku" localSheetId="37" hidden="1">{#N/A,#N/A,FALSE,"RIEP"}</definedName>
    <definedName name="byuku" localSheetId="36" hidden="1">{#N/A,#N/A,FALSE,"RIEP"}</definedName>
    <definedName name="byuku" hidden="1">{#N/A,#N/A,FALSE,"RIEP"}</definedName>
    <definedName name="BZ" localSheetId="35">#REF!</definedName>
    <definedName name="BZ" localSheetId="37">#REF!</definedName>
    <definedName name="BZ" localSheetId="36">#REF!</definedName>
    <definedName name="BZ" localSheetId="30">#REF!</definedName>
    <definedName name="BZ" localSheetId="34">#REF!</definedName>
    <definedName name="BZ">#REF!</definedName>
    <definedName name="č" localSheetId="35" hidden="1">{"'domaće količine'!$K$34:$P$47"}</definedName>
    <definedName name="č" localSheetId="31" hidden="1">{"'domaće količine'!$K$34:$P$47"}</definedName>
    <definedName name="č" localSheetId="37" hidden="1">{"'domaće količine'!$K$34:$P$47"}</definedName>
    <definedName name="č" localSheetId="36" hidden="1">{"'domaće količine'!$K$34:$P$47"}</definedName>
    <definedName name="č" hidden="1">{"'domaće količine'!$K$34:$P$47"}</definedName>
    <definedName name="C_O" localSheetId="33">#REF!</definedName>
    <definedName name="C_O">#REF!</definedName>
    <definedName name="C_SIZE" localSheetId="31">#REF!</definedName>
    <definedName name="C_SIZE" localSheetId="33">#REF!</definedName>
    <definedName name="C_SIZE">#REF!</definedName>
    <definedName name="C_YTD" localSheetId="31">#REF!</definedName>
    <definedName name="C_YTD">#REF!</definedName>
    <definedName name="C2.7" localSheetId="31">#REF!</definedName>
    <definedName name="C2.7" localSheetId="33">#REF!</definedName>
    <definedName name="C2.7">#REF!</definedName>
    <definedName name="C3.0" localSheetId="31">#REF!</definedName>
    <definedName name="C3.0" localSheetId="33">#REF!</definedName>
    <definedName name="C3.0">#REF!</definedName>
    <definedName name="C3.5" localSheetId="31">#REF!</definedName>
    <definedName name="C3.5" localSheetId="33">#REF!</definedName>
    <definedName name="C3.5">#REF!</definedName>
    <definedName name="C3.7" localSheetId="31">#REF!</definedName>
    <definedName name="C3.7" localSheetId="33">#REF!</definedName>
    <definedName name="C3.7">#REF!</definedName>
    <definedName name="C4.0" localSheetId="31">#REF!</definedName>
    <definedName name="C4.0" localSheetId="33">#REF!</definedName>
    <definedName name="C4.0">#REF!</definedName>
    <definedName name="Cable" localSheetId="35" hidden="1">{#N/A,#N/A,FALSE,"Operations";#N/A,#N/A,FALSE,"Financials"}</definedName>
    <definedName name="Cable" localSheetId="31" hidden="1">{#N/A,#N/A,FALSE,"Operations";#N/A,#N/A,FALSE,"Financials"}</definedName>
    <definedName name="Cable" localSheetId="37" hidden="1">{#N/A,#N/A,FALSE,"Operations";#N/A,#N/A,FALSE,"Financials"}</definedName>
    <definedName name="Cable" localSheetId="36" hidden="1">{#N/A,#N/A,FALSE,"Operations";#N/A,#N/A,FALSE,"Financials"}</definedName>
    <definedName name="Cable" hidden="1">{#N/A,#N/A,FALSE,"Operations";#N/A,#N/A,FALSE,"Financials"}</definedName>
    <definedName name="Cable2" localSheetId="35" hidden="1">{#N/A,#N/A,FALSE,"Operations";#N/A,#N/A,FALSE,"Financials"}</definedName>
    <definedName name="Cable2" localSheetId="31" hidden="1">{#N/A,#N/A,FALSE,"Operations";#N/A,#N/A,FALSE,"Financials"}</definedName>
    <definedName name="Cable2" localSheetId="37" hidden="1">{#N/A,#N/A,FALSE,"Operations";#N/A,#N/A,FALSE,"Financials"}</definedName>
    <definedName name="Cable2" localSheetId="36" hidden="1">{#N/A,#N/A,FALSE,"Operations";#N/A,#N/A,FALSE,"Financials"}</definedName>
    <definedName name="Cable2" hidden="1">{#N/A,#N/A,FALSE,"Operations";#N/A,#N/A,FALSE,"Financials"}</definedName>
    <definedName name="calculocosthora" localSheetId="33">#REF!</definedName>
    <definedName name="calculocosthora">#REF!</definedName>
    <definedName name="CALENDRIER" localSheetId="31">#REF!</definedName>
    <definedName name="CALENDRIER">#REF!</definedName>
    <definedName name="cap" localSheetId="31">#REF!</definedName>
    <definedName name="cap" localSheetId="33">#REF!</definedName>
    <definedName name="cap">#REF!</definedName>
    <definedName name="cap0.7" localSheetId="31">#REF!</definedName>
    <definedName name="cap0.7" localSheetId="33">#REF!</definedName>
    <definedName name="cap0.7">#REF!</definedName>
    <definedName name="capdat" localSheetId="31">#REF!</definedName>
    <definedName name="capdat" localSheetId="33">#REF!</definedName>
    <definedName name="capdat">#REF!</definedName>
    <definedName name="Carb" localSheetId="31">#REF!</definedName>
    <definedName name="Carb">#REF!</definedName>
    <definedName name="carbo" localSheetId="31">#REF!</definedName>
    <definedName name="carbo">#REF!</definedName>
    <definedName name="CASEINE" localSheetId="31">#REF!</definedName>
    <definedName name="CASEINE">#REF!</definedName>
    <definedName name="Category" localSheetId="31">#REF!</definedName>
    <definedName name="Category">#REF!</definedName>
    <definedName name="Category_All" localSheetId="31">#REF!</definedName>
    <definedName name="Category_All" localSheetId="33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B1_END_DD">"2008-05-13"</definedName>
    <definedName name="CB150c5">#REF!</definedName>
    <definedName name="cc" localSheetId="35" hidden="1">{#N/A,#N/A,FALSE,"RIEP"}</definedName>
    <definedName name="cc" localSheetId="31" hidden="1">{#N/A,#N/A,FALSE,"RIEP"}</definedName>
    <definedName name="cc" localSheetId="37" hidden="1">{#N/A,#N/A,FALSE,"RIEP"}</definedName>
    <definedName name="cc" localSheetId="36" hidden="1">{#N/A,#N/A,FALSE,"RIEP"}</definedName>
    <definedName name="cc" hidden="1">{#N/A,#N/A,FALSE,"RIEP"}</definedName>
    <definedName name="ccc" localSheetId="35" hidden="1">{"SPM1",#N/A,FALSE,"RIEP"}</definedName>
    <definedName name="ccc" localSheetId="31" hidden="1">{"SPM1",#N/A,FALSE,"RIEP"}</definedName>
    <definedName name="ccc" localSheetId="37" hidden="1">{"SPM1",#N/A,FALSE,"RIEP"}</definedName>
    <definedName name="ccc" localSheetId="36" hidden="1">{"SPM1",#N/A,FALSE,"RIEP"}</definedName>
    <definedName name="ccc" hidden="1">{"SPM1",#N/A,FALSE,"RIEP"}</definedName>
    <definedName name="CCC_act">#REF!</definedName>
    <definedName name="CCC_bud" localSheetId="31">#REF!</definedName>
    <definedName name="CCC_bud">#REF!</definedName>
    <definedName name="CCC_n_1" localSheetId="31">#REF!</definedName>
    <definedName name="CCC_n_1">#REF!</definedName>
    <definedName name="cccc" localSheetId="35" hidden="1">{"SPM1",#N/A,FALSE,"RIEP"}</definedName>
    <definedName name="cccc" localSheetId="31" hidden="1">{"SPM1",#N/A,FALSE,"RIEP"}</definedName>
    <definedName name="cccc" localSheetId="37" hidden="1">{"SPM1",#N/A,FALSE,"RIEP"}</definedName>
    <definedName name="cccc" localSheetId="36" hidden="1">{"SPM1",#N/A,FALSE,"RIEP"}</definedName>
    <definedName name="cccc" hidden="1">{"SPM1",#N/A,FALSE,"RIEP"}</definedName>
    <definedName name="CCS" localSheetId="33">#REF!</definedName>
    <definedName name="CCS">#REF!</definedName>
    <definedName name="CCSFDFRDF" localSheetId="35" hidden="1">{"SPM1",#N/A,FALSE,"RIEP"}</definedName>
    <definedName name="CCSFDFRDF" localSheetId="31" hidden="1">{"SPM1",#N/A,FALSE,"RIEP"}</definedName>
    <definedName name="CCSFDFRDF" localSheetId="37" hidden="1">{"SPM1",#N/A,FALSE,"RIEP"}</definedName>
    <definedName name="CCSFDFRDF" localSheetId="36" hidden="1">{"SPM1",#N/A,FALSE,"RIEP"}</definedName>
    <definedName name="CCSFDFRDF" hidden="1">{"SPM1",#N/A,FALSE,"RIEP"}</definedName>
    <definedName name="cdcd">#REF!</definedName>
    <definedName name="CDD" localSheetId="31">#REF!</definedName>
    <definedName name="CDD" localSheetId="33">#REF!</definedName>
    <definedName name="CDD">#REF!</definedName>
    <definedName name="CDDD" localSheetId="31">#REF!</definedName>
    <definedName name="CDDD" localSheetId="33">#REF!</definedName>
    <definedName name="CDDD">#REF!</definedName>
    <definedName name="CDDD1P" localSheetId="31">#REF!</definedName>
    <definedName name="CDDD1P" localSheetId="33">#REF!</definedName>
    <definedName name="CDDD1P">#REF!</definedName>
    <definedName name="CDDD1PHA" localSheetId="31">#REF!</definedName>
    <definedName name="CDDD1PHA" localSheetId="33">#REF!</definedName>
    <definedName name="CDDD1PHA">#REF!</definedName>
    <definedName name="CDDD3PHA" localSheetId="31">#REF!</definedName>
    <definedName name="CDDD3PHA" localSheetId="33">#REF!</definedName>
    <definedName name="CDDD3PHA">#REF!</definedName>
    <definedName name="cdf" localSheetId="35" hidden="1">{"SPM1",#N/A,FALSE,"RIEP"}</definedName>
    <definedName name="cdf" localSheetId="31" hidden="1">{"SPM1",#N/A,FALSE,"RIEP"}</definedName>
    <definedName name="cdf" localSheetId="37" hidden="1">{"SPM1",#N/A,FALSE,"RIEP"}</definedName>
    <definedName name="cdf" localSheetId="36" hidden="1">{"SPM1",#N/A,FALSE,"RIEP"}</definedName>
    <definedName name="cdf" hidden="1">{"SPM1",#N/A,FALSE,"RIEP"}</definedName>
    <definedName name="Cdnum" localSheetId="33">#REF!</definedName>
    <definedName name="Cdnum">#REF!</definedName>
    <definedName name="CDVF" localSheetId="35" hidden="1">{"SPM1",#N/A,FALSE,"RIEP"}</definedName>
    <definedName name="CDVF" localSheetId="31" hidden="1">{"SPM1",#N/A,FALSE,"RIEP"}</definedName>
    <definedName name="CDVF" localSheetId="37" hidden="1">{"SPM1",#N/A,FALSE,"RIEP"}</definedName>
    <definedName name="CDVF" localSheetId="36" hidden="1">{"SPM1",#N/A,FALSE,"RIEP"}</definedName>
    <definedName name="CDVF" hidden="1">{"SPM1",#N/A,FALSE,"RIEP"}</definedName>
    <definedName name="CellaValuta" localSheetId="33">#REF!</definedName>
    <definedName name="CellaValuta">#REF!</definedName>
    <definedName name="ceri" localSheetId="31">#REF!</definedName>
    <definedName name="ceri" localSheetId="33">#REF!</definedName>
    <definedName name="ceri">#REF!</definedName>
    <definedName name="CH" localSheetId="31">#REF!</definedName>
    <definedName name="CH" localSheetId="33">#REF!</definedName>
    <definedName name="CH">#REF!</definedName>
    <definedName name="chang1pm" localSheetId="31">#REF!</definedName>
    <definedName name="chang1pm" localSheetId="33">#REF!</definedName>
    <definedName name="chang1pm">#REF!</definedName>
    <definedName name="chang3pm" localSheetId="31">#REF!</definedName>
    <definedName name="chang3pm" localSheetId="33">#REF!</definedName>
    <definedName name="chang3pm">#REF!</definedName>
    <definedName name="changct" localSheetId="31">#REF!</definedName>
    <definedName name="changct" localSheetId="33">#REF!</definedName>
    <definedName name="changct">#REF!</definedName>
    <definedName name="changht" localSheetId="31">#REF!</definedName>
    <definedName name="changht" localSheetId="33">#REF!</definedName>
    <definedName name="changht">#REF!</definedName>
    <definedName name="changHTDL" localSheetId="31">#REF!</definedName>
    <definedName name="changHTDL" localSheetId="33">#REF!</definedName>
    <definedName name="changHTDL">#REF!</definedName>
    <definedName name="changHTHH" localSheetId="31">#REF!</definedName>
    <definedName name="changHTHH" localSheetId="33">#REF!</definedName>
    <definedName name="changHTHH">#REF!</definedName>
    <definedName name="CHAR10" localSheetId="31">#REF!</definedName>
    <definedName name="CHAR10">#REF!</definedName>
    <definedName name="CHAR11" localSheetId="31">#REF!</definedName>
    <definedName name="CHAR11">#REF!</definedName>
    <definedName name="CHAR2" localSheetId="31">#REF!</definedName>
    <definedName name="CHAR2">#REF!</definedName>
    <definedName name="CHAR2BIS" localSheetId="31">#REF!</definedName>
    <definedName name="CHAR2BIS">#REF!</definedName>
    <definedName name="CHAR3" localSheetId="31">#REF!</definedName>
    <definedName name="CHAR3">#REF!</definedName>
    <definedName name="CHAR5" localSheetId="31">#REF!</definedName>
    <definedName name="CHAR5">#REF!</definedName>
    <definedName name="CHAR6" localSheetId="31">#REF!</definedName>
    <definedName name="CHAR6">#REF!</definedName>
    <definedName name="CHAR7" localSheetId="31">#REF!</definedName>
    <definedName name="CHAR7">#REF!</definedName>
    <definedName name="CHAR8" localSheetId="31">#REF!</definedName>
    <definedName name="CHAR8">#REF!</definedName>
    <definedName name="CHAR8BIS" localSheetId="31">#REF!</definedName>
    <definedName name="CHAR8BIS">#REF!</definedName>
    <definedName name="CHAR9BIS" localSheetId="31">#REF!</definedName>
    <definedName name="CHAR9BIS">#REF!</definedName>
    <definedName name="CHARCHIGNE_ALLEGE" localSheetId="31">#REF!</definedName>
    <definedName name="CHARCHIGNE_ALLEGE">#REF!</definedName>
    <definedName name="CHARCHIGNE_ESTOCADE" localSheetId="31">#REF!</definedName>
    <definedName name="CHARCHIGNE_ESTOCADE">#REF!</definedName>
    <definedName name="CHARCHIGNE_MF" localSheetId="31">#REF!</definedName>
    <definedName name="CHARCHIGNE_MF">#REF!</definedName>
    <definedName name="CHARCHIGNE_MFTB" localSheetId="31">#REF!</definedName>
    <definedName name="CHARCHIGNE_MFTB">#REF!</definedName>
    <definedName name="Charges" localSheetId="31">#REF!</definedName>
    <definedName name="Charges">#REF!</definedName>
    <definedName name="Charges_structure" localSheetId="31">#REF!</definedName>
    <definedName name="Charges_structure">#REF!</definedName>
    <definedName name="CHEESE" localSheetId="31">#REF!</definedName>
    <definedName name="CHEESE">#REF!</definedName>
    <definedName name="Cheese_Ingredients" localSheetId="31">#REF!</definedName>
    <definedName name="Cheese_Ingredients">#REF!</definedName>
    <definedName name="City" localSheetId="31">#REF!</definedName>
    <definedName name="City" localSheetId="33">#REF!</definedName>
    <definedName name="City">#REF!</definedName>
    <definedName name="CK" localSheetId="31">#REF!</definedName>
    <definedName name="CK" localSheetId="33">#REF!</definedName>
    <definedName name="CK">#REF!</definedName>
    <definedName name="CL" localSheetId="31">#REF!</definedName>
    <definedName name="CL" localSheetId="33">#REF!</definedName>
    <definedName name="CL">#REF!</definedName>
    <definedName name="classe" localSheetId="31">#REF!</definedName>
    <definedName name="classe">#REF!</definedName>
    <definedName name="CLASSE_MP" localSheetId="31">#REF!</definedName>
    <definedName name="CLASSE_MP">#REF!</definedName>
    <definedName name="client_zone" localSheetId="31">#REF!</definedName>
    <definedName name="client_zone">#REF!</definedName>
    <definedName name="clientlib" localSheetId="31">#REF!</definedName>
    <definedName name="clientlib">#REF!</definedName>
    <definedName name="Cluster">#REF!</definedName>
    <definedName name="clvc" localSheetId="31">#REF!</definedName>
    <definedName name="clvc" localSheetId="33">#REF!</definedName>
    <definedName name="clvc">#REF!</definedName>
    <definedName name="CLVC3">0.1</definedName>
    <definedName name="CLVC35" localSheetId="33">#REF!</definedName>
    <definedName name="CLVC35">#REF!</definedName>
    <definedName name="CLVCTB" localSheetId="31">#REF!</definedName>
    <definedName name="CLVCTB" localSheetId="33">#REF!</definedName>
    <definedName name="CLVCTB">#REF!</definedName>
    <definedName name="CLVL" localSheetId="31">#REF!</definedName>
    <definedName name="CLVL" localSheetId="33">#REF!</definedName>
    <definedName name="CLVL">#REF!</definedName>
    <definedName name="CN" localSheetId="31">#REF!</definedName>
    <definedName name="CN">#REF!</definedName>
    <definedName name="Co" localSheetId="31">#REF!</definedName>
    <definedName name="Co" localSheetId="33">#REF!</definedName>
    <definedName name="Co">#REF!</definedName>
    <definedName name="cockpitREC" localSheetId="31">#REF!</definedName>
    <definedName name="cockpitREC">#REF!</definedName>
    <definedName name="Cocoa1" localSheetId="35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ocoa1" localSheetId="3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ocoa1" localSheetId="37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ocoa1" localSheetId="36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ocoa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ode" localSheetId="33" hidden="1">#REF!</definedName>
    <definedName name="Code" hidden="1">#REF!</definedName>
    <definedName name="Code_ENTP" localSheetId="31">#REF!</definedName>
    <definedName name="Code_ENTP">#REF!</definedName>
    <definedName name="Code_grille" localSheetId="31">#REF!</definedName>
    <definedName name="Code_grille">#REF!</definedName>
    <definedName name="Code_PF" localSheetId="31">#REF!</definedName>
    <definedName name="Code_PF">#REF!</definedName>
    <definedName name="coformu" localSheetId="31">#REF!</definedName>
    <definedName name="coformu">#REF!</definedName>
    <definedName name="color" localSheetId="31">#REF!</definedName>
    <definedName name="color">#REF!</definedName>
    <definedName name="COLUMNS10">#N/A</definedName>
    <definedName name="COMMENTAIRES" localSheetId="31">#REF!</definedName>
    <definedName name="COMMENTAIRES">#REF!</definedName>
    <definedName name="COMMON" localSheetId="31">#REF!</definedName>
    <definedName name="COMMON" localSheetId="33">#REF!</definedName>
    <definedName name="COMMON">#REF!</definedName>
    <definedName name="Comp" localSheetId="35" hidden="1">{"First Page",#N/A,FALSE,"Surfactants LBO";"Second Page",#N/A,FALSE,"Surfactants LBO"}</definedName>
    <definedName name="Comp" localSheetId="31" hidden="1">{"First Page",#N/A,FALSE,"Surfactants LBO";"Second Page",#N/A,FALSE,"Surfactants LBO"}</definedName>
    <definedName name="Comp" localSheetId="37" hidden="1">{"First Page",#N/A,FALSE,"Surfactants LBO";"Second Page",#N/A,FALSE,"Surfactants LBO"}</definedName>
    <definedName name="Comp" localSheetId="36" hidden="1">{"First Page",#N/A,FALSE,"Surfactants LBO";"Second Page",#N/A,FALSE,"Surfactants LBO"}</definedName>
    <definedName name="Comp" hidden="1">{"First Page",#N/A,FALSE,"Surfactants LBO";"Second Page",#N/A,FALSE,"Surfactants LBO"}</definedName>
    <definedName name="Company" localSheetId="33">#REF!</definedName>
    <definedName name="Company">#REF!</definedName>
    <definedName name="Comparable" localSheetId="35" hidden="1">{"First Page",#N/A,FALSE,"Surfactants LBO";"Second Page",#N/A,FALSE,"Surfactants LBO"}</definedName>
    <definedName name="Comparable" localSheetId="31" hidden="1">{"First Page",#N/A,FALSE,"Surfactants LBO";"Second Page",#N/A,FALSE,"Surfactants LBO"}</definedName>
    <definedName name="Comparable" localSheetId="37" hidden="1">{"First Page",#N/A,FALSE,"Surfactants LBO";"Second Page",#N/A,FALSE,"Surfactants LBO"}</definedName>
    <definedName name="Comparable" localSheetId="36" hidden="1">{"First Page",#N/A,FALSE,"Surfactants LBO";"Second Page",#N/A,FALSE,"Surfactants LBO"}</definedName>
    <definedName name="Comparable" hidden="1">{"First Page",#N/A,FALSE,"Surfactants LBO";"Second Page",#N/A,FALSE,"Surfactants LBO"}</definedName>
    <definedName name="COMPARATIVO" localSheetId="33">#REF!</definedName>
    <definedName name="COMPARATIVO">#REF!</definedName>
    <definedName name="Compo" localSheetId="31">#REF!</definedName>
    <definedName name="Compo">#REF!</definedName>
    <definedName name="COMPTEUR">#N/A</definedName>
    <definedName name="CON_EQP_COS" localSheetId="31">#REF!</definedName>
    <definedName name="CON_EQP_COS" localSheetId="33">#REF!</definedName>
    <definedName name="CON_EQP_COS">#REF!</definedName>
    <definedName name="CON_EQP_COST" localSheetId="31">#REF!</definedName>
    <definedName name="CON_EQP_COST" localSheetId="33">#REF!</definedName>
    <definedName name="CON_EQP_COST">#REF!</definedName>
    <definedName name="Condanser" localSheetId="35">#REF!</definedName>
    <definedName name="Condanser" localSheetId="31">#REF!</definedName>
    <definedName name="Condanser" localSheetId="37">#REF!</definedName>
    <definedName name="Condanser" localSheetId="36">#REF!</definedName>
    <definedName name="Condanser" localSheetId="30">#REF!</definedName>
    <definedName name="Condanser" localSheetId="34">#REF!</definedName>
    <definedName name="Condanser">#REF!</definedName>
    <definedName name="Condt_Kg" localSheetId="31">#REF!</definedName>
    <definedName name="Condt_Kg">#REF!</definedName>
    <definedName name="Cong_HM_DTCT" localSheetId="31">#REF!</definedName>
    <definedName name="Cong_HM_DTCT" localSheetId="33">#REF!</definedName>
    <definedName name="Cong_HM_DTCT">#REF!</definedName>
    <definedName name="Cong_M_DTCT" localSheetId="31">#REF!</definedName>
    <definedName name="Cong_M_DTCT" localSheetId="33">#REF!</definedName>
    <definedName name="Cong_M_DTCT">#REF!</definedName>
    <definedName name="Cong_NC_DTCT" localSheetId="31">#REF!</definedName>
    <definedName name="Cong_NC_DTCT" localSheetId="33">#REF!</definedName>
    <definedName name="Cong_NC_DTCT">#REF!</definedName>
    <definedName name="Cong_VL_DTCT" localSheetId="31">#REF!</definedName>
    <definedName name="Cong_VL_DTCT" localSheetId="33">#REF!</definedName>
    <definedName name="Cong_VL_DTCT">#REF!</definedName>
    <definedName name="CONST_EQ" localSheetId="31">#REF!</definedName>
    <definedName name="CONST_EQ" localSheetId="33">#REF!</definedName>
    <definedName name="CONST_EQ">#REF!</definedName>
    <definedName name="CONSUMOACUMULAD" localSheetId="31">#REF!</definedName>
    <definedName name="CONSUMOACUMULAD" localSheetId="33">#REF!</definedName>
    <definedName name="CONSUMOACUMULAD">#REF!</definedName>
    <definedName name="consumomes" localSheetId="31">#REF!</definedName>
    <definedName name="consumomes" localSheetId="33">#REF!</definedName>
    <definedName name="consumomes">#REF!</definedName>
    <definedName name="CONTABILE" localSheetId="31">#REF!</definedName>
    <definedName name="CONTABILE" localSheetId="33">#REF!</definedName>
    <definedName name="CONTABILE">#REF!</definedName>
    <definedName name="CONTROLE">#N/A</definedName>
    <definedName name="coopC0602" localSheetId="31">#REF!</definedName>
    <definedName name="coopC0602">#REF!</definedName>
    <definedName name="cooper2" localSheetId="35" hidden="1">{#N/A,#N/A,TRUE,"Pro Forma";#N/A,#N/A,TRUE,"PF_Bal";#N/A,#N/A,TRUE,"PF_INC";#N/A,#N/A,TRUE,"CBE";#N/A,#N/A,TRUE,"SWK"}</definedName>
    <definedName name="cooper2" localSheetId="31" hidden="1">{#N/A,#N/A,TRUE,"Pro Forma";#N/A,#N/A,TRUE,"PF_Bal";#N/A,#N/A,TRUE,"PF_INC";#N/A,#N/A,TRUE,"CBE";#N/A,#N/A,TRUE,"SWK"}</definedName>
    <definedName name="cooper2" localSheetId="37" hidden="1">{#N/A,#N/A,TRUE,"Pro Forma";#N/A,#N/A,TRUE,"PF_Bal";#N/A,#N/A,TRUE,"PF_INC";#N/A,#N/A,TRUE,"CBE";#N/A,#N/A,TRUE,"SWK"}</definedName>
    <definedName name="cooper2" localSheetId="36" hidden="1">{#N/A,#N/A,TRUE,"Pro Forma";#N/A,#N/A,TRUE,"PF_Bal";#N/A,#N/A,TRUE,"PF_INC";#N/A,#N/A,TRUE,"CBE";#N/A,#N/A,TRUE,"SWK"}</definedName>
    <definedName name="cooper2" hidden="1">{#N/A,#N/A,TRUE,"Pro Forma";#N/A,#N/A,TRUE,"PF_Bal";#N/A,#N/A,TRUE,"PF_INC";#N/A,#N/A,TRUE,"CBE";#N/A,#N/A,TRUE,"SWK"}</definedName>
    <definedName name="cop" localSheetId="35" hidden="1">{"First Page",#N/A,FALSE,"Surfactants LBO";"Second Page",#N/A,FALSE,"Surfactants LBO"}</definedName>
    <definedName name="cop" localSheetId="31" hidden="1">{"First Page",#N/A,FALSE,"Surfactants LBO";"Second Page",#N/A,FALSE,"Surfactants LBO"}</definedName>
    <definedName name="cop" localSheetId="37" hidden="1">{"First Page",#N/A,FALSE,"Surfactants LBO";"Second Page",#N/A,FALSE,"Surfactants LBO"}</definedName>
    <definedName name="cop" localSheetId="36" hidden="1">{"First Page",#N/A,FALSE,"Surfactants LBO";"Second Page",#N/A,FALSE,"Surfactants LBO"}</definedName>
    <definedName name="cop" hidden="1">{"First Page",#N/A,FALSE,"Surfactants LBO";"Second Page",#N/A,FALSE,"Surfactants LBO"}</definedName>
    <definedName name="copie" localSheetId="35" hidden="1">{#N/A,#N/A,TRUE,"ANALYSE";#N/A,#N/A,TRUE,"PM VOLUME";#N/A,#N/A,TRUE,"PM VALEUR";#N/A,#N/A,TRUE,"AR1";#N/A,#N/A,TRUE,"AR2";#N/A,#N/A,TRUE,"RAF";#N/A,#N/A,TRUE,"BILAN";#N/A,#N/A,TRUE,"CASH FLOW";#N/A,#N/A,TRUE,"ETAT FI"}</definedName>
    <definedName name="copie" localSheetId="31" hidden="1">{#N/A,#N/A,TRUE,"ANALYSE";#N/A,#N/A,TRUE,"PM VOLUME";#N/A,#N/A,TRUE,"PM VALEUR";#N/A,#N/A,TRUE,"AR1";#N/A,#N/A,TRUE,"AR2";#N/A,#N/A,TRUE,"RAF";#N/A,#N/A,TRUE,"BILAN";#N/A,#N/A,TRUE,"CASH FLOW";#N/A,#N/A,TRUE,"ETAT FI"}</definedName>
    <definedName name="copie" localSheetId="37" hidden="1">{#N/A,#N/A,TRUE,"ANALYSE";#N/A,#N/A,TRUE,"PM VOLUME";#N/A,#N/A,TRUE,"PM VALEUR";#N/A,#N/A,TRUE,"AR1";#N/A,#N/A,TRUE,"AR2";#N/A,#N/A,TRUE,"RAF";#N/A,#N/A,TRUE,"BILAN";#N/A,#N/A,TRUE,"CASH FLOW";#N/A,#N/A,TRUE,"ETAT FI"}</definedName>
    <definedName name="copie" localSheetId="36" hidden="1">{#N/A,#N/A,TRUE,"ANALYSE";#N/A,#N/A,TRUE,"PM VOLUME";#N/A,#N/A,TRUE,"PM VALEUR";#N/A,#N/A,TRUE,"AR1";#N/A,#N/A,TRUE,"AR2";#N/A,#N/A,TRUE,"RAF";#N/A,#N/A,TRUE,"BILAN";#N/A,#N/A,TRUE,"CASH FLOW";#N/A,#N/A,TRUE,"ETAT FI"}</definedName>
    <definedName name="copie" hidden="1">{#N/A,#N/A,TRUE,"ANALYSE";#N/A,#N/A,TRUE,"PM VOLUME";#N/A,#N/A,TRUE,"PM VALEUR";#N/A,#N/A,TRUE,"AR1";#N/A,#N/A,TRUE,"AR2";#N/A,#N/A,TRUE,"RAF";#N/A,#N/A,TRUE,"BILAN";#N/A,#N/A,TRUE,"CASH FLOW";#N/A,#N/A,TRUE,"ETAT FI"}</definedName>
    <definedName name="correc_kg">#REF!</definedName>
    <definedName name="correc_PLN" localSheetId="31">#REF!</definedName>
    <definedName name="correc_PLN">#REF!</definedName>
    <definedName name="COSTO" localSheetId="31">#REF!</definedName>
    <definedName name="COSTO" localSheetId="33">#REF!</definedName>
    <definedName name="COSTO">#REF!</definedName>
    <definedName name="Count_In_OnePage">1</definedName>
    <definedName name="Country" localSheetId="31">#REF!</definedName>
    <definedName name="Country" localSheetId="33">#REF!</definedName>
    <definedName name="Country">#REF!</definedName>
    <definedName name="COUT" localSheetId="31">#REF!</definedName>
    <definedName name="COUT">#REF!</definedName>
    <definedName name="Coût_for" localSheetId="31">#REF!</definedName>
    <definedName name="Coût_for">#REF!</definedName>
    <definedName name="COUTS_ANALYTIQUES_1" localSheetId="31">#REF!</definedName>
    <definedName name="COUTS_ANALYTIQUES_1">#REF!</definedName>
    <definedName name="COUTS_ANALYTIQUES_2" localSheetId="31">#REF!</definedName>
    <definedName name="COUTS_ANALYTIQUES_2">#REF!</definedName>
    <definedName name="COVER" localSheetId="31">#REF!</definedName>
    <definedName name="COVER" localSheetId="33">#REF!</definedName>
    <definedName name="COVER">#REF!</definedName>
    <definedName name="Cöï_ly_vaän_chuyeãn" localSheetId="31">#REF!</definedName>
    <definedName name="Cöï_ly_vaän_chuyeãn" localSheetId="33">#REF!</definedName>
    <definedName name="Cöï_ly_vaän_chuyeãn">#REF!</definedName>
    <definedName name="CÖÏ_LY_VAÄN_CHUYEÅN" localSheetId="31">#REF!</definedName>
    <definedName name="CÖÏ_LY_VAÄN_CHUYEÅN" localSheetId="33">#REF!</definedName>
    <definedName name="CÖÏ_LY_VAÄN_CHUYEÅN">#REF!</definedName>
    <definedName name="cpays" localSheetId="31">#REF!</definedName>
    <definedName name="cpays">#REF!</definedName>
    <definedName name="CPC" localSheetId="31">#REF!</definedName>
    <definedName name="CPC" localSheetId="33">#REF!</definedName>
    <definedName name="CPC">#REF!</definedName>
    <definedName name="CPLTPRIX" localSheetId="31">#REF!</definedName>
    <definedName name="CPLTPRIX">#REF!</definedName>
    <definedName name="CPLTPRIX1" localSheetId="31">#REF!</definedName>
    <definedName name="CPLTPRIX1">#REF!</definedName>
    <definedName name="CPVC35" localSheetId="31">#REF!</definedName>
    <definedName name="CPVC35" localSheetId="33">#REF!</definedName>
    <definedName name="CPVC35">#REF!</definedName>
    <definedName name="CPVCDN" localSheetId="31">#REF!</definedName>
    <definedName name="CPVCDN" localSheetId="33">#REF!</definedName>
    <definedName name="CPVCDN">#REF!</definedName>
    <definedName name="CRD" localSheetId="31">#REF!</definedName>
    <definedName name="CRD" localSheetId="33">#REF!</definedName>
    <definedName name="CRD">#REF!</definedName>
    <definedName name="CRITINST" localSheetId="31">#REF!</definedName>
    <definedName name="CRITINST" localSheetId="33">#REF!</definedName>
    <definedName name="CRITINST">#REF!</definedName>
    <definedName name="CRITPURC" localSheetId="31">#REF!</definedName>
    <definedName name="CRITPURC" localSheetId="33">#REF!</definedName>
    <definedName name="CRITPURC">#REF!</definedName>
    <definedName name="CRS" localSheetId="31">#REF!</definedName>
    <definedName name="CRS" localSheetId="33">#REF!</definedName>
    <definedName name="CRS">#REF!</definedName>
    <definedName name="CRU" localSheetId="31">#REF!</definedName>
    <definedName name="CRU">#REF!</definedName>
    <definedName name="CS" localSheetId="31">#REF!</definedName>
    <definedName name="CS" localSheetId="33">#REF!</definedName>
    <definedName name="CS">#REF!</definedName>
    <definedName name="CS_10" localSheetId="31">#REF!</definedName>
    <definedName name="CS_10" localSheetId="33">#REF!</definedName>
    <definedName name="CS_10">#REF!</definedName>
    <definedName name="CS_100" localSheetId="31">#REF!</definedName>
    <definedName name="CS_100" localSheetId="33">#REF!</definedName>
    <definedName name="CS_100">#REF!</definedName>
    <definedName name="CS_10S" localSheetId="31">#REF!</definedName>
    <definedName name="CS_10S" localSheetId="33">#REF!</definedName>
    <definedName name="CS_10S">#REF!</definedName>
    <definedName name="CS_120" localSheetId="31">#REF!</definedName>
    <definedName name="CS_120" localSheetId="33">#REF!</definedName>
    <definedName name="CS_120">#REF!</definedName>
    <definedName name="CS_140" localSheetId="31">#REF!</definedName>
    <definedName name="CS_140" localSheetId="33">#REF!</definedName>
    <definedName name="CS_140">#REF!</definedName>
    <definedName name="CS_160" localSheetId="31">#REF!</definedName>
    <definedName name="CS_160" localSheetId="33">#REF!</definedName>
    <definedName name="CS_160">#REF!</definedName>
    <definedName name="CS_20" localSheetId="31">#REF!</definedName>
    <definedName name="CS_20" localSheetId="33">#REF!</definedName>
    <definedName name="CS_20">#REF!</definedName>
    <definedName name="CS_30" localSheetId="31">#REF!</definedName>
    <definedName name="CS_30" localSheetId="33">#REF!</definedName>
    <definedName name="CS_30">#REF!</definedName>
    <definedName name="CS_40" localSheetId="31">#REF!</definedName>
    <definedName name="CS_40" localSheetId="33">#REF!</definedName>
    <definedName name="CS_40">#REF!</definedName>
    <definedName name="CS_40S" localSheetId="31">#REF!</definedName>
    <definedName name="CS_40S" localSheetId="33">#REF!</definedName>
    <definedName name="CS_40S">#REF!</definedName>
    <definedName name="CS_5S" localSheetId="31">#REF!</definedName>
    <definedName name="CS_5S" localSheetId="33">#REF!</definedName>
    <definedName name="CS_5S">#REF!</definedName>
    <definedName name="CS_60" localSheetId="31">#REF!</definedName>
    <definedName name="CS_60" localSheetId="33">#REF!</definedName>
    <definedName name="CS_60">#REF!</definedName>
    <definedName name="CS_80" localSheetId="31">#REF!</definedName>
    <definedName name="CS_80" localSheetId="33">#REF!</definedName>
    <definedName name="CS_80">#REF!</definedName>
    <definedName name="CS_80S" localSheetId="31">#REF!</definedName>
    <definedName name="CS_80S" localSheetId="33">#REF!</definedName>
    <definedName name="CS_80S">#REF!</definedName>
    <definedName name="CS_STD" localSheetId="31">#REF!</definedName>
    <definedName name="CS_STD" localSheetId="33">#REF!</definedName>
    <definedName name="CS_STD">#REF!</definedName>
    <definedName name="CS_XS" localSheetId="31">#REF!</definedName>
    <definedName name="CS_XS" localSheetId="33">#REF!</definedName>
    <definedName name="CS_XS">#REF!</definedName>
    <definedName name="CS_XXS" localSheetId="31">#REF!</definedName>
    <definedName name="CS_XXS" localSheetId="33">#REF!</definedName>
    <definedName name="CS_XXS">#REF!</definedName>
    <definedName name="csd3p" localSheetId="31">#REF!</definedName>
    <definedName name="csd3p" localSheetId="33">#REF!</definedName>
    <definedName name="csd3p">#REF!</definedName>
    <definedName name="CSDCDS" localSheetId="31" hidden="1">#REF!</definedName>
    <definedName name="CSDCDS" hidden="1">#REF!</definedName>
    <definedName name="csddg1p" localSheetId="31">#REF!</definedName>
    <definedName name="csddg1p" localSheetId="33">#REF!</definedName>
    <definedName name="csddg1p">#REF!</definedName>
    <definedName name="csddt1p" localSheetId="31">#REF!</definedName>
    <definedName name="csddt1p" localSheetId="33">#REF!</definedName>
    <definedName name="csddt1p">#REF!</definedName>
    <definedName name="csht3p" localSheetId="31">#REF!</definedName>
    <definedName name="csht3p" localSheetId="33">#REF!</definedName>
    <definedName name="csht3p">#REF!</definedName>
    <definedName name="cspf" localSheetId="31">#REF!</definedName>
    <definedName name="cspf">#REF!</definedName>
    <definedName name="ctdn9697" localSheetId="31">#REF!</definedName>
    <definedName name="ctdn9697" localSheetId="33">#REF!</definedName>
    <definedName name="ctdn9697">#REF!</definedName>
    <definedName name="CTIET" localSheetId="31">#REF!</definedName>
    <definedName name="CTIET" localSheetId="33">#REF!</definedName>
    <definedName name="CTIET">#REF!</definedName>
    <definedName name="ctiep" localSheetId="31">#REF!</definedName>
    <definedName name="ctiep" localSheetId="33">#REF!</definedName>
    <definedName name="ctiep">#REF!</definedName>
    <definedName name="CUBE_NAME" localSheetId="31">#REF!</definedName>
    <definedName name="CUBE_NAME">#REF!</definedName>
    <definedName name="CUMUL" localSheetId="31">#REF!</definedName>
    <definedName name="CUMUL">#REF!</definedName>
    <definedName name="CUMUL_à_RETRIEVER" localSheetId="31">#REF!</definedName>
    <definedName name="CUMUL_à_RETRIEVER">#REF!</definedName>
    <definedName name="cumul06" localSheetId="31">#REF!</definedName>
    <definedName name="cumul06">#REF!</definedName>
    <definedName name="CUR_MONTH" localSheetId="31">#REF!</definedName>
    <definedName name="CUR_MONTH">#REF!</definedName>
    <definedName name="CUR_MONTH_NB" localSheetId="31">#REF!</definedName>
    <definedName name="CUR_MONTH_NB">#REF!</definedName>
    <definedName name="Currency" localSheetId="31">#REF!</definedName>
    <definedName name="CURRENCY" localSheetId="33">#REF!</definedName>
    <definedName name="CURRENCY">#REF!</definedName>
    <definedName name="Currency_1">NA()</definedName>
    <definedName name="Currency_1_1">NA()</definedName>
    <definedName name="Currency_1_1_1" localSheetId="31">#REF!</definedName>
    <definedName name="Currency_1_1_1">#REF!</definedName>
    <definedName name="Current_Month" localSheetId="31">#REF!</definedName>
    <definedName name="Current_Month">#REF!</definedName>
    <definedName name="Cust" localSheetId="31">#REF!</definedName>
    <definedName name="Cust">#REF!</definedName>
    <definedName name="Customers" localSheetId="31">#REF!</definedName>
    <definedName name="Customers">#REF!</definedName>
    <definedName name="custtable" localSheetId="31">#REF!</definedName>
    <definedName name="custtable">#REF!</definedName>
    <definedName name="CX" localSheetId="31">#REF!</definedName>
    <definedName name="CX" localSheetId="33">#REF!</definedName>
    <definedName name="CX">#REF!</definedName>
    <definedName name="cxvbvcxb" localSheetId="31" hidden="1">#REF!</definedName>
    <definedName name="cxvbvcxb" hidden="1">#REF!</definedName>
    <definedName name="D" localSheetId="35" hidden="1">{#N/A,#N/A,FALSE,"RIEP"}</definedName>
    <definedName name="D" localSheetId="31" hidden="1">{#N/A,#N/A,FALSE,"RIEP"}</definedName>
    <definedName name="D" localSheetId="37" hidden="1">{#N/A,#N/A,FALSE,"RIEP"}</definedName>
    <definedName name="D" localSheetId="36" hidden="1">{#N/A,#N/A,FALSE,"RIEP"}</definedName>
    <definedName name="D" hidden="1">{#N/A,#N/A,FALSE,"RIEP"}</definedName>
    <definedName name="D_7101A_B" localSheetId="33">#REF!</definedName>
    <definedName name="D_7101A_B">#REF!</definedName>
    <definedName name="D_SIZE">"Dsize"</definedName>
    <definedName name="DAFreofè0eirfh" localSheetId="35" hidden="1">{"SPM1",#N/A,FALSE,"RIEP"}</definedName>
    <definedName name="DAFreofè0eirfh" localSheetId="31" hidden="1">{"SPM1",#N/A,FALSE,"RIEP"}</definedName>
    <definedName name="DAFreofè0eirfh" localSheetId="37" hidden="1">{"SPM1",#N/A,FALSE,"RIEP"}</definedName>
    <definedName name="DAFreofè0eirfh" localSheetId="36" hidden="1">{"SPM1",#N/A,FALSE,"RIEP"}</definedName>
    <definedName name="DAFreofè0eirfh" hidden="1">{"SPM1",#N/A,FALSE,"RIEP"}</definedName>
    <definedName name="DAIRY">#REF!</definedName>
    <definedName name="danhmuc" localSheetId="31">#REF!</definedName>
    <definedName name="danhmuc" localSheetId="33">#REF!</definedName>
    <definedName name="danhmuc">#REF!</definedName>
    <definedName name="data" localSheetId="35">OFFSET(#REF!,0,0,COUNTA(#REF!),COUNTA(#REF!))</definedName>
    <definedName name="data" localSheetId="31">OFFSET(#REF!,0,0,COUNTA(#REF!),COUNTA(#REF!))</definedName>
    <definedName name="data" localSheetId="37">OFFSET(#REF!,0,0,COUNTA(#REF!),COUNTA(#REF!))</definedName>
    <definedName name="data" localSheetId="36">OFFSET(#REF!,0,0,COUNTA(#REF!),COUNTA(#REF!))</definedName>
    <definedName name="data" localSheetId="30">OFFSET(#REF!,0,0,COUNTA(#REF!),COUNTA(#REF!))</definedName>
    <definedName name="data" localSheetId="34">OFFSET(#REF!,0,0,COUNTA(#REF!),COUNTA(#REF!))</definedName>
    <definedName name="data">OFFSET(#REF!,0,0,COUNTA(#REF!),COUNTA(#REF!))</definedName>
    <definedName name="DATA_DATA2_List" localSheetId="31">#REF!</definedName>
    <definedName name="DATA_DATA2_List" localSheetId="33">#REF!</definedName>
    <definedName name="DATA_DATA2_List">#REF!</definedName>
    <definedName name="data1" localSheetId="31" hidden="1">#REF!</definedName>
    <definedName name="data1" localSheetId="33" hidden="1">#REF!</definedName>
    <definedName name="data1" hidden="1">#REF!</definedName>
    <definedName name="Data11" localSheetId="31">#REF!</definedName>
    <definedName name="Data11" localSheetId="33">#REF!</definedName>
    <definedName name="Data11">#REF!</definedName>
    <definedName name="data2" localSheetId="31" hidden="1">#REF!</definedName>
    <definedName name="data2" localSheetId="33" hidden="1">#REF!</definedName>
    <definedName name="data2" hidden="1">#REF!</definedName>
    <definedName name="data3" localSheetId="31" hidden="1">#REF!</definedName>
    <definedName name="data3" localSheetId="33" hidden="1">#REF!</definedName>
    <definedName name="data3" hidden="1">#REF!</definedName>
    <definedName name="Data41" localSheetId="31">#REF!</definedName>
    <definedName name="Data41" localSheetId="33">#REF!</definedName>
    <definedName name="Data41">#REF!</definedName>
    <definedName name="DATA498" localSheetId="35">OFFSET(#REF!,,,COUNTA(#REF!)-6,COUNTA(#REF!))</definedName>
    <definedName name="DATA498" localSheetId="31">OFFSET(#REF!,,,COUNTA(#REF!)-6,COUNTA(#REF!))</definedName>
    <definedName name="DATA498" localSheetId="37">OFFSET(#REF!,,,COUNTA(#REF!)-6,COUNTA(#REF!))</definedName>
    <definedName name="DATA498" localSheetId="36">OFFSET(#REF!,,,COUNTA(#REF!)-6,COUNTA(#REF!))</definedName>
    <definedName name="DATA498" localSheetId="30">OFFSET(#REF!,,,COUNTA(#REF!)-6,COUNTA(#REF!))</definedName>
    <definedName name="DATA498" localSheetId="34">OFFSET(#REF!,,,COUNTA(#REF!)-6,COUNTA(#REF!))</definedName>
    <definedName name="DATA498">OFFSET(#REF!,,,COUNTA(#REF!)-6,COUNTA(#REF!))</definedName>
    <definedName name="_xlnm.Database" localSheetId="31">#REF!</definedName>
    <definedName name="_xlnm.Database" localSheetId="33">#REF!</definedName>
    <definedName name="_xlnm.Database">#REF!</definedName>
    <definedName name="DATACAS" localSheetId="35">OFFSET(#REF!,,,COUNTA(#REF!),COUNTA(#REF!))</definedName>
    <definedName name="DATACAS" localSheetId="31">OFFSET(#REF!,,,COUNTA(#REF!),COUNTA(#REF!))</definedName>
    <definedName name="DATACAS" localSheetId="37">OFFSET(#REF!,,,COUNTA(#REF!),COUNTA(#REF!))</definedName>
    <definedName name="DATACAS" localSheetId="36">OFFSET(#REF!,,,COUNTA(#REF!),COUNTA(#REF!))</definedName>
    <definedName name="DATACAS" localSheetId="30">OFFSET(#REF!,,,COUNTA(#REF!),COUNTA(#REF!))</definedName>
    <definedName name="DATACAS" localSheetId="34">OFFSET(#REF!,,,COUNTA(#REF!),COUNTA(#REF!))</definedName>
    <definedName name="DATACAS">OFFSET(#REF!,,,COUNTA(#REF!),COUNTA(#REF!))</definedName>
    <definedName name="DataI03" localSheetId="31">#REF!</definedName>
    <definedName name="DataI03">#REF!</definedName>
    <definedName name="DATATKDT" localSheetId="31">#REF!</definedName>
    <definedName name="DATATKDT" localSheetId="33">#REF!</definedName>
    <definedName name="DATATKDT">#REF!</definedName>
    <definedName name="DATE" localSheetId="31">#REF!</definedName>
    <definedName name="date">#REF!</definedName>
    <definedName name="DateJour" localSheetId="31">#REF!</definedName>
    <definedName name="DateJour">#REF!</definedName>
    <definedName name="DAY">#N/A</definedName>
    <definedName name="dd" localSheetId="35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dd" localSheetId="3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dd" localSheetId="37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dd" localSheetId="36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DD" localSheetId="33">#REF!</definedName>
    <definedName name="DD">#REF!</definedName>
    <definedName name="DDAY" localSheetId="33">#REF!</definedName>
    <definedName name="DDAY">#REF!</definedName>
    <definedName name="DDD" localSheetId="35" hidden="1">{#N/A,#N/A,TRUE,"EC COMM-t";#N/A,#N/A,TRUE,"EC PAR PDTS-t";#N/A,#N/A,TRUE,"EC MAT-t";#N/A,#N/A,TRUE,"SUIVI HAUSSES-t"}</definedName>
    <definedName name="DDD" localSheetId="31" hidden="1">{#N/A,#N/A,TRUE,"EC COMM-t";#N/A,#N/A,TRUE,"EC PAR PDTS-t";#N/A,#N/A,TRUE,"EC MAT-t";#N/A,#N/A,TRUE,"SUIVI HAUSSES-t"}</definedName>
    <definedName name="DDD" localSheetId="37" hidden="1">{#N/A,#N/A,TRUE,"EC COMM-t";#N/A,#N/A,TRUE,"EC PAR PDTS-t";#N/A,#N/A,TRUE,"EC MAT-t";#N/A,#N/A,TRUE,"SUIVI HAUSSES-t"}</definedName>
    <definedName name="DDD" localSheetId="36" hidden="1">{#N/A,#N/A,TRUE,"EC COMM-t";#N/A,#N/A,TRUE,"EC PAR PDTS-t";#N/A,#N/A,TRUE,"EC MAT-t";#N/A,#N/A,TRUE,"SUIVI HAUSSES-t"}</definedName>
    <definedName name="DDD" hidden="1">{#N/A,#N/A,TRUE,"EC COMM-t";#N/A,#N/A,TRUE,"EC PAR PDTS-t";#N/A,#N/A,TRUE,"EC MAT-t";#N/A,#N/A,TRUE,"SUIVI HAUSSES-t"}</definedName>
    <definedName name="DDDDD" localSheetId="35" hidden="1">{"SPM1",#N/A,FALSE,"RIEP"}</definedName>
    <definedName name="DDDDD" localSheetId="31" hidden="1">{"SPM1",#N/A,FALSE,"RIEP"}</definedName>
    <definedName name="DDDDD" localSheetId="37" hidden="1">{"SPM1",#N/A,FALSE,"RIEP"}</definedName>
    <definedName name="DDDDD" localSheetId="36" hidden="1">{"SPM1",#N/A,FALSE,"RIEP"}</definedName>
    <definedName name="DDDDD" hidden="1">{"SPM1",#N/A,FALSE,"RIEP"}</definedName>
    <definedName name="ddddddd" localSheetId="35" hidden="1">{#N/A,#N/A,FALSE,"RIEP"}</definedName>
    <definedName name="ddddddd" localSheetId="31" hidden="1">{#N/A,#N/A,FALSE,"RIEP"}</definedName>
    <definedName name="ddddddd" localSheetId="37" hidden="1">{#N/A,#N/A,FALSE,"RIEP"}</definedName>
    <definedName name="ddddddd" localSheetId="36" hidden="1">{#N/A,#N/A,FALSE,"RIEP"}</definedName>
    <definedName name="ddddddd" hidden="1">{#N/A,#N/A,FALSE,"RIEP"}</definedName>
    <definedName name="dddddddddd" localSheetId="35" hidden="1">{"'domaće količine'!$K$34:$P$47"}</definedName>
    <definedName name="dddddddddd" localSheetId="31" hidden="1">{"'domaće količine'!$K$34:$P$47"}</definedName>
    <definedName name="dddddddddd" localSheetId="37" hidden="1">{"'domaće količine'!$K$34:$P$47"}</definedName>
    <definedName name="dddddddddd" localSheetId="36" hidden="1">{"'domaće količine'!$K$34:$P$47"}</definedName>
    <definedName name="dddddddddd" hidden="1">{"'domaće količine'!$K$34:$P$47"}</definedName>
    <definedName name="ddjdjdj" localSheetId="3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ddjdjdj" localSheetId="3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ddjdjdj" localSheetId="37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ddjdjdj" localSheetId="36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ddjdjdj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Déclasst_Euros">#REF!</definedName>
    <definedName name="Déclasst_Kg" localSheetId="31">#REF!</definedName>
    <definedName name="Déclasst_Kg">#REF!</definedName>
    <definedName name="dede" localSheetId="35" hidden="1">{"QQQ",#N/A,FALSE,"RIEP"}</definedName>
    <definedName name="dede" localSheetId="31" hidden="1">{"QQQ",#N/A,FALSE,"RIEP"}</definedName>
    <definedName name="dede" localSheetId="37" hidden="1">{"QQQ",#N/A,FALSE,"RIEP"}</definedName>
    <definedName name="dede" localSheetId="36" hidden="1">{"QQQ",#N/A,FALSE,"RIEP"}</definedName>
    <definedName name="dede" hidden="1">{"QQQ",#N/A,FALSE,"RIEP"}</definedName>
    <definedName name="deg" localSheetId="35" hidden="1">{"First Page",#N/A,FALSE,"Surfactants LBO";"Second Page",#N/A,FALSE,"Surfactants LBO"}</definedName>
    <definedName name="deg" localSheetId="31" hidden="1">{"First Page",#N/A,FALSE,"Surfactants LBO";"Second Page",#N/A,FALSE,"Surfactants LBO"}</definedName>
    <definedName name="deg" localSheetId="37" hidden="1">{"First Page",#N/A,FALSE,"Surfactants LBO";"Second Page",#N/A,FALSE,"Surfactants LBO"}</definedName>
    <definedName name="deg" localSheetId="36" hidden="1">{"First Page",#N/A,FALSE,"Surfactants LBO";"Second Page",#N/A,FALSE,"Surfactants LBO"}</definedName>
    <definedName name="deg" hidden="1">{"First Page",#N/A,FALSE,"Surfactants LBO";"Second Page",#N/A,FALSE,"Surfactants LBO"}</definedName>
    <definedName name="den_bu" localSheetId="33">#REF!</definedName>
    <definedName name="den_bu">#REF!</definedName>
    <definedName name="DEP">"外1线"</definedName>
    <definedName name="DEP_NM">""</definedName>
    <definedName name="DEPT" localSheetId="33">#REF!</definedName>
    <definedName name="DEPT">#REF!</definedName>
    <definedName name="DEST" localSheetId="31">#REF!</definedName>
    <definedName name="DEST">#REF!</definedName>
    <definedName name="DEST1" localSheetId="31">#REF!</definedName>
    <definedName name="DEST1">#REF!</definedName>
    <definedName name="DETAIL" localSheetId="31">#REF!</definedName>
    <definedName name="DETAIL">#REF!</definedName>
    <definedName name="Devise" localSheetId="31">#REF!</definedName>
    <definedName name="Devise">#REF!</definedName>
    <definedName name="df" localSheetId="31">#REF!</definedName>
    <definedName name="df" localSheetId="33">#REF!</definedName>
    <definedName name="df">#REF!</definedName>
    <definedName name="dfa" localSheetId="35" hidden="1">{"SPM1",#N/A,FALSE,"RIEP"}</definedName>
    <definedName name="dfa" localSheetId="31" hidden="1">{"SPM1",#N/A,FALSE,"RIEP"}</definedName>
    <definedName name="dfa" localSheetId="37" hidden="1">{"SPM1",#N/A,FALSE,"RIEP"}</definedName>
    <definedName name="dfa" localSheetId="36" hidden="1">{"SPM1",#N/A,FALSE,"RIEP"}</definedName>
    <definedName name="dfa" hidden="1">{"SPM1",#N/A,FALSE,"RIEP"}</definedName>
    <definedName name="dfd" localSheetId="35" hidden="1">{"comp1",#N/A,FALSE,"COMPS";"footnotes",#N/A,FALSE,"COMPS"}</definedName>
    <definedName name="dfd" localSheetId="31" hidden="1">{"comp1",#N/A,FALSE,"COMPS";"footnotes",#N/A,FALSE,"COMPS"}</definedName>
    <definedName name="dfd" localSheetId="37" hidden="1">{"comp1",#N/A,FALSE,"COMPS";"footnotes",#N/A,FALSE,"COMPS"}</definedName>
    <definedName name="dfd" localSheetId="36" hidden="1">{"comp1",#N/A,FALSE,"COMPS";"footnotes",#N/A,FALSE,"COMPS"}</definedName>
    <definedName name="dfd" hidden="1">{"comp1",#N/A,FALSE,"COMPS";"footnotes",#N/A,FALSE,"COMPS"}</definedName>
    <definedName name="DFda" localSheetId="35" hidden="1">{#N/A,#N/A,FALSE,"RIEP"}</definedName>
    <definedName name="DFda" localSheetId="31" hidden="1">{#N/A,#N/A,FALSE,"RIEP"}</definedName>
    <definedName name="DFda" localSheetId="37" hidden="1">{#N/A,#N/A,FALSE,"RIEP"}</definedName>
    <definedName name="DFda" localSheetId="36" hidden="1">{#N/A,#N/A,FALSE,"RIEP"}</definedName>
    <definedName name="DFda" hidden="1">{#N/A,#N/A,FALSE,"RIEP"}</definedName>
    <definedName name="DFFDG" hidden="1">#REF!</definedName>
    <definedName name="dfgd" localSheetId="31">#REF!</definedName>
    <definedName name="dfgd" localSheetId="33">#REF!</definedName>
    <definedName name="dfgd">#REF!</definedName>
    <definedName name="dfhfh" localSheetId="31" hidden="1">#REF!</definedName>
    <definedName name="dfhfh" hidden="1">#REF!</definedName>
    <definedName name="DFRSFG" localSheetId="35" hidden="1">{"SPM1",#N/A,FALSE,"RIEP"}</definedName>
    <definedName name="DFRSFG" localSheetId="31" hidden="1">{"SPM1",#N/A,FALSE,"RIEP"}</definedName>
    <definedName name="DFRSFG" localSheetId="37" hidden="1">{"SPM1",#N/A,FALSE,"RIEP"}</definedName>
    <definedName name="DFRSFG" localSheetId="36" hidden="1">{"SPM1",#N/A,FALSE,"RIEP"}</definedName>
    <definedName name="DFRSFG" hidden="1">{"SPM1",#N/A,FALSE,"RIEP"}</definedName>
    <definedName name="dfv" localSheetId="35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dfv" localSheetId="31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dfv" localSheetId="37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dfv" localSheetId="36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dfv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DGCTI592" localSheetId="33">#REF!</definedName>
    <definedName name="DGCTI592">#REF!</definedName>
    <definedName name="DGNC" localSheetId="31">#REF!</definedName>
    <definedName name="DGNC" localSheetId="33">#REF!</definedName>
    <definedName name="DGNC">#REF!</definedName>
    <definedName name="dgndhgn" localSheetId="31" hidden="1">#REF!</definedName>
    <definedName name="dgndhgn" hidden="1">#REF!</definedName>
    <definedName name="DGTV" localSheetId="31">#REF!</definedName>
    <definedName name="DGTV" localSheetId="33">#REF!</definedName>
    <definedName name="DGTV">#REF!</definedName>
    <definedName name="dgvc" localSheetId="31">#REF!</definedName>
    <definedName name="dgvc" localSheetId="33">#REF!</definedName>
    <definedName name="dgvc">#REF!</definedName>
    <definedName name="DGVT" localSheetId="31">#REF!</definedName>
    <definedName name="DGVT" localSheetId="33">#REF!</definedName>
    <definedName name="DGVT">#REF!</definedName>
    <definedName name="dhgndn" localSheetId="31" hidden="1">#REF!</definedName>
    <definedName name="dhgndn" hidden="1">#REF!</definedName>
    <definedName name="DIARIO46" localSheetId="31">#REF!</definedName>
    <definedName name="DIARIO46" localSheetId="33">#REF!</definedName>
    <definedName name="DIARIO46">#REF!</definedName>
    <definedName name="DIARIO47" localSheetId="31">#REF!</definedName>
    <definedName name="DIARIO47" localSheetId="33">#REF!</definedName>
    <definedName name="DIARIO47">#REF!</definedName>
    <definedName name="Diable" localSheetId="35" hidden="1">{#N/A,#N/A,FALSE,"Operations";#N/A,#N/A,FALSE,"Financials"}</definedName>
    <definedName name="Diable" localSheetId="31" hidden="1">{#N/A,#N/A,FALSE,"Operations";#N/A,#N/A,FALSE,"Financials"}</definedName>
    <definedName name="Diable" localSheetId="37" hidden="1">{#N/A,#N/A,FALSE,"Operations";#N/A,#N/A,FALSE,"Financials"}</definedName>
    <definedName name="Diable" localSheetId="36" hidden="1">{#N/A,#N/A,FALSE,"Operations";#N/A,#N/A,FALSE,"Financials"}</definedName>
    <definedName name="Diable" hidden="1">{#N/A,#N/A,FALSE,"Operations";#N/A,#N/A,FALSE,"Financials"}</definedName>
    <definedName name="Diagramm_Eingabe" localSheetId="31">#REF!,#REF!,#REF!,#REF!,#REF!</definedName>
    <definedName name="Diagramm_Eingabe" localSheetId="33">#REF!,#REF!,#REF!,#REF!,#REF!</definedName>
    <definedName name="Diagramm_Eingabe">#REF!,#REF!,#REF!,#REF!,#REF!</definedName>
    <definedName name="Direct_Labor_Cost_Per_H_2022" localSheetId="35">#REF!</definedName>
    <definedName name="Direct_Labor_Cost_Per_H_2022" localSheetId="31">#REF!</definedName>
    <definedName name="Direct_Labor_Cost_Per_H_2022" localSheetId="37">#REF!</definedName>
    <definedName name="Direct_Labor_Cost_Per_H_2022" localSheetId="36">#REF!</definedName>
    <definedName name="Direct_Labor_Cost_Per_H_2022" localSheetId="30">#REF!</definedName>
    <definedName name="Direct_Labor_Cost_Per_H_2022" localSheetId="34">#REF!</definedName>
    <definedName name="Direct_Labor_Cost_Per_H_2022">#REF!</definedName>
    <definedName name="directlabor" localSheetId="35">#REF!</definedName>
    <definedName name="directlabor" localSheetId="31">#REF!</definedName>
    <definedName name="directlabor" localSheetId="33">#REF!</definedName>
    <definedName name="directlabor">#REF!</definedName>
    <definedName name="Discount" localSheetId="35">#REF!</definedName>
    <definedName name="Discount" localSheetId="31">#REF!</definedName>
    <definedName name="Discount" localSheetId="33" hidden="1">#REF!</definedName>
    <definedName name="Discount" hidden="1">#REF!</definedName>
    <definedName name="Discount_1">NA()</definedName>
    <definedName name="Discount_1_1">NA()</definedName>
    <definedName name="Discount_1_1_1">NA()</definedName>
    <definedName name="DiscountAcc" localSheetId="31">#REF!</definedName>
    <definedName name="DiscountAcc">#REF!</definedName>
    <definedName name="DiscountAcc_1">NA()</definedName>
    <definedName name="DiscountAcc_1_1">NA()</definedName>
    <definedName name="DiscountAcc_1_1_1">NA()</definedName>
    <definedName name="display_area_2" localSheetId="33" hidden="1">#REF!</definedName>
    <definedName name="display_area_2" hidden="1">#REF!</definedName>
    <definedName name="Division" localSheetId="31">#REF!</definedName>
    <definedName name="Division">#REF!</definedName>
    <definedName name="djdjdjd" localSheetId="3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djdjdjd" localSheetId="3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djdjdjd" localSheetId="37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djdjdjd" localSheetId="36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djdjdjd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DLCC" localSheetId="33">#REF!</definedName>
    <definedName name="DLCC">#REF!</definedName>
    <definedName name="dllk" localSheetId="35" hidden="1">{"SPM1",#N/A,FALSE,"RIEP"}</definedName>
    <definedName name="dllk" localSheetId="31" hidden="1">{"SPM1",#N/A,FALSE,"RIEP"}</definedName>
    <definedName name="dllk" localSheetId="37" hidden="1">{"SPM1",#N/A,FALSE,"RIEP"}</definedName>
    <definedName name="dllk" localSheetId="36" hidden="1">{"SPM1",#N/A,FALSE,"RIEP"}</definedName>
    <definedName name="dllk" hidden="1">{"SPM1",#N/A,FALSE,"RIEP"}</definedName>
    <definedName name="DM" localSheetId="33">#REF!</definedName>
    <definedName name="DM">#REF!</definedName>
    <definedName name="dobt" localSheetId="31">#REF!</definedName>
    <definedName name="dobt" localSheetId="33">#REF!</definedName>
    <definedName name="dobt">#REF!</definedName>
    <definedName name="Document_array" localSheetId="4">{"Thuxm2.xls","Sheet1"}</definedName>
    <definedName name="Document_array" localSheetId="35">{"Thuxm2.xls","Sheet1"}</definedName>
    <definedName name="Document_array" localSheetId="31">{"Thuxm2.xls","Sheet1"}</definedName>
    <definedName name="Document_array" localSheetId="37">{"Thuxm2.xls","Sheet1"}</definedName>
    <definedName name="Document_array" localSheetId="38">{"Thuxm2.xls","Sheet1"}</definedName>
    <definedName name="Document_array" localSheetId="7">{"Thuxm2.xls","Sheet1"}</definedName>
    <definedName name="Document_array" localSheetId="36">{"Thuxm2.xls","Sheet1"}</definedName>
    <definedName name="Document_array" localSheetId="21">{"Thuxm2.xls","Sheet1"}</definedName>
    <definedName name="Document_array" localSheetId="30">{"Thuxm2.xls","Sheet1"}</definedName>
    <definedName name="Document_array" localSheetId="34">{"Thuxm2.xls","Sheet1"}</definedName>
    <definedName name="Document_array" localSheetId="33">{"Thuxm2.xls","Sheet1"}</definedName>
    <definedName name="Document_array" localSheetId="6">{"Thuxm2.xls","Sheet1"}</definedName>
    <definedName name="Document_array">{"Thuxm2.xls","Sheet1"}</definedName>
    <definedName name="donnée">#REF!</definedName>
    <definedName name="DONNEES" localSheetId="31">#REF!</definedName>
    <definedName name="DONNEES">#REF!</definedName>
    <definedName name="Données_N" localSheetId="31">#REF!</definedName>
    <definedName name="Données_N">#REF!</definedName>
    <definedName name="Données_N_1" localSheetId="31">#REF!</definedName>
    <definedName name="Données_N_1">#REF!</definedName>
    <definedName name="DOUX" localSheetId="31">#REF!</definedName>
    <definedName name="DOUX">#REF!</definedName>
    <definedName name="dqdqdqd" localSheetId="3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dqdqdqd" localSheetId="3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dqdqdqd" localSheetId="37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dqdqdqd" localSheetId="36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dqdqdqd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DRAGAN" localSheetId="35" hidden="1">{"'domaće količine'!$K$34:$P$47"}</definedName>
    <definedName name="DRAGAN" localSheetId="31" hidden="1">{"'domaće količine'!$K$34:$P$47"}</definedName>
    <definedName name="DRAGAN" localSheetId="37" hidden="1">{"'domaće količine'!$K$34:$P$47"}</definedName>
    <definedName name="DRAGAN" localSheetId="36" hidden="1">{"'domaće količine'!$K$34:$P$47"}</definedName>
    <definedName name="DRAGAN" hidden="1">{"'domaće količine'!$K$34:$P$47"}</definedName>
    <definedName name="draganć" localSheetId="35" hidden="1">{"'domaće količine'!$K$34:$P$47"}</definedName>
    <definedName name="draganć" localSheetId="31" hidden="1">{"'domaće količine'!$K$34:$P$47"}</definedName>
    <definedName name="draganć" localSheetId="37" hidden="1">{"'domaće količine'!$K$34:$P$47"}</definedName>
    <definedName name="draganć" localSheetId="36" hidden="1">{"'domaće količine'!$K$34:$P$47"}</definedName>
    <definedName name="draganć" hidden="1">{"'domaće količine'!$K$34:$P$47"}</definedName>
    <definedName name="DruckeMitVorschau">#N/A</definedName>
    <definedName name="DRY_PRODUCT">#REF!</definedName>
    <definedName name="ds" localSheetId="31" hidden="1">#REF!</definedName>
    <definedName name="ds" hidden="1">#REF!</definedName>
    <definedName name="DS1p1vc" localSheetId="31">#REF!</definedName>
    <definedName name="DS1p1vc" localSheetId="33">#REF!</definedName>
    <definedName name="DS1p1vc">#REF!</definedName>
    <definedName name="ds1p2nc" localSheetId="31">#REF!</definedName>
    <definedName name="ds1p2nc" localSheetId="33">#REF!</definedName>
    <definedName name="ds1p2nc">#REF!</definedName>
    <definedName name="ds1p2vc" localSheetId="31">#REF!</definedName>
    <definedName name="ds1p2vc" localSheetId="33">#REF!</definedName>
    <definedName name="ds1p2vc">#REF!</definedName>
    <definedName name="ds1p2vl" localSheetId="31">#REF!</definedName>
    <definedName name="ds1p2vl" localSheetId="33">#REF!</definedName>
    <definedName name="ds1p2vl">#REF!</definedName>
    <definedName name="ds1pnc" localSheetId="31">#REF!</definedName>
    <definedName name="ds1pnc" localSheetId="33">#REF!</definedName>
    <definedName name="ds1pnc">#REF!</definedName>
    <definedName name="ds1pvl" localSheetId="31">#REF!</definedName>
    <definedName name="ds1pvl" localSheetId="33">#REF!</definedName>
    <definedName name="ds1pvl">#REF!</definedName>
    <definedName name="ds3pctnc" localSheetId="31">#REF!</definedName>
    <definedName name="ds3pctnc" localSheetId="33">#REF!</definedName>
    <definedName name="ds3pctnc">#REF!</definedName>
    <definedName name="ds3pctvc" localSheetId="31">#REF!</definedName>
    <definedName name="ds3pctvc" localSheetId="33">#REF!</definedName>
    <definedName name="ds3pctvc">#REF!</definedName>
    <definedName name="ds3pctvl" localSheetId="31">#REF!</definedName>
    <definedName name="ds3pctvl" localSheetId="33">#REF!</definedName>
    <definedName name="ds3pctvl">#REF!</definedName>
    <definedName name="ds3pmnc" localSheetId="31">#REF!</definedName>
    <definedName name="ds3pmnc" localSheetId="33">#REF!</definedName>
    <definedName name="ds3pmnc">#REF!</definedName>
    <definedName name="ds3pmvc" localSheetId="31">#REF!</definedName>
    <definedName name="ds3pmvc" localSheetId="33">#REF!</definedName>
    <definedName name="ds3pmvc">#REF!</definedName>
    <definedName name="ds3pmvl" localSheetId="31">#REF!</definedName>
    <definedName name="ds3pmvl" localSheetId="33">#REF!</definedName>
    <definedName name="ds3pmvl">#REF!</definedName>
    <definedName name="ds3pnc" localSheetId="31">#REF!</definedName>
    <definedName name="ds3pnc" localSheetId="33">#REF!</definedName>
    <definedName name="ds3pnc">#REF!</definedName>
    <definedName name="ds3pvl" localSheetId="31">#REF!</definedName>
    <definedName name="ds3pvl" localSheetId="33">#REF!</definedName>
    <definedName name="ds3pvl">#REF!</definedName>
    <definedName name="dsadfa" localSheetId="35" hidden="1">{"Procjena kapaciteta prema rollingu",#N/A,FALSE,"zaliha"}</definedName>
    <definedName name="dsadfa" localSheetId="31" hidden="1">{"Procjena kapaciteta prema rollingu",#N/A,FALSE,"zaliha"}</definedName>
    <definedName name="dsadfa" localSheetId="37" hidden="1">{"Procjena kapaciteta prema rollingu",#N/A,FALSE,"zaliha"}</definedName>
    <definedName name="dsadfa" localSheetId="36" hidden="1">{"Procjena kapaciteta prema rollingu",#N/A,FALSE,"zaliha"}</definedName>
    <definedName name="dsadfa" hidden="1">{"Procjena kapaciteta prema rollingu",#N/A,FALSE,"zaliha"}</definedName>
    <definedName name="dsct3pnc" localSheetId="33">#REF!</definedName>
    <definedName name="dsct3pnc">#REF!</definedName>
    <definedName name="dsct3pvl" localSheetId="31">#REF!</definedName>
    <definedName name="dsct3pvl" localSheetId="33">#REF!</definedName>
    <definedName name="dsct3pvl">#REF!</definedName>
    <definedName name="DSFSDGFG" localSheetId="35" hidden="1">{"SPM1",#N/A,FALSE,"RIEP"}</definedName>
    <definedName name="DSFSDGFG" localSheetId="31" hidden="1">{"SPM1",#N/A,FALSE,"RIEP"}</definedName>
    <definedName name="DSFSDGFG" localSheetId="37" hidden="1">{"SPM1",#N/A,FALSE,"RIEP"}</definedName>
    <definedName name="DSFSDGFG" localSheetId="36" hidden="1">{"SPM1",#N/A,FALSE,"RIEP"}</definedName>
    <definedName name="DSFSDGFG" hidden="1">{"SPM1",#N/A,FALSE,"RIEP"}</definedName>
    <definedName name="DSPK1p1nc" localSheetId="33">#REF!</definedName>
    <definedName name="DSPK1p1nc">#REF!</definedName>
    <definedName name="DSPK1p1vl" localSheetId="31">#REF!</definedName>
    <definedName name="DSPK1p1vl" localSheetId="33">#REF!</definedName>
    <definedName name="DSPK1p1vl">#REF!</definedName>
    <definedName name="DSPK1pnc" localSheetId="31">#REF!</definedName>
    <definedName name="DSPK1pnc" localSheetId="33">#REF!</definedName>
    <definedName name="DSPK1pnc">#REF!</definedName>
    <definedName name="DSPK1pvl" localSheetId="31">#REF!</definedName>
    <definedName name="DSPK1pvl" localSheetId="33">#REF!</definedName>
    <definedName name="DSPK1pvl">#REF!</definedName>
    <definedName name="dss" localSheetId="35" hidden="1">{#N/A,#N/A,TRUE,"ANALYSE";#N/A,#N/A,TRUE,"PM VOLUME";#N/A,#N/A,TRUE,"PM VALEUR";#N/A,#N/A,TRUE,"AR1";#N/A,#N/A,TRUE,"AR2";#N/A,#N/A,TRUE,"RAF";#N/A,#N/A,TRUE,"BILAN";#N/A,#N/A,TRUE,"CASH FLOW";#N/A,#N/A,TRUE,"ETAT FI"}</definedName>
    <definedName name="dss" localSheetId="31" hidden="1">{#N/A,#N/A,TRUE,"ANALYSE";#N/A,#N/A,TRUE,"PM VOLUME";#N/A,#N/A,TRUE,"PM VALEUR";#N/A,#N/A,TRUE,"AR1";#N/A,#N/A,TRUE,"AR2";#N/A,#N/A,TRUE,"RAF";#N/A,#N/A,TRUE,"BILAN";#N/A,#N/A,TRUE,"CASH FLOW";#N/A,#N/A,TRUE,"ETAT FI"}</definedName>
    <definedName name="dss" localSheetId="37" hidden="1">{#N/A,#N/A,TRUE,"ANALYSE";#N/A,#N/A,TRUE,"PM VOLUME";#N/A,#N/A,TRUE,"PM VALEUR";#N/A,#N/A,TRUE,"AR1";#N/A,#N/A,TRUE,"AR2";#N/A,#N/A,TRUE,"RAF";#N/A,#N/A,TRUE,"BILAN";#N/A,#N/A,TRUE,"CASH FLOW";#N/A,#N/A,TRUE,"ETAT FI"}</definedName>
    <definedName name="dss" localSheetId="36" hidden="1">{#N/A,#N/A,TRUE,"ANALYSE";#N/A,#N/A,TRUE,"PM VOLUME";#N/A,#N/A,TRUE,"PM VALEUR";#N/A,#N/A,TRUE,"AR1";#N/A,#N/A,TRUE,"AR2";#N/A,#N/A,TRUE,"RAF";#N/A,#N/A,TRUE,"BILAN";#N/A,#N/A,TRUE,"CASH FLOW";#N/A,#N/A,TRUE,"ETAT FI"}</definedName>
    <definedName name="dss" hidden="1">{#N/A,#N/A,TRUE,"ANALYSE";#N/A,#N/A,TRUE,"PM VOLUME";#N/A,#N/A,TRUE,"PM VALEUR";#N/A,#N/A,TRUE,"AR1";#N/A,#N/A,TRUE,"AR2";#N/A,#N/A,TRUE,"RAF";#N/A,#N/A,TRUE,"BILAN";#N/A,#N/A,TRUE,"CASH FLOW";#N/A,#N/A,TRUE,"ETAT FI"}</definedName>
    <definedName name="DSTD_Clear">#N/A</definedName>
    <definedName name="DSUMDATA" localSheetId="33">#REF!</definedName>
    <definedName name="DSUMDATA">#REF!</definedName>
    <definedName name="dt" localSheetId="31">#REF!</definedName>
    <definedName name="dt" localSheetId="33">#REF!</definedName>
    <definedName name="dt">#REF!</definedName>
    <definedName name="dtdt" localSheetId="31">#REF!</definedName>
    <definedName name="dtdt" localSheetId="33">#REF!</definedName>
    <definedName name="dtdt">#REF!</definedName>
    <definedName name="dthrrr" localSheetId="35" hidden="1">{"SPM1",#N/A,FALSE,"RIEP"}</definedName>
    <definedName name="dthrrr" localSheetId="31" hidden="1">{"SPM1",#N/A,FALSE,"RIEP"}</definedName>
    <definedName name="dthrrr" localSheetId="37" hidden="1">{"SPM1",#N/A,FALSE,"RIEP"}</definedName>
    <definedName name="dthrrr" localSheetId="36" hidden="1">{"SPM1",#N/A,FALSE,"RIEP"}</definedName>
    <definedName name="dthrrr" hidden="1">{"SPM1",#N/A,FALSE,"RIEP"}</definedName>
    <definedName name="Durchführng">"AutoForm 5"</definedName>
    <definedName name="Durchführung">"AutoForm 5"</definedName>
    <definedName name="DWHAM0011" localSheetId="35">OFFSET(#REF!,,,COUNTA(#REF!),COUNTA(#REF!))</definedName>
    <definedName name="DWHAM0011" localSheetId="37">OFFSET(#REF!,,,COUNTA(#REF!),COUNTA(#REF!))</definedName>
    <definedName name="DWHAM0011" localSheetId="36">OFFSET(#REF!,,,COUNTA(#REF!),COUNTA(#REF!))</definedName>
    <definedName name="DWHAM0011" localSheetId="30">OFFSET(#REF!,,,COUNTA(#REF!),COUNTA(#REF!))</definedName>
    <definedName name="DWHAM0011" localSheetId="34">OFFSET(#REF!,,,COUNTA(#REF!),COUNTA(#REF!))</definedName>
    <definedName name="DWHAM0011">OFFSET(#REF!,,,COUNTA(#REF!),COUNTA(#REF!))</definedName>
    <definedName name="E" localSheetId="31">#REF!</definedName>
    <definedName name="e" localSheetId="33">#REF!</definedName>
    <definedName name="e">#REF!</definedName>
    <definedName name="ECA" localSheetId="35" hidden="1">{#N/A,#N/A,FALSE,"ANALYSE";#N/A,#N/A,FALSE,"PM VALEUR"}</definedName>
    <definedName name="ECA" localSheetId="31" hidden="1">{#N/A,#N/A,FALSE,"ANALYSE";#N/A,#N/A,FALSE,"PM VALEUR"}</definedName>
    <definedName name="ECA" localSheetId="37" hidden="1">{#N/A,#N/A,FALSE,"ANALYSE";#N/A,#N/A,FALSE,"PM VALEUR"}</definedName>
    <definedName name="ECA" localSheetId="36" hidden="1">{#N/A,#N/A,FALSE,"ANALYSE";#N/A,#N/A,FALSE,"PM VALEUR"}</definedName>
    <definedName name="ECA" hidden="1">{#N/A,#N/A,FALSE,"ANALYSE";#N/A,#N/A,FALSE,"PM VALEUR"}</definedName>
    <definedName name="ECART_CA">#REF!</definedName>
    <definedName name="ECARTBM" localSheetId="35" hidden="1">{"DETAIL",#N/A,FALSE,"REELBUDGET";"TOTAL",#N/A,FALSE,"REELBUDGET"}</definedName>
    <definedName name="ECARTBM" localSheetId="31" hidden="1">{"DETAIL",#N/A,FALSE,"REELBUDGET";"TOTAL",#N/A,FALSE,"REELBUDGET"}</definedName>
    <definedName name="ECARTBM" localSheetId="37" hidden="1">{"DETAIL",#N/A,FALSE,"REELBUDGET";"TOTAL",#N/A,FALSE,"REELBUDGET"}</definedName>
    <definedName name="ECARTBM" localSheetId="36" hidden="1">{"DETAIL",#N/A,FALSE,"REELBUDGET";"TOTAL",#N/A,FALSE,"REELBUDGET"}</definedName>
    <definedName name="ECARTBM" hidden="1">{"DETAIL",#N/A,FALSE,"REELBUDGET";"TOTAL",#N/A,FALSE,"REELBUDGET"}</definedName>
    <definedName name="ED_DEP_NM">"外1线"</definedName>
    <definedName name="edfdef" hidden="1">#REF!</definedName>
    <definedName name="edp" localSheetId="35" hidden="1">{"assumption 50 50",#N/A,TRUE,"Merger";"has gets cash",#N/A,TRUE,"Merger";"accretion dilution",#N/A,TRUE,"Merger";"comparison credit stats",#N/A,TRUE,"Merger";"pf credit stats",#N/A,TRUE,"Merger";"pf sheets",#N/A,TRUE,"Merger"}</definedName>
    <definedName name="edp" localSheetId="31" hidden="1">{"assumption 50 50",#N/A,TRUE,"Merger";"has gets cash",#N/A,TRUE,"Merger";"accretion dilution",#N/A,TRUE,"Merger";"comparison credit stats",#N/A,TRUE,"Merger";"pf credit stats",#N/A,TRUE,"Merger";"pf sheets",#N/A,TRUE,"Merger"}</definedName>
    <definedName name="edp" localSheetId="37" hidden="1">{"assumption 50 50",#N/A,TRUE,"Merger";"has gets cash",#N/A,TRUE,"Merger";"accretion dilution",#N/A,TRUE,"Merger";"comparison credit stats",#N/A,TRUE,"Merger";"pf credit stats",#N/A,TRUE,"Merger";"pf sheets",#N/A,TRUE,"Merger"}</definedName>
    <definedName name="edp" localSheetId="36" hidden="1">{"assumption 50 50",#N/A,TRUE,"Merger";"has gets cash",#N/A,TRUE,"Merger";"accretion dilution",#N/A,TRUE,"Merger";"comparison credit stats",#N/A,TRUE,"Merger";"pf credit stats",#N/A,TRUE,"Merger";"pf sheets",#N/A,TRUE,"Merger"}</definedName>
    <definedName name="edp" hidden="1">{"assumption 50 50",#N/A,TRUE,"Merger";"has gets cash",#N/A,TRUE,"Merger";"accretion dilution",#N/A,TRUE,"Merger";"comparison credit stats",#N/A,TRUE,"Merger";"pf credit stats",#N/A,TRUE,"Merger";"pf sheets",#N/A,TRUE,"Merger"}</definedName>
    <definedName name="EE">#REF!</definedName>
    <definedName name="EE_DEPDOWN_NM">""</definedName>
    <definedName name="EE_DEPUP_NM">"外1线"</definedName>
    <definedName name="EE_QTY_FIN">150</definedName>
    <definedName name="EE_TZ_DD">"2008-05-11"</definedName>
    <definedName name="EE_TZ_NO">"TZ85110078"</definedName>
    <definedName name="eeee" localSheetId="35" hidden="1">{#N/A,#N/A,FALSE,"Calc";#N/A,#N/A,FALSE,"Sensitivity";#N/A,#N/A,FALSE,"LT Earn.Dil.";#N/A,#N/A,FALSE,"Dil. AVP"}</definedName>
    <definedName name="eeee" localSheetId="31" hidden="1">{#N/A,#N/A,FALSE,"Calc";#N/A,#N/A,FALSE,"Sensitivity";#N/A,#N/A,FALSE,"LT Earn.Dil.";#N/A,#N/A,FALSE,"Dil. AVP"}</definedName>
    <definedName name="eeee" localSheetId="37" hidden="1">{#N/A,#N/A,FALSE,"Calc";#N/A,#N/A,FALSE,"Sensitivity";#N/A,#N/A,FALSE,"LT Earn.Dil.";#N/A,#N/A,FALSE,"Dil. AVP"}</definedName>
    <definedName name="eeee" localSheetId="36" hidden="1">{#N/A,#N/A,FALSE,"Calc";#N/A,#N/A,FALSE,"Sensitivity";#N/A,#N/A,FALSE,"LT Earn.Dil.";#N/A,#N/A,FALSE,"Dil. AVP"}</definedName>
    <definedName name="eeee" hidden="1">{#N/A,#N/A,FALSE,"Calc";#N/A,#N/A,FALSE,"Sensitivity";#N/A,#N/A,FALSE,"LT Earn.Dil.";#N/A,#N/A,FALSE,"Dil. AVP"}</definedName>
    <definedName name="eeeee" localSheetId="3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eeee" localSheetId="3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eeee" localSheetId="37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eeee" localSheetId="36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eeee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fazefze" localSheetId="3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fazefze" localSheetId="3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fazefze" localSheetId="37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fazefze" localSheetId="36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fazefze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FEFEFE" hidden="1">#REF!</definedName>
    <definedName name="eggvdr" localSheetId="35" hidden="1">{"'domaće količine'!$K$34:$P$47"}</definedName>
    <definedName name="eggvdr" localSheetId="31" hidden="1">{"'domaće količine'!$K$34:$P$47"}</definedName>
    <definedName name="eggvdr" localSheetId="37" hidden="1">{"'domaće količine'!$K$34:$P$47"}</definedName>
    <definedName name="eggvdr" localSheetId="36" hidden="1">{"'domaće količine'!$K$34:$P$47"}</definedName>
    <definedName name="eggvdr" hidden="1">{"'domaće količine'!$K$34:$P$47"}</definedName>
    <definedName name="ehethrer" localSheetId="3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hethrer" localSheetId="3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hethrer" localSheetId="37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hethrer" localSheetId="36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hethre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inmalaufwand_Bemerkungen" localSheetId="31">#REF!,#REF!,#REF!,#REF!</definedName>
    <definedName name="Einmalaufwand_Bemerkungen" localSheetId="33">#REF!,#REF!,#REF!,#REF!</definedName>
    <definedName name="Einmalaufwand_Bemerkungen">#REF!,#REF!,#REF!,#REF!</definedName>
    <definedName name="Einmalaufwand_Eingabe" localSheetId="35">#REF!,#REF!,#REF!,#REF!,#REF!,#REF!,#REF!,#REF!,#REF!</definedName>
    <definedName name="Einmalaufwand_Eingabe" localSheetId="31">#REF!,#REF!,#REF!,#REF!,#REF!,#REF!,#REF!,#REF!,#REF!</definedName>
    <definedName name="Einmalaufwand_Eingabe" localSheetId="33">#REF!,#REF!,#REF!,#REF!,#REF!,#REF!,#REF!,#REF!,#REF!</definedName>
    <definedName name="Einmalaufwand_Eingabe">#REF!,#REF!,#REF!,#REF!,#REF!,#REF!,#REF!,#REF!,#REF!</definedName>
    <definedName name="ej" localSheetId="35">#REF!</definedName>
    <definedName name="ej" localSheetId="31">#REF!</definedName>
    <definedName name="ej" localSheetId="33">#REF!</definedName>
    <definedName name="ej">#REF!</definedName>
    <definedName name="Email" localSheetId="35">#REF!</definedName>
    <definedName name="Email" localSheetId="31">#REF!</definedName>
    <definedName name="Email" localSheetId="33">#REF!</definedName>
    <definedName name="Email">#REF!</definedName>
    <definedName name="EMBALLAGE" localSheetId="35">#REF!</definedName>
    <definedName name="EMBALLAGE" localSheetId="31">#REF!</definedName>
    <definedName name="EMBALLAGE">#REF!</definedName>
    <definedName name="emily" localSheetId="35" hidden="1">{#N/A,#N/A,FALSE,"Calc";#N/A,#N/A,FALSE,"Sensitivity";#N/A,#N/A,FALSE,"LT Earn.Dil.";#N/A,#N/A,FALSE,"Dil. AVP"}</definedName>
    <definedName name="emily" localSheetId="31" hidden="1">{#N/A,#N/A,FALSE,"Calc";#N/A,#N/A,FALSE,"Sensitivity";#N/A,#N/A,FALSE,"LT Earn.Dil.";#N/A,#N/A,FALSE,"Dil. AVP"}</definedName>
    <definedName name="emily" localSheetId="37" hidden="1">{#N/A,#N/A,FALSE,"Calc";#N/A,#N/A,FALSE,"Sensitivity";#N/A,#N/A,FALSE,"LT Earn.Dil.";#N/A,#N/A,FALSE,"Dil. AVP"}</definedName>
    <definedName name="emily" localSheetId="36" hidden="1">{#N/A,#N/A,FALSE,"Calc";#N/A,#N/A,FALSE,"Sensitivity";#N/A,#N/A,FALSE,"LT Earn.Dil.";#N/A,#N/A,FALSE,"Dil. AVP"}</definedName>
    <definedName name="emily" hidden="1">{#N/A,#N/A,FALSE,"Calc";#N/A,#N/A,FALSE,"Sensitivity";#N/A,#N/A,FALSE,"LT Earn.Dil.";#N/A,#N/A,FALSE,"Dil. AVP"}</definedName>
    <definedName name="emme_ecartKG">#REF!</definedName>
    <definedName name="ENCOURS" localSheetId="31">#REF!</definedName>
    <definedName name="ENCOURS">#REF!</definedName>
    <definedName name="End_1" localSheetId="31">#REF!</definedName>
    <definedName name="End_1" localSheetId="33">#REF!</definedName>
    <definedName name="End_1">#REF!</definedName>
    <definedName name="End_10" localSheetId="31">#REF!</definedName>
    <definedName name="End_10" localSheetId="33">#REF!</definedName>
    <definedName name="End_10">#REF!</definedName>
    <definedName name="End_11" localSheetId="31">#REF!</definedName>
    <definedName name="End_11" localSheetId="33">#REF!</definedName>
    <definedName name="End_11">#REF!</definedName>
    <definedName name="End_12" localSheetId="31">#REF!</definedName>
    <definedName name="End_12" localSheetId="33">#REF!</definedName>
    <definedName name="End_12">#REF!</definedName>
    <definedName name="End_13" localSheetId="31">#REF!</definedName>
    <definedName name="End_13" localSheetId="33">#REF!</definedName>
    <definedName name="End_13">#REF!</definedName>
    <definedName name="End_2" localSheetId="31">#REF!</definedName>
    <definedName name="End_2" localSheetId="33">#REF!</definedName>
    <definedName name="End_2">#REF!</definedName>
    <definedName name="End_3" localSheetId="31">#REF!</definedName>
    <definedName name="End_3" localSheetId="33">#REF!</definedName>
    <definedName name="End_3">#REF!</definedName>
    <definedName name="End_4" localSheetId="31">#REF!</definedName>
    <definedName name="End_4" localSheetId="33">#REF!</definedName>
    <definedName name="End_4">#REF!</definedName>
    <definedName name="End_5" localSheetId="31">#REF!</definedName>
    <definedName name="End_5" localSheetId="33">#REF!</definedName>
    <definedName name="End_5">#REF!</definedName>
    <definedName name="End_6" localSheetId="31">#REF!</definedName>
    <definedName name="End_6" localSheetId="33">#REF!</definedName>
    <definedName name="End_6">#REF!</definedName>
    <definedName name="End_7" localSheetId="31">#REF!</definedName>
    <definedName name="End_7" localSheetId="33">#REF!</definedName>
    <definedName name="End_7">#REF!</definedName>
    <definedName name="End_8" localSheetId="31">#REF!</definedName>
    <definedName name="End_8" localSheetId="33">#REF!</definedName>
    <definedName name="End_8">#REF!</definedName>
    <definedName name="End_9" localSheetId="31">#REF!</definedName>
    <definedName name="End_9" localSheetId="33">#REF!</definedName>
    <definedName name="End_9">#REF!</definedName>
    <definedName name="Ende">"AutoForm 3"</definedName>
    <definedName name="energie">#REF!</definedName>
    <definedName name="ENTCOL1" localSheetId="31">#REF!</definedName>
    <definedName name="ENTCOL1">#REF!</definedName>
    <definedName name="ENTCOL2" localSheetId="31">#REF!</definedName>
    <definedName name="ENTCOL2">#REF!</definedName>
    <definedName name="ENTLIG1" localSheetId="31">#REF!</definedName>
    <definedName name="ENTLIG1">#REF!</definedName>
    <definedName name="ENTLIG2" localSheetId="31">#REF!</definedName>
    <definedName name="ENTLIG2">#REF!</definedName>
    <definedName name="er" localSheetId="35" hidden="1">{#N/A,#N/A,TRUE,"VOLUMES";#N/A,#N/A,TRUE,"1A-TB 240";#N/A,#N/A,TRUE,"1B-TB 250";#N/A,#N/A,TRUE,"1D-Tr 240";#N/A,#N/A,TRUE,"1E-Tr 250";#N/A,#N/A,TRUE,"1M-Tr 250 60%";#N/A,#N/A,TRUE,"5A-Cru 240";#N/A,#N/A,TRUE,"5B-Cru 250";#N/A,#N/A,TRUE,"5D-Bio 250";#N/A,#N/A,TRUE,"3B-TB 320";#N/A,#N/A,TRUE,"3C-TB 350";#N/A,#N/A,TRUE,"Sérum";#N/A,#N/A,TRUE,"Recap Mat";#N/A,#N/A,TRUE,"ING CAM-TB";#N/A,#N/A,TRUE,"ING CAM-60%";#N/A,#N/A,TRUE,"ING CAM-Cru";#N/A,#N/A,TRUE,"ING COULO -52%";#N/A,#N/A,TRUE,"Recap Ing";#N/A,#N/A,TRUE,"CHARGES";#N/A,#N/A,TRUE,"Répart_charges";#N/A,#N/A,TRUE,"ENERGIES";#N/A,#N/A,TRUE,"EFFECTIF";#N/A,#N/A,TRUE,"Synthèse";#N/A,#N/A,TRUE,"CPTE EXPLOIT";#N/A,#N/A,TRUE,"PRIX CESSION";#N/A,#N/A,TRUE,"CONTROLE"}</definedName>
    <definedName name="er" localSheetId="31" hidden="1">{#N/A,#N/A,TRUE,"VOLUMES";#N/A,#N/A,TRUE,"1A-TB 240";#N/A,#N/A,TRUE,"1B-TB 250";#N/A,#N/A,TRUE,"1D-Tr 240";#N/A,#N/A,TRUE,"1E-Tr 250";#N/A,#N/A,TRUE,"1M-Tr 250 60%";#N/A,#N/A,TRUE,"5A-Cru 240";#N/A,#N/A,TRUE,"5B-Cru 250";#N/A,#N/A,TRUE,"5D-Bio 250";#N/A,#N/A,TRUE,"3B-TB 320";#N/A,#N/A,TRUE,"3C-TB 350";#N/A,#N/A,TRUE,"Sérum";#N/A,#N/A,TRUE,"Recap Mat";#N/A,#N/A,TRUE,"ING CAM-TB";#N/A,#N/A,TRUE,"ING CAM-60%";#N/A,#N/A,TRUE,"ING CAM-Cru";#N/A,#N/A,TRUE,"ING COULO -52%";#N/A,#N/A,TRUE,"Recap Ing";#N/A,#N/A,TRUE,"CHARGES";#N/A,#N/A,TRUE,"Répart_charges";#N/A,#N/A,TRUE,"ENERGIES";#N/A,#N/A,TRUE,"EFFECTIF";#N/A,#N/A,TRUE,"Synthèse";#N/A,#N/A,TRUE,"CPTE EXPLOIT";#N/A,#N/A,TRUE,"PRIX CESSION";#N/A,#N/A,TRUE,"CONTROLE"}</definedName>
    <definedName name="er" localSheetId="37" hidden="1">{#N/A,#N/A,TRUE,"VOLUMES";#N/A,#N/A,TRUE,"1A-TB 240";#N/A,#N/A,TRUE,"1B-TB 250";#N/A,#N/A,TRUE,"1D-Tr 240";#N/A,#N/A,TRUE,"1E-Tr 250";#N/A,#N/A,TRUE,"1M-Tr 250 60%";#N/A,#N/A,TRUE,"5A-Cru 240";#N/A,#N/A,TRUE,"5B-Cru 250";#N/A,#N/A,TRUE,"5D-Bio 250";#N/A,#N/A,TRUE,"3B-TB 320";#N/A,#N/A,TRUE,"3C-TB 350";#N/A,#N/A,TRUE,"Sérum";#N/A,#N/A,TRUE,"Recap Mat";#N/A,#N/A,TRUE,"ING CAM-TB";#N/A,#N/A,TRUE,"ING CAM-60%";#N/A,#N/A,TRUE,"ING CAM-Cru";#N/A,#N/A,TRUE,"ING COULO -52%";#N/A,#N/A,TRUE,"Recap Ing";#N/A,#N/A,TRUE,"CHARGES";#N/A,#N/A,TRUE,"Répart_charges";#N/A,#N/A,TRUE,"ENERGIES";#N/A,#N/A,TRUE,"EFFECTIF";#N/A,#N/A,TRUE,"Synthèse";#N/A,#N/A,TRUE,"CPTE EXPLOIT";#N/A,#N/A,TRUE,"PRIX CESSION";#N/A,#N/A,TRUE,"CONTROLE"}</definedName>
    <definedName name="er" localSheetId="36" hidden="1">{#N/A,#N/A,TRUE,"VOLUMES";#N/A,#N/A,TRUE,"1A-TB 240";#N/A,#N/A,TRUE,"1B-TB 250";#N/A,#N/A,TRUE,"1D-Tr 240";#N/A,#N/A,TRUE,"1E-Tr 250";#N/A,#N/A,TRUE,"1M-Tr 250 60%";#N/A,#N/A,TRUE,"5A-Cru 240";#N/A,#N/A,TRUE,"5B-Cru 250";#N/A,#N/A,TRUE,"5D-Bio 250";#N/A,#N/A,TRUE,"3B-TB 320";#N/A,#N/A,TRUE,"3C-TB 350";#N/A,#N/A,TRUE,"Sérum";#N/A,#N/A,TRUE,"Recap Mat";#N/A,#N/A,TRUE,"ING CAM-TB";#N/A,#N/A,TRUE,"ING CAM-60%";#N/A,#N/A,TRUE,"ING CAM-Cru";#N/A,#N/A,TRUE,"ING COULO -52%";#N/A,#N/A,TRUE,"Recap Ing";#N/A,#N/A,TRUE,"CHARGES";#N/A,#N/A,TRUE,"Répart_charges";#N/A,#N/A,TRUE,"ENERGIES";#N/A,#N/A,TRUE,"EFFECTIF";#N/A,#N/A,TRUE,"Synthèse";#N/A,#N/A,TRUE,"CPTE EXPLOIT";#N/A,#N/A,TRUE,"PRIX CESSION";#N/A,#N/A,TRUE,"CONTROLE"}</definedName>
    <definedName name="er">#N/A</definedName>
    <definedName name="ere" localSheetId="35" hidden="1">{"fr_collecte",#N/A,FALSE,"Fr_SA";"Fr_holding",#N/A,FALSE,"Fr_SA";"Frais_from",#N/A,FALSE,"Frs";"Couverture",#N/A,FALSE,"Frs";"Activité",#N/A,FALSE,"Act";"Act_commentaires",#N/A,FALSE,"Act";"Eff_personnel",#N/A,FALSE,"Eff";"Rendement",#N/A,FALSE,"Rdt";"Péreq",#N/A,FALSE,"Péreq";"récapit_mat",#N/A,FALSE,"récap_matière";#N/A,#N/A,FALSE,"Pci";"Ing_ingrédients",#N/A,FALSE,"Ing";"pci_évolution",#N/A,FALSE,"Pci";"pci_CA",#N/A,FALSE,"Pci";"pci_amélioration",#N/A,FALSE,"Pci";"SIG_Vercel",#N/A,FALSE,"Pci";"SIG_Philipona",#N/A,FALSE,"Pci"}</definedName>
    <definedName name="ere" localSheetId="31" hidden="1">{"fr_collecte",#N/A,FALSE,"Fr_SA";"Fr_holding",#N/A,FALSE,"Fr_SA";"Frais_from",#N/A,FALSE,"Frs";"Couverture",#N/A,FALSE,"Frs";"Activité",#N/A,FALSE,"Act";"Act_commentaires",#N/A,FALSE,"Act";"Eff_personnel",#N/A,FALSE,"Eff";"Rendement",#N/A,FALSE,"Rdt";"Péreq",#N/A,FALSE,"Péreq";"récapit_mat",#N/A,FALSE,"récap_matière";#N/A,#N/A,FALSE,"Pci";"Ing_ingrédients",#N/A,FALSE,"Ing";"pci_évolution",#N/A,FALSE,"Pci";"pci_CA",#N/A,FALSE,"Pci";"pci_amélioration",#N/A,FALSE,"Pci";"SIG_Vercel",#N/A,FALSE,"Pci";"SIG_Philipona",#N/A,FALSE,"Pci"}</definedName>
    <definedName name="ere" localSheetId="37" hidden="1">{"fr_collecte",#N/A,FALSE,"Fr_SA";"Fr_holding",#N/A,FALSE,"Fr_SA";"Frais_from",#N/A,FALSE,"Frs";"Couverture",#N/A,FALSE,"Frs";"Activité",#N/A,FALSE,"Act";"Act_commentaires",#N/A,FALSE,"Act";"Eff_personnel",#N/A,FALSE,"Eff";"Rendement",#N/A,FALSE,"Rdt";"Péreq",#N/A,FALSE,"Péreq";"récapit_mat",#N/A,FALSE,"récap_matière";#N/A,#N/A,FALSE,"Pci";"Ing_ingrédients",#N/A,FALSE,"Ing";"pci_évolution",#N/A,FALSE,"Pci";"pci_CA",#N/A,FALSE,"Pci";"pci_amélioration",#N/A,FALSE,"Pci";"SIG_Vercel",#N/A,FALSE,"Pci";"SIG_Philipona",#N/A,FALSE,"Pci"}</definedName>
    <definedName name="ere" localSheetId="36" hidden="1">{"fr_collecte",#N/A,FALSE,"Fr_SA";"Fr_holding",#N/A,FALSE,"Fr_SA";"Frais_from",#N/A,FALSE,"Frs";"Couverture",#N/A,FALSE,"Frs";"Activité",#N/A,FALSE,"Act";"Act_commentaires",#N/A,FALSE,"Act";"Eff_personnel",#N/A,FALSE,"Eff";"Rendement",#N/A,FALSE,"Rdt";"Péreq",#N/A,FALSE,"Péreq";"récapit_mat",#N/A,FALSE,"récap_matière";#N/A,#N/A,FALSE,"Pci";"Ing_ingrédients",#N/A,FALSE,"Ing";"pci_évolution",#N/A,FALSE,"Pci";"pci_CA",#N/A,FALSE,"Pci";"pci_amélioration",#N/A,FALSE,"Pci";"SIG_Vercel",#N/A,FALSE,"Pci";"SIG_Philipona",#N/A,FALSE,"Pci"}</definedName>
    <definedName name="ere" hidden="1">{"fr_collecte",#N/A,FALSE,"Fr_SA";"Fr_holding",#N/A,FALSE,"Fr_SA";"Frais_from",#N/A,FALSE,"Frs";"Couverture",#N/A,FALSE,"Frs";"Activité",#N/A,FALSE,"Act";"Act_commentaires",#N/A,FALSE,"Act";"Eff_personnel",#N/A,FALSE,"Eff";"Rendement",#N/A,FALSE,"Rdt";"Péreq",#N/A,FALSE,"Péreq";"récapit_mat",#N/A,FALSE,"récap_matière";#N/A,#N/A,FALSE,"Pci";"Ing_ingrédients",#N/A,FALSE,"Ing";"pci_évolution",#N/A,FALSE,"Pci";"pci_CA",#N/A,FALSE,"Pci";"pci_amélioration",#N/A,FALSE,"Pci";"SIG_Vercel",#N/A,FALSE,"Pci";"SIG_Philipona",#N/A,FALSE,"Pci"}</definedName>
    <definedName name="ererer" hidden="1">#REF!</definedName>
    <definedName name="ErlmindAuslConv" localSheetId="31">#REF!</definedName>
    <definedName name="ErlmindAuslConv">#REF!</definedName>
    <definedName name="erq" localSheetId="35" hidden="1">{"'domaće količine'!$K$34:$P$47"}</definedName>
    <definedName name="erq" localSheetId="31" hidden="1">{"'domaće količine'!$K$34:$P$47"}</definedName>
    <definedName name="erq" localSheetId="37" hidden="1">{"'domaće količine'!$K$34:$P$47"}</definedName>
    <definedName name="erq" localSheetId="36" hidden="1">{"'domaće količine'!$K$34:$P$47"}</definedName>
    <definedName name="erq" hidden="1">{"'domaće količine'!$K$34:$P$47"}</definedName>
    <definedName name="erqe">#REF!</definedName>
    <definedName name="ert" localSheetId="3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" localSheetId="3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" localSheetId="37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" localSheetId="36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" localSheetId="33">#REF!</definedName>
    <definedName name="ert">#REF!</definedName>
    <definedName name="ertetq" localSheetId="3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etq" localSheetId="3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etq" localSheetId="37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etq" localSheetId="36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etq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etqe" localSheetId="3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etqe" localSheetId="3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etqe" localSheetId="37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etqe" localSheetId="36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etqe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r" localSheetId="35" hidden="1">{#N/A,#N/A,TRUE,"financial";#N/A,#N/A,TRUE,"plants"}</definedName>
    <definedName name="ertr" localSheetId="31" hidden="1">{#N/A,#N/A,TRUE,"financial";#N/A,#N/A,TRUE,"plants"}</definedName>
    <definedName name="ertr" localSheetId="37" hidden="1">{#N/A,#N/A,TRUE,"financial";#N/A,#N/A,TRUE,"plants"}</definedName>
    <definedName name="ertr" localSheetId="36" hidden="1">{#N/A,#N/A,TRUE,"financial";#N/A,#N/A,TRUE,"plants"}</definedName>
    <definedName name="ertr" hidden="1">{#N/A,#N/A,TRUE,"financial";#N/A,#N/A,TRUE,"plants"}</definedName>
    <definedName name="ertwert" localSheetId="3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wert" localSheetId="3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wert" localSheetId="37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wert" localSheetId="36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wer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wet" localSheetId="3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wet" localSheetId="3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wet" localSheetId="37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wet" localSheetId="36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we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Y" hidden="1">#REF!</definedName>
    <definedName name="ES" localSheetId="31">#REF!</definedName>
    <definedName name="ES">#REF!</definedName>
    <definedName name="es_visé" localSheetId="31">#REF!</definedName>
    <definedName name="es_visé">#REF!</definedName>
    <definedName name="EssAliasTable_10">"Default"</definedName>
    <definedName name="EssAliasTable_11">"Default"</definedName>
    <definedName name="EssAliasTable_12">"Default"</definedName>
    <definedName name="EssAliasTable_13">"Default"</definedName>
    <definedName name="EssAliasTable_14">"Default"</definedName>
    <definedName name="EssAliasTable_15">"Default"</definedName>
    <definedName name="EssAliasTable_16">"Default"</definedName>
    <definedName name="EssAliasTable_18">"Default"</definedName>
    <definedName name="EssAliasTable_20">"Default"</definedName>
    <definedName name="EssAliasTable_25">"Default"</definedName>
    <definedName name="EssAliasTable_26">"Default"</definedName>
    <definedName name="EssAliasTable_38">"Default"</definedName>
    <definedName name="EssAliasTable_39">"Default"</definedName>
    <definedName name="EssAliasTable_47">"Default"</definedName>
    <definedName name="EssAliasTable_48">"Default"</definedName>
    <definedName name="EssAliasTable_6">"Default"</definedName>
    <definedName name="EssAliasTable_7">"Default"</definedName>
    <definedName name="EssAliasTable_8">"Default"</definedName>
    <definedName name="EssAliasTable_9">"Default"</definedName>
    <definedName name="EssLatest_10">"JAN"</definedName>
    <definedName name="EssLatest_11">"JAN"</definedName>
    <definedName name="EssLatest_12">"JAN"</definedName>
    <definedName name="EssLatest_13">"JAN"</definedName>
    <definedName name="EssLatest_14">"JAN"</definedName>
    <definedName name="EssLatest_15">"JAN"</definedName>
    <definedName name="EssLatest_16">"JAN"</definedName>
    <definedName name="EssLatest_18">"JAN"</definedName>
    <definedName name="EssLatest_20">"YTDMM01"</definedName>
    <definedName name="EssLatest_25">"YTDMM01"</definedName>
    <definedName name="EssLatest_26">"YTDMM01"</definedName>
    <definedName name="EssLatest_38">"JAN"</definedName>
    <definedName name="EssLatest_39">"JAN"</definedName>
    <definedName name="EssLatest_47">"JAN"</definedName>
    <definedName name="EssLatest_48">"JAN"</definedName>
    <definedName name="EssLatest_6">"YTDMM01"</definedName>
    <definedName name="EssLatest_7">"YTDMM01"</definedName>
    <definedName name="EssLatest_8">"YTDMM01"</definedName>
    <definedName name="EssLatest_9">"JAN"</definedName>
    <definedName name="EssOptions_10">"A3000001100130001011001101020_01 00"</definedName>
    <definedName name="EssOptions_11">"A3000001100130001011001101020_01 00"</definedName>
    <definedName name="EssOptions_12">"A3000001100130001011001101020_01 00"</definedName>
    <definedName name="EssOptions_13">"A3000001100130001011001101020_01 00"</definedName>
    <definedName name="EssOptions_14">"A3000001100130001011001101020_01 00"</definedName>
    <definedName name="EssOptions_15">"A3000001100130001011001101020_01 00"</definedName>
    <definedName name="EssOptions_16">"A3000001100130001011001101020_01 00"</definedName>
    <definedName name="EssOptions_18">"A3000001100130001011001101020_01 00"</definedName>
    <definedName name="EssOptions_20">"A3100000000110001011011111020_01000"</definedName>
    <definedName name="EssOptions_25">"A3100000000130000000011100020_01000"</definedName>
    <definedName name="EssOptions_26">"A3100000000110001011011111020_01000"</definedName>
    <definedName name="EssOptions_38">"A1100000000131000011001101020_01000"</definedName>
    <definedName name="EssOptions_39">"A1100000000131000011001101020_01000"</definedName>
    <definedName name="EssOptions_47">"A1100000000131000011001101020_01000"</definedName>
    <definedName name="EssOptions_48">"A1100000000131000011001101020_01000"</definedName>
    <definedName name="EssOptions_6">"A3100000000110001011011111020_01000"</definedName>
    <definedName name="EssOptions_7">"A3100001100110001011011111020_01000"</definedName>
    <definedName name="EssOptions_8">"A3100000000110001011011111020_01000"</definedName>
    <definedName name="EssOptions_9">"A3000001100130001011001101020_01 00"</definedName>
    <definedName name="EST">#REF!</definedName>
    <definedName name="ESTEROPARAFF" localSheetId="31">#REF!</definedName>
    <definedName name="ESTEROPARAFF">#REF!</definedName>
    <definedName name="ESTEROPLAST" localSheetId="31">#REF!</definedName>
    <definedName name="ESTEROPLAST">#REF!</definedName>
    <definedName name="estim" localSheetId="31" hidden="1">#REF!</definedName>
    <definedName name="estim" hidden="1">#REF!</definedName>
    <definedName name="estimate" localSheetId="31" hidden="1">#REF!</definedName>
    <definedName name="estimate" hidden="1">#REF!</definedName>
    <definedName name="EUR" localSheetId="31">#REF!</definedName>
    <definedName name="EUR">#REF!</definedName>
    <definedName name="EUR_Bud" localSheetId="31">#REF!</definedName>
    <definedName name="EUR_Bud">#REF!</definedName>
    <definedName name="EUR_Cur" localSheetId="31">#REF!</definedName>
    <definedName name="EUR_Cur">#REF!</definedName>
    <definedName name="EUR_Cur_LY" localSheetId="31">#REF!</definedName>
    <definedName name="EUR_Cur_LY">#REF!</definedName>
    <definedName name="EUR_YTD" localSheetId="31">#REF!</definedName>
    <definedName name="EUR_YTD">#REF!</definedName>
    <definedName name="EUR_YTD_LY" localSheetId="31">#REF!</definedName>
    <definedName name="EUR_YTD_LY">#REF!</definedName>
    <definedName name="EURO" localSheetId="31">#REF!</definedName>
    <definedName name="EURO">#REF!</definedName>
    <definedName name="EX" localSheetId="31">#REF!</definedName>
    <definedName name="EX">#REF!</definedName>
    <definedName name="ExactAddinConnection" hidden="1">"900"</definedName>
    <definedName name="ExactAddinConnection.900" hidden="1">"SQL;900;sbuchelova;1"</definedName>
    <definedName name="ExactAddinReports" hidden="1">1</definedName>
    <definedName name="EXCEL" localSheetId="35" hidden="1">{"'domaće količine'!$K$34:$P$47"}</definedName>
    <definedName name="EXCEL" localSheetId="31" hidden="1">{"'domaće količine'!$K$34:$P$47"}</definedName>
    <definedName name="EXCEL" localSheetId="37" hidden="1">{"'domaće količine'!$K$34:$P$47"}</definedName>
    <definedName name="EXCEL" localSheetId="36" hidden="1">{"'domaće količine'!$K$34:$P$47"}</definedName>
    <definedName name="EXCEL" hidden="1">{"'domaće količine'!$K$34:$P$47"}</definedName>
    <definedName name="Excel_BuiltIn__FilterDatabase_10">#REF!</definedName>
    <definedName name="Excel_BuiltIn__FilterDatabase_11" localSheetId="31">#REF!</definedName>
    <definedName name="Excel_BuiltIn__FilterDatabase_11">#REF!</definedName>
    <definedName name="Excel_BuiltIn__FilterDatabase_13" localSheetId="31">#REF!</definedName>
    <definedName name="Excel_BuiltIn__FilterDatabase_13">#REF!</definedName>
    <definedName name="Excel_BuiltIn__FilterDatabase_14" localSheetId="31">#REF!</definedName>
    <definedName name="Excel_BuiltIn__FilterDatabase_14">#REF!</definedName>
    <definedName name="Excel_BuiltIn__FilterDatabase_15" localSheetId="31">#REF!</definedName>
    <definedName name="Excel_BuiltIn__FilterDatabase_15">#REF!</definedName>
    <definedName name="Excel_BuiltIn__FilterDatabase_24" localSheetId="31">#REF!</definedName>
    <definedName name="Excel_BuiltIn__FilterDatabase_24">#REF!</definedName>
    <definedName name="Excel_BuiltIn__FilterDatabase_31" localSheetId="31">#REF!</definedName>
    <definedName name="Excel_BuiltIn__FilterDatabase_31">#REF!</definedName>
    <definedName name="Excel_BuiltIn_Database" localSheetId="31">#REF!</definedName>
    <definedName name="Excel_BuiltIn_Database">#REF!</definedName>
    <definedName name="Excel_BuiltIn_Database_23" localSheetId="31">#REF!</definedName>
    <definedName name="Excel_BuiltIn_Database_23">#REF!</definedName>
    <definedName name="Excel_BuiltIn_Database_3" localSheetId="31">#REF!</definedName>
    <definedName name="Excel_BuiltIn_Database_3">#REF!</definedName>
    <definedName name="Excel_BuiltIn_Extract_19" localSheetId="31">#REF!</definedName>
    <definedName name="Excel_BuiltIn_Extract_19">#REF!</definedName>
    <definedName name="Excel_BuiltIn_Extract_20" localSheetId="31">#REF!</definedName>
    <definedName name="Excel_BuiltIn_Extract_20">#REF!</definedName>
    <definedName name="Excel_BuiltIn_Extract_21" localSheetId="31">#REF!</definedName>
    <definedName name="Excel_BuiltIn_Extract_21">#REF!</definedName>
    <definedName name="Excel_BuiltIn_Extract_24" localSheetId="31">#REF!</definedName>
    <definedName name="Excel_BuiltIn_Extract_24">#REF!</definedName>
    <definedName name="Excel_BuiltIn_Print_Titles" localSheetId="31">#REF!</definedName>
    <definedName name="Excel_BuiltIn_Print_Titles">#REF!</definedName>
    <definedName name="Excel_BuiltIn_Print_Titles_1" localSheetId="31">#REF!</definedName>
    <definedName name="Excel_BuiltIn_Print_Titles_1">#REF!</definedName>
    <definedName name="Excel_BuiltIn_Print_Titles_1_1">NA()</definedName>
    <definedName name="Excel_BuiltIn_Print_Titles_10" localSheetId="31">#REF!</definedName>
    <definedName name="Excel_BuiltIn_Print_Titles_10">#REF!</definedName>
    <definedName name="Excel_BuiltIn_Print_Titles_11" localSheetId="31">#REF!</definedName>
    <definedName name="Excel_BuiltIn_Print_Titles_11">#REF!</definedName>
    <definedName name="Excel_BuiltIn_Print_Titles_12" localSheetId="31">#REF!</definedName>
    <definedName name="Excel_BuiltIn_Print_Titles_12">#REF!</definedName>
    <definedName name="Excel_BuiltIn_Print_Titles_13" localSheetId="31">#REF!</definedName>
    <definedName name="Excel_BuiltIn_Print_Titles_13">#REF!</definedName>
    <definedName name="Excel_BuiltIn_Print_Titles_14" localSheetId="31">#REF!</definedName>
    <definedName name="Excel_BuiltIn_Print_Titles_14">#REF!</definedName>
    <definedName name="Excel_BuiltIn_Print_Titles_15" localSheetId="31">#REF!</definedName>
    <definedName name="Excel_BuiltIn_Print_Titles_15">#REF!</definedName>
    <definedName name="Excel_BuiltIn_Print_Titles_23" localSheetId="31">#REF!</definedName>
    <definedName name="Excel_BuiltIn_Print_Titles_23">#REF!</definedName>
    <definedName name="Excel_BuiltIn_Print_Titles_27">NA()</definedName>
    <definedName name="Excel_BuiltIn_Print_Titles_28">NA()</definedName>
    <definedName name="Excel_BuiltIn_Print_Titles_29" localSheetId="31">#REF!</definedName>
    <definedName name="Excel_BuiltIn_Print_Titles_29">#REF!</definedName>
    <definedName name="Excel_BuiltIn_Print_Titles_30" localSheetId="31">#REF!</definedName>
    <definedName name="Excel_BuiltIn_Print_Titles_30">#REF!</definedName>
    <definedName name="Excel_BuiltIn_Print_Titles_31" localSheetId="31">#REF!</definedName>
    <definedName name="Excel_BuiltIn_Print_Titles_31">#REF!</definedName>
    <definedName name="Excel_BuiltIn_Print_Titles_32" localSheetId="31">#REF!</definedName>
    <definedName name="Excel_BuiltIn_Print_Titles_32">#REF!</definedName>
    <definedName name="Excel_BuiltIn_Print_Titles_33">NA()</definedName>
    <definedName name="Excel_BuiltIn_Print_Titles_41">NA()</definedName>
    <definedName name="Excel_BuiltIn_Print_Titles_44">NA()</definedName>
    <definedName name="Excel_BuiltIn_Print_Titles_59">NA()</definedName>
    <definedName name="Excel_BuiltIn_Print_Titles_60">NA()</definedName>
    <definedName name="Excel_BuiltIn_Print_Titles_9" localSheetId="31">#REF!</definedName>
    <definedName name="Excel_BuiltIn_Print_Titles_9">#REF!</definedName>
    <definedName name="Excep" localSheetId="31">#REF!</definedName>
    <definedName name="Excep">#REF!</definedName>
    <definedName name="Excep_23" localSheetId="31">#REF!</definedName>
    <definedName name="Excep_23">#REF!</definedName>
    <definedName name="Excep_3" localSheetId="31">#REF!</definedName>
    <definedName name="Excep_3">#REF!</definedName>
    <definedName name="Exploitation" localSheetId="31">#REF!</definedName>
    <definedName name="Exploitation">#REF!</definedName>
    <definedName name="ExProb">#REF!</definedName>
    <definedName name="extra" localSheetId="35">#REF!</definedName>
    <definedName name="extra" localSheetId="31">#REF!</definedName>
    <definedName name="extra" localSheetId="37">#REF!</definedName>
    <definedName name="extra" localSheetId="36">#REF!</definedName>
    <definedName name="extra" localSheetId="30">#REF!</definedName>
    <definedName name="extra" localSheetId="34">#REF!</definedName>
    <definedName name="extra">#REF!</definedName>
    <definedName name="eyr" localSheetId="35" hidden="1">{"hiden",#N/A,FALSE,"14";"hidden",#N/A,FALSE,"16";"hidden",#N/A,FALSE,"18";"hidden",#N/A,FALSE,"20"}</definedName>
    <definedName name="eyr" localSheetId="31" hidden="1">{"hiden",#N/A,FALSE,"14";"hidden",#N/A,FALSE,"16";"hidden",#N/A,FALSE,"18";"hidden",#N/A,FALSE,"20"}</definedName>
    <definedName name="eyr" localSheetId="37" hidden="1">{"hiden",#N/A,FALSE,"14";"hidden",#N/A,FALSE,"16";"hidden",#N/A,FALSE,"18";"hidden",#N/A,FALSE,"20"}</definedName>
    <definedName name="eyr" localSheetId="36" hidden="1">{"hiden",#N/A,FALSE,"14";"hidden",#N/A,FALSE,"16";"hidden",#N/A,FALSE,"18";"hidden",#N/A,FALSE,"20"}</definedName>
    <definedName name="eyr" hidden="1">{"hiden",#N/A,FALSE,"14";"hidden",#N/A,FALSE,"16";"hidden",#N/A,FALSE,"18";"hidden",#N/A,FALSE,"20"}</definedName>
    <definedName name="ezfzef" localSheetId="3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zfzef" localSheetId="3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zfzef" localSheetId="37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zfzef" localSheetId="36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zfze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zrtezr" hidden="1">#REF!</definedName>
    <definedName name="ezrtrezt" localSheetId="31" hidden="1">#REF!</definedName>
    <definedName name="ezrtrezt" hidden="1">#REF!</definedName>
    <definedName name="eztezrt" localSheetId="31" hidden="1">#REF!</definedName>
    <definedName name="eztezrt" hidden="1">#REF!</definedName>
    <definedName name="f" localSheetId="31" hidden="1">#REF!</definedName>
    <definedName name="F" localSheetId="33">#REF!</definedName>
    <definedName name="F">#REF!</definedName>
    <definedName name="FAC" localSheetId="31">#REF!</definedName>
    <definedName name="FAC">#REF!</definedName>
    <definedName name="FACTOR" localSheetId="31">#REF!</definedName>
    <definedName name="FACTOR" localSheetId="33">#REF!</definedName>
    <definedName name="FACTOR">#REF!</definedName>
    <definedName name="FACTORY" localSheetId="31">#REF!</definedName>
    <definedName name="FACTORY">#REF!</definedName>
    <definedName name="Façon_volumes" localSheetId="31">#REF!</definedName>
    <definedName name="Façon_volumes">#REF!</definedName>
    <definedName name="fakhufw" localSheetId="35" hidden="1">{"'domaće količine'!$K$34:$P$47"}</definedName>
    <definedName name="fakhufw" localSheetId="31" hidden="1">{"'domaće količine'!$K$34:$P$47"}</definedName>
    <definedName name="fakhufw" localSheetId="37" hidden="1">{"'domaće količine'!$K$34:$P$47"}</definedName>
    <definedName name="fakhufw" localSheetId="36" hidden="1">{"'domaće količine'!$K$34:$P$47"}</definedName>
    <definedName name="fakhufw" hidden="1">{"'domaće količine'!$K$34:$P$47"}</definedName>
    <definedName name="FAMILY" localSheetId="31">#REF!</definedName>
    <definedName name="FAMILY">#REF!</definedName>
    <definedName name="FAMILY_23" localSheetId="31">#REF!</definedName>
    <definedName name="FAMILY_23">#REF!</definedName>
    <definedName name="famille" localSheetId="31">#REF!</definedName>
    <definedName name="famille">#REF!</definedName>
    <definedName name="FAS_TABLE_BODY">"6;1;51;6;"</definedName>
    <definedName name="FAS_TABLE_BODY_AUTOSIZE">"FALSE"</definedName>
    <definedName name="Fat">#REF!</definedName>
    <definedName name="FatActY_1" localSheetId="31">#REF!</definedName>
    <definedName name="FatActY_1">#REF!</definedName>
    <definedName name="FatButterBudNew" localSheetId="31">#REF!</definedName>
    <definedName name="FatButterBudNew">#REF!</definedName>
    <definedName name="FatButterBudOld" localSheetId="31">#REF!</definedName>
    <definedName name="FatButterBudOld">#REF!</definedName>
    <definedName name="FatButterEst" localSheetId="31">#REF!</definedName>
    <definedName name="FatButterEst">#REF!</definedName>
    <definedName name="FatCost2009" localSheetId="31">#REF!</definedName>
    <definedName name="FatCost2009">#REF!</definedName>
    <definedName name="FatCostBud08" localSheetId="31">#REF!</definedName>
    <definedName name="FatCostBud08">#REF!</definedName>
    <definedName name="FatCostEst08" localSheetId="31">#REF!</definedName>
    <definedName name="FatCostEst08">#REF!</definedName>
    <definedName name="FatCreamABudNew" localSheetId="31">#REF!</definedName>
    <definedName name="FatCreamABudNew">#REF!</definedName>
    <definedName name="FatCreamABudOld" localSheetId="31">#REF!</definedName>
    <definedName name="FatCreamABudOld">#REF!</definedName>
    <definedName name="FatCreamAEst" localSheetId="31">#REF!</definedName>
    <definedName name="FatCreamAEst">#REF!</definedName>
    <definedName name="FatCreamBBudNew" localSheetId="31">#REF!</definedName>
    <definedName name="FatCreamBBudNew">#REF!</definedName>
    <definedName name="FatCreamBBudOld" localSheetId="31">#REF!</definedName>
    <definedName name="FatCreamBBudOld">#REF!</definedName>
    <definedName name="FatCreamBEst" localSheetId="31">#REF!</definedName>
    <definedName name="FatCreamBEst">#REF!</definedName>
    <definedName name="FatEst" localSheetId="31">#REF!</definedName>
    <definedName name="FatEst">#REF!</definedName>
    <definedName name="FatNewBud" localSheetId="31">#REF!</definedName>
    <definedName name="FatNewBud">#REF!</definedName>
    <definedName name="FatOldBud" localSheetId="31">#REF!</definedName>
    <definedName name="FatOldBud">#REF!</definedName>
    <definedName name="FatSkimmedABudNew" localSheetId="31">#REF!</definedName>
    <definedName name="FatSkimmedABudNew">#REF!</definedName>
    <definedName name="Fatt" localSheetId="31">#REF!</definedName>
    <definedName name="Fatt">#REF!</definedName>
    <definedName name="FatYTD" localSheetId="31">#REF!</definedName>
    <definedName name="FatYTD">#REF!</definedName>
    <definedName name="Fax" localSheetId="31">#REF!</definedName>
    <definedName name="Fax" localSheetId="33">#REF!</definedName>
    <definedName name="Fax">#REF!</definedName>
    <definedName name="fazefzef" localSheetId="3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azefzef" localSheetId="3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azefzef" localSheetId="37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azefzef" localSheetId="36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azefze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Code" localSheetId="33" hidden="1">#REF!</definedName>
    <definedName name="FCode" hidden="1">#REF!</definedName>
    <definedName name="fd" localSheetId="35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fd" localSheetId="31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fd" localSheetId="37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fd" localSheetId="36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fd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FDDSFDSGF" localSheetId="35" hidden="1">{#N/A,#N/A,FALSE,"RIEP"}</definedName>
    <definedName name="FDDSFDSGF" localSheetId="31" hidden="1">{#N/A,#N/A,FALSE,"RIEP"}</definedName>
    <definedName name="FDDSFDSGF" localSheetId="37" hidden="1">{#N/A,#N/A,FALSE,"RIEP"}</definedName>
    <definedName name="FDDSFDSGF" localSheetId="36" hidden="1">{#N/A,#N/A,FALSE,"RIEP"}</definedName>
    <definedName name="FDDSFDSGF" hidden="1">{#N/A,#N/A,FALSE,"RIEP"}</definedName>
    <definedName name="fdhfdh" localSheetId="35" hidden="1">{"First Page",#N/A,FALSE,"Surfactants LBO";"Second Page",#N/A,FALSE,"Surfactants LBO"}</definedName>
    <definedName name="fdhfdh" localSheetId="31" hidden="1">{"First Page",#N/A,FALSE,"Surfactants LBO";"Second Page",#N/A,FALSE,"Surfactants LBO"}</definedName>
    <definedName name="fdhfdh" localSheetId="37" hidden="1">{"First Page",#N/A,FALSE,"Surfactants LBO";"Second Page",#N/A,FALSE,"Surfactants LBO"}</definedName>
    <definedName name="fdhfdh" localSheetId="36" hidden="1">{"First Page",#N/A,FALSE,"Surfactants LBO";"Second Page",#N/A,FALSE,"Surfactants LBO"}</definedName>
    <definedName name="fdhfdh" hidden="1">{"First Page",#N/A,FALSE,"Surfactants LBO";"Second Page",#N/A,FALSE,"Surfactants LBO"}</definedName>
    <definedName name="fdhfghfdh" localSheetId="35" hidden="1">{"First Page",#N/A,FALSE,"Surfactants LBO";"Second Page",#N/A,FALSE,"Surfactants LBO"}</definedName>
    <definedName name="fdhfghfdh" localSheetId="31" hidden="1">{"First Page",#N/A,FALSE,"Surfactants LBO";"Second Page",#N/A,FALSE,"Surfactants LBO"}</definedName>
    <definedName name="fdhfghfdh" localSheetId="37" hidden="1">{"First Page",#N/A,FALSE,"Surfactants LBO";"Second Page",#N/A,FALSE,"Surfactants LBO"}</definedName>
    <definedName name="fdhfghfdh" localSheetId="36" hidden="1">{"First Page",#N/A,FALSE,"Surfactants LBO";"Second Page",#N/A,FALSE,"Surfactants LBO"}</definedName>
    <definedName name="fdhfghfdh" hidden="1">{"First Page",#N/A,FALSE,"Surfactants LBO";"Second Page",#N/A,FALSE,"Surfactants LBO"}</definedName>
    <definedName name="fds" localSheetId="35" hidden="1">{"QQQ",#N/A,FALSE,"RIEP"}</definedName>
    <definedName name="fds" localSheetId="31" hidden="1">{"QQQ",#N/A,FALSE,"RIEP"}</definedName>
    <definedName name="fds" localSheetId="37" hidden="1">{"QQQ",#N/A,FALSE,"RIEP"}</definedName>
    <definedName name="fds" localSheetId="36" hidden="1">{"QQQ",#N/A,FALSE,"RIEP"}</definedName>
    <definedName name="fds" hidden="1">{"QQQ",#N/A,FALSE,"RIEP"}</definedName>
    <definedName name="fdsagfdg" localSheetId="35" hidden="1">{#N/A,#N/A,FALSE,"RIEP"}</definedName>
    <definedName name="fdsagfdg" localSheetId="31" hidden="1">{#N/A,#N/A,FALSE,"RIEP"}</definedName>
    <definedName name="fdsagfdg" localSheetId="37" hidden="1">{#N/A,#N/A,FALSE,"RIEP"}</definedName>
    <definedName name="fdsagfdg" localSheetId="36" hidden="1">{#N/A,#N/A,FALSE,"RIEP"}</definedName>
    <definedName name="fdsagfdg" hidden="1">{#N/A,#N/A,FALSE,"RIEP"}</definedName>
    <definedName name="fdsdsgfsggd" localSheetId="35" hidden="1">{#N/A,#N/A,FALSE,"DIVISION";#N/A,#N/A,FALSE,"ED CAT";#N/A,#N/A,FALSE,"ED CAREL";#N/A,#N/A,FALSE,"ED JORT";#N/A,#N/A,FALSE,"ED VEYS";#N/A,#N/A,FALSE,"ED ORBEC";#N/A,#N/A,FALSE,"ED CLECY"}</definedName>
    <definedName name="fdsdsgfsggd" localSheetId="31" hidden="1">{#N/A,#N/A,FALSE,"DIVISION";#N/A,#N/A,FALSE,"ED CAT";#N/A,#N/A,FALSE,"ED CAREL";#N/A,#N/A,FALSE,"ED JORT";#N/A,#N/A,FALSE,"ED VEYS";#N/A,#N/A,FALSE,"ED ORBEC";#N/A,#N/A,FALSE,"ED CLECY"}</definedName>
    <definedName name="fdsdsgfsggd" localSheetId="37" hidden="1">{#N/A,#N/A,FALSE,"DIVISION";#N/A,#N/A,FALSE,"ED CAT";#N/A,#N/A,FALSE,"ED CAREL";#N/A,#N/A,FALSE,"ED JORT";#N/A,#N/A,FALSE,"ED VEYS";#N/A,#N/A,FALSE,"ED ORBEC";#N/A,#N/A,FALSE,"ED CLECY"}</definedName>
    <definedName name="fdsdsgfsggd" localSheetId="36" hidden="1">{#N/A,#N/A,FALSE,"DIVISION";#N/A,#N/A,FALSE,"ED CAT";#N/A,#N/A,FALSE,"ED CAREL";#N/A,#N/A,FALSE,"ED JORT";#N/A,#N/A,FALSE,"ED VEYS";#N/A,#N/A,FALSE,"ED ORBEC";#N/A,#N/A,FALSE,"ED CLECY"}</definedName>
    <definedName name="fdsdsgfsggd" hidden="1">{#N/A,#N/A,FALSE,"DIVISION";#N/A,#N/A,FALSE,"ED CAT";#N/A,#N/A,FALSE,"ED CAREL";#N/A,#N/A,FALSE,"ED JORT";#N/A,#N/A,FALSE,"ED VEYS";#N/A,#N/A,FALSE,"ED ORBEC";#N/A,#N/A,FALSE,"ED CLECY"}</definedName>
    <definedName name="fdzfzefzef" localSheetId="3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dzfzefzef" localSheetId="3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dzfzefzef" localSheetId="37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dzfzefzef" localSheetId="36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dzfzefze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eazefzaef" localSheetId="3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eazefzaef" localSheetId="3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eazefzaef" localSheetId="37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eazefzaef" localSheetId="36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eazefzae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ebruary" localSheetId="33">#REF!</definedName>
    <definedName name="February">#REF!</definedName>
    <definedName name="fere" localSheetId="3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ere" localSheetId="3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ere" localSheetId="37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ere" localSheetId="36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ere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ertigungsart" localSheetId="33">#REF!</definedName>
    <definedName name="Fertigungsart">#REF!</definedName>
    <definedName name="ferw" localSheetId="3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erw" localSheetId="3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erw" localSheetId="37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erw" localSheetId="36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erw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f" localSheetId="35" hidden="1">{#N/A,#N/A,FALSE,"RIEP"}</definedName>
    <definedName name="ff" localSheetId="31" hidden="1">{#N/A,#N/A,FALSE,"RIEP"}</definedName>
    <definedName name="ff" localSheetId="37" hidden="1">{#N/A,#N/A,FALSE,"RIEP"}</definedName>
    <definedName name="ff" localSheetId="36" hidden="1">{#N/A,#N/A,FALSE,"RIEP"}</definedName>
    <definedName name="ff" hidden="1">{#N/A,#N/A,FALSE,"RIEP"}</definedName>
    <definedName name="FFF">#REF!</definedName>
    <definedName name="ffff" localSheetId="3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fff" localSheetId="3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fff" localSheetId="37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fff" localSheetId="36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ff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fffff" localSheetId="33">#REF!</definedName>
    <definedName name="ffffff">#REF!</definedName>
    <definedName name="ffffffffff" localSheetId="35" hidden="1">{"QQQ",#N/A,FALSE,"RIEP"}</definedName>
    <definedName name="ffffffffff" localSheetId="31" hidden="1">{"QQQ",#N/A,FALSE,"RIEP"}</definedName>
    <definedName name="ffffffffff" localSheetId="37" hidden="1">{"QQQ",#N/A,FALSE,"RIEP"}</definedName>
    <definedName name="ffffffffff" localSheetId="36" hidden="1">{"QQQ",#N/A,FALSE,"RIEP"}</definedName>
    <definedName name="ffffffffff" hidden="1">{"QQQ",#N/A,FALSE,"RIEP"}</definedName>
    <definedName name="FFST">"BRSUM FFST"</definedName>
    <definedName name="fg" localSheetId="35" hidden="1">{#N/A,#N/A,FALSE,"RIEP"}</definedName>
    <definedName name="fg" localSheetId="31" hidden="1">{#N/A,#N/A,FALSE,"RIEP"}</definedName>
    <definedName name="fg" localSheetId="37" hidden="1">{#N/A,#N/A,FALSE,"RIEP"}</definedName>
    <definedName name="fg" localSheetId="36" hidden="1">{#N/A,#N/A,FALSE,"RIEP"}</definedName>
    <definedName name="fg" hidden="1">{#N/A,#N/A,FALSE,"RIEP"}</definedName>
    <definedName name="fgf" hidden="1">#REF!</definedName>
    <definedName name="fgffg" localSheetId="35" hidden="1">{#N/A,#N/A,FALSE,"RIEP"}</definedName>
    <definedName name="fgffg" localSheetId="31" hidden="1">{#N/A,#N/A,FALSE,"RIEP"}</definedName>
    <definedName name="fgffg" localSheetId="37" hidden="1">{#N/A,#N/A,FALSE,"RIEP"}</definedName>
    <definedName name="fgffg" localSheetId="36" hidden="1">{#N/A,#N/A,FALSE,"RIEP"}</definedName>
    <definedName name="fgffg" hidden="1">{#N/A,#N/A,FALSE,"RIEP"}</definedName>
    <definedName name="FGService" localSheetId="35">#REF!</definedName>
    <definedName name="FGService" localSheetId="37">#REF!</definedName>
    <definedName name="FGService" localSheetId="36">#REF!</definedName>
    <definedName name="FGService" localSheetId="30">#REF!</definedName>
    <definedName name="FGService" localSheetId="34">#REF!</definedName>
    <definedName name="FGService">#REF!</definedName>
    <definedName name="FIN" localSheetId="31">#REF!</definedName>
    <definedName name="FIN">#REF!</definedName>
    <definedName name="FiltroDati_BS">#N/A</definedName>
    <definedName name="FiltroDati_Country">#N/A</definedName>
    <definedName name="FiltroDati_Country1">#N/A</definedName>
    <definedName name="FiltroDati_month">#N/A</definedName>
    <definedName name="FiltroDati_Prodotto">#N/A</definedName>
    <definedName name="FL" localSheetId="4">IF(ISERROR(FIND("PE薄膜",V_12)),IF(ISERROR(FIND("牛皮",V_12)),"其他","包装材料_包装箱体"),"包装材料_PE")</definedName>
    <definedName name="FL" localSheetId="35">IF(ISERROR(FIND("PE薄膜",V_12)),IF(ISERROR(FIND("牛皮",V_12)),"其他","包装材料_包装箱体"),"包装材料_PE")</definedName>
    <definedName name="FL" localSheetId="31">IF(ISERROR(FIND("PE薄膜",V_12)),IF(ISERROR(FIND("牛皮",V_12)),"其他","包装材料_包装箱体"),"包装材料_PE")</definedName>
    <definedName name="FL" localSheetId="37">IF(ISERROR(FIND("PE薄膜",V_12)),IF(ISERROR(FIND("牛皮",V_12)),"其他","包装材料_包装箱体"),"包装材料_PE")</definedName>
    <definedName name="FL" localSheetId="38">IF(ISERROR(FIND("PE薄膜",V_12)),IF(ISERROR(FIND("牛皮",V_12)),"其他","包装材料_包装箱体"),"包装材料_PE")</definedName>
    <definedName name="FL" localSheetId="7">IF(ISERROR(FIND("PE薄膜",V_12)),IF(ISERROR(FIND("牛皮",V_12)),"其他","包装材料_包装箱体"),"包装材料_PE")</definedName>
    <definedName name="FL" localSheetId="36">IF(ISERROR(FIND("PE薄膜",V_12)),IF(ISERROR(FIND("牛皮",V_12)),"其他","包装材料_包装箱体"),"包装材料_PE")</definedName>
    <definedName name="FL" localSheetId="21">IF(ISERROR(FIND("PE薄膜",V_12)),IF(ISERROR(FIND("牛皮",V_12)),"其他","包装材料_包装箱体"),"包装材料_PE")</definedName>
    <definedName name="FL" localSheetId="30">IF(ISERROR(FIND("PE薄膜",V_12)),IF(ISERROR(FIND("牛皮",V_12)),"其他","包装材料_包装箱体"),"包装材料_PE")</definedName>
    <definedName name="FL" localSheetId="34">IF(ISERROR(FIND("PE薄膜",V_12)),IF(ISERROR(FIND("牛皮",V_12)),"其他","包装材料_包装箱体"),"包装材料_PE")</definedName>
    <definedName name="FL" localSheetId="33">IF(ISERROR(FIND("PE薄膜",V_12)),IF(ISERROR(FIND("牛皮",V_12)),"其他","包装材料_包装箱体"),"包装材料_PE")</definedName>
    <definedName name="FL" localSheetId="6">IF(ISERROR(FIND("PE薄膜",V_12)),IF(ISERROR(FIND("牛皮",V_12)),"其他","包装材料_包装箱体"),"包装材料_PE")</definedName>
    <definedName name="FL">IF(ISERROR(FIND("PE薄膜",V_12)),IF(ISERROR(FIND("牛皮",V_12)),"其他","包装材料_包装箱体"),"包装材料_PE")</definedName>
    <definedName name="For">#REF!</definedName>
    <definedName name="forcomp" localSheetId="31">#REF!</definedName>
    <definedName name="forcomp">#REF!</definedName>
    <definedName name="Forecast">#REF!</definedName>
    <definedName name="FORKLAR" localSheetId="31">#REF!</definedName>
    <definedName name="FORKLAR">#REF!</definedName>
    <definedName name="Form" localSheetId="31">#REF!</definedName>
    <definedName name="Form">#REF!</definedName>
    <definedName name="formule" localSheetId="31">#REF!</definedName>
    <definedName name="formule">#REF!</definedName>
    <definedName name="formules" localSheetId="31">#REF!</definedName>
    <definedName name="formules">#REF!</definedName>
    <definedName name="FRAIS" localSheetId="31">#REF!</definedName>
    <definedName name="FRAIS">#REF!</definedName>
    <definedName name="FRAIS1" localSheetId="31">#REF!</definedName>
    <definedName name="FRAIS1">#REF!</definedName>
    <definedName name="FRAIS10" localSheetId="31">#REF!</definedName>
    <definedName name="FRAIS10">#REF!</definedName>
    <definedName name="FRAIS11" localSheetId="31">#REF!</definedName>
    <definedName name="FRAIS11">#REF!</definedName>
    <definedName name="FRAIS12" localSheetId="31">#REF!</definedName>
    <definedName name="FRAIS12">#REF!</definedName>
    <definedName name="FRAIS2" localSheetId="31">#REF!</definedName>
    <definedName name="FRAIS2">#REF!</definedName>
    <definedName name="FRAIS3" localSheetId="31">#REF!</definedName>
    <definedName name="FRAIS3">#REF!</definedName>
    <definedName name="FRAIS4" localSheetId="31">#REF!</definedName>
    <definedName name="FRAIS4">#REF!</definedName>
    <definedName name="FRAIS5" localSheetId="31">#REF!</definedName>
    <definedName name="FRAIS5">#REF!</definedName>
    <definedName name="FRAIS6" localSheetId="31">#REF!</definedName>
    <definedName name="FRAIS6">#REF!</definedName>
    <definedName name="FRAIS7" localSheetId="31">#REF!</definedName>
    <definedName name="FRAIS7">#REF!</definedName>
    <definedName name="FRAIS8" localSheetId="31">#REF!</definedName>
    <definedName name="FRAIS8">#REF!</definedName>
    <definedName name="FRAIS9" localSheetId="31">#REF!</definedName>
    <definedName name="FRAIS9">#REF!</definedName>
    <definedName name="FSDFSDF" localSheetId="31" hidden="1">#REF!</definedName>
    <definedName name="FSDFSDF" hidden="1">#REF!</definedName>
    <definedName name="FSDG" localSheetId="35" hidden="1">{#N/A,#N/A,FALSE,"RIEP"}</definedName>
    <definedName name="FSDG" localSheetId="31" hidden="1">{#N/A,#N/A,FALSE,"RIEP"}</definedName>
    <definedName name="FSDG" localSheetId="37" hidden="1">{#N/A,#N/A,FALSE,"RIEP"}</definedName>
    <definedName name="FSDG" localSheetId="36" hidden="1">{#N/A,#N/A,FALSE,"RIEP"}</definedName>
    <definedName name="FSDG" hidden="1">{#N/A,#N/A,FALSE,"RIEP"}</definedName>
    <definedName name="fterearez" localSheetId="3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terearez" localSheetId="3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terearez" localSheetId="37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terearez" localSheetId="36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tereare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X">#REF!</definedName>
    <definedName name="fzfzfef" localSheetId="3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zfzfef" localSheetId="3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zfzfef" localSheetId="37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zfzfef" localSheetId="36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zfzfe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" localSheetId="35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" localSheetId="31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" localSheetId="37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" localSheetId="36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" localSheetId="33">#REF!</definedName>
    <definedName name="G">#REF!</definedName>
    <definedName name="G_ME" localSheetId="33">#REF!</definedName>
    <definedName name="G_ME">#REF!</definedName>
    <definedName name="Galbani" localSheetId="31">#REF!</definedName>
    <definedName name="Galbani">#REF!</definedName>
    <definedName name="GBP" localSheetId="31">#REF!</definedName>
    <definedName name="GBP">#REF!</definedName>
    <definedName name="GebindeCoop" localSheetId="31">#REF!</definedName>
    <definedName name="GebindeCoop">#REF!</definedName>
    <definedName name="GebindeMig" localSheetId="31">#REF!</definedName>
    <definedName name="GebindeMig">#REF!</definedName>
    <definedName name="gegege" localSheetId="3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egege" localSheetId="3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egege" localSheetId="37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egege" localSheetId="36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egege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elb">"Ellipse 245"</definedName>
    <definedName name="Gestion">#REF!</definedName>
    <definedName name="GF" localSheetId="31" hidden="1">#REF!</definedName>
    <definedName name="GF" hidden="1">#REF!</definedName>
    <definedName name="gfbgf" localSheetId="35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fbgf" localSheetId="3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fbgf" localSheetId="37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fbgf" localSheetId="36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fbgf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fga" hidden="1">#REF!</definedName>
    <definedName name="gfhkkmh" localSheetId="35" hidden="1">{#N/A,#N/A,FALSE,"RIEP"}</definedName>
    <definedName name="gfhkkmh" localSheetId="31" hidden="1">{#N/A,#N/A,FALSE,"RIEP"}</definedName>
    <definedName name="gfhkkmh" localSheetId="37" hidden="1">{#N/A,#N/A,FALSE,"RIEP"}</definedName>
    <definedName name="gfhkkmh" localSheetId="36" hidden="1">{#N/A,#N/A,FALSE,"RIEP"}</definedName>
    <definedName name="gfhkkmh" hidden="1">{#N/A,#N/A,FALSE,"RIEP"}</definedName>
    <definedName name="GG" hidden="1">#REF!</definedName>
    <definedName name="ggf" localSheetId="35" hidden="1">{"comps",#N/A,FALSE,"comps";"notes",#N/A,FALSE,"comps"}</definedName>
    <definedName name="ggf" localSheetId="31" hidden="1">{"comps",#N/A,FALSE,"comps";"notes",#N/A,FALSE,"comps"}</definedName>
    <definedName name="ggf" localSheetId="37" hidden="1">{"comps",#N/A,FALSE,"comps";"notes",#N/A,FALSE,"comps"}</definedName>
    <definedName name="ggf" localSheetId="36" hidden="1">{"comps",#N/A,FALSE,"comps";"notes",#N/A,FALSE,"comps"}</definedName>
    <definedName name="ggf" hidden="1">{"comps",#N/A,FALSE,"comps";"notes",#N/A,FALSE,"comps"}</definedName>
    <definedName name="GGG">#REF!</definedName>
    <definedName name="GGGG" localSheetId="35" hidden="1">{"SPM1",#N/A,FALSE,"RIEP"}</definedName>
    <definedName name="GGGG" localSheetId="31" hidden="1">{"SPM1",#N/A,FALSE,"RIEP"}</definedName>
    <definedName name="GGGG" localSheetId="37" hidden="1">{"SPM1",#N/A,FALSE,"RIEP"}</definedName>
    <definedName name="GGGG" localSheetId="36" hidden="1">{"SPM1",#N/A,FALSE,"RIEP"}</definedName>
    <definedName name="GGGG" hidden="1">{"SPM1",#N/A,FALSE,"RIEP"}</definedName>
    <definedName name="ggggg" localSheetId="3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gggg" localSheetId="3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gggg" localSheetId="37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gggg" localSheetId="36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gggg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gggggggggg" localSheetId="35" hidden="1">{"QQQ",#N/A,FALSE,"RIEP"}</definedName>
    <definedName name="ggggggggggg" localSheetId="31" hidden="1">{"QQQ",#N/A,FALSE,"RIEP"}</definedName>
    <definedName name="ggggggggggg" localSheetId="37" hidden="1">{"QQQ",#N/A,FALSE,"RIEP"}</definedName>
    <definedName name="ggggggggggg" localSheetId="36" hidden="1">{"QQQ",#N/A,FALSE,"RIEP"}</definedName>
    <definedName name="ggggggggggg" hidden="1">{"QQQ",#N/A,FALSE,"RIEP"}</definedName>
    <definedName name="GHJ" localSheetId="35" hidden="1">{"SPM1",#N/A,FALSE,"RIEP"}</definedName>
    <definedName name="GHJ" localSheetId="31" hidden="1">{"SPM1",#N/A,FALSE,"RIEP"}</definedName>
    <definedName name="GHJ" localSheetId="37" hidden="1">{"SPM1",#N/A,FALSE,"RIEP"}</definedName>
    <definedName name="GHJ" localSheetId="36" hidden="1">{"SPM1",#N/A,FALSE,"RIEP"}</definedName>
    <definedName name="GHJ" hidden="1">{"SPM1",#N/A,FALSE,"RIEP"}</definedName>
    <definedName name="GIAVLIEUTN" localSheetId="33">#REF!</definedName>
    <definedName name="GIAVLIEUTN">#REF!</definedName>
    <definedName name="gia" localSheetId="31">#REF!</definedName>
    <definedName name="gia" localSheetId="33">#REF!</definedName>
    <definedName name="gia">#REF!</definedName>
    <definedName name="Gia_CT" localSheetId="31">#REF!</definedName>
    <definedName name="Gia_CT" localSheetId="33">#REF!</definedName>
    <definedName name="Gia_CT">#REF!</definedName>
    <definedName name="gia_tien" localSheetId="31">#REF!</definedName>
    <definedName name="gia_tien" localSheetId="33">#REF!</definedName>
    <definedName name="gia_tien">#REF!</definedName>
    <definedName name="gia_tien_BTN" localSheetId="31">#REF!</definedName>
    <definedName name="gia_tien_BTN" localSheetId="33">#REF!</definedName>
    <definedName name="gia_tien_BTN">#REF!</definedName>
    <definedName name="Gia_VT" localSheetId="31">#REF!</definedName>
    <definedName name="Gia_VT" localSheetId="33">#REF!</definedName>
    <definedName name="Gia_VT">#REF!</definedName>
    <definedName name="Giocong" localSheetId="31">#REF!</definedName>
    <definedName name="Giocong" localSheetId="33">#REF!</definedName>
    <definedName name="Giocong">#REF!</definedName>
    <definedName name="gl3p" localSheetId="31">#REF!</definedName>
    <definedName name="gl3p" localSheetId="33">#REF!</definedName>
    <definedName name="gl3p">#REF!</definedName>
    <definedName name="Goodrich" localSheetId="35" hidden="1">{"comp1",#N/A,FALSE,"COMPS";"footnotes",#N/A,FALSE,"COMPS"}</definedName>
    <definedName name="Goodrich" localSheetId="31" hidden="1">{"comp1",#N/A,FALSE,"COMPS";"footnotes",#N/A,FALSE,"COMPS"}</definedName>
    <definedName name="Goodrich" localSheetId="37" hidden="1">{"comp1",#N/A,FALSE,"COMPS";"footnotes",#N/A,FALSE,"COMPS"}</definedName>
    <definedName name="Goodrich" localSheetId="36" hidden="1">{"comp1",#N/A,FALSE,"COMPS";"footnotes",#N/A,FALSE,"COMPS"}</definedName>
    <definedName name="Goodrich" hidden="1">{"comp1",#N/A,FALSE,"COMPS";"footnotes",#N/A,FALSE,"COMPS"}</definedName>
    <definedName name="goud_ecartKG">#REF!</definedName>
    <definedName name="gövde" localSheetId="31">#REF!</definedName>
    <definedName name="gövde">#REF!</definedName>
    <definedName name="graphpa" localSheetId="31">#REF!</definedName>
    <definedName name="graphpa">#REF!</definedName>
    <definedName name="GROSS" localSheetId="31">#REF!</definedName>
    <definedName name="GROSS" localSheetId="33">#REF!</definedName>
    <definedName name="GROSS">#REF!</definedName>
    <definedName name="GROUP" localSheetId="31">#REF!</definedName>
    <definedName name="GROUP" localSheetId="33">#REF!</definedName>
    <definedName name="GROUP">#REF!</definedName>
    <definedName name="grün">"Ellipse 246"</definedName>
    <definedName name="GS">#REF!</definedName>
    <definedName name="gsdgsd" localSheetId="3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sdgsd" localSheetId="3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sdgsd" localSheetId="37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sdgsd" localSheetId="36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sdgsd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T" localSheetId="33">#REF!</definedName>
    <definedName name="GT">#REF!</definedName>
    <definedName name="gtrgtrg" localSheetId="3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trgtrg" localSheetId="3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trgtrg" localSheetId="37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trgtrg" localSheetId="36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trgtrg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trztrgr" localSheetId="3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trztrgr" localSheetId="3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trztrgr" localSheetId="37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trztrgr" localSheetId="36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trztrg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TXL" localSheetId="33">#REF!</definedName>
    <definedName name="GTXL">#REF!</definedName>
    <definedName name="gzgtzgz" localSheetId="3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gtzgz" localSheetId="3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gtzgz" localSheetId="37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gtzgz" localSheetId="36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gtzg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gzgz" localSheetId="3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gzgz" localSheetId="3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gzgz" localSheetId="37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gzgz" localSheetId="36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gzg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gzgzgt" localSheetId="3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gzgzgt" localSheetId="3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gzgzgt" localSheetId="37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gzgzgt" localSheetId="36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gzgzg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tgrtrg" localSheetId="3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tgrtrg" localSheetId="3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tgrtrg" localSheetId="37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tgrtrg" localSheetId="36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tgrtrg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tgzgt" localSheetId="3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tgzgt" localSheetId="3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tgzgt" localSheetId="37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tgzgt" localSheetId="36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tgzg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h" localSheetId="33">#REF!</definedName>
    <definedName name="h">#REF!</definedName>
    <definedName name="H_THUCHTHH" localSheetId="31">#REF!</definedName>
    <definedName name="H_THUCHTHH" localSheetId="33">#REF!</definedName>
    <definedName name="H_THUCHTHH">#REF!</definedName>
    <definedName name="H_THUCTT" localSheetId="31">#REF!</definedName>
    <definedName name="H_THUCTT" localSheetId="33">#REF!</definedName>
    <definedName name="H_THUCTT">#REF!</definedName>
    <definedName name="HAUT_PAGE_COMM" localSheetId="31">#REF!</definedName>
    <definedName name="HAUT_PAGE_COMM">#REF!</definedName>
    <definedName name="hbhajx" localSheetId="35" hidden="1">{"SPM1",#N/A,FALSE,"RIEP"}</definedName>
    <definedName name="hbhajx" localSheetId="31" hidden="1">{"SPM1",#N/A,FALSE,"RIEP"}</definedName>
    <definedName name="hbhajx" localSheetId="37" hidden="1">{"SPM1",#N/A,FALSE,"RIEP"}</definedName>
    <definedName name="hbhajx" localSheetId="36" hidden="1">{"SPM1",#N/A,FALSE,"RIEP"}</definedName>
    <definedName name="hbhajx" hidden="1">{"SPM1",#N/A,FALSE,"RIEP"}</definedName>
    <definedName name="Heä_soá_laép_xaø_H">1.7</definedName>
    <definedName name="heä_soá_sình_laày" localSheetId="33">#REF!</definedName>
    <definedName name="heä_soá_sình_laày">#REF!</definedName>
    <definedName name="help" localSheetId="35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help" localSheetId="3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help" localSheetId="37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help" localSheetId="36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help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hfderfPOURE" localSheetId="35" hidden="1">{#N/A,#N/A,FALSE,"RIEP"}</definedName>
    <definedName name="hfderfPOURE" localSheetId="31" hidden="1">{#N/A,#N/A,FALSE,"RIEP"}</definedName>
    <definedName name="hfderfPOURE" localSheetId="37" hidden="1">{#N/A,#N/A,FALSE,"RIEP"}</definedName>
    <definedName name="hfderfPOURE" localSheetId="36" hidden="1">{#N/A,#N/A,FALSE,"RIEP"}</definedName>
    <definedName name="hfderfPOURE" hidden="1">{#N/A,#N/A,FALSE,"RIEP"}</definedName>
    <definedName name="hfg">#REF!</definedName>
    <definedName name="hfhfth" localSheetId="3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hfhfth" localSheetId="3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hfhfth" localSheetId="37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hfhfth" localSheetId="36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hfhfth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hfi" localSheetId="35">#REF!</definedName>
    <definedName name="hfi" localSheetId="37">#REF!</definedName>
    <definedName name="hfi" localSheetId="36">#REF!</definedName>
    <definedName name="hfi" localSheetId="30">#REF!</definedName>
    <definedName name="hfi" localSheetId="34">#REF!</definedName>
    <definedName name="hfi">#REF!</definedName>
    <definedName name="hg" localSheetId="35" hidden="1">{"QQQ",#N/A,FALSE,"RIEP"}</definedName>
    <definedName name="hg" localSheetId="31" hidden="1">{"QQQ",#N/A,FALSE,"RIEP"}</definedName>
    <definedName name="hg" localSheetId="37" hidden="1">{"QQQ",#N/A,FALSE,"RIEP"}</definedName>
    <definedName name="hg" localSheetId="36" hidden="1">{"QQQ",#N/A,FALSE,"RIEP"}</definedName>
    <definedName name="hg" hidden="1">{"QQQ",#N/A,FALSE,"RIEP"}</definedName>
    <definedName name="hhfxhxfh" localSheetId="3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hhfxhxfh" localSheetId="3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hhfxhxfh" localSheetId="37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hhfxhxfh" localSheetId="36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hhfxhxfh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hhhh" localSheetId="35" hidden="1">{"QQQ",#N/A,FALSE,"RIEP"}</definedName>
    <definedName name="hhhh" localSheetId="31" hidden="1">{"QQQ",#N/A,FALSE,"RIEP"}</definedName>
    <definedName name="hhhh" localSheetId="37" hidden="1">{"QQQ",#N/A,FALSE,"RIEP"}</definedName>
    <definedName name="hhhh" localSheetId="36" hidden="1">{"QQQ",#N/A,FALSE,"RIEP"}</definedName>
    <definedName name="hhhh" hidden="1">{"QQQ",#N/A,FALSE,"RIEP"}</definedName>
    <definedName name="hhhhhhh" localSheetId="35" hidden="1">{"SPM1",#N/A,FALSE,"RIEP"}</definedName>
    <definedName name="hhhhhhh" localSheetId="31" hidden="1">{"SPM1",#N/A,FALSE,"RIEP"}</definedName>
    <definedName name="hhhhhhh" localSheetId="37" hidden="1">{"SPM1",#N/A,FALSE,"RIEP"}</definedName>
    <definedName name="hhhhhhh" localSheetId="36" hidden="1">{"SPM1",#N/A,FALSE,"RIEP"}</definedName>
    <definedName name="hhhhhhh" hidden="1">{"SPM1",#N/A,FALSE,"RIEP"}</definedName>
    <definedName name="hhhhhhhhhhhhhhhhhhhhhhhhh" localSheetId="35" hidden="1">{#N/A,#N/A,FALSE,"RIEP"}</definedName>
    <definedName name="hhhhhhhhhhhhhhhhhhhhhhhhh" localSheetId="31" hidden="1">{#N/A,#N/A,FALSE,"RIEP"}</definedName>
    <definedName name="hhhhhhhhhhhhhhhhhhhhhhhhh" localSheetId="37" hidden="1">{#N/A,#N/A,FALSE,"RIEP"}</definedName>
    <definedName name="hhhhhhhhhhhhhhhhhhhhhhhhh" localSheetId="36" hidden="1">{#N/A,#N/A,FALSE,"RIEP"}</definedName>
    <definedName name="hhhhhhhhhhhhhhhhhhhhhhhhh" hidden="1">{#N/A,#N/A,FALSE,"RIEP"}</definedName>
    <definedName name="hhhsdf" localSheetId="35" hidden="1">{"up stand alones",#N/A,FALSE,"Acquiror"}</definedName>
    <definedName name="hhhsdf" localSheetId="31" hidden="1">{"up stand alones",#N/A,FALSE,"Acquiror"}</definedName>
    <definedName name="hhhsdf" localSheetId="37" hidden="1">{"up stand alones",#N/A,FALSE,"Acquiror"}</definedName>
    <definedName name="hhhsdf" localSheetId="36" hidden="1">{"up stand alones",#N/A,FALSE,"Acquiror"}</definedName>
    <definedName name="hhhsdf" hidden="1">{"up stand alones",#N/A,FALSE,"Acquiror"}</definedName>
    <definedName name="HHTT" localSheetId="33">#REF!</definedName>
    <definedName name="HHTT">#REF!</definedName>
    <definedName name="HIEU" localSheetId="4" hidden="1">{"'Sheet1'!$L$16"}</definedName>
    <definedName name="HIEU" localSheetId="35" hidden="1">{"'Sheet1'!$L$16"}</definedName>
    <definedName name="HIEU" localSheetId="31" hidden="1">{"'Sheet1'!$L$16"}</definedName>
    <definedName name="HIEU" localSheetId="37" hidden="1">{"'Sheet1'!$L$16"}</definedName>
    <definedName name="HIEU" localSheetId="38" hidden="1">{"'Sheet1'!$L$16"}</definedName>
    <definedName name="HIEU" localSheetId="7" hidden="1">{"'Sheet1'!$L$16"}</definedName>
    <definedName name="HIEU" localSheetId="36" hidden="1">{"'Sheet1'!$L$16"}</definedName>
    <definedName name="HIEU" localSheetId="21" hidden="1">{"'Sheet1'!$L$16"}</definedName>
    <definedName name="HIEU" localSheetId="30" hidden="1">{"'Sheet1'!$L$16"}</definedName>
    <definedName name="HIEU" localSheetId="34" hidden="1">{"'Sheet1'!$L$16"}</definedName>
    <definedName name="HIEU" localSheetId="33" hidden="1">{"'Sheet1'!$L$16"}</definedName>
    <definedName name="HIEU" localSheetId="6" hidden="1">{"'Sheet1'!$L$16"}</definedName>
    <definedName name="HIEU" hidden="1">{"'Sheet1'!$L$16"}</definedName>
    <definedName name="HiddenRows" localSheetId="33" hidden="1">#REF!</definedName>
    <definedName name="HiddenRows" hidden="1">#REF!</definedName>
    <definedName name="hien" localSheetId="31">#REF!</definedName>
    <definedName name="hien" localSheetId="33">#REF!</definedName>
    <definedName name="hien">#REF!</definedName>
    <definedName name="Hinh_thuc">"bangtra"</definedName>
    <definedName name="HOME_MANP" localSheetId="33">#REF!</definedName>
    <definedName name="HOME_MANP">#REF!</definedName>
    <definedName name="HOMEOFFICE_COST" localSheetId="31">#REF!</definedName>
    <definedName name="HOMEOFFICE_COST" localSheetId="33">#REF!</definedName>
    <definedName name="HOMEOFFICE_COST">#REF!</definedName>
    <definedName name="hoten" localSheetId="31">#REF!</definedName>
    <definedName name="hoten" localSheetId="33">#REF!</definedName>
    <definedName name="hoten">#REF!</definedName>
    <definedName name="Hoü_vaì_tãn" localSheetId="31">#REF!</definedName>
    <definedName name="Hoü_vaì_tãn" localSheetId="33">#REF!</definedName>
    <definedName name="Hoü_vaì_tãn">#REF!</definedName>
    <definedName name="HP" localSheetId="35">#REF!</definedName>
    <definedName name="HP" localSheetId="31">#REF!</definedName>
    <definedName name="HP" localSheetId="37">#REF!</definedName>
    <definedName name="HP" localSheetId="36">#REF!</definedName>
    <definedName name="HP" localSheetId="30">#REF!</definedName>
    <definedName name="HP" localSheetId="34">#REF!</definedName>
    <definedName name="HP">#REF!</definedName>
    <definedName name="HRM" localSheetId="31">#REF!</definedName>
    <definedName name="HRM">#REF!</definedName>
    <definedName name="HSCT3">0.1</definedName>
    <definedName name="hsdc" localSheetId="33">#REF!</definedName>
    <definedName name="hsdc">#REF!</definedName>
    <definedName name="hsdc1" localSheetId="31">#REF!</definedName>
    <definedName name="hsdc1" localSheetId="33">#REF!</definedName>
    <definedName name="hsdc1">#REF!</definedName>
    <definedName name="HSDN" localSheetId="31">#REF!</definedName>
    <definedName name="HSDN" localSheetId="33">#REF!</definedName>
    <definedName name="HSDN">#REF!</definedName>
    <definedName name="HSHH" localSheetId="31">#REF!</definedName>
    <definedName name="HSHH" localSheetId="33">#REF!</definedName>
    <definedName name="HSHH">#REF!</definedName>
    <definedName name="HSHHUT" localSheetId="31">#REF!</definedName>
    <definedName name="HSHHUT" localSheetId="33">#REF!</definedName>
    <definedName name="HSHHUT">#REF!</definedName>
    <definedName name="hsk" localSheetId="31">#REF!</definedName>
    <definedName name="hsk" localSheetId="33">#REF!</definedName>
    <definedName name="hsk">#REF!</definedName>
    <definedName name="hskd" localSheetId="31">#REF!</definedName>
    <definedName name="hskd" localSheetId="33">#REF!</definedName>
    <definedName name="hskd">#REF!</definedName>
    <definedName name="hskk" localSheetId="31">#REF!</definedName>
    <definedName name="hskk" localSheetId="33">#REF!</definedName>
    <definedName name="hskk">#REF!</definedName>
    <definedName name="HSKK35" localSheetId="31">#REF!</definedName>
    <definedName name="HSKK35" localSheetId="33">#REF!</definedName>
    <definedName name="HSKK35">#REF!</definedName>
    <definedName name="hslx" localSheetId="31">#REF!</definedName>
    <definedName name="hslx" localSheetId="33">#REF!</definedName>
    <definedName name="hslx">#REF!</definedName>
    <definedName name="hslxh" localSheetId="31">#REF!</definedName>
    <definedName name="hslxh" localSheetId="33">#REF!</definedName>
    <definedName name="hslxh">#REF!</definedName>
    <definedName name="HSLXP" localSheetId="31">#REF!</definedName>
    <definedName name="HSLXP" localSheetId="33">#REF!</definedName>
    <definedName name="HSLXP">#REF!</definedName>
    <definedName name="HSSL" localSheetId="31">#REF!</definedName>
    <definedName name="HSSL" localSheetId="33">#REF!</definedName>
    <definedName name="HSSL">#REF!</definedName>
    <definedName name="HSVC1" localSheetId="31">#REF!</definedName>
    <definedName name="HSVC1" localSheetId="33">#REF!</definedName>
    <definedName name="HSVC1">#REF!</definedName>
    <definedName name="HSVC2" localSheetId="31">#REF!</definedName>
    <definedName name="HSVC2" localSheetId="33">#REF!</definedName>
    <definedName name="HSVC2">#REF!</definedName>
    <definedName name="HSVC3" localSheetId="31">#REF!</definedName>
    <definedName name="HSVC3" localSheetId="33">#REF!</definedName>
    <definedName name="HSVC3">#REF!</definedName>
    <definedName name="HTHH" localSheetId="31">#REF!</definedName>
    <definedName name="HTHH" localSheetId="33">#REF!</definedName>
    <definedName name="HTHH">#REF!</definedName>
    <definedName name="HTML_CodePage" hidden="1">1252</definedName>
    <definedName name="HTML_Control" localSheetId="4" hidden="1">{"'Foglio1'!$J$12:$M$12"}</definedName>
    <definedName name="HTML_Control" localSheetId="35" hidden="1">{"'Foglio1'!$J$12:$M$12"}</definedName>
    <definedName name="HTML_Control" localSheetId="31" hidden="1">{"'Foglio1'!$J$12:$M$12"}</definedName>
    <definedName name="HTML_Control" localSheetId="37" hidden="1">{"'Foglio1'!$J$12:$M$12"}</definedName>
    <definedName name="HTML_Control" localSheetId="38" hidden="1">{"'Foglio1'!$J$12:$M$12"}</definedName>
    <definedName name="HTML_Control" localSheetId="7" hidden="1">{"'Foglio1'!$J$12:$M$12"}</definedName>
    <definedName name="HTML_Control" localSheetId="36" hidden="1">{"'Foglio1'!$J$12:$M$12"}</definedName>
    <definedName name="HTML_Control" localSheetId="21" hidden="1">{"'Foglio1'!$J$12:$M$12"}</definedName>
    <definedName name="HTML_Control" localSheetId="30" hidden="1">{"'Foglio1'!$J$12:$M$12"}</definedName>
    <definedName name="HTML_Control" localSheetId="34" hidden="1">{"'Foglio1'!$J$12:$M$12"}</definedName>
    <definedName name="HTML_Control" localSheetId="33" hidden="1">{"'Foglio1'!$J$12:$M$12"}</definedName>
    <definedName name="HTML_Control" localSheetId="6" hidden="1">{"'Foglio1'!$J$12:$M$12"}</definedName>
    <definedName name="HTML_Control" hidden="1">{"'Foglio1'!$J$12:$M$12"}</definedName>
    <definedName name="HTML_Description" hidden="1">""</definedName>
    <definedName name="HTML_Email" hidden="1">""</definedName>
    <definedName name="HTML_Header" hidden="1">"Foglio1"</definedName>
    <definedName name="HTML_LastUpdate" hidden="1">"22/10/99"</definedName>
    <definedName name="HTML_LineAfter" hidden="1">FALSE</definedName>
    <definedName name="HTML_LineBefore" hidden="1">FALSE</definedName>
    <definedName name="HTML_Name" hidden="1">"CANDY"</definedName>
    <definedName name="HTML_OBDlg2" hidden="1">TRUE</definedName>
    <definedName name="HTML_OBDlg4" hidden="1">TRUE</definedName>
    <definedName name="HTML_OS" hidden="1">0</definedName>
    <definedName name="HTML_PathFile" hidden="1">"C:\WINNT\Profiles\Ippolito\Personale\MioHTML.htm"</definedName>
    <definedName name="HTML_Title" hidden="1">"Auspeit"</definedName>
    <definedName name="HTML1_1" hidden="1">"[FCFF3]Sheet1!$A$1:$L$34"</definedName>
    <definedName name="HTML2_1" hidden="1">"[OBT_6M_1.XLS]OBT_6M_sem!$B$5:$M$51"</definedName>
    <definedName name="HTNC" localSheetId="33">#REF!</definedName>
    <definedName name="HTNC">#REF!</definedName>
    <definedName name="HTVL" localSheetId="31">#REF!</definedName>
    <definedName name="HTVL" localSheetId="33">#REF!</definedName>
    <definedName name="HTVL">#REF!</definedName>
    <definedName name="huy" localSheetId="4" hidden="1">{"'Sheet1'!$L$16"}</definedName>
    <definedName name="huy" localSheetId="35" hidden="1">{"'Sheet1'!$L$16"}</definedName>
    <definedName name="huy" localSheetId="31" hidden="1">{"'Sheet1'!$L$16"}</definedName>
    <definedName name="huy" localSheetId="37" hidden="1">{"'Sheet1'!$L$16"}</definedName>
    <definedName name="huy" localSheetId="38" hidden="1">{"'Sheet1'!$L$16"}</definedName>
    <definedName name="huy" localSheetId="7" hidden="1">{"'Sheet1'!$L$16"}</definedName>
    <definedName name="huy" localSheetId="36" hidden="1">{"'Sheet1'!$L$16"}</definedName>
    <definedName name="huy" localSheetId="21" hidden="1">{"'Sheet1'!$L$16"}</definedName>
    <definedName name="huy" localSheetId="30" hidden="1">{"'Sheet1'!$L$16"}</definedName>
    <definedName name="huy" localSheetId="34" hidden="1">{"'Sheet1'!$L$16"}</definedName>
    <definedName name="huy" localSheetId="33" hidden="1">{"'Sheet1'!$L$16"}</definedName>
    <definedName name="huy" localSheetId="6" hidden="1">{"'Sheet1'!$L$16"}</definedName>
    <definedName name="huy" hidden="1">{"'Sheet1'!$L$16"}</definedName>
    <definedName name="hzthzhr" localSheetId="3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hzthzhr" localSheetId="3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hzthzhr" localSheetId="37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hzthzhr" localSheetId="36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hzthzh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I" localSheetId="33">#REF!</definedName>
    <definedName name="I">#REF!</definedName>
    <definedName name="IDLAB_COST" localSheetId="31">#REF!</definedName>
    <definedName name="IDLAB_COST" localSheetId="33">#REF!</definedName>
    <definedName name="IDLAB_COST">#REF!</definedName>
    <definedName name="ILT" localSheetId="35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ILT" localSheetId="3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ILT" localSheetId="37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ILT" localSheetId="36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ILT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IMPCUMUL" localSheetId="35">#REF!,#REF!,#REF!,#REF!</definedName>
    <definedName name="IMPCUMUL" localSheetId="31">#REF!,#REF!,#REF!,#REF!</definedName>
    <definedName name="IMPCUMUL">#REF!,#REF!,#REF!,#REF!</definedName>
    <definedName name="IMPCUMULOCT" localSheetId="31">#REF!,#REF!,#REF!,#REF!</definedName>
    <definedName name="IMPCUMULOCT">#REF!,#REF!,#REF!,#REF!</definedName>
    <definedName name="IMPJUIN2002" localSheetId="35">#REF!</definedName>
    <definedName name="IMPJUIN2002" localSheetId="31">#REF!</definedName>
    <definedName name="IMPJUIN2002">#REF!</definedName>
    <definedName name="IMPOCTO2000" localSheetId="35">#REF!,#REF!,#REF!,#REF!</definedName>
    <definedName name="IMPOCTO2000" localSheetId="31">#REF!,#REF!,#REF!,#REF!</definedName>
    <definedName name="IMPOCTO2000">#REF!,#REF!,#REF!,#REF!</definedName>
    <definedName name="IMPRIM1" localSheetId="35">#REF!</definedName>
    <definedName name="IMPRIM1" localSheetId="31">#REF!</definedName>
    <definedName name="IMPRIM1">#REF!</definedName>
    <definedName name="IMPRIM1B" localSheetId="31">#REF!</definedName>
    <definedName name="IMPRIM1B">#REF!</definedName>
    <definedName name="IMPRIM2" localSheetId="31">#REF!</definedName>
    <definedName name="IMPRIM2">#REF!</definedName>
    <definedName name="IMPRIM2B" localSheetId="31">#REF!</definedName>
    <definedName name="IMPRIM2B">#REF!</definedName>
    <definedName name="IMPRIM3" localSheetId="31">#REF!</definedName>
    <definedName name="IMPRIM3">#REF!</definedName>
    <definedName name="IMPRIM3B" localSheetId="31">#REF!</definedName>
    <definedName name="IMPRIM3B">#REF!</definedName>
    <definedName name="IMPSEPTEMBRE" localSheetId="35">#REF!,#REF!,#REF!,#REF!</definedName>
    <definedName name="IMPSEPTEMBRE" localSheetId="31">#REF!,#REF!,#REF!,#REF!</definedName>
    <definedName name="IMPSEPTEMBRE">#REF!,#REF!,#REF!,#REF!</definedName>
    <definedName name="Incorpo" localSheetId="35">#REF!</definedName>
    <definedName name="Incorpo" localSheetId="31">#REF!</definedName>
    <definedName name="Incorpo">#REF!</definedName>
    <definedName name="Incorporation" localSheetId="31">#REF!</definedName>
    <definedName name="Incorporation">#REF!</definedName>
    <definedName name="IND_LAB" localSheetId="31">#REF!</definedName>
    <definedName name="IND_LAB" localSheetId="33">#REF!</definedName>
    <definedName name="IND_LAB">#REF!</definedName>
    <definedName name="INDMANP" localSheetId="31">#REF!</definedName>
    <definedName name="INDMANP" localSheetId="33">#REF!</definedName>
    <definedName name="INDMANP">#REF!</definedName>
    <definedName name="Ing" localSheetId="31">#REF!</definedName>
    <definedName name="Ing">#REF!</definedName>
    <definedName name="ING_Kurowia" localSheetId="31">#REF!</definedName>
    <definedName name="ING_Kurowia">#REF!</definedName>
    <definedName name="ING_Kurowiak" localSheetId="31">#REF!</definedName>
    <definedName name="ING_Kurowiak">#REF!</definedName>
    <definedName name="ING_TCH" localSheetId="31">#REF!</definedName>
    <definedName name="ING_TCH">#REF!</definedName>
    <definedName name="IngBrAOC" localSheetId="31">#REF!</definedName>
    <definedName name="IngBrAOC">#REF!</definedName>
    <definedName name="IngFamily" localSheetId="31">#REF!</definedName>
    <definedName name="IngFamily">#REF!</definedName>
    <definedName name="Ingredients" localSheetId="31">#REF!</definedName>
    <definedName name="Ingredients">#REF!</definedName>
    <definedName name="Insurance" localSheetId="31">#REF!</definedName>
    <definedName name="Insurance">#REF!</definedName>
    <definedName name="Integrated_in" localSheetId="31">#REF!</definedName>
    <definedName name="Integrated_in">#REF!</definedName>
    <definedName name="INTERFACE" localSheetId="31">#REF!</definedName>
    <definedName name="INTERFACE">#REF!</definedName>
    <definedName name="INTERFACE_PCI" localSheetId="31">#REF!</definedName>
    <definedName name="INTERFACE_PCI">#REF!</definedName>
    <definedName name="INTERFACE_RECAP" localSheetId="31">#REF!</definedName>
    <definedName name="INTERFACE_RECAP">#REF!</definedName>
    <definedName name="IRI_WorkspaceId" hidden="1">"bc7b7ef8a7ba454b9c6b30466fcd76e0"</definedName>
    <definedName name="ITAPLASPIC">#REF!</definedName>
    <definedName name="Item">#REF!</definedName>
    <definedName name="IV" localSheetId="31">#REF!</definedName>
    <definedName name="IV" localSheetId="33">#REF!</definedName>
    <definedName name="IV">#REF!</definedName>
    <definedName name="IZVQ01" localSheetId="35" hidden="1">{"'domaće količine'!$K$34:$P$47"}</definedName>
    <definedName name="IZVQ01" localSheetId="31" hidden="1">{"'domaće količine'!$K$34:$P$47"}</definedName>
    <definedName name="IZVQ01" localSheetId="37" hidden="1">{"'domaće količine'!$K$34:$P$47"}</definedName>
    <definedName name="IZVQ01" localSheetId="36" hidden="1">{"'domaće količine'!$K$34:$P$47"}</definedName>
    <definedName name="IZVQ01" hidden="1">{"'domaće količine'!$K$34:$P$47"}</definedName>
    <definedName name="iiiiii" localSheetId="3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iiiiii" localSheetId="3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iiiiii" localSheetId="37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iiiiii" localSheetId="36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iiiiii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iiiiiiii" localSheetId="3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iiiiiiii" localSheetId="3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iiiiiiii" localSheetId="37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iiiiiiii" localSheetId="36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iiiiiiii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ik" localSheetId="35" hidden="1">{"casespecific",#N/A,FALSE,"Assumptions"}</definedName>
    <definedName name="ik" localSheetId="31" hidden="1">{"casespecific",#N/A,FALSE,"Assumptions"}</definedName>
    <definedName name="ik" localSheetId="37" hidden="1">{"casespecific",#N/A,FALSE,"Assumptions"}</definedName>
    <definedName name="ik" localSheetId="36" hidden="1">{"casespecific",#N/A,FALSE,"Assumptions"}</definedName>
    <definedName name="ik" hidden="1">{"casespecific",#N/A,FALSE,"Assumptions"}</definedName>
    <definedName name="impcumuldec" localSheetId="35">#REF!,#REF!,#REF!,#REF!</definedName>
    <definedName name="impcumuldec" localSheetId="31">#REF!,#REF!,#REF!,#REF!</definedName>
    <definedName name="impcumuldec">#REF!,#REF!,#REF!,#REF!</definedName>
    <definedName name="impdecembre2000" localSheetId="31">#REF!,#REF!,#REF!,#REF!</definedName>
    <definedName name="impdecembre2000">#REF!,#REF!,#REF!,#REF!</definedName>
    <definedName name="impeffetcumul" localSheetId="31">#REF!</definedName>
    <definedName name="impeffetcumul">#REF!</definedName>
    <definedName name="impeffetsfevr2001" localSheetId="31">#REF!</definedName>
    <definedName name="impeffetsfevr2001">#REF!</definedName>
    <definedName name="impeffetsmai2001" localSheetId="31">#REF!</definedName>
    <definedName name="impeffetsmai2001">#REF!</definedName>
    <definedName name="impfraisavril2001" localSheetId="35">#REF!,#REF!,#REF!,#REF!</definedName>
    <definedName name="impfraisavril2001" localSheetId="31">#REF!,#REF!,#REF!,#REF!</definedName>
    <definedName name="impfraisavril2001">#REF!,#REF!,#REF!,#REF!</definedName>
    <definedName name="impjanv2001" localSheetId="35">#REF!</definedName>
    <definedName name="impjanv2001" localSheetId="31">#REF!</definedName>
    <definedName name="impjanv2001">#REF!</definedName>
    <definedName name="impjuillet2001" localSheetId="35">#REF!,#REF!,#REF!,#REF!</definedName>
    <definedName name="impjuillet2001" localSheetId="31">#REF!,#REF!,#REF!,#REF!</definedName>
    <definedName name="impjuillet2001">#REF!,#REF!,#REF!,#REF!</definedName>
    <definedName name="impjuin2001" localSheetId="35">#REF!</definedName>
    <definedName name="impjuin2001" localSheetId="31">#REF!</definedName>
    <definedName name="impjuin2001">#REF!</definedName>
    <definedName name="impmai2001" localSheetId="31">#REF!</definedName>
    <definedName name="impmai2001">#REF!</definedName>
    <definedName name="impnovembre2000" localSheetId="35">#REF!,#REF!,#REF!,#REF!</definedName>
    <definedName name="impnovembre2000" localSheetId="31">#REF!,#REF!,#REF!,#REF!</definedName>
    <definedName name="impnovembre2000">#REF!,#REF!,#REF!,#REF!</definedName>
    <definedName name="impnovembre2001" localSheetId="35">#REF!</definedName>
    <definedName name="impnovembre2001" localSheetId="31">#REF!</definedName>
    <definedName name="impnovembre2001">#REF!</definedName>
    <definedName name="inverse_matrice1" localSheetId="31">#REF!</definedName>
    <definedName name="inverse_matrice1">#REF!</definedName>
    <definedName name="ioio" localSheetId="35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ioio" localSheetId="31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ioio" localSheetId="37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ioio" localSheetId="36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ioio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j" localSheetId="35" hidden="1">{"SPM1",#N/A,FALSE,"RIEP"}</definedName>
    <definedName name="j" localSheetId="31" hidden="1">{"SPM1",#N/A,FALSE,"RIEP"}</definedName>
    <definedName name="j" localSheetId="37" hidden="1">{"SPM1",#N/A,FALSE,"RIEP"}</definedName>
    <definedName name="j" localSheetId="36" hidden="1">{"SPM1",#N/A,FALSE,"RIEP"}</definedName>
    <definedName name="j" localSheetId="33">#REF!</definedName>
    <definedName name="j">#REF!</definedName>
    <definedName name="j356C8" localSheetId="33">#REF!</definedName>
    <definedName name="j356C8">#REF!</definedName>
    <definedName name="ja" localSheetId="31">#REF!</definedName>
    <definedName name="ja" localSheetId="33">#REF!</definedName>
    <definedName name="ja">#REF!</definedName>
    <definedName name="January" localSheetId="31">#REF!</definedName>
    <definedName name="January" localSheetId="33">#REF!</definedName>
    <definedName name="January">#REF!</definedName>
    <definedName name="jcjfjfjjf" localSheetId="35" hidden="1">{#N/A,#N/A,FALSE,"RIEP"}</definedName>
    <definedName name="jcjfjfjjf" localSheetId="31" hidden="1">{#N/A,#N/A,FALSE,"RIEP"}</definedName>
    <definedName name="jcjfjfjjf" localSheetId="37" hidden="1">{#N/A,#N/A,FALSE,"RIEP"}</definedName>
    <definedName name="jcjfjfjjf" localSheetId="36" hidden="1">{#N/A,#N/A,FALSE,"RIEP"}</definedName>
    <definedName name="jcjfjfjjf" hidden="1">{#N/A,#N/A,FALSE,"RIEP"}</definedName>
    <definedName name="jdjdjdj" localSheetId="3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jdjdjdj" localSheetId="3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jdjdjdj" localSheetId="37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jdjdjdj" localSheetId="36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jdjdjdj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jej" localSheetId="35" hidden="1">{#N/A,#N/A,TRUE,"EC COMM-t";#N/A,#N/A,TRUE,"EC PAR PDTS-t";#N/A,#N/A,TRUE,"EC MAT-t";#N/A,#N/A,TRUE,"SUIVI HAUSSES-t"}</definedName>
    <definedName name="jej" localSheetId="31" hidden="1">{#N/A,#N/A,TRUE,"EC COMM-t";#N/A,#N/A,TRUE,"EC PAR PDTS-t";#N/A,#N/A,TRUE,"EC MAT-t";#N/A,#N/A,TRUE,"SUIVI HAUSSES-t"}</definedName>
    <definedName name="jej" localSheetId="37" hidden="1">{#N/A,#N/A,TRUE,"EC COMM-t";#N/A,#N/A,TRUE,"EC PAR PDTS-t";#N/A,#N/A,TRUE,"EC MAT-t";#N/A,#N/A,TRUE,"SUIVI HAUSSES-t"}</definedName>
    <definedName name="jej" localSheetId="36" hidden="1">{#N/A,#N/A,TRUE,"EC COMM-t";#N/A,#N/A,TRUE,"EC PAR PDTS-t";#N/A,#N/A,TRUE,"EC MAT-t";#N/A,#N/A,TRUE,"SUIVI HAUSSES-t"}</definedName>
    <definedName name="jej" hidden="1">{#N/A,#N/A,TRUE,"EC COMM-t";#N/A,#N/A,TRUE,"EC PAR PDTS-t";#N/A,#N/A,TRUE,"EC MAT-t";#N/A,#N/A,TRUE,"SUIVI HAUSSES-t"}</definedName>
    <definedName name="jgwdc" localSheetId="35" hidden="1">{"'domaće količine'!$K$34:$P$47"}</definedName>
    <definedName name="jgwdc" localSheetId="31" hidden="1">{"'domaće količine'!$K$34:$P$47"}</definedName>
    <definedName name="jgwdc" localSheetId="37" hidden="1">{"'domaće količine'!$K$34:$P$47"}</definedName>
    <definedName name="jgwdc" localSheetId="36" hidden="1">{"'domaće količine'!$K$34:$P$47"}</definedName>
    <definedName name="jgwdc" hidden="1">{"'domaće količine'!$K$34:$P$47"}</definedName>
    <definedName name="jjfhfh" localSheetId="35" hidden="1">{"QQQ",#N/A,FALSE,"RIEP"}</definedName>
    <definedName name="jjfhfh" localSheetId="31" hidden="1">{"QQQ",#N/A,FALSE,"RIEP"}</definedName>
    <definedName name="jjfhfh" localSheetId="37" hidden="1">{"QQQ",#N/A,FALSE,"RIEP"}</definedName>
    <definedName name="jjfhfh" localSheetId="36" hidden="1">{"QQQ",#N/A,FALSE,"RIEP"}</definedName>
    <definedName name="jjfhfh" hidden="1">{"QQQ",#N/A,FALSE,"RIEP"}</definedName>
    <definedName name="jjj" localSheetId="35" hidden="1">{"SPM1",#N/A,FALSE,"RIEP"}</definedName>
    <definedName name="jjj" localSheetId="31" hidden="1">{"SPM1",#N/A,FALSE,"RIEP"}</definedName>
    <definedName name="jjj" localSheetId="37" hidden="1">{"SPM1",#N/A,FALSE,"RIEP"}</definedName>
    <definedName name="jjj" localSheetId="36" hidden="1">{"SPM1",#N/A,FALSE,"RIEP"}</definedName>
    <definedName name="jjj" hidden="1">{"SPM1",#N/A,FALSE,"RIEP"}</definedName>
    <definedName name="jjjj" localSheetId="35" hidden="1">{"SPM1",#N/A,FALSE,"RIEP"}</definedName>
    <definedName name="jjjj" localSheetId="31" hidden="1">{"SPM1",#N/A,FALSE,"RIEP"}</definedName>
    <definedName name="jjjj" localSheetId="37" hidden="1">{"SPM1",#N/A,FALSE,"RIEP"}</definedName>
    <definedName name="jjjj" localSheetId="36" hidden="1">{"SPM1",#N/A,FALSE,"RIEP"}</definedName>
    <definedName name="jjjj" hidden="1">{"SPM1",#N/A,FALSE,"RIEP"}</definedName>
    <definedName name="jjjjj" localSheetId="35" hidden="1">{"SPM1",#N/A,FALSE,"RIEP"}</definedName>
    <definedName name="jjjjj" localSheetId="31" hidden="1">{"SPM1",#N/A,FALSE,"RIEP"}</definedName>
    <definedName name="jjjjj" localSheetId="37" hidden="1">{"SPM1",#N/A,FALSE,"RIEP"}</definedName>
    <definedName name="jjjjj" localSheetId="36" hidden="1">{"SPM1",#N/A,FALSE,"RIEP"}</definedName>
    <definedName name="jjjjj" hidden="1">{"SPM1",#N/A,FALSE,"RIEP"}</definedName>
    <definedName name="JL" localSheetId="30">#REF!</definedName>
    <definedName name="JL" localSheetId="34">#REF!</definedName>
    <definedName name="JL">#REF!</definedName>
    <definedName name="JLF" localSheetId="31">#REF!</definedName>
    <definedName name="JLF">#REF!</definedName>
    <definedName name="Job_Family_Code___Title" localSheetId="35">#REF!</definedName>
    <definedName name="Job_Family_Code___Title" localSheetId="31">#REF!</definedName>
    <definedName name="Job_Family_Code___Title" localSheetId="37">#REF!</definedName>
    <definedName name="Job_Family_Code___Title" localSheetId="36">#REF!</definedName>
    <definedName name="Job_Family_Code___Title" localSheetId="30">#REF!</definedName>
    <definedName name="Job_Family_Code___Title" localSheetId="34">#REF!</definedName>
    <definedName name="Job_Family_Code___Title">#REF!</definedName>
    <definedName name="JP" localSheetId="31">#REF!</definedName>
    <definedName name="JP" localSheetId="33">#REF!</definedName>
    <definedName name="JP">#REF!</definedName>
    <definedName name="JUIN" localSheetId="31">#REF!</definedName>
    <definedName name="JUIN">#REF!</definedName>
    <definedName name="JULY">#N/A</definedName>
    <definedName name="K" localSheetId="31">#REF!</definedName>
    <definedName name="k" localSheetId="33">#REF!,#REF!</definedName>
    <definedName name="K">#REF!</definedName>
    <definedName name="k2b" localSheetId="31">#REF!</definedName>
    <definedName name="k2b" localSheetId="33">#REF!</definedName>
    <definedName name="k2b">#REF!</definedName>
    <definedName name="kapı" localSheetId="31">#REF!</definedName>
    <definedName name="kapı">#REF!</definedName>
    <definedName name="kcong" localSheetId="31">#REF!</definedName>
    <definedName name="kcong" localSheetId="33">#REF!</definedName>
    <definedName name="kcong">#REF!</definedName>
    <definedName name="KernelBudNew" localSheetId="31">#REF!</definedName>
    <definedName name="KernelBudNew">#REF!</definedName>
    <definedName name="KernelBudOld" localSheetId="31">#REF!</definedName>
    <definedName name="KernelBudOld">#REF!</definedName>
    <definedName name="KernelEst" localSheetId="31">#REF!</definedName>
    <definedName name="KernelEst">#REF!</definedName>
    <definedName name="kfjdgh" localSheetId="35" hidden="1">{#N/A,#N/A,FALSE,"RELATÓRIO";#N/A,#N/A,FALSE,"RELATÓRIO"}</definedName>
    <definedName name="kfjdgh" localSheetId="31" hidden="1">{#N/A,#N/A,FALSE,"RELATÓRIO";#N/A,#N/A,FALSE,"RELATÓRIO"}</definedName>
    <definedName name="kfjdgh" localSheetId="37" hidden="1">{#N/A,#N/A,FALSE,"RELATÓRIO";#N/A,#N/A,FALSE,"RELATÓRIO"}</definedName>
    <definedName name="kfjdgh" localSheetId="36" hidden="1">{#N/A,#N/A,FALSE,"RELATÓRIO";#N/A,#N/A,FALSE,"RELATÓRIO"}</definedName>
    <definedName name="kfjdgh" hidden="1">{#N/A,#N/A,FALSE,"RELATÓRIO";#N/A,#N/A,FALSE,"RELATÓRIO"}</definedName>
    <definedName name="kfkfkfk" localSheetId="3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fkfkfk" localSheetId="3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fkfkfk" localSheetId="37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fkfkfk" localSheetId="36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fkfkfk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fkfkfkfkkf" localSheetId="35" hidden="1">{#N/A,#N/A,FALSE,"RIEP"}</definedName>
    <definedName name="kfkfkfkfkkf" localSheetId="31" hidden="1">{#N/A,#N/A,FALSE,"RIEP"}</definedName>
    <definedName name="kfkfkfkfkkf" localSheetId="37" hidden="1">{#N/A,#N/A,FALSE,"RIEP"}</definedName>
    <definedName name="kfkfkfkfkkf" localSheetId="36" hidden="1">{#N/A,#N/A,FALSE,"RIEP"}</definedName>
    <definedName name="kfkfkfkfkkf" hidden="1">{#N/A,#N/A,FALSE,"RIEP"}</definedName>
    <definedName name="KH_Chang" localSheetId="33">#REF!</definedName>
    <definedName name="KH_Chang">#REF!</definedName>
    <definedName name="khkhkhk" localSheetId="3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hkhkhk" localSheetId="3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hkhkhk" localSheetId="37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hkhkhk" localSheetId="36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hkhkhk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hkk" localSheetId="3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hkk" localSheetId="3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hkk" localSheetId="37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hkk" localSheetId="36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hkk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hoi" localSheetId="4" hidden="1">{"'Sheet1'!$L$16"}</definedName>
    <definedName name="khoi" localSheetId="35" hidden="1">{"'Sheet1'!$L$16"}</definedName>
    <definedName name="khoi" localSheetId="31" hidden="1">{"'Sheet1'!$L$16"}</definedName>
    <definedName name="khoi" localSheetId="37" hidden="1">{"'Sheet1'!$L$16"}</definedName>
    <definedName name="khoi" localSheetId="38" hidden="1">{"'Sheet1'!$L$16"}</definedName>
    <definedName name="khoi" localSheetId="7" hidden="1">{"'Sheet1'!$L$16"}</definedName>
    <definedName name="khoi" localSheetId="36" hidden="1">{"'Sheet1'!$L$16"}</definedName>
    <definedName name="khoi" localSheetId="21" hidden="1">{"'Sheet1'!$L$16"}</definedName>
    <definedName name="khoi" localSheetId="30" hidden="1">{"'Sheet1'!$L$16"}</definedName>
    <definedName name="khoi" localSheetId="34" hidden="1">{"'Sheet1'!$L$16"}</definedName>
    <definedName name="khoi" localSheetId="33" hidden="1">{"'Sheet1'!$L$16"}</definedName>
    <definedName name="khoi" localSheetId="6" hidden="1">{"'Sheet1'!$L$16"}</definedName>
    <definedName name="khoi" hidden="1">{"'Sheet1'!$L$16"}</definedName>
    <definedName name="KIT" localSheetId="35" hidden="1">{"equity comps",#N/A,FALSE,"CS Comps";"equity comps",#N/A,FALSE,"PS Comps";"equity comps",#N/A,FALSE,"GIC_Comps";"equity comps",#N/A,FALSE,"GIC2_Comps"}</definedName>
    <definedName name="KIT" localSheetId="31" hidden="1">{"equity comps",#N/A,FALSE,"CS Comps";"equity comps",#N/A,FALSE,"PS Comps";"equity comps",#N/A,FALSE,"GIC_Comps";"equity comps",#N/A,FALSE,"GIC2_Comps"}</definedName>
    <definedName name="KIT" localSheetId="37" hidden="1">{"equity comps",#N/A,FALSE,"CS Comps";"equity comps",#N/A,FALSE,"PS Comps";"equity comps",#N/A,FALSE,"GIC_Comps";"equity comps",#N/A,FALSE,"GIC2_Comps"}</definedName>
    <definedName name="KIT" localSheetId="36" hidden="1">{"equity comps",#N/A,FALSE,"CS Comps";"equity comps",#N/A,FALSE,"PS Comps";"equity comps",#N/A,FALSE,"GIC_Comps";"equity comps",#N/A,FALSE,"GIC2_Comps"}</definedName>
    <definedName name="KIT" hidden="1">{"equity comps",#N/A,FALSE,"CS Comps";"equity comps",#N/A,FALSE,"PS Comps";"equity comps",#N/A,FALSE,"GIC_Comps";"equity comps",#N/A,FALSE,"GIC2_Comps"}</definedName>
    <definedName name="kind" localSheetId="33">#REF!</definedName>
    <definedName name="kind">#REF!</definedName>
    <definedName name="Kirikcode03" localSheetId="31">#REF!</definedName>
    <definedName name="Kirikcode03">#REF!</definedName>
    <definedName name="kirirtir" localSheetId="3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irirtir" localSheetId="3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irirtir" localSheetId="37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irirtir" localSheetId="36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irirti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jfsoyiupo6rhtgz" localSheetId="35" hidden="1">{#N/A,#N/A,FALSE,"RIEP"}</definedName>
    <definedName name="kjfsoyiupo6rhtgz" localSheetId="31" hidden="1">{#N/A,#N/A,FALSE,"RIEP"}</definedName>
    <definedName name="kjfsoyiupo6rhtgz" localSheetId="37" hidden="1">{#N/A,#N/A,FALSE,"RIEP"}</definedName>
    <definedName name="kjfsoyiupo6rhtgz" localSheetId="36" hidden="1">{#N/A,#N/A,FALSE,"RIEP"}</definedName>
    <definedName name="kjfsoyiupo6rhtgz" hidden="1">{#N/A,#N/A,FALSE,"RIEP"}</definedName>
    <definedName name="KJHLK" localSheetId="35" hidden="1">{"Procjena kapaciteta prema rollingu",#N/A,FALSE,"zaliha"}</definedName>
    <definedName name="KJHLK" localSheetId="31" hidden="1">{"Procjena kapaciteta prema rollingu",#N/A,FALSE,"zaliha"}</definedName>
    <definedName name="KJHLK" localSheetId="37" hidden="1">{"Procjena kapaciteta prema rollingu",#N/A,FALSE,"zaliha"}</definedName>
    <definedName name="KJHLK" localSheetId="36" hidden="1">{"Procjena kapaciteta prema rollingu",#N/A,FALSE,"zaliha"}</definedName>
    <definedName name="KJHLK" hidden="1">{"Procjena kapaciteta prema rollingu",#N/A,FALSE,"zaliha"}</definedName>
    <definedName name="kk" localSheetId="35" hidden="1">{#N/A,#N/A,FALSE,"RIEP"}</definedName>
    <definedName name="kk" localSheetId="31" hidden="1">{#N/A,#N/A,FALSE,"RIEP"}</definedName>
    <definedName name="kk" localSheetId="37" hidden="1">{#N/A,#N/A,FALSE,"RIEP"}</definedName>
    <definedName name="kk" localSheetId="36" hidden="1">{#N/A,#N/A,FALSE,"RIEP"}</definedName>
    <definedName name="kk" hidden="1">{#N/A,#N/A,FALSE,"RIEP"}</definedName>
    <definedName name="kkkkk" localSheetId="3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kkkk" localSheetId="3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kkkk" localSheetId="37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kkkk" localSheetId="36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kkkk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l_ME" localSheetId="33">#REF!</definedName>
    <definedName name="kl_ME">#REF!</definedName>
    <definedName name="KLTHDN" localSheetId="31">#REF!</definedName>
    <definedName name="KLTHDN" localSheetId="33">#REF!</definedName>
    <definedName name="KLTHDN">#REF!</definedName>
    <definedName name="KLVANKHUON" localSheetId="31">#REF!</definedName>
    <definedName name="KLVANKHUON" localSheetId="33">#REF!</definedName>
    <definedName name="KLVANKHUON">#REF!</definedName>
    <definedName name="kol" localSheetId="35" hidden="1">{"away stand alones",#N/A,FALSE,"Target"}</definedName>
    <definedName name="kol" localSheetId="31" hidden="1">{"away stand alones",#N/A,FALSE,"Target"}</definedName>
    <definedName name="kol" localSheetId="37" hidden="1">{"away stand alones",#N/A,FALSE,"Target"}</definedName>
    <definedName name="kol" localSheetId="36" hidden="1">{"away stand alones",#N/A,FALSE,"Target"}</definedName>
    <definedName name="kol" hidden="1">{"away stand alones",#N/A,FALSE,"Target"}</definedName>
    <definedName name="Kosa_aktuell" localSheetId="33">#REF!</definedName>
    <definedName name="Kosa_aktuell">#REF!</definedName>
    <definedName name="kp1ph" localSheetId="31">#REF!</definedName>
    <definedName name="kp1ph" localSheetId="33">#REF!</definedName>
    <definedName name="kp1ph">#REF!</definedName>
    <definedName name="KSTK" localSheetId="31">#REF!</definedName>
    <definedName name="KSTK" localSheetId="33">#REF!</definedName>
    <definedName name="KSTK">#REF!</definedName>
    <definedName name="kur_ecartKG" localSheetId="31">#REF!</definedName>
    <definedName name="kur_ecartKG">#REF!</definedName>
    <definedName name="KVC" localSheetId="31">#REF!</definedName>
    <definedName name="KVC" localSheetId="33">#REF!</definedName>
    <definedName name="KVC">#REF!</definedName>
    <definedName name="L" localSheetId="31">#REF!</definedName>
    <definedName name="L" localSheetId="33">#REF!</definedName>
    <definedName name="L">#REF!</definedName>
    <definedName name="L_mong" localSheetId="31">#REF!</definedName>
    <definedName name="L_mong" localSheetId="33">#REF!</definedName>
    <definedName name="L_mong">#REF!</definedName>
    <definedName name="lan" localSheetId="4" hidden="1">{#N/A,#N/A,TRUE,"BT M200 da 10x20"}</definedName>
    <definedName name="lan" localSheetId="35" hidden="1">{#N/A,#N/A,TRUE,"BT M200 da 10x20"}</definedName>
    <definedName name="lan" localSheetId="31" hidden="1">{#N/A,#N/A,TRUE,"BT M200 da 10x20"}</definedName>
    <definedName name="lan" localSheetId="37" hidden="1">{#N/A,#N/A,TRUE,"BT M200 da 10x20"}</definedName>
    <definedName name="lan" localSheetId="38" hidden="1">{#N/A,#N/A,TRUE,"BT M200 da 10x20"}</definedName>
    <definedName name="lan" localSheetId="7" hidden="1">{#N/A,#N/A,TRUE,"BT M200 da 10x20"}</definedName>
    <definedName name="lan" localSheetId="36" hidden="1">{#N/A,#N/A,TRUE,"BT M200 da 10x20"}</definedName>
    <definedName name="lan" localSheetId="21" hidden="1">{#N/A,#N/A,TRUE,"BT M200 da 10x20"}</definedName>
    <definedName name="lan" localSheetId="30" hidden="1">{#N/A,#N/A,TRUE,"BT M200 da 10x20"}</definedName>
    <definedName name="lan" localSheetId="34" hidden="1">{#N/A,#N/A,TRUE,"BT M200 da 10x20"}</definedName>
    <definedName name="lan" localSheetId="33" hidden="1">{#N/A,#N/A,TRUE,"BT M200 da 10x20"}</definedName>
    <definedName name="lan" localSheetId="6" hidden="1">{#N/A,#N/A,TRUE,"BT M200 da 10x20"}</definedName>
    <definedName name="lan" hidden="1">{#N/A,#N/A,TRUE,"BT M200 da 10x20"}</definedName>
    <definedName name="Language">#REF!</definedName>
    <definedName name="laychua" localSheetId="4">{"Thuxm2.xls","Sheet1"}</definedName>
    <definedName name="laychua" localSheetId="35">{"Thuxm2.xls","Sheet1"}</definedName>
    <definedName name="laychua" localSheetId="31">{"Thuxm2.xls","Sheet1"}</definedName>
    <definedName name="laychua" localSheetId="37">{"Thuxm2.xls","Sheet1"}</definedName>
    <definedName name="laychua" localSheetId="38">{"Thuxm2.xls","Sheet1"}</definedName>
    <definedName name="laychua" localSheetId="7">{"Thuxm2.xls","Sheet1"}</definedName>
    <definedName name="laychua" localSheetId="36">{"Thuxm2.xls","Sheet1"}</definedName>
    <definedName name="laychua" localSheetId="21">{"Thuxm2.xls","Sheet1"}</definedName>
    <definedName name="laychua" localSheetId="30">{"Thuxm2.xls","Sheet1"}</definedName>
    <definedName name="laychua" localSheetId="34">{"Thuxm2.xls","Sheet1"}</definedName>
    <definedName name="laychua" localSheetId="33">{"Thuxm2.xls","Sheet1"}</definedName>
    <definedName name="laychua" localSheetId="6">{"Thuxm2.xls","Sheet1"}</definedName>
    <definedName name="laychua">{"Thuxm2.xls","Sheet1"}</definedName>
    <definedName name="LI" localSheetId="35">OFFSET(#REF!,4,0,COUNTA(#REF!)-1,1)</definedName>
    <definedName name="LI" localSheetId="37">OFFSET(#REF!,4,0,COUNTA(#REF!)-1,1)</definedName>
    <definedName name="LI" localSheetId="36">OFFSET(#REF!,4,0,COUNTA(#REF!)-1,1)</definedName>
    <definedName name="LI" localSheetId="30">OFFSET(#REF!,4,0,COUNTA(#REF!)-1,1)</definedName>
    <definedName name="LI" localSheetId="34">OFFSET(#REF!,4,0,COUNTA(#REF!)-1,1)</definedName>
    <definedName name="LI">OFFSET(#REF!,4,0,COUNTA(#REF!)-1,1)</definedName>
    <definedName name="LIB" localSheetId="35">#REF!</definedName>
    <definedName name="LIB" localSheetId="31">#REF!</definedName>
    <definedName name="LIB">#REF!</definedName>
    <definedName name="LIB_1">NA()</definedName>
    <definedName name="LIB_1_1">NA()</definedName>
    <definedName name="LIB_1_1_1">NA()</definedName>
    <definedName name="LIB_16" localSheetId="31">#REF!</definedName>
    <definedName name="LIB_16">#REF!</definedName>
    <definedName name="LIB_18">#N/A</definedName>
    <definedName name="LIB_19">#N/A</definedName>
    <definedName name="LIB_20" localSheetId="35">#REF!</definedName>
    <definedName name="LIB_20" localSheetId="31">#REF!</definedName>
    <definedName name="LIB_20">#REF!</definedName>
    <definedName name="LIB_21">#N/A</definedName>
    <definedName name="LIB_22" localSheetId="35">#REF!</definedName>
    <definedName name="LIB_22" localSheetId="31">#REF!</definedName>
    <definedName name="LIB_22">#REF!</definedName>
    <definedName name="LIB_23" localSheetId="35">#REF!</definedName>
    <definedName name="LIB_23" localSheetId="31">#REF!</definedName>
    <definedName name="LIB_23">#REF!</definedName>
    <definedName name="LIB_24" localSheetId="35">#REF!</definedName>
    <definedName name="LIB_24" localSheetId="31">#REF!</definedName>
    <definedName name="LIB_24">#REF!</definedName>
    <definedName name="LIB_25">NA()</definedName>
    <definedName name="LIB_26" localSheetId="31">#REF!</definedName>
    <definedName name="LIB_26">#REF!</definedName>
    <definedName name="LIB_27">NA()</definedName>
    <definedName name="LIB_28">NA()</definedName>
    <definedName name="LIB_29">NA()</definedName>
    <definedName name="LIB_30">#REF!</definedName>
    <definedName name="LIB_30_1" localSheetId="31">#REF!</definedName>
    <definedName name="LIB_30_1">#REF!</definedName>
    <definedName name="LIB_31">NA()</definedName>
    <definedName name="LIB_32">#REF!</definedName>
    <definedName name="LIB_33" localSheetId="31">#REF!</definedName>
    <definedName name="LIB_33">#REF!</definedName>
    <definedName name="LIB_34" localSheetId="31">#REF!</definedName>
    <definedName name="LIB_34">#REF!</definedName>
    <definedName name="LIB_36" localSheetId="31">#REF!</definedName>
    <definedName name="LIB_36">#REF!</definedName>
    <definedName name="LIB_37" localSheetId="31">#REF!</definedName>
    <definedName name="LIB_37">#REF!</definedName>
    <definedName name="LIB_38">NA()</definedName>
    <definedName name="LIB_39" localSheetId="31">#REF!</definedName>
    <definedName name="LIB_39">#REF!</definedName>
    <definedName name="LIB_39_1" localSheetId="31">#REF!</definedName>
    <definedName name="LIB_39_1">#REF!</definedName>
    <definedName name="LIB_40" localSheetId="31">#REF!</definedName>
    <definedName name="LIB_40">#REF!</definedName>
    <definedName name="LIB_41">NA()</definedName>
    <definedName name="LIB_42">NA()</definedName>
    <definedName name="LIB_43">NA()</definedName>
    <definedName name="LIB_44">NA()</definedName>
    <definedName name="LIB_45" localSheetId="31">#REF!</definedName>
    <definedName name="LIB_45">#REF!</definedName>
    <definedName name="LIB_46" localSheetId="31">#REF!</definedName>
    <definedName name="LIB_46">#REF!</definedName>
    <definedName name="LIB_48">NA()</definedName>
    <definedName name="LIB_49">NA()</definedName>
    <definedName name="LIB_55">#REF!</definedName>
    <definedName name="LIB_55_1" localSheetId="31">#REF!</definedName>
    <definedName name="LIB_55_1">#REF!</definedName>
    <definedName name="LIB_59">NA()</definedName>
    <definedName name="LIB_60">NA()</definedName>
    <definedName name="LIB_61">NA()</definedName>
    <definedName name="LIB_62">NA()</definedName>
    <definedName name="LIB_63">NA()</definedName>
    <definedName name="LIB_64">#REF!</definedName>
    <definedName name="LIB_67">NA()</definedName>
    <definedName name="LIB_67_1">NA()</definedName>
    <definedName name="LIB_68">NA()</definedName>
    <definedName name="LIB_68_1">NA()</definedName>
    <definedName name="LIB_69">NA()</definedName>
    <definedName name="LIB_70">NA()</definedName>
    <definedName name="LIB_71">NA()</definedName>
    <definedName name="LIB_74">#REF!</definedName>
    <definedName name="LIBELLES" localSheetId="31">#REF!</definedName>
    <definedName name="LIBELLES">#REF!</definedName>
    <definedName name="LIBELLES_1">NA()</definedName>
    <definedName name="LIBELLES_1_1">NA()</definedName>
    <definedName name="LIBELLES_1_1_1">NA()</definedName>
    <definedName name="LIBELLES_4" localSheetId="35">#REF!</definedName>
    <definedName name="LIBELLES_4" localSheetId="31">#REF!</definedName>
    <definedName name="LIBELLES_4">#REF!</definedName>
    <definedName name="LIBFILIALE" localSheetId="31">#REF!</definedName>
    <definedName name="LIBFILIALE">#REF!</definedName>
    <definedName name="LINE" localSheetId="31">#REF!</definedName>
    <definedName name="LINE" localSheetId="33">#REF!</definedName>
    <definedName name="LINE">#REF!</definedName>
    <definedName name="LINK" localSheetId="35">INDIRECT(#REF!&amp;"!A1")</definedName>
    <definedName name="LINK" localSheetId="31">INDIRECT(#REF!&amp;"!A1")</definedName>
    <definedName name="LINK" localSheetId="37">INDIRECT(#REF!&amp;"!A1")</definedName>
    <definedName name="LINK" localSheetId="36">INDIRECT(#REF!&amp;"!A1")</definedName>
    <definedName name="LINK" localSheetId="30">INDIRECT(#REF!&amp;"!A1")</definedName>
    <definedName name="LINK" localSheetId="34">INDIRECT(#REF!&amp;"!A1")</definedName>
    <definedName name="LINK">INDIRECT(#REF!&amp;"!A1")</definedName>
    <definedName name="LISTE" localSheetId="35">#REF!</definedName>
    <definedName name="LISTE" localSheetId="31">#REF!</definedName>
    <definedName name="LISTE">#REF!</definedName>
    <definedName name="Li8m00" localSheetId="31">#REF!</definedName>
    <definedName name="Li8m00">#REF!</definedName>
    <definedName name="Li8m99" localSheetId="31">#REF!</definedName>
    <definedName name="Li8m99">#REF!</definedName>
    <definedName name="LiB00" localSheetId="31">#REF!</definedName>
    <definedName name="LiB00">#REF!</definedName>
    <definedName name="libsoc" localSheetId="31">#REF!</definedName>
    <definedName name="libsoc">#REF!</definedName>
    <definedName name="light_ecartKG" localSheetId="31">#REF!</definedName>
    <definedName name="light_ecartKG">#REF!</definedName>
    <definedName name="list" localSheetId="31">#REF!</definedName>
    <definedName name="list" localSheetId="33">#REF!</definedName>
    <definedName name="list">#REF!</definedName>
    <definedName name="Liste_Category" localSheetId="31">OFFSET(#REF!,0,0,COUNTA(#REF!)-1,1)</definedName>
    <definedName name="Liste_Category">OFFSET(#REF!,0,0,COUNTA(#REF!)-1,1)</definedName>
    <definedName name="Liste_country" localSheetId="31">OFFSET(#REF!,0,0,COUNTA(#REF!)-1,1)</definedName>
    <definedName name="Liste_country">OFFSET(#REF!,0,0,COUNTA(#REF!)-1,1)</definedName>
    <definedName name="Liste_division" localSheetId="31">OFFSET(#REF!,0,0,COUNTA(#REF!)-1,1)</definedName>
    <definedName name="Liste_division">OFFSET(#REF!,0,0,COUNTA(#REF!)-1,1)</definedName>
    <definedName name="Liste_subcategory" localSheetId="31">OFFSET(#REF!,0,0,COUNTA(#REF!)-1,1)</definedName>
    <definedName name="Liste_subcategory">OFFSET(#REF!,0,0,COUNTA(#REF!)-1,1)</definedName>
    <definedName name="LK_hathe" localSheetId="31">#REF!</definedName>
    <definedName name="LK_hathe" localSheetId="33">#REF!</definedName>
    <definedName name="LK_hathe">#REF!</definedName>
    <definedName name="lkfv" localSheetId="35" hidden="1">{"SPM1",#N/A,FALSE,"RIEP"}</definedName>
    <definedName name="lkfv" localSheetId="31" hidden="1">{"SPM1",#N/A,FALSE,"RIEP"}</definedName>
    <definedName name="lkfv" localSheetId="37" hidden="1">{"SPM1",#N/A,FALSE,"RIEP"}</definedName>
    <definedName name="lkfv" localSheetId="36" hidden="1">{"SPM1",#N/A,FALSE,"RIEP"}</definedName>
    <definedName name="lkfv" hidden="1">{"SPM1",#N/A,FALSE,"RIEP"}</definedName>
    <definedName name="lklk" hidden="1">#REF!</definedName>
    <definedName name="LLL" localSheetId="35" hidden="1">{"QQQ",#N/A,FALSE,"RIEP"}</definedName>
    <definedName name="LLL" localSheetId="31" hidden="1">{"QQQ",#N/A,FALSE,"RIEP"}</definedName>
    <definedName name="LLL" localSheetId="37" hidden="1">{"QQQ",#N/A,FALSE,"RIEP"}</definedName>
    <definedName name="LLL" localSheetId="36" hidden="1">{"QQQ",#N/A,FALSE,"RIEP"}</definedName>
    <definedName name="LLL" hidden="1">{"QQQ",#N/A,FALSE,"RIEP"}</definedName>
    <definedName name="llll" localSheetId="33">#REF!</definedName>
    <definedName name="llll">#REF!</definedName>
    <definedName name="LLLLL" localSheetId="4" hidden="1">{#N/A,#N/A,FALSE,"Chi tiÆt"}</definedName>
    <definedName name="LLLLL" localSheetId="35" hidden="1">{#N/A,#N/A,FALSE,"Chi tiÆt"}</definedName>
    <definedName name="LLLLL" localSheetId="31" hidden="1">{#N/A,#N/A,FALSE,"Chi tiÆt"}</definedName>
    <definedName name="LLLLL" localSheetId="37" hidden="1">{#N/A,#N/A,FALSE,"Chi tiÆt"}</definedName>
    <definedName name="LLLLL" localSheetId="38" hidden="1">{#N/A,#N/A,FALSE,"Chi tiÆt"}</definedName>
    <definedName name="LLLLL" localSheetId="7" hidden="1">{#N/A,#N/A,FALSE,"Chi tiÆt"}</definedName>
    <definedName name="LLLLL" localSheetId="36" hidden="1">{#N/A,#N/A,FALSE,"Chi tiÆt"}</definedName>
    <definedName name="LLLLL" localSheetId="21" hidden="1">{#N/A,#N/A,FALSE,"Chi tiÆt"}</definedName>
    <definedName name="LLLLL" localSheetId="30" hidden="1">{#N/A,#N/A,FALSE,"Chi tiÆt"}</definedName>
    <definedName name="LLLLL" localSheetId="34" hidden="1">{#N/A,#N/A,FALSE,"Chi tiÆt"}</definedName>
    <definedName name="LLLLL" localSheetId="33" hidden="1">{#N/A,#N/A,FALSE,"Chi tiÆt"}</definedName>
    <definedName name="LLLLL" localSheetId="6" hidden="1">{#N/A,#N/A,FALSE,"Chi tiÆt"}</definedName>
    <definedName name="LLLLL" hidden="1">{#N/A,#N/A,FALSE,"Chi tiÆt"}</definedName>
    <definedName name="Lmk" localSheetId="33">#REF!</definedName>
    <definedName name="Lmk">#REF!</definedName>
    <definedName name="LN" localSheetId="31">#REF!</definedName>
    <definedName name="LN" localSheetId="33">#REF!</definedName>
    <definedName name="LN">#REF!</definedName>
    <definedName name="LO_ROG" localSheetId="31">#REF!</definedName>
    <definedName name="LO_ROG">#REF!</definedName>
    <definedName name="Loai_TD" localSheetId="31">#REF!</definedName>
    <definedName name="Loai_TD" localSheetId="33">#REF!</definedName>
    <definedName name="Loai_TD">#REF!</definedName>
    <definedName name="LOC" localSheetId="31">#REF!</definedName>
    <definedName name="LOC" localSheetId="33">#REF!</definedName>
    <definedName name="LOC">#REF!</definedName>
    <definedName name="location" localSheetId="31">#REF!</definedName>
    <definedName name="location" localSheetId="33">#REF!</definedName>
    <definedName name="location">#REF!</definedName>
    <definedName name="location1" localSheetId="31">#REF!</definedName>
    <definedName name="location1" localSheetId="33">#REF!</definedName>
    <definedName name="location1">#REF!</definedName>
    <definedName name="LOG" localSheetId="31">#REF!</definedName>
    <definedName name="LOG">#REF!</definedName>
    <definedName name="LOT_MEL" localSheetId="31">#REF!</definedName>
    <definedName name="LOT_MEL">#REF!</definedName>
    <definedName name="lots" localSheetId="31">#REF!</definedName>
    <definedName name="lots">#REF!</definedName>
    <definedName name="lVC" localSheetId="31">#REF!</definedName>
    <definedName name="lVC" localSheetId="33">#REF!</definedName>
    <definedName name="lVC">#REF!</definedName>
    <definedName name="m" localSheetId="35" hidden="1">{"'domaće količine'!$K$34:$P$47"}</definedName>
    <definedName name="m" localSheetId="31" hidden="1">{"'domaće količine'!$K$34:$P$47"}</definedName>
    <definedName name="m" localSheetId="37" hidden="1">{"'domaće količine'!$K$34:$P$47"}</definedName>
    <definedName name="m" localSheetId="36" hidden="1">{"'domaće količine'!$K$34:$P$47"}</definedName>
    <definedName name="m" localSheetId="33">#REF!</definedName>
    <definedName name="m">#REF!</definedName>
    <definedName name="M_salariale_Maint">#REF!</definedName>
    <definedName name="M102bnnc" localSheetId="31">#REF!</definedName>
    <definedName name="M102bnnc" localSheetId="33">#REF!</definedName>
    <definedName name="M102bnnc">#REF!</definedName>
    <definedName name="M102bnvl" localSheetId="31">#REF!</definedName>
    <definedName name="M102bnvl" localSheetId="33">#REF!</definedName>
    <definedName name="M102bnvl">#REF!</definedName>
    <definedName name="M10aanc" localSheetId="31">#REF!</definedName>
    <definedName name="M10aanc" localSheetId="33">#REF!</definedName>
    <definedName name="M10aanc">#REF!</definedName>
    <definedName name="M10aavc" localSheetId="31">#REF!</definedName>
    <definedName name="M10aavc" localSheetId="33">#REF!</definedName>
    <definedName name="M10aavc">#REF!</definedName>
    <definedName name="M10aavl" localSheetId="31">#REF!</definedName>
    <definedName name="M10aavl" localSheetId="33">#REF!</definedName>
    <definedName name="M10aavl">#REF!</definedName>
    <definedName name="M10banc" localSheetId="31">#REF!</definedName>
    <definedName name="M10banc" localSheetId="33">#REF!</definedName>
    <definedName name="M10banc">#REF!</definedName>
    <definedName name="M10bavl" localSheetId="31">#REF!</definedName>
    <definedName name="M10bavl" localSheetId="33">#REF!</definedName>
    <definedName name="M10bavl">#REF!</definedName>
    <definedName name="M12aavl" localSheetId="31">#REF!</definedName>
    <definedName name="M12aavl" localSheetId="33">#REF!</definedName>
    <definedName name="M12aavl">#REF!</definedName>
    <definedName name="M12ba3p" localSheetId="31">#REF!</definedName>
    <definedName name="M12ba3p" localSheetId="33">#REF!</definedName>
    <definedName name="M12ba3p">#REF!</definedName>
    <definedName name="M12banc" localSheetId="31">#REF!</definedName>
    <definedName name="M12banc" localSheetId="33">#REF!</definedName>
    <definedName name="M12banc">#REF!</definedName>
    <definedName name="M12bavl" localSheetId="31">#REF!</definedName>
    <definedName name="M12bavl" localSheetId="33">#REF!</definedName>
    <definedName name="M12bavl">#REF!</definedName>
    <definedName name="M12bb1p" localSheetId="31">#REF!</definedName>
    <definedName name="M12bb1p" localSheetId="33">#REF!</definedName>
    <definedName name="M12bb1p">#REF!</definedName>
    <definedName name="M12bbnc" localSheetId="31">#REF!</definedName>
    <definedName name="M12bbnc" localSheetId="33">#REF!</definedName>
    <definedName name="M12bbnc">#REF!</definedName>
    <definedName name="M12bbvl" localSheetId="31">#REF!</definedName>
    <definedName name="M12bbvl" localSheetId="33">#REF!</definedName>
    <definedName name="M12bbvl">#REF!</definedName>
    <definedName name="M12bnnc" localSheetId="31">#REF!</definedName>
    <definedName name="M12bnnc" localSheetId="33">#REF!</definedName>
    <definedName name="M12bnnc">#REF!</definedName>
    <definedName name="M12bnvl" localSheetId="31">#REF!</definedName>
    <definedName name="M12bnvl" localSheetId="33">#REF!</definedName>
    <definedName name="M12bnvl">#REF!</definedName>
    <definedName name="M136出口" localSheetId="31">#REF!</definedName>
    <definedName name="M136出口" localSheetId="33">#REF!</definedName>
    <definedName name="M136出口">#REF!</definedName>
    <definedName name="M14bb1p" localSheetId="31">#REF!</definedName>
    <definedName name="M14bb1p" localSheetId="33">#REF!</definedName>
    <definedName name="M14bb1p">#REF!</definedName>
    <definedName name="M14bbnc" localSheetId="31">#REF!</definedName>
    <definedName name="M14bbnc" localSheetId="33">#REF!</definedName>
    <definedName name="M14bbnc">#REF!</definedName>
    <definedName name="M14bbvc" localSheetId="31">#REF!</definedName>
    <definedName name="M14bbvc" localSheetId="33">#REF!</definedName>
    <definedName name="M14bbvc">#REF!</definedName>
    <definedName name="M14bbvl" localSheetId="31">#REF!</definedName>
    <definedName name="M14bbvl" localSheetId="33">#REF!</definedName>
    <definedName name="M14bbvl">#REF!</definedName>
    <definedName name="M8a" localSheetId="31">#REF!</definedName>
    <definedName name="M8a" localSheetId="33">#REF!</definedName>
    <definedName name="M8a">#REF!</definedName>
    <definedName name="M8aa" localSheetId="31">#REF!</definedName>
    <definedName name="M8aa" localSheetId="33">#REF!</definedName>
    <definedName name="M8aa">#REF!</definedName>
    <definedName name="m8aanc" localSheetId="31">#REF!</definedName>
    <definedName name="m8aanc" localSheetId="33">#REF!</definedName>
    <definedName name="m8aanc">#REF!</definedName>
    <definedName name="m8aavl" localSheetId="31">#REF!</definedName>
    <definedName name="m8aavl" localSheetId="33">#REF!</definedName>
    <definedName name="m8aavl">#REF!</definedName>
    <definedName name="Ma3pnc" localSheetId="31">#REF!</definedName>
    <definedName name="Ma3pnc" localSheetId="33">#REF!</definedName>
    <definedName name="Ma3pnc">#REF!</definedName>
    <definedName name="Ma3pvl" localSheetId="31">#REF!</definedName>
    <definedName name="Ma3pvl" localSheetId="33">#REF!</definedName>
    <definedName name="Ma3pvl">#REF!</definedName>
    <definedName name="Maa3pnc" localSheetId="31">#REF!</definedName>
    <definedName name="Maa3pnc" localSheetId="33">#REF!</definedName>
    <definedName name="Maa3pnc">#REF!</definedName>
    <definedName name="Maa3pvl" localSheetId="31">#REF!</definedName>
    <definedName name="Maa3pvl" localSheetId="33">#REF!</definedName>
    <definedName name="Maa3pvl">#REF!</definedName>
    <definedName name="MACRO" localSheetId="31">#REF!</definedName>
    <definedName name="MACRO">#REF!</definedName>
    <definedName name="madr_ecartKG" localSheetId="31">#REF!</definedName>
    <definedName name="madr_ecartKG">#REF!</definedName>
    <definedName name="MAJ_CON_EQP" localSheetId="31">#REF!</definedName>
    <definedName name="MAJ_CON_EQP" localSheetId="33">#REF!</definedName>
    <definedName name="MAJ_CON_EQP">#REF!</definedName>
    <definedName name="MaNV" localSheetId="31">#REF!</definedName>
    <definedName name="MaNV" localSheetId="33">#REF!</definedName>
    <definedName name="MaNV">#REF!</definedName>
    <definedName name="March" localSheetId="31">#REF!</definedName>
    <definedName name="March" localSheetId="33">#REF!</definedName>
    <definedName name="March">#REF!</definedName>
    <definedName name="MARGE" localSheetId="31">#REF!</definedName>
    <definedName name="MARGE">#REF!</definedName>
    <definedName name="MARQUE" localSheetId="31">#REF!</definedName>
    <definedName name="MARQUE">#REF!</definedName>
    <definedName name="MARQUE2" localSheetId="31">#REF!</definedName>
    <definedName name="MARQUE2">#REF!</definedName>
    <definedName name="MARTESANA" localSheetId="31">#REF!</definedName>
    <definedName name="MARTESANA">#REF!</definedName>
    <definedName name="Masse_salariale" localSheetId="31">#REF!</definedName>
    <definedName name="Masse_salariale">#REF!</definedName>
    <definedName name="MAT" localSheetId="31">#REF!</definedName>
    <definedName name="MAT">#REF!</definedName>
    <definedName name="mat_fixe" localSheetId="31">#REF!</definedName>
    <definedName name="mat_fixe">#REF!</definedName>
    <definedName name="Matière" localSheetId="31">#REF!</definedName>
    <definedName name="Matière">#REF!</definedName>
    <definedName name="Matières" localSheetId="31">#REF!</definedName>
    <definedName name="Matières">#REF!</definedName>
    <definedName name="matrice2" localSheetId="31">#REF!</definedName>
    <definedName name="matrice2">#REF!</definedName>
    <definedName name="MAVANKHUON" localSheetId="31">#REF!</definedName>
    <definedName name="MAVANKHUON" localSheetId="33">#REF!</definedName>
    <definedName name="MAVANKHUON">#REF!</definedName>
    <definedName name="MAVLTHDN" localSheetId="31">#REF!</definedName>
    <definedName name="MAVLTHDN" localSheetId="33">#REF!</definedName>
    <definedName name="MAVLTHDN">#REF!</definedName>
    <definedName name="May" localSheetId="31">#REF!</definedName>
    <definedName name="May" localSheetId="33">#REF!</definedName>
    <definedName name="May">#REF!</definedName>
    <definedName name="MAY0" localSheetId="35">#REF!,#REF!</definedName>
    <definedName name="MAY0" localSheetId="31">#REF!,#REF!</definedName>
    <definedName name="MAY0">#REF!,#REF!</definedName>
    <definedName name="Mba1p" localSheetId="35">#REF!</definedName>
    <definedName name="Mba1p" localSheetId="31">#REF!</definedName>
    <definedName name="Mba1p" localSheetId="33">#REF!</definedName>
    <definedName name="Mba1p">#REF!</definedName>
    <definedName name="Mba3p" localSheetId="35">#REF!</definedName>
    <definedName name="Mba3p" localSheetId="31">#REF!</definedName>
    <definedName name="Mba3p" localSheetId="33">#REF!</definedName>
    <definedName name="Mba3p">#REF!</definedName>
    <definedName name="Mbb3p" localSheetId="35">#REF!</definedName>
    <definedName name="Mbb3p" localSheetId="31">#REF!</definedName>
    <definedName name="Mbb3p" localSheetId="33">#REF!</definedName>
    <definedName name="Mbb3p">#REF!</definedName>
    <definedName name="MBnc" localSheetId="31">#REF!</definedName>
    <definedName name="MBnc" localSheetId="33">#REF!</definedName>
    <definedName name="MBnc">#REF!</definedName>
    <definedName name="MBvl" localSheetId="31">#REF!</definedName>
    <definedName name="MBvl" localSheetId="33">#REF!</definedName>
    <definedName name="MBvl">#REF!</definedName>
    <definedName name="MC" localSheetId="31">#REF!</definedName>
    <definedName name="MC" localSheetId="33">#REF!</definedName>
    <definedName name="MC">#REF!</definedName>
    <definedName name="MCP_act" localSheetId="31">#REF!</definedName>
    <definedName name="MCP_act">#REF!</definedName>
    <definedName name="MCP_bud" localSheetId="31">#REF!</definedName>
    <definedName name="MCP_bud">#REF!</definedName>
    <definedName name="MCP_n_1" localSheetId="31">#REF!</definedName>
    <definedName name="MCP_n_1">#REF!</definedName>
    <definedName name="Measure" localSheetId="31">#REF!</definedName>
    <definedName name="Measure">#REF!</definedName>
    <definedName name="Measure2" localSheetId="31">#REF!</definedName>
    <definedName name="Measure2">#REF!</definedName>
    <definedName name="Meilenstein">"AutoForm 4"</definedName>
    <definedName name="MENU1">#REF!</definedName>
    <definedName name="MENU2" localSheetId="31">#REF!</definedName>
    <definedName name="MENU2">#REF!</definedName>
    <definedName name="MENU3" localSheetId="31">#REF!</definedName>
    <definedName name="MENU3">#REF!</definedName>
    <definedName name="MENU4" localSheetId="31">#REF!</definedName>
    <definedName name="MENU4">#REF!</definedName>
    <definedName name="MESSAGE" localSheetId="31">#REF!</definedName>
    <definedName name="MESSAGE">#REF!</definedName>
    <definedName name="MG" localSheetId="31">#REF!</definedName>
    <definedName name="MG">#REF!</definedName>
    <definedName name="MG_A" localSheetId="31">#REF!</definedName>
    <definedName name="MG_A" localSheetId="33">#REF!</definedName>
    <definedName name="MG_A">#REF!</definedName>
    <definedName name="MILK" localSheetId="31">#REF!</definedName>
    <definedName name="MILK">#REF!</definedName>
    <definedName name="MIX" localSheetId="31">#REF!</definedName>
    <definedName name="MIX">#REF!</definedName>
    <definedName name="milka" localSheetId="35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milka" localSheetId="3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milka" localSheetId="37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milka" localSheetId="36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milk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MilkFat">#REF!</definedName>
    <definedName name="MilkProtein" localSheetId="31">#REF!</definedName>
    <definedName name="MilkProtein">#REF!</definedName>
    <definedName name="minnii" localSheetId="35" hidden="1">{"SPM1",#N/A,FALSE,"RIEP"}</definedName>
    <definedName name="minnii" localSheetId="31" hidden="1">{"SPM1",#N/A,FALSE,"RIEP"}</definedName>
    <definedName name="minnii" localSheetId="37" hidden="1">{"SPM1",#N/A,FALSE,"RIEP"}</definedName>
    <definedName name="minnii" localSheetId="36" hidden="1">{"SPM1",#N/A,FALSE,"RIEP"}</definedName>
    <definedName name="minnii" hidden="1">{"SPM1",#N/A,FALSE,"RIEP"}</definedName>
    <definedName name="MO_NO">"MO85110026"</definedName>
    <definedName name="mod" localSheetId="33">#REF!,#REF!,#REF!,#REF!,#REF!</definedName>
    <definedName name="mod">#REF!,#REF!,#REF!,#REF!,#REF!</definedName>
    <definedName name="MOIS" localSheetId="35">#REF!</definedName>
    <definedName name="MOIS" localSheetId="31">#REF!</definedName>
    <definedName name="MOIS">#REF!</definedName>
    <definedName name="MOIS_1">NA()</definedName>
    <definedName name="MOIS_1_1">NA()</definedName>
    <definedName name="MOIS_1_1_1">NA()</definedName>
    <definedName name="MOIS_4" localSheetId="35">#REF!</definedName>
    <definedName name="MOIS_4" localSheetId="31">#REF!</definedName>
    <definedName name="MOIS_4">#REF!</definedName>
    <definedName name="MOIS_à_RETRIEVER" localSheetId="31">#REF!</definedName>
    <definedName name="MOIS_à_RETRIEVER">#REF!</definedName>
    <definedName name="MOIS1" localSheetId="31">#REF!</definedName>
    <definedName name="MOIS1">#REF!</definedName>
    <definedName name="MOIS2" localSheetId="31">#REF!</definedName>
    <definedName name="MOIS2">#REF!</definedName>
    <definedName name="MOISTRAITER" localSheetId="31">#REF!</definedName>
    <definedName name="MOISTRAITER">#REF!</definedName>
    <definedName name="mois_a_traiter" localSheetId="31">#REF!</definedName>
    <definedName name="mois_a_traiter">#REF!</definedName>
    <definedName name="Mois_à_traiter" localSheetId="31">#REF!</definedName>
    <definedName name="Mois_à_traiter">#REF!</definedName>
    <definedName name="moisan_1" localSheetId="31">#REF!</definedName>
    <definedName name="moisan_1">#REF!</definedName>
    <definedName name="moisatraiter" localSheetId="31">#REF!</definedName>
    <definedName name="moisatraiter">#REF!</definedName>
    <definedName name="moisatraiter_1">NA()</definedName>
    <definedName name="moisatraiter_1_1">NA()</definedName>
    <definedName name="moisref" localSheetId="31">#REF!</definedName>
    <definedName name="moisref">#REF!</definedName>
    <definedName name="MON" localSheetId="31">#REF!</definedName>
    <definedName name="MON">#REF!</definedName>
    <definedName name="MON_23" localSheetId="31">#REF!</definedName>
    <definedName name="MON_23">#REF!</definedName>
    <definedName name="mong1pm" localSheetId="31">#REF!</definedName>
    <definedName name="mong1pm" localSheetId="33">#REF!</definedName>
    <definedName name="mong1pm">#REF!</definedName>
    <definedName name="mong3pm" localSheetId="31">#REF!</definedName>
    <definedName name="mong3pm" localSheetId="33">#REF!</definedName>
    <definedName name="mong3pm">#REF!</definedName>
    <definedName name="mongct" localSheetId="31">#REF!</definedName>
    <definedName name="mongct" localSheetId="33">#REF!</definedName>
    <definedName name="mongct">#REF!</definedName>
    <definedName name="monght" localSheetId="31">#REF!</definedName>
    <definedName name="monght" localSheetId="33">#REF!</definedName>
    <definedName name="monght">#REF!</definedName>
    <definedName name="mongHTDL" localSheetId="31">#REF!</definedName>
    <definedName name="mongHTDL" localSheetId="33">#REF!</definedName>
    <definedName name="mongHTDL">#REF!</definedName>
    <definedName name="mongHTHH" localSheetId="31">#REF!</definedName>
    <definedName name="mongHTHH" localSheetId="33">#REF!</definedName>
    <definedName name="mongHTHH">#REF!</definedName>
    <definedName name="mongneo1pm" localSheetId="31">#REF!</definedName>
    <definedName name="mongneo1pm" localSheetId="33">#REF!</definedName>
    <definedName name="mongneo1pm">#REF!</definedName>
    <definedName name="mongneo3pm" localSheetId="31">#REF!</definedName>
    <definedName name="mongneo3pm" localSheetId="33">#REF!</definedName>
    <definedName name="mongneo3pm">#REF!</definedName>
    <definedName name="mongneoct" localSheetId="31">#REF!</definedName>
    <definedName name="mongneoct" localSheetId="33">#REF!</definedName>
    <definedName name="mongneoct">#REF!</definedName>
    <definedName name="mongneoht" localSheetId="31">#REF!</definedName>
    <definedName name="mongneoht" localSheetId="33">#REF!</definedName>
    <definedName name="mongneoht">#REF!</definedName>
    <definedName name="mongneoHTDL" localSheetId="31">#REF!</definedName>
    <definedName name="mongneoHTDL" localSheetId="33">#REF!</definedName>
    <definedName name="mongneoHTDL">#REF!</definedName>
    <definedName name="mongneoHTHH" localSheetId="31">#REF!</definedName>
    <definedName name="mongneoHTHH" localSheetId="33">#REF!</definedName>
    <definedName name="mongneoHTHH">#REF!</definedName>
    <definedName name="montaj" localSheetId="31">#REF!</definedName>
    <definedName name="montaj">#REF!</definedName>
    <definedName name="month" localSheetId="31">#REF!</definedName>
    <definedName name="month">#REF!</definedName>
    <definedName name="Month_1">NA()</definedName>
    <definedName name="Month_1_1">NA()</definedName>
    <definedName name="Month_1_1_1">NA()</definedName>
    <definedName name="Month_16" localSheetId="31">#REF!</definedName>
    <definedName name="Month_16">#REF!</definedName>
    <definedName name="Month_18">#N/A</definedName>
    <definedName name="Month_19">#N/A</definedName>
    <definedName name="Month_20">#REF!</definedName>
    <definedName name="Month_21">#N/A</definedName>
    <definedName name="Month_22">#REF!</definedName>
    <definedName name="Month_23" localSheetId="31">#REF!</definedName>
    <definedName name="Month_23">#REF!</definedName>
    <definedName name="Month_24" localSheetId="31">#REF!</definedName>
    <definedName name="Month_24">#REF!</definedName>
    <definedName name="Month_25">NA()</definedName>
    <definedName name="Month_26" localSheetId="31">#REF!</definedName>
    <definedName name="Month_26">#REF!</definedName>
    <definedName name="Month_27">NA()</definedName>
    <definedName name="Month_28">NA()</definedName>
    <definedName name="Month_29">NA()</definedName>
    <definedName name="Month_30">#REF!</definedName>
    <definedName name="Month_30_1" localSheetId="31">#REF!</definedName>
    <definedName name="Month_30_1">#REF!</definedName>
    <definedName name="Month_31">NA()</definedName>
    <definedName name="Month_32">#REF!</definedName>
    <definedName name="Month_33" localSheetId="31">#REF!</definedName>
    <definedName name="Month_33">#REF!</definedName>
    <definedName name="Month_34" localSheetId="31">#REF!</definedName>
    <definedName name="Month_34">#REF!</definedName>
    <definedName name="Month_36" localSheetId="31">#REF!</definedName>
    <definedName name="Month_36">#REF!</definedName>
    <definedName name="Month_37" localSheetId="31">#REF!</definedName>
    <definedName name="Month_37">#REF!</definedName>
    <definedName name="MONTH_38" localSheetId="31">#REF!</definedName>
    <definedName name="MONTH_38">#REF!</definedName>
    <definedName name="MONTH_39" localSheetId="31">#REF!</definedName>
    <definedName name="MONTH_39">#REF!</definedName>
    <definedName name="Month_39_1" localSheetId="31">#REF!</definedName>
    <definedName name="Month_39_1">#REF!</definedName>
    <definedName name="Month_40" localSheetId="31">#REF!</definedName>
    <definedName name="Month_40">#REF!</definedName>
    <definedName name="Month_41">NA()</definedName>
    <definedName name="Month_42">NA()</definedName>
    <definedName name="Month_43">NA()</definedName>
    <definedName name="Month_44">NA()</definedName>
    <definedName name="Month_45" localSheetId="31">#REF!</definedName>
    <definedName name="Month_45">#REF!</definedName>
    <definedName name="Month_46" localSheetId="31">#REF!</definedName>
    <definedName name="Month_46">#REF!</definedName>
    <definedName name="MONTH_47" localSheetId="31">#REF!</definedName>
    <definedName name="MONTH_47">#REF!</definedName>
    <definedName name="Month_48">NA()</definedName>
    <definedName name="Month_49">NA()</definedName>
    <definedName name="Month_55" localSheetId="31">#REF!</definedName>
    <definedName name="Month_55">#REF!</definedName>
    <definedName name="Month_55_1" localSheetId="31">#REF!</definedName>
    <definedName name="Month_55_1">#REF!</definedName>
    <definedName name="Month_59">NA()</definedName>
    <definedName name="Month_60">NA()</definedName>
    <definedName name="Month_61">NA()</definedName>
    <definedName name="Month_62">NA()</definedName>
    <definedName name="Month_63">NA()</definedName>
    <definedName name="Month_64">#REF!</definedName>
    <definedName name="Month_67">NA()</definedName>
    <definedName name="Month_67_1">NA()</definedName>
    <definedName name="Month_68">NA()</definedName>
    <definedName name="Month_68_1">NA()</definedName>
    <definedName name="Month_69">NA()</definedName>
    <definedName name="Month_70">NA()</definedName>
    <definedName name="Month_71">NA()</definedName>
    <definedName name="Month_74">#REF!</definedName>
    <definedName name="Month_LJ" localSheetId="31">#REF!</definedName>
    <definedName name="Month_LJ">#REF!</definedName>
    <definedName name="Month_name" localSheetId="31">#REF!</definedName>
    <definedName name="Month_name">#REF!</definedName>
    <definedName name="Month_Nb" localSheetId="31">#REF!</definedName>
    <definedName name="Month_Nb">#REF!</definedName>
    <definedName name="Month_no" localSheetId="31">#REF!</definedName>
    <definedName name="Month_no">#REF!</definedName>
    <definedName name="Month_No." localSheetId="31">#REF!</definedName>
    <definedName name="Month_No.">#REF!</definedName>
    <definedName name="Month_number" localSheetId="31">#REF!</definedName>
    <definedName name="Month_number">#REF!</definedName>
    <definedName name="Month_number_23" localSheetId="31">#REF!</definedName>
    <definedName name="Month_number_23">#REF!</definedName>
    <definedName name="MONTH0" localSheetId="31">#REF!</definedName>
    <definedName name="MONTH0">#REF!</definedName>
    <definedName name="MonthNb" localSheetId="31">#REF!</definedName>
    <definedName name="MonthNb">#REF!</definedName>
    <definedName name="morski_ecartKG" localSheetId="31">#REF!</definedName>
    <definedName name="morski_ecartKG">#REF!</definedName>
    <definedName name="mothname" localSheetId="31">#REF!</definedName>
    <definedName name="mothname">#REF!</definedName>
    <definedName name="Moùng" localSheetId="31">#REF!</definedName>
    <definedName name="Moùng" localSheetId="33">#REF!</definedName>
    <definedName name="Moùng">#REF!</definedName>
    <definedName name="MOUTURE" localSheetId="31">#REF!</definedName>
    <definedName name="MOUTURE">#REF!</definedName>
    <definedName name="mozz_ecartKG" localSheetId="31">#REF!</definedName>
    <definedName name="mozz_ecartKG">#REF!</definedName>
    <definedName name="mozzh_ecartKG" localSheetId="31">#REF!</definedName>
    <definedName name="mozzh_ecartKG">#REF!</definedName>
    <definedName name="MP" localSheetId="31">#REF!</definedName>
    <definedName name="MP">#REF!</definedName>
    <definedName name="MRP_BAT_NO">""</definedName>
    <definedName name="MRP_BIL_NO">"MO85110026"</definedName>
    <definedName name="MRP_NOMBC">""</definedName>
    <definedName name="MRP_QTY_B">1.2</definedName>
    <definedName name="MRP_SPC">"NB50D"</definedName>
    <definedName name="MRP_UNIT">"件"</definedName>
    <definedName name="MRP_UNITNM_B">"件"</definedName>
    <definedName name="MRP_ZC_NAME">"外机柜"</definedName>
    <definedName name="MRP_ZC_NAME1">"外机柜"</definedName>
    <definedName name="MSCT" localSheetId="33">#REF!</definedName>
    <definedName name="MSCT">#REF!</definedName>
    <definedName name="MTC1P" localSheetId="31">#REF!</definedName>
    <definedName name="MTC1P" localSheetId="33">#REF!</definedName>
    <definedName name="MTC1P">#REF!</definedName>
    <definedName name="MTC3P" localSheetId="31">#REF!</definedName>
    <definedName name="MTC3P" localSheetId="33">#REF!</definedName>
    <definedName name="MTC3P">#REF!</definedName>
    <definedName name="MTCMB" localSheetId="31">#REF!</definedName>
    <definedName name="MTCMB" localSheetId="33">#REF!</definedName>
    <definedName name="MTCMB">#REF!</definedName>
    <definedName name="MTMAC12" localSheetId="31">#REF!</definedName>
    <definedName name="MTMAC12" localSheetId="33">#REF!</definedName>
    <definedName name="MTMAC12">#REF!</definedName>
    <definedName name="mtram" localSheetId="31">#REF!</definedName>
    <definedName name="mtram" localSheetId="33">#REF!</definedName>
    <definedName name="mtram">#REF!</definedName>
    <definedName name="MULTIPLICA" localSheetId="31">#REF!</definedName>
    <definedName name="MULTIPLICA" localSheetId="33">#REF!</definedName>
    <definedName name="MULTIPLICA">#REF!</definedName>
    <definedName name="MVT_PRODUITS" localSheetId="31">#REF!</definedName>
    <definedName name="MVT_PRODUITS">#REF!</definedName>
    <definedName name="n" localSheetId="31">#REF!</definedName>
    <definedName name="n" localSheetId="33">#REF!</definedName>
    <definedName name="n">#REF!</definedName>
    <definedName name="N1pIGnc" localSheetId="31">#REF!</definedName>
    <definedName name="N1pIGnc" localSheetId="33">#REF!</definedName>
    <definedName name="N1pIGnc">#REF!</definedName>
    <definedName name="N1pIGvc" localSheetId="31">#REF!</definedName>
    <definedName name="N1pIGvc" localSheetId="33">#REF!</definedName>
    <definedName name="N1pIGvc">#REF!</definedName>
    <definedName name="N1pIGvl" localSheetId="31">#REF!</definedName>
    <definedName name="N1pIGvl" localSheetId="33">#REF!</definedName>
    <definedName name="N1pIGvl">#REF!</definedName>
    <definedName name="N1pINDnc" localSheetId="31">#REF!</definedName>
    <definedName name="N1pINDnc" localSheetId="33">#REF!</definedName>
    <definedName name="N1pINDnc">#REF!</definedName>
    <definedName name="N1pINDvc" localSheetId="31">#REF!</definedName>
    <definedName name="N1pINDvc" localSheetId="33">#REF!</definedName>
    <definedName name="N1pINDvc">#REF!</definedName>
    <definedName name="N1pINDvl" localSheetId="31">#REF!</definedName>
    <definedName name="N1pINDvl" localSheetId="33">#REF!</definedName>
    <definedName name="N1pINDvl">#REF!</definedName>
    <definedName name="N1pINGnc" localSheetId="31">#REF!</definedName>
    <definedName name="N1pINGnc" localSheetId="33">#REF!</definedName>
    <definedName name="N1pINGnc">#REF!</definedName>
    <definedName name="N1pINGvc" localSheetId="31">#REF!</definedName>
    <definedName name="N1pINGvc" localSheetId="33">#REF!</definedName>
    <definedName name="N1pINGvc">#REF!</definedName>
    <definedName name="N1pINGvl" localSheetId="31">#REF!</definedName>
    <definedName name="N1pINGvl" localSheetId="33">#REF!</definedName>
    <definedName name="N1pINGvl">#REF!</definedName>
    <definedName name="N1pINTnc" localSheetId="31">#REF!</definedName>
    <definedName name="N1pINTnc" localSheetId="33">#REF!</definedName>
    <definedName name="N1pINTnc">#REF!</definedName>
    <definedName name="N1pINTvc" localSheetId="31">#REF!</definedName>
    <definedName name="N1pINTvc" localSheetId="33">#REF!</definedName>
    <definedName name="N1pINTvc">#REF!</definedName>
    <definedName name="N1pINTvl" localSheetId="31">#REF!</definedName>
    <definedName name="N1pINTvl" localSheetId="33">#REF!</definedName>
    <definedName name="N1pINTvl">#REF!</definedName>
    <definedName name="n1pig" localSheetId="31">#REF!</definedName>
    <definedName name="n1pig" localSheetId="33">#REF!</definedName>
    <definedName name="n1pig">#REF!</definedName>
    <definedName name="n1pind" localSheetId="31">#REF!</definedName>
    <definedName name="n1pind" localSheetId="33">#REF!</definedName>
    <definedName name="n1pind">#REF!</definedName>
    <definedName name="n1ping" localSheetId="31">#REF!</definedName>
    <definedName name="n1ping" localSheetId="33">#REF!</definedName>
    <definedName name="n1ping">#REF!</definedName>
    <definedName name="n1pint" localSheetId="31">#REF!</definedName>
    <definedName name="n1pint" localSheetId="33">#REF!</definedName>
    <definedName name="n1pint">#REF!</definedName>
    <definedName name="N1pNLnc" localSheetId="31">#REF!</definedName>
    <definedName name="N1pNLnc" localSheetId="33">#REF!</definedName>
    <definedName name="N1pNLnc">#REF!</definedName>
    <definedName name="N1pNLvc" localSheetId="31">#REF!</definedName>
    <definedName name="N1pNLvc" localSheetId="33">#REF!</definedName>
    <definedName name="N1pNLvc">#REF!</definedName>
    <definedName name="N1pNLvl" localSheetId="31">#REF!</definedName>
    <definedName name="N1pNLvl" localSheetId="33">#REF!</definedName>
    <definedName name="N1pNLvl">#REF!</definedName>
    <definedName name="NA" localSheetId="31">#REF!</definedName>
    <definedName name="NA" localSheetId="33">#REF!</definedName>
    <definedName name="NA">#REF!</definedName>
    <definedName name="Ñaép_ñaát" localSheetId="31">#REF!</definedName>
    <definedName name="Ñaép_ñaát" localSheetId="33">#REF!</definedName>
    <definedName name="Ñaép_ñaát">#REF!</definedName>
    <definedName name="name" localSheetId="31">#REF!</definedName>
    <definedName name="name" localSheetId="33">#REF!</definedName>
    <definedName name="name">#REF!</definedName>
    <definedName name="Ñaøo_ñaát_tieáp_ñòa" localSheetId="31">#REF!</definedName>
    <definedName name="Ñaøo_ñaát_tieáp_ñòa" localSheetId="33">#REF!</definedName>
    <definedName name="Ñaøo_ñaát_tieáp_ñòa">#REF!</definedName>
    <definedName name="nat_reg" localSheetId="31">#REF!</definedName>
    <definedName name="nat_reg">#REF!</definedName>
    <definedName name="NBR_MOIS___V" localSheetId="31">#REF!</definedName>
    <definedName name="NBR_MOIS___V">#REF!</definedName>
    <definedName name="NbRecipes" localSheetId="31">#REF!</definedName>
    <definedName name="NbRecipes">#REF!</definedName>
    <definedName name="nc" localSheetId="31">#REF!</definedName>
    <definedName name="nc" localSheetId="33">#REF!</definedName>
    <definedName name="nc">#REF!</definedName>
    <definedName name="NC1P" localSheetId="31">#REF!</definedName>
    <definedName name="NC1P" localSheetId="33">#REF!</definedName>
    <definedName name="NC1P">#REF!</definedName>
    <definedName name="NC3P" localSheetId="31">#REF!</definedName>
    <definedName name="NC3P" localSheetId="33">#REF!</definedName>
    <definedName name="NC3P">#REF!</definedName>
    <definedName name="NCBD100" localSheetId="31">#REF!</definedName>
    <definedName name="NCBD100" localSheetId="33">#REF!</definedName>
    <definedName name="NCBD100">#REF!</definedName>
    <definedName name="NCBD200" localSheetId="31">#REF!</definedName>
    <definedName name="NCBD200" localSheetId="33">#REF!</definedName>
    <definedName name="NCBD200">#REF!</definedName>
    <definedName name="NCBD250" localSheetId="31">#REF!</definedName>
    <definedName name="NCBD250" localSheetId="33">#REF!</definedName>
    <definedName name="NCBD250">#REF!</definedName>
    <definedName name="NCcap0.7" localSheetId="31">#REF!</definedName>
    <definedName name="NCcap0.7" localSheetId="33">#REF!</definedName>
    <definedName name="NCcap0.7">#REF!</definedName>
    <definedName name="NCcap1" localSheetId="31">#REF!</definedName>
    <definedName name="NCcap1" localSheetId="33">#REF!</definedName>
    <definedName name="NCcap1">#REF!</definedName>
    <definedName name="NCCT3p" localSheetId="31">#REF!</definedName>
    <definedName name="NCCT3p" localSheetId="33">#REF!</definedName>
    <definedName name="NCCT3p">#REF!</definedName>
    <definedName name="nctram" localSheetId="31">#REF!</definedName>
    <definedName name="nctram" localSheetId="33">#REF!</definedName>
    <definedName name="nctram">#REF!</definedName>
    <definedName name="NCVC100" localSheetId="31">#REF!</definedName>
    <definedName name="NCVC100" localSheetId="33">#REF!</definedName>
    <definedName name="NCVC100">#REF!</definedName>
    <definedName name="NCVC200" localSheetId="31">#REF!</definedName>
    <definedName name="NCVC200" localSheetId="33">#REF!</definedName>
    <definedName name="NCVC200">#REF!</definedName>
    <definedName name="NCVC250" localSheetId="31">#REF!</definedName>
    <definedName name="NCVC250" localSheetId="33">#REF!</definedName>
    <definedName name="NCVC250">#REF!</definedName>
    <definedName name="NCVC3P" localSheetId="31">#REF!</definedName>
    <definedName name="NCVC3P" localSheetId="33">#REF!</definedName>
    <definedName name="NCVC3P">#REF!</definedName>
    <definedName name="NET" localSheetId="31">#REF!</definedName>
    <definedName name="NET" localSheetId="33">#REF!</definedName>
    <definedName name="NET">#REF!</definedName>
    <definedName name="NET_1" localSheetId="31">#REF!</definedName>
    <definedName name="NET_1" localSheetId="33">#REF!</definedName>
    <definedName name="NET_1">#REF!</definedName>
    <definedName name="NET_ANA" localSheetId="31">#REF!</definedName>
    <definedName name="NET_ANA" localSheetId="33">#REF!</definedName>
    <definedName name="NET_ANA">#REF!</definedName>
    <definedName name="NET_ANA_1" localSheetId="31">#REF!</definedName>
    <definedName name="NET_ANA_1" localSheetId="33">#REF!</definedName>
    <definedName name="NET_ANA_1">#REF!</definedName>
    <definedName name="NET_ANA_2" localSheetId="31">#REF!</definedName>
    <definedName name="NET_ANA_2" localSheetId="33">#REF!</definedName>
    <definedName name="NET_ANA_2">#REF!</definedName>
    <definedName name="new_w" localSheetId="35" hidden="1">{"comps1_1",#N/A,FALSE,"Comps1";"comps1_2",#N/A,FALSE,"Comps1";"comps1_3",#N/A,FALSE,"Comps1";"comps1_4",#N/A,FALSE,"Comps1";"comps1_5",#N/A,FALSE,"Comps1"}</definedName>
    <definedName name="new_w" localSheetId="31" hidden="1">{"comps1_1",#N/A,FALSE,"Comps1";"comps1_2",#N/A,FALSE,"Comps1";"comps1_3",#N/A,FALSE,"Comps1";"comps1_4",#N/A,FALSE,"Comps1";"comps1_5",#N/A,FALSE,"Comps1"}</definedName>
    <definedName name="new_w" localSheetId="37" hidden="1">{"comps1_1",#N/A,FALSE,"Comps1";"comps1_2",#N/A,FALSE,"Comps1";"comps1_3",#N/A,FALSE,"Comps1";"comps1_4",#N/A,FALSE,"Comps1";"comps1_5",#N/A,FALSE,"Comps1"}</definedName>
    <definedName name="new_w" localSheetId="36" hidden="1">{"comps1_1",#N/A,FALSE,"Comps1";"comps1_2",#N/A,FALSE,"Comps1";"comps1_3",#N/A,FALSE,"Comps1";"comps1_4",#N/A,FALSE,"Comps1";"comps1_5",#N/A,FALSE,"Comps1"}</definedName>
    <definedName name="new_w" hidden="1">{"comps1_1",#N/A,FALSE,"Comps1";"comps1_2",#N/A,FALSE,"Comps1";"comps1_3",#N/A,FALSE,"Comps1";"comps1_4",#N/A,FALSE,"Comps1";"comps1_5",#N/A,FALSE,"Comps1"}</definedName>
    <definedName name="NGAØY" localSheetId="33">#REF!</definedName>
    <definedName name="NGAØY">#REF!</definedName>
    <definedName name="NH" localSheetId="31">#REF!</definedName>
    <definedName name="NH" localSheetId="33">#REF!</definedName>
    <definedName name="NH">#REF!</definedName>
    <definedName name="NHAÂN_COÂNG" localSheetId="4">[0]!BTRAM</definedName>
    <definedName name="NHAÂN_COÂNG" localSheetId="35">[0]!BTRAM</definedName>
    <definedName name="NHAÂN_COÂNG" localSheetId="31">'EFF DW'!BTRAM</definedName>
    <definedName name="NHAÂN_COÂNG" localSheetId="37">[0]!BTRAM</definedName>
    <definedName name="NHAÂN_COÂNG" localSheetId="38">[0]!BTRAM</definedName>
    <definedName name="NHAÂN_COÂNG" localSheetId="7">[0]!BTRAM</definedName>
    <definedName name="NHAÂN_COÂNG" localSheetId="36">[0]!BTRAM</definedName>
    <definedName name="NHAÂN_COÂNG" localSheetId="21">[0]!BTRAM</definedName>
    <definedName name="NHAÂN_COÂNG" localSheetId="30">[0]!BTRAM</definedName>
    <definedName name="NHAÂN_COÂNG" localSheetId="34">[0]!BTRAM</definedName>
    <definedName name="NHAÂN_COÂNG" localSheetId="33">Scrap_Recovery!BTRAM</definedName>
    <definedName name="NHAÂN_COÂNG" localSheetId="6">[0]!BTRAM</definedName>
    <definedName name="NHAÂN_COÂNG">[0]!BTRAM</definedName>
    <definedName name="Nhapsolieu" localSheetId="35">#REF!</definedName>
    <definedName name="Nhapsolieu" localSheetId="31">#REF!</definedName>
    <definedName name="Nhapsolieu" localSheetId="33">#REF!</definedName>
    <definedName name="Nhapsolieu">#REF!</definedName>
    <definedName name="nhn" localSheetId="31">#REF!</definedName>
    <definedName name="nhn" localSheetId="33">#REF!</definedName>
    <definedName name="nhn">#REF!</definedName>
    <definedName name="NHot" localSheetId="31">#REF!</definedName>
    <definedName name="NHot" localSheetId="33">#REF!</definedName>
    <definedName name="NHot">#REF!</definedName>
    <definedName name="NIGnc" localSheetId="31">#REF!</definedName>
    <definedName name="NIGnc" localSheetId="33">#REF!</definedName>
    <definedName name="NIGnc">#REF!</definedName>
    <definedName name="NIGvc" localSheetId="31">#REF!</definedName>
    <definedName name="NIGvc" localSheetId="33">#REF!</definedName>
    <definedName name="NIGvc">#REF!</definedName>
    <definedName name="NIGvl" localSheetId="31">#REF!</definedName>
    <definedName name="NIGvl" localSheetId="33">#REF!</definedName>
    <definedName name="NIGvl">#REF!</definedName>
    <definedName name="NIM" localSheetId="35" hidden="1">{"'domaće količine'!$K$34:$P$47"}</definedName>
    <definedName name="NIM" localSheetId="31" hidden="1">{"'domaće količine'!$K$34:$P$47"}</definedName>
    <definedName name="NIM" localSheetId="37" hidden="1">{"'domaće količine'!$K$34:$P$47"}</definedName>
    <definedName name="NIM" localSheetId="36" hidden="1">{"'domaće količine'!$K$34:$P$47"}</definedName>
    <definedName name="NIM" hidden="1">{"'domaće količine'!$K$34:$P$47"}</definedName>
    <definedName name="NIN190nc" localSheetId="33">#REF!</definedName>
    <definedName name="NIN190nc">#REF!</definedName>
    <definedName name="NIN190vl" localSheetId="31">#REF!</definedName>
    <definedName name="NIN190vl" localSheetId="33">#REF!</definedName>
    <definedName name="NIN190vl">#REF!</definedName>
    <definedName name="NINDnc" localSheetId="31">#REF!</definedName>
    <definedName name="NINDnc" localSheetId="33">#REF!</definedName>
    <definedName name="NINDnc">#REF!</definedName>
    <definedName name="NINDvc" localSheetId="31">#REF!</definedName>
    <definedName name="NINDvc" localSheetId="33">#REF!</definedName>
    <definedName name="NINDvc">#REF!</definedName>
    <definedName name="NINDvl" localSheetId="31">#REF!</definedName>
    <definedName name="NINDvl" localSheetId="33">#REF!</definedName>
    <definedName name="NINDvl">#REF!</definedName>
    <definedName name="NINnc" localSheetId="31">#REF!</definedName>
    <definedName name="NINnc" localSheetId="33">#REF!</definedName>
    <definedName name="NINnc">#REF!</definedName>
    <definedName name="NINvc" localSheetId="31">#REF!</definedName>
    <definedName name="NINvc" localSheetId="33">#REF!</definedName>
    <definedName name="NINvc">#REF!</definedName>
    <definedName name="NINvl" localSheetId="31">#REF!</definedName>
    <definedName name="NINvl" localSheetId="33">#REF!</definedName>
    <definedName name="NINvl">#REF!</definedName>
    <definedName name="nico" localSheetId="3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nico" localSheetId="3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nico" localSheetId="37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nico" localSheetId="36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nico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nig" localSheetId="33">#REF!</definedName>
    <definedName name="nig">#REF!</definedName>
    <definedName name="nig1p" localSheetId="31">#REF!</definedName>
    <definedName name="nig1p" localSheetId="33">#REF!</definedName>
    <definedName name="nig1p">#REF!</definedName>
    <definedName name="nig3p" localSheetId="31">#REF!</definedName>
    <definedName name="nig3p" localSheetId="33">#REF!</definedName>
    <definedName name="nig3p">#REF!</definedName>
    <definedName name="nignc1p" localSheetId="31">#REF!</definedName>
    <definedName name="nignc1p" localSheetId="33">#REF!</definedName>
    <definedName name="nignc1p">#REF!</definedName>
    <definedName name="nigvl1p" localSheetId="31">#REF!</definedName>
    <definedName name="nigvl1p" localSheetId="33">#REF!</definedName>
    <definedName name="nigvl1p">#REF!</definedName>
    <definedName name="nin" localSheetId="31">#REF!</definedName>
    <definedName name="nin" localSheetId="33">#REF!</definedName>
    <definedName name="nin">#REF!</definedName>
    <definedName name="nin1903p" localSheetId="31">#REF!</definedName>
    <definedName name="nin1903p" localSheetId="33">#REF!</definedName>
    <definedName name="nin1903p">#REF!</definedName>
    <definedName name="nin3p" localSheetId="31">#REF!</definedName>
    <definedName name="nin3p" localSheetId="33">#REF!</definedName>
    <definedName name="nin3p">#REF!</definedName>
    <definedName name="nind" localSheetId="31">#REF!</definedName>
    <definedName name="nind" localSheetId="33">#REF!</definedName>
    <definedName name="nind">#REF!</definedName>
    <definedName name="nind1p" localSheetId="31">#REF!</definedName>
    <definedName name="nind1p" localSheetId="33">#REF!</definedName>
    <definedName name="nind1p">#REF!</definedName>
    <definedName name="nind3p" localSheetId="31">#REF!</definedName>
    <definedName name="nind3p" localSheetId="33">#REF!</definedName>
    <definedName name="nind3p">#REF!</definedName>
    <definedName name="nindnc1p" localSheetId="31">#REF!</definedName>
    <definedName name="nindnc1p" localSheetId="33">#REF!</definedName>
    <definedName name="nindnc1p">#REF!</definedName>
    <definedName name="nindvl1p" localSheetId="31">#REF!</definedName>
    <definedName name="nindvl1p" localSheetId="33">#REF!</definedName>
    <definedName name="nindvl1p">#REF!</definedName>
    <definedName name="ning1p" localSheetId="31">#REF!</definedName>
    <definedName name="ning1p" localSheetId="33">#REF!</definedName>
    <definedName name="ning1p">#REF!</definedName>
    <definedName name="ningnc1p" localSheetId="31">#REF!</definedName>
    <definedName name="ningnc1p" localSheetId="33">#REF!</definedName>
    <definedName name="ningnc1p">#REF!</definedName>
    <definedName name="ningvl1p" localSheetId="31">#REF!</definedName>
    <definedName name="ningvl1p" localSheetId="33">#REF!</definedName>
    <definedName name="ningvl1p">#REF!</definedName>
    <definedName name="nint1p" localSheetId="31">#REF!</definedName>
    <definedName name="nint1p" localSheetId="33">#REF!</definedName>
    <definedName name="nint1p">#REF!</definedName>
    <definedName name="nintnc1p" localSheetId="31">#REF!</definedName>
    <definedName name="nintnc1p" localSheetId="33">#REF!</definedName>
    <definedName name="nintnc1p">#REF!</definedName>
    <definedName name="nintvl1p" localSheetId="31">#REF!</definedName>
    <definedName name="nintvl1p" localSheetId="33">#REF!</definedName>
    <definedName name="nintvl1p">#REF!</definedName>
    <definedName name="nl" localSheetId="31">#REF!</definedName>
    <definedName name="nl" localSheetId="33">#REF!</definedName>
    <definedName name="nl">#REF!</definedName>
    <definedName name="NL12nc" localSheetId="31">#REF!</definedName>
    <definedName name="NL12nc" localSheetId="33">#REF!</definedName>
    <definedName name="NL12nc">#REF!</definedName>
    <definedName name="NL12vl" localSheetId="31">#REF!</definedName>
    <definedName name="NL12vl" localSheetId="33">#REF!</definedName>
    <definedName name="NL12vl">#REF!</definedName>
    <definedName name="nl1p" localSheetId="31">#REF!</definedName>
    <definedName name="nl1p" localSheetId="33">#REF!</definedName>
    <definedName name="nl1p">#REF!</definedName>
    <definedName name="nl3p" localSheetId="31">#REF!</definedName>
    <definedName name="nl3p" localSheetId="33">#REF!</definedName>
    <definedName name="nl3p">#REF!</definedName>
    <definedName name="nlht" localSheetId="31">#REF!</definedName>
    <definedName name="nlht" localSheetId="33">#REF!</definedName>
    <definedName name="nlht">#REF!</definedName>
    <definedName name="NLTK1p" localSheetId="31">#REF!</definedName>
    <definedName name="NLTK1p" localSheetId="33">#REF!</definedName>
    <definedName name="NLTK1p">#REF!</definedName>
    <definedName name="nn" localSheetId="31">#REF!</definedName>
    <definedName name="nn" localSheetId="33">#REF!</definedName>
    <definedName name="nn">#REF!</definedName>
    <definedName name="nn1p" localSheetId="31">#REF!</definedName>
    <definedName name="nn1p" localSheetId="33">#REF!</definedName>
    <definedName name="nn1p">#REF!</definedName>
    <definedName name="nn3p" localSheetId="31">#REF!</definedName>
    <definedName name="nn3p" localSheetId="33">#REF!</definedName>
    <definedName name="nn3p">#REF!</definedName>
    <definedName name="nnnnnnn" localSheetId="35" hidden="1">{"'domaće količine'!$K$34:$P$47"}</definedName>
    <definedName name="nnnnnnn" localSheetId="31" hidden="1">{"'domaće količine'!$K$34:$P$47"}</definedName>
    <definedName name="nnnnnnn" localSheetId="37" hidden="1">{"'domaće količine'!$K$34:$P$47"}</definedName>
    <definedName name="nnnnnnn" localSheetId="36" hidden="1">{"'domaće količine'!$K$34:$P$47"}</definedName>
    <definedName name="nnnnnnn" hidden="1">{"'domaće količine'!$K$34:$P$47"}</definedName>
    <definedName name="No" localSheetId="33">#REF!</definedName>
    <definedName name="No">#REF!</definedName>
    <definedName name="NOIDEA2" localSheetId="35" hidden="1">{#N/A,#N/A,FALSE,"Calc";#N/A,#N/A,FALSE,"Sensitivity";#N/A,#N/A,FALSE,"LT Earn.Dil.";#N/A,#N/A,FALSE,"Dil. AVP"}</definedName>
    <definedName name="NOIDEA2" localSheetId="31" hidden="1">{#N/A,#N/A,FALSE,"Calc";#N/A,#N/A,FALSE,"Sensitivity";#N/A,#N/A,FALSE,"LT Earn.Dil.";#N/A,#N/A,FALSE,"Dil. AVP"}</definedName>
    <definedName name="NOIDEA2" localSheetId="37" hidden="1">{#N/A,#N/A,FALSE,"Calc";#N/A,#N/A,FALSE,"Sensitivity";#N/A,#N/A,FALSE,"LT Earn.Dil.";#N/A,#N/A,FALSE,"Dil. AVP"}</definedName>
    <definedName name="NOIDEA2" localSheetId="36" hidden="1">{#N/A,#N/A,FALSE,"Calc";#N/A,#N/A,FALSE,"Sensitivity";#N/A,#N/A,FALSE,"LT Earn.Dil.";#N/A,#N/A,FALSE,"Dil. AVP"}</definedName>
    <definedName name="NOIDEA2" hidden="1">{#N/A,#N/A,FALSE,"Calc";#N/A,#N/A,FALSE,"Sensitivity";#N/A,#N/A,FALSE,"LT Earn.Dil.";#N/A,#N/A,FALSE,"Dil. AVP"}</definedName>
    <definedName name="noidea" localSheetId="35" hidden="1">{#N/A,#N/A,FALSE,"Calc";#N/A,#N/A,FALSE,"Sensitivity";#N/A,#N/A,FALSE,"LT Earn.Dil.";#N/A,#N/A,FALSE,"Dil. AVP"}</definedName>
    <definedName name="noidea" localSheetId="31" hidden="1">{#N/A,#N/A,FALSE,"Calc";#N/A,#N/A,FALSE,"Sensitivity";#N/A,#N/A,FALSE,"LT Earn.Dil.";#N/A,#N/A,FALSE,"Dil. AVP"}</definedName>
    <definedName name="noidea" localSheetId="37" hidden="1">{#N/A,#N/A,FALSE,"Calc";#N/A,#N/A,FALSE,"Sensitivity";#N/A,#N/A,FALSE,"LT Earn.Dil.";#N/A,#N/A,FALSE,"Dil. AVP"}</definedName>
    <definedName name="noidea" localSheetId="36" hidden="1">{#N/A,#N/A,FALSE,"Calc";#N/A,#N/A,FALSE,"Sensitivity";#N/A,#N/A,FALSE,"LT Earn.Dil.";#N/A,#N/A,FALSE,"Dil. AVP"}</definedName>
    <definedName name="noidea" hidden="1">{#N/A,#N/A,FALSE,"Calc";#N/A,#N/A,FALSE,"Sensitivity";#N/A,#N/A,FALSE,"LT Earn.Dil.";#N/A,#N/A,FALSE,"Dil. AVP"}</definedName>
    <definedName name="NomeTabella">"Dummy"</definedName>
    <definedName name="nota02" localSheetId="33">#REF!</definedName>
    <definedName name="nota02">#REF!</definedName>
    <definedName name="nota04" localSheetId="31">#REF!</definedName>
    <definedName name="nota04" localSheetId="33">#REF!</definedName>
    <definedName name="nota04">#REF!</definedName>
    <definedName name="nota10" localSheetId="31">#REF!</definedName>
    <definedName name="nota10" localSheetId="33">#REF!</definedName>
    <definedName name="nota10">#REF!</definedName>
    <definedName name="nota11" localSheetId="31">#REF!</definedName>
    <definedName name="nota11" localSheetId="33">#REF!</definedName>
    <definedName name="nota11">#REF!</definedName>
    <definedName name="nota12" localSheetId="31">#REF!</definedName>
    <definedName name="nota12" localSheetId="33">#REF!</definedName>
    <definedName name="nota12">#REF!</definedName>
    <definedName name="notcovered" localSheetId="35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notcovered" localSheetId="3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notcovered" localSheetId="37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notcovered" localSheetId="36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notcovered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NOW" localSheetId="33">#REF!</definedName>
    <definedName name="NOW">#REF!</definedName>
    <definedName name="nsl" localSheetId="31">#REF!</definedName>
    <definedName name="nsl" localSheetId="33">#REF!</definedName>
    <definedName name="nsl">#REF!</definedName>
    <definedName name="NUEVA" localSheetId="3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NUEVA" localSheetId="3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NUEVA" localSheetId="37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NUEVA" localSheetId="36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NUEVA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nueva1" localSheetId="3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nueva1" localSheetId="3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nueva1" localSheetId="37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nueva1" localSheetId="36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nueva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num_recette">#REF!</definedName>
    <definedName name="nx" localSheetId="31">#REF!</definedName>
    <definedName name="nx" localSheetId="33">#REF!</definedName>
    <definedName name="nx">#REF!</definedName>
    <definedName name="ODRŽ." localSheetId="35" hidden="1">{"'domaće količine'!$K$34:$P$47"}</definedName>
    <definedName name="ODRŽ." localSheetId="31" hidden="1">{"'domaće količine'!$K$34:$P$47"}</definedName>
    <definedName name="ODRŽ." localSheetId="37" hidden="1">{"'domaće količine'!$K$34:$P$47"}</definedName>
    <definedName name="ODRŽ." localSheetId="36" hidden="1">{"'domaće količine'!$K$34:$P$47"}</definedName>
    <definedName name="ODRŽ." hidden="1">{"'domaće količine'!$K$34:$P$47"}</definedName>
    <definedName name="odstupanja" localSheetId="35" hidden="1">{"'domaće količine'!$K$34:$P$47"}</definedName>
    <definedName name="odstupanja" localSheetId="31" hidden="1">{"'domaće količine'!$K$34:$P$47"}</definedName>
    <definedName name="odstupanja" localSheetId="37" hidden="1">{"'domaće količine'!$K$34:$P$47"}</definedName>
    <definedName name="odstupanja" localSheetId="36" hidden="1">{"'domaće količine'!$K$34:$P$47"}</definedName>
    <definedName name="odstupanja" hidden="1">{"'domaće količine'!$K$34:$P$47"}</definedName>
    <definedName name="òflfgfppfpf" localSheetId="35" hidden="1">{"SPM1",#N/A,FALSE,"RIEP"}</definedName>
    <definedName name="òflfgfppfpf" localSheetId="31" hidden="1">{"SPM1",#N/A,FALSE,"RIEP"}</definedName>
    <definedName name="òflfgfppfpf" localSheetId="37" hidden="1">{"SPM1",#N/A,FALSE,"RIEP"}</definedName>
    <definedName name="òflfgfppfpf" localSheetId="36" hidden="1">{"SPM1",#N/A,FALSE,"RIEP"}</definedName>
    <definedName name="òflfgfppfpf" hidden="1">{"SPM1",#N/A,FALSE,"RIEP"}</definedName>
    <definedName name="OIOIIUIUG" localSheetId="35" hidden="1">{"SPM1",#N/A,FALSE,"RIEP"}</definedName>
    <definedName name="OIOIIUIUG" localSheetId="31" hidden="1">{"SPM1",#N/A,FALSE,"RIEP"}</definedName>
    <definedName name="OIOIIUIUG" localSheetId="37" hidden="1">{"SPM1",#N/A,FALSE,"RIEP"}</definedName>
    <definedName name="OIOIIUIUG" localSheetId="36" hidden="1">{"SPM1",#N/A,FALSE,"RIEP"}</definedName>
    <definedName name="OIOIIUIUG" hidden="1">{"SPM1",#N/A,FALSE,"RIEP"}</definedName>
    <definedName name="ok" localSheetId="35" hidden="1">{#N/A,#N/A,FALSE,"Calc";#N/A,#N/A,FALSE,"Sensitivity";#N/A,#N/A,FALSE,"LT Earn.Dil.";#N/A,#N/A,FALSE,"Dil. AVP"}</definedName>
    <definedName name="ok" localSheetId="31" hidden="1">{#N/A,#N/A,FALSE,"Calc";#N/A,#N/A,FALSE,"Sensitivity";#N/A,#N/A,FALSE,"LT Earn.Dil.";#N/A,#N/A,FALSE,"Dil. AVP"}</definedName>
    <definedName name="ok" localSheetId="37" hidden="1">{#N/A,#N/A,FALSE,"Calc";#N/A,#N/A,FALSE,"Sensitivity";#N/A,#N/A,FALSE,"LT Earn.Dil.";#N/A,#N/A,FALSE,"Dil. AVP"}</definedName>
    <definedName name="ok" localSheetId="36" hidden="1">{#N/A,#N/A,FALSE,"Calc";#N/A,#N/A,FALSE,"Sensitivity";#N/A,#N/A,FALSE,"LT Earn.Dil.";#N/A,#N/A,FALSE,"Dil. AVP"}</definedName>
    <definedName name="ok" hidden="1">{#N/A,#N/A,FALSE,"Calc";#N/A,#N/A,FALSE,"Sensitivity";#N/A,#N/A,FALSE,"LT Earn.Dil.";#N/A,#N/A,FALSE,"Dil. AVP"}</definedName>
    <definedName name="oku" localSheetId="35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oku" localSheetId="31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oku" localSheetId="37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oku" localSheetId="36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oku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ooo" localSheetId="35" hidden="1">{"QQQ",#N/A,FALSE,"RIEP"}</definedName>
    <definedName name="ooo" localSheetId="31" hidden="1">{"QQQ",#N/A,FALSE,"RIEP"}</definedName>
    <definedName name="ooo" localSheetId="37" hidden="1">{"QQQ",#N/A,FALSE,"RIEP"}</definedName>
    <definedName name="ooo" localSheetId="36" hidden="1">{"QQQ",#N/A,FALSE,"RIEP"}</definedName>
    <definedName name="ooo" hidden="1">{"QQQ",#N/A,FALSE,"RIEP"}</definedName>
    <definedName name="oooooo" localSheetId="35" hidden="1">{#N/A,#N/A,FALSE,"RIEP"}</definedName>
    <definedName name="oooooo" localSheetId="31" hidden="1">{#N/A,#N/A,FALSE,"RIEP"}</definedName>
    <definedName name="oooooo" localSheetId="37" hidden="1">{#N/A,#N/A,FALSE,"RIEP"}</definedName>
    <definedName name="oooooo" localSheetId="36" hidden="1">{#N/A,#N/A,FALSE,"RIEP"}</definedName>
    <definedName name="oooooo" hidden="1">{#N/A,#N/A,FALSE,"RIEP"}</definedName>
    <definedName name="OP" localSheetId="35" hidden="1">{#N/A,#N/A,FALSE,"Operations";#N/A,#N/A,FALSE,"Financials"}</definedName>
    <definedName name="OP" localSheetId="31" hidden="1">{#N/A,#N/A,FALSE,"Operations";#N/A,#N/A,FALSE,"Financials"}</definedName>
    <definedName name="OP" localSheetId="37" hidden="1">{#N/A,#N/A,FALSE,"Operations";#N/A,#N/A,FALSE,"Financials"}</definedName>
    <definedName name="OP" localSheetId="36" hidden="1">{#N/A,#N/A,FALSE,"Operations";#N/A,#N/A,FALSE,"Financials"}</definedName>
    <definedName name="op" localSheetId="30">#REF!</definedName>
    <definedName name="op" localSheetId="34">#REF!</definedName>
    <definedName name="op">#REF!</definedName>
    <definedName name="OrderTable" localSheetId="33" hidden="1">#REF!</definedName>
    <definedName name="OrderTable" hidden="1">#REF!</definedName>
    <definedName name="Org_Size" localSheetId="35">#REF!</definedName>
    <definedName name="Org_Size" localSheetId="31">#REF!</definedName>
    <definedName name="Org_Size" localSheetId="37">#REF!</definedName>
    <definedName name="Org_Size" localSheetId="36">#REF!</definedName>
    <definedName name="Org_Size" localSheetId="30">#REF!</definedName>
    <definedName name="Org_Size" localSheetId="34">#REF!</definedName>
    <definedName name="Org_Size">#REF!</definedName>
    <definedName name="osc" localSheetId="31">#REF!</definedName>
    <definedName name="osc" localSheetId="33">#REF!</definedName>
    <definedName name="osc">#REF!</definedName>
    <definedName name="OTHERS" localSheetId="31">#REF!</definedName>
    <definedName name="OTHERS">#REF!</definedName>
    <definedName name="P_12">!$V1</definedName>
    <definedName name="p_all" localSheetId="35">#REF!</definedName>
    <definedName name="p_all" localSheetId="31">#REF!</definedName>
    <definedName name="p_all" localSheetId="37">#REF!</definedName>
    <definedName name="p_all" localSheetId="36">#REF!</definedName>
    <definedName name="p_all" localSheetId="30">#REF!</definedName>
    <definedName name="p_all" localSheetId="34">#REF!</definedName>
    <definedName name="p_all">#REF!</definedName>
    <definedName name="P_Attributi">25</definedName>
    <definedName name="P_Dimensione">"Account"</definedName>
    <definedName name="P_HostName">#REF!</definedName>
    <definedName name="P_RESULTAT" localSheetId="31">#REF!</definedName>
    <definedName name="P_RESULTAT">#REF!</definedName>
    <definedName name="P_ServerName" localSheetId="31">#REF!</definedName>
    <definedName name="P_ServerName">#REF!</definedName>
    <definedName name="p2_ACTIVITE" localSheetId="31">#REF!</definedName>
    <definedName name="p2_ACTIVITE">#REF!</definedName>
    <definedName name="p3_personnel" localSheetId="31">#REF!</definedName>
    <definedName name="p3_personnel">#REF!</definedName>
    <definedName name="p4_Facon" localSheetId="31">#REF!</definedName>
    <definedName name="p4_Facon">#REF!</definedName>
    <definedName name="Pack" localSheetId="31">#REF!</definedName>
    <definedName name="Pack">#REF!</definedName>
    <definedName name="Pack_Budget" localSheetId="31">#REF!</definedName>
    <definedName name="Pack_Budget">#REF!</definedName>
    <definedName name="Packaging" localSheetId="31">#REF!</definedName>
    <definedName name="Packaging">#REF!</definedName>
    <definedName name="PackType" localSheetId="31">#REF!</definedName>
    <definedName name="PackType">#REF!</definedName>
    <definedName name="PAK_PM" localSheetId="31">#REF!</definedName>
    <definedName name="PAK_PM">#REF!</definedName>
    <definedName name="PalBudNew" localSheetId="31">#REF!</definedName>
    <definedName name="PalBudNew">#REF!</definedName>
    <definedName name="PalBudOLd" localSheetId="31">#REF!</definedName>
    <definedName name="PalBudOLd">#REF!</definedName>
    <definedName name="PalEst" localSheetId="31">#REF!</definedName>
    <definedName name="PalEst">#REF!</definedName>
    <definedName name="PAPELLINER" localSheetId="31">#REF!</definedName>
    <definedName name="PAPELLINER" localSheetId="33">#REF!</definedName>
    <definedName name="PAPELLINER">#REF!</definedName>
    <definedName name="PAPER_LINER" localSheetId="31">#REF!</definedName>
    <definedName name="PAPER_LINER" localSheetId="33">#REF!</definedName>
    <definedName name="PAPER_LINER">#REF!</definedName>
    <definedName name="param_currency" localSheetId="31">#REF!</definedName>
    <definedName name="param_currency">#REF!</definedName>
    <definedName name="parm_ecartKG" localSheetId="31">#REF!</definedName>
    <definedName name="parm_ecartKG">#REF!</definedName>
    <definedName name="Part_of_original_budget_saving" localSheetId="31">#REF!</definedName>
    <definedName name="Part_of_original_budget_saving">#REF!</definedName>
    <definedName name="Partmaster" localSheetId="31">#REF!</definedName>
    <definedName name="Partmaster">#REF!</definedName>
    <definedName name="PAYS" localSheetId="31">#REF!</definedName>
    <definedName name="PAYS">#REF!</definedName>
    <definedName name="PCI" localSheetId="31">#REF!</definedName>
    <definedName name="PCI">#REF!</definedName>
    <definedName name="PDL" localSheetId="31">#REF!</definedName>
    <definedName name="PDL">#REF!</definedName>
    <definedName name="PDYLE00" localSheetId="35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DYLE00" localSheetId="3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DYLE00" localSheetId="37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DYLE00" localSheetId="36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DYLE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ENALITE">#REF!</definedName>
    <definedName name="PERIODE" localSheetId="31">#REF!</definedName>
    <definedName name="PERIODE">#REF!</definedName>
    <definedName name="PERIODE_23" localSheetId="31">#REF!</definedName>
    <definedName name="PERIODE_23">#REF!</definedName>
    <definedName name="Period" localSheetId="35">#REF!</definedName>
    <definedName name="Period" localSheetId="37">#REF!</definedName>
    <definedName name="Period" localSheetId="36">#REF!</definedName>
    <definedName name="Period">#REF!</definedName>
    <definedName name="PERMEAT" localSheetId="31">#REF!</definedName>
    <definedName name="PERMEAT">#REF!</definedName>
    <definedName name="PERMEATMP" localSheetId="31">#REF!</definedName>
    <definedName name="PERMEATMP">#REF!</definedName>
    <definedName name="Personal_Bemerkungen" localSheetId="31">#REF!,#REF!,#REF!,#REF!,#REF!,#REF!,#REF!</definedName>
    <definedName name="Personal_Bemerkungen" localSheetId="33">#REF!,#REF!,#REF!,#REF!,#REF!,#REF!,#REF!</definedName>
    <definedName name="Personal_Bemerkungen">#REF!,#REF!,#REF!,#REF!,#REF!,#REF!,#REF!</definedName>
    <definedName name="Personnel" localSheetId="35">#REF!</definedName>
    <definedName name="Personnel" localSheetId="31">#REF!</definedName>
    <definedName name="Personnel">#REF!</definedName>
    <definedName name="Pertes_Euros" localSheetId="35">#REF!</definedName>
    <definedName name="Pertes_Euros" localSheetId="31">#REF!</definedName>
    <definedName name="Pertes_Euros">#REF!</definedName>
    <definedName name="Pertes_Kg" localSheetId="35">#REF!</definedName>
    <definedName name="Pertes_Kg" localSheetId="31">#REF!</definedName>
    <definedName name="Pertes_Kg">#REF!</definedName>
    <definedName name="Phanbothue" localSheetId="31">#REF!</definedName>
    <definedName name="Phanbothue" localSheetId="33">#REF!</definedName>
    <definedName name="Phanbothue">#REF!</definedName>
    <definedName name="Phone" localSheetId="31">#REF!</definedName>
    <definedName name="Phone" localSheetId="33">#REF!</definedName>
    <definedName name="Phone">#REF!</definedName>
    <definedName name="phu_luc_vua" localSheetId="31">#REF!</definedName>
    <definedName name="phu_luc_vua" localSheetId="33">#REF!</definedName>
    <definedName name="phu_luc_vua">#REF!</definedName>
    <definedName name="PI" localSheetId="31">#REF!</definedName>
    <definedName name="PI">#REF!</definedName>
    <definedName name="pippo" localSheetId="35" hidden="1">{#N/A,#N/A,FALSE,"RIEP"}</definedName>
    <definedName name="pippo" localSheetId="31" hidden="1">{#N/A,#N/A,FALSE,"RIEP"}</definedName>
    <definedName name="pippo" localSheetId="37" hidden="1">{#N/A,#N/A,FALSE,"RIEP"}</definedName>
    <definedName name="pippo" localSheetId="36" hidden="1">{#N/A,#N/A,FALSE,"RIEP"}</definedName>
    <definedName name="pippo" hidden="1">{#N/A,#N/A,FALSE,"RIEP"}</definedName>
    <definedName name="PK" localSheetId="33">#REF!</definedName>
    <definedName name="PK">#REF!</definedName>
    <definedName name="Plan96b" localSheetId="31" hidden="1">#REF!</definedName>
    <definedName name="Plan96b" localSheetId="33" hidden="1">#REF!</definedName>
    <definedName name="Plan96b" hidden="1">#REF!</definedName>
    <definedName name="PLANENE99" localSheetId="31">#REF!</definedName>
    <definedName name="PLANENE99" localSheetId="33">#REF!</definedName>
    <definedName name="PLANENE99">#REF!</definedName>
    <definedName name="Plant" localSheetId="35">#REF!</definedName>
    <definedName name="Plant" localSheetId="37">#REF!</definedName>
    <definedName name="Plant" localSheetId="36">#REF!</definedName>
    <definedName name="Plant">#REF!</definedName>
    <definedName name="pluto" localSheetId="35" hidden="1">{"SPM1",#N/A,FALSE,"RIEP"}</definedName>
    <definedName name="pluto" localSheetId="31" hidden="1">{"SPM1",#N/A,FALSE,"RIEP"}</definedName>
    <definedName name="pluto" localSheetId="37" hidden="1">{"SPM1",#N/A,FALSE,"RIEP"}</definedName>
    <definedName name="pluto" localSheetId="36" hidden="1">{"SPM1",#N/A,FALSE,"RIEP"}</definedName>
    <definedName name="pluto" hidden="1">{"SPM1",#N/A,FALSE,"RIEP"}</definedName>
    <definedName name="PNL">#REF!</definedName>
    <definedName name="PO" localSheetId="35" hidden="1">{"QQQ",#N/A,FALSE,"RIEP"}</definedName>
    <definedName name="PO" localSheetId="31" hidden="1">{"QQQ",#N/A,FALSE,"RIEP"}</definedName>
    <definedName name="PO" localSheetId="37" hidden="1">{"QQQ",#N/A,FALSE,"RIEP"}</definedName>
    <definedName name="PO" localSheetId="36" hidden="1">{"QQQ",#N/A,FALSE,"RIEP"}</definedName>
    <definedName name="PO" hidden="1">{"QQQ",#N/A,FALSE,"RIEP"}</definedName>
    <definedName name="poi" localSheetId="35" hidden="1">{"assumption 50 50",#N/A,TRUE,"Merger";"has gets cash",#N/A,TRUE,"Merger";"accretion dilution",#N/A,TRUE,"Merger";"comparison credit stats",#N/A,TRUE,"Merger";"pf credit stats",#N/A,TRUE,"Merger";"pf sheets",#N/A,TRUE,"Merger"}</definedName>
    <definedName name="poi" localSheetId="31" hidden="1">{"assumption 50 50",#N/A,TRUE,"Merger";"has gets cash",#N/A,TRUE,"Merger";"accretion dilution",#N/A,TRUE,"Merger";"comparison credit stats",#N/A,TRUE,"Merger";"pf credit stats",#N/A,TRUE,"Merger";"pf sheets",#N/A,TRUE,"Merger"}</definedName>
    <definedName name="poi" localSheetId="37" hidden="1">{"assumption 50 50",#N/A,TRUE,"Merger";"has gets cash",#N/A,TRUE,"Merger";"accretion dilution",#N/A,TRUE,"Merger";"comparison credit stats",#N/A,TRUE,"Merger";"pf credit stats",#N/A,TRUE,"Merger";"pf sheets",#N/A,TRUE,"Merger"}</definedName>
    <definedName name="poi" localSheetId="36" hidden="1">{"assumption 50 50",#N/A,TRUE,"Merger";"has gets cash",#N/A,TRUE,"Merger";"accretion dilution",#N/A,TRUE,"Merger";"comparison credit stats",#N/A,TRUE,"Merger";"pf credit stats",#N/A,TRUE,"Merger";"pf sheets",#N/A,TRUE,"Merger"}</definedName>
    <definedName name="poi" hidden="1">{"assumption 50 50",#N/A,TRUE,"Merger";"has gets cash",#N/A,TRUE,"Merger";"accretion dilution",#N/A,TRUE,"Merger";"comparison credit stats",#N/A,TRUE,"Merger";"pf credit stats",#N/A,TRUE,"Merger";"pf sheets",#N/A,TRUE,"Merger"}</definedName>
    <definedName name="poids_unit_fact">#REF!</definedName>
    <definedName name="position" localSheetId="31">#REF!</definedName>
    <definedName name="position">#REF!</definedName>
    <definedName name="POSTES" localSheetId="31">#REF!</definedName>
    <definedName name="POSTES">#REF!</definedName>
    <definedName name="poùH" localSheetId="35" hidden="1">{#N/A,#N/A,FALSE,"RIEP"}</definedName>
    <definedName name="poùH" localSheetId="31" hidden="1">{#N/A,#N/A,FALSE,"RIEP"}</definedName>
    <definedName name="poùH" localSheetId="37" hidden="1">{#N/A,#N/A,FALSE,"RIEP"}</definedName>
    <definedName name="poùH" localSheetId="36" hidden="1">{#N/A,#N/A,FALSE,"RIEP"}</definedName>
    <definedName name="poùH" hidden="1">{#N/A,#N/A,FALSE,"RIEP"}</definedName>
    <definedName name="pp_1XDM" localSheetId="33">#REF!</definedName>
    <definedName name="pp_1XDM">#REF!</definedName>
    <definedName name="pp_3NC" localSheetId="31">#REF!</definedName>
    <definedName name="pp_3NC" localSheetId="33">#REF!</definedName>
    <definedName name="pp_3NC">#REF!</definedName>
    <definedName name="pp_3XDM" localSheetId="31">#REF!</definedName>
    <definedName name="pp_3XDM" localSheetId="33">#REF!</definedName>
    <definedName name="pp_3XDM">#REF!</definedName>
    <definedName name="ppp" localSheetId="35" hidden="1">{"QQQ",#N/A,FALSE,"RIEP"}</definedName>
    <definedName name="ppp" localSheetId="31" hidden="1">{"QQQ",#N/A,FALSE,"RIEP"}</definedName>
    <definedName name="ppp" localSheetId="37" hidden="1">{"QQQ",#N/A,FALSE,"RIEP"}</definedName>
    <definedName name="ppp" localSheetId="36" hidden="1">{"QQQ",#N/A,FALSE,"RIEP"}</definedName>
    <definedName name="ppp" hidden="1">{"QQQ",#N/A,FALSE,"RIEP"}</definedName>
    <definedName name="PR_BUDGET">#REF!</definedName>
    <definedName name="PR_RECIPES_BUD" localSheetId="31">#REF!</definedName>
    <definedName name="PR_RECIPES_BUD">#REF!</definedName>
    <definedName name="PR_RECIPES_BUD_0" localSheetId="31">#REF!</definedName>
    <definedName name="PR_RECIPES_BUD_0">#REF!</definedName>
    <definedName name="PR_RECIPES_MTH" localSheetId="31">#REF!</definedName>
    <definedName name="PR_RECIPES_MTH">#REF!</definedName>
    <definedName name="PR_RECIPES_MTH_0" localSheetId="31">#REF!</definedName>
    <definedName name="PR_RECIPES_MTH_0">#REF!</definedName>
    <definedName name="PRD_CHG">""</definedName>
    <definedName name="PRD_NM_C">"底盘组件"</definedName>
    <definedName name="PRD_NO">"RYF111A002B"</definedName>
    <definedName name="PRD_NOMBC">"QT10050"</definedName>
    <definedName name="PRECIO" localSheetId="33">#REF!</definedName>
    <definedName name="PRECIO">#REF!</definedName>
    <definedName name="Pres" localSheetId="35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" localSheetId="3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" localSheetId="37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" localSheetId="36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entation" localSheetId="35" hidden="1">{#N/A,#N/A,TRUE,"Scenari";#N/A,#N/A,TRUE,"Wacc";#N/A,#N/A,TRUE,"DCF";#N/A,#N/A,TRUE,"TV";#N/A,#N/A,TRUE,"Ctrl";#N/A,#N/A,TRUE,"EVA ";#N/A,#N/A,TRUE,"Mista"}</definedName>
    <definedName name="presentation" localSheetId="31" hidden="1">{#N/A,#N/A,TRUE,"Scenari";#N/A,#N/A,TRUE,"Wacc";#N/A,#N/A,TRUE,"DCF";#N/A,#N/A,TRUE,"TV";#N/A,#N/A,TRUE,"Ctrl";#N/A,#N/A,TRUE,"EVA ";#N/A,#N/A,TRUE,"Mista"}</definedName>
    <definedName name="presentation" localSheetId="37" hidden="1">{#N/A,#N/A,TRUE,"Scenari";#N/A,#N/A,TRUE,"Wacc";#N/A,#N/A,TRUE,"DCF";#N/A,#N/A,TRUE,"TV";#N/A,#N/A,TRUE,"Ctrl";#N/A,#N/A,TRUE,"EVA ";#N/A,#N/A,TRUE,"Mista"}</definedName>
    <definedName name="presentation" localSheetId="36" hidden="1">{#N/A,#N/A,TRUE,"Scenari";#N/A,#N/A,TRUE,"Wacc";#N/A,#N/A,TRUE,"DCF";#N/A,#N/A,TRUE,"TV";#N/A,#N/A,TRUE,"Ctrl";#N/A,#N/A,TRUE,"EVA ";#N/A,#N/A,TRUE,"Mista"}</definedName>
    <definedName name="presentation" hidden="1">{#N/A,#N/A,TRUE,"Scenari";#N/A,#N/A,TRUE,"Wacc";#N/A,#N/A,TRUE,"DCF";#N/A,#N/A,TRUE,"TV";#N/A,#N/A,TRUE,"Ctrl";#N/A,#N/A,TRUE,"EVA ";#N/A,#N/A,TRUE,"Mista"}</definedName>
    <definedName name="PRESIDENT" localSheetId="35">#REF!,#REF!,#REF!,#REF!,#REF!,#REF!,#REF!,#REF!,#REF!,#REF!</definedName>
    <definedName name="PRESIDENT" localSheetId="31">#REF!,#REF!,#REF!,#REF!,#REF!,#REF!,#REF!,#REF!,#REF!,#REF!</definedName>
    <definedName name="PRESIDENT">#REF!,#REF!,#REF!,#REF!,#REF!,#REF!,#REF!,#REF!,#REF!,#REF!</definedName>
    <definedName name="PRICE" localSheetId="35">#REF!</definedName>
    <definedName name="PRICE" localSheetId="31">#REF!</definedName>
    <definedName name="PRICE" localSheetId="33">#REF!</definedName>
    <definedName name="PRICE">#REF!</definedName>
    <definedName name="PRICE1" localSheetId="35">#REF!</definedName>
    <definedName name="PRICE1" localSheetId="31">#REF!</definedName>
    <definedName name="PRICE1" localSheetId="33">#REF!</definedName>
    <definedName name="PRICE1">#REF!</definedName>
    <definedName name="PRINT_AREA_MI" localSheetId="31">#REF!</definedName>
    <definedName name="PRINT_AREA_MI">#REF!</definedName>
    <definedName name="PRINT_GB" localSheetId="31">#REF!</definedName>
    <definedName name="PRINT_GB">#REF!</definedName>
    <definedName name="PRINTA" localSheetId="31">#REF!</definedName>
    <definedName name="PRINTA" localSheetId="33">#REF!</definedName>
    <definedName name="PRINTA">#REF!</definedName>
    <definedName name="PRINTB" localSheetId="31">#REF!</definedName>
    <definedName name="PRINTB" localSheetId="33">#REF!</definedName>
    <definedName name="PRINTB">#REF!</definedName>
    <definedName name="PRINTC" localSheetId="31">#REF!</definedName>
    <definedName name="PRINTC" localSheetId="33">#REF!</definedName>
    <definedName name="PRINTC">#REF!</definedName>
    <definedName name="price_для_всех_cump" localSheetId="31">#REF!</definedName>
    <definedName name="price_для_всех_cump">#REF!</definedName>
    <definedName name="print" localSheetId="31">#REF!</definedName>
    <definedName name="print">#REF!</definedName>
    <definedName name="print_23" localSheetId="31">#REF!</definedName>
    <definedName name="print_23">#REF!</definedName>
    <definedName name="_xlnm.Print_Area" localSheetId="31">#REF!</definedName>
    <definedName name="_xlnm.Print_Area" localSheetId="33">#REF!</definedName>
    <definedName name="_xlnm.Print_Area">#REF!</definedName>
    <definedName name="_xlnm.Print_Titles" localSheetId="35">#N/A</definedName>
    <definedName name="_xlnm.Print_Titles" localSheetId="31">#N/A</definedName>
    <definedName name="_xlnm.Print_Titles" localSheetId="37">#N/A</definedName>
    <definedName name="_xlnm.Print_Titles" localSheetId="36">#N/A</definedName>
    <definedName name="_xlnm.Print_Titles" localSheetId="33">#REF!</definedName>
    <definedName name="_xlnm.Print_Titles">#REF!</definedName>
    <definedName name="Print_Titles_MI" localSheetId="31">#REF!</definedName>
    <definedName name="Print_Titles_MI" localSheetId="33">#REF!</definedName>
    <definedName name="Print_Titles_MI">#REF!</definedName>
    <definedName name="printbud" localSheetId="35">#REF!,#REF!,#REF!</definedName>
    <definedName name="printbud" localSheetId="31">#REF!,#REF!,#REF!</definedName>
    <definedName name="printbud">#REF!,#REF!,#REF!</definedName>
    <definedName name="PrintBudgetCONSOL" localSheetId="35">#REF!</definedName>
    <definedName name="PrintBudgetCONSOL" localSheetId="31">#REF!</definedName>
    <definedName name="PrintBudgetCONSOL">#REF!</definedName>
    <definedName name="PrintCONSOL2002" localSheetId="31">#REF!</definedName>
    <definedName name="PrintCONSOL2002">#REF!</definedName>
    <definedName name="PrintConsolVariance" localSheetId="31">#REF!</definedName>
    <definedName name="PrintConsolVariance">#REF!</definedName>
    <definedName name="PrintMonthCONSOL" localSheetId="31">#REF!</definedName>
    <definedName name="PrintMonthCONSOL">#REF!</definedName>
    <definedName name="PrintSumCONSOL" localSheetId="31">#REF!</definedName>
    <definedName name="PrintSumCONSOL">#REF!</definedName>
    <definedName name="Priority" localSheetId="31">#REF!</definedName>
    <definedName name="Priority">#REF!</definedName>
    <definedName name="prix_formule" localSheetId="31">#REF!</definedName>
    <definedName name="prix_formule">#REF!</definedName>
    <definedName name="prix_pmp" localSheetId="31">#REF!</definedName>
    <definedName name="prix_pmp">#REF!</definedName>
    <definedName name="prix_sem" localSheetId="31">#REF!</definedName>
    <definedName name="prix_sem">#REF!</definedName>
    <definedName name="pro" localSheetId="4" hidden="1">{"'Foglio1'!$J$12:$M$12"}</definedName>
    <definedName name="PRO" localSheetId="35">#REF!</definedName>
    <definedName name="PRO" localSheetId="31">#REF!</definedName>
    <definedName name="PRO" localSheetId="37">#REF!</definedName>
    <definedName name="pro" localSheetId="38" hidden="1">{"'Foglio1'!$J$12:$M$12"}</definedName>
    <definedName name="pro" localSheetId="7" hidden="1">{"'Foglio1'!$J$12:$M$12"}</definedName>
    <definedName name="PRO" localSheetId="36">#REF!</definedName>
    <definedName name="pro" localSheetId="21" hidden="1">{"'Foglio1'!$J$12:$M$12"}</definedName>
    <definedName name="pro" localSheetId="30" hidden="1">{"'Foglio1'!$J$12:$M$12"}</definedName>
    <definedName name="pro" localSheetId="34" hidden="1">{"'Foglio1'!$J$12:$M$12"}</definedName>
    <definedName name="pro" localSheetId="33" hidden="1">{"'Foglio1'!$J$12:$M$12"}</definedName>
    <definedName name="pro" localSheetId="6" hidden="1">{"'Foglio1'!$J$12:$M$12"}</definedName>
    <definedName name="pro" hidden="1">{"'Foglio1'!$J$12:$M$12"}</definedName>
    <definedName name="proaou" localSheetId="31">#REF!</definedName>
    <definedName name="proaou">#REF!</definedName>
    <definedName name="proavr" localSheetId="31">#REF!</definedName>
    <definedName name="proavr">#REF!</definedName>
    <definedName name="Process_énergies" localSheetId="31">#REF!</definedName>
    <definedName name="Process_énergies">#REF!</definedName>
    <definedName name="Prod" localSheetId="35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rod" localSheetId="3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rod" localSheetId="37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rod" localSheetId="36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rod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ROD." localSheetId="35" hidden="1">{"'domaće količine'!$K$34:$P$47"}</definedName>
    <definedName name="PROD." localSheetId="31" hidden="1">{"'domaće količine'!$K$34:$P$47"}</definedName>
    <definedName name="PROD." localSheetId="37" hidden="1">{"'domaće količine'!$K$34:$P$47"}</definedName>
    <definedName name="PROD." localSheetId="36" hidden="1">{"'domaće količine'!$K$34:$P$47"}</definedName>
    <definedName name="PROD." hidden="1">{"'domaće količine'!$K$34:$P$47"}</definedName>
    <definedName name="Prod_Kg">#REF!</definedName>
    <definedName name="PROD_MTH_ACT" localSheetId="31">#REF!</definedName>
    <definedName name="PROD_MTH_ACT">#REF!</definedName>
    <definedName name="PROD_MTH_BUD" localSheetId="31">#REF!</definedName>
    <definedName name="PROD_MTH_BUD">#REF!</definedName>
    <definedName name="PROD_YTD_ACT" localSheetId="31">#REF!</definedName>
    <definedName name="PROD_YTD_ACT">#REF!</definedName>
    <definedName name="PROD_YTD_BUD" localSheetId="31">#REF!</definedName>
    <definedName name="PROD_YTD_BUD">#REF!</definedName>
    <definedName name="prodec" localSheetId="31">#REF!</definedName>
    <definedName name="prodec">#REF!</definedName>
    <definedName name="ProdForm" localSheetId="31" hidden="1">#REF!</definedName>
    <definedName name="ProdForm" localSheetId="33" hidden="1">#REF!</definedName>
    <definedName name="ProdForm" hidden="1">#REF!</definedName>
    <definedName name="Product" localSheetId="31" hidden="1">#REF!</definedName>
    <definedName name="Product" localSheetId="33" hidden="1">#REF!</definedName>
    <definedName name="Product" hidden="1">#REF!</definedName>
    <definedName name="Productivity" localSheetId="35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roductivity" localSheetId="3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roductivity" localSheetId="37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roductivity" localSheetId="36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roductivity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rofev">#REF!</definedName>
    <definedName name="prognoza" localSheetId="35" hidden="1">{"'domaće količine'!$K$34:$P$47"}</definedName>
    <definedName name="prognoza" localSheetId="31" hidden="1">{"'domaće količine'!$K$34:$P$47"}</definedName>
    <definedName name="prognoza" localSheetId="37" hidden="1">{"'domaće količine'!$K$34:$P$47"}</definedName>
    <definedName name="prognoza" localSheetId="36" hidden="1">{"'domaće količine'!$K$34:$P$47"}</definedName>
    <definedName name="prognoza" hidden="1">{"'domaće količine'!$K$34:$P$47"}</definedName>
    <definedName name="projanv">#REF!</definedName>
    <definedName name="Project_Status" localSheetId="31">#REF!</definedName>
    <definedName name="Project_Status">#REF!</definedName>
    <definedName name="Projekt" localSheetId="31">#REF!</definedName>
    <definedName name="Projekt" localSheetId="33">#REF!</definedName>
    <definedName name="Projekt">#REF!</definedName>
    <definedName name="projout" localSheetId="35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projout" localSheetId="31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projout" localSheetId="37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projout" localSheetId="36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projout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projui">#REF!</definedName>
    <definedName name="projuil" localSheetId="31">#REF!</definedName>
    <definedName name="projuil">#REF!</definedName>
    <definedName name="promai" localSheetId="31">#REF!</definedName>
    <definedName name="promai">#REF!</definedName>
    <definedName name="promar" localSheetId="31">#REF!</definedName>
    <definedName name="promar">#REF!</definedName>
    <definedName name="pronov" localSheetId="31">#REF!</definedName>
    <definedName name="pronov">#REF!</definedName>
    <definedName name="prooct" localSheetId="31">#REF!</definedName>
    <definedName name="prooct">#REF!</definedName>
    <definedName name="PROPOSAL" localSheetId="31">#REF!</definedName>
    <definedName name="PROPOSAL" localSheetId="33">#REF!</definedName>
    <definedName name="PROPOSAL">#REF!</definedName>
    <definedName name="prosep" localSheetId="31">#REF!</definedName>
    <definedName name="prosep">#REF!</definedName>
    <definedName name="Prot" localSheetId="31">#REF!</definedName>
    <definedName name="Prot">#REF!</definedName>
    <definedName name="ProtActY_1" localSheetId="31">#REF!</definedName>
    <definedName name="ProtActY_1">#REF!</definedName>
    <definedName name="ProtCostTotalEst08" localSheetId="31">#REF!</definedName>
    <definedName name="ProtCostTotalEst08">#REF!</definedName>
    <definedName name="ProtCreamABudOld" localSheetId="31">#REF!</definedName>
    <definedName name="ProtCreamABudOld">#REF!</definedName>
    <definedName name="Protein" localSheetId="31">#REF!</definedName>
    <definedName name="Protein">#REF!</definedName>
    <definedName name="ProteinCost2009" localSheetId="31">#REF!</definedName>
    <definedName name="ProteinCost2009">#REF!</definedName>
    <definedName name="ProteinCostBud08" localSheetId="31">#REF!</definedName>
    <definedName name="ProteinCostBud08">#REF!</definedName>
    <definedName name="ProteinCostEst08" localSheetId="31">#REF!</definedName>
    <definedName name="ProteinCostEst08">#REF!</definedName>
    <definedName name="ProtEst" localSheetId="31">#REF!</definedName>
    <definedName name="ProtEst">#REF!</definedName>
    <definedName name="ProtNewBud" localSheetId="31">#REF!</definedName>
    <definedName name="ProtNewBud">#REF!</definedName>
    <definedName name="ProtOldBud" localSheetId="31">#REF!</definedName>
    <definedName name="ProtOldBud">#REF!</definedName>
    <definedName name="ProtSkimmedABudNew" localSheetId="31">#REF!</definedName>
    <definedName name="ProtSkimmedABudNew">#REF!</definedName>
    <definedName name="ProtSkimmedBudNew" localSheetId="31">#REF!</definedName>
    <definedName name="ProtSkimmedBudNew">#REF!</definedName>
    <definedName name="ProtSkimmedBudOld" localSheetId="31">#REF!</definedName>
    <definedName name="ProtSkimmedBudOld">#REF!</definedName>
    <definedName name="ProtSkimmedEst" localSheetId="31">#REF!</definedName>
    <definedName name="ProtSkimmedEst">#REF!</definedName>
    <definedName name="ProtSMPBudNew" localSheetId="31">#REF!</definedName>
    <definedName name="ProtSMPBudNew">#REF!</definedName>
    <definedName name="ProtSMPBudOld" localSheetId="31">#REF!</definedName>
    <definedName name="ProtSMPBudOld">#REF!</definedName>
    <definedName name="ProtSMPEst" localSheetId="31">#REF!</definedName>
    <definedName name="ProtSMPEst">#REF!</definedName>
    <definedName name="ProtWPCBudNew" localSheetId="31">#REF!</definedName>
    <definedName name="ProtWPCBudNew">#REF!</definedName>
    <definedName name="ProtWPCBudOld" localSheetId="31">#REF!</definedName>
    <definedName name="ProtWPCBudOld">#REF!</definedName>
    <definedName name="ProtWPCEst" localSheetId="31">#REF!</definedName>
    <definedName name="ProtWPCEst">#REF!</definedName>
    <definedName name="proty" localSheetId="35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roty" localSheetId="3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roty" localSheetId="37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roty" localSheetId="36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roty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rotYTD">#REF!</definedName>
    <definedName name="prout" localSheetId="35" hidden="1">{"comp1",#N/A,FALSE,"COMPS";"footnotes",#N/A,FALSE,"COMPS"}</definedName>
    <definedName name="prout" localSheetId="31" hidden="1">{"comp1",#N/A,FALSE,"COMPS";"footnotes",#N/A,FALSE,"COMPS"}</definedName>
    <definedName name="prout" localSheetId="37" hidden="1">{"comp1",#N/A,FALSE,"COMPS";"footnotes",#N/A,FALSE,"COMPS"}</definedName>
    <definedName name="prout" localSheetId="36" hidden="1">{"comp1",#N/A,FALSE,"COMPS";"footnotes",#N/A,FALSE,"COMPS"}</definedName>
    <definedName name="prout" hidden="1">{"comp1",#N/A,FALSE,"COMPS";"footnotes",#N/A,FALSE,"COMPS"}</definedName>
    <definedName name="PrtKF">#REF!</definedName>
    <definedName name="PrtKF_cum" localSheetId="31">#REF!</definedName>
    <definedName name="PrtKF_cum">#REF!</definedName>
    <definedName name="PrtKF_cum_23" localSheetId="31">#REF!</definedName>
    <definedName name="PrtKF_cum_23">#REF!</definedName>
    <definedName name="PrtKF_cum_3" localSheetId="31">#REF!</definedName>
    <definedName name="PrtKF_cum_3">#REF!</definedName>
    <definedName name="PrtKF_ev" localSheetId="31">#REF!</definedName>
    <definedName name="PrtKF_ev">#REF!</definedName>
    <definedName name="PrtKF_m" localSheetId="31">#REF!</definedName>
    <definedName name="PrtKF_m">#REF!</definedName>
    <definedName name="prw" localSheetId="35" hidden="1">{#N/A,#N/A,TRUE,"VOLUMES";#N/A,#N/A,TRUE,"1A-TB 240";#N/A,#N/A,TRUE,"1B-TB 250";#N/A,#N/A,TRUE,"1D-Tr 240";#N/A,#N/A,TRUE,"1E-Tr 250";#N/A,#N/A,TRUE,"1M-Tr 250 60%";#N/A,#N/A,TRUE,"5A-Cru 240";#N/A,#N/A,TRUE,"5B-Cru 250";#N/A,#N/A,TRUE,"5D-Bio 250";#N/A,#N/A,TRUE,"3B-TB 320";#N/A,#N/A,TRUE,"3C-TB 350";#N/A,#N/A,TRUE,"Sérum";#N/A,#N/A,TRUE,"Recap Mat";#N/A,#N/A,TRUE,"ING CAM-TB";#N/A,#N/A,TRUE,"ING CAM-60%";#N/A,#N/A,TRUE,"ING CAM-Cru";#N/A,#N/A,TRUE,"ING COULO -52%";#N/A,#N/A,TRUE,"Recap Ing";#N/A,#N/A,TRUE,"CHARGES";#N/A,#N/A,TRUE,"Répart_charges";#N/A,#N/A,TRUE,"ENERGIES";#N/A,#N/A,TRUE,"EFFECTIF";#N/A,#N/A,TRUE,"Synthèse";#N/A,#N/A,TRUE,"CPTE EXPLOIT";#N/A,#N/A,TRUE,"PRIX CESSION";#N/A,#N/A,TRUE,"CONTROLE"}</definedName>
    <definedName name="prw" localSheetId="31" hidden="1">{#N/A,#N/A,TRUE,"VOLUMES";#N/A,#N/A,TRUE,"1A-TB 240";#N/A,#N/A,TRUE,"1B-TB 250";#N/A,#N/A,TRUE,"1D-Tr 240";#N/A,#N/A,TRUE,"1E-Tr 250";#N/A,#N/A,TRUE,"1M-Tr 250 60%";#N/A,#N/A,TRUE,"5A-Cru 240";#N/A,#N/A,TRUE,"5B-Cru 250";#N/A,#N/A,TRUE,"5D-Bio 250";#N/A,#N/A,TRUE,"3B-TB 320";#N/A,#N/A,TRUE,"3C-TB 350";#N/A,#N/A,TRUE,"Sérum";#N/A,#N/A,TRUE,"Recap Mat";#N/A,#N/A,TRUE,"ING CAM-TB";#N/A,#N/A,TRUE,"ING CAM-60%";#N/A,#N/A,TRUE,"ING CAM-Cru";#N/A,#N/A,TRUE,"ING COULO -52%";#N/A,#N/A,TRUE,"Recap Ing";#N/A,#N/A,TRUE,"CHARGES";#N/A,#N/A,TRUE,"Répart_charges";#N/A,#N/A,TRUE,"ENERGIES";#N/A,#N/A,TRUE,"EFFECTIF";#N/A,#N/A,TRUE,"Synthèse";#N/A,#N/A,TRUE,"CPTE EXPLOIT";#N/A,#N/A,TRUE,"PRIX CESSION";#N/A,#N/A,TRUE,"CONTROLE"}</definedName>
    <definedName name="prw" localSheetId="37" hidden="1">{#N/A,#N/A,TRUE,"VOLUMES";#N/A,#N/A,TRUE,"1A-TB 240";#N/A,#N/A,TRUE,"1B-TB 250";#N/A,#N/A,TRUE,"1D-Tr 240";#N/A,#N/A,TRUE,"1E-Tr 250";#N/A,#N/A,TRUE,"1M-Tr 250 60%";#N/A,#N/A,TRUE,"5A-Cru 240";#N/A,#N/A,TRUE,"5B-Cru 250";#N/A,#N/A,TRUE,"5D-Bio 250";#N/A,#N/A,TRUE,"3B-TB 320";#N/A,#N/A,TRUE,"3C-TB 350";#N/A,#N/A,TRUE,"Sérum";#N/A,#N/A,TRUE,"Recap Mat";#N/A,#N/A,TRUE,"ING CAM-TB";#N/A,#N/A,TRUE,"ING CAM-60%";#N/A,#N/A,TRUE,"ING CAM-Cru";#N/A,#N/A,TRUE,"ING COULO -52%";#N/A,#N/A,TRUE,"Recap Ing";#N/A,#N/A,TRUE,"CHARGES";#N/A,#N/A,TRUE,"Répart_charges";#N/A,#N/A,TRUE,"ENERGIES";#N/A,#N/A,TRUE,"EFFECTIF";#N/A,#N/A,TRUE,"Synthèse";#N/A,#N/A,TRUE,"CPTE EXPLOIT";#N/A,#N/A,TRUE,"PRIX CESSION";#N/A,#N/A,TRUE,"CONTROLE"}</definedName>
    <definedName name="prw" localSheetId="36" hidden="1">{#N/A,#N/A,TRUE,"VOLUMES";#N/A,#N/A,TRUE,"1A-TB 240";#N/A,#N/A,TRUE,"1B-TB 250";#N/A,#N/A,TRUE,"1D-Tr 240";#N/A,#N/A,TRUE,"1E-Tr 250";#N/A,#N/A,TRUE,"1M-Tr 250 60%";#N/A,#N/A,TRUE,"5A-Cru 240";#N/A,#N/A,TRUE,"5B-Cru 250";#N/A,#N/A,TRUE,"5D-Bio 250";#N/A,#N/A,TRUE,"3B-TB 320";#N/A,#N/A,TRUE,"3C-TB 350";#N/A,#N/A,TRUE,"Sérum";#N/A,#N/A,TRUE,"Recap Mat";#N/A,#N/A,TRUE,"ING CAM-TB";#N/A,#N/A,TRUE,"ING CAM-60%";#N/A,#N/A,TRUE,"ING CAM-Cru";#N/A,#N/A,TRUE,"ING COULO -52%";#N/A,#N/A,TRUE,"Recap Ing";#N/A,#N/A,TRUE,"CHARGES";#N/A,#N/A,TRUE,"Répart_charges";#N/A,#N/A,TRUE,"ENERGIES";#N/A,#N/A,TRUE,"EFFECTIF";#N/A,#N/A,TRUE,"Synthèse";#N/A,#N/A,TRUE,"CPTE EXPLOIT";#N/A,#N/A,TRUE,"PRIX CESSION";#N/A,#N/A,TRUE,"CONTROLE"}</definedName>
    <definedName name="prw" hidden="1">{#N/A,#N/A,TRUE,"VOLUMES";#N/A,#N/A,TRUE,"1A-TB 240";#N/A,#N/A,TRUE,"1B-TB 250";#N/A,#N/A,TRUE,"1D-Tr 240";#N/A,#N/A,TRUE,"1E-Tr 250";#N/A,#N/A,TRUE,"1M-Tr 250 60%";#N/A,#N/A,TRUE,"5A-Cru 240";#N/A,#N/A,TRUE,"5B-Cru 250";#N/A,#N/A,TRUE,"5D-Bio 250";#N/A,#N/A,TRUE,"3B-TB 320";#N/A,#N/A,TRUE,"3C-TB 350";#N/A,#N/A,TRUE,"Sérum";#N/A,#N/A,TRUE,"Recap Mat";#N/A,#N/A,TRUE,"ING CAM-TB";#N/A,#N/A,TRUE,"ING CAM-60%";#N/A,#N/A,TRUE,"ING CAM-Cru";#N/A,#N/A,TRUE,"ING COULO -52%";#N/A,#N/A,TRUE,"Recap Ing";#N/A,#N/A,TRUE,"CHARGES";#N/A,#N/A,TRUE,"Répart_charges";#N/A,#N/A,TRUE,"ENERGIES";#N/A,#N/A,TRUE,"EFFECTIF";#N/A,#N/A,TRUE,"Synthèse";#N/A,#N/A,TRUE,"CPTE EXPLOIT";#N/A,#N/A,TRUE,"PRIX CESSION";#N/A,#N/A,TRUE,"CONTROLE"}</definedName>
    <definedName name="PT_Duong" localSheetId="33">#REF!</definedName>
    <definedName name="PT_Duong">#REF!</definedName>
    <definedName name="ptdg" localSheetId="31">#REF!</definedName>
    <definedName name="ptdg" localSheetId="33">#REF!</definedName>
    <definedName name="ptdg">#REF!</definedName>
    <definedName name="PTDG_cau" localSheetId="31">#REF!</definedName>
    <definedName name="PTDG_cau" localSheetId="33">#REF!</definedName>
    <definedName name="PTDG_cau">#REF!</definedName>
    <definedName name="PtichDTL">#N/A</definedName>
    <definedName name="PTNC" localSheetId="31">#REF!</definedName>
    <definedName name="PTNC" localSheetId="33">#REF!</definedName>
    <definedName name="PTNC">#REF!</definedName>
    <definedName name="q" localSheetId="35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q" localSheetId="3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q" localSheetId="37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q" localSheetId="36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q" localSheetId="33">#REF!</definedName>
    <definedName name="Q">#REF!</definedName>
    <definedName name="qaecdaze" localSheetId="35" hidden="1">{"First Page",#N/A,FALSE,"Surfactants LBO";"Second Page",#N/A,FALSE,"Surfactants LBO"}</definedName>
    <definedName name="qaecdaze" localSheetId="31" hidden="1">{"First Page",#N/A,FALSE,"Surfactants LBO";"Second Page",#N/A,FALSE,"Surfactants LBO"}</definedName>
    <definedName name="qaecdaze" localSheetId="37" hidden="1">{"First Page",#N/A,FALSE,"Surfactants LBO";"Second Page",#N/A,FALSE,"Surfactants LBO"}</definedName>
    <definedName name="qaecdaze" localSheetId="36" hidden="1">{"First Page",#N/A,FALSE,"Surfactants LBO";"Second Page",#N/A,FALSE,"Surfactants LBO"}</definedName>
    <definedName name="qaecdaze" hidden="1">{"First Page",#N/A,FALSE,"Surfactants LBO";"Second Page",#N/A,FALSE,"Surfactants LBO"}</definedName>
    <definedName name="qbgBGWN" hidden="1">#REF!</definedName>
    <definedName name="qq" localSheetId="35" hidden="1">{#N/A,#N/A,FALSE,"RIEP"}</definedName>
    <definedName name="qq" localSheetId="31" hidden="1">{#N/A,#N/A,FALSE,"RIEP"}</definedName>
    <definedName name="qq" localSheetId="37" hidden="1">{#N/A,#N/A,FALSE,"RIEP"}</definedName>
    <definedName name="qq" localSheetId="36" hidden="1">{#N/A,#N/A,FALSE,"RIEP"}</definedName>
    <definedName name="qq" hidden="1">{#N/A,#N/A,FALSE,"RIEP"}</definedName>
    <definedName name="qqq" localSheetId="35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qqq" localSheetId="31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qqq" localSheetId="37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qqq" localSheetId="36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qqq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QQQQQQQQQQQQ" localSheetId="35" hidden="1">{#N/A,#N/A,FALSE,"RIEP"}</definedName>
    <definedName name="QQQQQQQQQQQQ" localSheetId="31" hidden="1">{#N/A,#N/A,FALSE,"RIEP"}</definedName>
    <definedName name="QQQQQQQQQQQQ" localSheetId="37" hidden="1">{#N/A,#N/A,FALSE,"RIEP"}</definedName>
    <definedName name="QQQQQQQQQQQQ" localSheetId="36" hidden="1">{#N/A,#N/A,FALSE,"RIEP"}</definedName>
    <definedName name="QQQQQQQQQQQQ" hidden="1">{#N/A,#N/A,FALSE,"RIEP"}</definedName>
    <definedName name="qscfaq" localSheetId="35" hidden="1">{"First Page",#N/A,FALSE,"Surfactants LBO";"Second Page",#N/A,FALSE,"Surfactants LBO"}</definedName>
    <definedName name="qscfaq" localSheetId="31" hidden="1">{"First Page",#N/A,FALSE,"Surfactants LBO";"Second Page",#N/A,FALSE,"Surfactants LBO"}</definedName>
    <definedName name="qscfaq" localSheetId="37" hidden="1">{"First Page",#N/A,FALSE,"Surfactants LBO";"Second Page",#N/A,FALSE,"Surfactants LBO"}</definedName>
    <definedName name="qscfaq" localSheetId="36" hidden="1">{"First Page",#N/A,FALSE,"Surfactants LBO";"Second Page",#N/A,FALSE,"Surfactants LBO"}</definedName>
    <definedName name="qscfaq" hidden="1">{"First Page",#N/A,FALSE,"Surfactants LBO";"Second Page",#N/A,FALSE,"Surfactants LBO"}</definedName>
    <definedName name="QSDQS" hidden="1">#REF!</definedName>
    <definedName name="Qté" localSheetId="31">#REF!</definedName>
    <definedName name="Qté">#REF!</definedName>
    <definedName name="QTY_RSV">150</definedName>
    <definedName name="QTYB_RTN">1.2</definedName>
    <definedName name="QTYMBC">150</definedName>
    <definedName name="quantité">#REF!</definedName>
    <definedName name="quantity" localSheetId="31">#REF!</definedName>
    <definedName name="quantity">#REF!</definedName>
    <definedName name="QUERY_DATA" localSheetId="31">#REF!</definedName>
    <definedName name="QUERY_DATA" localSheetId="33">#REF!</definedName>
    <definedName name="QUERY_DATA">#REF!</definedName>
    <definedName name="qw" localSheetId="35" hidden="1">{#N/A,#N/A,FALSE,"RIEP"}</definedName>
    <definedName name="qw" localSheetId="31" hidden="1">{#N/A,#N/A,FALSE,"RIEP"}</definedName>
    <definedName name="qw" localSheetId="37" hidden="1">{#N/A,#N/A,FALSE,"RIEP"}</definedName>
    <definedName name="qw" localSheetId="36" hidden="1">{#N/A,#N/A,FALSE,"RIEP"}</definedName>
    <definedName name="qw" hidden="1">{#N/A,#N/A,FALSE,"RIEP"}</definedName>
    <definedName name="ra11p" localSheetId="33">#REF!</definedName>
    <definedName name="ra11p">#REF!</definedName>
    <definedName name="ra13p" localSheetId="31">#REF!</definedName>
    <definedName name="ra13p" localSheetId="33">#REF!</definedName>
    <definedName name="ra13p">#REF!</definedName>
    <definedName name="rack1" localSheetId="31">#REF!</definedName>
    <definedName name="rack1" localSheetId="33">#REF!</definedName>
    <definedName name="rack1">#REF!</definedName>
    <definedName name="rack2" localSheetId="31">#REF!</definedName>
    <definedName name="rack2" localSheetId="33">#REF!</definedName>
    <definedName name="rack2">#REF!</definedName>
    <definedName name="rack3" localSheetId="31">#REF!</definedName>
    <definedName name="rack3" localSheetId="33">#REF!</definedName>
    <definedName name="rack3">#REF!</definedName>
    <definedName name="rack4" localSheetId="31">#REF!</definedName>
    <definedName name="rack4" localSheetId="33">#REF!</definedName>
    <definedName name="rack4">#REF!</definedName>
    <definedName name="Range2" localSheetId="31">#REF!</definedName>
    <definedName name="Range2" localSheetId="33">#REF!</definedName>
    <definedName name="Range2">#REF!</definedName>
    <definedName name="RANK" localSheetId="31">#REF!</definedName>
    <definedName name="RANK" localSheetId="33">#REF!</definedName>
    <definedName name="RANK">#REF!</definedName>
    <definedName name="Rapport" localSheetId="31">#REF!</definedName>
    <definedName name="Rapport">#REF!</definedName>
    <definedName name="Rapport_18">NA()</definedName>
    <definedName name="Rapport_24" localSheetId="31">#REF!</definedName>
    <definedName name="Rapport_24">#REF!</definedName>
    <definedName name="Rapport_25">NA()</definedName>
    <definedName name="Rapport_26">#REF!</definedName>
    <definedName name="Rapport_27" localSheetId="31">#REF!</definedName>
    <definedName name="Rapport_27">#REF!</definedName>
    <definedName name="Rapport_28">#N/A</definedName>
    <definedName name="Rapport_28_1">NA()</definedName>
    <definedName name="Rapport_28_1_1">#REF!</definedName>
    <definedName name="Rapport_29" localSheetId="31">#REF!</definedName>
    <definedName name="Rapport_29">#REF!</definedName>
    <definedName name="Rapport_30" localSheetId="31">#REF!</definedName>
    <definedName name="Rapport_30">#REF!</definedName>
    <definedName name="Rapport_31" localSheetId="31">#REF!</definedName>
    <definedName name="Rapport_31">#REF!</definedName>
    <definedName name="Rapport_32" localSheetId="31">#REF!</definedName>
    <definedName name="Rapport_32">#REF!</definedName>
    <definedName name="Rapport_33" localSheetId="31">#REF!</definedName>
    <definedName name="Rapport_33">#REF!</definedName>
    <definedName name="Rapport_34" localSheetId="31">#REF!</definedName>
    <definedName name="Rapport_34">#REF!</definedName>
    <definedName name="Rapport_35" localSheetId="31">#REF!</definedName>
    <definedName name="Rapport_35">#REF!</definedName>
    <definedName name="Rapport_36" localSheetId="31">#REF!</definedName>
    <definedName name="Rapport_36">#REF!</definedName>
    <definedName name="Rapport_37">#N/A</definedName>
    <definedName name="Rapport_37_1">NA()</definedName>
    <definedName name="Rapport_37_1_1" localSheetId="31">#REF!</definedName>
    <definedName name="Rapport_37_1_1">#REF!</definedName>
    <definedName name="Rapport_38" localSheetId="31">#REF!</definedName>
    <definedName name="Rapport_38">#REF!</definedName>
    <definedName name="Rapport_39" localSheetId="31">#REF!</definedName>
    <definedName name="Rapport_39">#REF!</definedName>
    <definedName name="Rapport_40" localSheetId="31">#REF!</definedName>
    <definedName name="Rapport_40">#REF!</definedName>
    <definedName name="Rapport_41" localSheetId="31">#REF!</definedName>
    <definedName name="Rapport_41">#REF!</definedName>
    <definedName name="Rapport_42" localSheetId="31">#REF!</definedName>
    <definedName name="Rapport_42">#REF!</definedName>
    <definedName name="Rapport_43">NA()</definedName>
    <definedName name="Rapport_44" localSheetId="31">#REF!</definedName>
    <definedName name="Rapport_44">#REF!</definedName>
    <definedName name="Rapport_45" localSheetId="31">#REF!</definedName>
    <definedName name="Rapport_45">#REF!</definedName>
    <definedName name="Rapport_47" localSheetId="31">#REF!</definedName>
    <definedName name="Rapport_47">#REF!</definedName>
    <definedName name="Rapport_59" localSheetId="31">#REF!</definedName>
    <definedName name="Rapport_59">#REF!</definedName>
    <definedName name="Rapport_60" localSheetId="31">#REF!</definedName>
    <definedName name="Rapport_60">#REF!</definedName>
    <definedName name="Rapport_61" localSheetId="31">#REF!</definedName>
    <definedName name="Rapport_61">#REF!</definedName>
    <definedName name="Rapport_62" localSheetId="31">#REF!</definedName>
    <definedName name="Rapport_62">#REF!</definedName>
    <definedName name="Rapport_63" localSheetId="31">#REF!</definedName>
    <definedName name="Rapport_63">#REF!</definedName>
    <definedName name="Rapport_66" localSheetId="31">#REF!</definedName>
    <definedName name="Rapport_66">#REF!</definedName>
    <definedName name="Rapport_67" localSheetId="31">#REF!</definedName>
    <definedName name="Rapport_67">#REF!</definedName>
    <definedName name="Rapport_68" localSheetId="31">#REF!</definedName>
    <definedName name="Rapport_68">#REF!</definedName>
    <definedName name="RATE" localSheetId="35">#REF!</definedName>
    <definedName name="RATE" localSheetId="31">#REF!</definedName>
    <definedName name="RATE" localSheetId="37">#REF!</definedName>
    <definedName name="RATE" localSheetId="36">#REF!</definedName>
    <definedName name="rate">14000</definedName>
    <definedName name="Rate_Bag10Kg" localSheetId="31">#REF!</definedName>
    <definedName name="Rate_Bag10Kg">#REF!</definedName>
    <definedName name="Rate_Bag1100" localSheetId="31">#REF!</definedName>
    <definedName name="Rate_Bag1100">#REF!</definedName>
    <definedName name="Rate_Bag1200" localSheetId="31">#REF!</definedName>
    <definedName name="Rate_Bag1200">#REF!</definedName>
    <definedName name="Rate_Bag1250" localSheetId="31">#REF!</definedName>
    <definedName name="Rate_Bag1250">#REF!</definedName>
    <definedName name="Rate_Bag12Kg" localSheetId="31">#REF!</definedName>
    <definedName name="Rate_Bag12Kg">#REF!</definedName>
    <definedName name="Rate_Bag15Kg" localSheetId="31">#REF!</definedName>
    <definedName name="Rate_Bag15Kg">#REF!</definedName>
    <definedName name="Rate_Bag2Kg" localSheetId="31">#REF!</definedName>
    <definedName name="Rate_Bag2Kg">#REF!</definedName>
    <definedName name="Rate_Bag8Kg" localSheetId="31">#REF!</definedName>
    <definedName name="Rate_Bag8Kg">#REF!</definedName>
    <definedName name="Rate_Bandroll110" localSheetId="31">#REF!</definedName>
    <definedName name="Rate_Bandroll110">#REF!</definedName>
    <definedName name="Rate_Bandroll80" localSheetId="31">#REF!</definedName>
    <definedName name="Rate_Bandroll80">#REF!</definedName>
    <definedName name="Rate_Bud" localSheetId="31">#REF!</definedName>
    <definedName name="Rate_Bud">#REF!</definedName>
    <definedName name="Rate_Cellotape" localSheetId="31">#REF!</definedName>
    <definedName name="Rate_Cellotape">#REF!</definedName>
    <definedName name="Rate_CelloYogurt" localSheetId="31">#REF!</definedName>
    <definedName name="Rate_CelloYogurt">#REF!</definedName>
    <definedName name="rate_Est" localSheetId="31">#REF!</definedName>
    <definedName name="rate_Est">#REF!</definedName>
    <definedName name="Rate_Lid110" localSheetId="31">#REF!</definedName>
    <definedName name="Rate_Lid110">#REF!</definedName>
    <definedName name="Rate_Lid120" localSheetId="31">#REF!</definedName>
    <definedName name="Rate_Lid120">#REF!</definedName>
    <definedName name="Rate_Lid80" localSheetId="31">#REF!</definedName>
    <definedName name="Rate_Lid80">#REF!</definedName>
    <definedName name="Rate_Old" localSheetId="31">#REF!</definedName>
    <definedName name="Rate_Old">#REF!</definedName>
    <definedName name="Rate_PS110" localSheetId="31">#REF!</definedName>
    <definedName name="Rate_PS110">#REF!</definedName>
    <definedName name="Rate_PS110Plus" localSheetId="31">#REF!</definedName>
    <definedName name="Rate_PS110Plus">#REF!</definedName>
    <definedName name="Rate_PS120" localSheetId="31">#REF!</definedName>
    <definedName name="Rate_PS120">#REF!</definedName>
    <definedName name="Rate_PS80" localSheetId="31">#REF!</definedName>
    <definedName name="Rate_PS80">#REF!</definedName>
    <definedName name="Rate_SealingFilm" localSheetId="31">#REF!</definedName>
    <definedName name="Rate_SealingFilm">#REF!</definedName>
    <definedName name="Rate_ShrinkTP" localSheetId="31">#REF!</definedName>
    <definedName name="Rate_ShrinkTP">#REF!</definedName>
    <definedName name="Rate_StripeJumboTP" localSheetId="31">#REF!</definedName>
    <definedName name="Rate_StripeJumboTP">#REF!</definedName>
    <definedName name="Rate_Wrapping10Kg" localSheetId="31">#REF!</definedName>
    <definedName name="Rate_Wrapping10Kg">#REF!</definedName>
    <definedName name="Rate_Wrapping1100" localSheetId="31">#REF!</definedName>
    <definedName name="Rate_Wrapping1100">#REF!</definedName>
    <definedName name="Rate_Wrapping1200" localSheetId="31">#REF!</definedName>
    <definedName name="Rate_Wrapping1200">#REF!</definedName>
    <definedName name="Rate_Wrapping1250" localSheetId="31">#REF!</definedName>
    <definedName name="Rate_Wrapping1250">#REF!</definedName>
    <definedName name="Rate_Wrapping12Kg" localSheetId="31">#REF!</definedName>
    <definedName name="Rate_Wrapping12Kg">#REF!</definedName>
    <definedName name="Rate_Wrapping15Kg" localSheetId="31">#REF!</definedName>
    <definedName name="Rate_Wrapping15Kg">#REF!</definedName>
    <definedName name="Rate_Wrapping2Kg" localSheetId="31">#REF!</definedName>
    <definedName name="Rate_Wrapping2Kg">#REF!</definedName>
    <definedName name="Rate_Wrapping8Kg" localSheetId="31">#REF!</definedName>
    <definedName name="Rate_Wrapping8Kg">#REF!</definedName>
    <definedName name="Raw" localSheetId="31">#REF!</definedName>
    <definedName name="Raw">#REF!</definedName>
    <definedName name="rawcategory" localSheetId="31">#REF!</definedName>
    <definedName name="rawcategory">#REF!</definedName>
    <definedName name="rawcode" localSheetId="31">#REF!</definedName>
    <definedName name="rawcode">#REF!</definedName>
    <definedName name="rawname" localSheetId="31">#REF!</definedName>
    <definedName name="rawname">#REF!</definedName>
    <definedName name="RB" localSheetId="31">#REF!</definedName>
    <definedName name="RB" localSheetId="33">#REF!</definedName>
    <definedName name="RB">#REF!</definedName>
    <definedName name="RCArea" localSheetId="31" hidden="1">#REF!</definedName>
    <definedName name="RCArea" localSheetId="33" hidden="1">#REF!</definedName>
    <definedName name="RCArea" hidden="1">#REF!</definedName>
    <definedName name="RDTS_label" localSheetId="31">#REF!</definedName>
    <definedName name="RDTS_label">#REF!</definedName>
    <definedName name="ré" localSheetId="35" hidden="1">{#N/A,#N/A,TRUE,"VOLUMES";#N/A,#N/A,TRUE,"1A-TB 240";#N/A,#N/A,TRUE,"1B-TB 250";#N/A,#N/A,TRUE,"1D-Tr 240";#N/A,#N/A,TRUE,"1E-Tr 250";#N/A,#N/A,TRUE,"1M-Tr 250 60%";#N/A,#N/A,TRUE,"5A-Cru 240";#N/A,#N/A,TRUE,"5B-Cru 250";#N/A,#N/A,TRUE,"5D-Bio 250";#N/A,#N/A,TRUE,"3B-TB 320";#N/A,#N/A,TRUE,"3C-TB 350";#N/A,#N/A,TRUE,"Sérum";#N/A,#N/A,TRUE,"Recap Mat";#N/A,#N/A,TRUE,"ING CAM-TB";#N/A,#N/A,TRUE,"ING CAM-60%";#N/A,#N/A,TRUE,"ING CAM-Cru";#N/A,#N/A,TRUE,"ING COULO -52%";#N/A,#N/A,TRUE,"Recap Ing";#N/A,#N/A,TRUE,"CHARGES";#N/A,#N/A,TRUE,"Répart_charges";#N/A,#N/A,TRUE,"ENERGIES";#N/A,#N/A,TRUE,"EFFECTIF";#N/A,#N/A,TRUE,"Synthèse";#N/A,#N/A,TRUE,"CPTE EXPLOIT";#N/A,#N/A,TRUE,"PRIX CESSION";#N/A,#N/A,TRUE,"CONTROLE"}</definedName>
    <definedName name="ré" localSheetId="31" hidden="1">{#N/A,#N/A,TRUE,"VOLUMES";#N/A,#N/A,TRUE,"1A-TB 240";#N/A,#N/A,TRUE,"1B-TB 250";#N/A,#N/A,TRUE,"1D-Tr 240";#N/A,#N/A,TRUE,"1E-Tr 250";#N/A,#N/A,TRUE,"1M-Tr 250 60%";#N/A,#N/A,TRUE,"5A-Cru 240";#N/A,#N/A,TRUE,"5B-Cru 250";#N/A,#N/A,TRUE,"5D-Bio 250";#N/A,#N/A,TRUE,"3B-TB 320";#N/A,#N/A,TRUE,"3C-TB 350";#N/A,#N/A,TRUE,"Sérum";#N/A,#N/A,TRUE,"Recap Mat";#N/A,#N/A,TRUE,"ING CAM-TB";#N/A,#N/A,TRUE,"ING CAM-60%";#N/A,#N/A,TRUE,"ING CAM-Cru";#N/A,#N/A,TRUE,"ING COULO -52%";#N/A,#N/A,TRUE,"Recap Ing";#N/A,#N/A,TRUE,"CHARGES";#N/A,#N/A,TRUE,"Répart_charges";#N/A,#N/A,TRUE,"ENERGIES";#N/A,#N/A,TRUE,"EFFECTIF";#N/A,#N/A,TRUE,"Synthèse";#N/A,#N/A,TRUE,"CPTE EXPLOIT";#N/A,#N/A,TRUE,"PRIX CESSION";#N/A,#N/A,TRUE,"CONTROLE"}</definedName>
    <definedName name="ré" localSheetId="37" hidden="1">{#N/A,#N/A,TRUE,"VOLUMES";#N/A,#N/A,TRUE,"1A-TB 240";#N/A,#N/A,TRUE,"1B-TB 250";#N/A,#N/A,TRUE,"1D-Tr 240";#N/A,#N/A,TRUE,"1E-Tr 250";#N/A,#N/A,TRUE,"1M-Tr 250 60%";#N/A,#N/A,TRUE,"5A-Cru 240";#N/A,#N/A,TRUE,"5B-Cru 250";#N/A,#N/A,TRUE,"5D-Bio 250";#N/A,#N/A,TRUE,"3B-TB 320";#N/A,#N/A,TRUE,"3C-TB 350";#N/A,#N/A,TRUE,"Sérum";#N/A,#N/A,TRUE,"Recap Mat";#N/A,#N/A,TRUE,"ING CAM-TB";#N/A,#N/A,TRUE,"ING CAM-60%";#N/A,#N/A,TRUE,"ING CAM-Cru";#N/A,#N/A,TRUE,"ING COULO -52%";#N/A,#N/A,TRUE,"Recap Ing";#N/A,#N/A,TRUE,"CHARGES";#N/A,#N/A,TRUE,"Répart_charges";#N/A,#N/A,TRUE,"ENERGIES";#N/A,#N/A,TRUE,"EFFECTIF";#N/A,#N/A,TRUE,"Synthèse";#N/A,#N/A,TRUE,"CPTE EXPLOIT";#N/A,#N/A,TRUE,"PRIX CESSION";#N/A,#N/A,TRUE,"CONTROLE"}</definedName>
    <definedName name="ré" localSheetId="36" hidden="1">{#N/A,#N/A,TRUE,"VOLUMES";#N/A,#N/A,TRUE,"1A-TB 240";#N/A,#N/A,TRUE,"1B-TB 250";#N/A,#N/A,TRUE,"1D-Tr 240";#N/A,#N/A,TRUE,"1E-Tr 250";#N/A,#N/A,TRUE,"1M-Tr 250 60%";#N/A,#N/A,TRUE,"5A-Cru 240";#N/A,#N/A,TRUE,"5B-Cru 250";#N/A,#N/A,TRUE,"5D-Bio 250";#N/A,#N/A,TRUE,"3B-TB 320";#N/A,#N/A,TRUE,"3C-TB 350";#N/A,#N/A,TRUE,"Sérum";#N/A,#N/A,TRUE,"Recap Mat";#N/A,#N/A,TRUE,"ING CAM-TB";#N/A,#N/A,TRUE,"ING CAM-60%";#N/A,#N/A,TRUE,"ING CAM-Cru";#N/A,#N/A,TRUE,"ING COULO -52%";#N/A,#N/A,TRUE,"Recap Ing";#N/A,#N/A,TRUE,"CHARGES";#N/A,#N/A,TRUE,"Répart_charges";#N/A,#N/A,TRUE,"ENERGIES";#N/A,#N/A,TRUE,"EFFECTIF";#N/A,#N/A,TRUE,"Synthèse";#N/A,#N/A,TRUE,"CPTE EXPLOIT";#N/A,#N/A,TRUE,"PRIX CESSION";#N/A,#N/A,TRUE,"CONTROLE"}</definedName>
    <definedName name="ré" hidden="1">{#N/A,#N/A,TRUE,"VOLUMES";#N/A,#N/A,TRUE,"1A-TB 240";#N/A,#N/A,TRUE,"1B-TB 250";#N/A,#N/A,TRUE,"1D-Tr 240";#N/A,#N/A,TRUE,"1E-Tr 250";#N/A,#N/A,TRUE,"1M-Tr 250 60%";#N/A,#N/A,TRUE,"5A-Cru 240";#N/A,#N/A,TRUE,"5B-Cru 250";#N/A,#N/A,TRUE,"5D-Bio 250";#N/A,#N/A,TRUE,"3B-TB 320";#N/A,#N/A,TRUE,"3C-TB 350";#N/A,#N/A,TRUE,"Sérum";#N/A,#N/A,TRUE,"Recap Mat";#N/A,#N/A,TRUE,"ING CAM-TB";#N/A,#N/A,TRUE,"ING CAM-60%";#N/A,#N/A,TRUE,"ING CAM-Cru";#N/A,#N/A,TRUE,"ING COULO -52%";#N/A,#N/A,TRUE,"Recap Ing";#N/A,#N/A,TRUE,"CHARGES";#N/A,#N/A,TRUE,"Répart_charges";#N/A,#N/A,TRUE,"ENERGIES";#N/A,#N/A,TRUE,"EFFECTIF";#N/A,#N/A,TRUE,"Synthèse";#N/A,#N/A,TRUE,"CPTE EXPLOIT";#N/A,#N/A,TRUE,"PRIX CESSION";#N/A,#N/A,TRUE,"CONTROLE"}</definedName>
    <definedName name="real" hidden="1">#REF!</definedName>
    <definedName name="REC_GROUPE" localSheetId="31">#REF!</definedName>
    <definedName name="REC_GROUPE">#REF!</definedName>
    <definedName name="REC_MARQUE" localSheetId="31">#REF!</definedName>
    <definedName name="REC_MARQUE">#REF!</definedName>
    <definedName name="Rec_Name" localSheetId="31">#REF!</definedName>
    <definedName name="Rec_Name">#REF!</definedName>
    <definedName name="Rec_Prices" localSheetId="35">#REF!,#REF!,#REF!,#REF!,#REF!</definedName>
    <definedName name="Rec_Prices" localSheetId="31">#REF!,#REF!,#REF!,#REF!,#REF!</definedName>
    <definedName name="Rec_Prices">#REF!,#REF!,#REF!,#REF!,#REF!</definedName>
    <definedName name="REC_SFAMILLE" localSheetId="35">#REF!</definedName>
    <definedName name="REC_SFAMILLE" localSheetId="31">#REF!</definedName>
    <definedName name="REC_SFAMILLE">#REF!</definedName>
    <definedName name="RECIPES" localSheetId="31">#REF!</definedName>
    <definedName name="RECIPES">#REF!</definedName>
    <definedName name="RECIPES_0" localSheetId="31">#REF!</definedName>
    <definedName name="RECIPES_0">#REF!</definedName>
    <definedName name="RECIPES_NAMES" localSheetId="31">#REF!</definedName>
    <definedName name="RECIPES_NAMES">#REF!</definedName>
    <definedName name="Recipe_Name" localSheetId="31">#REF!</definedName>
    <definedName name="Recipe_Name">#REF!</definedName>
    <definedName name="_xlnm.Recorder" localSheetId="31">#REF!</definedName>
    <definedName name="_xlnm.Recorder" localSheetId="33">#REF!</definedName>
    <definedName name="_xlnm.Recorder">#REF!</definedName>
    <definedName name="RECOUT">#N/A</definedName>
    <definedName name="Recover" localSheetId="35">#REF!</definedName>
    <definedName name="Recover" localSheetId="31">#REF!</definedName>
    <definedName name="Recover" localSheetId="37">#REF!</definedName>
    <definedName name="Recover" localSheetId="36">#REF!</definedName>
    <definedName name="Recover" localSheetId="30">#REF!</definedName>
    <definedName name="Recover" localSheetId="34">#REF!</definedName>
    <definedName name="Recover">#REF!</definedName>
    <definedName name="REEL" localSheetId="31">#REF!</definedName>
    <definedName name="REEL">#REF!</definedName>
    <definedName name="REMARK_H">""</definedName>
    <definedName name="rep" localSheetId="31">#REF!</definedName>
    <definedName name="rep">#REF!</definedName>
    <definedName name="Report1.Header" localSheetId="31">#REF!</definedName>
    <definedName name="Report1.Header">#REF!</definedName>
    <definedName name="Report1.Range" localSheetId="31">#REF!</definedName>
    <definedName name="Report1.Range">#REF!</definedName>
    <definedName name="Responsable" localSheetId="31">#REF!</definedName>
    <definedName name="Responsable">#REF!</definedName>
    <definedName name="RESULT99" localSheetId="31">#REF!</definedName>
    <definedName name="RESULT99" localSheetId="33">#REF!</definedName>
    <definedName name="RESULT99">#REF!</definedName>
    <definedName name="RESUMEN" localSheetId="31">#REF!</definedName>
    <definedName name="RESUMEN" localSheetId="33">#REF!</definedName>
    <definedName name="RESUMEN">#REF!</definedName>
    <definedName name="RetEISAConv" localSheetId="31">#REF!</definedName>
    <definedName name="RetEISAConv">#REF!</definedName>
    <definedName name="RETENTAT" localSheetId="31">#REF!</definedName>
    <definedName name="RETENTAT">#REF!</definedName>
    <definedName name="reter" localSheetId="3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eter" localSheetId="3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eter" localSheetId="37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eter" localSheetId="36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ete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EZTEZRT" hidden="1">#REF!</definedName>
    <definedName name="RFP003A" localSheetId="31">#REF!</definedName>
    <definedName name="RFP003A" localSheetId="33">#REF!</definedName>
    <definedName name="RFP003A">#REF!</definedName>
    <definedName name="RFP003B" localSheetId="31">#REF!</definedName>
    <definedName name="RFP003B" localSheetId="33">#REF!</definedName>
    <definedName name="RFP003B">#REF!</definedName>
    <definedName name="RFP003C" localSheetId="31">#REF!</definedName>
    <definedName name="RFP003C" localSheetId="33">#REF!</definedName>
    <definedName name="RFP003C">#REF!</definedName>
    <definedName name="RFP003D" localSheetId="31">#REF!</definedName>
    <definedName name="RFP003D" localSheetId="33">#REF!</definedName>
    <definedName name="RFP003D">#REF!</definedName>
    <definedName name="RFP003E" localSheetId="31">#REF!</definedName>
    <definedName name="RFP003E" localSheetId="33">#REF!</definedName>
    <definedName name="RFP003E">#REF!</definedName>
    <definedName name="RFP003F" localSheetId="31">#REF!</definedName>
    <definedName name="RFP003F" localSheetId="33">#REF!</definedName>
    <definedName name="RFP003F">#REF!</definedName>
    <definedName name="rgeegeqg" localSheetId="3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geegeqg" localSheetId="3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geegeqg" localSheetId="37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geegeqg" localSheetId="36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geegeqg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IEN" localSheetId="35">{"vol1998","SUMME(vol1998)","JNNNN",FALSE;"vol1999","SUMME(vol1999)","JNNNN",FALSE;"vol2000","SUMME(vol2000)","JNNNN",FALSE;"vol2001","SUMME(vol2001)","JNNNN",FALSE;"vol2002","SUMME(vol2002)","JNNNN",FALSE;"cann1998","SUMME(cann1998)","JNNNN",FALSE;"cann1999","SUMME(cann1999)","JNNNN",FALSE;"cann2000","SUMME(cann2000)","JNNNN",FALSE;"cann2001","SUMME(cann2001)","JNNNN",FALSE;"cann2002","SUMME(cann2002)","JNNNN",FALSE;"cm1998","SUMME(cm1998)","JNNNN",FALSE;"cm1999","SUMME(cm1999)","JNNNN",FALSE;"cm2000","SUMME(cm2000)","JNNNN",FALSE;"cm2001","SUMME(cm2001)","JNNNN",FALSE;"cm2002","SUMME(cm2002)","JNNNN",FALSE}</definedName>
    <definedName name="RIEN" localSheetId="31">{"vol1998","SUMME(vol1998)","JNNNN",FALSE;"vol1999","SUMME(vol1999)","JNNNN",FALSE;"vol2000","SUMME(vol2000)","JNNNN",FALSE;"vol2001","SUMME(vol2001)","JNNNN",FALSE;"vol2002","SUMME(vol2002)","JNNNN",FALSE;"cann1998","SUMME(cann1998)","JNNNN",FALSE;"cann1999","SUMME(cann1999)","JNNNN",FALSE;"cann2000","SUMME(cann2000)","JNNNN",FALSE;"cann2001","SUMME(cann2001)","JNNNN",FALSE;"cann2002","SUMME(cann2002)","JNNNN",FALSE;"cm1998","SUMME(cm1998)","JNNNN",FALSE;"cm1999","SUMME(cm1999)","JNNNN",FALSE;"cm2000","SUMME(cm2000)","JNNNN",FALSE;"cm2001","SUMME(cm2001)","JNNNN",FALSE;"cm2002","SUMME(cm2002)","JNNNN",FALSE}</definedName>
    <definedName name="RIEN" localSheetId="37">{"vol1998","SUMME(vol1998)","JNNNN",FALSE;"vol1999","SUMME(vol1999)","JNNNN",FALSE;"vol2000","SUMME(vol2000)","JNNNN",FALSE;"vol2001","SUMME(vol2001)","JNNNN",FALSE;"vol2002","SUMME(vol2002)","JNNNN",FALSE;"cann1998","SUMME(cann1998)","JNNNN",FALSE;"cann1999","SUMME(cann1999)","JNNNN",FALSE;"cann2000","SUMME(cann2000)","JNNNN",FALSE;"cann2001","SUMME(cann2001)","JNNNN",FALSE;"cann2002","SUMME(cann2002)","JNNNN",FALSE;"cm1998","SUMME(cm1998)","JNNNN",FALSE;"cm1999","SUMME(cm1999)","JNNNN",FALSE;"cm2000","SUMME(cm2000)","JNNNN",FALSE;"cm2001","SUMME(cm2001)","JNNNN",FALSE;"cm2002","SUMME(cm2002)","JNNNN",FALSE}</definedName>
    <definedName name="RIEN" localSheetId="36">{"vol1998","SUMME(vol1998)","JNNNN",FALSE;"vol1999","SUMME(vol1999)","JNNNN",FALSE;"vol2000","SUMME(vol2000)","JNNNN",FALSE;"vol2001","SUMME(vol2001)","JNNNN",FALSE;"vol2002","SUMME(vol2002)","JNNNN",FALSE;"cann1998","SUMME(cann1998)","JNNNN",FALSE;"cann1999","SUMME(cann1999)","JNNNN",FALSE;"cann2000","SUMME(cann2000)","JNNNN",FALSE;"cann2001","SUMME(cann2001)","JNNNN",FALSE;"cann2002","SUMME(cann2002)","JNNNN",FALSE;"cm1998","SUMME(cm1998)","JNNNN",FALSE;"cm1999","SUMME(cm1999)","JNNNN",FALSE;"cm2000","SUMME(cm2000)","JNNNN",FALSE;"cm2001","SUMME(cm2001)","JNNNN",FALSE;"cm2002","SUMME(cm2002)","JNNNN",FALSE}</definedName>
    <definedName name="RIEN">{"vol1998","SUMME(vol1998)","JNNNN",FALSE;"vol1999","SUMME(vol1999)","JNNNN",FALSE;"vol2000","SUMME(vol2000)","JNNNN",FALSE;"vol2001","SUMME(vol2001)","JNNNN",FALSE;"vol2002","SUMME(vol2002)","JNNNN",FALSE;"cann1998","SUMME(cann1998)","JNNNN",FALSE;"cann1999","SUMME(cann1999)","JNNNN",FALSE;"cann2000","SUMME(cann2000)","JNNNN",FALSE;"cann2001","SUMME(cann2001)","JNNNN",FALSE;"cann2002","SUMME(cann2002)","JNNNN",FALSE;"cm1998","SUMME(cm1998)","JNNNN",FALSE;"cm1999","SUMME(cm1999)","JNNNN",FALSE;"cm2000","SUMME(cm2000)","JNNNN",FALSE;"cm2001","SUMME(cm2001)","JNNNN",FALSE;"cm2002","SUMME(cm2002)","JNNNN",FALSE}</definedName>
    <definedName name="RM">#REF!</definedName>
    <definedName name="rmcAccount">103400</definedName>
    <definedName name="rmcCategory">"ACTUAL"</definedName>
    <definedName name="rmcFrequency">"MON"</definedName>
    <definedName name="rmcName">"CDICON"</definedName>
    <definedName name="RMCOptions">"*010000000000000"</definedName>
    <definedName name="rmcPeriod">9701</definedName>
    <definedName name="roger" localSheetId="35" hidden="1">{"SPM1",#N/A,FALSE,"RIEP"}</definedName>
    <definedName name="roger" localSheetId="31" hidden="1">{"SPM1",#N/A,FALSE,"RIEP"}</definedName>
    <definedName name="roger" localSheetId="37" hidden="1">{"SPM1",#N/A,FALSE,"RIEP"}</definedName>
    <definedName name="roger" localSheetId="36" hidden="1">{"SPM1",#N/A,FALSE,"RIEP"}</definedName>
    <definedName name="roger" hidden="1">{"SPM1",#N/A,FALSE,"RIEP"}</definedName>
    <definedName name="rot">"Ellipse 244"</definedName>
    <definedName name="rrrrrr" localSheetId="3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rrrrr" localSheetId="3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rrrrr" localSheetId="37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rrrrr" localSheetId="36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rrrr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" localSheetId="33">#REF!</definedName>
    <definedName name="rt">#REF!</definedName>
    <definedName name="rteqtq" localSheetId="3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eqtq" localSheetId="3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eqtq" localSheetId="37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eqtq" localSheetId="36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eqtq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gtgrzg" localSheetId="3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gtgrzg" localSheetId="3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gtgrzg" localSheetId="37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gtgrzg" localSheetId="36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gtgrzg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herrh" localSheetId="3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herrh" localSheetId="3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herrh" localSheetId="37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herrh" localSheetId="36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herrh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qtr" localSheetId="3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qtr" localSheetId="3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qtr" localSheetId="37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qtr" localSheetId="36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qt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qtrq" localSheetId="3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qtrq" localSheetId="3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qtrq" localSheetId="37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qtrq" localSheetId="36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qtrq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reeeeeeeeeeeeeee" localSheetId="35" hidden="1">{"First Page",#N/A,FALSE,"Surfactants LBO";"Second Page",#N/A,FALSE,"Surfactants LBO"}</definedName>
    <definedName name="rtreeeeeeeeeeeeeee" localSheetId="31" hidden="1">{"First Page",#N/A,FALSE,"Surfactants LBO";"Second Page",#N/A,FALSE,"Surfactants LBO"}</definedName>
    <definedName name="rtreeeeeeeeeeeeeee" localSheetId="37" hidden="1">{"First Page",#N/A,FALSE,"Surfactants LBO";"Second Page",#N/A,FALSE,"Surfactants LBO"}</definedName>
    <definedName name="rtreeeeeeeeeeeeeee" localSheetId="36" hidden="1">{"First Page",#N/A,FALSE,"Surfactants LBO";"Second Page",#N/A,FALSE,"Surfactants LBO"}</definedName>
    <definedName name="rtreeeeeeeeeeeeeee" hidden="1">{"First Page",#N/A,FALSE,"Surfactants LBO";"Second Page",#N/A,FALSE,"Surfactants LBO"}</definedName>
    <definedName name="rty" localSheetId="35" hidden="1">{#N/A,#N/A,TRUE,"Pro Forma";#N/A,#N/A,TRUE,"PF_Bal";#N/A,#N/A,TRUE,"PF_INC";#N/A,#N/A,TRUE,"CBE";#N/A,#N/A,TRUE,"SWK"}</definedName>
    <definedName name="rty" localSheetId="31" hidden="1">{#N/A,#N/A,TRUE,"Pro Forma";#N/A,#N/A,TRUE,"PF_Bal";#N/A,#N/A,TRUE,"PF_INC";#N/A,#N/A,TRUE,"CBE";#N/A,#N/A,TRUE,"SWK"}</definedName>
    <definedName name="rty" localSheetId="37" hidden="1">{#N/A,#N/A,TRUE,"Pro Forma";#N/A,#N/A,TRUE,"PF_Bal";#N/A,#N/A,TRUE,"PF_INC";#N/A,#N/A,TRUE,"CBE";#N/A,#N/A,TRUE,"SWK"}</definedName>
    <definedName name="rty" localSheetId="36" hidden="1">{#N/A,#N/A,TRUE,"Pro Forma";#N/A,#N/A,TRUE,"PF_Bal";#N/A,#N/A,TRUE,"PF_INC";#N/A,#N/A,TRUE,"CBE";#N/A,#N/A,TRUE,"SWK"}</definedName>
    <definedName name="rty" hidden="1">{#N/A,#N/A,TRUE,"Pro Forma";#N/A,#N/A,TRUE,"PF_Bal";#N/A,#N/A,TRUE,"PF_INC";#N/A,#N/A,TRUE,"CBE";#N/A,#N/A,TRUE,"SWK"}</definedName>
    <definedName name="s">#REF!</definedName>
    <definedName name="sa" localSheetId="31" hidden="1">#REF!</definedName>
    <definedName name="sa" hidden="1">#REF!</definedName>
    <definedName name="saasd" localSheetId="31" hidden="1">#REF!</definedName>
    <definedName name="saasd" hidden="1">#REF!</definedName>
    <definedName name="sad" localSheetId="31">#REF!</definedName>
    <definedName name="sad" localSheetId="33">#REF!</definedName>
    <definedName name="sad">#REF!</definedName>
    <definedName name="SADFAD" localSheetId="35" hidden="1">{"Procjena kapaciteta prema rollingu",#N/A,FALSE,"zaliha"}</definedName>
    <definedName name="SADFAD" localSheetId="31" hidden="1">{"Procjena kapaciteta prema rollingu",#N/A,FALSE,"zaliha"}</definedName>
    <definedName name="SADFAD" localSheetId="37" hidden="1">{"Procjena kapaciteta prema rollingu",#N/A,FALSE,"zaliha"}</definedName>
    <definedName name="SADFAD" localSheetId="36" hidden="1">{"Procjena kapaciteta prema rollingu",#N/A,FALSE,"zaliha"}</definedName>
    <definedName name="SADFAD" hidden="1">{"Procjena kapaciteta prema rollingu",#N/A,FALSE,"zaliha"}</definedName>
    <definedName name="SAV" localSheetId="33">#REF!</definedName>
    <definedName name="SAV">#REF!</definedName>
    <definedName name="SBDATA" localSheetId="35">OFFSET(#REF!,0,0,COUNTA(#REF!),COUNTA(#REF!))</definedName>
    <definedName name="SBDATA" localSheetId="37">OFFSET(#REF!,0,0,COUNTA(#REF!),COUNTA(#REF!))</definedName>
    <definedName name="SBDATA" localSheetId="36">OFFSET(#REF!,0,0,COUNTA(#REF!),COUNTA(#REF!))</definedName>
    <definedName name="SBDATA" localSheetId="30">OFFSET(#REF!,0,0,COUNTA(#REF!),COUNTA(#REF!))</definedName>
    <definedName name="SBDATA" localSheetId="34">OFFSET(#REF!,0,0,COUNTA(#REF!),COUNTA(#REF!))</definedName>
    <definedName name="SBDATA">OFFSET(#REF!,0,0,COUNTA(#REF!),COUNTA(#REF!))</definedName>
    <definedName name="sbgsdgfgbb" localSheetId="31" hidden="1">#REF!</definedName>
    <definedName name="sbgsdgfgbb" hidden="1">#REF!</definedName>
    <definedName name="SC" localSheetId="31">#REF!</definedName>
    <definedName name="SC" localSheetId="33">#REF!</definedName>
    <definedName name="SC">#REF!</definedName>
    <definedName name="SCH" localSheetId="31">#REF!</definedName>
    <definedName name="SCH" localSheetId="33">#REF!</definedName>
    <definedName name="SCH">#REF!</definedName>
    <definedName name="scrap2" localSheetId="35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scrap2" localSheetId="3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scrap2" localSheetId="37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scrap2" localSheetId="36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scrap2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sd" localSheetId="35" hidden="1">{"SPM1",#N/A,FALSE,"RIEP"}</definedName>
    <definedName name="sd" localSheetId="31" hidden="1">{"SPM1",#N/A,FALSE,"RIEP"}</definedName>
    <definedName name="sd" localSheetId="37" hidden="1">{"SPM1",#N/A,FALSE,"RIEP"}</definedName>
    <definedName name="sd" localSheetId="36" hidden="1">{"SPM1",#N/A,FALSE,"RIEP"}</definedName>
    <definedName name="sd" hidden="1">{"SPM1",#N/A,FALSE,"RIEP"}</definedName>
    <definedName name="sd1p" localSheetId="33">#REF!</definedName>
    <definedName name="sd1p">#REF!</definedName>
    <definedName name="sd3p" localSheetId="31">#REF!</definedName>
    <definedName name="sd3p" localSheetId="33">#REF!</definedName>
    <definedName name="sd3p">#REF!</definedName>
    <definedName name="SDDK" localSheetId="31">#REF!</definedName>
    <definedName name="SDDK" localSheetId="33">#REF!</definedName>
    <definedName name="SDDK">#REF!</definedName>
    <definedName name="sdf" localSheetId="35" hidden="1">{#N/A,#N/A,FALSE,"Calc";#N/A,#N/A,FALSE,"Sensitivity";#N/A,#N/A,FALSE,"LT Earn.Dil.";#N/A,#N/A,FALSE,"Dil. AVP"}</definedName>
    <definedName name="sdf" localSheetId="31" hidden="1">{#N/A,#N/A,FALSE,"Calc";#N/A,#N/A,FALSE,"Sensitivity";#N/A,#N/A,FALSE,"LT Earn.Dil.";#N/A,#N/A,FALSE,"Dil. AVP"}</definedName>
    <definedName name="sdf" localSheetId="37" hidden="1">{#N/A,#N/A,FALSE,"Calc";#N/A,#N/A,FALSE,"Sensitivity";#N/A,#N/A,FALSE,"LT Earn.Dil.";#N/A,#N/A,FALSE,"Dil. AVP"}</definedName>
    <definedName name="sdf" localSheetId="36" hidden="1">{#N/A,#N/A,FALSE,"Calc";#N/A,#N/A,FALSE,"Sensitivity";#N/A,#N/A,FALSE,"LT Earn.Dil.";#N/A,#N/A,FALSE,"Dil. AVP"}</definedName>
    <definedName name="sdf" hidden="1">{#N/A,#N/A,FALSE,"Calc";#N/A,#N/A,FALSE,"Sensitivity";#N/A,#N/A,FALSE,"LT Earn.Dil.";#N/A,#N/A,FALSE,"Dil. AVP"}</definedName>
    <definedName name="SDFDSJF" localSheetId="35" hidden="1">{#N/A,#N/A,FALSE,"RIEP"}</definedName>
    <definedName name="SDFDSJF" localSheetId="31" hidden="1">{#N/A,#N/A,FALSE,"RIEP"}</definedName>
    <definedName name="SDFDSJF" localSheetId="37" hidden="1">{#N/A,#N/A,FALSE,"RIEP"}</definedName>
    <definedName name="SDFDSJF" localSheetId="36" hidden="1">{#N/A,#N/A,FALSE,"RIEP"}</definedName>
    <definedName name="SDFDSJF" hidden="1">{#N/A,#N/A,FALSE,"RIEP"}</definedName>
    <definedName name="sdfgdsf" hidden="1">#REF!</definedName>
    <definedName name="SDFGFG" localSheetId="31" hidden="1">#REF!</definedName>
    <definedName name="SDFGFG" hidden="1">#REF!</definedName>
    <definedName name="SDMONG" localSheetId="31">#REF!</definedName>
    <definedName name="SDMONG" localSheetId="33">#REF!</definedName>
    <definedName name="SDMONG">#REF!</definedName>
    <definedName name="sds" localSheetId="31">#REF!</definedName>
    <definedName name="sds" localSheetId="33">#REF!</definedName>
    <definedName name="sds">#REF!</definedName>
    <definedName name="sdsd" localSheetId="35" hidden="1">{"SPM1",#N/A,FALSE,"RIEP"}</definedName>
    <definedName name="sdsd" localSheetId="31" hidden="1">{"SPM1",#N/A,FALSE,"RIEP"}</definedName>
    <definedName name="sdsd" localSheetId="37" hidden="1">{"SPM1",#N/A,FALSE,"RIEP"}</definedName>
    <definedName name="sdsd" localSheetId="36" hidden="1">{"SPM1",#N/A,FALSE,"RIEP"}</definedName>
    <definedName name="sdsd" hidden="1">{"SPM1",#N/A,FALSE,"RIEP"}</definedName>
    <definedName name="sdsdf" localSheetId="35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sdsdf" localSheetId="31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sdsdf" localSheetId="37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sdsdf" localSheetId="36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sdsdf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sdvsfdvfdsb" hidden="1">#REF!</definedName>
    <definedName name="se" localSheetId="35" hidden="1">{"consolidated",#N/A,FALSE,"Sheet1";"cms",#N/A,FALSE,"Sheet1";"fse",#N/A,FALSE,"Sheet1"}</definedName>
    <definedName name="se" localSheetId="31" hidden="1">{"consolidated",#N/A,FALSE,"Sheet1";"cms",#N/A,FALSE,"Sheet1";"fse",#N/A,FALSE,"Sheet1"}</definedName>
    <definedName name="se" localSheetId="37" hidden="1">{"consolidated",#N/A,FALSE,"Sheet1";"cms",#N/A,FALSE,"Sheet1";"fse",#N/A,FALSE,"Sheet1"}</definedName>
    <definedName name="se" localSheetId="36" hidden="1">{"consolidated",#N/A,FALSE,"Sheet1";"cms",#N/A,FALSE,"Sheet1";"fse",#N/A,FALSE,"Sheet1"}</definedName>
    <definedName name="se" hidden="1">{"consolidated",#N/A,FALSE,"Sheet1";"cms",#N/A,FALSE,"Sheet1";"fse",#N/A,FALSE,"Sheet1"}</definedName>
    <definedName name="seb" localSheetId="35" hidden="1">{"detail150",#N/A,FALSE,"Sheet1";"recap",#N/A,FALSE,"Sheet1"}</definedName>
    <definedName name="seb" localSheetId="31" hidden="1">{"detail150",#N/A,FALSE,"Sheet1";"recap",#N/A,FALSE,"Sheet1"}</definedName>
    <definedName name="seb" localSheetId="37" hidden="1">{"detail150",#N/A,FALSE,"Sheet1";"recap",#N/A,FALSE,"Sheet1"}</definedName>
    <definedName name="seb" localSheetId="36" hidden="1">{"detail150",#N/A,FALSE,"Sheet1";"recap",#N/A,FALSE,"Sheet1"}</definedName>
    <definedName name="seb" hidden="1">{"detail150",#N/A,FALSE,"Sheet1";"recap",#N/A,FALSE,"Sheet1"}</definedName>
    <definedName name="section">#REF!</definedName>
    <definedName name="SEDSDS" localSheetId="35" hidden="1">{#N/A,#N/A,FALSE,"RIEP"}</definedName>
    <definedName name="SEDSDS" localSheetId="31" hidden="1">{#N/A,#N/A,FALSE,"RIEP"}</definedName>
    <definedName name="SEDSDS" localSheetId="37" hidden="1">{#N/A,#N/A,FALSE,"RIEP"}</definedName>
    <definedName name="SEDSDS" localSheetId="36" hidden="1">{#N/A,#N/A,FALSE,"RIEP"}</definedName>
    <definedName name="SEDSDS" hidden="1">{#N/A,#N/A,FALSE,"RIEP"}</definedName>
    <definedName name="selec" localSheetId="35">#REF!,#REF!,#REF!,#REF!,#REF!,#REF!,#REF!,#REF!,#REF!,#REF!,#REF!,#REF!,#REF!,#REF!,#REF!,#REF!,#REF!,#REF!,#REF!,#REF!,#REF!,#REF!,#REF!,#REF!,#REF!,#REF!</definedName>
    <definedName name="selec" localSheetId="31">#REF!,#REF!,#REF!,#REF!,#REF!,#REF!,#REF!,#REF!,#REF!,#REF!,#REF!,#REF!,#REF!,#REF!,#REF!,#REF!,#REF!,#REF!,#REF!,#REF!,#REF!,#REF!,#REF!,#REF!,#REF!,#REF!</definedName>
    <definedName name="selec">#REF!,#REF!,#REF!,#REF!,#REF!,#REF!,#REF!,#REF!,#REF!,#REF!,#REF!,#REF!,#REF!,#REF!,#REF!,#REF!,#REF!,#REF!,#REF!,#REF!,#REF!,#REF!,#REF!,#REF!,#REF!,#REF!</definedName>
    <definedName name="selec1" localSheetId="35">#REF!,#REF!,#REF!,#REF!,#REF!,#REF!,#REF!,#REF!,#REF!,#REF!,#REF!,#REF!,#REF!,#REF!,#REF!</definedName>
    <definedName name="selec1" localSheetId="31">#REF!,#REF!,#REF!,#REF!,#REF!,#REF!,#REF!,#REF!,#REF!,#REF!,#REF!,#REF!,#REF!,#REF!,#REF!</definedName>
    <definedName name="selec1">#REF!,#REF!,#REF!,#REF!,#REF!,#REF!,#REF!,#REF!,#REF!,#REF!,#REF!,#REF!,#REF!,#REF!,#REF!</definedName>
    <definedName name="SELECT_EDITIONS" localSheetId="35">#REF!</definedName>
    <definedName name="SELECT_EDITIONS" localSheetId="31">#REF!</definedName>
    <definedName name="SELECT_EDITIONS">#REF!</definedName>
    <definedName name="sells" localSheetId="31">#REF!</definedName>
    <definedName name="sells" localSheetId="33">#REF!</definedName>
    <definedName name="sells">#REF!</definedName>
    <definedName name="SEMAINES" localSheetId="31">#REF!</definedName>
    <definedName name="SEMAINES">#REF!</definedName>
    <definedName name="sencount" hidden="1">1</definedName>
    <definedName name="SERGE" localSheetId="35">#REF!</definedName>
    <definedName name="SERGE" localSheetId="31">#REF!</definedName>
    <definedName name="SERGE">#REF!</definedName>
    <definedName name="SERUM" localSheetId="31">#REF!</definedName>
    <definedName name="SERUM">#REF!</definedName>
    <definedName name="sfbgsfbgsfbg" localSheetId="31" hidden="1">#REF!</definedName>
    <definedName name="sfbgsfbgsfbg" hidden="1">#REF!</definedName>
    <definedName name="SFDGDSG" localSheetId="31" hidden="1">#REF!</definedName>
    <definedName name="SFDGDSG" hidden="1">#REF!</definedName>
    <definedName name="sfsdfsf" localSheetId="35" hidden="1">{"First Page",#N/A,FALSE,"Surfactants LBO";"Second Page",#N/A,FALSE,"Surfactants LBO"}</definedName>
    <definedName name="sfsdfsf" localSheetId="31" hidden="1">{"First Page",#N/A,FALSE,"Surfactants LBO";"Second Page",#N/A,FALSE,"Surfactants LBO"}</definedName>
    <definedName name="sfsdfsf" localSheetId="37" hidden="1">{"First Page",#N/A,FALSE,"Surfactants LBO";"Second Page",#N/A,FALSE,"Surfactants LBO"}</definedName>
    <definedName name="sfsdfsf" localSheetId="36" hidden="1">{"First Page",#N/A,FALSE,"Surfactants LBO";"Second Page",#N/A,FALSE,"Surfactants LBO"}</definedName>
    <definedName name="sfsdfsf" hidden="1">{"First Page",#N/A,FALSE,"Surfactants LBO";"Second Page",#N/A,FALSE,"Surfactants LBO"}</definedName>
    <definedName name="SFtable">#REF!</definedName>
    <definedName name="sheet1" localSheetId="35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sheet1" localSheetId="31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sheet1" localSheetId="37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sheet1" localSheetId="36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Sheet1" localSheetId="33">#REF!</definedName>
    <definedName name="Sheet1">#REF!</definedName>
    <definedName name="ShowZeroValues">"TRUE"</definedName>
    <definedName name="sht" localSheetId="33">#REF!</definedName>
    <definedName name="sht">#REF!</definedName>
    <definedName name="sht1p" localSheetId="31">#REF!</definedName>
    <definedName name="sht1p" localSheetId="33">#REF!</definedName>
    <definedName name="sht1p">#REF!</definedName>
    <definedName name="sht3p" localSheetId="31">#REF!</definedName>
    <definedName name="sht3p" localSheetId="33">#REF!</definedName>
    <definedName name="sht3p">#REF!</definedName>
    <definedName name="SIG_CONTROLE" localSheetId="31" hidden="1">#REF!</definedName>
    <definedName name="SIG_CONTROLE" hidden="1">#REF!</definedName>
    <definedName name="SIG_YCPATB3_H0069" localSheetId="31" hidden="1">#REF!</definedName>
    <definedName name="SIG_YCPATB3_H0069" hidden="1">#REF!</definedName>
    <definedName name="SIG_YCPATB3_H0070" localSheetId="31" hidden="1">#REF!</definedName>
    <definedName name="SIG_YCPATB3_H0070" hidden="1">#REF!</definedName>
    <definedName name="SIG_YCPATB3_H0071" localSheetId="31" hidden="1">#REF!</definedName>
    <definedName name="SIG_YCPATB3_H0071" hidden="1">#REF!</definedName>
    <definedName name="SIG_YCPATB3_H0072" localSheetId="31" hidden="1">#REF!</definedName>
    <definedName name="SIG_YCPATB3_H0072" hidden="1">#REF!</definedName>
    <definedName name="SIG_YCPATB3_H0073" localSheetId="31" hidden="1">#REF!</definedName>
    <definedName name="SIG_YCPATB3_H0073" hidden="1">#REF!</definedName>
    <definedName name="SIG_YCPATB3_H0074" localSheetId="31" hidden="1">#REF!</definedName>
    <definedName name="SIG_YCPATB3_H0074" hidden="1">#REF!</definedName>
    <definedName name="SIG_YCPATB3_H0075" localSheetId="31" hidden="1">#REF!</definedName>
    <definedName name="SIG_YCPATB3_H0075" hidden="1">#REF!</definedName>
    <definedName name="SIG_YCPATB3_H0076" localSheetId="31" hidden="1">#REF!</definedName>
    <definedName name="SIG_YCPATB3_H0076" hidden="1">#REF!</definedName>
    <definedName name="SIG_YCPATB3_H0077" localSheetId="31" hidden="1">#REF!</definedName>
    <definedName name="SIG_YCPATB3_H0077" hidden="1">#REF!</definedName>
    <definedName name="SIG_YCPATB3_H0078" localSheetId="31" hidden="1">#REF!</definedName>
    <definedName name="SIG_YCPATB3_H0078" hidden="1">#REF!</definedName>
    <definedName name="SIG_YCPATB3_H0079" localSheetId="31" hidden="1">#REF!</definedName>
    <definedName name="SIG_YCPATB3_H0079" hidden="1">#REF!</definedName>
    <definedName name="SIG_YCPATB3_H0080" localSheetId="31" hidden="1">#REF!</definedName>
    <definedName name="SIG_YCPATB3_H0080" hidden="1">#REF!</definedName>
    <definedName name="SIG_YCPATB3_H0081" localSheetId="31" hidden="1">#REF!</definedName>
    <definedName name="SIG_YCPATB3_H0081" hidden="1">#REF!</definedName>
    <definedName name="SIG_YCPATB3_H0082" localSheetId="31" hidden="1">#REF!</definedName>
    <definedName name="SIG_YCPATB3_H0082" hidden="1">#REF!</definedName>
    <definedName name="SIG_YCPATB3_H0083" localSheetId="31" hidden="1">#REF!</definedName>
    <definedName name="SIG_YCPATB3_H0083" hidden="1">#REF!</definedName>
    <definedName name="SIG_YCPATB3_H0084" localSheetId="31" hidden="1">#REF!</definedName>
    <definedName name="SIG_YCPATB3_H0084" hidden="1">#REF!</definedName>
    <definedName name="SIZE" localSheetId="31">#REF!</definedName>
    <definedName name="SIZE" localSheetId="33">#REF!</definedName>
    <definedName name="SIZE">#REF!</definedName>
    <definedName name="SL" localSheetId="35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L" localSheetId="3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L" localSheetId="37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L" localSheetId="36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L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L." localSheetId="35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SL." localSheetId="31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SL." localSheetId="37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SL." localSheetId="36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SL.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SL_CRD" localSheetId="33">#REF!</definedName>
    <definedName name="SL_CRD">#REF!</definedName>
    <definedName name="SL_CRS" localSheetId="31">#REF!</definedName>
    <definedName name="SL_CRS" localSheetId="33">#REF!</definedName>
    <definedName name="SL_CRS">#REF!</definedName>
    <definedName name="SL_CS" localSheetId="31">#REF!</definedName>
    <definedName name="SL_CS" localSheetId="33">#REF!</definedName>
    <definedName name="SL_CS">#REF!</definedName>
    <definedName name="SL_DD" localSheetId="31">#REF!</definedName>
    <definedName name="SL_DD" localSheetId="33">#REF!</definedName>
    <definedName name="SL_DD">#REF!</definedName>
    <definedName name="slBTLT1pm" localSheetId="31">#REF!</definedName>
    <definedName name="slBTLT1pm" localSheetId="33">#REF!</definedName>
    <definedName name="slBTLT1pm">#REF!</definedName>
    <definedName name="slBTLT3pm" localSheetId="31">#REF!</definedName>
    <definedName name="slBTLT3pm" localSheetId="33">#REF!</definedName>
    <definedName name="slBTLT3pm">#REF!</definedName>
    <definedName name="slBTLTct" localSheetId="31">#REF!</definedName>
    <definedName name="slBTLTct" localSheetId="33">#REF!</definedName>
    <definedName name="slBTLTct">#REF!</definedName>
    <definedName name="slBTLTHTDL" localSheetId="31">#REF!</definedName>
    <definedName name="slBTLTHTDL" localSheetId="33">#REF!</definedName>
    <definedName name="slBTLTHTDL">#REF!</definedName>
    <definedName name="slBTLTHTHH" localSheetId="31">#REF!</definedName>
    <definedName name="slBTLTHTHH" localSheetId="33">#REF!</definedName>
    <definedName name="slBTLTHTHH">#REF!</definedName>
    <definedName name="slchang1pm" localSheetId="31">#REF!</definedName>
    <definedName name="slchang1pm" localSheetId="33">#REF!</definedName>
    <definedName name="slchang1pm">#REF!</definedName>
    <definedName name="slchang3pm" localSheetId="31">#REF!</definedName>
    <definedName name="slchang3pm" localSheetId="33">#REF!</definedName>
    <definedName name="slchang3pm">#REF!</definedName>
    <definedName name="slchangct" localSheetId="31">#REF!</definedName>
    <definedName name="slchangct" localSheetId="33">#REF!</definedName>
    <definedName name="slchangct">#REF!</definedName>
    <definedName name="slchanght" localSheetId="31">#REF!</definedName>
    <definedName name="slchanght" localSheetId="33">#REF!</definedName>
    <definedName name="slchanght">#REF!</definedName>
    <definedName name="slchangHTDL" localSheetId="31">#REF!</definedName>
    <definedName name="slchangHTDL" localSheetId="33">#REF!</definedName>
    <definedName name="slchangHTDL">#REF!</definedName>
    <definedName name="slchangHTHH" localSheetId="31">#REF!</definedName>
    <definedName name="slchangHTHH" localSheetId="33">#REF!</definedName>
    <definedName name="slchangHTHH">#REF!</definedName>
    <definedName name="slmong1pm" localSheetId="31">#REF!</definedName>
    <definedName name="slmong1pm" localSheetId="33">#REF!</definedName>
    <definedName name="slmong1pm">#REF!</definedName>
    <definedName name="slmong3pm" localSheetId="31">#REF!</definedName>
    <definedName name="slmong3pm" localSheetId="33">#REF!</definedName>
    <definedName name="slmong3pm">#REF!</definedName>
    <definedName name="slmongct" localSheetId="31">#REF!</definedName>
    <definedName name="slmongct" localSheetId="33">#REF!</definedName>
    <definedName name="slmongct">#REF!</definedName>
    <definedName name="slmonght" localSheetId="31">#REF!</definedName>
    <definedName name="slmonght" localSheetId="33">#REF!</definedName>
    <definedName name="slmonght">#REF!</definedName>
    <definedName name="slmongHTDL" localSheetId="31">#REF!</definedName>
    <definedName name="slmongHTDL" localSheetId="33">#REF!</definedName>
    <definedName name="slmongHTDL">#REF!</definedName>
    <definedName name="slmongHTHH" localSheetId="31">#REF!</definedName>
    <definedName name="slmongHTHH" localSheetId="33">#REF!</definedName>
    <definedName name="slmongHTHH">#REF!</definedName>
    <definedName name="slmongneo1pm" localSheetId="31">#REF!</definedName>
    <definedName name="slmongneo1pm" localSheetId="33">#REF!</definedName>
    <definedName name="slmongneo1pm">#REF!</definedName>
    <definedName name="slmongneo3pm" localSheetId="31">#REF!</definedName>
    <definedName name="slmongneo3pm" localSheetId="33">#REF!</definedName>
    <definedName name="slmongneo3pm">#REF!</definedName>
    <definedName name="slmongneoct" localSheetId="31">#REF!</definedName>
    <definedName name="slmongneoct" localSheetId="33">#REF!</definedName>
    <definedName name="slmongneoct">#REF!</definedName>
    <definedName name="slmongneoht" localSheetId="31">#REF!</definedName>
    <definedName name="slmongneoht" localSheetId="33">#REF!</definedName>
    <definedName name="slmongneoht">#REF!</definedName>
    <definedName name="slmongneoHTDL" localSheetId="31">#REF!</definedName>
    <definedName name="slmongneoHTDL" localSheetId="33">#REF!</definedName>
    <definedName name="slmongneoHTDL">#REF!</definedName>
    <definedName name="slmongneoHTHH" localSheetId="31">#REF!</definedName>
    <definedName name="slmongneoHTHH" localSheetId="33">#REF!</definedName>
    <definedName name="slmongneoHTHH">#REF!</definedName>
    <definedName name="sltdll1pm" localSheetId="31">#REF!</definedName>
    <definedName name="sltdll1pm" localSheetId="33">#REF!</definedName>
    <definedName name="sltdll1pm">#REF!</definedName>
    <definedName name="sltdll3pm" localSheetId="31">#REF!</definedName>
    <definedName name="sltdll3pm" localSheetId="33">#REF!</definedName>
    <definedName name="sltdll3pm">#REF!</definedName>
    <definedName name="sltdllct" localSheetId="31">#REF!</definedName>
    <definedName name="sltdllct" localSheetId="33">#REF!</definedName>
    <definedName name="sltdllct">#REF!</definedName>
    <definedName name="sltdllHTDL" localSheetId="31">#REF!</definedName>
    <definedName name="sltdllHTDL" localSheetId="33">#REF!</definedName>
    <definedName name="sltdllHTDL">#REF!</definedName>
    <definedName name="sltdllHTHH" localSheetId="31">#REF!</definedName>
    <definedName name="sltdllHTHH" localSheetId="33">#REF!</definedName>
    <definedName name="sltdllHTHH">#REF!</definedName>
    <definedName name="slxa1pm" localSheetId="31">#REF!</definedName>
    <definedName name="slxa1pm" localSheetId="33">#REF!</definedName>
    <definedName name="slxa1pm">#REF!</definedName>
    <definedName name="slxa3pm" localSheetId="31">#REF!</definedName>
    <definedName name="slxa3pm" localSheetId="33">#REF!</definedName>
    <definedName name="slxa3pm">#REF!</definedName>
    <definedName name="slxact" localSheetId="31">#REF!</definedName>
    <definedName name="slxact" localSheetId="33">#REF!</definedName>
    <definedName name="slxact">#REF!</definedName>
    <definedName name="Smart_Chart_Data_Table_27f4f82f0c0f4057bbbab2f04b9c894e" localSheetId="31">#REF!</definedName>
    <definedName name="Smart_Chart_Data_Table_27f4f82f0c0f4057bbbab2f04b9c894e">#REF!</definedName>
    <definedName name="Smart_Chart_Data_Table_5b72017a517240a799186d1337bfdfce" localSheetId="31">#REF!</definedName>
    <definedName name="Smart_Chart_Data_Table_5b72017a517240a799186d1337bfdfce">#REF!</definedName>
    <definedName name="Smart_Chart_Data_Table_64e0f834349d4de3b0d1a7cf5e3f4513" localSheetId="31">#REF!</definedName>
    <definedName name="Smart_Chart_Data_Table_64e0f834349d4de3b0d1a7cf5e3f4513">#REF!</definedName>
    <definedName name="Smart_Chart_Data_Table_6f6ecac17fd3421681dd9724a8c66d84" localSheetId="31">#REF!</definedName>
    <definedName name="Smart_Chart_Data_Table_6f6ecac17fd3421681dd9724a8c66d84">#REF!</definedName>
    <definedName name="Smart_Chart_Data_Table_91c1bef4fd55481e901bf0bd8383a99e" localSheetId="31">#REF!</definedName>
    <definedName name="Smart_Chart_Data_Table_91c1bef4fd55481e901bf0bd8383a99e">#REF!</definedName>
    <definedName name="Smart_Chart_Data_Table_a957bfd43f894968aaa002649366cc27" localSheetId="31">#REF!</definedName>
    <definedName name="Smart_Chart_Data_Table_a957bfd43f894968aaa002649366cc27">#REF!</definedName>
    <definedName name="Smart_Chart_Data_Table_c6a74c0a7dc945569ee569cd5a307e16" localSheetId="31">#REF!</definedName>
    <definedName name="Smart_Chart_Data_Table_c6a74c0a7dc945569ee569cd5a307e16">#REF!</definedName>
    <definedName name="Smart_Chart_Data_Table_d45706aa413a4b538c90f42abcbf26d2" localSheetId="31">#REF!</definedName>
    <definedName name="Smart_Chart_Data_Table_d45706aa413a4b538c90f42abcbf26d2">#REF!</definedName>
    <definedName name="Smart_Chart_Data_Table_dbe9a02b1a194c4e9c625fa64958b6a4" localSheetId="31">#REF!</definedName>
    <definedName name="Smart_Chart_Data_Table_dbe9a02b1a194c4e9c625fa64958b6a4">#REF!</definedName>
    <definedName name="Smart_Chart_Data_Table_f05b9a942e73421db797b135b2784000" localSheetId="31">#REF!</definedName>
    <definedName name="Smart_Chart_Data_Table_f05b9a942e73421db797b135b2784000">#REF!</definedName>
    <definedName name="Smart_Chart_Data_Table_f392ba94b11f479e9e0b294fefdc3d10" localSheetId="31">#REF!</definedName>
    <definedName name="Smart_Chart_Data_Table_f392ba94b11f479e9e0b294fefdc3d10">#REF!</definedName>
    <definedName name="Smart_Chart_Data_Table_f5e48cfbca8f4fb7b042004850329d97" localSheetId="31">#REF!</definedName>
    <definedName name="Smart_Chart_Data_Table_f5e48cfbca8f4fb7b042004850329d97">#REF!</definedName>
    <definedName name="SMPProtein" localSheetId="31">#REF!</definedName>
    <definedName name="SMPProtein">#REF!</definedName>
    <definedName name="SnecmaFAT" localSheetId="35" hidden="1">{#N/A,#N/A,TRUE,"Pro Forma";#N/A,#N/A,TRUE,"PF_Bal";#N/A,#N/A,TRUE,"PF_INC";#N/A,#N/A,TRUE,"CBE";#N/A,#N/A,TRUE,"SWK"}</definedName>
    <definedName name="SnecmaFAT" localSheetId="31" hidden="1">{#N/A,#N/A,TRUE,"Pro Forma";#N/A,#N/A,TRUE,"PF_Bal";#N/A,#N/A,TRUE,"PF_INC";#N/A,#N/A,TRUE,"CBE";#N/A,#N/A,TRUE,"SWK"}</definedName>
    <definedName name="SnecmaFAT" localSheetId="37" hidden="1">{#N/A,#N/A,TRUE,"Pro Forma";#N/A,#N/A,TRUE,"PF_Bal";#N/A,#N/A,TRUE,"PF_INC";#N/A,#N/A,TRUE,"CBE";#N/A,#N/A,TRUE,"SWK"}</definedName>
    <definedName name="SnecmaFAT" localSheetId="36" hidden="1">{#N/A,#N/A,TRUE,"Pro Forma";#N/A,#N/A,TRUE,"PF_Bal";#N/A,#N/A,TRUE,"PF_INC";#N/A,#N/A,TRUE,"CBE";#N/A,#N/A,TRUE,"SWK"}</definedName>
    <definedName name="SnecmaFAT" hidden="1">{#N/A,#N/A,TRUE,"Pro Forma";#N/A,#N/A,TRUE,"PF_Bal";#N/A,#N/A,TRUE,"PF_INC";#N/A,#N/A,TRUE,"CBE";#N/A,#N/A,TRUE,"SWK"}</definedName>
    <definedName name="SO_NOMRP">""</definedName>
    <definedName name="soc3p" localSheetId="33">#REF!</definedName>
    <definedName name="soc3p">#REF!</definedName>
    <definedName name="solieu" localSheetId="31">#REF!</definedName>
    <definedName name="solieu" localSheetId="33">#REF!</definedName>
    <definedName name="solieu">#REF!</definedName>
    <definedName name="Sort" localSheetId="31">#REF!</definedName>
    <definedName name="sort" localSheetId="33">#REF!</definedName>
    <definedName name="sort">#REF!</definedName>
    <definedName name="SOURCE" localSheetId="31">#REF!</definedName>
    <definedName name="SOURCE">#REF!</definedName>
    <definedName name="SOURCE1" localSheetId="31">#REF!</definedName>
    <definedName name="SOURCE1">#REF!</definedName>
    <definedName name="SOURCE2" localSheetId="31">#REF!</definedName>
    <definedName name="SOURCE2">#REF!</definedName>
    <definedName name="spec" localSheetId="31">#REF!</definedName>
    <definedName name="spec" localSheetId="33">#REF!</definedName>
    <definedName name="spec">#REF!</definedName>
    <definedName name="SpecialPrice" localSheetId="31" hidden="1">#REF!</definedName>
    <definedName name="SpecialPrice" localSheetId="33" hidden="1">#REF!</definedName>
    <definedName name="SpecialPrice" hidden="1">#REF!</definedName>
    <definedName name="SPECSUMMARY" localSheetId="31">#REF!</definedName>
    <definedName name="SPECSUMMARY" localSheetId="33">#REF!</definedName>
    <definedName name="SPECSUMMARY">#REF!</definedName>
    <definedName name="SPEND" localSheetId="31">#REF!</definedName>
    <definedName name="SPEND" localSheetId="33">#REF!</definedName>
    <definedName name="SPEND">#REF!</definedName>
    <definedName name="spf" localSheetId="31">#REF!</definedName>
    <definedName name="spf">#REF!</definedName>
    <definedName name="spf_pci" localSheetId="31">#REF!</definedName>
    <definedName name="spf_pci">#REF!</definedName>
    <definedName name="ss" localSheetId="35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s" localSheetId="3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s" localSheetId="37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s" localSheetId="36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s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ss" localSheetId="35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ss" localSheetId="3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ss" localSheetId="37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ss" localSheetId="36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ss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SSADADSF" localSheetId="35" hidden="1">{"SPM1",#N/A,FALSE,"RIEP"}</definedName>
    <definedName name="SSSADADSF" localSheetId="31" hidden="1">{"SPM1",#N/A,FALSE,"RIEP"}</definedName>
    <definedName name="SSSADADSF" localSheetId="37" hidden="1">{"SPM1",#N/A,FALSE,"RIEP"}</definedName>
    <definedName name="SSSADADSF" localSheetId="36" hidden="1">{"SPM1",#N/A,FALSE,"RIEP"}</definedName>
    <definedName name="SSSADADSF" hidden="1">{"SPM1",#N/A,FALSE,"RIEP"}</definedName>
    <definedName name="ssss" hidden="1">#REF!</definedName>
    <definedName name="sssssss" localSheetId="35" hidden="1">{#N/A,#N/A,FALSE,"RIEP"}</definedName>
    <definedName name="sssssss" localSheetId="31" hidden="1">{#N/A,#N/A,FALSE,"RIEP"}</definedName>
    <definedName name="sssssss" localSheetId="37" hidden="1">{#N/A,#N/A,FALSE,"RIEP"}</definedName>
    <definedName name="sssssss" localSheetId="36" hidden="1">{#N/A,#N/A,FALSE,"RIEP"}</definedName>
    <definedName name="sssssss" hidden="1">{#N/A,#N/A,FALSE,"RIEP"}</definedName>
    <definedName name="ssssssssssssssssssssssssss" localSheetId="35" hidden="1">{"QQQ",#N/A,FALSE,"RIEP"}</definedName>
    <definedName name="ssssssssssssssssssssssssss" localSheetId="31" hidden="1">{"QQQ",#N/A,FALSE,"RIEP"}</definedName>
    <definedName name="ssssssssssssssssssssssssss" localSheetId="37" hidden="1">{"QQQ",#N/A,FALSE,"RIEP"}</definedName>
    <definedName name="ssssssssssssssssssssssssss" localSheetId="36" hidden="1">{"QQQ",#N/A,FALSE,"RIEP"}</definedName>
    <definedName name="ssssssssssssssssssssssssss" hidden="1">{"QQQ",#N/A,FALSE,"RIEP"}</definedName>
    <definedName name="st1p" localSheetId="33">#REF!</definedName>
    <definedName name="st1p">#REF!</definedName>
    <definedName name="st3p" localSheetId="31">#REF!</definedName>
    <definedName name="st3p" localSheetId="33">#REF!</definedName>
    <definedName name="st3p">#REF!</definedName>
    <definedName name="Stagegate" localSheetId="35">#REF!</definedName>
    <definedName name="Stagegate" localSheetId="31">#REF!</definedName>
    <definedName name="Stagegate" localSheetId="37">#REF!</definedName>
    <definedName name="Stagegate" localSheetId="36">#REF!</definedName>
    <definedName name="Stagegate" localSheetId="30">#REF!</definedName>
    <definedName name="Stagegate" localSheetId="34">#REF!</definedName>
    <definedName name="Stagegate">#REF!</definedName>
    <definedName name="Stand" localSheetId="35">#REF!</definedName>
    <definedName name="Stand" localSheetId="31">#REF!</definedName>
    <definedName name="Stand" localSheetId="37">#REF!</definedName>
    <definedName name="Stand" localSheetId="36">#REF!</definedName>
    <definedName name="Stand" localSheetId="30">#REF!</definedName>
    <definedName name="Stand" localSheetId="34">#REF!</definedName>
    <definedName name="Stand" localSheetId="33">#REF!</definedName>
    <definedName name="Stand">#REF!</definedName>
    <definedName name="STANDARCOSTAA" localSheetId="31">#REF!</definedName>
    <definedName name="STANDARCOSTAA" localSheetId="33">#REF!</definedName>
    <definedName name="STANDARCOSTAA">#REF!</definedName>
    <definedName name="STANDARCOSTC" localSheetId="31">#REF!</definedName>
    <definedName name="STANDARCOSTC" localSheetId="33">#REF!</definedName>
    <definedName name="STANDARCOSTC">#REF!</definedName>
    <definedName name="STANDARCOSTD" localSheetId="31">#REF!</definedName>
    <definedName name="STANDARCOSTD" localSheetId="33">#REF!</definedName>
    <definedName name="STANDARCOSTD">#REF!</definedName>
    <definedName name="staro_ecartKG" localSheetId="31">#REF!</definedName>
    <definedName name="staro_ecartKG">#REF!</definedName>
    <definedName name="Start">"AutoForm 2"</definedName>
    <definedName name="Start_1" localSheetId="33">#REF!</definedName>
    <definedName name="Start_1">#REF!</definedName>
    <definedName name="Start_10" localSheetId="31">#REF!</definedName>
    <definedName name="Start_10" localSheetId="33">#REF!</definedName>
    <definedName name="Start_10">#REF!</definedName>
    <definedName name="Start_11" localSheetId="31">#REF!</definedName>
    <definedName name="Start_11" localSheetId="33">#REF!</definedName>
    <definedName name="Start_11">#REF!</definedName>
    <definedName name="Start_12" localSheetId="31">#REF!</definedName>
    <definedName name="Start_12" localSheetId="33">#REF!</definedName>
    <definedName name="Start_12">#REF!</definedName>
    <definedName name="Start_13" localSheetId="31">#REF!</definedName>
    <definedName name="Start_13" localSheetId="33">#REF!</definedName>
    <definedName name="Start_13">#REF!</definedName>
    <definedName name="Start_2" localSheetId="31">#REF!</definedName>
    <definedName name="Start_2" localSheetId="33">#REF!</definedName>
    <definedName name="Start_2">#REF!</definedName>
    <definedName name="Start_3" localSheetId="31">#REF!</definedName>
    <definedName name="Start_3" localSheetId="33">#REF!</definedName>
    <definedName name="Start_3">#REF!</definedName>
    <definedName name="Start_4" localSheetId="31">#REF!</definedName>
    <definedName name="Start_4" localSheetId="33">#REF!</definedName>
    <definedName name="Start_4">#REF!</definedName>
    <definedName name="Start_5" localSheetId="31">#REF!</definedName>
    <definedName name="Start_5" localSheetId="33">#REF!</definedName>
    <definedName name="Start_5">#REF!</definedName>
    <definedName name="Start_6" localSheetId="31">#REF!</definedName>
    <definedName name="Start_6" localSheetId="33">#REF!</definedName>
    <definedName name="Start_6">#REF!</definedName>
    <definedName name="Start_7" localSheetId="31">#REF!</definedName>
    <definedName name="Start_7" localSheetId="33">#REF!</definedName>
    <definedName name="Start_7">#REF!</definedName>
    <definedName name="Start_8" localSheetId="31">#REF!</definedName>
    <definedName name="Start_8" localSheetId="33">#REF!</definedName>
    <definedName name="Start_8">#REF!</definedName>
    <definedName name="Start_9" localSheetId="31">#REF!</definedName>
    <definedName name="Start_9" localSheetId="33">#REF!</definedName>
    <definedName name="Start_9">#REF!</definedName>
    <definedName name="START_DD_H">"2008-05-13"</definedName>
    <definedName name="Starting_Date">#REF!</definedName>
    <definedName name="State" localSheetId="31">#REF!</definedName>
    <definedName name="State" localSheetId="33">#REF!</definedName>
    <definedName name="State">#REF!</definedName>
    <definedName name="Status" localSheetId="35">#REF!</definedName>
    <definedName name="Status" localSheetId="31">#REF!</definedName>
    <definedName name="Status" localSheetId="37">#REF!</definedName>
    <definedName name="Status" localSheetId="36">#REF!</definedName>
    <definedName name="Status" localSheetId="30">#REF!</definedName>
    <definedName name="Status" localSheetId="34">#REF!</definedName>
    <definedName name="Status">#REF!</definedName>
    <definedName name="Statusbericht_Eingabe" localSheetId="31">#REF!,#REF!</definedName>
    <definedName name="Statusbericht_Eingabe" localSheetId="33">#REF!,#REF!</definedName>
    <definedName name="Statusbericht_Eingabe">#REF!,#REF!</definedName>
    <definedName name="STOCK" localSheetId="31">#REF!</definedName>
    <definedName name="STOCK">#REF!</definedName>
    <definedName name="STOCK_INIT" localSheetId="31">#REF!</definedName>
    <definedName name="STOCK_INIT">#REF!</definedName>
    <definedName name="stsrhs" localSheetId="3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stsrhs" localSheetId="3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stsrhs" localSheetId="37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stsrhs" localSheetId="36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stsrhs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stststst" localSheetId="35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tststst" localSheetId="3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tststst" localSheetId="37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tststst" localSheetId="36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tststst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ugus" localSheetId="35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Sugus" localSheetId="31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Sugus" localSheetId="37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Sugus" localSheetId="36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Sugus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SUMMARY" localSheetId="33">#REF!</definedName>
    <definedName name="SUMMARY">#REF!</definedName>
    <definedName name="Summe_von_0" localSheetId="31">#REF!</definedName>
    <definedName name="Summe_von_0">#REF!</definedName>
    <definedName name="Summe_von_00" localSheetId="31">#REF!</definedName>
    <definedName name="Summe_von_00">#REF!</definedName>
    <definedName name="Summe_von_000" localSheetId="31">#REF!</definedName>
    <definedName name="Summe_von_000">#REF!</definedName>
    <definedName name="Sweden" localSheetId="35" hidden="1">{#N/A,#N/A,FALSE,"RIEP"}</definedName>
    <definedName name="Sweden" localSheetId="31" hidden="1">{#N/A,#N/A,FALSE,"RIEP"}</definedName>
    <definedName name="Sweden" localSheetId="37" hidden="1">{#N/A,#N/A,FALSE,"RIEP"}</definedName>
    <definedName name="Sweden" localSheetId="36" hidden="1">{#N/A,#N/A,FALSE,"RIEP"}</definedName>
    <definedName name="Sweden" hidden="1">{#N/A,#N/A,FALSE,"RIEP"}</definedName>
    <definedName name="SYNTH1">#REF!</definedName>
    <definedName name="SYNTH2" localSheetId="31">#REF!</definedName>
    <definedName name="SYNTH2">#REF!</definedName>
    <definedName name="SYNTHESE" localSheetId="31">#REF!</definedName>
    <definedName name="SYNTHESE">#REF!</definedName>
    <definedName name="Synthèse" localSheetId="31">#REF!</definedName>
    <definedName name="Synthèse">#REF!</definedName>
    <definedName name="SYNTHESE_1" localSheetId="31">#REF!</definedName>
    <definedName name="SYNTHESE_1">#REF!</definedName>
    <definedName name="SYNTHESE_2" localSheetId="31">#REF!</definedName>
    <definedName name="SYNTHESE_2">#REF!</definedName>
    <definedName name="t" localSheetId="35" hidden="1">{"QQQ",#N/A,FALSE,"RIEP"}</definedName>
    <definedName name="t" localSheetId="31" hidden="1">{"QQQ",#N/A,FALSE,"RIEP"}</definedName>
    <definedName name="t" localSheetId="37" hidden="1">{"QQQ",#N/A,FALSE,"RIEP"}</definedName>
    <definedName name="t" localSheetId="36" hidden="1">{"QQQ",#N/A,FALSE,"RIEP"}</definedName>
    <definedName name="t" localSheetId="33">#REF!,#REF!,#REF!,#REF!</definedName>
    <definedName name="T">#REF!</definedName>
    <definedName name="t_all" localSheetId="35">#REF!</definedName>
    <definedName name="t_all" localSheetId="37">#REF!</definedName>
    <definedName name="t_all" localSheetId="36">#REF!</definedName>
    <definedName name="t_all" localSheetId="30">#REF!</definedName>
    <definedName name="t_all" localSheetId="34">#REF!</definedName>
    <definedName name="t_all">#REF!</definedName>
    <definedName name="T_HOP" localSheetId="31">#REF!</definedName>
    <definedName name="T_HOP" localSheetId="33">#REF!</definedName>
    <definedName name="T_HOP">#REF!</definedName>
    <definedName name="T02_DANH_MUC_CONG_VIEC" localSheetId="31">#REF!</definedName>
    <definedName name="T02_DANH_MUC_CONG_VIEC" localSheetId="33">#REF!</definedName>
    <definedName name="T02_DANH_MUC_CONG_VIEC">#REF!</definedName>
    <definedName name="T03_BANG_GIA_VAT_LIEU" localSheetId="31">#REF!</definedName>
    <definedName name="T03_BANG_GIA_VAT_LIEU" localSheetId="33">#REF!</definedName>
    <definedName name="T03_BANG_GIA_VAT_LIEU">#REF!</definedName>
    <definedName name="T04CC" localSheetId="3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04CC" localSheetId="3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04CC" localSheetId="37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04CC" localSheetId="36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04CC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09_DINH_MUC_DU_TOAN" localSheetId="33">#REF!</definedName>
    <definedName name="T09_DINH_MUC_DU_TOAN">#REF!</definedName>
    <definedName name="t101p" localSheetId="31">#REF!</definedName>
    <definedName name="t101p" localSheetId="33">#REF!</definedName>
    <definedName name="t101p">#REF!</definedName>
    <definedName name="t103p" localSheetId="31">#REF!</definedName>
    <definedName name="t103p" localSheetId="33">#REF!</definedName>
    <definedName name="t103p">#REF!</definedName>
    <definedName name="t10m" localSheetId="31">#REF!</definedName>
    <definedName name="t10m" localSheetId="33">#REF!</definedName>
    <definedName name="t10m">#REF!</definedName>
    <definedName name="T10nc" localSheetId="31">#REF!</definedName>
    <definedName name="T10nc" localSheetId="33">#REF!</definedName>
    <definedName name="T10nc">#REF!</definedName>
    <definedName name="t10nc1p" localSheetId="31">#REF!</definedName>
    <definedName name="t10nc1p" localSheetId="33">#REF!</definedName>
    <definedName name="t10nc1p">#REF!</definedName>
    <definedName name="T10vc" localSheetId="31">#REF!</definedName>
    <definedName name="T10vc" localSheetId="33">#REF!</definedName>
    <definedName name="T10vc">#REF!</definedName>
    <definedName name="T10vl" localSheetId="31">#REF!</definedName>
    <definedName name="T10vl" localSheetId="33">#REF!</definedName>
    <definedName name="T10vl">#REF!</definedName>
    <definedName name="t10vl1p" localSheetId="31">#REF!</definedName>
    <definedName name="t10vl1p" localSheetId="33">#REF!</definedName>
    <definedName name="t10vl1p">#REF!</definedName>
    <definedName name="t121p" localSheetId="31">#REF!</definedName>
    <definedName name="t121p" localSheetId="33">#REF!</definedName>
    <definedName name="t121p">#REF!</definedName>
    <definedName name="t123p" localSheetId="31">#REF!</definedName>
    <definedName name="t123p" localSheetId="33">#REF!</definedName>
    <definedName name="t123p">#REF!</definedName>
    <definedName name="T12nc" localSheetId="31">#REF!</definedName>
    <definedName name="T12nc" localSheetId="33">#REF!</definedName>
    <definedName name="T12nc">#REF!</definedName>
    <definedName name="t12nc3p" localSheetId="31">#REF!</definedName>
    <definedName name="t12nc3p" localSheetId="33">#REF!</definedName>
    <definedName name="t12nc3p">#REF!</definedName>
    <definedName name="T12vc" localSheetId="31">#REF!</definedName>
    <definedName name="T12vc" localSheetId="33">#REF!</definedName>
    <definedName name="T12vc">#REF!</definedName>
    <definedName name="T12vl" localSheetId="31">#REF!</definedName>
    <definedName name="T12vl" localSheetId="33">#REF!</definedName>
    <definedName name="T12vl">#REF!</definedName>
    <definedName name="t141p" localSheetId="31">#REF!</definedName>
    <definedName name="t141p" localSheetId="33">#REF!</definedName>
    <definedName name="t141p">#REF!</definedName>
    <definedName name="t143p" localSheetId="31">#REF!</definedName>
    <definedName name="t143p" localSheetId="33">#REF!</definedName>
    <definedName name="t143p">#REF!</definedName>
    <definedName name="T14nc" localSheetId="31">#REF!</definedName>
    <definedName name="T14nc" localSheetId="33">#REF!</definedName>
    <definedName name="T14nc">#REF!</definedName>
    <definedName name="T14vc" localSheetId="31">#REF!</definedName>
    <definedName name="T14vc" localSheetId="33">#REF!</definedName>
    <definedName name="T14vc">#REF!</definedName>
    <definedName name="T14vl" localSheetId="31">#REF!</definedName>
    <definedName name="T14vl" localSheetId="33">#REF!</definedName>
    <definedName name="T14vl">#REF!</definedName>
    <definedName name="t79oto97t" localSheetId="35" hidden="1">{#N/A,#N/A,FALSE,"RIEP"}</definedName>
    <definedName name="t79oto97t" localSheetId="31" hidden="1">{#N/A,#N/A,FALSE,"RIEP"}</definedName>
    <definedName name="t79oto97t" localSheetId="37" hidden="1">{#N/A,#N/A,FALSE,"RIEP"}</definedName>
    <definedName name="t79oto97t" localSheetId="36" hidden="1">{#N/A,#N/A,FALSE,"RIEP"}</definedName>
    <definedName name="t79oto97t" hidden="1">{#N/A,#N/A,FALSE,"RIEP"}</definedName>
    <definedName name="t7m" localSheetId="33">#REF!</definedName>
    <definedName name="t7m">#REF!</definedName>
    <definedName name="t7u74u" localSheetId="35" hidden="1">{"QQQ",#N/A,FALSE,"RIEP"}</definedName>
    <definedName name="t7u74u" localSheetId="31" hidden="1">{"QQQ",#N/A,FALSE,"RIEP"}</definedName>
    <definedName name="t7u74u" localSheetId="37" hidden="1">{"QQQ",#N/A,FALSE,"RIEP"}</definedName>
    <definedName name="t7u74u" localSheetId="36" hidden="1">{"QQQ",#N/A,FALSE,"RIEP"}</definedName>
    <definedName name="t7u74u" hidden="1">{"QQQ",#N/A,FALSE,"RIEP"}</definedName>
    <definedName name="t7u75" localSheetId="35" hidden="1">{"SPM1",#N/A,FALSE,"RIEP"}</definedName>
    <definedName name="t7u75" localSheetId="31" hidden="1">{"SPM1",#N/A,FALSE,"RIEP"}</definedName>
    <definedName name="t7u75" localSheetId="37" hidden="1">{"SPM1",#N/A,FALSE,"RIEP"}</definedName>
    <definedName name="t7u75" localSheetId="36" hidden="1">{"SPM1",#N/A,FALSE,"RIEP"}</definedName>
    <definedName name="t7u75" hidden="1">{"SPM1",#N/A,FALSE,"RIEP"}</definedName>
    <definedName name="t7ur7u" localSheetId="35" hidden="1">{#N/A,#N/A,FALSE,"RIEP"}</definedName>
    <definedName name="t7ur7u" localSheetId="31" hidden="1">{#N/A,#N/A,FALSE,"RIEP"}</definedName>
    <definedName name="t7ur7u" localSheetId="37" hidden="1">{#N/A,#N/A,FALSE,"RIEP"}</definedName>
    <definedName name="t7ur7u" localSheetId="36" hidden="1">{#N/A,#N/A,FALSE,"RIEP"}</definedName>
    <definedName name="t7ur7u" hidden="1">{#N/A,#N/A,FALSE,"RIEP"}</definedName>
    <definedName name="t8m" localSheetId="33">#REF!</definedName>
    <definedName name="t8m">#REF!</definedName>
    <definedName name="TA" localSheetId="31">#REF!</definedName>
    <definedName name="TA" localSheetId="33">#REF!</definedName>
    <definedName name="TA">#REF!</definedName>
    <definedName name="Tab_comp" localSheetId="31">#REF!</definedName>
    <definedName name="Tab_comp">#REF!</definedName>
    <definedName name="Tab_sverweis" localSheetId="31">#REF!</definedName>
    <definedName name="Tab_sverweis" localSheetId="33">#REF!</definedName>
    <definedName name="Tab_sverweis">#REF!</definedName>
    <definedName name="tabcpp" localSheetId="31">#REF!</definedName>
    <definedName name="tabcpp">#REF!</definedName>
    <definedName name="table" localSheetId="31">#REF!</definedName>
    <definedName name="table">#REF!</definedName>
    <definedName name="table_depenses_marketing" localSheetId="31">#REF!</definedName>
    <definedName name="table_depenses_marketing">#REF!</definedName>
    <definedName name="table_g" localSheetId="31">#REF!</definedName>
    <definedName name="table_g">#REF!</definedName>
    <definedName name="tableau" localSheetId="31">#REF!</definedName>
    <definedName name="tableau">#REF!</definedName>
    <definedName name="TableName">"Dummy"</definedName>
    <definedName name="TAM">#N/A</definedName>
    <definedName name="TAMTINH" localSheetId="33">#REF!</definedName>
    <definedName name="TAMTINH">#REF!</definedName>
    <definedName name="Taux_Aug" localSheetId="31">#REF!</definedName>
    <definedName name="Taux_Aug">#REF!</definedName>
    <definedName name="Taux_Aug_23" localSheetId="31">#REF!</definedName>
    <definedName name="Taux_Aug_23">#REF!</definedName>
    <definedName name="Taux_Dec" localSheetId="31">#REF!</definedName>
    <definedName name="Taux_Dec">#REF!</definedName>
    <definedName name="Taux_Dec_23" localSheetId="31">#REF!</definedName>
    <definedName name="Taux_Dec_23">#REF!</definedName>
    <definedName name="Taux_Juin" localSheetId="31">#REF!</definedName>
    <definedName name="Taux_Juin">#REF!</definedName>
    <definedName name="Taux_Juin_23" localSheetId="31">#REF!</definedName>
    <definedName name="Taux_Juin_23">#REF!</definedName>
    <definedName name="Taux_Jul" localSheetId="31">#REF!</definedName>
    <definedName name="Taux_Jul">#REF!</definedName>
    <definedName name="Taux_Jul_23" localSheetId="31">#REF!</definedName>
    <definedName name="Taux_Jul_23">#REF!</definedName>
    <definedName name="Taux_May" localSheetId="31">#REF!</definedName>
    <definedName name="Taux_May">#REF!</definedName>
    <definedName name="Taux_May_23" localSheetId="31">#REF!</definedName>
    <definedName name="Taux_May_23">#REF!</definedName>
    <definedName name="Taux_Nov" localSheetId="31">#REF!</definedName>
    <definedName name="Taux_Nov">#REF!</definedName>
    <definedName name="Taux_Nov_23" localSheetId="31">#REF!</definedName>
    <definedName name="Taux_Nov_23">#REF!</definedName>
    <definedName name="Taux_Oct" localSheetId="31">#REF!</definedName>
    <definedName name="Taux_Oct">#REF!</definedName>
    <definedName name="Taux_Oct_23" localSheetId="31">#REF!</definedName>
    <definedName name="Taux_Oct_23">#REF!</definedName>
    <definedName name="Taux_Sep" localSheetId="31">#REF!</definedName>
    <definedName name="Taux_Sep">#REF!</definedName>
    <definedName name="Taux_Sep_23" localSheetId="31">#REF!</definedName>
    <definedName name="Taux_Sep_23">#REF!</definedName>
    <definedName name="TAUXB" localSheetId="31">#REF!</definedName>
    <definedName name="TAUXB">#REF!</definedName>
    <definedName name="TAUXC" localSheetId="31">#REF!</definedName>
    <definedName name="TAUXC">#REF!</definedName>
    <definedName name="TAUXF1" localSheetId="31">#REF!</definedName>
    <definedName name="TAUXF1">#REF!</definedName>
    <definedName name="TAUXF2" localSheetId="31">#REF!</definedName>
    <definedName name="TAUXF2">#REF!</definedName>
    <definedName name="TAUXF3" localSheetId="31">#REF!</definedName>
    <definedName name="TAUXF3">#REF!</definedName>
    <definedName name="TAUXM" localSheetId="31">#REF!</definedName>
    <definedName name="TAUXM">#REF!</definedName>
    <definedName name="TaxTV">10%</definedName>
    <definedName name="TaxXL">5%</definedName>
    <definedName name="tb" localSheetId="31">#REF!</definedName>
    <definedName name="tb" localSheetId="33">#REF!</definedName>
    <definedName name="tb">#REF!</definedName>
    <definedName name="tbl_ProdInfo" localSheetId="31" hidden="1">#REF!</definedName>
    <definedName name="tbl_ProdInfo" localSheetId="33" hidden="1">#REF!</definedName>
    <definedName name="tbl_ProdInfo" hidden="1">#REF!</definedName>
    <definedName name="tbtram" localSheetId="31">#REF!</definedName>
    <definedName name="tbtram" localSheetId="33">#REF!</definedName>
    <definedName name="tbtram">#REF!</definedName>
    <definedName name="TBXD" localSheetId="31">#REF!</definedName>
    <definedName name="TBXD" localSheetId="33">#REF!</definedName>
    <definedName name="TBXD">#REF!</definedName>
    <definedName name="tbzps" localSheetId="31">#REF!</definedName>
    <definedName name="tbzps">#REF!</definedName>
    <definedName name="TC" localSheetId="31">#REF!</definedName>
    <definedName name="TC" localSheetId="33">#REF!</definedName>
    <definedName name="TC">#REF!</definedName>
    <definedName name="TC_NHANH1" localSheetId="31">#REF!</definedName>
    <definedName name="TC_NHANH1" localSheetId="33">#REF!</definedName>
    <definedName name="TC_NHANH1">#REF!</definedName>
    <definedName name="td" localSheetId="31">#REF!</definedName>
    <definedName name="td" localSheetId="33">#REF!</definedName>
    <definedName name="td">#REF!</definedName>
    <definedName name="td10vl" localSheetId="31">#REF!</definedName>
    <definedName name="td10vl" localSheetId="33">#REF!</definedName>
    <definedName name="td10vl">#REF!</definedName>
    <definedName name="td12nc" localSheetId="31">#REF!</definedName>
    <definedName name="td12nc" localSheetId="33">#REF!</definedName>
    <definedName name="td12nc">#REF!</definedName>
    <definedName name="TD12vl" localSheetId="31">#REF!</definedName>
    <definedName name="TD12vl" localSheetId="33">#REF!</definedName>
    <definedName name="TD12vl">#REF!</definedName>
    <definedName name="TD1p1nc" localSheetId="31">#REF!</definedName>
    <definedName name="TD1p1nc" localSheetId="33">#REF!</definedName>
    <definedName name="TD1p1nc">#REF!</definedName>
    <definedName name="td1p1vc" localSheetId="31">#REF!</definedName>
    <definedName name="td1p1vc" localSheetId="33">#REF!</definedName>
    <definedName name="td1p1vc">#REF!</definedName>
    <definedName name="TD1p1vl" localSheetId="31">#REF!</definedName>
    <definedName name="TD1p1vl" localSheetId="33">#REF!</definedName>
    <definedName name="TD1p1vl">#REF!</definedName>
    <definedName name="TD1p2nc" localSheetId="31">#REF!</definedName>
    <definedName name="TD1p2nc" localSheetId="33">#REF!</definedName>
    <definedName name="TD1p2nc">#REF!</definedName>
    <definedName name="TD1p2vc" localSheetId="31">#REF!</definedName>
    <definedName name="TD1p2vc" localSheetId="33">#REF!</definedName>
    <definedName name="TD1p2vc">#REF!</definedName>
    <definedName name="TD1p2vl" localSheetId="31">#REF!</definedName>
    <definedName name="TD1p2vl" localSheetId="33">#REF!</definedName>
    <definedName name="TD1p2vl">#REF!</definedName>
    <definedName name="TD1pnc" localSheetId="31">#REF!</definedName>
    <definedName name="TD1pnc" localSheetId="33">#REF!</definedName>
    <definedName name="TD1pnc">#REF!</definedName>
    <definedName name="TD1pvl" localSheetId="31">#REF!</definedName>
    <definedName name="TD1pvl" localSheetId="33">#REF!</definedName>
    <definedName name="TD1pvl">#REF!</definedName>
    <definedName name="td3p" localSheetId="31">#REF!</definedName>
    <definedName name="td3p" localSheetId="33">#REF!</definedName>
    <definedName name="td3p">#REF!</definedName>
    <definedName name="TDctnc" localSheetId="31">#REF!</definedName>
    <definedName name="TDctnc" localSheetId="33">#REF!</definedName>
    <definedName name="TDctnc">#REF!</definedName>
    <definedName name="TDctvc" localSheetId="31">#REF!</definedName>
    <definedName name="TDctvc" localSheetId="33">#REF!</definedName>
    <definedName name="TDctvc">#REF!</definedName>
    <definedName name="TDctvl" localSheetId="31">#REF!</definedName>
    <definedName name="TDctvl" localSheetId="33">#REF!</definedName>
    <definedName name="TDctvl">#REF!</definedName>
    <definedName name="tdll1pm" localSheetId="31">#REF!</definedName>
    <definedName name="tdll1pm" localSheetId="33">#REF!</definedName>
    <definedName name="tdll1pm">#REF!</definedName>
    <definedName name="tdll3pm" localSheetId="31">#REF!</definedName>
    <definedName name="tdll3pm" localSheetId="33">#REF!</definedName>
    <definedName name="tdll3pm">#REF!</definedName>
    <definedName name="tdllct" localSheetId="31">#REF!</definedName>
    <definedName name="tdllct" localSheetId="33">#REF!</definedName>
    <definedName name="tdllct">#REF!</definedName>
    <definedName name="tdllHTDL" localSheetId="31">#REF!</definedName>
    <definedName name="tdllHTDL" localSheetId="33">#REF!</definedName>
    <definedName name="tdllHTDL">#REF!</definedName>
    <definedName name="tdllHTHH" localSheetId="31">#REF!</definedName>
    <definedName name="tdllHTHH" localSheetId="33">#REF!</definedName>
    <definedName name="tdllHTHH">#REF!</definedName>
    <definedName name="TDmnc" localSheetId="31">#REF!</definedName>
    <definedName name="TDmnc" localSheetId="33">#REF!</definedName>
    <definedName name="TDmnc">#REF!</definedName>
    <definedName name="TDmvc" localSheetId="31">#REF!</definedName>
    <definedName name="TDmvc" localSheetId="33">#REF!</definedName>
    <definedName name="TDmvc">#REF!</definedName>
    <definedName name="TDmvl" localSheetId="31">#REF!</definedName>
    <definedName name="TDmvl" localSheetId="33">#REF!</definedName>
    <definedName name="TDmvl">#REF!</definedName>
    <definedName name="tdnc1p" localSheetId="31">#REF!</definedName>
    <definedName name="tdnc1p" localSheetId="33">#REF!</definedName>
    <definedName name="tdnc1p">#REF!</definedName>
    <definedName name="tdtr2cnc" localSheetId="31">#REF!</definedName>
    <definedName name="tdtr2cnc" localSheetId="33">#REF!</definedName>
    <definedName name="tdtr2cnc">#REF!</definedName>
    <definedName name="tdtr2cvl" localSheetId="31">#REF!</definedName>
    <definedName name="tdtr2cvl" localSheetId="33">#REF!</definedName>
    <definedName name="tdtr2cvl">#REF!</definedName>
    <definedName name="tdvl1p" localSheetId="31">#REF!</definedName>
    <definedName name="tdvl1p" localSheetId="33">#REF!</definedName>
    <definedName name="tdvl1p">#REF!</definedName>
    <definedName name="TECH_CURRENT_TEXTUAL_MONTH" localSheetId="31">#REF!</definedName>
    <definedName name="TECH_CURRENT_TEXTUAL_MONTH">#REF!</definedName>
    <definedName name="TECH_CURRENT_TM1_MONTH" localSheetId="31">#REF!</definedName>
    <definedName name="TECH_CURRENT_TM1_MONTH">#REF!</definedName>
    <definedName name="TECH_LANG" localSheetId="31">#REF!</definedName>
    <definedName name="TECH_LANG">#REF!</definedName>
    <definedName name="TECH_MONTH" localSheetId="31">#REF!</definedName>
    <definedName name="TECH_MONTH">#REF!</definedName>
    <definedName name="TECH_MONTH_2" localSheetId="31">#REF!</definedName>
    <definedName name="TECH_MONTH_2">#REF!</definedName>
    <definedName name="TECH_MONTH_NUMBER" localSheetId="31">#REF!</definedName>
    <definedName name="TECH_MONTH_NUMBER">#REF!</definedName>
    <definedName name="TECH_YEAR" localSheetId="31">#REF!</definedName>
    <definedName name="TECH_YEAR">#REF!</definedName>
    <definedName name="tempo" localSheetId="31">#REF!</definedName>
    <definedName name="tempo">#REF!</definedName>
    <definedName name="TENCT" localSheetId="31">#REF!</definedName>
    <definedName name="TENCT" localSheetId="33">#REF!</definedName>
    <definedName name="TENCT">#REF!</definedName>
    <definedName name="Termin_Eingabefelder" localSheetId="31">#REF!,#REF!,#REF!,#REF!,#REF!</definedName>
    <definedName name="Termin_Eingabefelder" localSheetId="33">#REF!,#REF!,#REF!,#REF!,#REF!</definedName>
    <definedName name="Termin_Eingabefelder">#REF!,#REF!,#REF!,#REF!,#REF!</definedName>
    <definedName name="Termin_Soll_Felder" localSheetId="35">#REF!,#REF!,#REF!,#REF!</definedName>
    <definedName name="Termin_Soll_Felder" localSheetId="31">#REF!,#REF!,#REF!,#REF!</definedName>
    <definedName name="Termin_Soll_Felder" localSheetId="33">#REF!,#REF!,#REF!,#REF!</definedName>
    <definedName name="Termin_Soll_Felder">#REF!,#REF!,#REF!,#REF!</definedName>
    <definedName name="Termin_Termine" localSheetId="35">#REF!,#REF!</definedName>
    <definedName name="Termin_Termine" localSheetId="31">#REF!,#REF!</definedName>
    <definedName name="Termin_Termine" localSheetId="33">#REF!,#REF!</definedName>
    <definedName name="Termin_Termine">#REF!,#REF!</definedName>
    <definedName name="TEST" localSheetId="35">#REF!</definedName>
    <definedName name="TEST" localSheetId="31">#REF!</definedName>
    <definedName name="TEST">#REF!</definedName>
    <definedName name="Test1" localSheetId="35">#REF!</definedName>
    <definedName name="Test1" localSheetId="31">#REF!</definedName>
    <definedName name="Test1">#REF!</definedName>
    <definedName name="Test2" localSheetId="35">#REF!</definedName>
    <definedName name="Test2" localSheetId="31">#REF!</definedName>
    <definedName name="Test2">#REF!</definedName>
    <definedName name="Test4" localSheetId="31">#REF!</definedName>
    <definedName name="Test4">#REF!</definedName>
    <definedName name="TextRefCopy1" localSheetId="31">#REF!</definedName>
    <definedName name="TextRefCopy1" localSheetId="33">#REF!</definedName>
    <definedName name="TextRefCopy1">#REF!</definedName>
    <definedName name="TextRefCopy10" localSheetId="31">#REF!</definedName>
    <definedName name="TextRefCopy10" localSheetId="33">#REF!</definedName>
    <definedName name="TextRefCopy10">#REF!</definedName>
    <definedName name="TextRefCopy2" localSheetId="31">#REF!</definedName>
    <definedName name="TextRefCopy2" localSheetId="33">#REF!</definedName>
    <definedName name="TextRefCopy2">#REF!</definedName>
    <definedName name="TextRefCopy3" localSheetId="31">#REF!</definedName>
    <definedName name="TextRefCopy3" localSheetId="33">#REF!</definedName>
    <definedName name="TextRefCopy3">#REF!</definedName>
    <definedName name="TextRefCopy4" localSheetId="31">#REF!</definedName>
    <definedName name="TextRefCopy4" localSheetId="33">#REF!</definedName>
    <definedName name="TextRefCopy4">#REF!</definedName>
    <definedName name="TextRefCopy5" localSheetId="31">#REF!</definedName>
    <definedName name="TextRefCopy5" localSheetId="33">#REF!</definedName>
    <definedName name="TextRefCopy5">#REF!</definedName>
    <definedName name="TextRefCopy6" localSheetId="31">#REF!</definedName>
    <definedName name="TextRefCopy6" localSheetId="33">#REF!</definedName>
    <definedName name="TextRefCopy6">#REF!</definedName>
    <definedName name="TextRefCopy7" localSheetId="31">#REF!</definedName>
    <definedName name="TextRefCopy7" localSheetId="33">#REF!</definedName>
    <definedName name="TextRefCopy7">#REF!</definedName>
    <definedName name="TextRefCopy8" localSheetId="31">#REF!</definedName>
    <definedName name="TextRefCopy8" localSheetId="33">#REF!</definedName>
    <definedName name="TextRefCopy8">#REF!</definedName>
    <definedName name="TextRefCopy9" localSheetId="31">#REF!</definedName>
    <definedName name="TextRefCopy9" localSheetId="33">#REF!</definedName>
    <definedName name="TextRefCopy9">#REF!</definedName>
    <definedName name="TextRefCopyRangeCount" hidden="1">10</definedName>
    <definedName name="TG" localSheetId="31">#REF!</definedName>
    <definedName name="TG" localSheetId="33">#REF!</definedName>
    <definedName name="TG">#REF!</definedName>
    <definedName name="tgfcvds" localSheetId="35" hidden="1">{#N/A,#N/A,FALSE,"RIEP"}</definedName>
    <definedName name="tgfcvds" localSheetId="31" hidden="1">{#N/A,#N/A,FALSE,"RIEP"}</definedName>
    <definedName name="tgfcvds" localSheetId="37" hidden="1">{#N/A,#N/A,FALSE,"RIEP"}</definedName>
    <definedName name="tgfcvds" localSheetId="36" hidden="1">{#N/A,#N/A,FALSE,"RIEP"}</definedName>
    <definedName name="tgfcvds" hidden="1">{#N/A,#N/A,FALSE,"RIEP"}</definedName>
    <definedName name="tgrgg" localSheetId="3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grgg" localSheetId="3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grgg" localSheetId="37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grgg" localSheetId="36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grgg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gzgtgrrz" localSheetId="3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gzgtgrrz" localSheetId="3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gzgtgrrz" localSheetId="37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gzgtgrrz" localSheetId="36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gzgtgrr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HCTAU" localSheetId="33">#REF!</definedName>
    <definedName name="THCTAU">#REF!</definedName>
    <definedName name="thertherth" localSheetId="3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hertherth" localSheetId="3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hertherth" localSheetId="37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hertherth" localSheetId="36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hertherth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HGO1pnc" localSheetId="33">#REF!</definedName>
    <definedName name="THGO1pnc">#REF!</definedName>
    <definedName name="thht" localSheetId="31">#REF!</definedName>
    <definedName name="thht" localSheetId="33">#REF!</definedName>
    <definedName name="thht">#REF!</definedName>
    <definedName name="THI" localSheetId="31">#REF!</definedName>
    <definedName name="THI" localSheetId="33">#REF!</definedName>
    <definedName name="THI">#REF!</definedName>
    <definedName name="thkp3" localSheetId="31">#REF!</definedName>
    <definedName name="thkp3" localSheetId="33">#REF!</definedName>
    <definedName name="thkp3">#REF!</definedName>
    <definedName name="THT" localSheetId="31">#REF!</definedName>
    <definedName name="THT" localSheetId="33">#REF!</definedName>
    <definedName name="THT">#REF!</definedName>
    <definedName name="thtt" localSheetId="31">#REF!</definedName>
    <definedName name="thtt" localSheetId="33">#REF!</definedName>
    <definedName name="thtt">#REF!</definedName>
    <definedName name="thzsrhrzhtz" localSheetId="3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hzsrhrzhtz" localSheetId="3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hzsrhrzhtz" localSheetId="37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hzsrhrzhtz" localSheetId="36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hzsrhrzht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ITAN" localSheetId="31">#REF!</definedName>
    <definedName name="TITAN" localSheetId="33">#REF!</definedName>
    <definedName name="TITAN">#REF!</definedName>
    <definedName name="TITRE" localSheetId="31">#REF!</definedName>
    <definedName name="TITRE">#REF!</definedName>
    <definedName name="TITRE1" localSheetId="31">#REF!</definedName>
    <definedName name="TITRE1">#REF!</definedName>
    <definedName name="TITRE2" localSheetId="31">#REF!</definedName>
    <definedName name="TITRE2">#REF!</definedName>
    <definedName name="TITRE3" localSheetId="31">#REF!</definedName>
    <definedName name="TITRE3">#REF!</definedName>
    <definedName name="TITRE4" localSheetId="31">#REF!</definedName>
    <definedName name="TITRE4">#REF!</definedName>
    <definedName name="TITRE5" localSheetId="31">#REF!</definedName>
    <definedName name="TITRE5">#REF!</definedName>
    <definedName name="TITRE6" localSheetId="31">#REF!</definedName>
    <definedName name="TITRE6">#REF!</definedName>
    <definedName name="TITRE7" localSheetId="31">#REF!</definedName>
    <definedName name="TITRE7">#REF!</definedName>
    <definedName name="TITRED" localSheetId="31">#REF!</definedName>
    <definedName name="TITRED">#REF!</definedName>
    <definedName name="TITREMOIS" localSheetId="31">#REF!</definedName>
    <definedName name="TITREMOIS">#REF!</definedName>
    <definedName name="TITREP" localSheetId="31">#REF!</definedName>
    <definedName name="TITREP">#REF!</definedName>
    <definedName name="TITRES" localSheetId="31">#REF!</definedName>
    <definedName name="TITRES">#REF!</definedName>
    <definedName name="Tien" localSheetId="31">#REF!</definedName>
    <definedName name="Tien" localSheetId="33">#REF!</definedName>
    <definedName name="Tien">#REF!</definedName>
    <definedName name="TienLuong" localSheetId="31">#REF!</definedName>
    <definedName name="TienLuong" localSheetId="33">#REF!</definedName>
    <definedName name="TienLuong">#REF!</definedName>
    <definedName name="tikl679o679o" localSheetId="35" hidden="1">{#N/A,#N/A,FALSE,"RIEP"}</definedName>
    <definedName name="tikl679o679o" localSheetId="31" hidden="1">{#N/A,#N/A,FALSE,"RIEP"}</definedName>
    <definedName name="tikl679o679o" localSheetId="37" hidden="1">{#N/A,#N/A,FALSE,"RIEP"}</definedName>
    <definedName name="tikl679o679o" localSheetId="36" hidden="1">{#N/A,#N/A,FALSE,"RIEP"}</definedName>
    <definedName name="tikl679o679o" hidden="1">{#N/A,#N/A,FALSE,"RIEP"}</definedName>
    <definedName name="Time">#REF!</definedName>
    <definedName name="titrecolonne" localSheetId="31">#REF!</definedName>
    <definedName name="titrecolonne">#REF!</definedName>
    <definedName name="titreligne" localSheetId="31">#REF!</definedName>
    <definedName name="titreligne">#REF!</definedName>
    <definedName name="TLAC120" localSheetId="31">#REF!</definedName>
    <definedName name="TLAC120" localSheetId="33">#REF!</definedName>
    <definedName name="TLAC120">#REF!</definedName>
    <definedName name="TLAC35" localSheetId="31">#REF!</definedName>
    <definedName name="TLAC35" localSheetId="33">#REF!</definedName>
    <definedName name="TLAC35">#REF!</definedName>
    <definedName name="TLAC50" localSheetId="31">#REF!</definedName>
    <definedName name="TLAC50" localSheetId="33">#REF!</definedName>
    <definedName name="TLAC50">#REF!</definedName>
    <definedName name="TLAC70" localSheetId="31">#REF!</definedName>
    <definedName name="TLAC70" localSheetId="33">#REF!</definedName>
    <definedName name="TLAC70">#REF!</definedName>
    <definedName name="TLAC95" localSheetId="31">#REF!</definedName>
    <definedName name="TLAC95" localSheetId="33">#REF!</definedName>
    <definedName name="TLAC95">#REF!</definedName>
    <definedName name="Tle" localSheetId="31">#REF!</definedName>
    <definedName name="Tle" localSheetId="33">#REF!</definedName>
    <definedName name="Tle">#REF!</definedName>
    <definedName name="tluong" localSheetId="31">#REF!</definedName>
    <definedName name="tluong" localSheetId="33">#REF!</definedName>
    <definedName name="tluong">#REF!</definedName>
    <definedName name="TM" localSheetId="4">[0]!BTRAM</definedName>
    <definedName name="TM" localSheetId="35">[0]!BTRAM</definedName>
    <definedName name="TM" localSheetId="31">'EFF DW'!BTRAM</definedName>
    <definedName name="TM" localSheetId="37">[0]!BTRAM</definedName>
    <definedName name="TM" localSheetId="38">[0]!BTRAM</definedName>
    <definedName name="TM" localSheetId="7">[0]!BTRAM</definedName>
    <definedName name="TM" localSheetId="36">[0]!BTRAM</definedName>
    <definedName name="TM" localSheetId="21">[0]!BTRAM</definedName>
    <definedName name="TM" localSheetId="30">[0]!BTRAM</definedName>
    <definedName name="TM" localSheetId="34">[0]!BTRAM</definedName>
    <definedName name="TM" localSheetId="33">Scrap_Recovery!BTRAM</definedName>
    <definedName name="TM" localSheetId="6">[0]!BTRAM</definedName>
    <definedName name="TM">[0]!BTRAM</definedName>
    <definedName name="TM1REBUILDOPTION">1</definedName>
    <definedName name="TNCM" localSheetId="31">#REF!</definedName>
    <definedName name="TNCM" localSheetId="33">#REF!</definedName>
    <definedName name="TNCM">#REF!</definedName>
    <definedName name="toma" localSheetId="3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oma" localSheetId="3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oma" localSheetId="37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oma" localSheetId="36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oma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ONGDUTOAN" localSheetId="33">#REF!</definedName>
    <definedName name="TONGDUTOAN">#REF!</definedName>
    <definedName name="TOP" localSheetId="31">#REF!</definedName>
    <definedName name="TOP" localSheetId="33">#REF!</definedName>
    <definedName name="TOP">#REF!</definedName>
    <definedName name="tot" localSheetId="31">#REF!</definedName>
    <definedName name="tot">#REF!</definedName>
    <definedName name="TOT_CHAR_BOUV" localSheetId="31">#REF!</definedName>
    <definedName name="TOT_CHAR_BOUV">#REF!</definedName>
    <definedName name="total" localSheetId="31">#REF!</definedName>
    <definedName name="total" localSheetId="33">#REF!</definedName>
    <definedName name="total">#REF!</definedName>
    <definedName name="totald" localSheetId="31">#REF!</definedName>
    <definedName name="totald" localSheetId="33">#REF!</definedName>
    <definedName name="totald">#REF!</definedName>
    <definedName name="Totales" localSheetId="31">#REF!,#REF!,#REF!,#REF!</definedName>
    <definedName name="Totales" localSheetId="33">#REF!,#REF!,#REF!,#REF!</definedName>
    <definedName name="Totales">#REF!,#REF!,#REF!,#REF!</definedName>
    <definedName name="Totales2" localSheetId="35">#REF!,#REF!,#REF!,#REF!,#REF!</definedName>
    <definedName name="Totales2" localSheetId="31">#REF!,#REF!,#REF!,#REF!,#REF!</definedName>
    <definedName name="Totales2" localSheetId="33">#REF!,#REF!,#REF!,#REF!,#REF!</definedName>
    <definedName name="Totales2">#REF!,#REF!,#REF!,#REF!,#REF!</definedName>
    <definedName name="TPLRP" localSheetId="35">#REF!</definedName>
    <definedName name="TPLRP" localSheetId="31">#REF!</definedName>
    <definedName name="TPLRP" localSheetId="33">#REF!</definedName>
    <definedName name="TPLRP">#REF!</definedName>
    <definedName name="TPM" localSheetId="35">#REF!</definedName>
    <definedName name="TPM" localSheetId="31">#REF!</definedName>
    <definedName name="TPM" localSheetId="33">#REF!</definedName>
    <definedName name="TPM">#REF!</definedName>
    <definedName name="Tra_DM_su_dung" localSheetId="35">#REF!</definedName>
    <definedName name="Tra_DM_su_dung" localSheetId="31">#REF!</definedName>
    <definedName name="Tra_DM_su_dung" localSheetId="33">#REF!</definedName>
    <definedName name="Tra_DM_su_dung">#REF!</definedName>
    <definedName name="Tra_don_gia_KS" localSheetId="31">#REF!</definedName>
    <definedName name="Tra_don_gia_KS" localSheetId="33">#REF!</definedName>
    <definedName name="Tra_don_gia_KS">#REF!</definedName>
    <definedName name="Tra_DTCT" localSheetId="31">#REF!</definedName>
    <definedName name="Tra_DTCT" localSheetId="33">#REF!</definedName>
    <definedName name="Tra_DTCT">#REF!</definedName>
    <definedName name="Tra_tim_hang_mucPT_trung" localSheetId="31">#REF!</definedName>
    <definedName name="Tra_tim_hang_mucPT_trung" localSheetId="33">#REF!</definedName>
    <definedName name="Tra_tim_hang_mucPT_trung">#REF!</definedName>
    <definedName name="Tra_TL" localSheetId="31">#REF!</definedName>
    <definedName name="Tra_TL" localSheetId="33">#REF!</definedName>
    <definedName name="Tra_TL">#REF!</definedName>
    <definedName name="Tra_ty_le2" localSheetId="31">#REF!</definedName>
    <definedName name="Tra_ty_le2" localSheetId="33">#REF!</definedName>
    <definedName name="Tra_ty_le2">#REF!</definedName>
    <definedName name="Tra_ty_le3" localSheetId="31">#REF!</definedName>
    <definedName name="Tra_ty_le3" localSheetId="33">#REF!</definedName>
    <definedName name="Tra_ty_le3">#REF!</definedName>
    <definedName name="Tra_ty_le4" localSheetId="31">#REF!</definedName>
    <definedName name="Tra_ty_le4" localSheetId="33">#REF!</definedName>
    <definedName name="Tra_ty_le4">#REF!</definedName>
    <definedName name="Tra_ty_le5" localSheetId="31">#REF!</definedName>
    <definedName name="Tra_ty_le5" localSheetId="33">#REF!</definedName>
    <definedName name="Tra_ty_le5">#REF!</definedName>
    <definedName name="TRADE2" localSheetId="31">#REF!</definedName>
    <definedName name="TRADE2" localSheetId="33">#REF!</definedName>
    <definedName name="TRADE2">#REF!</definedName>
    <definedName name="TRAM" localSheetId="31">#REF!</definedName>
    <definedName name="TRAM" localSheetId="33">#REF!</definedName>
    <definedName name="TRAM">#REF!</definedName>
    <definedName name="TRest3" localSheetId="31">#REF!</definedName>
    <definedName name="TRest3">#REF!</definedName>
    <definedName name="trjk5i57" localSheetId="35" hidden="1">{"SPM1",#N/A,FALSE,"RIEP"}</definedName>
    <definedName name="trjk5i57" localSheetId="31" hidden="1">{"SPM1",#N/A,FALSE,"RIEP"}</definedName>
    <definedName name="trjk5i57" localSheetId="37" hidden="1">{"SPM1",#N/A,FALSE,"RIEP"}</definedName>
    <definedName name="trjk5i57" localSheetId="36" hidden="1">{"SPM1",#N/A,FALSE,"RIEP"}</definedName>
    <definedName name="trjk5i57" hidden="1">{"SPM1",#N/A,FALSE,"RIEP"}</definedName>
    <definedName name="TrspAuslConv">#REF!</definedName>
    <definedName name="TrspCoop" localSheetId="31">#REF!</definedName>
    <definedName name="TrspCoop">#REF!</definedName>
    <definedName name="TrspDenner" localSheetId="31">#REF!</definedName>
    <definedName name="TrspDenner">#REF!</definedName>
    <definedName name="TrspEISA" localSheetId="31">#REF!</definedName>
    <definedName name="TrspEISA">#REF!</definedName>
    <definedName name="TrspExp" localSheetId="31">#REF!</definedName>
    <definedName name="TrspExp">#REF!</definedName>
    <definedName name="TrspMig" localSheetId="31">#REF!</definedName>
    <definedName name="TrspMig">#REF!</definedName>
    <definedName name="TrspProd" localSheetId="31">#REF!</definedName>
    <definedName name="TrspProd">#REF!</definedName>
    <definedName name="tt" localSheetId="3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" localSheetId="3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" localSheetId="37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" localSheetId="36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_1P" localSheetId="33">#REF!</definedName>
    <definedName name="TT_1P">#REF!</definedName>
    <definedName name="TT_3p" localSheetId="31">#REF!</definedName>
    <definedName name="TT_3p" localSheetId="33">#REF!</definedName>
    <definedName name="TT_3p">#REF!</definedName>
    <definedName name="ttbt" localSheetId="31">#REF!</definedName>
    <definedName name="ttbt" localSheetId="33">#REF!</definedName>
    <definedName name="ttbt">#REF!</definedName>
    <definedName name="TTDD" localSheetId="31">#REF!</definedName>
    <definedName name="TTDD" localSheetId="33">#REF!</definedName>
    <definedName name="TTDD">#REF!</definedName>
    <definedName name="TTDDCT3p" localSheetId="31">#REF!</definedName>
    <definedName name="TTDDCT3p" localSheetId="33">#REF!</definedName>
    <definedName name="TTDDCT3p">#REF!</definedName>
    <definedName name="tthi" localSheetId="31">#REF!</definedName>
    <definedName name="tthi" localSheetId="33">#REF!</definedName>
    <definedName name="tthi">#REF!</definedName>
    <definedName name="ttronmk" localSheetId="31">#REF!</definedName>
    <definedName name="ttronmk" localSheetId="33">#REF!</definedName>
    <definedName name="ttronmk">#REF!</definedName>
    <definedName name="tttt" localSheetId="31" hidden="1">#REF!</definedName>
    <definedName name="tttt" hidden="1">#REF!</definedName>
    <definedName name="tttttt" localSheetId="3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tt" localSheetId="3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tt" localSheetId="37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tt" localSheetId="36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t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tttttttt" localSheetId="3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tttttttt" localSheetId="3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tttttttt" localSheetId="37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tttttttt" localSheetId="36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ttttttt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ttttttttt" localSheetId="3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ttttttttt" localSheetId="3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ttttttttt" localSheetId="37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ttttttttt" localSheetId="36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tttttttt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URNBACK" localSheetId="35">INDIRECT("09_STD_EXPORT_标准成本计算表!"&amp;""&amp;"G"&amp;""&amp;MATCH(!$K$1,#REF!,0))</definedName>
    <definedName name="TURNBACK" localSheetId="31">INDIRECT("09_STD_EXPORT_标准成本计算表!"&amp;""&amp;"G"&amp;""&amp;MATCH(!$K$1,#REF!,0))</definedName>
    <definedName name="TURNBACK" localSheetId="37">INDIRECT("09_STD_EXPORT_标准成本计算表!"&amp;""&amp;"G"&amp;""&amp;MATCH(!$K$1,#REF!,0))</definedName>
    <definedName name="TURNBACK" localSheetId="36">INDIRECT("09_STD_EXPORT_标准成本计算表!"&amp;""&amp;"G"&amp;""&amp;MATCH(!$K$1,#REF!,0))</definedName>
    <definedName name="TURNBACK" localSheetId="30">INDIRECT("09_STD_EXPORT_标准成本计算表!"&amp;""&amp;"G"&amp;""&amp;MATCH(!$K$1,#REF!,0))</definedName>
    <definedName name="TURNBACK" localSheetId="34">INDIRECT("09_STD_EXPORT_标准成本计算表!"&amp;""&amp;"G"&amp;""&amp;MATCH(!$K$1,#REF!,0))</definedName>
    <definedName name="TURNBACK">INDIRECT("09_STD_EXPORT_标准成本计算表!"&amp;""&amp;"G"&amp;""&amp;MATCH(!$K$1,#REF!,0))</definedName>
    <definedName name="tv75nc" localSheetId="33">#REF!</definedName>
    <definedName name="tv75nc">#REF!</definedName>
    <definedName name="tv75vl" localSheetId="31">#REF!</definedName>
    <definedName name="tv75vl" localSheetId="33">#REF!</definedName>
    <definedName name="tv75vl">#REF!</definedName>
    <definedName name="tx_perte" localSheetId="31">#REF!</definedName>
    <definedName name="tx_perte">#REF!</definedName>
    <definedName name="TXL">#N/A</definedName>
    <definedName name="ty" localSheetId="31">#REF!</definedName>
    <definedName name="ty" localSheetId="33">#REF!</definedName>
    <definedName name="ty">#REF!</definedName>
    <definedName name="ty_le" localSheetId="31">#REF!</definedName>
    <definedName name="ty_le" localSheetId="33">#REF!</definedName>
    <definedName name="ty_le">#REF!</definedName>
    <definedName name="ty_le_BTN" localSheetId="31">#REF!</definedName>
    <definedName name="ty_le_BTN" localSheetId="33">#REF!</definedName>
    <definedName name="ty_le_BTN">#REF!</definedName>
    <definedName name="Ty_le1" localSheetId="31">#REF!</definedName>
    <definedName name="Ty_le1" localSheetId="33">#REF!</definedName>
    <definedName name="Ty_le1">#REF!</definedName>
    <definedName name="tyiltu9ol" localSheetId="35" hidden="1">{"QQQ",#N/A,FALSE,"RIEP"}</definedName>
    <definedName name="tyiltu9ol" localSheetId="31" hidden="1">{"QQQ",#N/A,FALSE,"RIEP"}</definedName>
    <definedName name="tyiltu9ol" localSheetId="37" hidden="1">{"QQQ",#N/A,FALSE,"RIEP"}</definedName>
    <definedName name="tyiltu9ol" localSheetId="36" hidden="1">{"QQQ",#N/A,FALSE,"RIEP"}</definedName>
    <definedName name="tyiltu9ol" hidden="1">{"QQQ",#N/A,FALSE,"RIEP"}</definedName>
    <definedName name="tylz_ecartKG">#REF!</definedName>
    <definedName name="tyu" localSheetId="35" hidden="1">{"consolidated",#N/A,FALSE,"Sheet1";"cms",#N/A,FALSE,"Sheet1";"fse",#N/A,FALSE,"Sheet1"}</definedName>
    <definedName name="tyu" localSheetId="31" hidden="1">{"consolidated",#N/A,FALSE,"Sheet1";"cms",#N/A,FALSE,"Sheet1";"fse",#N/A,FALSE,"Sheet1"}</definedName>
    <definedName name="tyu" localSheetId="37" hidden="1">{"consolidated",#N/A,FALSE,"Sheet1";"cms",#N/A,FALSE,"Sheet1";"fse",#N/A,FALSE,"Sheet1"}</definedName>
    <definedName name="tyu" localSheetId="36" hidden="1">{"consolidated",#N/A,FALSE,"Sheet1";"cms",#N/A,FALSE,"Sheet1";"fse",#N/A,FALSE,"Sheet1"}</definedName>
    <definedName name="TYU" localSheetId="33">#REF!</definedName>
    <definedName name="TYU">#REF!</definedName>
    <definedName name="uaht" hidden="1">#REF!</definedName>
    <definedName name="ubrandtable" localSheetId="31">#REF!</definedName>
    <definedName name="ubrandtable">#REF!</definedName>
    <definedName name="Uc8m00" localSheetId="31">#REF!</definedName>
    <definedName name="Uc8m00">#REF!</definedName>
    <definedName name="Uc8m99" localSheetId="31">#REF!</definedName>
    <definedName name="Uc8m99">#REF!</definedName>
    <definedName name="ucb00" localSheetId="31">#REF!</definedName>
    <definedName name="ucb00">#REF!</definedName>
    <definedName name="UcMoy00" localSheetId="31">#REF!</definedName>
    <definedName name="UcMoy00">#REF!</definedName>
    <definedName name="UcMoy99" localSheetId="31">#REF!</definedName>
    <definedName name="UcMoy99">#REF!</definedName>
    <definedName name="UF" localSheetId="31">#REF!</definedName>
    <definedName name="UF">#REF!</definedName>
    <definedName name="UFPrn20040307090525" localSheetId="31">#REF!</definedName>
    <definedName name="UFPrn20040307090525" localSheetId="33">#REF!</definedName>
    <definedName name="UFPrn20040307090525">#REF!</definedName>
    <definedName name="UFPrn20040726091933" localSheetId="31">#REF!</definedName>
    <definedName name="UFPrn20040726091933" localSheetId="33">#REF!</definedName>
    <definedName name="UFPrn20040726091933">#REF!</definedName>
    <definedName name="UFPrn20040812141748" localSheetId="31">#REF!</definedName>
    <definedName name="UFPrn20040812141748" localSheetId="33">#REF!</definedName>
    <definedName name="UFPrn20040812141748">#REF!</definedName>
    <definedName name="UFPrn20040812141839" localSheetId="31">#REF!</definedName>
    <definedName name="UFPrn20040812141839" localSheetId="33">#REF!</definedName>
    <definedName name="UFPrn20040812141839">#REF!</definedName>
    <definedName name="UFPrn20040907140125" localSheetId="31">#REF!</definedName>
    <definedName name="UFPrn20040907140125" localSheetId="33">#REF!</definedName>
    <definedName name="UFPrn20040907140125">#REF!</definedName>
    <definedName name="UFPrn20040908134652" localSheetId="31">#REF!</definedName>
    <definedName name="UFPrn20040908134652" localSheetId="33">#REF!</definedName>
    <definedName name="UFPrn20040908134652">#REF!</definedName>
    <definedName name="UFPrn20040908142005" localSheetId="31">#REF!</definedName>
    <definedName name="UFPrn20040908142005" localSheetId="33">#REF!</definedName>
    <definedName name="UFPrn20040908142005">#REF!</definedName>
    <definedName name="UFPrn20040908194024" localSheetId="31">#REF!</definedName>
    <definedName name="UFPrn20040908194024" localSheetId="33">#REF!</definedName>
    <definedName name="UFPrn20040908194024">#REF!</definedName>
    <definedName name="UFPrn20060209101325" localSheetId="31">#REF!</definedName>
    <definedName name="UFPrn20060209101325" localSheetId="33">#REF!</definedName>
    <definedName name="UFPrn20060209101325">#REF!</definedName>
    <definedName name="UFPrn20060619133457" localSheetId="31">#REF!</definedName>
    <definedName name="UFPrn20060619133457" localSheetId="33">#REF!</definedName>
    <definedName name="UFPrn20060619133457">#REF!</definedName>
    <definedName name="UFPrn20060718080716" localSheetId="31">#REF!</definedName>
    <definedName name="UFPrn20060718080716" localSheetId="33">#REF!</definedName>
    <definedName name="UFPrn20060718080716">#REF!</definedName>
    <definedName name="UFPrn20060911132821" localSheetId="31">#REF!</definedName>
    <definedName name="UFPrn20060911132821" localSheetId="33">#REF!</definedName>
    <definedName name="UFPrn20060911132821">#REF!</definedName>
    <definedName name="UFPrn20070403092159" localSheetId="31">#REF!</definedName>
    <definedName name="UFPrn20070403092159" localSheetId="33">#REF!</definedName>
    <definedName name="UFPrn20070403092159">#REF!</definedName>
    <definedName name="UFPrn20070408164725" localSheetId="31">#REF!</definedName>
    <definedName name="UFPrn20070408164725" localSheetId="33">#REF!</definedName>
    <definedName name="UFPrn20070408164725">#REF!</definedName>
    <definedName name="UFPrn20070510144339" localSheetId="31">#REF!</definedName>
    <definedName name="UFPrn20070510144339" localSheetId="33">#REF!</definedName>
    <definedName name="UFPrn20070510144339">#REF!</definedName>
    <definedName name="UFPrn20070511091410" localSheetId="31">#REF!</definedName>
    <definedName name="UFPrn20070511091410" localSheetId="33">#REF!</definedName>
    <definedName name="UFPrn20070511091410">#REF!</definedName>
    <definedName name="UFPrn20070511145629" localSheetId="31">#REF!</definedName>
    <definedName name="UFPrn20070511145629" localSheetId="33">#REF!</definedName>
    <definedName name="UFPrn20070511145629">#REF!</definedName>
    <definedName name="UFPrn20070808151404" localSheetId="35">#REF!</definedName>
    <definedName name="UFPrn20070808151404" localSheetId="31">#REF!</definedName>
    <definedName name="UFPrn20070808151404" localSheetId="37">#REF!</definedName>
    <definedName name="UFPrn20070808151404" localSheetId="36">#REF!</definedName>
    <definedName name="UFPrn20070808151404" localSheetId="30">#REF!</definedName>
    <definedName name="UFPrn20070808151404" localSheetId="34">#REF!</definedName>
    <definedName name="UFPrn20070808151404">#REF!</definedName>
    <definedName name="UFPrn20070830143250" localSheetId="35">#REF!</definedName>
    <definedName name="UFPrn20070830143250" localSheetId="31">#REF!</definedName>
    <definedName name="UFPrn20070830143250" localSheetId="37">#REF!</definedName>
    <definedName name="UFPrn20070830143250" localSheetId="36">#REF!</definedName>
    <definedName name="UFPrn20070830143250" localSheetId="30">#REF!</definedName>
    <definedName name="UFPrn20070830143250" localSheetId="34">#REF!</definedName>
    <definedName name="UFPrn20070830143250">#REF!</definedName>
    <definedName name="UFPrn20070910200831" localSheetId="31">#REF!</definedName>
    <definedName name="UFPrn20070910200831" localSheetId="33">#REF!</definedName>
    <definedName name="UFPrn20070910200831">#REF!</definedName>
    <definedName name="UFPrn20080110145527" localSheetId="31">#REF!</definedName>
    <definedName name="UFPrn20080110145527" localSheetId="33">#REF!</definedName>
    <definedName name="UFPrn20080110145527">#REF!</definedName>
    <definedName name="UFPrn20080112173740" localSheetId="31">#REF!</definedName>
    <definedName name="UFPrn20080112173740" localSheetId="33">#REF!</definedName>
    <definedName name="UFPrn20080112173740">#REF!</definedName>
    <definedName name="UFPrn20080113100755" localSheetId="31">#REF!</definedName>
    <definedName name="UFPrn20080113100755" localSheetId="33">#REF!</definedName>
    <definedName name="UFPrn20080113100755">#REF!</definedName>
    <definedName name="UFPrn20080113141141" localSheetId="31">#REF!</definedName>
    <definedName name="UFPrn20080113141141" localSheetId="33">#REF!</definedName>
    <definedName name="UFPrn20080113141141">#REF!</definedName>
    <definedName name="UFPrn20080309105151" localSheetId="31">#REF!</definedName>
    <definedName name="UFPrn20080309105151" localSheetId="33">#REF!</definedName>
    <definedName name="UFPrn20080309105151">#REF!</definedName>
    <definedName name="UFPrn20080309121540" localSheetId="31">#REF!</definedName>
    <definedName name="UFPrn20080309121540" localSheetId="33">#REF!</definedName>
    <definedName name="UFPrn20080309121540">#REF!</definedName>
    <definedName name="UFPrn20080309122017" localSheetId="31">#REF!</definedName>
    <definedName name="UFPrn20080309122017" localSheetId="33">#REF!</definedName>
    <definedName name="UFPrn20080309122017">#REF!</definedName>
    <definedName name="UFPrn20080311203947" localSheetId="31">#REF!</definedName>
    <definedName name="UFPrn20080311203947" localSheetId="33">#REF!</definedName>
    <definedName name="UFPrn20080311203947">#REF!</definedName>
    <definedName name="UFPrn20080311210649" localSheetId="31">#REF!</definedName>
    <definedName name="UFPrn20080311210649" localSheetId="33">#REF!</definedName>
    <definedName name="UFPrn20080311210649">#REF!</definedName>
    <definedName name="UFPrn20080711135145" localSheetId="31">#REF!</definedName>
    <definedName name="UFPrn20080711135145" localSheetId="33">#REF!</definedName>
    <definedName name="UFPrn20080711135145">#REF!</definedName>
    <definedName name="UFPrn20080820202221" localSheetId="31">#REF!</definedName>
    <definedName name="UFPrn20080820202221" localSheetId="33">#REF!</definedName>
    <definedName name="UFPrn20080820202221">#REF!</definedName>
    <definedName name="UFPrn20080821091044" localSheetId="31">#REF!</definedName>
    <definedName name="UFPrn20080821091044" localSheetId="33">#REF!</definedName>
    <definedName name="UFPrn20080821091044">#REF!</definedName>
    <definedName name="UFPrn20080911103747">#REF!</definedName>
    <definedName name="UFPrn20080911103816">#REF!</definedName>
    <definedName name="UFPrn20080911133101" localSheetId="31">#REF!</definedName>
    <definedName name="UFPrn20080911133101" localSheetId="33">#REF!</definedName>
    <definedName name="UFPrn20080911133101">#REF!</definedName>
    <definedName name="UFPrn20080911133300" localSheetId="31">#REF!</definedName>
    <definedName name="UFPrn20080911133300" localSheetId="33">#REF!</definedName>
    <definedName name="UFPrn20080911133300">#REF!</definedName>
    <definedName name="UFPrn20081013131046" localSheetId="31">#REF!</definedName>
    <definedName name="UFPrn20081013131046" localSheetId="33">#REF!</definedName>
    <definedName name="UFPrn20081013131046">#REF!</definedName>
    <definedName name="UFPrn20081013131211" localSheetId="31">#REF!</definedName>
    <definedName name="UFPrn20081013131211" localSheetId="33">#REF!</definedName>
    <definedName name="UFPrn20081013131211">#REF!</definedName>
    <definedName name="UFPrn20081111175139" localSheetId="31">#REF!</definedName>
    <definedName name="UFPrn20081111175139" localSheetId="33">#REF!</definedName>
    <definedName name="UFPrn20081111175139">#REF!</definedName>
    <definedName name="UFPrn20081111180955" localSheetId="31">#REF!</definedName>
    <definedName name="UFPrn20081111180955" localSheetId="33">#REF!</definedName>
    <definedName name="UFPrn20081111180955">#REF!</definedName>
    <definedName name="UFPrn20090111160623">#REF!</definedName>
    <definedName name="UFPrn20090311145703" localSheetId="31">#REF!</definedName>
    <definedName name="UFPrn20090311145703" localSheetId="33">#REF!</definedName>
    <definedName name="UFPrn20090311145703">#REF!</definedName>
    <definedName name="UFPrn20090311145809" localSheetId="31">#REF!</definedName>
    <definedName name="UFPrn20090311145809" localSheetId="33">#REF!</definedName>
    <definedName name="UFPrn20090311145809">#REF!</definedName>
    <definedName name="UFPrn20090311145904" localSheetId="31">#REF!</definedName>
    <definedName name="UFPrn20090311145904" localSheetId="33">#REF!</definedName>
    <definedName name="UFPrn20090311145904">#REF!</definedName>
    <definedName name="UFPrn20090311150600" localSheetId="31">#REF!</definedName>
    <definedName name="UFPrn20090311150600" localSheetId="33">#REF!</definedName>
    <definedName name="UFPrn20090311150600">#REF!</definedName>
    <definedName name="UFPrn20090311154256" localSheetId="31">#REF!</definedName>
    <definedName name="UFPrn20090311154256" localSheetId="33">#REF!</definedName>
    <definedName name="UFPrn20090311154256">#REF!</definedName>
    <definedName name="UFPrn20090316164432">#REF!</definedName>
    <definedName name="UFPrn20090321085735" localSheetId="31">#REF!</definedName>
    <definedName name="UFPrn20090321085735" localSheetId="33">#REF!</definedName>
    <definedName name="UFPrn20090321085735">#REF!</definedName>
    <definedName name="UFPrn20090321090017" localSheetId="31">#REF!</definedName>
    <definedName name="UFPrn20090321090017" localSheetId="33">#REF!</definedName>
    <definedName name="UFPrn20090321090017">#REF!</definedName>
    <definedName name="UFPrn20090321133401" localSheetId="31">#REF!</definedName>
    <definedName name="UFPrn20090321133401" localSheetId="33">#REF!</definedName>
    <definedName name="UFPrn20090321133401">#REF!</definedName>
    <definedName name="UFPrn20090322163121" localSheetId="31">#REF!</definedName>
    <definedName name="UFPrn20090322163121" localSheetId="33">#REF!</definedName>
    <definedName name="UFPrn20090322163121">#REF!</definedName>
    <definedName name="UFPrn20090323114938" localSheetId="31">#REF!</definedName>
    <definedName name="UFPrn20090323114938" localSheetId="33">#REF!</definedName>
    <definedName name="UFPrn20090323114938">#REF!</definedName>
    <definedName name="UFPrn20090323152818" localSheetId="31">#REF!</definedName>
    <definedName name="UFPrn20090323152818" localSheetId="33">#REF!</definedName>
    <definedName name="UFPrn20090323152818">#REF!</definedName>
    <definedName name="UFPrn20090323153515" localSheetId="31">#REF!</definedName>
    <definedName name="UFPrn20090323153515" localSheetId="33">#REF!</definedName>
    <definedName name="UFPrn20090323153515">#REF!</definedName>
    <definedName name="UFPrn20090415154333" localSheetId="31">#REF!</definedName>
    <definedName name="UFPrn20090415154333" localSheetId="33">#REF!</definedName>
    <definedName name="UFPrn20090415154333">#REF!</definedName>
    <definedName name="UFPrn20090415214439" localSheetId="31">#REF!</definedName>
    <definedName name="UFPrn20090415214439" localSheetId="33">#REF!</definedName>
    <definedName name="UFPrn20090415214439">#REF!</definedName>
    <definedName name="UFPrn20090415214838" localSheetId="31">#REF!</definedName>
    <definedName name="UFPrn20090415214838" localSheetId="33">#REF!</definedName>
    <definedName name="UFPrn20090415214838">#REF!</definedName>
    <definedName name="UFPrn20090416090741" localSheetId="31">#REF!</definedName>
    <definedName name="UFPrn20090416090741" localSheetId="33">#REF!</definedName>
    <definedName name="UFPrn20090416090741">#REF!</definedName>
    <definedName name="UFPrn20091020081531" localSheetId="31">#REF!</definedName>
    <definedName name="UFPrn20091020081531" localSheetId="33">#REF!</definedName>
    <definedName name="UFPrn20091020081531">#REF!</definedName>
    <definedName name="UFPrn20091020082219" localSheetId="31">#REF!</definedName>
    <definedName name="UFPrn20091020082219" localSheetId="33">#REF!</definedName>
    <definedName name="UFPrn20091020082219">#REF!</definedName>
    <definedName name="UFPrn20091020082643" localSheetId="31">#REF!</definedName>
    <definedName name="UFPrn20091020082643" localSheetId="33">#REF!</definedName>
    <definedName name="UFPrn20091020082643">#REF!</definedName>
    <definedName name="UFPrn20091201154615" localSheetId="31">#REF!</definedName>
    <definedName name="UFPrn20091201154615" localSheetId="33">#REF!</definedName>
    <definedName name="UFPrn20091201154615">#REF!</definedName>
    <definedName name="UFPrn20100118085714" localSheetId="31">#REF!</definedName>
    <definedName name="UFPrn20100118085714" localSheetId="33">#REF!</definedName>
    <definedName name="UFPrn20100118085714">#REF!</definedName>
    <definedName name="UFPrn20100224145859" localSheetId="31">#REF!</definedName>
    <definedName name="UFPrn20100224145859" localSheetId="33">#REF!</definedName>
    <definedName name="UFPrn20100224145859">#REF!</definedName>
    <definedName name="UFPrn20100618111500" localSheetId="31">#REF!</definedName>
    <definedName name="UFPrn20100618111500" localSheetId="33">#REF!</definedName>
    <definedName name="UFPrn20100618111500">#REF!</definedName>
    <definedName name="UFPrn20100729085941" localSheetId="31">#REF!</definedName>
    <definedName name="UFPrn20100729085941" localSheetId="33">#REF!</definedName>
    <definedName name="UFPrn20100729085941">#REF!</definedName>
    <definedName name="UFPrn20100914083828" localSheetId="31">#REF!</definedName>
    <definedName name="UFPrn20100914083828" localSheetId="33">#REF!</definedName>
    <definedName name="UFPrn20100914083828">#REF!</definedName>
    <definedName name="UFPrn20100915111121" localSheetId="31">#REF!</definedName>
    <definedName name="UFPrn20100915111121" localSheetId="33">#REF!</definedName>
    <definedName name="UFPrn20100915111121">#REF!</definedName>
    <definedName name="UFPrn20101013130415" localSheetId="31">#REF!</definedName>
    <definedName name="UFPrn20101013130415" localSheetId="33">#REF!</definedName>
    <definedName name="UFPrn20101013130415">#REF!</definedName>
    <definedName name="UFPrn20101022114100" localSheetId="31">#REF!</definedName>
    <definedName name="UFPrn20101022114100" localSheetId="33">#REF!</definedName>
    <definedName name="UFPrn20101022114100">#REF!</definedName>
    <definedName name="UFPrn20110223110834" localSheetId="31">#REF!</definedName>
    <definedName name="UFPrn20110223110834" localSheetId="33">#REF!</definedName>
    <definedName name="UFPrn20110223110834">#REF!</definedName>
    <definedName name="UFPrn20110228094712" localSheetId="31">#REF!</definedName>
    <definedName name="UFPrn20110228094712" localSheetId="33">#REF!</definedName>
    <definedName name="UFPrn20110228094712">#REF!</definedName>
    <definedName name="UFPrn20110312113110" localSheetId="31">#REF!</definedName>
    <definedName name="UFPrn20110312113110" localSheetId="33">#REF!</definedName>
    <definedName name="UFPrn20110312113110">#REF!</definedName>
    <definedName name="UFPrn20110312113153" localSheetId="31">#REF!</definedName>
    <definedName name="UFPrn20110312113153" localSheetId="33">#REF!</definedName>
    <definedName name="UFPrn20110312113153">#REF!</definedName>
    <definedName name="UFPrn20110312113228" localSheetId="31">#REF!</definedName>
    <definedName name="UFPrn20110312113228" localSheetId="33">#REF!</definedName>
    <definedName name="UFPrn20110312113228">#REF!</definedName>
    <definedName name="UFPrn20110312113816" localSheetId="31">#REF!</definedName>
    <definedName name="UFPrn20110312113816" localSheetId="33">#REF!</definedName>
    <definedName name="UFPrn20110312113816">#REF!</definedName>
    <definedName name="UFPrn20110314081841" localSheetId="31">#REF!</definedName>
    <definedName name="UFPrn20110314081841" localSheetId="33">#REF!</definedName>
    <definedName name="UFPrn20110314081841">#REF!</definedName>
    <definedName name="UFPrn20110314131511" localSheetId="31">#REF!</definedName>
    <definedName name="UFPrn20110314131511" localSheetId="33">#REF!</definedName>
    <definedName name="UFPrn20110314131511">#REF!</definedName>
    <definedName name="UFPrn20110314132052" localSheetId="31">#REF!</definedName>
    <definedName name="UFPrn20110314132052" localSheetId="33">#REF!</definedName>
    <definedName name="UFPrn20110314132052">#REF!</definedName>
    <definedName name="UFPrn20110506165142" localSheetId="31">#REF!</definedName>
    <definedName name="UFPrn20110506165142" localSheetId="33">#REF!</definedName>
    <definedName name="UFPrn20110506165142">#REF!</definedName>
    <definedName name="UFPrn20110506165356" localSheetId="31">#REF!</definedName>
    <definedName name="UFPrn20110506165356" localSheetId="33">#REF!</definedName>
    <definedName name="UFPrn20110506165356">#REF!</definedName>
    <definedName name="UFPrn20110509084038" localSheetId="31">#REF!</definedName>
    <definedName name="UFPrn20110509084038" localSheetId="33">#REF!</definedName>
    <definedName name="UFPrn20110509084038">#REF!</definedName>
    <definedName name="UFPrn20110607095000" localSheetId="31">#REF!</definedName>
    <definedName name="UFPrn20110607095000" localSheetId="33">#REF!</definedName>
    <definedName name="UFPrn20110607095000">#REF!</definedName>
    <definedName name="UFPrn20110608131553" localSheetId="31">#REF!</definedName>
    <definedName name="UFPrn20110608131553" localSheetId="33">#REF!</definedName>
    <definedName name="UFPrn20110608131553">#REF!</definedName>
    <definedName name="UFPrn20110608154512" localSheetId="31">#REF!</definedName>
    <definedName name="UFPrn20110608154512" localSheetId="33">#REF!</definedName>
    <definedName name="UFPrn20110608154512">#REF!</definedName>
    <definedName name="UFPrn20110608154633" localSheetId="31">#REF!</definedName>
    <definedName name="UFPrn20110608154633" localSheetId="33">#REF!</definedName>
    <definedName name="UFPrn20110608154633">#REF!</definedName>
    <definedName name="UFPrn20110608154741" localSheetId="31">#REF!</definedName>
    <definedName name="UFPrn20110608154741" localSheetId="33">#REF!</definedName>
    <definedName name="UFPrn20110608154741">#REF!</definedName>
    <definedName name="UFPrn20110608154850" localSheetId="31">#REF!</definedName>
    <definedName name="UFPrn20110608154850" localSheetId="33">#REF!</definedName>
    <definedName name="UFPrn20110608154850">#REF!</definedName>
    <definedName name="UFPrn20110706095824" localSheetId="31">#REF!</definedName>
    <definedName name="UFPrn20110706095824" localSheetId="33">#REF!</definedName>
    <definedName name="UFPrn20110706095824">#REF!</definedName>
    <definedName name="UFPrn20110706102816" localSheetId="31">#REF!</definedName>
    <definedName name="UFPrn20110706102816" localSheetId="33">#REF!</definedName>
    <definedName name="UFPrn20110706102816">#REF!</definedName>
    <definedName name="UFPrn20110706103124" localSheetId="31">#REF!</definedName>
    <definedName name="UFPrn20110706103124" localSheetId="33">#REF!</definedName>
    <definedName name="UFPrn20110706103124">#REF!</definedName>
    <definedName name="UFPrn20110706103236" localSheetId="31">#REF!</definedName>
    <definedName name="UFPrn20110706103236" localSheetId="33">#REF!</definedName>
    <definedName name="UFPrn20110706103236">#REF!</definedName>
    <definedName name="UFPrn20110706124743" localSheetId="31">#REF!</definedName>
    <definedName name="UFPrn20110706124743" localSheetId="33">#REF!</definedName>
    <definedName name="UFPrn20110706124743">#REF!</definedName>
    <definedName name="UFPrn20110707081037" localSheetId="31">#REF!</definedName>
    <definedName name="UFPrn20110707081037" localSheetId="33">#REF!</definedName>
    <definedName name="UFPrn20110707081037">#REF!</definedName>
    <definedName name="UFPrn20110802151114" localSheetId="31">#REF!</definedName>
    <definedName name="UFPrn20110802151114" localSheetId="33">#REF!</definedName>
    <definedName name="UFPrn20110802151114">#REF!</definedName>
    <definedName name="UFPrn20110805124424" localSheetId="31">#REF!</definedName>
    <definedName name="UFPrn20110805124424" localSheetId="33">#REF!</definedName>
    <definedName name="UFPrn20110805124424">#REF!</definedName>
    <definedName name="UFPrn20110805131938" localSheetId="31">#REF!</definedName>
    <definedName name="UFPrn20110805131938" localSheetId="33">#REF!</definedName>
    <definedName name="UFPrn20110805131938">#REF!</definedName>
    <definedName name="UFPrn20110901083638" localSheetId="31">#REF!</definedName>
    <definedName name="UFPrn20110901083638" localSheetId="33">#REF!</definedName>
    <definedName name="UFPrn20110901083638">#REF!</definedName>
    <definedName name="UFPrn20110905143956" localSheetId="31">#REF!</definedName>
    <definedName name="UFPrn20110905143956" localSheetId="33">#REF!</definedName>
    <definedName name="UFPrn20110905143956">#REF!</definedName>
    <definedName name="UFPrn20110907083942" localSheetId="31">#REF!</definedName>
    <definedName name="UFPrn20110907083942" localSheetId="33">#REF!</definedName>
    <definedName name="UFPrn20110907083942">#REF!</definedName>
    <definedName name="UFPrn20110907143602" localSheetId="31">#REF!</definedName>
    <definedName name="UFPrn20110907143602" localSheetId="33">#REF!</definedName>
    <definedName name="UFPrn20110907143602">#REF!</definedName>
    <definedName name="UFPrn20111009162258" localSheetId="31">#REF!</definedName>
    <definedName name="UFPrn20111009162258" localSheetId="33">#REF!</definedName>
    <definedName name="UFPrn20111009162258">#REF!</definedName>
    <definedName name="UFPrn20111009162430" localSheetId="31">#REF!</definedName>
    <definedName name="UFPrn20111009162430" localSheetId="33">#REF!</definedName>
    <definedName name="UFPrn20111009162430">#REF!</definedName>
    <definedName name="UFPrn20111104093902" localSheetId="31">#REF!</definedName>
    <definedName name="UFPrn20111104093902" localSheetId="33">#REF!</definedName>
    <definedName name="UFPrn20111104093902">#REF!</definedName>
    <definedName name="UFPrn20111104094418" localSheetId="31">#REF!</definedName>
    <definedName name="UFPrn20111104094418" localSheetId="33">#REF!</definedName>
    <definedName name="UFPrn20111104094418">#REF!</definedName>
    <definedName name="UFPrn20111206174234" localSheetId="31">#REF!</definedName>
    <definedName name="UFPrn20111206174234" localSheetId="33">#REF!</definedName>
    <definedName name="UFPrn20111206174234">#REF!</definedName>
    <definedName name="UFPrn20111207185704" localSheetId="31">#REF!</definedName>
    <definedName name="UFPrn20111207185704" localSheetId="33">#REF!</definedName>
    <definedName name="UFPrn20111207185704">#REF!</definedName>
    <definedName name="UFPrn20120308085547" localSheetId="31">#REF!</definedName>
    <definedName name="UFPrn20120308085547" localSheetId="33">#REF!</definedName>
    <definedName name="UFPrn20120308085547">#REF!</definedName>
    <definedName name="UFPrn20120315101023" localSheetId="31">#REF!</definedName>
    <definedName name="UFPrn20120315101023" localSheetId="33">#REF!</definedName>
    <definedName name="UFPrn20120315101023">#REF!</definedName>
    <definedName name="UFPrn20120406164734" localSheetId="31">#REF!</definedName>
    <definedName name="UFPrn20120406164734" localSheetId="33">#REF!</definedName>
    <definedName name="UFPrn20120406164734">#REF!</definedName>
    <definedName name="UFPrn20120409123857" localSheetId="31">#REF!</definedName>
    <definedName name="UFPrn20120409123857" localSheetId="33">#REF!</definedName>
    <definedName name="UFPrn20120409123857">#REF!</definedName>
    <definedName name="UFPrn20120409161805" localSheetId="31">#REF!</definedName>
    <definedName name="UFPrn20120409161805" localSheetId="33">#REF!</definedName>
    <definedName name="UFPrn20120409161805">#REF!</definedName>
    <definedName name="UFPrn20120410135245" localSheetId="31">#REF!</definedName>
    <definedName name="UFPrn20120410135245" localSheetId="33">#REF!</definedName>
    <definedName name="UFPrn20120410135245">#REF!</definedName>
    <definedName name="UFPrn20120507110003" localSheetId="31">#REF!</definedName>
    <definedName name="UFPrn20120507110003" localSheetId="33">#REF!</definedName>
    <definedName name="UFPrn20120507110003">#REF!</definedName>
    <definedName name="UFPrn20120908122839" localSheetId="31">#REF!</definedName>
    <definedName name="UFPrn20120908122839" localSheetId="33">#REF!</definedName>
    <definedName name="UFPrn20120908122839">#REF!</definedName>
    <definedName name="UFPrn20121106155432" localSheetId="31">#REF!</definedName>
    <definedName name="UFPrn20121106155432" localSheetId="33">#REF!</definedName>
    <definedName name="UFPrn20121106155432">#REF!</definedName>
    <definedName name="UFPrn20121205170425" localSheetId="31">#REF!</definedName>
    <definedName name="UFPrn20121205170425" localSheetId="33">#REF!</definedName>
    <definedName name="UFPrn20121205170425">#REF!</definedName>
    <definedName name="UFPrn20121206151333" localSheetId="31">#REF!</definedName>
    <definedName name="UFPrn20121206151333" localSheetId="33">#REF!</definedName>
    <definedName name="UFPrn20121206151333">#REF!</definedName>
    <definedName name="UFPrn20130926133927">#REF!</definedName>
    <definedName name="UFPrn20160217150326" localSheetId="31">#REF!</definedName>
    <definedName name="UFPrn20160217150326">#REF!</definedName>
    <definedName name="UFPrn20160217150449" localSheetId="35">#REF!</definedName>
    <definedName name="UFPrn20160217150449" localSheetId="31">#REF!</definedName>
    <definedName name="UFPrn20160217150449" localSheetId="37">#REF!</definedName>
    <definedName name="UFPrn20160217150449" localSheetId="36">#REF!</definedName>
    <definedName name="UFPrn20160217150449" localSheetId="30">#REF!</definedName>
    <definedName name="UFPrn20160217150449" localSheetId="34">#REF!</definedName>
    <definedName name="UFPrn20160217150449">#REF!</definedName>
    <definedName name="UFPrn20160301112822" localSheetId="31">#REF!</definedName>
    <definedName name="UFPrn20160301112822" localSheetId="33">#REF!</definedName>
    <definedName name="UFPrn20160301112822">#REF!</definedName>
    <definedName name="UFPrn20160315133614" localSheetId="31">#REF!</definedName>
    <definedName name="UFPrn20160315133614">#REF!</definedName>
    <definedName name="UFPrn20160405103344" localSheetId="31">#REF!</definedName>
    <definedName name="UFPrn20160405103344">#REF!</definedName>
    <definedName name="UFPrn20160405173412" localSheetId="31">#REF!</definedName>
    <definedName name="UFPrn20160405173412">#REF!</definedName>
    <definedName name="UFPrn20160425163611" localSheetId="31">#REF!</definedName>
    <definedName name="UFPrn20160425163611">#REF!</definedName>
    <definedName name="UFPrn20160505100929" localSheetId="31">#REF!</definedName>
    <definedName name="UFPrn20160505100929">#REF!</definedName>
    <definedName name="UFPrn20160505101205" localSheetId="31">#REF!</definedName>
    <definedName name="UFPrn20160505101205">#REF!</definedName>
    <definedName name="UFPrn20160602171851" localSheetId="31">#REF!</definedName>
    <definedName name="UFPrn20160602171851">#REF!</definedName>
    <definedName name="UFPrn20160712102814" localSheetId="31">#REF!</definedName>
    <definedName name="UFPrn20160712102814">#REF!</definedName>
    <definedName name="UFPrn20160804132814" localSheetId="31">#REF!</definedName>
    <definedName name="UFPrn20160804132814">#REF!</definedName>
    <definedName name="UFPrn20160805093936" localSheetId="31">#REF!</definedName>
    <definedName name="UFPrn20160805093936">#REF!</definedName>
    <definedName name="UFPrn20160811132810" localSheetId="31">#REF!</definedName>
    <definedName name="UFPrn20160811132810">#REF!</definedName>
    <definedName name="UFPrn20161214093413" localSheetId="31">#REF!</definedName>
    <definedName name="UFPrn20161214093413">#REF!</definedName>
    <definedName name="UFPrn20170105092535" localSheetId="31">#REF!</definedName>
    <definedName name="UFPrn20170105092535">#REF!</definedName>
    <definedName name="UFPrn20170105162652" localSheetId="31">#REF!</definedName>
    <definedName name="UFPrn20170105162652">#REF!</definedName>
    <definedName name="UFPrn20170106135035" localSheetId="31">#REF!</definedName>
    <definedName name="UFPrn20170106135035">#REF!</definedName>
    <definedName name="UFPrn20170106142914" localSheetId="31">#REF!</definedName>
    <definedName name="UFPrn20170106142914">#REF!</definedName>
    <definedName name="UFPrn20170106142947" localSheetId="31">#REF!</definedName>
    <definedName name="UFPrn20170106142947">#REF!</definedName>
    <definedName name="UFPrn20170107123845" localSheetId="31">#REF!</definedName>
    <definedName name="UFPrn20170107123845">#REF!</definedName>
    <definedName name="UFPrn20170116144549" localSheetId="31">#REF!</definedName>
    <definedName name="UFPrn20170116144549">#REF!</definedName>
    <definedName name="UFPrn20170208135627" localSheetId="31">#REF!</definedName>
    <definedName name="UFPrn20170208135627">#REF!</definedName>
    <definedName name="UFPrn20170209173555" localSheetId="31">#REF!</definedName>
    <definedName name="UFPrn20170209173555">#REF!</definedName>
    <definedName name="UFPrn20170306115246" localSheetId="31">#REF!</definedName>
    <definedName name="UFPrn20170306115246">#REF!</definedName>
    <definedName name="UFPrn20170508104430" localSheetId="31">#REF!</definedName>
    <definedName name="UFPrn20170508104430">#REF!</definedName>
    <definedName name="UFPrn20170508135507" localSheetId="31">#REF!</definedName>
    <definedName name="UFPrn20170508135507">#REF!</definedName>
    <definedName name="UFPrn20170705144357" localSheetId="31">#REF!</definedName>
    <definedName name="UFPrn20170705144357">#REF!</definedName>
    <definedName name="UFPrn20170705144614" localSheetId="31">#REF!</definedName>
    <definedName name="UFPrn20170705144614">#REF!</definedName>
    <definedName name="UFPrn20170807093913" localSheetId="31">#REF!</definedName>
    <definedName name="UFPrn20170807093913">#REF!</definedName>
    <definedName name="UFPrn20170907144938" localSheetId="31">#REF!</definedName>
    <definedName name="UFPrn20170907144938">#REF!</definedName>
    <definedName name="UFPrn20171006175654" localSheetId="31">#REF!</definedName>
    <definedName name="UFPrn20171006175654">#REF!</definedName>
    <definedName name="UFPrn20171006175905" localSheetId="31">#REF!</definedName>
    <definedName name="UFPrn20171006175905">#REF!</definedName>
    <definedName name="UFPrn20171010143532" localSheetId="31">#REF!</definedName>
    <definedName name="UFPrn20171010143532">#REF!</definedName>
    <definedName name="UFPrn20171010144119" localSheetId="31">#REF!</definedName>
    <definedName name="UFPrn20171010144119">#REF!</definedName>
    <definedName name="UFPrn20171206091823" localSheetId="31">#REF!</definedName>
    <definedName name="UFPrn20171206091823">#REF!</definedName>
    <definedName name="UFPrn20171214105740" localSheetId="31">#REF!</definedName>
    <definedName name="UFPrn20171214105740">#REF!</definedName>
    <definedName name="UFPrn20180108112427" localSheetId="31">#REF!</definedName>
    <definedName name="UFPrn20180108112427">#REF!</definedName>
    <definedName name="UFPrn20180110115602" localSheetId="31">#REF!</definedName>
    <definedName name="UFPrn20180110115602">#REF!</definedName>
    <definedName name="UFPrn20180208170946" localSheetId="31">#REF!</definedName>
    <definedName name="UFPrn20180208170946">#REF!</definedName>
    <definedName name="UFPrn20180306110044" localSheetId="31">#REF!</definedName>
    <definedName name="UFPrn20180306110044">#REF!</definedName>
    <definedName name="UFPrn20180413100810" localSheetId="31">#REF!</definedName>
    <definedName name="UFPrn20180413100810">#REF!</definedName>
    <definedName name="UFPrn20180505143952" localSheetId="31">#REF!</definedName>
    <definedName name="UFPrn20180505143952">#REF!</definedName>
    <definedName name="UFPrn20180505154754" localSheetId="31">#REF!</definedName>
    <definedName name="UFPrn20180505154754">#REF!</definedName>
    <definedName name="UFPrn20180516145539" localSheetId="31">#REF!</definedName>
    <definedName name="UFPrn20180516145539">#REF!</definedName>
    <definedName name="UFPrn20180612103610" localSheetId="31">#REF!</definedName>
    <definedName name="UFPrn20180612103610">#REF!</definedName>
    <definedName name="UFPrn20180619160122" localSheetId="31">#REF!</definedName>
    <definedName name="UFPrn20180619160122">#REF!</definedName>
    <definedName name="UFPrn20180803142522" localSheetId="31">#REF!</definedName>
    <definedName name="UFPrn20180803142522">#REF!</definedName>
    <definedName name="UFPrn20180803151337" localSheetId="31">#REF!</definedName>
    <definedName name="UFPrn20180803151337">#REF!</definedName>
    <definedName name="UFPrn20181015091203" localSheetId="31">#REF!</definedName>
    <definedName name="UFPrn20181015091203">#REF!</definedName>
    <definedName name="UFPrn20181019145605" localSheetId="31">#REF!</definedName>
    <definedName name="UFPrn20181019145605">#REF!</definedName>
    <definedName name="UFPrn20181019165642" localSheetId="31">#REF!</definedName>
    <definedName name="UFPrn20181019165642">#REF!</definedName>
    <definedName name="UFPrn20181019170516" localSheetId="31">#REF!</definedName>
    <definedName name="UFPrn20181019170516">#REF!</definedName>
    <definedName name="UFPrn20181105105423" localSheetId="31">#REF!</definedName>
    <definedName name="UFPrn20181105105423">#REF!</definedName>
    <definedName name="UFPrn20181106094035" localSheetId="31">#REF!</definedName>
    <definedName name="UFPrn20181106094035">#REF!</definedName>
    <definedName name="UFPrn20181205132835" localSheetId="31">#REF!</definedName>
    <definedName name="UFPrn20181205132835">#REF!</definedName>
    <definedName name="UFPrn20190107110758" localSheetId="31">#REF!</definedName>
    <definedName name="UFPrn20190107110758">#REF!</definedName>
    <definedName name="UFPrn20190108103414" localSheetId="31">#REF!</definedName>
    <definedName name="UFPrn20190108103414">#REF!</definedName>
    <definedName name="UFPrn20190108180257" localSheetId="31">#REF!</definedName>
    <definedName name="UFPrn20190108180257">#REF!</definedName>
    <definedName name="UFPrn20190109141935" localSheetId="31">#REF!</definedName>
    <definedName name="UFPrn20190109141935">#REF!</definedName>
    <definedName name="UFPrn20190213092225" localSheetId="31">#REF!</definedName>
    <definedName name="UFPrn20190213092225">#REF!</definedName>
    <definedName name="UFPrn20190306151616" localSheetId="31">#REF!</definedName>
    <definedName name="UFPrn20190306151616">#REF!</definedName>
    <definedName name="UFPrn20190409150916" localSheetId="31">#REF!</definedName>
    <definedName name="UFPrn20190409150916">#REF!</definedName>
    <definedName name="UFPrn20190506135146" localSheetId="31">#REF!</definedName>
    <definedName name="UFPrn20190506135146">#REF!</definedName>
    <definedName name="UFPrn20190806091455" localSheetId="31">#REF!</definedName>
    <definedName name="UFPrn20190806091455">#REF!</definedName>
    <definedName name="UFPrn20191008103428" localSheetId="31">#REF!</definedName>
    <definedName name="UFPrn20191008103428">#REF!</definedName>
    <definedName name="UFPrn20191203104536" localSheetId="31">#REF!</definedName>
    <definedName name="UFPrn20191203104536">#REF!</definedName>
    <definedName name="UFPrn20200213153353" localSheetId="31">#REF!</definedName>
    <definedName name="UFPrn20200213153353">#REF!</definedName>
    <definedName name="UFPrn20200224090018" localSheetId="31">#REF!</definedName>
    <definedName name="UFPrn20200224090018">#REF!</definedName>
    <definedName name="UFPrn20200304134318" localSheetId="31">#REF!</definedName>
    <definedName name="UFPrn20200304134318">#REF!</definedName>
    <definedName name="UFPrn20200309140500" localSheetId="31">#REF!</definedName>
    <definedName name="UFPrn20200309140500">#REF!</definedName>
    <definedName name="UFPrn20200503114338" localSheetId="31">#REF!</definedName>
    <definedName name="UFPrn20200503114338">#REF!</definedName>
    <definedName name="UFPrn20200507092901" localSheetId="31">#REF!</definedName>
    <definedName name="UFPrn20200507092901">#REF!</definedName>
    <definedName name="UFPrn20200508091120" localSheetId="31">#REF!</definedName>
    <definedName name="UFPrn20200508091120">#REF!</definedName>
    <definedName name="UFPrn20200713094632" localSheetId="31">#REF!</definedName>
    <definedName name="UFPrn20200713094632">#REF!</definedName>
    <definedName name="UFPrn20200914155832" localSheetId="31">#REF!</definedName>
    <definedName name="UFPrn20200914155832">#REF!</definedName>
    <definedName name="UFPrn20201003160641" localSheetId="31">#REF!</definedName>
    <definedName name="UFPrn20201003160641">#REF!</definedName>
    <definedName name="UFPrn20201004122757" localSheetId="31">#REF!</definedName>
    <definedName name="UFPrn20201004122757">#REF!</definedName>
    <definedName name="UFPrn20201102100110" localSheetId="31">#REF!</definedName>
    <definedName name="UFPrn20201102100110">#REF!</definedName>
    <definedName name="UFPrn20201104091235" localSheetId="31">#REF!</definedName>
    <definedName name="UFPrn20201104091235">#REF!</definedName>
    <definedName name="UFPrn20201207133934" localSheetId="31">#REF!</definedName>
    <definedName name="UFPrn20201207133934">#REF!</definedName>
    <definedName name="UFPrn20210219094824" localSheetId="31">#REF!</definedName>
    <definedName name="UFPrn20210219094824">#REF!</definedName>
    <definedName name="UFPrn20210223165249" localSheetId="31">#REF!</definedName>
    <definedName name="UFPrn20210223165249">#REF!</definedName>
    <definedName name="UFPrn20210305134417" localSheetId="31">#REF!</definedName>
    <definedName name="UFPrn20210305134417">#REF!</definedName>
    <definedName name="UFPrn20210316143204" localSheetId="31">#REF!</definedName>
    <definedName name="UFPrn20210316143204">#REF!</definedName>
    <definedName name="UFPrn20210402093029" localSheetId="31">#REF!</definedName>
    <definedName name="UFPrn20210402093029">#REF!</definedName>
    <definedName name="UFPrn20210406135437" localSheetId="31">#REF!</definedName>
    <definedName name="UFPrn20210406135437">#REF!</definedName>
    <definedName name="UFPrn20210407090422" localSheetId="31">#REF!</definedName>
    <definedName name="UFPrn20210407090422">#REF!</definedName>
    <definedName name="UFPrn20210408145505" localSheetId="31">#REF!</definedName>
    <definedName name="UFPrn20210408145505">#REF!</definedName>
    <definedName name="UFPrn20210601170007" localSheetId="31">#REF!</definedName>
    <definedName name="UFPrn20210601170007">#REF!</definedName>
    <definedName name="UFPrn20210602153204" localSheetId="31">#REF!</definedName>
    <definedName name="UFPrn20210602153204">#REF!</definedName>
    <definedName name="UFPrn20210604090138" localSheetId="31">#REF!</definedName>
    <definedName name="UFPrn20210604090138">#REF!</definedName>
    <definedName name="UFPrn20210607102139" localSheetId="31">#REF!</definedName>
    <definedName name="UFPrn20210607102139">#REF!</definedName>
    <definedName name="ugkj" localSheetId="35" hidden="1">{"QQQ",#N/A,FALSE,"RIEP"}</definedName>
    <definedName name="ugkj" localSheetId="31" hidden="1">{"QQQ",#N/A,FALSE,"RIEP"}</definedName>
    <definedName name="ugkj" localSheetId="37" hidden="1">{"QQQ",#N/A,FALSE,"RIEP"}</definedName>
    <definedName name="ugkj" localSheetId="36" hidden="1">{"QQQ",#N/A,FALSE,"RIEP"}</definedName>
    <definedName name="ugkj" hidden="1">{"QQQ",#N/A,FALSE,"RIEP"}</definedName>
    <definedName name="UIO" localSheetId="33">#REF!</definedName>
    <definedName name="UIO">#REF!</definedName>
    <definedName name="ukkkk" localSheetId="3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ukkkk" localSheetId="3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ukkkk" localSheetId="37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ukkkk" localSheetId="36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ukkkk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unit" localSheetId="33">#REF!</definedName>
    <definedName name="unit">#REF!</definedName>
    <definedName name="uruguay" localSheetId="35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uruguay" localSheetId="31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uruguay" localSheetId="37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uruguay" localSheetId="36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uruguay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USD">#REF!</definedName>
    <definedName name="USPOREDBA" localSheetId="35" hidden="1">{"'domaće količine'!$K$34:$P$47"}</definedName>
    <definedName name="USPOREDBA" localSheetId="31" hidden="1">{"'domaće količine'!$K$34:$P$47"}</definedName>
    <definedName name="USPOREDBA" localSheetId="37" hidden="1">{"'domaće količine'!$K$34:$P$47"}</definedName>
    <definedName name="USPOREDBA" localSheetId="36" hidden="1">{"'domaće količine'!$K$34:$P$47"}</definedName>
    <definedName name="USPOREDBA" hidden="1">{"'domaće količine'!$K$34:$P$47"}</definedName>
    <definedName name="uttkjg" localSheetId="35" hidden="1">{"QQQ",#N/A,FALSE,"RIEP"}</definedName>
    <definedName name="uttkjg" localSheetId="31" hidden="1">{"QQQ",#N/A,FALSE,"RIEP"}</definedName>
    <definedName name="uttkjg" localSheetId="37" hidden="1">{"QQQ",#N/A,FALSE,"RIEP"}</definedName>
    <definedName name="uttkjg" localSheetId="36" hidden="1">{"QQQ",#N/A,FALSE,"RIEP"}</definedName>
    <definedName name="uttkjg" hidden="1">{"QQQ",#N/A,FALSE,"RIEP"}</definedName>
    <definedName name="uuu" localSheetId="35" hidden="1">{#N/A,#N/A,FALSE,"RELATÓRIO";#N/A,#N/A,FALSE,"RELATÓRIO"}</definedName>
    <definedName name="uuu" localSheetId="31" hidden="1">{#N/A,#N/A,FALSE,"RELATÓRIO";#N/A,#N/A,FALSE,"RELATÓRIO"}</definedName>
    <definedName name="uuu" localSheetId="37" hidden="1">{#N/A,#N/A,FALSE,"RELATÓRIO";#N/A,#N/A,FALSE,"RELATÓRIO"}</definedName>
    <definedName name="uuu" localSheetId="36" hidden="1">{#N/A,#N/A,FALSE,"RELATÓRIO";#N/A,#N/A,FALSE,"RELATÓRIO"}</definedName>
    <definedName name="uuu" hidden="1">{#N/A,#N/A,FALSE,"RELATÓRIO";#N/A,#N/A,FALSE,"RELATÓRIO"}</definedName>
    <definedName name="uuuu" localSheetId="3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uuuu" localSheetId="3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uuuu" localSheetId="37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uuuu" localSheetId="36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uuuu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uuuuuu" localSheetId="3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uuuuuu" localSheetId="3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uuuuuu" localSheetId="37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uuuuuu" localSheetId="36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uuuuuu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Überleitung_DB" localSheetId="33">#REF!</definedName>
    <definedName name="Überleitung_DB">#REF!</definedName>
    <definedName name="Überleitung_Eingabe" localSheetId="31">#REF!,#REF!,#REF!,#REF!,#REF!</definedName>
    <definedName name="Überleitung_Eingabe" localSheetId="33">#REF!,#REF!,#REF!,#REF!,#REF!</definedName>
    <definedName name="Überleitung_Eingabe">#REF!,#REF!,#REF!,#REF!,#REF!</definedName>
    <definedName name="Überleitung_Ende" localSheetId="35">#REF!</definedName>
    <definedName name="Überleitung_Ende" localSheetId="31">#REF!</definedName>
    <definedName name="Überleitung_Ende" localSheetId="33">#REF!</definedName>
    <definedName name="Überleitung_Ende">#REF!</definedName>
    <definedName name="Überleitung_Start" localSheetId="35">#REF!</definedName>
    <definedName name="Überleitung_Start" localSheetId="31">#REF!</definedName>
    <definedName name="Überleitung_Start" localSheetId="33">#REF!</definedName>
    <definedName name="Überleitung_Start">#REF!</definedName>
    <definedName name="v" localSheetId="35">#REF!</definedName>
    <definedName name="v" localSheetId="31">#REF!</definedName>
    <definedName name="v">#REF!</definedName>
    <definedName name="V_12">!G1</definedName>
    <definedName name="v6uyjyu" localSheetId="35" hidden="1">{#N/A,#N/A,FALSE,"RIEP"}</definedName>
    <definedName name="v6uyjyu" localSheetId="31" hidden="1">{#N/A,#N/A,FALSE,"RIEP"}</definedName>
    <definedName name="v6uyjyu" localSheetId="37" hidden="1">{#N/A,#N/A,FALSE,"RIEP"}</definedName>
    <definedName name="v6uyjyu" localSheetId="36" hidden="1">{#N/A,#N/A,FALSE,"RIEP"}</definedName>
    <definedName name="v6uyjyu" hidden="1">{#N/A,#N/A,FALSE,"RIEP"}</definedName>
    <definedName name="VA_SLCT03">#REF!</definedName>
    <definedName name="VA_SLCT04" localSheetId="31">#REF!</definedName>
    <definedName name="VA_SLCT04">#REF!</definedName>
    <definedName name="VA_SLCT05" localSheetId="31">#REF!</definedName>
    <definedName name="VA_SLCT05">#REF!</definedName>
    <definedName name="VA_SLCT06" localSheetId="31">#REF!</definedName>
    <definedName name="VA_SLCT06">#REF!</definedName>
    <definedName name="VAÄT_LIEÄU">"ATRAM"</definedName>
    <definedName name="VALEURS">#REF!</definedName>
    <definedName name="Valeursformules" localSheetId="31">#REF!</definedName>
    <definedName name="Valeursformules">#REF!</definedName>
    <definedName name="ValeursMP" localSheetId="31">#REF!</definedName>
    <definedName name="ValeursMP">#REF!</definedName>
    <definedName name="VALOMP" localSheetId="31">#REF!</definedName>
    <definedName name="VALOMP">#REF!</definedName>
    <definedName name="Value0" localSheetId="31">#REF!</definedName>
    <definedName name="Value0" localSheetId="33">#REF!</definedName>
    <definedName name="Value0">#REF!</definedName>
    <definedName name="Value1" localSheetId="31">#REF!</definedName>
    <definedName name="Value1" localSheetId="33">#REF!</definedName>
    <definedName name="Value1">#REF!</definedName>
    <definedName name="Value10" localSheetId="31">#REF!</definedName>
    <definedName name="Value10" localSheetId="33">#REF!</definedName>
    <definedName name="Value10">#REF!</definedName>
    <definedName name="Value11" localSheetId="31">#REF!</definedName>
    <definedName name="Value11" localSheetId="33">#REF!</definedName>
    <definedName name="Value11">#REF!</definedName>
    <definedName name="Value12" localSheetId="31">#REF!</definedName>
    <definedName name="Value12" localSheetId="33">#REF!</definedName>
    <definedName name="Value12">#REF!</definedName>
    <definedName name="Value13" localSheetId="31">#REF!</definedName>
    <definedName name="Value13" localSheetId="33">#REF!</definedName>
    <definedName name="Value13">#REF!</definedName>
    <definedName name="Value14" localSheetId="31">#REF!</definedName>
    <definedName name="Value14" localSheetId="33">#REF!</definedName>
    <definedName name="Value14">#REF!</definedName>
    <definedName name="Value15" localSheetId="31">#REF!</definedName>
    <definedName name="Value15" localSheetId="33">#REF!</definedName>
    <definedName name="Value15">#REF!</definedName>
    <definedName name="Value16" localSheetId="31">#REF!</definedName>
    <definedName name="Value16" localSheetId="33">#REF!</definedName>
    <definedName name="Value16">#REF!</definedName>
    <definedName name="Value17" localSheetId="31">#REF!</definedName>
    <definedName name="Value17" localSheetId="33">#REF!</definedName>
    <definedName name="Value17">#REF!</definedName>
    <definedName name="Value18" localSheetId="31">#REF!</definedName>
    <definedName name="Value18" localSheetId="33">#REF!</definedName>
    <definedName name="Value18">#REF!</definedName>
    <definedName name="Value19" localSheetId="31">#REF!</definedName>
    <definedName name="Value19" localSheetId="33">#REF!</definedName>
    <definedName name="Value19">#REF!</definedName>
    <definedName name="Value2" localSheetId="31">#REF!</definedName>
    <definedName name="Value2" localSheetId="33">#REF!</definedName>
    <definedName name="Value2">#REF!</definedName>
    <definedName name="Value20" localSheetId="31">#REF!</definedName>
    <definedName name="Value20" localSheetId="33">#REF!</definedName>
    <definedName name="Value20">#REF!</definedName>
    <definedName name="Value21" localSheetId="31">#REF!</definedName>
    <definedName name="Value21" localSheetId="33">#REF!</definedName>
    <definedName name="Value21">#REF!</definedName>
    <definedName name="Value22" localSheetId="31">#REF!</definedName>
    <definedName name="Value22" localSheetId="33">#REF!</definedName>
    <definedName name="Value22">#REF!</definedName>
    <definedName name="Value23" localSheetId="31">#REF!</definedName>
    <definedName name="Value23" localSheetId="33">#REF!</definedName>
    <definedName name="Value23">#REF!</definedName>
    <definedName name="Value24" localSheetId="31">#REF!</definedName>
    <definedName name="Value24" localSheetId="33">#REF!</definedName>
    <definedName name="Value24">#REF!</definedName>
    <definedName name="Value25" localSheetId="31">#REF!</definedName>
    <definedName name="Value25" localSheetId="33">#REF!</definedName>
    <definedName name="Value25">#REF!</definedName>
    <definedName name="Value26" localSheetId="31">#REF!</definedName>
    <definedName name="Value26" localSheetId="33">#REF!</definedName>
    <definedName name="Value26">#REF!</definedName>
    <definedName name="Value27" localSheetId="31">#REF!</definedName>
    <definedName name="Value27" localSheetId="33">#REF!</definedName>
    <definedName name="Value27">#REF!</definedName>
    <definedName name="Value28" localSheetId="31">#REF!</definedName>
    <definedName name="Value28" localSheetId="33">#REF!</definedName>
    <definedName name="Value28">#REF!</definedName>
    <definedName name="Value29" localSheetId="31">#REF!</definedName>
    <definedName name="Value29" localSheetId="33">#REF!</definedName>
    <definedName name="Value29">#REF!</definedName>
    <definedName name="Value3" localSheetId="31">#REF!</definedName>
    <definedName name="Value3" localSheetId="33">#REF!</definedName>
    <definedName name="Value3">#REF!</definedName>
    <definedName name="Value30" localSheetId="31">#REF!</definedName>
    <definedName name="Value30" localSheetId="33">#REF!</definedName>
    <definedName name="Value30">#REF!</definedName>
    <definedName name="Value31" localSheetId="31">#REF!</definedName>
    <definedName name="Value31" localSheetId="33">#REF!</definedName>
    <definedName name="Value31">#REF!</definedName>
    <definedName name="Value32" localSheetId="31">#REF!</definedName>
    <definedName name="Value32" localSheetId="33">#REF!</definedName>
    <definedName name="Value32">#REF!</definedName>
    <definedName name="Value33" localSheetId="31">#REF!</definedName>
    <definedName name="Value33" localSheetId="33">#REF!</definedName>
    <definedName name="Value33">#REF!</definedName>
    <definedName name="Value34" localSheetId="31">#REF!</definedName>
    <definedName name="Value34" localSheetId="33">#REF!</definedName>
    <definedName name="Value34">#REF!</definedName>
    <definedName name="Value35" localSheetId="31">#REF!</definedName>
    <definedName name="Value35" localSheetId="33">#REF!</definedName>
    <definedName name="Value35">#REF!</definedName>
    <definedName name="Value36" localSheetId="31">#REF!</definedName>
    <definedName name="Value36" localSheetId="33">#REF!</definedName>
    <definedName name="Value36">#REF!</definedName>
    <definedName name="Value37" localSheetId="31">#REF!</definedName>
    <definedName name="Value37" localSheetId="33">#REF!</definedName>
    <definedName name="Value37">#REF!</definedName>
    <definedName name="Value38" localSheetId="31">#REF!</definedName>
    <definedName name="Value38" localSheetId="33">#REF!</definedName>
    <definedName name="Value38">#REF!</definedName>
    <definedName name="Value39" localSheetId="31">#REF!</definedName>
    <definedName name="Value39" localSheetId="33">#REF!</definedName>
    <definedName name="Value39">#REF!</definedName>
    <definedName name="Value4" localSheetId="31">#REF!</definedName>
    <definedName name="Value4" localSheetId="33">#REF!</definedName>
    <definedName name="Value4">#REF!</definedName>
    <definedName name="Value40" localSheetId="31">#REF!</definedName>
    <definedName name="Value40" localSheetId="33">#REF!</definedName>
    <definedName name="Value40">#REF!</definedName>
    <definedName name="Value41" localSheetId="31">#REF!</definedName>
    <definedName name="Value41" localSheetId="33">#REF!</definedName>
    <definedName name="Value41">#REF!</definedName>
    <definedName name="Value42" localSheetId="31">#REF!</definedName>
    <definedName name="Value42" localSheetId="33">#REF!</definedName>
    <definedName name="Value42">#REF!</definedName>
    <definedName name="Value43" localSheetId="31">#REF!</definedName>
    <definedName name="Value43" localSheetId="33">#REF!</definedName>
    <definedName name="Value43">#REF!</definedName>
    <definedName name="Value44" localSheetId="31">#REF!</definedName>
    <definedName name="Value44" localSheetId="33">#REF!</definedName>
    <definedName name="Value44">#REF!</definedName>
    <definedName name="Value45" localSheetId="31">#REF!</definedName>
    <definedName name="Value45" localSheetId="33">#REF!</definedName>
    <definedName name="Value45">#REF!</definedName>
    <definedName name="Value46" localSheetId="31">#REF!</definedName>
    <definedName name="Value46" localSheetId="33">#REF!</definedName>
    <definedName name="Value46">#REF!</definedName>
    <definedName name="Value47" localSheetId="31">#REF!</definedName>
    <definedName name="Value47" localSheetId="33">#REF!</definedName>
    <definedName name="Value47">#REF!</definedName>
    <definedName name="Value48" localSheetId="31">#REF!</definedName>
    <definedName name="Value48" localSheetId="33">#REF!</definedName>
    <definedName name="Value48">#REF!</definedName>
    <definedName name="Value49" localSheetId="31">#REF!</definedName>
    <definedName name="Value49" localSheetId="33">#REF!</definedName>
    <definedName name="Value49">#REF!</definedName>
    <definedName name="Value5" localSheetId="31">#REF!</definedName>
    <definedName name="Value5" localSheetId="33">#REF!</definedName>
    <definedName name="Value5">#REF!</definedName>
    <definedName name="Value50" localSheetId="31">#REF!</definedName>
    <definedName name="Value50" localSheetId="33">#REF!</definedName>
    <definedName name="Value50">#REF!</definedName>
    <definedName name="Value51" localSheetId="31">#REF!</definedName>
    <definedName name="Value51" localSheetId="33">#REF!</definedName>
    <definedName name="Value51">#REF!</definedName>
    <definedName name="Value52" localSheetId="31">#REF!</definedName>
    <definedName name="Value52" localSheetId="33">#REF!</definedName>
    <definedName name="Value52">#REF!</definedName>
    <definedName name="Value53" localSheetId="31">#REF!</definedName>
    <definedName name="Value53" localSheetId="33">#REF!</definedName>
    <definedName name="Value53">#REF!</definedName>
    <definedName name="Value54" localSheetId="31">#REF!</definedName>
    <definedName name="Value54" localSheetId="33">#REF!</definedName>
    <definedName name="Value54">#REF!</definedName>
    <definedName name="Value55" localSheetId="31">#REF!</definedName>
    <definedName name="Value55" localSheetId="33">#REF!</definedName>
    <definedName name="Value55">#REF!</definedName>
    <definedName name="Value6" localSheetId="31">#REF!</definedName>
    <definedName name="Value6" localSheetId="33">#REF!</definedName>
    <definedName name="Value6">#REF!</definedName>
    <definedName name="Value7" localSheetId="31">#REF!</definedName>
    <definedName name="Value7" localSheetId="33">#REF!</definedName>
    <definedName name="Value7">#REF!</definedName>
    <definedName name="Value8" localSheetId="31">#REF!</definedName>
    <definedName name="Value8" localSheetId="33">#REF!</definedName>
    <definedName name="Value8">#REF!</definedName>
    <definedName name="Value9" localSheetId="31">#REF!</definedName>
    <definedName name="Value9" localSheetId="33">#REF!</definedName>
    <definedName name="Value9">#REF!</definedName>
    <definedName name="VAMP02" localSheetId="31">#REF!</definedName>
    <definedName name="VAMP02">#REF!</definedName>
    <definedName name="VAR_ING_ATTRIB_VALUE" localSheetId="31">#REF!</definedName>
    <definedName name="VAR_ING_ATTRIB_VALUE">#REF!</definedName>
    <definedName name="VAR_ING_ATTRIB_VALUE_YTD" localSheetId="31">#REF!</definedName>
    <definedName name="VAR_ING_ATTRIB_VALUE_YTD">#REF!</definedName>
    <definedName name="VAR_RM_ATTRIB_VALUE" localSheetId="31">#REF!</definedName>
    <definedName name="VAR_RM_ATTRIB_VALUE">#REF!</definedName>
    <definedName name="VARIINST" localSheetId="31">#REF!</definedName>
    <definedName name="VARIINST" localSheetId="33">#REF!</definedName>
    <definedName name="VARIINST">#REF!</definedName>
    <definedName name="VARIPURC" localSheetId="31">#REF!</definedName>
    <definedName name="VARIPURC" localSheetId="33">#REF!</definedName>
    <definedName name="VARIPURC">#REF!</definedName>
    <definedName name="VAT" localSheetId="35">#REF!</definedName>
    <definedName name="VAT" localSheetId="31">#REF!</definedName>
    <definedName name="VAT" localSheetId="37">#REF!</definedName>
    <definedName name="VAT" localSheetId="36">#REF!</definedName>
    <definedName name="VAT" localSheetId="30">#REF!</definedName>
    <definedName name="VAT" localSheetId="34">#REF!</definedName>
    <definedName name="VAT">#REF!</definedName>
    <definedName name="Vat_tu" localSheetId="31">#REF!</definedName>
    <definedName name="Vat_tu" localSheetId="33">#REF!</definedName>
    <definedName name="Vat_tu">#REF!</definedName>
    <definedName name="VAZ" localSheetId="35" hidden="1">{"'domaće količine'!$K$34:$P$47"}</definedName>
    <definedName name="VAZ" localSheetId="31" hidden="1">{"'domaće količine'!$K$34:$P$47"}</definedName>
    <definedName name="VAZ" localSheetId="37" hidden="1">{"'domaće količine'!$K$34:$P$47"}</definedName>
    <definedName name="VAZ" localSheetId="36" hidden="1">{"'domaće količine'!$K$34:$P$47"}</definedName>
    <definedName name="VAZ" hidden="1">{"'domaće količine'!$K$34:$P$47"}</definedName>
    <definedName name="vbtchongnuocm300" localSheetId="33">#REF!</definedName>
    <definedName name="vbtchongnuocm300">#REF!</definedName>
    <definedName name="vbtm150" localSheetId="31">#REF!</definedName>
    <definedName name="vbtm150" localSheetId="33">#REF!</definedName>
    <definedName name="vbtm150">#REF!</definedName>
    <definedName name="vbtm300" localSheetId="31">#REF!</definedName>
    <definedName name="vbtm300" localSheetId="33">#REF!</definedName>
    <definedName name="vbtm300">#REF!</definedName>
    <definedName name="vbtm400" localSheetId="31">#REF!</definedName>
    <definedName name="vbtm400" localSheetId="33">#REF!</definedName>
    <definedName name="vbtm400">#REF!</definedName>
    <definedName name="VC" localSheetId="31">#REF!</definedName>
    <definedName name="VC" localSheetId="33">#REF!</definedName>
    <definedName name="VC">#REF!</definedName>
    <definedName name="vcbbxb" localSheetId="3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vcbbxb" localSheetId="3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vcbbxb" localSheetId="37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vcbbxb" localSheetId="36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vcbbxb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vccot" localSheetId="33">#REF!</definedName>
    <definedName name="vccot">#REF!</definedName>
    <definedName name="VCDD1P" localSheetId="31">#REF!</definedName>
    <definedName name="VCDD1P" localSheetId="33">#REF!</definedName>
    <definedName name="VCDD1P">#REF!</definedName>
    <definedName name="VCDD3p" localSheetId="31">#REF!</definedName>
    <definedName name="VCDD3p" localSheetId="33">#REF!</definedName>
    <definedName name="VCDD3p">#REF!</definedName>
    <definedName name="VCDDCT3p" localSheetId="31">#REF!</definedName>
    <definedName name="VCDDCT3p" localSheetId="33">#REF!</definedName>
    <definedName name="VCDDCT3p">#REF!</definedName>
    <definedName name="VCDDMBA" localSheetId="31">#REF!</definedName>
    <definedName name="VCDDMBA" localSheetId="33">#REF!</definedName>
    <definedName name="VCDDMBA">#REF!</definedName>
    <definedName name="VCHT" localSheetId="31">#REF!</definedName>
    <definedName name="VCHT" localSheetId="33">#REF!</definedName>
    <definedName name="VCHT">#REF!</definedName>
    <definedName name="VCPKHTK" localSheetId="31">#REF!</definedName>
    <definedName name="VCPKHTK" localSheetId="33">#REF!</definedName>
    <definedName name="VCPKHTK">#REF!</definedName>
    <definedName name="vctb" localSheetId="31">#REF!</definedName>
    <definedName name="vctb" localSheetId="33">#REF!</definedName>
    <definedName name="vctb">#REF!</definedName>
    <definedName name="VCVBT1" localSheetId="31">#REF!</definedName>
    <definedName name="VCVBT1" localSheetId="33">#REF!</definedName>
    <definedName name="VCVBT1">#REF!</definedName>
    <definedName name="VCVBT2" localSheetId="31">#REF!</definedName>
    <definedName name="VCVBT2" localSheetId="33">#REF!</definedName>
    <definedName name="VCVBT2">#REF!</definedName>
    <definedName name="vd3p" localSheetId="31">#REF!</definedName>
    <definedName name="vd3p" localSheetId="33">#REF!</definedName>
    <definedName name="vd3p">#REF!</definedName>
    <definedName name="VegFatCost2009" localSheetId="31">#REF!</definedName>
    <definedName name="VegFatCost2009">#REF!</definedName>
    <definedName name="VegFatCostBud08" localSheetId="31">#REF!</definedName>
    <definedName name="VegFatCostBud08">#REF!</definedName>
    <definedName name="VegFatCostEst08" localSheetId="31">#REF!</definedName>
    <definedName name="VegFatCostEst08">#REF!</definedName>
    <definedName name="Vented" localSheetId="35">#REF!</definedName>
    <definedName name="Vented" localSheetId="31">#REF!</definedName>
    <definedName name="Vented" localSheetId="37">#REF!</definedName>
    <definedName name="Vented" localSheetId="36">#REF!</definedName>
    <definedName name="Vented" localSheetId="30">#REF!</definedName>
    <definedName name="Vented" localSheetId="34">#REF!</definedName>
    <definedName name="Vented">#REF!</definedName>
    <definedName name="ventes" localSheetId="31">#REF!</definedName>
    <definedName name="ventes">#REF!</definedName>
    <definedName name="ventes_kg" localSheetId="31">#REF!</definedName>
    <definedName name="ventes_kg">#REF!</definedName>
    <definedName name="ventes_PLN" localSheetId="31">#REF!</definedName>
    <definedName name="ventes_PLN">#REF!</definedName>
    <definedName name="Veränderungen_Eingabe" localSheetId="31">#REF!,#REF!,#REF!,#REF!,#REF!,#REF!</definedName>
    <definedName name="Veränderungen_Eingabe" localSheetId="33">#REF!,#REF!,#REF!,#REF!,#REF!,#REF!</definedName>
    <definedName name="Veränderungen_Eingabe">#REF!,#REF!,#REF!,#REF!,#REF!,#REF!</definedName>
    <definedName name="vfdf" localSheetId="35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vfdf" localSheetId="31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vfdf" localSheetId="37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vfdf" localSheetId="36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vfdf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VIDE1" localSheetId="35">#REF!</definedName>
    <definedName name="VIDE1" localSheetId="31">#REF!</definedName>
    <definedName name="VIDE1">#REF!</definedName>
    <definedName name="VIDE10" localSheetId="31">#REF!</definedName>
    <definedName name="VIDE10">#REF!</definedName>
    <definedName name="VIDE11" localSheetId="31">#REF!</definedName>
    <definedName name="VIDE11">#REF!</definedName>
    <definedName name="VIDE12" localSheetId="31">#REF!</definedName>
    <definedName name="VIDE12">#REF!</definedName>
    <definedName name="VIDE13" localSheetId="31">#REF!</definedName>
    <definedName name="VIDE13">#REF!</definedName>
    <definedName name="VIDE14" localSheetId="31">#REF!</definedName>
    <definedName name="VIDE14">#REF!</definedName>
    <definedName name="VIDE15" localSheetId="31">#REF!</definedName>
    <definedName name="VIDE15">#REF!</definedName>
    <definedName name="VIDE16" localSheetId="31">#REF!</definedName>
    <definedName name="VIDE16">#REF!</definedName>
    <definedName name="VIDE17" localSheetId="31">#REF!</definedName>
    <definedName name="VIDE17">#REF!</definedName>
    <definedName name="VIDE18" localSheetId="31">#REF!</definedName>
    <definedName name="VIDE18">#REF!</definedName>
    <definedName name="VIDE19" localSheetId="31">#REF!</definedName>
    <definedName name="VIDE19">#REF!</definedName>
    <definedName name="VIDE2" localSheetId="31">#REF!</definedName>
    <definedName name="VIDE2">#REF!</definedName>
    <definedName name="VIDE3" localSheetId="31">#REF!</definedName>
    <definedName name="VIDE3">#REF!</definedName>
    <definedName name="VIDE4" localSheetId="31">#REF!</definedName>
    <definedName name="VIDE4">#REF!</definedName>
    <definedName name="VIDE5" localSheetId="31">#REF!</definedName>
    <definedName name="VIDE5">#REF!</definedName>
    <definedName name="VIDE6" localSheetId="31">#REF!</definedName>
    <definedName name="VIDE6">#REF!</definedName>
    <definedName name="VIDE7" localSheetId="31">#REF!</definedName>
    <definedName name="VIDE7">#REF!</definedName>
    <definedName name="VIDE8" localSheetId="31">#REF!</definedName>
    <definedName name="VIDE8">#REF!</definedName>
    <definedName name="VIDE9" localSheetId="31">#REF!</definedName>
    <definedName name="VIDE9">#REF!</definedName>
    <definedName name="Vide" localSheetId="31">#REF!</definedName>
    <definedName name="Vide">#REF!</definedName>
    <definedName name="vkcauthang" localSheetId="31">#REF!</definedName>
    <definedName name="vkcauthang" localSheetId="33">#REF!</definedName>
    <definedName name="vkcauthang">#REF!</definedName>
    <definedName name="vksan" localSheetId="31">#REF!</definedName>
    <definedName name="vksan" localSheetId="33">#REF!</definedName>
    <definedName name="vksan">#REF!</definedName>
    <definedName name="vl" localSheetId="31">#REF!</definedName>
    <definedName name="vl" localSheetId="33">#REF!</definedName>
    <definedName name="vl">#REF!</definedName>
    <definedName name="VL1P" localSheetId="31">#REF!</definedName>
    <definedName name="VL1P" localSheetId="33">#REF!</definedName>
    <definedName name="VL1P">#REF!</definedName>
    <definedName name="VL3P" localSheetId="31">#REF!</definedName>
    <definedName name="VL3P" localSheetId="33">#REF!</definedName>
    <definedName name="VL3P">#REF!</definedName>
    <definedName name="Vlcap0.7" localSheetId="31">#REF!</definedName>
    <definedName name="Vlcap0.7" localSheetId="33">#REF!</definedName>
    <definedName name="Vlcap0.7">#REF!</definedName>
    <definedName name="VLcap1" localSheetId="31">#REF!</definedName>
    <definedName name="VLcap1" localSheetId="33">#REF!</definedName>
    <definedName name="VLcap1">#REF!</definedName>
    <definedName name="VLCT3p" localSheetId="31">#REF!</definedName>
    <definedName name="VLCT3p" localSheetId="33">#REF!</definedName>
    <definedName name="VLCT3p">#REF!</definedName>
    <definedName name="vldn400" localSheetId="31">#REF!</definedName>
    <definedName name="vldn400" localSheetId="33">#REF!</definedName>
    <definedName name="vldn400">#REF!</definedName>
    <definedName name="vldn600" localSheetId="31">#REF!</definedName>
    <definedName name="vldn600" localSheetId="33">#REF!</definedName>
    <definedName name="vldn600">#REF!</definedName>
    <definedName name="vltram" localSheetId="31">#REF!</definedName>
    <definedName name="vltram" localSheetId="33">#REF!</definedName>
    <definedName name="vltram">#REF!</definedName>
    <definedName name="VOLUME" localSheetId="31">#REF!</definedName>
    <definedName name="VOLUME">#REF!</definedName>
    <definedName name="vr3p" localSheetId="31">#REF!</definedName>
    <definedName name="vr3p" localSheetId="33">#REF!</definedName>
    <definedName name="vr3p">#REF!</definedName>
    <definedName name="VT" localSheetId="31">#REF!</definedName>
    <definedName name="VT" localSheetId="33">#REF!</definedName>
    <definedName name="VT">#REF!</definedName>
    <definedName name="vv" localSheetId="31" hidden="1">#REF!</definedName>
    <definedName name="vv" hidden="1">#REF!</definedName>
    <definedName name="vvvv" localSheetId="35" hidden="1">{"QQQ",#N/A,FALSE,"RIEP"}</definedName>
    <definedName name="vvvv" localSheetId="31" hidden="1">{"QQQ",#N/A,FALSE,"RIEP"}</definedName>
    <definedName name="vvvv" localSheetId="37" hidden="1">{"QQQ",#N/A,FALSE,"RIEP"}</definedName>
    <definedName name="vvvv" localSheetId="36" hidden="1">{"QQQ",#N/A,FALSE,"RIEP"}</definedName>
    <definedName name="vvvv" hidden="1">{"QQQ",#N/A,FALSE,"RIEP"}</definedName>
    <definedName name="vvvvbbbb" localSheetId="35" hidden="1">{#N/A,#N/A,FALSE,"RIEP"}</definedName>
    <definedName name="vvvvbbbb" localSheetId="31" hidden="1">{#N/A,#N/A,FALSE,"RIEP"}</definedName>
    <definedName name="vvvvbbbb" localSheetId="37" hidden="1">{#N/A,#N/A,FALSE,"RIEP"}</definedName>
    <definedName name="vvvvbbbb" localSheetId="36" hidden="1">{#N/A,#N/A,FALSE,"RIEP"}</definedName>
    <definedName name="vvvvbbbb" hidden="1">{#N/A,#N/A,FALSE,"RIEP"}</definedName>
    <definedName name="vvvvv" localSheetId="35" hidden="1">{#N/A,#N/A,FALSE,"RIEP"}</definedName>
    <definedName name="vvvvv" localSheetId="31" hidden="1">{#N/A,#N/A,FALSE,"RIEP"}</definedName>
    <definedName name="vvvvv" localSheetId="37" hidden="1">{#N/A,#N/A,FALSE,"RIEP"}</definedName>
    <definedName name="vvvvv" localSheetId="36" hidden="1">{#N/A,#N/A,FALSE,"RIEP"}</definedName>
    <definedName name="vvvvv" hidden="1">{#N/A,#N/A,FALSE,"RIEP"}</definedName>
    <definedName name="vvvvvv" localSheetId="35" hidden="1">{#N/A,#N/A,FALSE,"RIEP"}</definedName>
    <definedName name="vvvvvv" localSheetId="31" hidden="1">{#N/A,#N/A,FALSE,"RIEP"}</definedName>
    <definedName name="vvvvvv" localSheetId="37" hidden="1">{#N/A,#N/A,FALSE,"RIEP"}</definedName>
    <definedName name="vvvvvv" localSheetId="36" hidden="1">{#N/A,#N/A,FALSE,"RIEP"}</definedName>
    <definedName name="vvvvvv" hidden="1">{#N/A,#N/A,FALSE,"RIEP"}</definedName>
    <definedName name="vvvvvvvv" localSheetId="35" hidden="1">{"SPM1",#N/A,FALSE,"RIEP"}</definedName>
    <definedName name="vvvvvvvv" localSheetId="31" hidden="1">{"SPM1",#N/A,FALSE,"RIEP"}</definedName>
    <definedName name="vvvvvvvv" localSheetId="37" hidden="1">{"SPM1",#N/A,FALSE,"RIEP"}</definedName>
    <definedName name="vvvvvvvv" localSheetId="36" hidden="1">{"SPM1",#N/A,FALSE,"RIEP"}</definedName>
    <definedName name="vvvvvvvv" hidden="1">{"SPM1",#N/A,FALSE,"RIEP"}</definedName>
    <definedName name="w" localSheetId="35" hidden="1">{#N/A,#N/A,FALSE,"RIEP"}</definedName>
    <definedName name="w" localSheetId="31" hidden="1">{#N/A,#N/A,FALSE,"RIEP"}</definedName>
    <definedName name="w" localSheetId="37" hidden="1">{#N/A,#N/A,FALSE,"RIEP"}</definedName>
    <definedName name="w" localSheetId="36" hidden="1">{#N/A,#N/A,FALSE,"RIEP"}</definedName>
    <definedName name="W" localSheetId="33">#REF!</definedName>
    <definedName name="W">#REF!</definedName>
    <definedName name="WAP_Estimate">#REF!</definedName>
    <definedName name="wate" localSheetId="31" hidden="1">#REF!</definedName>
    <definedName name="wate" hidden="1">#REF!</definedName>
    <definedName name="we" localSheetId="35" hidden="1">{"SPM1",#N/A,FALSE,"RIEP"}</definedName>
    <definedName name="we" localSheetId="31" hidden="1">{"SPM1",#N/A,FALSE,"RIEP"}</definedName>
    <definedName name="we" localSheetId="37" hidden="1">{"SPM1",#N/A,FALSE,"RIEP"}</definedName>
    <definedName name="we" localSheetId="36" hidden="1">{"SPM1",#N/A,FALSE,"RIEP"}</definedName>
    <definedName name="WE">#N/A</definedName>
    <definedName name="wefsdfasdf" localSheetId="35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efsdfasdf" localSheetId="31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efsdfasdf" localSheetId="37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efsdfasdf" localSheetId="36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efsdfasdf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er" localSheetId="35" hidden="1">{#N/A,#N/A,FALSE,"ANALYSE";#N/A,#N/A,FALSE,"PM VALEUR"}</definedName>
    <definedName name="wer" localSheetId="31" hidden="1">{#N/A,#N/A,FALSE,"ANALYSE";#N/A,#N/A,FALSE,"PM VALEUR"}</definedName>
    <definedName name="wer" localSheetId="37" hidden="1">{#N/A,#N/A,FALSE,"ANALYSE";#N/A,#N/A,FALSE,"PM VALEUR"}</definedName>
    <definedName name="wer" localSheetId="36" hidden="1">{#N/A,#N/A,FALSE,"ANALYSE";#N/A,#N/A,FALSE,"PM VALEUR"}</definedName>
    <definedName name="wer" localSheetId="33">#REF!</definedName>
    <definedName name="wer">#REF!</definedName>
    <definedName name="Werk" localSheetId="33">#REF!</definedName>
    <definedName name="Werk">#REF!</definedName>
    <definedName name="WERT" localSheetId="31">#REF!</definedName>
    <definedName name="WERT" localSheetId="33">#REF!</definedName>
    <definedName name="WERT">#REF!</definedName>
    <definedName name="wetrwrt" localSheetId="35" hidden="1">{"QQQ",#N/A,FALSE,"RIEP"}</definedName>
    <definedName name="wetrwrt" localSheetId="31" hidden="1">{"QQQ",#N/A,FALSE,"RIEP"}</definedName>
    <definedName name="wetrwrt" localSheetId="37" hidden="1">{"QQQ",#N/A,FALSE,"RIEP"}</definedName>
    <definedName name="wetrwrt" localSheetId="36" hidden="1">{"QQQ",#N/A,FALSE,"RIEP"}</definedName>
    <definedName name="wetrwrt" hidden="1">{"QQQ",#N/A,FALSE,"RIEP"}</definedName>
    <definedName name="wewe" localSheetId="35" hidden="1">{"SPM1",#N/A,FALSE,"RIEP"}</definedName>
    <definedName name="wewe" localSheetId="31" hidden="1">{"SPM1",#N/A,FALSE,"RIEP"}</definedName>
    <definedName name="wewe" localSheetId="37" hidden="1">{"SPM1",#N/A,FALSE,"RIEP"}</definedName>
    <definedName name="wewe" localSheetId="36" hidden="1">{"SPM1",#N/A,FALSE,"RIEP"}</definedName>
    <definedName name="wewe" hidden="1">{"SPM1",#N/A,FALSE,"RIEP"}</definedName>
    <definedName name="WH_BODY">"2201"</definedName>
    <definedName name="WH_NM">""</definedName>
    <definedName name="WH_NO">"2201"</definedName>
    <definedName name="whatever" localSheetId="33">#REF!</definedName>
    <definedName name="whatever">#REF!</definedName>
    <definedName name="White_cheese__light" localSheetId="31">#REF!</definedName>
    <definedName name="White_cheese__light">#REF!</definedName>
    <definedName name="WJDATA" localSheetId="35">OFFSET(#REF!,0,0,COUNTA(#REF!),COUNTA(#REF!))</definedName>
    <definedName name="WJDATA" localSheetId="31">OFFSET(#REF!,0,0,COUNTA(#REF!),COUNTA(#REF!))</definedName>
    <definedName name="WJDATA" localSheetId="37">OFFSET(#REF!,0,0,COUNTA(#REF!),COUNTA(#REF!))</definedName>
    <definedName name="WJDATA" localSheetId="36">OFFSET(#REF!,0,0,COUNTA(#REF!),COUNTA(#REF!))</definedName>
    <definedName name="WJDATA" localSheetId="30">OFFSET(#REF!,0,0,COUNTA(#REF!),COUNTA(#REF!))</definedName>
    <definedName name="WJDATA" localSheetId="34">OFFSET(#REF!,0,0,COUNTA(#REF!),COUNTA(#REF!))</definedName>
    <definedName name="WJDATA">OFFSET(#REF!,0,0,COUNTA(#REF!),COUNTA(#REF!))</definedName>
    <definedName name="Workstream" localSheetId="35">#REF!</definedName>
    <definedName name="Workstream" localSheetId="31">#REF!</definedName>
    <definedName name="Workstream" localSheetId="37">#REF!</definedName>
    <definedName name="Workstream" localSheetId="36">#REF!</definedName>
    <definedName name="Workstream" localSheetId="30">#REF!</definedName>
    <definedName name="Workstream" localSheetId="34">#REF!</definedName>
    <definedName name="Workstream">#REF!</definedName>
    <definedName name="wrn.1." localSheetId="35" hidden="1">{#N/A,#N/A,FALSE,"Calc";#N/A,#N/A,FALSE,"Sensitivity";#N/A,#N/A,FALSE,"LT Earn.Dil.";#N/A,#N/A,FALSE,"Dil. AVP"}</definedName>
    <definedName name="wrn.1." localSheetId="31" hidden="1">{#N/A,#N/A,FALSE,"Calc";#N/A,#N/A,FALSE,"Sensitivity";#N/A,#N/A,FALSE,"LT Earn.Dil.";#N/A,#N/A,FALSE,"Dil. AVP"}</definedName>
    <definedName name="wrn.1." localSheetId="37" hidden="1">{#N/A,#N/A,FALSE,"Calc";#N/A,#N/A,FALSE,"Sensitivity";#N/A,#N/A,FALSE,"LT Earn.Dil.";#N/A,#N/A,FALSE,"Dil. AVP"}</definedName>
    <definedName name="wrn.1." localSheetId="36" hidden="1">{#N/A,#N/A,FALSE,"Calc";#N/A,#N/A,FALSE,"Sensitivity";#N/A,#N/A,FALSE,"LT Earn.Dil.";#N/A,#N/A,FALSE,"Dil. AVP"}</definedName>
    <definedName name="wrn.1." hidden="1">{#N/A,#N/A,FALSE,"Calc";#N/A,#N/A,FALSE,"Sensitivity";#N/A,#N/A,FALSE,"LT Earn.Dil.";#N/A,#N/A,FALSE,"Dil. AVP"}</definedName>
    <definedName name="WRN.2." localSheetId="35" hidden="1">{#N/A,#N/A,FALSE,"Calc";#N/A,#N/A,FALSE,"Sensitivity";#N/A,#N/A,FALSE,"LT Earn.Dil.";#N/A,#N/A,FALSE,"Dil. AVP"}</definedName>
    <definedName name="WRN.2." localSheetId="31" hidden="1">{#N/A,#N/A,FALSE,"Calc";#N/A,#N/A,FALSE,"Sensitivity";#N/A,#N/A,FALSE,"LT Earn.Dil.";#N/A,#N/A,FALSE,"Dil. AVP"}</definedName>
    <definedName name="WRN.2." localSheetId="37" hidden="1">{#N/A,#N/A,FALSE,"Calc";#N/A,#N/A,FALSE,"Sensitivity";#N/A,#N/A,FALSE,"LT Earn.Dil.";#N/A,#N/A,FALSE,"Dil. AVP"}</definedName>
    <definedName name="WRN.2." localSheetId="36" hidden="1">{#N/A,#N/A,FALSE,"Calc";#N/A,#N/A,FALSE,"Sensitivity";#N/A,#N/A,FALSE,"LT Earn.Dil.";#N/A,#N/A,FALSE,"Dil. AVP"}</definedName>
    <definedName name="WRN.2." hidden="1">{#N/A,#N/A,FALSE,"Calc";#N/A,#N/A,FALSE,"Sensitivity";#N/A,#N/A,FALSE,"LT Earn.Dil.";#N/A,#N/A,FALSE,"Dil. AVP"}</definedName>
    <definedName name="wrn.50._.50." localSheetId="35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._.50." localSheetId="31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._.50." localSheetId="37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._.50." localSheetId="36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._.50.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_.501" localSheetId="35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_.501" localSheetId="31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_.501" localSheetId="37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_.501" localSheetId="36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_.501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a." localSheetId="35" hidden="1">{"b",#N/A,FALSE,"12.108"}</definedName>
    <definedName name="wrn.a." localSheetId="31" hidden="1">{"b",#N/A,FALSE,"12.108"}</definedName>
    <definedName name="wrn.a." localSheetId="37" hidden="1">{"b",#N/A,FALSE,"12.108"}</definedName>
    <definedName name="wrn.a." localSheetId="36" hidden="1">{"b",#N/A,FALSE,"12.108"}</definedName>
    <definedName name="wrn.a." hidden="1">{"b",#N/A,FALSE,"12.108"}</definedName>
    <definedName name="wrn.Aging._.and._.Trend._.Analysis." localSheetId="4" hidden="1">{#N/A,#N/A,FALSE,"Aging Summary";#N/A,#N/A,FALSE,"Ratio Analysis";#N/A,#N/A,FALSE,"Test 120 Day Accts";#N/A,#N/A,FALSE,"Tickmarks"}</definedName>
    <definedName name="wrn.Aging._.and._.Trend._.Analysis." localSheetId="35" hidden="1">{#N/A,#N/A,FALSE,"Aging Summary";#N/A,#N/A,FALSE,"Ratio Analysis";#N/A,#N/A,FALSE,"Test 120 Day Accts";#N/A,#N/A,FALSE,"Tickmarks"}</definedName>
    <definedName name="wrn.Aging._.and._.Trend._.Analysis." localSheetId="31" hidden="1">{#N/A,#N/A,FALSE,"Aging Summary";#N/A,#N/A,FALSE,"Ratio Analysis";#N/A,#N/A,FALSE,"Test 120 Day Accts";#N/A,#N/A,FALSE,"Tickmarks"}</definedName>
    <definedName name="wrn.Aging._.and._.Trend._.Analysis." localSheetId="37" hidden="1">{#N/A,#N/A,FALSE,"Aging Summary";#N/A,#N/A,FALSE,"Ratio Analysis";#N/A,#N/A,FALSE,"Test 120 Day Accts";#N/A,#N/A,FALSE,"Tickmarks"}</definedName>
    <definedName name="wrn.Aging._.and._.Trend._.Analysis." localSheetId="38" hidden="1">{#N/A,#N/A,FALSE,"Aging Summary";#N/A,#N/A,FALSE,"Ratio Analysis";#N/A,#N/A,FALSE,"Test 120 Day Accts";#N/A,#N/A,FALSE,"Tickmarks"}</definedName>
    <definedName name="wrn.Aging._.and._.Trend._.Analysis." localSheetId="7" hidden="1">{#N/A,#N/A,FALSE,"Aging Summary";#N/A,#N/A,FALSE,"Ratio Analysis";#N/A,#N/A,FALSE,"Test 120 Day Accts";#N/A,#N/A,FALSE,"Tickmarks"}</definedName>
    <definedName name="wrn.Aging._.and._.Trend._.Analysis." localSheetId="36" hidden="1">{#N/A,#N/A,FALSE,"Aging Summary";#N/A,#N/A,FALSE,"Ratio Analysis";#N/A,#N/A,FALSE,"Test 120 Day Accts";#N/A,#N/A,FALSE,"Tickmarks"}</definedName>
    <definedName name="wrn.Aging._.and._.Trend._.Analysis." localSheetId="21" hidden="1">{#N/A,#N/A,FALSE,"Aging Summary";#N/A,#N/A,FALSE,"Ratio Analysis";#N/A,#N/A,FALSE,"Test 120 Day Accts";#N/A,#N/A,FALSE,"Tickmarks"}</definedName>
    <definedName name="wrn.Aging._.and._.Trend._.Analysis." localSheetId="30" hidden="1">{#N/A,#N/A,FALSE,"Aging Summary";#N/A,#N/A,FALSE,"Ratio Analysis";#N/A,#N/A,FALSE,"Test 120 Day Accts";#N/A,#N/A,FALSE,"Tickmarks"}</definedName>
    <definedName name="wrn.Aging._.and._.Trend._.Analysis." localSheetId="34" hidden="1">{#N/A,#N/A,FALSE,"Aging Summary";#N/A,#N/A,FALSE,"Ratio Analysis";#N/A,#N/A,FALSE,"Test 120 Day Accts";#N/A,#N/A,FALSE,"Tickmarks"}</definedName>
    <definedName name="wrn.Aging._.and._.Trend._.Analysis." localSheetId="33" hidden="1">{#N/A,#N/A,FALSE,"Aging Summary";#N/A,#N/A,FALSE,"Ratio Analysis";#N/A,#N/A,FALSE,"Test 120 Day Accts";#N/A,#N/A,FALSE,"Tickmarks"}</definedName>
    <definedName name="wrn.Aging._.and._.Trend._.Analysis." localSheetId="6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ing._and._Trend._.Analysis.GG" localSheetId="4" hidden="1">{#N/A,#N/A,FALSE,"Aging Summary";#N/A,#N/A,FALSE,"Ratio Analysis";#N/A,#N/A,FALSE,"Test 120 Day Accts";#N/A,#N/A,FALSE,"Tickmarks"}</definedName>
    <definedName name="wrn.Aging._and._Trend._.Analysis.GG" localSheetId="35" hidden="1">{#N/A,#N/A,FALSE,"Aging Summary";#N/A,#N/A,FALSE,"Ratio Analysis";#N/A,#N/A,FALSE,"Test 120 Day Accts";#N/A,#N/A,FALSE,"Tickmarks"}</definedName>
    <definedName name="wrn.Aging._and._Trend._.Analysis.GG" localSheetId="31" hidden="1">{#N/A,#N/A,FALSE,"Aging Summary";#N/A,#N/A,FALSE,"Ratio Analysis";#N/A,#N/A,FALSE,"Test 120 Day Accts";#N/A,#N/A,FALSE,"Tickmarks"}</definedName>
    <definedName name="wrn.Aging._and._Trend._.Analysis.GG" localSheetId="37" hidden="1">{#N/A,#N/A,FALSE,"Aging Summary";#N/A,#N/A,FALSE,"Ratio Analysis";#N/A,#N/A,FALSE,"Test 120 Day Accts";#N/A,#N/A,FALSE,"Tickmarks"}</definedName>
    <definedName name="wrn.Aging._and._Trend._.Analysis.GG" localSheetId="38" hidden="1">{#N/A,#N/A,FALSE,"Aging Summary";#N/A,#N/A,FALSE,"Ratio Analysis";#N/A,#N/A,FALSE,"Test 120 Day Accts";#N/A,#N/A,FALSE,"Tickmarks"}</definedName>
    <definedName name="wrn.Aging._and._Trend._.Analysis.GG" localSheetId="7" hidden="1">{#N/A,#N/A,FALSE,"Aging Summary";#N/A,#N/A,FALSE,"Ratio Analysis";#N/A,#N/A,FALSE,"Test 120 Day Accts";#N/A,#N/A,FALSE,"Tickmarks"}</definedName>
    <definedName name="wrn.Aging._and._Trend._.Analysis.GG" localSheetId="36" hidden="1">{#N/A,#N/A,FALSE,"Aging Summary";#N/A,#N/A,FALSE,"Ratio Analysis";#N/A,#N/A,FALSE,"Test 120 Day Accts";#N/A,#N/A,FALSE,"Tickmarks"}</definedName>
    <definedName name="wrn.Aging._and._Trend._.Analysis.GG" localSheetId="21" hidden="1">{#N/A,#N/A,FALSE,"Aging Summary";#N/A,#N/A,FALSE,"Ratio Analysis";#N/A,#N/A,FALSE,"Test 120 Day Accts";#N/A,#N/A,FALSE,"Tickmarks"}</definedName>
    <definedName name="wrn.Aging._and._Trend._.Analysis.GG" localSheetId="30" hidden="1">{#N/A,#N/A,FALSE,"Aging Summary";#N/A,#N/A,FALSE,"Ratio Analysis";#N/A,#N/A,FALSE,"Test 120 Day Accts";#N/A,#N/A,FALSE,"Tickmarks"}</definedName>
    <definedName name="wrn.Aging._and._Trend._.Analysis.GG" localSheetId="34" hidden="1">{#N/A,#N/A,FALSE,"Aging Summary";#N/A,#N/A,FALSE,"Ratio Analysis";#N/A,#N/A,FALSE,"Test 120 Day Accts";#N/A,#N/A,FALSE,"Tickmarks"}</definedName>
    <definedName name="wrn.Aging._and._Trend._.Analysis.GG" localSheetId="33" hidden="1">{#N/A,#N/A,FALSE,"Aging Summary";#N/A,#N/A,FALSE,"Ratio Analysis";#N/A,#N/A,FALSE,"Test 120 Day Accts";#N/A,#N/A,FALSE,"Tickmarks"}</definedName>
    <definedName name="wrn.Aging._and._Trend._.Analysis.GG" localSheetId="6" hidden="1">{#N/A,#N/A,FALSE,"Aging Summary";#N/A,#N/A,FALSE,"Ratio Analysis";#N/A,#N/A,FALSE,"Test 120 Day Accts";#N/A,#N/A,FALSE,"Tickmarks"}</definedName>
    <definedName name="wrn.Aging._and._Trend._.Analysis.GG" hidden="1">{#N/A,#N/A,FALSE,"Aging Summary";#N/A,#N/A,FALSE,"Ratio Analysis";#N/A,#N/A,FALSE,"Test 120 Day Accts";#N/A,#N/A,FALSE,"Tickmarks"}</definedName>
    <definedName name="wrn.all._.comps." localSheetId="35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comps." localSheetId="31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comps." localSheetId="37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comps." localSheetId="36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comps.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schedules." localSheetId="35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rn.all._.schedules." localSheetId="3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rn.all._.schedules." localSheetId="37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rn.all._.schedules." localSheetId="36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rn.all._.schedules.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rn.assumptions." localSheetId="35" hidden="1">{"casespecific",#N/A,FALSE,"Assumptions"}</definedName>
    <definedName name="wrn.assumptions." localSheetId="31" hidden="1">{"casespecific",#N/A,FALSE,"Assumptions"}</definedName>
    <definedName name="wrn.assumptions." localSheetId="37" hidden="1">{"casespecific",#N/A,FALSE,"Assumptions"}</definedName>
    <definedName name="wrn.assumptions." localSheetId="36" hidden="1">{"casespecific",#N/A,FALSE,"Assumptions"}</definedName>
    <definedName name="wrn.assumptions." hidden="1">{"casespecific",#N/A,FALSE,"Assumptions"}</definedName>
    <definedName name="wrn.away." localSheetId="35" hidden="1">{"away stand alones",#N/A,FALSE,"Target"}</definedName>
    <definedName name="wrn.away." localSheetId="31" hidden="1">{"away stand alones",#N/A,FALSE,"Target"}</definedName>
    <definedName name="wrn.away." localSheetId="37" hidden="1">{"away stand alones",#N/A,FALSE,"Target"}</definedName>
    <definedName name="wrn.away." localSheetId="36" hidden="1">{"away stand alones",#N/A,FALSE,"Target"}</definedName>
    <definedName name="wrn.away." hidden="1">{"away stand alones",#N/A,FALSE,"Target"}</definedName>
    <definedName name="wrn.b." localSheetId="35" hidden="1">{"b",#N/A,FALSE,"12.108"}</definedName>
    <definedName name="wrn.b." localSheetId="31" hidden="1">{"b",#N/A,FALSE,"12.108"}</definedName>
    <definedName name="wrn.b." localSheetId="37" hidden="1">{"b",#N/A,FALSE,"12.108"}</definedName>
    <definedName name="wrn.b." localSheetId="36" hidden="1">{"b",#N/A,FALSE,"12.108"}</definedName>
    <definedName name="wrn.b." hidden="1">{"b",#N/A,FALSE,"12.108"}</definedName>
    <definedName name="wrn.brian." localSheetId="35" hidden="1">{#N/A,#N/A,FALSE,"output";#N/A,#N/A,FALSE,"contrib";#N/A,#N/A,FALSE,"profile";#N/A,#N/A,FALSE,"comps"}</definedName>
    <definedName name="wrn.brian." localSheetId="31" hidden="1">{#N/A,#N/A,FALSE,"output";#N/A,#N/A,FALSE,"contrib";#N/A,#N/A,FALSE,"profile";#N/A,#N/A,FALSE,"comps"}</definedName>
    <definedName name="wrn.brian." localSheetId="37" hidden="1">{#N/A,#N/A,FALSE,"output";#N/A,#N/A,FALSE,"contrib";#N/A,#N/A,FALSE,"profile";#N/A,#N/A,FALSE,"comps"}</definedName>
    <definedName name="wrn.brian." localSheetId="36" hidden="1">{#N/A,#N/A,FALSE,"output";#N/A,#N/A,FALSE,"contrib";#N/A,#N/A,FALSE,"profile";#N/A,#N/A,FALSE,"comps"}</definedName>
    <definedName name="wrn.brian." hidden="1">{#N/A,#N/A,FALSE,"output";#N/A,#N/A,FALSE,"contrib";#N/A,#N/A,FALSE,"profile";#N/A,#N/A,FALSE,"comps"}</definedName>
    <definedName name="wrn.Budget." localSheetId="35" hidden="1">{"Frais_fromagerie",#N/A,FALSE,"Fu";"Rendement",#N/A,FALSE,"Rdt";"Ingrédient",#N/A,FALSE,"In";"Personnel",#N/A,FALSE,"Ef";"SIG",#N/A,FALSE,"Ce";"PCI_évolution",#N/A,FALSE,"PCI";"PCI_CA",#N/A,FALSE,"PCI";"PCI_Amélioration",#N/A,FALSE,"PCI";"Frais_holding",#N/A,FALSE,"Fh"}</definedName>
    <definedName name="wrn.Budget." localSheetId="31" hidden="1">{"Frais_fromagerie",#N/A,FALSE,"Fu";"Rendement",#N/A,FALSE,"Rdt";"Ingrédient",#N/A,FALSE,"In";"Personnel",#N/A,FALSE,"Ef";"SIG",#N/A,FALSE,"Ce";"PCI_évolution",#N/A,FALSE,"PCI";"PCI_CA",#N/A,FALSE,"PCI";"PCI_Amélioration",#N/A,FALSE,"PCI";"Frais_holding",#N/A,FALSE,"Fh"}</definedName>
    <definedName name="wrn.Budget." localSheetId="37" hidden="1">{"Frais_fromagerie",#N/A,FALSE,"Fu";"Rendement",#N/A,FALSE,"Rdt";"Ingrédient",#N/A,FALSE,"In";"Personnel",#N/A,FALSE,"Ef";"SIG",#N/A,FALSE,"Ce";"PCI_évolution",#N/A,FALSE,"PCI";"PCI_CA",#N/A,FALSE,"PCI";"PCI_Amélioration",#N/A,FALSE,"PCI";"Frais_holding",#N/A,FALSE,"Fh"}</definedName>
    <definedName name="wrn.Budget." localSheetId="36" hidden="1">{"Frais_fromagerie",#N/A,FALSE,"Fu";"Rendement",#N/A,FALSE,"Rdt";"Ingrédient",#N/A,FALSE,"In";"Personnel",#N/A,FALSE,"Ef";"SIG",#N/A,FALSE,"Ce";"PCI_évolution",#N/A,FALSE,"PCI";"PCI_CA",#N/A,FALSE,"PCI";"PCI_Amélioration",#N/A,FALSE,"PCI";"Frais_holding",#N/A,FALSE,"Fh"}</definedName>
    <definedName name="wrn.Budget." hidden="1">{"Frais_fromagerie",#N/A,FALSE,"Fu";"Rendement",#N/A,FALSE,"Rdt";"Ingrédient",#N/A,FALSE,"In";"Personnel",#N/A,FALSE,"Ef";"SIG",#N/A,FALSE,"Ce";"PCI_évolution",#N/A,FALSE,"PCI";"PCI_CA",#N/A,FALSE,"PCI";"PCI_Amélioration",#N/A,FALSE,"PCI";"Frais_holding",#N/A,FALSE,"Fh"}</definedName>
    <definedName name="wrn.budget._.affinage." localSheetId="35" hidden="1">{"ACT_CAVES",#N/A,TRUE,"Act Caves";"MOV_AFF_STOC",#N/A,TRUE,"Act Caves";"MOV_MINIDES",#N/A,TRUE,"Act Caves";"COMP_MP_MINIDE_ROQ",#N/A,TRUE,"Act Caves";"PERTES_AFF",#N/A,TRUE,"Act Caves";"MS_FIXE",#N/A,TRUE,"Act Caves";"RECAP_CH_MS",#N/A,TRUE,"Act Caves";"EC_MS_ESTIM",#N/A,TRUE,"Act Caves";"EC_MS_BUD",#N/A,TRUE,"Act Caves";"CH_ENS",#N/A,TRUE,"Act Caves";"CH_AFF1",#N/A,TRUE,"Act Caves";"CH_STOCK",#N/A,TRUE,"Act Caves";"CH_COND",#N/A,TRUE,"Act Caves";"CH_MINIDES",#N/A,TRUE,"Act Caves";"CH_POUD_ROQ",#N/A,TRUE,"Act Caves";"PCI_ROQ_SS_ETAIN",#N/A,TRUE,"Act Caves";"EC_PCI",#N/A,TRUE,"PCI AFF"}</definedName>
    <definedName name="wrn.budget._.affinage." localSheetId="31" hidden="1">{"ACT_CAVES",#N/A,TRUE,"Act Caves";"MOV_AFF_STOC",#N/A,TRUE,"Act Caves";"MOV_MINIDES",#N/A,TRUE,"Act Caves";"COMP_MP_MINIDE_ROQ",#N/A,TRUE,"Act Caves";"PERTES_AFF",#N/A,TRUE,"Act Caves";"MS_FIXE",#N/A,TRUE,"Act Caves";"RECAP_CH_MS",#N/A,TRUE,"Act Caves";"EC_MS_ESTIM",#N/A,TRUE,"Act Caves";"EC_MS_BUD",#N/A,TRUE,"Act Caves";"CH_ENS",#N/A,TRUE,"Act Caves";"CH_AFF1",#N/A,TRUE,"Act Caves";"CH_STOCK",#N/A,TRUE,"Act Caves";"CH_COND",#N/A,TRUE,"Act Caves";"CH_MINIDES",#N/A,TRUE,"Act Caves";"CH_POUD_ROQ",#N/A,TRUE,"Act Caves";"PCI_ROQ_SS_ETAIN",#N/A,TRUE,"Act Caves";"EC_PCI",#N/A,TRUE,"PCI AFF"}</definedName>
    <definedName name="wrn.budget._.affinage." localSheetId="37" hidden="1">{"ACT_CAVES",#N/A,TRUE,"Act Caves";"MOV_AFF_STOC",#N/A,TRUE,"Act Caves";"MOV_MINIDES",#N/A,TRUE,"Act Caves";"COMP_MP_MINIDE_ROQ",#N/A,TRUE,"Act Caves";"PERTES_AFF",#N/A,TRUE,"Act Caves";"MS_FIXE",#N/A,TRUE,"Act Caves";"RECAP_CH_MS",#N/A,TRUE,"Act Caves";"EC_MS_ESTIM",#N/A,TRUE,"Act Caves";"EC_MS_BUD",#N/A,TRUE,"Act Caves";"CH_ENS",#N/A,TRUE,"Act Caves";"CH_AFF1",#N/A,TRUE,"Act Caves";"CH_STOCK",#N/A,TRUE,"Act Caves";"CH_COND",#N/A,TRUE,"Act Caves";"CH_MINIDES",#N/A,TRUE,"Act Caves";"CH_POUD_ROQ",#N/A,TRUE,"Act Caves";"PCI_ROQ_SS_ETAIN",#N/A,TRUE,"Act Caves";"EC_PCI",#N/A,TRUE,"PCI AFF"}</definedName>
    <definedName name="wrn.budget._.affinage." localSheetId="36" hidden="1">{"ACT_CAVES",#N/A,TRUE,"Act Caves";"MOV_AFF_STOC",#N/A,TRUE,"Act Caves";"MOV_MINIDES",#N/A,TRUE,"Act Caves";"COMP_MP_MINIDE_ROQ",#N/A,TRUE,"Act Caves";"PERTES_AFF",#N/A,TRUE,"Act Caves";"MS_FIXE",#N/A,TRUE,"Act Caves";"RECAP_CH_MS",#N/A,TRUE,"Act Caves";"EC_MS_ESTIM",#N/A,TRUE,"Act Caves";"EC_MS_BUD",#N/A,TRUE,"Act Caves";"CH_ENS",#N/A,TRUE,"Act Caves";"CH_AFF1",#N/A,TRUE,"Act Caves";"CH_STOCK",#N/A,TRUE,"Act Caves";"CH_COND",#N/A,TRUE,"Act Caves";"CH_MINIDES",#N/A,TRUE,"Act Caves";"CH_POUD_ROQ",#N/A,TRUE,"Act Caves";"PCI_ROQ_SS_ETAIN",#N/A,TRUE,"Act Caves";"EC_PCI",#N/A,TRUE,"PCI AFF"}</definedName>
    <definedName name="wrn.budget._.affinage." hidden="1">{"ACT_CAVES",#N/A,TRUE,"Act Caves";"MOV_AFF_STOC",#N/A,TRUE,"Act Caves";"MOV_MINIDES",#N/A,TRUE,"Act Caves";"COMP_MP_MINIDE_ROQ",#N/A,TRUE,"Act Caves";"PERTES_AFF",#N/A,TRUE,"Act Caves";"MS_FIXE",#N/A,TRUE,"Act Caves";"RECAP_CH_MS",#N/A,TRUE,"Act Caves";"EC_MS_ESTIM",#N/A,TRUE,"Act Caves";"EC_MS_BUD",#N/A,TRUE,"Act Caves";"CH_ENS",#N/A,TRUE,"Act Caves";"CH_AFF1",#N/A,TRUE,"Act Caves";"CH_STOCK",#N/A,TRUE,"Act Caves";"CH_COND",#N/A,TRUE,"Act Caves";"CH_MINIDES",#N/A,TRUE,"Act Caves";"CH_POUD_ROQ",#N/A,TRUE,"Act Caves";"PCI_ROQ_SS_ETAIN",#N/A,TRUE,"Act Caves";"EC_PCI",#N/A,TRUE,"PCI AFF"}</definedName>
    <definedName name="wrn.BUDGET._.FETA." localSheetId="35" hidden="1">{"EC_PCI",#N/A,FALSE,"FETA2005";"SYNTH_PCI",#N/A,FALSE,"FETA2005";"PDTS_CHIMIQUES",#N/A,FALSE,"FETA2005";"NRJ_CONDT",#N/A,FALSE,"FETA2005";"NRJ_FAB",#N/A,FALSE,"FETA2005";"ENS_CH_FETA",#N/A,FALSE,"FETA2005";"MS_FIXE",#N/A,FALSE,"FETA2005";"EC_MS_BUD_BUD",#N/A,FALSE,"FETA2005";"EC_MS_BUD_EST",#N/A,FALSE,"FETA2005";"MOV_CONDT_STOCK",#N/A,FALSE,"FETA2005";"MOV_FAB",#N/A,FALSE,"FETA2005";"BON_POIDS",#N/A,FALSE,"FETA2005";"BRISURES_CASSES",#N/A,FALSE,"FETA2005";"FREINTES",#N/A,FALSE,"FETA2005";"INGREDIENTS",#N/A,FALSE,"FETA2005";"BILAN_SERUM",#N/A,FALSE,"FETA2005";"MATIERES",#N/A,FALSE,"FETA2005";"ACTIVITE_MASSEGROS",#N/A,FALSE,"FETA2005"}</definedName>
    <definedName name="wrn.BUDGET._.FETA." localSheetId="31" hidden="1">{"EC_PCI",#N/A,FALSE,"FETA2005";"SYNTH_PCI",#N/A,FALSE,"FETA2005";"PDTS_CHIMIQUES",#N/A,FALSE,"FETA2005";"NRJ_CONDT",#N/A,FALSE,"FETA2005";"NRJ_FAB",#N/A,FALSE,"FETA2005";"ENS_CH_FETA",#N/A,FALSE,"FETA2005";"MS_FIXE",#N/A,FALSE,"FETA2005";"EC_MS_BUD_BUD",#N/A,FALSE,"FETA2005";"EC_MS_BUD_EST",#N/A,FALSE,"FETA2005";"MOV_CONDT_STOCK",#N/A,FALSE,"FETA2005";"MOV_FAB",#N/A,FALSE,"FETA2005";"BON_POIDS",#N/A,FALSE,"FETA2005";"BRISURES_CASSES",#N/A,FALSE,"FETA2005";"FREINTES",#N/A,FALSE,"FETA2005";"INGREDIENTS",#N/A,FALSE,"FETA2005";"BILAN_SERUM",#N/A,FALSE,"FETA2005";"MATIERES",#N/A,FALSE,"FETA2005";"ACTIVITE_MASSEGROS",#N/A,FALSE,"FETA2005"}</definedName>
    <definedName name="wrn.BUDGET._.FETA." localSheetId="37" hidden="1">{"EC_PCI",#N/A,FALSE,"FETA2005";"SYNTH_PCI",#N/A,FALSE,"FETA2005";"PDTS_CHIMIQUES",#N/A,FALSE,"FETA2005";"NRJ_CONDT",#N/A,FALSE,"FETA2005";"NRJ_FAB",#N/A,FALSE,"FETA2005";"ENS_CH_FETA",#N/A,FALSE,"FETA2005";"MS_FIXE",#N/A,FALSE,"FETA2005";"EC_MS_BUD_BUD",#N/A,FALSE,"FETA2005";"EC_MS_BUD_EST",#N/A,FALSE,"FETA2005";"MOV_CONDT_STOCK",#N/A,FALSE,"FETA2005";"MOV_FAB",#N/A,FALSE,"FETA2005";"BON_POIDS",#N/A,FALSE,"FETA2005";"BRISURES_CASSES",#N/A,FALSE,"FETA2005";"FREINTES",#N/A,FALSE,"FETA2005";"INGREDIENTS",#N/A,FALSE,"FETA2005";"BILAN_SERUM",#N/A,FALSE,"FETA2005";"MATIERES",#N/A,FALSE,"FETA2005";"ACTIVITE_MASSEGROS",#N/A,FALSE,"FETA2005"}</definedName>
    <definedName name="wrn.BUDGET._.FETA." localSheetId="36" hidden="1">{"EC_PCI",#N/A,FALSE,"FETA2005";"SYNTH_PCI",#N/A,FALSE,"FETA2005";"PDTS_CHIMIQUES",#N/A,FALSE,"FETA2005";"NRJ_CONDT",#N/A,FALSE,"FETA2005";"NRJ_FAB",#N/A,FALSE,"FETA2005";"ENS_CH_FETA",#N/A,FALSE,"FETA2005";"MS_FIXE",#N/A,FALSE,"FETA2005";"EC_MS_BUD_BUD",#N/A,FALSE,"FETA2005";"EC_MS_BUD_EST",#N/A,FALSE,"FETA2005";"MOV_CONDT_STOCK",#N/A,FALSE,"FETA2005";"MOV_FAB",#N/A,FALSE,"FETA2005";"BON_POIDS",#N/A,FALSE,"FETA2005";"BRISURES_CASSES",#N/A,FALSE,"FETA2005";"FREINTES",#N/A,FALSE,"FETA2005";"INGREDIENTS",#N/A,FALSE,"FETA2005";"BILAN_SERUM",#N/A,FALSE,"FETA2005";"MATIERES",#N/A,FALSE,"FETA2005";"ACTIVITE_MASSEGROS",#N/A,FALSE,"FETA2005"}</definedName>
    <definedName name="wrn.BUDGET._.FETA." hidden="1">{"EC_PCI",#N/A,FALSE,"FETA2005";"SYNTH_PCI",#N/A,FALSE,"FETA2005";"PDTS_CHIMIQUES",#N/A,FALSE,"FETA2005";"NRJ_CONDT",#N/A,FALSE,"FETA2005";"NRJ_FAB",#N/A,FALSE,"FETA2005";"ENS_CH_FETA",#N/A,FALSE,"FETA2005";"MS_FIXE",#N/A,FALSE,"FETA2005";"EC_MS_BUD_BUD",#N/A,FALSE,"FETA2005";"EC_MS_BUD_EST",#N/A,FALSE,"FETA2005";"MOV_CONDT_STOCK",#N/A,FALSE,"FETA2005";"MOV_FAB",#N/A,FALSE,"FETA2005";"BON_POIDS",#N/A,FALSE,"FETA2005";"BRISURES_CASSES",#N/A,FALSE,"FETA2005";"FREINTES",#N/A,FALSE,"FETA2005";"INGREDIENTS",#N/A,FALSE,"FETA2005";"BILAN_SERUM",#N/A,FALSE,"FETA2005";"MATIERES",#N/A,FALSE,"FETA2005";"ACTIVITE_MASSEGROS",#N/A,FALSE,"FETA2005"}</definedName>
    <definedName name="wrn.BUDGET._.JORT_CAREL." localSheetId="35" hidden="1">{#N/A,#N/A,FALSE,"Volume";#N/A,#N/A,FALSE,"MatCam250";#N/A,#N/A,FALSE,"Sérum";#N/A,#N/A,FALSE,"Ing.Jort";#N/A,#N/A,FALSE,"Ing.Carel";#N/A,#N/A,FALSE,"CHARGES";#N/A,#N/A,FALSE,"ENERGIES";#N/A,#N/A,FALSE,"EFFECTIF";#N/A,#N/A,FALSE,"PROD CHIM";#N/A,#N/A,FALSE,"PRIX CESSION";#N/A,#N/A,FALSE,"CPTE EXPLOIT";#N/A,#N/A,FALSE,"CONTROLE"}</definedName>
    <definedName name="wrn.BUDGET._.JORT_CAREL." localSheetId="31" hidden="1">{#N/A,#N/A,FALSE,"Volume";#N/A,#N/A,FALSE,"MatCam250";#N/A,#N/A,FALSE,"Sérum";#N/A,#N/A,FALSE,"Ing.Jort";#N/A,#N/A,FALSE,"Ing.Carel";#N/A,#N/A,FALSE,"CHARGES";#N/A,#N/A,FALSE,"ENERGIES";#N/A,#N/A,FALSE,"EFFECTIF";#N/A,#N/A,FALSE,"PROD CHIM";#N/A,#N/A,FALSE,"PRIX CESSION";#N/A,#N/A,FALSE,"CPTE EXPLOIT";#N/A,#N/A,FALSE,"CONTROLE"}</definedName>
    <definedName name="wrn.BUDGET._.JORT_CAREL." localSheetId="37" hidden="1">{#N/A,#N/A,FALSE,"Volume";#N/A,#N/A,FALSE,"MatCam250";#N/A,#N/A,FALSE,"Sérum";#N/A,#N/A,FALSE,"Ing.Jort";#N/A,#N/A,FALSE,"Ing.Carel";#N/A,#N/A,FALSE,"CHARGES";#N/A,#N/A,FALSE,"ENERGIES";#N/A,#N/A,FALSE,"EFFECTIF";#N/A,#N/A,FALSE,"PROD CHIM";#N/A,#N/A,FALSE,"PRIX CESSION";#N/A,#N/A,FALSE,"CPTE EXPLOIT";#N/A,#N/A,FALSE,"CONTROLE"}</definedName>
    <definedName name="wrn.BUDGET._.JORT_CAREL." localSheetId="36" hidden="1">{#N/A,#N/A,FALSE,"Volume";#N/A,#N/A,FALSE,"MatCam250";#N/A,#N/A,FALSE,"Sérum";#N/A,#N/A,FALSE,"Ing.Jort";#N/A,#N/A,FALSE,"Ing.Carel";#N/A,#N/A,FALSE,"CHARGES";#N/A,#N/A,FALSE,"ENERGIES";#N/A,#N/A,FALSE,"EFFECTIF";#N/A,#N/A,FALSE,"PROD CHIM";#N/A,#N/A,FALSE,"PRIX CESSION";#N/A,#N/A,FALSE,"CPTE EXPLOIT";#N/A,#N/A,FALSE,"CONTROLE"}</definedName>
    <definedName name="wrn.BUDGET._.JORT_CAREL." hidden="1">{#N/A,#N/A,FALSE,"Volume";#N/A,#N/A,FALSE,"MatCam250";#N/A,#N/A,FALSE,"Sérum";#N/A,#N/A,FALSE,"Ing.Jort";#N/A,#N/A,FALSE,"Ing.Carel";#N/A,#N/A,FALSE,"CHARGES";#N/A,#N/A,FALSE,"ENERGIES";#N/A,#N/A,FALSE,"EFFECTIF";#N/A,#N/A,FALSE,"PROD CHIM";#N/A,#N/A,FALSE,"PRIX CESSION";#N/A,#N/A,FALSE,"CPTE EXPLOIT";#N/A,#N/A,FALSE,"CONTROLE"}</definedName>
    <definedName name="wrn.budget._.lebrou." localSheetId="35" hidden="1">{"ACTIVITE",#N/A,FALSE,"Charges";"PERTES_MATIERES",#N/A,FALSE,"Charges";"BM",#N/A,FALSE,"Charges";"TAUX_BRISURES",#N/A,FALSE,"Charges";"BON_POIDS",#N/A,FALSE,"Charges";"EXPEDITION",#N/A,FALSE,"Charges";"MOV_PRODUCTIVITE",#N/A,FALSE,"Charges";"MS_FIXE",#N/A,FALSE,"Charges";"RECAP_MS",#N/A,FALSE,"Charges";"EC_MS_ESTIM",#N/A,FALSE,"Charges";"EC_MS_BUDGET",#N/A,FALSE,"Charges";"NRJ",#N/A,FALSE,"Charges";"CH_ENS",#N/A,FALSE,"Charges";"CH_COND",#N/A,FALSE,"Charges";"CH_EXPEDITION",#N/A,FALSE,"Charges";"CH_LAVERIE",#N/A,FALSE,"Charges";"SYNT_PCI",#N/A,FALSE,"Charges";"EC_PCI",#N/A,FALSE,"Charges"}</definedName>
    <definedName name="wrn.budget._.lebrou." localSheetId="31" hidden="1">{"ACTIVITE",#N/A,FALSE,"Charges";"PERTES_MATIERES",#N/A,FALSE,"Charges";"BM",#N/A,FALSE,"Charges";"TAUX_BRISURES",#N/A,FALSE,"Charges";"BON_POIDS",#N/A,FALSE,"Charges";"EXPEDITION",#N/A,FALSE,"Charges";"MOV_PRODUCTIVITE",#N/A,FALSE,"Charges";"MS_FIXE",#N/A,FALSE,"Charges";"RECAP_MS",#N/A,FALSE,"Charges";"EC_MS_ESTIM",#N/A,FALSE,"Charges";"EC_MS_BUDGET",#N/A,FALSE,"Charges";"NRJ",#N/A,FALSE,"Charges";"CH_ENS",#N/A,FALSE,"Charges";"CH_COND",#N/A,FALSE,"Charges";"CH_EXPEDITION",#N/A,FALSE,"Charges";"CH_LAVERIE",#N/A,FALSE,"Charges";"SYNT_PCI",#N/A,FALSE,"Charges";"EC_PCI",#N/A,FALSE,"Charges"}</definedName>
    <definedName name="wrn.budget._.lebrou." localSheetId="37" hidden="1">{"ACTIVITE",#N/A,FALSE,"Charges";"PERTES_MATIERES",#N/A,FALSE,"Charges";"BM",#N/A,FALSE,"Charges";"TAUX_BRISURES",#N/A,FALSE,"Charges";"BON_POIDS",#N/A,FALSE,"Charges";"EXPEDITION",#N/A,FALSE,"Charges";"MOV_PRODUCTIVITE",#N/A,FALSE,"Charges";"MS_FIXE",#N/A,FALSE,"Charges";"RECAP_MS",#N/A,FALSE,"Charges";"EC_MS_ESTIM",#N/A,FALSE,"Charges";"EC_MS_BUDGET",#N/A,FALSE,"Charges";"NRJ",#N/A,FALSE,"Charges";"CH_ENS",#N/A,FALSE,"Charges";"CH_COND",#N/A,FALSE,"Charges";"CH_EXPEDITION",#N/A,FALSE,"Charges";"CH_LAVERIE",#N/A,FALSE,"Charges";"SYNT_PCI",#N/A,FALSE,"Charges";"EC_PCI",#N/A,FALSE,"Charges"}</definedName>
    <definedName name="wrn.budget._.lebrou." localSheetId="36" hidden="1">{"ACTIVITE",#N/A,FALSE,"Charges";"PERTES_MATIERES",#N/A,FALSE,"Charges";"BM",#N/A,FALSE,"Charges";"TAUX_BRISURES",#N/A,FALSE,"Charges";"BON_POIDS",#N/A,FALSE,"Charges";"EXPEDITION",#N/A,FALSE,"Charges";"MOV_PRODUCTIVITE",#N/A,FALSE,"Charges";"MS_FIXE",#N/A,FALSE,"Charges";"RECAP_MS",#N/A,FALSE,"Charges";"EC_MS_ESTIM",#N/A,FALSE,"Charges";"EC_MS_BUDGET",#N/A,FALSE,"Charges";"NRJ",#N/A,FALSE,"Charges";"CH_ENS",#N/A,FALSE,"Charges";"CH_COND",#N/A,FALSE,"Charges";"CH_EXPEDITION",#N/A,FALSE,"Charges";"CH_LAVERIE",#N/A,FALSE,"Charges";"SYNT_PCI",#N/A,FALSE,"Charges";"EC_PCI",#N/A,FALSE,"Charges"}</definedName>
    <definedName name="wrn.budget._.lebrou." hidden="1">{"ACTIVITE",#N/A,FALSE,"Charges";"PERTES_MATIERES",#N/A,FALSE,"Charges";"BM",#N/A,FALSE,"Charges";"TAUX_BRISURES",#N/A,FALSE,"Charges";"BON_POIDS",#N/A,FALSE,"Charges";"EXPEDITION",#N/A,FALSE,"Charges";"MOV_PRODUCTIVITE",#N/A,FALSE,"Charges";"MS_FIXE",#N/A,FALSE,"Charges";"RECAP_MS",#N/A,FALSE,"Charges";"EC_MS_ESTIM",#N/A,FALSE,"Charges";"EC_MS_BUDGET",#N/A,FALSE,"Charges";"NRJ",#N/A,FALSE,"Charges";"CH_ENS",#N/A,FALSE,"Charges";"CH_COND",#N/A,FALSE,"Charges";"CH_EXPEDITION",#N/A,FALSE,"Charges";"CH_LAVERIE",#N/A,FALSE,"Charges";"SYNT_PCI",#N/A,FALSE,"Charges";"EC_PCI",#N/A,FALSE,"Charges"}</definedName>
    <definedName name="wrn.BUDGET._.MEAUX." localSheetId="35" hidden="1">{#N/A,#N/A,FALSE,"VOLUMES";#N/A,#N/A,FALSE,"RDT Melun";#N/A,#N/A,FALSE,"RDT Croupet";#N/A,#N/A,FALSE,"ING Melun";#N/A,#N/A,FALSE,"ING Croupet";#N/A,#N/A,FALSE,"SYNTHESE CHARGES";#N/A,#N/A,FALSE,"ENERGIE+PERSO";#N/A,#N/A,FALSE,"PROD CHIM";#N/A,#N/A,FALSE,"PCI FINAL";#N/A,#N/A,FALSE,"CPTE EXPLOIT"}</definedName>
    <definedName name="wrn.BUDGET._.MEAUX." localSheetId="31" hidden="1">{#N/A,#N/A,FALSE,"VOLUMES";#N/A,#N/A,FALSE,"RDT Melun";#N/A,#N/A,FALSE,"RDT Croupet";#N/A,#N/A,FALSE,"ING Melun";#N/A,#N/A,FALSE,"ING Croupet";#N/A,#N/A,FALSE,"SYNTHESE CHARGES";#N/A,#N/A,FALSE,"ENERGIE+PERSO";#N/A,#N/A,FALSE,"PROD CHIM";#N/A,#N/A,FALSE,"PCI FINAL";#N/A,#N/A,FALSE,"CPTE EXPLOIT"}</definedName>
    <definedName name="wrn.BUDGET._.MEAUX." localSheetId="37" hidden="1">{#N/A,#N/A,FALSE,"VOLUMES";#N/A,#N/A,FALSE,"RDT Melun";#N/A,#N/A,FALSE,"RDT Croupet";#N/A,#N/A,FALSE,"ING Melun";#N/A,#N/A,FALSE,"ING Croupet";#N/A,#N/A,FALSE,"SYNTHESE CHARGES";#N/A,#N/A,FALSE,"ENERGIE+PERSO";#N/A,#N/A,FALSE,"PROD CHIM";#N/A,#N/A,FALSE,"PCI FINAL";#N/A,#N/A,FALSE,"CPTE EXPLOIT"}</definedName>
    <definedName name="wrn.BUDGET._.MEAUX." localSheetId="36" hidden="1">{#N/A,#N/A,FALSE,"VOLUMES";#N/A,#N/A,FALSE,"RDT Melun";#N/A,#N/A,FALSE,"RDT Croupet";#N/A,#N/A,FALSE,"ING Melun";#N/A,#N/A,FALSE,"ING Croupet";#N/A,#N/A,FALSE,"SYNTHESE CHARGES";#N/A,#N/A,FALSE,"ENERGIE+PERSO";#N/A,#N/A,FALSE,"PROD CHIM";#N/A,#N/A,FALSE,"PCI FINAL";#N/A,#N/A,FALSE,"CPTE EXPLOIT"}</definedName>
    <definedName name="wrn.BUDGET._.MEAUX." hidden="1">{#N/A,#N/A,FALSE,"VOLUMES";#N/A,#N/A,FALSE,"RDT Melun";#N/A,#N/A,FALSE,"RDT Croupet";#N/A,#N/A,FALSE,"ING Melun";#N/A,#N/A,FALSE,"ING Croupet";#N/A,#N/A,FALSE,"SYNTHESE CHARGES";#N/A,#N/A,FALSE,"ENERGIE+PERSO";#N/A,#N/A,FALSE,"PROD CHIM";#N/A,#N/A,FALSE,"PCI FINAL";#N/A,#N/A,FALSE,"CPTE EXPLOIT"}</definedName>
    <definedName name="wrn.BUDGET._.RAIVAL." localSheetId="35" hidden="1">{#N/A,#N/A,FALSE,"VOLUMES";#N/A,#N/A,FALSE,"RDT BRIE";#N/A,#N/A,FALSE,"RDT coulo500";#N/A,#N/A,FALSE,"RDT coulo400 ";#N/A,#N/A,FALSE,"RDT vig150";#N/A,#N/A,FALSE,"RDT vig250";#N/A,#N/A,FALSE,"RDT vig2.4";#N/A,#N/A,FALSE,"RDT rondeau";#N/A,#N/A,FALSE,"INGR. brie";#N/A,#N/A,FALSE,"INGR. vig";#N/A,#N/A,FALSE,"SYNTHESE CHARGES";#N/A,#N/A,FALSE,"FACON";#N/A,#N/A,FALSE,"ENERGIE+PERSO";#N/A,#N/A,FALSE,"PROD CHIM";#N/A,#N/A,FALSE,"PCI FINAL";#N/A,#N/A,FALSE,"CPTE EXPLOIT"}</definedName>
    <definedName name="wrn.BUDGET._.RAIVAL." localSheetId="31" hidden="1">{#N/A,#N/A,FALSE,"VOLUMES";#N/A,#N/A,FALSE,"RDT BRIE";#N/A,#N/A,FALSE,"RDT coulo500";#N/A,#N/A,FALSE,"RDT coulo400 ";#N/A,#N/A,FALSE,"RDT vig150";#N/A,#N/A,FALSE,"RDT vig250";#N/A,#N/A,FALSE,"RDT vig2.4";#N/A,#N/A,FALSE,"RDT rondeau";#N/A,#N/A,FALSE,"INGR. brie";#N/A,#N/A,FALSE,"INGR. vig";#N/A,#N/A,FALSE,"SYNTHESE CHARGES";#N/A,#N/A,FALSE,"FACON";#N/A,#N/A,FALSE,"ENERGIE+PERSO";#N/A,#N/A,FALSE,"PROD CHIM";#N/A,#N/A,FALSE,"PCI FINAL";#N/A,#N/A,FALSE,"CPTE EXPLOIT"}</definedName>
    <definedName name="wrn.BUDGET._.RAIVAL." localSheetId="37" hidden="1">{#N/A,#N/A,FALSE,"VOLUMES";#N/A,#N/A,FALSE,"RDT BRIE";#N/A,#N/A,FALSE,"RDT coulo500";#N/A,#N/A,FALSE,"RDT coulo400 ";#N/A,#N/A,FALSE,"RDT vig150";#N/A,#N/A,FALSE,"RDT vig250";#N/A,#N/A,FALSE,"RDT vig2.4";#N/A,#N/A,FALSE,"RDT rondeau";#N/A,#N/A,FALSE,"INGR. brie";#N/A,#N/A,FALSE,"INGR. vig";#N/A,#N/A,FALSE,"SYNTHESE CHARGES";#N/A,#N/A,FALSE,"FACON";#N/A,#N/A,FALSE,"ENERGIE+PERSO";#N/A,#N/A,FALSE,"PROD CHIM";#N/A,#N/A,FALSE,"PCI FINAL";#N/A,#N/A,FALSE,"CPTE EXPLOIT"}</definedName>
    <definedName name="wrn.BUDGET._.RAIVAL." localSheetId="36" hidden="1">{#N/A,#N/A,FALSE,"VOLUMES";#N/A,#N/A,FALSE,"RDT BRIE";#N/A,#N/A,FALSE,"RDT coulo500";#N/A,#N/A,FALSE,"RDT coulo400 ";#N/A,#N/A,FALSE,"RDT vig150";#N/A,#N/A,FALSE,"RDT vig250";#N/A,#N/A,FALSE,"RDT vig2.4";#N/A,#N/A,FALSE,"RDT rondeau";#N/A,#N/A,FALSE,"INGR. brie";#N/A,#N/A,FALSE,"INGR. vig";#N/A,#N/A,FALSE,"SYNTHESE CHARGES";#N/A,#N/A,FALSE,"FACON";#N/A,#N/A,FALSE,"ENERGIE+PERSO";#N/A,#N/A,FALSE,"PROD CHIM";#N/A,#N/A,FALSE,"PCI FINAL";#N/A,#N/A,FALSE,"CPTE EXPLOIT"}</definedName>
    <definedName name="wrn.BUDGET._.RAIVAL." hidden="1">{#N/A,#N/A,FALSE,"VOLUMES";#N/A,#N/A,FALSE,"RDT BRIE";#N/A,#N/A,FALSE,"RDT coulo500";#N/A,#N/A,FALSE,"RDT coulo400 ";#N/A,#N/A,FALSE,"RDT vig150";#N/A,#N/A,FALSE,"RDT vig250";#N/A,#N/A,FALSE,"RDT vig2.4";#N/A,#N/A,FALSE,"RDT rondeau";#N/A,#N/A,FALSE,"INGR. brie";#N/A,#N/A,FALSE,"INGR. vig";#N/A,#N/A,FALSE,"SYNTHESE CHARGES";#N/A,#N/A,FALSE,"FACON";#N/A,#N/A,FALSE,"ENERGIE+PERSO";#N/A,#N/A,FALSE,"PROD CHIM";#N/A,#N/A,FALSE,"PCI FINAL";#N/A,#N/A,FALSE,"CPTE EXPLOIT"}</definedName>
    <definedName name="wrn.Budget_from." localSheetId="35" hidden="1">{"Synth",#N/A,FALSE,"Synth";"Plan éco",#N/A,FALSE,"Plan eco";"Rendement",#N/A,FALSE,"Rdt";"Rdt_Rondelé",#N/A,FALSE,"Rondelé";"Rdt_poudre",#N/A,FALSE,"Rpoudre";"Ing_from",#N/A,FALSE,"In_from";"Energie_fromage",#N/A,FALSE,"En_from";"En_eau",#N/A,FALSE,"En_from";"Eff_from_variable",#N/A,FALSE,"Ef_From";"Eff_from_synth",#N/A,FALSE,"Ef_From";"Frais",#N/A,FALSE,"Frais";"Evol_PCI",#N/A,FALSE,"PCI";"Amélioration",#N/A,FALSE,"PCI"}</definedName>
    <definedName name="wrn.Budget_from." localSheetId="31" hidden="1">{"Synth",#N/A,FALSE,"Synth";"Plan éco",#N/A,FALSE,"Plan eco";"Rendement",#N/A,FALSE,"Rdt";"Rdt_Rondelé",#N/A,FALSE,"Rondelé";"Rdt_poudre",#N/A,FALSE,"Rpoudre";"Ing_from",#N/A,FALSE,"In_from";"Energie_fromage",#N/A,FALSE,"En_from";"En_eau",#N/A,FALSE,"En_from";"Eff_from_variable",#N/A,FALSE,"Ef_From";"Eff_from_synth",#N/A,FALSE,"Ef_From";"Frais",#N/A,FALSE,"Frais";"Evol_PCI",#N/A,FALSE,"PCI";"Amélioration",#N/A,FALSE,"PCI"}</definedName>
    <definedName name="wrn.Budget_from." localSheetId="37" hidden="1">{"Synth",#N/A,FALSE,"Synth";"Plan éco",#N/A,FALSE,"Plan eco";"Rendement",#N/A,FALSE,"Rdt";"Rdt_Rondelé",#N/A,FALSE,"Rondelé";"Rdt_poudre",#N/A,FALSE,"Rpoudre";"Ing_from",#N/A,FALSE,"In_from";"Energie_fromage",#N/A,FALSE,"En_from";"En_eau",#N/A,FALSE,"En_from";"Eff_from_variable",#N/A,FALSE,"Ef_From";"Eff_from_synth",#N/A,FALSE,"Ef_From";"Frais",#N/A,FALSE,"Frais";"Evol_PCI",#N/A,FALSE,"PCI";"Amélioration",#N/A,FALSE,"PCI"}</definedName>
    <definedName name="wrn.Budget_from." localSheetId="36" hidden="1">{"Synth",#N/A,FALSE,"Synth";"Plan éco",#N/A,FALSE,"Plan eco";"Rendement",#N/A,FALSE,"Rdt";"Rdt_Rondelé",#N/A,FALSE,"Rondelé";"Rdt_poudre",#N/A,FALSE,"Rpoudre";"Ing_from",#N/A,FALSE,"In_from";"Energie_fromage",#N/A,FALSE,"En_from";"En_eau",#N/A,FALSE,"En_from";"Eff_from_variable",#N/A,FALSE,"Ef_From";"Eff_from_synth",#N/A,FALSE,"Ef_From";"Frais",#N/A,FALSE,"Frais";"Evol_PCI",#N/A,FALSE,"PCI";"Amélioration",#N/A,FALSE,"PCI"}</definedName>
    <definedName name="wrn.Budget_from." hidden="1">{"Synth",#N/A,FALSE,"Synth";"Plan éco",#N/A,FALSE,"Plan eco";"Rendement",#N/A,FALSE,"Rdt";"Rdt_Rondelé",#N/A,FALSE,"Rondelé";"Rdt_poudre",#N/A,FALSE,"Rpoudre";"Ing_from",#N/A,FALSE,"In_from";"Energie_fromage",#N/A,FALSE,"En_from";"En_eau",#N/A,FALSE,"En_from";"Eff_from_variable",#N/A,FALSE,"Ef_From";"Eff_from_synth",#N/A,FALSE,"Ef_From";"Frais",#N/A,FALSE,"Frais";"Evol_PCI",#N/A,FALSE,"PCI";"Amélioration",#N/A,FALSE,"PCI"}</definedName>
    <definedName name="wrn.capital._.schedules." localSheetId="35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apital._.schedules." localSheetId="31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apital._.schedules." localSheetId="37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apital._.schedules." localSheetId="36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apital._.schedules.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ash." localSheetId="35" hidden="1">{"assumption cash",#N/A,TRUE,"Merger";"has gets cash",#N/A,TRUE,"Merger";"accretion dilution",#N/A,TRUE,"Merger";"comparison credit stats",#N/A,TRUE,"Merger";"pf credit stats",#N/A,TRUE,"Merger";"pf sheets",#N/A,TRUE,"Merger"}</definedName>
    <definedName name="wrn.cash." localSheetId="31" hidden="1">{"assumption cash",#N/A,TRUE,"Merger";"has gets cash",#N/A,TRUE,"Merger";"accretion dilution",#N/A,TRUE,"Merger";"comparison credit stats",#N/A,TRUE,"Merger";"pf credit stats",#N/A,TRUE,"Merger";"pf sheets",#N/A,TRUE,"Merger"}</definedName>
    <definedName name="wrn.cash." localSheetId="37" hidden="1">{"assumption cash",#N/A,TRUE,"Merger";"has gets cash",#N/A,TRUE,"Merger";"accretion dilution",#N/A,TRUE,"Merger";"comparison credit stats",#N/A,TRUE,"Merger";"pf credit stats",#N/A,TRUE,"Merger";"pf sheets",#N/A,TRUE,"Merger"}</definedName>
    <definedName name="wrn.cash." localSheetId="36" hidden="1">{"assumption cash",#N/A,TRUE,"Merger";"has gets cash",#N/A,TRUE,"Merger";"accretion dilution",#N/A,TRUE,"Merger";"comparison credit stats",#N/A,TRUE,"Merger";"pf credit stats",#N/A,TRUE,"Merger";"pf sheets",#N/A,TRUE,"Merger"}</definedName>
    <definedName name="wrn.cash." hidden="1">{"assumption cash",#N/A,TRUE,"Merger";"has gets cash",#N/A,TRUE,"Merger";"accretion dilution",#N/A,TRUE,"Merger";"comparison credit stats",#N/A,TRUE,"Merger";"pf credit stats",#N/A,TRUE,"Merger";"pf sheets",#N/A,TRUE,"Merger"}</definedName>
    <definedName name="wrn.CCC." localSheetId="35" hidden="1">{"QQQ",#N/A,FALSE,"RIEP"}</definedName>
    <definedName name="wrn.CCC." localSheetId="31" hidden="1">{"QQQ",#N/A,FALSE,"RIEP"}</definedName>
    <definedName name="wrn.CCC." localSheetId="37" hidden="1">{"QQQ",#N/A,FALSE,"RIEP"}</definedName>
    <definedName name="wrn.CCC." localSheetId="36" hidden="1">{"QQQ",#N/A,FALSE,"RIEP"}</definedName>
    <definedName name="wrn.CCC." hidden="1">{"QQQ",#N/A,FALSE,"RIEP"}</definedName>
    <definedName name="wrn.Charges." localSheetId="35" hidden="1">{"Analyse charges",#N/A,FALSE,"Feuil1 (2)"}</definedName>
    <definedName name="wrn.Charges." localSheetId="31" hidden="1">{"Analyse charges",#N/A,FALSE,"Feuil1 (2)"}</definedName>
    <definedName name="wrn.Charges." localSheetId="37" hidden="1">{"Analyse charges",#N/A,FALSE,"Feuil1 (2)"}</definedName>
    <definedName name="wrn.Charges." localSheetId="36" hidden="1">{"Analyse charges",#N/A,FALSE,"Feuil1 (2)"}</definedName>
    <definedName name="wrn.Charges." hidden="1">{"Analyse charges",#N/A,FALSE,"Feuil1 (2)"}</definedName>
    <definedName name="wrn.Charges._.Clécy." localSheetId="35" hidden="1">{#N/A,#N/A,FALSE,"Evol98";#N/A,#N/A,FALSE,"Saisie98"}</definedName>
    <definedName name="wrn.Charges._.Clécy." localSheetId="31" hidden="1">{#N/A,#N/A,FALSE,"Evol98";#N/A,#N/A,FALSE,"Saisie98"}</definedName>
    <definedName name="wrn.Charges._.Clécy." localSheetId="37" hidden="1">{#N/A,#N/A,FALSE,"Evol98";#N/A,#N/A,FALSE,"Saisie98"}</definedName>
    <definedName name="wrn.Charges._.Clécy." localSheetId="36" hidden="1">{#N/A,#N/A,FALSE,"Evol98";#N/A,#N/A,FALSE,"Saisie98"}</definedName>
    <definedName name="wrn.Charges._.Clécy." hidden="1">{#N/A,#N/A,FALSE,"Evol98";#N/A,#N/A,FALSE,"Saisie98"}</definedName>
    <definedName name="wrn.chi._.tiÆt." localSheetId="4" hidden="1">{#N/A,#N/A,FALSE,"Chi tiÆt"}</definedName>
    <definedName name="wrn.chi._.tiÆt." localSheetId="35" hidden="1">{#N/A,#N/A,FALSE,"Chi tiÆt"}</definedName>
    <definedName name="wrn.chi._.tiÆt." localSheetId="31" hidden="1">{#N/A,#N/A,FALSE,"Chi tiÆt"}</definedName>
    <definedName name="wrn.chi._.tiÆt." localSheetId="37" hidden="1">{#N/A,#N/A,FALSE,"Chi tiÆt"}</definedName>
    <definedName name="wrn.chi._.tiÆt." localSheetId="38" hidden="1">{#N/A,#N/A,FALSE,"Chi tiÆt"}</definedName>
    <definedName name="wrn.chi._.tiÆt." localSheetId="7" hidden="1">{#N/A,#N/A,FALSE,"Chi tiÆt"}</definedName>
    <definedName name="wrn.chi._.tiÆt." localSheetId="36" hidden="1">{#N/A,#N/A,FALSE,"Chi tiÆt"}</definedName>
    <definedName name="wrn.chi._.tiÆt." localSheetId="21" hidden="1">{#N/A,#N/A,FALSE,"Chi tiÆt"}</definedName>
    <definedName name="wrn.chi._.tiÆt." localSheetId="30" hidden="1">{#N/A,#N/A,FALSE,"Chi tiÆt"}</definedName>
    <definedName name="wrn.chi._.tiÆt." localSheetId="34" hidden="1">{#N/A,#N/A,FALSE,"Chi tiÆt"}</definedName>
    <definedName name="wrn.chi._.tiÆt." localSheetId="33" hidden="1">{#N/A,#N/A,FALSE,"Chi tiÆt"}</definedName>
    <definedName name="wrn.chi._.tiÆt." localSheetId="6" hidden="1">{#N/A,#N/A,FALSE,"Chi tiÆt"}</definedName>
    <definedName name="wrn.chi._.tiÆt." hidden="1">{#N/A,#N/A,FALSE,"Chi tiÆt"}</definedName>
    <definedName name="wrn.CLECY." localSheetId="35" hidden="1">{#N/A,#N/A,TRUE,"VOLUMES";#N/A,#N/A,TRUE,"1A-TB 240";#N/A,#N/A,TRUE,"1B-TB 250";#N/A,#N/A,TRUE,"1D-Tr 240";#N/A,#N/A,TRUE,"1E-Tr 250";#N/A,#N/A,TRUE,"1M-Tr 250 60%";#N/A,#N/A,TRUE,"5A-Cru 240";#N/A,#N/A,TRUE,"5B-Cru 250";#N/A,#N/A,TRUE,"5D-Bio 250";#N/A,#N/A,TRUE,"3B-TB 320";#N/A,#N/A,TRUE,"3C-TB 350";#N/A,#N/A,TRUE,"Sérum";#N/A,#N/A,TRUE,"Recap Mat";#N/A,#N/A,TRUE,"ING CAM-TB";#N/A,#N/A,TRUE,"ING CAM-60%";#N/A,#N/A,TRUE,"ING CAM-Cru";#N/A,#N/A,TRUE,"ING COULO -52%";#N/A,#N/A,TRUE,"Recap Ing";#N/A,#N/A,TRUE,"CHARGES";#N/A,#N/A,TRUE,"Répart_charges";#N/A,#N/A,TRUE,"ENERGIES";#N/A,#N/A,TRUE,"EFFECTIF";#N/A,#N/A,TRUE,"Synthèse";#N/A,#N/A,TRUE,"CPTE EXPLOIT";#N/A,#N/A,TRUE,"PRIX CESSION";#N/A,#N/A,TRUE,"CONTROLE"}</definedName>
    <definedName name="wrn.CLECY." localSheetId="31" hidden="1">{#N/A,#N/A,TRUE,"VOLUMES";#N/A,#N/A,TRUE,"1A-TB 240";#N/A,#N/A,TRUE,"1B-TB 250";#N/A,#N/A,TRUE,"1D-Tr 240";#N/A,#N/A,TRUE,"1E-Tr 250";#N/A,#N/A,TRUE,"1M-Tr 250 60%";#N/A,#N/A,TRUE,"5A-Cru 240";#N/A,#N/A,TRUE,"5B-Cru 250";#N/A,#N/A,TRUE,"5D-Bio 250";#N/A,#N/A,TRUE,"3B-TB 320";#N/A,#N/A,TRUE,"3C-TB 350";#N/A,#N/A,TRUE,"Sérum";#N/A,#N/A,TRUE,"Recap Mat";#N/A,#N/A,TRUE,"ING CAM-TB";#N/A,#N/A,TRUE,"ING CAM-60%";#N/A,#N/A,TRUE,"ING CAM-Cru";#N/A,#N/A,TRUE,"ING COULO -52%";#N/A,#N/A,TRUE,"Recap Ing";#N/A,#N/A,TRUE,"CHARGES";#N/A,#N/A,TRUE,"Répart_charges";#N/A,#N/A,TRUE,"ENERGIES";#N/A,#N/A,TRUE,"EFFECTIF";#N/A,#N/A,TRUE,"Synthèse";#N/A,#N/A,TRUE,"CPTE EXPLOIT";#N/A,#N/A,TRUE,"PRIX CESSION";#N/A,#N/A,TRUE,"CONTROLE"}</definedName>
    <definedName name="wrn.CLECY." localSheetId="37" hidden="1">{#N/A,#N/A,TRUE,"VOLUMES";#N/A,#N/A,TRUE,"1A-TB 240";#N/A,#N/A,TRUE,"1B-TB 250";#N/A,#N/A,TRUE,"1D-Tr 240";#N/A,#N/A,TRUE,"1E-Tr 250";#N/A,#N/A,TRUE,"1M-Tr 250 60%";#N/A,#N/A,TRUE,"5A-Cru 240";#N/A,#N/A,TRUE,"5B-Cru 250";#N/A,#N/A,TRUE,"5D-Bio 250";#N/A,#N/A,TRUE,"3B-TB 320";#N/A,#N/A,TRUE,"3C-TB 350";#N/A,#N/A,TRUE,"Sérum";#N/A,#N/A,TRUE,"Recap Mat";#N/A,#N/A,TRUE,"ING CAM-TB";#N/A,#N/A,TRUE,"ING CAM-60%";#N/A,#N/A,TRUE,"ING CAM-Cru";#N/A,#N/A,TRUE,"ING COULO -52%";#N/A,#N/A,TRUE,"Recap Ing";#N/A,#N/A,TRUE,"CHARGES";#N/A,#N/A,TRUE,"Répart_charges";#N/A,#N/A,TRUE,"ENERGIES";#N/A,#N/A,TRUE,"EFFECTIF";#N/A,#N/A,TRUE,"Synthèse";#N/A,#N/A,TRUE,"CPTE EXPLOIT";#N/A,#N/A,TRUE,"PRIX CESSION";#N/A,#N/A,TRUE,"CONTROLE"}</definedName>
    <definedName name="wrn.CLECY." localSheetId="36" hidden="1">{#N/A,#N/A,TRUE,"VOLUMES";#N/A,#N/A,TRUE,"1A-TB 240";#N/A,#N/A,TRUE,"1B-TB 250";#N/A,#N/A,TRUE,"1D-Tr 240";#N/A,#N/A,TRUE,"1E-Tr 250";#N/A,#N/A,TRUE,"1M-Tr 250 60%";#N/A,#N/A,TRUE,"5A-Cru 240";#N/A,#N/A,TRUE,"5B-Cru 250";#N/A,#N/A,TRUE,"5D-Bio 250";#N/A,#N/A,TRUE,"3B-TB 320";#N/A,#N/A,TRUE,"3C-TB 350";#N/A,#N/A,TRUE,"Sérum";#N/A,#N/A,TRUE,"Recap Mat";#N/A,#N/A,TRUE,"ING CAM-TB";#N/A,#N/A,TRUE,"ING CAM-60%";#N/A,#N/A,TRUE,"ING CAM-Cru";#N/A,#N/A,TRUE,"ING COULO -52%";#N/A,#N/A,TRUE,"Recap Ing";#N/A,#N/A,TRUE,"CHARGES";#N/A,#N/A,TRUE,"Répart_charges";#N/A,#N/A,TRUE,"ENERGIES";#N/A,#N/A,TRUE,"EFFECTIF";#N/A,#N/A,TRUE,"Synthèse";#N/A,#N/A,TRUE,"CPTE EXPLOIT";#N/A,#N/A,TRUE,"PRIX CESSION";#N/A,#N/A,TRUE,"CONTROLE"}</definedName>
    <definedName name="wrn.CLECY." hidden="1">{#N/A,#N/A,TRUE,"VOLUMES";#N/A,#N/A,TRUE,"1A-TB 240";#N/A,#N/A,TRUE,"1B-TB 250";#N/A,#N/A,TRUE,"1D-Tr 240";#N/A,#N/A,TRUE,"1E-Tr 250";#N/A,#N/A,TRUE,"1M-Tr 250 60%";#N/A,#N/A,TRUE,"5A-Cru 240";#N/A,#N/A,TRUE,"5B-Cru 250";#N/A,#N/A,TRUE,"5D-Bio 250";#N/A,#N/A,TRUE,"3B-TB 320";#N/A,#N/A,TRUE,"3C-TB 350";#N/A,#N/A,TRUE,"Sérum";#N/A,#N/A,TRUE,"Recap Mat";#N/A,#N/A,TRUE,"ING CAM-TB";#N/A,#N/A,TRUE,"ING CAM-60%";#N/A,#N/A,TRUE,"ING CAM-Cru";#N/A,#N/A,TRUE,"ING COULO -52%";#N/A,#N/A,TRUE,"Recap Ing";#N/A,#N/A,TRUE,"CHARGES";#N/A,#N/A,TRUE,"Répart_charges";#N/A,#N/A,TRUE,"ENERGIES";#N/A,#N/A,TRUE,"EFFECTIF";#N/A,#N/A,TRUE,"Synthèse";#N/A,#N/A,TRUE,"CPTE EXPLOIT";#N/A,#N/A,TRUE,"PRIX CESSION";#N/A,#N/A,TRUE,"CONTROLE"}</definedName>
    <definedName name="wrn.CNQGLOBAL." localSheetId="35" hidden="1">{#N/A,#N/A,FALSE,"RODEZ";#N/A,#N/A,FALSE,"BLEU CAUSSES";#N/A,#N/A,FALSE,"BLOC PAST";#N/A,#N/A,FALSE,"PENA";#N/A,#N/A,FALSE,"BUCHES";"RONDELEBASE",#N/A,FALSE,"RONDELE";"LONS",#N/A,FALSE,"RONDELE";#N/A,#N/A,FALSE,"UHT";#N/A,#N/A,FALSE,"POUDRE LAIT";#N/A,#N/A,FALSE,"POUDRE SER"}</definedName>
    <definedName name="wrn.CNQGLOBAL." localSheetId="31" hidden="1">{#N/A,#N/A,FALSE,"RODEZ";#N/A,#N/A,FALSE,"BLEU CAUSSES";#N/A,#N/A,FALSE,"BLOC PAST";#N/A,#N/A,FALSE,"PENA";#N/A,#N/A,FALSE,"BUCHES";"RONDELEBASE",#N/A,FALSE,"RONDELE";"LONS",#N/A,FALSE,"RONDELE";#N/A,#N/A,FALSE,"UHT";#N/A,#N/A,FALSE,"POUDRE LAIT";#N/A,#N/A,FALSE,"POUDRE SER"}</definedName>
    <definedName name="wrn.CNQGLOBAL." localSheetId="37" hidden="1">{#N/A,#N/A,FALSE,"RODEZ";#N/A,#N/A,FALSE,"BLEU CAUSSES";#N/A,#N/A,FALSE,"BLOC PAST";#N/A,#N/A,FALSE,"PENA";#N/A,#N/A,FALSE,"BUCHES";"RONDELEBASE",#N/A,FALSE,"RONDELE";"LONS",#N/A,FALSE,"RONDELE";#N/A,#N/A,FALSE,"UHT";#N/A,#N/A,FALSE,"POUDRE LAIT";#N/A,#N/A,FALSE,"POUDRE SER"}</definedName>
    <definedName name="wrn.CNQGLOBAL." localSheetId="36" hidden="1">{#N/A,#N/A,FALSE,"RODEZ";#N/A,#N/A,FALSE,"BLEU CAUSSES";#N/A,#N/A,FALSE,"BLOC PAST";#N/A,#N/A,FALSE,"PENA";#N/A,#N/A,FALSE,"BUCHES";"RONDELEBASE",#N/A,FALSE,"RONDELE";"LONS",#N/A,FALSE,"RONDELE";#N/A,#N/A,FALSE,"UHT";#N/A,#N/A,FALSE,"POUDRE LAIT";#N/A,#N/A,FALSE,"POUDRE SER"}</definedName>
    <definedName name="wrn.CNQGLOBAL." hidden="1">{#N/A,#N/A,FALSE,"RODEZ";#N/A,#N/A,FALSE,"BLEU CAUSSES";#N/A,#N/A,FALSE,"BLOC PAST";#N/A,#N/A,FALSE,"PENA";#N/A,#N/A,FALSE,"BUCHES";"RONDELEBASE",#N/A,FALSE,"RONDELE";"LONS",#N/A,FALSE,"RONDELE";#N/A,#N/A,FALSE,"UHT";#N/A,#N/A,FALSE,"POUDRE LAIT";#N/A,#N/A,FALSE,"POUDRE SER"}</definedName>
    <definedName name="wrn.COMMENTAIRES." localSheetId="35" hidden="1">{#N/A,#N/A,FALSE,"EC COMM-c";#N/A,#N/A,FALSE,"EC PAR PDTS-c";#N/A,#N/A,FALSE,"EC MAT-c";#N/A,#N/A,FALSE,"SUIVI HAUSSES-c"}</definedName>
    <definedName name="wrn.COMMENTAIRES." localSheetId="31" hidden="1">{#N/A,#N/A,FALSE,"EC COMM-c";#N/A,#N/A,FALSE,"EC PAR PDTS-c";#N/A,#N/A,FALSE,"EC MAT-c";#N/A,#N/A,FALSE,"SUIVI HAUSSES-c"}</definedName>
    <definedName name="wrn.COMMENTAIRES." localSheetId="37" hidden="1">{#N/A,#N/A,FALSE,"EC COMM-c";#N/A,#N/A,FALSE,"EC PAR PDTS-c";#N/A,#N/A,FALSE,"EC MAT-c";#N/A,#N/A,FALSE,"SUIVI HAUSSES-c"}</definedName>
    <definedName name="wrn.COMMENTAIRES." localSheetId="36" hidden="1">{#N/A,#N/A,FALSE,"EC COMM-c";#N/A,#N/A,FALSE,"EC PAR PDTS-c";#N/A,#N/A,FALSE,"EC MAT-c";#N/A,#N/A,FALSE,"SUIVI HAUSSES-c"}</definedName>
    <definedName name="wrn.COMMENTAIRES." hidden="1">{#N/A,#N/A,FALSE,"EC COMM-c";#N/A,#N/A,FALSE,"EC PAR PDTS-c";#N/A,#N/A,FALSE,"EC MAT-c";#N/A,#N/A,FALSE,"SUIVI HAUSSES-c"}</definedName>
    <definedName name="wrn.Complet." localSheetId="35" hidden="1">{"fr_collecte",#N/A,FALSE,"Fr_SA";"Fr_holding",#N/A,FALSE,"Fr_SA";"Frais_from",#N/A,FALSE,"Frs";"Couverture",#N/A,FALSE,"Frs";"Activité",#N/A,FALSE,"Act";"Act_commentaires",#N/A,FALSE,"Act";"Eff_personnel",#N/A,FALSE,"Eff";"Rendement",#N/A,FALSE,"Rdt";"Péreq",#N/A,FALSE,"Péreq";"récapit_mat",#N/A,FALSE,"récap_matière";#N/A,#N/A,FALSE,"Pci";"Ing_ingrédients",#N/A,FALSE,"Ing";"pci_évolution",#N/A,FALSE,"Pci";"pci_CA",#N/A,FALSE,"Pci";"pci_amélioration",#N/A,FALSE,"Pci";"SIG_Vercel",#N/A,FALSE,"Pci";"SIG_Philipona",#N/A,FALSE,"Pci"}</definedName>
    <definedName name="wrn.Complet." localSheetId="31" hidden="1">{"fr_collecte",#N/A,FALSE,"Fr_SA";"Fr_holding",#N/A,FALSE,"Fr_SA";"Frais_from",#N/A,FALSE,"Frs";"Couverture",#N/A,FALSE,"Frs";"Activité",#N/A,FALSE,"Act";"Act_commentaires",#N/A,FALSE,"Act";"Eff_personnel",#N/A,FALSE,"Eff";"Rendement",#N/A,FALSE,"Rdt";"Péreq",#N/A,FALSE,"Péreq";"récapit_mat",#N/A,FALSE,"récap_matière";#N/A,#N/A,FALSE,"Pci";"Ing_ingrédients",#N/A,FALSE,"Ing";"pci_évolution",#N/A,FALSE,"Pci";"pci_CA",#N/A,FALSE,"Pci";"pci_amélioration",#N/A,FALSE,"Pci";"SIG_Vercel",#N/A,FALSE,"Pci";"SIG_Philipona",#N/A,FALSE,"Pci"}</definedName>
    <definedName name="wrn.Complet." localSheetId="37" hidden="1">{"fr_collecte",#N/A,FALSE,"Fr_SA";"Fr_holding",#N/A,FALSE,"Fr_SA";"Frais_from",#N/A,FALSE,"Frs";"Couverture",#N/A,FALSE,"Frs";"Activité",#N/A,FALSE,"Act";"Act_commentaires",#N/A,FALSE,"Act";"Eff_personnel",#N/A,FALSE,"Eff";"Rendement",#N/A,FALSE,"Rdt";"Péreq",#N/A,FALSE,"Péreq";"récapit_mat",#N/A,FALSE,"récap_matière";#N/A,#N/A,FALSE,"Pci";"Ing_ingrédients",#N/A,FALSE,"Ing";"pci_évolution",#N/A,FALSE,"Pci";"pci_CA",#N/A,FALSE,"Pci";"pci_amélioration",#N/A,FALSE,"Pci";"SIG_Vercel",#N/A,FALSE,"Pci";"SIG_Philipona",#N/A,FALSE,"Pci"}</definedName>
    <definedName name="wrn.Complet." localSheetId="36" hidden="1">{"fr_collecte",#N/A,FALSE,"Fr_SA";"Fr_holding",#N/A,FALSE,"Fr_SA";"Frais_from",#N/A,FALSE,"Frs";"Couverture",#N/A,FALSE,"Frs";"Activité",#N/A,FALSE,"Act";"Act_commentaires",#N/A,FALSE,"Act";"Eff_personnel",#N/A,FALSE,"Eff";"Rendement",#N/A,FALSE,"Rdt";"Péreq",#N/A,FALSE,"Péreq";"récapit_mat",#N/A,FALSE,"récap_matière";#N/A,#N/A,FALSE,"Pci";"Ing_ingrédients",#N/A,FALSE,"Ing";"pci_évolution",#N/A,FALSE,"Pci";"pci_CA",#N/A,FALSE,"Pci";"pci_amélioration",#N/A,FALSE,"Pci";"SIG_Vercel",#N/A,FALSE,"Pci";"SIG_Philipona",#N/A,FALSE,"Pci"}</definedName>
    <definedName name="wrn.Complet." hidden="1">{"fr_collecte",#N/A,FALSE,"Fr_SA";"Fr_holding",#N/A,FALSE,"Fr_SA";"Frais_from",#N/A,FALSE,"Frs";"Couverture",#N/A,FALSE,"Frs";"Activité",#N/A,FALSE,"Act";"Act_commentaires",#N/A,FALSE,"Act";"Eff_personnel",#N/A,FALSE,"Eff";"Rendement",#N/A,FALSE,"Rdt";"Péreq",#N/A,FALSE,"Péreq";"récapit_mat",#N/A,FALSE,"récap_matière";#N/A,#N/A,FALSE,"Pci";"Ing_ingrédients",#N/A,FALSE,"Ing";"pci_évolution",#N/A,FALSE,"Pci";"pci_CA",#N/A,FALSE,"Pci";"pci_amélioration",#N/A,FALSE,"Pci";"SIG_Vercel",#N/A,FALSE,"Pci";"SIG_Philipona",#N/A,FALSE,"Pci"}</definedName>
    <definedName name="wrn.comps." localSheetId="35" hidden="1">{"comps",#N/A,FALSE,"Intl comps";"notes",#N/A,FALSE,"Intl comps"}</definedName>
    <definedName name="wrn.comps." localSheetId="31" hidden="1">{"comps",#N/A,FALSE,"Intl comps";"notes",#N/A,FALSE,"Intl comps"}</definedName>
    <definedName name="wrn.comps." localSheetId="37" hidden="1">{"comps",#N/A,FALSE,"Intl comps";"notes",#N/A,FALSE,"Intl comps"}</definedName>
    <definedName name="wrn.comps." localSheetId="36" hidden="1">{"comps",#N/A,FALSE,"Intl comps";"notes",#N/A,FALSE,"Intl comps"}</definedName>
    <definedName name="wrn.comps." hidden="1">{"comps",#N/A,FALSE,"Intl comps";"notes",#N/A,FALSE,"Intl comps"}</definedName>
    <definedName name="wrn.Comps1_Printing." localSheetId="35" hidden="1">{"comps1_1",#N/A,FALSE,"Comps1";"comps1_2",#N/A,FALSE,"Comps1";"comps1_3",#N/A,FALSE,"Comps1";"comps1_4",#N/A,FALSE,"Comps1";"comps1_5",#N/A,FALSE,"Comps1"}</definedName>
    <definedName name="wrn.Comps1_Printing." localSheetId="31" hidden="1">{"comps1_1",#N/A,FALSE,"Comps1";"comps1_2",#N/A,FALSE,"Comps1";"comps1_3",#N/A,FALSE,"Comps1";"comps1_4",#N/A,FALSE,"Comps1";"comps1_5",#N/A,FALSE,"Comps1"}</definedName>
    <definedName name="wrn.Comps1_Printing." localSheetId="37" hidden="1">{"comps1_1",#N/A,FALSE,"Comps1";"comps1_2",#N/A,FALSE,"Comps1";"comps1_3",#N/A,FALSE,"Comps1";"comps1_4",#N/A,FALSE,"Comps1";"comps1_5",#N/A,FALSE,"Comps1"}</definedName>
    <definedName name="wrn.Comps1_Printing." localSheetId="36" hidden="1">{"comps1_1",#N/A,FALSE,"Comps1";"comps1_2",#N/A,FALSE,"Comps1";"comps1_3",#N/A,FALSE,"Comps1";"comps1_4",#N/A,FALSE,"Comps1";"comps1_5",#N/A,FALSE,"Comps1"}</definedName>
    <definedName name="wrn.Comps1_Printing." hidden="1">{"comps1_1",#N/A,FALSE,"Comps1";"comps1_2",#N/A,FALSE,"Comps1";"comps1_3",#N/A,FALSE,"Comps1";"comps1_4",#N/A,FALSE,"Comps1";"comps1_5",#N/A,FALSE,"Comps1"}</definedName>
    <definedName name="wrn.Comps2_Printing." localSheetId="35" hidden="1">{"comps2_1",#N/A,FALSE,"Comps2";"comps2_2",#N/A,FALSE,"Comps2";"comps2_3",#N/A,FALSE,"Comps2";"comps2_4",#N/A,FALSE,"Comps2";"comps2_5",#N/A,FALSE,"Comps2"}</definedName>
    <definedName name="wrn.Comps2_Printing." localSheetId="31" hidden="1">{"comps2_1",#N/A,FALSE,"Comps2";"comps2_2",#N/A,FALSE,"Comps2";"comps2_3",#N/A,FALSE,"Comps2";"comps2_4",#N/A,FALSE,"Comps2";"comps2_5",#N/A,FALSE,"Comps2"}</definedName>
    <definedName name="wrn.Comps2_Printing." localSheetId="37" hidden="1">{"comps2_1",#N/A,FALSE,"Comps2";"comps2_2",#N/A,FALSE,"Comps2";"comps2_3",#N/A,FALSE,"Comps2";"comps2_4",#N/A,FALSE,"Comps2";"comps2_5",#N/A,FALSE,"Comps2"}</definedName>
    <definedName name="wrn.Comps2_Printing." localSheetId="36" hidden="1">{"comps2_1",#N/A,FALSE,"Comps2";"comps2_2",#N/A,FALSE,"Comps2";"comps2_3",#N/A,FALSE,"Comps2";"comps2_4",#N/A,FALSE,"Comps2";"comps2_5",#N/A,FALSE,"Comps2"}</definedName>
    <definedName name="wrn.Comps2_Printing." hidden="1">{"comps2_1",#N/A,FALSE,"Comps2";"comps2_2",#N/A,FALSE,"Comps2";"comps2_3",#N/A,FALSE,"Comps2";"comps2_4",#N/A,FALSE,"Comps2";"comps2_5",#N/A,FALSE,"Comps2"}</definedName>
    <definedName name="wrn.cooper." localSheetId="35" hidden="1">{#N/A,#N/A,TRUE,"Pro Forma";#N/A,#N/A,TRUE,"PF_Bal";#N/A,#N/A,TRUE,"PF_INC";#N/A,#N/A,TRUE,"CBE";#N/A,#N/A,TRUE,"SWK"}</definedName>
    <definedName name="wrn.cooper." localSheetId="31" hidden="1">{#N/A,#N/A,TRUE,"Pro Forma";#N/A,#N/A,TRUE,"PF_Bal";#N/A,#N/A,TRUE,"PF_INC";#N/A,#N/A,TRUE,"CBE";#N/A,#N/A,TRUE,"SWK"}</definedName>
    <definedName name="wrn.cooper." localSheetId="37" hidden="1">{#N/A,#N/A,TRUE,"Pro Forma";#N/A,#N/A,TRUE,"PF_Bal";#N/A,#N/A,TRUE,"PF_INC";#N/A,#N/A,TRUE,"CBE";#N/A,#N/A,TRUE,"SWK"}</definedName>
    <definedName name="wrn.cooper." localSheetId="36" hidden="1">{#N/A,#N/A,TRUE,"Pro Forma";#N/A,#N/A,TRUE,"PF_Bal";#N/A,#N/A,TRUE,"PF_INC";#N/A,#N/A,TRUE,"CBE";#N/A,#N/A,TRUE,"SWK"}</definedName>
    <definedName name="wrn.cooper." hidden="1">{#N/A,#N/A,TRUE,"Pro Forma";#N/A,#N/A,TRUE,"PF_Bal";#N/A,#N/A,TRUE,"PF_INC";#N/A,#N/A,TRUE,"CBE";#N/A,#N/A,TRUE,"SWK"}</definedName>
    <definedName name="wrn.CUMUL." localSheetId="35" hidden="1">{#N/A,#N/A,FALSE,"recap";#N/A,#N/A,FALSE,"matNeuf";#N/A,#N/A,FALSE,"matNdie";#N/A,#N/A,FALSE,"incNeuf";#N/A,#N/A,FALSE,"incNdie";#N/A,#N/A,FALSE,"volume";#N/A,#N/A,FALSE,"emballage";#N/A,#N/A,FALSE,"charge"}</definedName>
    <definedName name="wrn.CUMUL." localSheetId="31" hidden="1">{#N/A,#N/A,FALSE,"recap";#N/A,#N/A,FALSE,"matNeuf";#N/A,#N/A,FALSE,"matNdie";#N/A,#N/A,FALSE,"incNeuf";#N/A,#N/A,FALSE,"incNdie";#N/A,#N/A,FALSE,"volume";#N/A,#N/A,FALSE,"emballage";#N/A,#N/A,FALSE,"charge"}</definedName>
    <definedName name="wrn.CUMUL." localSheetId="37" hidden="1">{#N/A,#N/A,FALSE,"recap";#N/A,#N/A,FALSE,"matNeuf";#N/A,#N/A,FALSE,"matNdie";#N/A,#N/A,FALSE,"incNeuf";#N/A,#N/A,FALSE,"incNdie";#N/A,#N/A,FALSE,"volume";#N/A,#N/A,FALSE,"emballage";#N/A,#N/A,FALSE,"charge"}</definedName>
    <definedName name="wrn.CUMUL." localSheetId="36" hidden="1">{#N/A,#N/A,FALSE,"recap";#N/A,#N/A,FALSE,"matNeuf";#N/A,#N/A,FALSE,"matNdie";#N/A,#N/A,FALSE,"incNeuf";#N/A,#N/A,FALSE,"incNdie";#N/A,#N/A,FALSE,"volume";#N/A,#N/A,FALSE,"emballage";#N/A,#N/A,FALSE,"charge"}</definedName>
    <definedName name="wrn.CUMUL." hidden="1">{#N/A,#N/A,FALSE,"recap";#N/A,#N/A,FALSE,"matNeuf";#N/A,#N/A,FALSE,"matNdie";#N/A,#N/A,FALSE,"incNeuf";#N/A,#N/A,FALSE,"incNdie";#N/A,#N/A,FALSE,"volume";#N/A,#N/A,FALSE,"emballage";#N/A,#N/A,FALSE,"charge"}</definedName>
    <definedName name="wrn.Darwin." localSheetId="35" hidden="1">{#N/A,#N/A,FALSE,"Title";#N/A,#N/A,FALSE,"Assumptions";#N/A,#N/A,FALSE,"Bidder";#N/A,#N/A,FALSE,"Target";#N/A,#N/A,FALSE,"Curr";#N/A,#N/A,FALSE,"Prosp";#N/A,#N/A,FALSE,"Prosp+1";#N/A,#N/A,FALSE,"Summary";#N/A,#N/A,FALSE,"Debtsched";#N/A,#N/A,FALSE,"Sensitivities"}</definedName>
    <definedName name="wrn.Darwin." localSheetId="31" hidden="1">{#N/A,#N/A,FALSE,"Title";#N/A,#N/A,FALSE,"Assumptions";#N/A,#N/A,FALSE,"Bidder";#N/A,#N/A,FALSE,"Target";#N/A,#N/A,FALSE,"Curr";#N/A,#N/A,FALSE,"Prosp";#N/A,#N/A,FALSE,"Prosp+1";#N/A,#N/A,FALSE,"Summary";#N/A,#N/A,FALSE,"Debtsched";#N/A,#N/A,FALSE,"Sensitivities"}</definedName>
    <definedName name="wrn.Darwin." localSheetId="37" hidden="1">{#N/A,#N/A,FALSE,"Title";#N/A,#N/A,FALSE,"Assumptions";#N/A,#N/A,FALSE,"Bidder";#N/A,#N/A,FALSE,"Target";#N/A,#N/A,FALSE,"Curr";#N/A,#N/A,FALSE,"Prosp";#N/A,#N/A,FALSE,"Prosp+1";#N/A,#N/A,FALSE,"Summary";#N/A,#N/A,FALSE,"Debtsched";#N/A,#N/A,FALSE,"Sensitivities"}</definedName>
    <definedName name="wrn.Darwin." localSheetId="36" hidden="1">{#N/A,#N/A,FALSE,"Title";#N/A,#N/A,FALSE,"Assumptions";#N/A,#N/A,FALSE,"Bidder";#N/A,#N/A,FALSE,"Target";#N/A,#N/A,FALSE,"Curr";#N/A,#N/A,FALSE,"Prosp";#N/A,#N/A,FALSE,"Prosp+1";#N/A,#N/A,FALSE,"Summary";#N/A,#N/A,FALSE,"Debtsched";#N/A,#N/A,FALSE,"Sensitivities"}</definedName>
    <definedName name="wrn.Darwin." hidden="1">{#N/A,#N/A,FALSE,"Title";#N/A,#N/A,FALSE,"Assumptions";#N/A,#N/A,FALSE,"Bidder";#N/A,#N/A,FALSE,"Target";#N/A,#N/A,FALSE,"Curr";#N/A,#N/A,FALSE,"Prosp";#N/A,#N/A,FALSE,"Prosp+1";#N/A,#N/A,FALSE,"Summary";#N/A,#N/A,FALSE,"Debtsched";#N/A,#N/A,FALSE,"Sensitivities"}</definedName>
    <definedName name="wrn.Detail._.budget." localSheetId="35" hidden="1">{"BM",#N/A,TRUE,"Charges";"BILAN_SERUM",#N/A,TRUE,"Charges";"INGRED_FAB",#N/A,TRUE,"Charges";"FREINTES",#N/A,TRUE,"Charges";"BRIS_CASSES",#N/A,TRUE,"Charges";"BON_POIDS",#N/A,TRUE,"Charges";"MOV_FAB",#N/A,TRUE,"Charges";"COUT_HOR_LAIT",#N/A,TRUE,"Charges";"PRODUCTIVITE_MOV",#N/A,TRUE,"Charges";"MS_FIXE_FAB",#N/A,TRUE,"Charges";"MS_FIXE_COND",#N/A,TRUE,"Charges";"RECAP_MS",#N/A,TRUE,"Charges";"COUT_HOR_COND",#N/A,TRUE,"Charges";"EC_MS_ESTIM",#N/A,TRUE,"Charges";"EC_MS_BUDGET",#N/A,TRUE,"Charges";"CH_ENSEMBLE",#N/A,TRUE,"Charges";"CH_FAB",#N/A,TRUE,"Charges";"CH_STOCK_COND",#N/A,TRUE,"Charges";"NRJ_FAB",#N/A,TRUE,"Charges";"NRJ_STOCK_COND",#N/A,TRUE,"Charges";"CHIMIQUES",#N/A,TRUE,"Charges";"PCI",#N/A,TRUE,"Charges";"SYNT_PCI",#N/A,TRUE,"Charges"}</definedName>
    <definedName name="wrn.Detail._.budget." localSheetId="31" hidden="1">{"BM",#N/A,TRUE,"Charges";"BILAN_SERUM",#N/A,TRUE,"Charges";"INGRED_FAB",#N/A,TRUE,"Charges";"FREINTES",#N/A,TRUE,"Charges";"BRIS_CASSES",#N/A,TRUE,"Charges";"BON_POIDS",#N/A,TRUE,"Charges";"MOV_FAB",#N/A,TRUE,"Charges";"COUT_HOR_LAIT",#N/A,TRUE,"Charges";"PRODUCTIVITE_MOV",#N/A,TRUE,"Charges";"MS_FIXE_FAB",#N/A,TRUE,"Charges";"MS_FIXE_COND",#N/A,TRUE,"Charges";"RECAP_MS",#N/A,TRUE,"Charges";"COUT_HOR_COND",#N/A,TRUE,"Charges";"EC_MS_ESTIM",#N/A,TRUE,"Charges";"EC_MS_BUDGET",#N/A,TRUE,"Charges";"CH_ENSEMBLE",#N/A,TRUE,"Charges";"CH_FAB",#N/A,TRUE,"Charges";"CH_STOCK_COND",#N/A,TRUE,"Charges";"NRJ_FAB",#N/A,TRUE,"Charges";"NRJ_STOCK_COND",#N/A,TRUE,"Charges";"CHIMIQUES",#N/A,TRUE,"Charges";"PCI",#N/A,TRUE,"Charges";"SYNT_PCI",#N/A,TRUE,"Charges"}</definedName>
    <definedName name="wrn.Detail._.budget." localSheetId="37" hidden="1">{"BM",#N/A,TRUE,"Charges";"BILAN_SERUM",#N/A,TRUE,"Charges";"INGRED_FAB",#N/A,TRUE,"Charges";"FREINTES",#N/A,TRUE,"Charges";"BRIS_CASSES",#N/A,TRUE,"Charges";"BON_POIDS",#N/A,TRUE,"Charges";"MOV_FAB",#N/A,TRUE,"Charges";"COUT_HOR_LAIT",#N/A,TRUE,"Charges";"PRODUCTIVITE_MOV",#N/A,TRUE,"Charges";"MS_FIXE_FAB",#N/A,TRUE,"Charges";"MS_FIXE_COND",#N/A,TRUE,"Charges";"RECAP_MS",#N/A,TRUE,"Charges";"COUT_HOR_COND",#N/A,TRUE,"Charges";"EC_MS_ESTIM",#N/A,TRUE,"Charges";"EC_MS_BUDGET",#N/A,TRUE,"Charges";"CH_ENSEMBLE",#N/A,TRUE,"Charges";"CH_FAB",#N/A,TRUE,"Charges";"CH_STOCK_COND",#N/A,TRUE,"Charges";"NRJ_FAB",#N/A,TRUE,"Charges";"NRJ_STOCK_COND",#N/A,TRUE,"Charges";"CHIMIQUES",#N/A,TRUE,"Charges";"PCI",#N/A,TRUE,"Charges";"SYNT_PCI",#N/A,TRUE,"Charges"}</definedName>
    <definedName name="wrn.Detail._.budget." localSheetId="36" hidden="1">{"BM",#N/A,TRUE,"Charges";"BILAN_SERUM",#N/A,TRUE,"Charges";"INGRED_FAB",#N/A,TRUE,"Charges";"FREINTES",#N/A,TRUE,"Charges";"BRIS_CASSES",#N/A,TRUE,"Charges";"BON_POIDS",#N/A,TRUE,"Charges";"MOV_FAB",#N/A,TRUE,"Charges";"COUT_HOR_LAIT",#N/A,TRUE,"Charges";"PRODUCTIVITE_MOV",#N/A,TRUE,"Charges";"MS_FIXE_FAB",#N/A,TRUE,"Charges";"MS_FIXE_COND",#N/A,TRUE,"Charges";"RECAP_MS",#N/A,TRUE,"Charges";"COUT_HOR_COND",#N/A,TRUE,"Charges";"EC_MS_ESTIM",#N/A,TRUE,"Charges";"EC_MS_BUDGET",#N/A,TRUE,"Charges";"CH_ENSEMBLE",#N/A,TRUE,"Charges";"CH_FAB",#N/A,TRUE,"Charges";"CH_STOCK_COND",#N/A,TRUE,"Charges";"NRJ_FAB",#N/A,TRUE,"Charges";"NRJ_STOCK_COND",#N/A,TRUE,"Charges";"CHIMIQUES",#N/A,TRUE,"Charges";"PCI",#N/A,TRUE,"Charges";"SYNT_PCI",#N/A,TRUE,"Charges"}</definedName>
    <definedName name="wrn.Detail._.budget." hidden="1">{"BM",#N/A,TRUE,"Charges";"BILAN_SERUM",#N/A,TRUE,"Charges";"INGRED_FAB",#N/A,TRUE,"Charges";"FREINTES",#N/A,TRUE,"Charges";"BRIS_CASSES",#N/A,TRUE,"Charges";"BON_POIDS",#N/A,TRUE,"Charges";"MOV_FAB",#N/A,TRUE,"Charges";"COUT_HOR_LAIT",#N/A,TRUE,"Charges";"PRODUCTIVITE_MOV",#N/A,TRUE,"Charges";"MS_FIXE_FAB",#N/A,TRUE,"Charges";"MS_FIXE_COND",#N/A,TRUE,"Charges";"RECAP_MS",#N/A,TRUE,"Charges";"COUT_HOR_COND",#N/A,TRUE,"Charges";"EC_MS_ESTIM",#N/A,TRUE,"Charges";"EC_MS_BUDGET",#N/A,TRUE,"Charges";"CH_ENSEMBLE",#N/A,TRUE,"Charges";"CH_FAB",#N/A,TRUE,"Charges";"CH_STOCK_COND",#N/A,TRUE,"Charges";"NRJ_FAB",#N/A,TRUE,"Charges";"NRJ_STOCK_COND",#N/A,TRUE,"Charges";"CHIMIQUES",#N/A,TRUE,"Charges";"PCI",#N/A,TRUE,"Charges";"SYNT_PCI",#N/A,TRUE,"Charges"}</definedName>
    <definedName name="wrn.dil_anal." localSheetId="35" hidden="1">{"hiden",#N/A,FALSE,"14";"hidden",#N/A,FALSE,"16";"hidden",#N/A,FALSE,"18";"hidden",#N/A,FALSE,"20"}</definedName>
    <definedName name="wrn.dil_anal." localSheetId="31" hidden="1">{"hiden",#N/A,FALSE,"14";"hidden",#N/A,FALSE,"16";"hidden",#N/A,FALSE,"18";"hidden",#N/A,FALSE,"20"}</definedName>
    <definedName name="wrn.dil_anal." localSheetId="37" hidden="1">{"hiden",#N/A,FALSE,"14";"hidden",#N/A,FALSE,"16";"hidden",#N/A,FALSE,"18";"hidden",#N/A,FALSE,"20"}</definedName>
    <definedName name="wrn.dil_anal." localSheetId="36" hidden="1">{"hiden",#N/A,FALSE,"14";"hidden",#N/A,FALSE,"16";"hidden",#N/A,FALSE,"18";"hidden",#N/A,FALSE,"20"}</definedName>
    <definedName name="wrn.dil_anal." hidden="1">{"hiden",#N/A,FALSE,"14";"hidden",#N/A,FALSE,"16";"hidden",#N/A,FALSE,"18";"hidden",#N/A,FALSE,"20"}</definedName>
    <definedName name="wrn.document." localSheetId="35" hidden="1">{"comp",#N/A,FALSE,"SPEC";"footnotes",#N/A,FALSE,"SPEC"}</definedName>
    <definedName name="wrn.document." localSheetId="31" hidden="1">{"comp",#N/A,FALSE,"SPEC";"footnotes",#N/A,FALSE,"SPEC"}</definedName>
    <definedName name="wrn.document." localSheetId="37" hidden="1">{"comp",#N/A,FALSE,"SPEC";"footnotes",#N/A,FALSE,"SPEC"}</definedName>
    <definedName name="wrn.document." localSheetId="36" hidden="1">{"comp",#N/A,FALSE,"SPEC";"footnotes",#N/A,FALSE,"SPEC"}</definedName>
    <definedName name="wrn.document." hidden="1">{"comp",#N/A,FALSE,"SPEC";"footnotes",#N/A,FALSE,"SPEC"}</definedName>
    <definedName name="wrn.documentaero." localSheetId="35" hidden="1">{"comps2",#N/A,FALSE,"AERO";"footnotes",#N/A,FALSE,"AERO"}</definedName>
    <definedName name="wrn.documentaero." localSheetId="31" hidden="1">{"comps2",#N/A,FALSE,"AERO";"footnotes",#N/A,FALSE,"AERO"}</definedName>
    <definedName name="wrn.documentaero." localSheetId="37" hidden="1">{"comps2",#N/A,FALSE,"AERO";"footnotes",#N/A,FALSE,"AERO"}</definedName>
    <definedName name="wrn.documentaero." localSheetId="36" hidden="1">{"comps2",#N/A,FALSE,"AERO";"footnotes",#N/A,FALSE,"AERO"}</definedName>
    <definedName name="wrn.documentaero." hidden="1">{"comps2",#N/A,FALSE,"AERO";"footnotes",#N/A,FALSE,"AERO"}</definedName>
    <definedName name="wrn.documenthand." localSheetId="35" hidden="1">{"comps",#N/A,FALSE,"HANDPACK";"footnotes",#N/A,FALSE,"HANDPACK"}</definedName>
    <definedName name="wrn.documenthand." localSheetId="31" hidden="1">{"comps",#N/A,FALSE,"HANDPACK";"footnotes",#N/A,FALSE,"HANDPACK"}</definedName>
    <definedName name="wrn.documenthand." localSheetId="37" hidden="1">{"comps",#N/A,FALSE,"HANDPACK";"footnotes",#N/A,FALSE,"HANDPACK"}</definedName>
    <definedName name="wrn.documenthand." localSheetId="36" hidden="1">{"comps",#N/A,FALSE,"HANDPACK";"footnotes",#N/A,FALSE,"HANDPACK"}</definedName>
    <definedName name="wrn.documenthand." hidden="1">{"comps",#N/A,FALSE,"HANDPACK";"footnotes",#N/A,FALSE,"HANDPACK"}</definedName>
    <definedName name="wrn.EDIT_GLOBAL." localSheetId="35" hidden="1">{"CE_complet",#N/A,FALSE,"CEA";"ELT_techn",#N/A,FALSE,"CEA"}</definedName>
    <definedName name="wrn.EDIT_GLOBAL." localSheetId="31" hidden="1">{"CE_complet",#N/A,FALSE,"CEA";"ELT_techn",#N/A,FALSE,"CEA"}</definedName>
    <definedName name="wrn.EDIT_GLOBAL." localSheetId="37" hidden="1">{"CE_complet",#N/A,FALSE,"CEA";"ELT_techn",#N/A,FALSE,"CEA"}</definedName>
    <definedName name="wrn.EDIT_GLOBAL." localSheetId="36" hidden="1">{"CE_complet",#N/A,FALSE,"CEA";"ELT_techn",#N/A,FALSE,"CEA"}</definedName>
    <definedName name="wrn.EDIT_GLOBAL." hidden="1">{"CE_complet",#N/A,FALSE,"CEA";"ELT_techn",#N/A,FALSE,"CEA"}</definedName>
    <definedName name="wrn.EDITION." localSheetId="35" hidden="1">{#N/A,#N/A,FALSE,"DIVISION";#N/A,#N/A,FALSE,"ED CAT";#N/A,#N/A,FALSE,"ED CAREL";#N/A,#N/A,FALSE,"ED JORT";#N/A,#N/A,FALSE,"ED VEYS";#N/A,#N/A,FALSE,"ED ORBEC";#N/A,#N/A,FALSE,"ED CLECY"}</definedName>
    <definedName name="wrn.EDITION." localSheetId="31" hidden="1">{#N/A,#N/A,FALSE,"DIVISION";#N/A,#N/A,FALSE,"ED CAT";#N/A,#N/A,FALSE,"ED CAREL";#N/A,#N/A,FALSE,"ED JORT";#N/A,#N/A,FALSE,"ED VEYS";#N/A,#N/A,FALSE,"ED ORBEC";#N/A,#N/A,FALSE,"ED CLECY"}</definedName>
    <definedName name="wrn.EDITION." localSheetId="37" hidden="1">{#N/A,#N/A,FALSE,"DIVISION";#N/A,#N/A,FALSE,"ED CAT";#N/A,#N/A,FALSE,"ED CAREL";#N/A,#N/A,FALSE,"ED JORT";#N/A,#N/A,FALSE,"ED VEYS";#N/A,#N/A,FALSE,"ED ORBEC";#N/A,#N/A,FALSE,"ED CLECY"}</definedName>
    <definedName name="wrn.EDITION." localSheetId="36" hidden="1">{#N/A,#N/A,FALSE,"DIVISION";#N/A,#N/A,FALSE,"ED CAT";#N/A,#N/A,FALSE,"ED CAREL";#N/A,#N/A,FALSE,"ED JORT";#N/A,#N/A,FALSE,"ED VEYS";#N/A,#N/A,FALSE,"ED ORBEC";#N/A,#N/A,FALSE,"ED CLECY"}</definedName>
    <definedName name="wrn.EDITION." hidden="1">{#N/A,#N/A,FALSE,"DIVISION";#N/A,#N/A,FALSE,"ED CAT";#N/A,#N/A,FALSE,"ED CAREL";#N/A,#N/A,FALSE,"ED JORT";#N/A,#N/A,FALSE,"ED VEYS";#N/A,#N/A,FALSE,"ED ORBEC";#N/A,#N/A,FALSE,"ED CLECY"}</definedName>
    <definedName name="wrn.equity._.comps." localSheetId="35" hidden="1">{"equity comps",#N/A,FALSE,"CS Comps";"equity comps",#N/A,FALSE,"PS Comps";"equity comps",#N/A,FALSE,"GIC_Comps";"equity comps",#N/A,FALSE,"GIC2_Comps"}</definedName>
    <definedName name="wrn.equity._.comps." localSheetId="31" hidden="1">{"equity comps",#N/A,FALSE,"CS Comps";"equity comps",#N/A,FALSE,"PS Comps";"equity comps",#N/A,FALSE,"GIC_Comps";"equity comps",#N/A,FALSE,"GIC2_Comps"}</definedName>
    <definedName name="wrn.equity._.comps." localSheetId="37" hidden="1">{"equity comps",#N/A,FALSE,"CS Comps";"equity comps",#N/A,FALSE,"PS Comps";"equity comps",#N/A,FALSE,"GIC_Comps";"equity comps",#N/A,FALSE,"GIC2_Comps"}</definedName>
    <definedName name="wrn.equity._.comps." localSheetId="36" hidden="1">{"equity comps",#N/A,FALSE,"CS Comps";"equity comps",#N/A,FALSE,"PS Comps";"equity comps",#N/A,FALSE,"GIC_Comps";"equity comps",#N/A,FALSE,"GIC2_Comps"}</definedName>
    <definedName name="wrn.equity._.comps." hidden="1">{"equity comps",#N/A,FALSE,"CS Comps";"equity comps",#N/A,FALSE,"PS Comps";"equity comps",#N/A,FALSE,"GIC_Comps";"equity comps",#N/A,FALSE,"GIC2_Comps"}</definedName>
    <definedName name="wrn.ex." localSheetId="35" hidden="1">{#N/A,#N/A,FALSE,"ANALYSE";#N/A,#N/A,FALSE,"PM VALEUR"}</definedName>
    <definedName name="wrn.ex." localSheetId="31" hidden="1">{#N/A,#N/A,FALSE,"ANALYSE";#N/A,#N/A,FALSE,"PM VALEUR"}</definedName>
    <definedName name="wrn.ex." localSheetId="37" hidden="1">{#N/A,#N/A,FALSE,"ANALYSE";#N/A,#N/A,FALSE,"PM VALEUR"}</definedName>
    <definedName name="wrn.ex." localSheetId="36" hidden="1">{#N/A,#N/A,FALSE,"ANALYSE";#N/A,#N/A,FALSE,"PM VALEUR"}</definedName>
    <definedName name="wrn.ex." hidden="1">{#N/A,#N/A,FALSE,"ANALYSE";#N/A,#N/A,FALSE,"PM VALEUR"}</definedName>
    <definedName name="wrn.feuilles._.vertes." localSheetId="35" hidden="1">{"frais_from_frais_atelier",#N/A,FALSE,"Frais_From";"fris_from_CFatelier",#N/A,FALSE,"Frais_From";"1_clef",#N/A,FALSE,"Frais_From";"1synthèse_loyer",#N/A,FALSE,"Loyer";"1détail_loyer",#N/A,FALSE,"Loyer";"CE_from_atelier",#N/A,FALSE,"Ce From";"1sérum_vache",#N/A,FALSE,"Bs";"1sérum_brebis",#N/A,FALSE,"Bs"}</definedName>
    <definedName name="wrn.feuilles._.vertes." localSheetId="31" hidden="1">{"frais_from_frais_atelier",#N/A,FALSE,"Frais_From";"fris_from_CFatelier",#N/A,FALSE,"Frais_From";"1_clef",#N/A,FALSE,"Frais_From";"1synthèse_loyer",#N/A,FALSE,"Loyer";"1détail_loyer",#N/A,FALSE,"Loyer";"CE_from_atelier",#N/A,FALSE,"Ce From";"1sérum_vache",#N/A,FALSE,"Bs";"1sérum_brebis",#N/A,FALSE,"Bs"}</definedName>
    <definedName name="wrn.feuilles._.vertes." localSheetId="37" hidden="1">{"frais_from_frais_atelier",#N/A,FALSE,"Frais_From";"fris_from_CFatelier",#N/A,FALSE,"Frais_From";"1_clef",#N/A,FALSE,"Frais_From";"1synthèse_loyer",#N/A,FALSE,"Loyer";"1détail_loyer",#N/A,FALSE,"Loyer";"CE_from_atelier",#N/A,FALSE,"Ce From";"1sérum_vache",#N/A,FALSE,"Bs";"1sérum_brebis",#N/A,FALSE,"Bs"}</definedName>
    <definedName name="wrn.feuilles._.vertes." localSheetId="36" hidden="1">{"frais_from_frais_atelier",#N/A,FALSE,"Frais_From";"fris_from_CFatelier",#N/A,FALSE,"Frais_From";"1_clef",#N/A,FALSE,"Frais_From";"1synthèse_loyer",#N/A,FALSE,"Loyer";"1détail_loyer",#N/A,FALSE,"Loyer";"CE_from_atelier",#N/A,FALSE,"Ce From";"1sérum_vache",#N/A,FALSE,"Bs";"1sérum_brebis",#N/A,FALSE,"Bs"}</definedName>
    <definedName name="wrn.feuilles._.vertes." hidden="1">{"frais_from_frais_atelier",#N/A,FALSE,"Frais_From";"fris_from_CFatelier",#N/A,FALSE,"Frais_From";"1_clef",#N/A,FALSE,"Frais_From";"1synthèse_loyer",#N/A,FALSE,"Loyer";"1détail_loyer",#N/A,FALSE,"Loyer";"CE_from_atelier",#N/A,FALSE,"Ce From";"1sérum_vache",#N/A,FALSE,"Bs";"1sérum_brebis",#N/A,FALSE,"Bs"}</definedName>
    <definedName name="wrn.Full._.model." localSheetId="35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Full._.model." localSheetId="3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Full._.model." localSheetId="37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Full._.model." localSheetId="36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Full._.model.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Globale." localSheetId="35" hidden="1">{#N/A,#N/A,TRUE,"Scenari";#N/A,#N/A,TRUE,"Wacc";#N/A,#N/A,TRUE,"DCF";#N/A,#N/A,TRUE,"TV";#N/A,#N/A,TRUE,"Ctrl";#N/A,#N/A,TRUE,"EVA ";#N/A,#N/A,TRUE,"Mista"}</definedName>
    <definedName name="wrn.Globale." localSheetId="31" hidden="1">{#N/A,#N/A,TRUE,"Scenari";#N/A,#N/A,TRUE,"Wacc";#N/A,#N/A,TRUE,"DCF";#N/A,#N/A,TRUE,"TV";#N/A,#N/A,TRUE,"Ctrl";#N/A,#N/A,TRUE,"EVA ";#N/A,#N/A,TRUE,"Mista"}</definedName>
    <definedName name="wrn.Globale." localSheetId="37" hidden="1">{#N/A,#N/A,TRUE,"Scenari";#N/A,#N/A,TRUE,"Wacc";#N/A,#N/A,TRUE,"DCF";#N/A,#N/A,TRUE,"TV";#N/A,#N/A,TRUE,"Ctrl";#N/A,#N/A,TRUE,"EVA ";#N/A,#N/A,TRUE,"Mista"}</definedName>
    <definedName name="wrn.Globale." localSheetId="36" hidden="1">{#N/A,#N/A,TRUE,"Scenari";#N/A,#N/A,TRUE,"Wacc";#N/A,#N/A,TRUE,"DCF";#N/A,#N/A,TRUE,"TV";#N/A,#N/A,TRUE,"Ctrl";#N/A,#N/A,TRUE,"EVA ";#N/A,#N/A,TRUE,"Mista"}</definedName>
    <definedName name="wrn.Globale." hidden="1">{#N/A,#N/A,TRUE,"Scenari";#N/A,#N/A,TRUE,"Wacc";#N/A,#N/A,TRUE,"DCF";#N/A,#N/A,TRUE,"TV";#N/A,#N/A,TRUE,"Ctrl";#N/A,#N/A,TRUE,"EVA ";#N/A,#N/A,TRUE,"Mista"}</definedName>
    <definedName name="wrn.IMPRESSION." localSheetId="35" hidden="1">{#N/A,#N/A,FALSE,"avancement";#N/A,#N/A,FALSE,"SYNTHESE (2)";#N/A,#N/A,FALSE,"SYNTHESE";#N/A,#N/A,FALSE,"cateliers";#N/A,#N/A,FALSE,"carel";#N/A,#N/A,FALSE,"jort";#N/A,#N/A,FALSE,"Veys";#N/A,#N/A,FALSE,"orbec";#N/A,#N/A,FALSE,"raival";#N/A,#N/A,FALSE,"meaux"}</definedName>
    <definedName name="wrn.IMPRESSION." localSheetId="31" hidden="1">{#N/A,#N/A,FALSE,"avancement";#N/A,#N/A,FALSE,"SYNTHESE (2)";#N/A,#N/A,FALSE,"SYNTHESE";#N/A,#N/A,FALSE,"cateliers";#N/A,#N/A,FALSE,"carel";#N/A,#N/A,FALSE,"jort";#N/A,#N/A,FALSE,"Veys";#N/A,#N/A,FALSE,"orbec";#N/A,#N/A,FALSE,"raival";#N/A,#N/A,FALSE,"meaux"}</definedName>
    <definedName name="wrn.IMPRESSION." localSheetId="37" hidden="1">{#N/A,#N/A,FALSE,"avancement";#N/A,#N/A,FALSE,"SYNTHESE (2)";#N/A,#N/A,FALSE,"SYNTHESE";#N/A,#N/A,FALSE,"cateliers";#N/A,#N/A,FALSE,"carel";#N/A,#N/A,FALSE,"jort";#N/A,#N/A,FALSE,"Veys";#N/A,#N/A,FALSE,"orbec";#N/A,#N/A,FALSE,"raival";#N/A,#N/A,FALSE,"meaux"}</definedName>
    <definedName name="wrn.IMPRESSION." localSheetId="36" hidden="1">{#N/A,#N/A,FALSE,"avancement";#N/A,#N/A,FALSE,"SYNTHESE (2)";#N/A,#N/A,FALSE,"SYNTHESE";#N/A,#N/A,FALSE,"cateliers";#N/A,#N/A,FALSE,"carel";#N/A,#N/A,FALSE,"jort";#N/A,#N/A,FALSE,"Veys";#N/A,#N/A,FALSE,"orbec";#N/A,#N/A,FALSE,"raival";#N/A,#N/A,FALSE,"meaux"}</definedName>
    <definedName name="wrn.IMPRESSION." hidden="1">{#N/A,#N/A,FALSE,"avancement";#N/A,#N/A,FALSE,"SYNTHESE (2)";#N/A,#N/A,FALSE,"SYNTHESE";#N/A,#N/A,FALSE,"cateliers";#N/A,#N/A,FALSE,"carel";#N/A,#N/A,FALSE,"jort";#N/A,#N/A,FALSE,"Veys";#N/A,#N/A,FALSE,"orbec";#N/A,#N/A,FALSE,"raival";#N/A,#N/A,FALSE,"meaux"}</definedName>
    <definedName name="wrn.Impression._.totale." localSheetId="35" hidden="1">{"Analyse charges",#N/A,FALSE,"Feuil1 (2)";"Ratios activités",#N/A,FALSE,"Feuil1 (2)";"Indicateurs",#N/A,FALSE,"Feuil1 (2)"}</definedName>
    <definedName name="wrn.Impression._.totale." localSheetId="31" hidden="1">{"Analyse charges",#N/A,FALSE,"Feuil1 (2)";"Ratios activités",#N/A,FALSE,"Feuil1 (2)";"Indicateurs",#N/A,FALSE,"Feuil1 (2)"}</definedName>
    <definedName name="wrn.Impression._.totale." localSheetId="37" hidden="1">{"Analyse charges",#N/A,FALSE,"Feuil1 (2)";"Ratios activités",#N/A,FALSE,"Feuil1 (2)";"Indicateurs",#N/A,FALSE,"Feuil1 (2)"}</definedName>
    <definedName name="wrn.Impression._.totale." localSheetId="36" hidden="1">{"Analyse charges",#N/A,FALSE,"Feuil1 (2)";"Ratios activités",#N/A,FALSE,"Feuil1 (2)";"Indicateurs",#N/A,FALSE,"Feuil1 (2)"}</definedName>
    <definedName name="wrn.Impression._.totale." hidden="1">{"Analyse charges",#N/A,FALSE,"Feuil1 (2)";"Ratios activités",#N/A,FALSE,"Feuil1 (2)";"Indicateurs",#N/A,FALSE,"Feuil1 (2)"}</definedName>
    <definedName name="wrn.Indicateurs." localSheetId="35" hidden="1">{"Indicateurs",#N/A,FALSE,"Feuil1 (2)"}</definedName>
    <definedName name="wrn.Indicateurs." localSheetId="31" hidden="1">{"Indicateurs",#N/A,FALSE,"Feuil1 (2)"}</definedName>
    <definedName name="wrn.Indicateurs." localSheetId="37" hidden="1">{"Indicateurs",#N/A,FALSE,"Feuil1 (2)"}</definedName>
    <definedName name="wrn.Indicateurs." localSheetId="36" hidden="1">{"Indicateurs",#N/A,FALSE,"Feuil1 (2)"}</definedName>
    <definedName name="wrn.Indicateurs." hidden="1">{"Indicateurs",#N/A,FALSE,"Feuil1 (2)"}</definedName>
    <definedName name="wrn.Kapacitet_._.rolling." localSheetId="35" hidden="1">{"Procjena kapaciteta prema rollingu",#N/A,FALSE,"zaliha"}</definedName>
    <definedName name="wrn.Kapacitet_._.rolling." localSheetId="31" hidden="1">{"Procjena kapaciteta prema rollingu",#N/A,FALSE,"zaliha"}</definedName>
    <definedName name="wrn.Kapacitet_._.rolling." localSheetId="37" hidden="1">{"Procjena kapaciteta prema rollingu",#N/A,FALSE,"zaliha"}</definedName>
    <definedName name="wrn.Kapacitet_._.rolling." localSheetId="36" hidden="1">{"Procjena kapaciteta prema rollingu",#N/A,FALSE,"zaliha"}</definedName>
    <definedName name="wrn.Kapacitet_._.rolling." hidden="1">{"Procjena kapaciteta prema rollingu",#N/A,FALSE,"zaliha"}</definedName>
    <definedName name="wrn.Kapacitet_procijena." localSheetId="35" hidden="1">{"Procjena kapaciteta prema procijenjenim izlazima",#N/A,FALSE,"zaliha"}</definedName>
    <definedName name="wrn.Kapacitet_procijena." localSheetId="31" hidden="1">{"Procjena kapaciteta prema procijenjenim izlazima",#N/A,FALSE,"zaliha"}</definedName>
    <definedName name="wrn.Kapacitet_procijena." localSheetId="37" hidden="1">{"Procjena kapaciteta prema procijenjenim izlazima",#N/A,FALSE,"zaliha"}</definedName>
    <definedName name="wrn.Kapacitet_procijena." localSheetId="36" hidden="1">{"Procjena kapaciteta prema procijenjenim izlazima",#N/A,FALSE,"zaliha"}</definedName>
    <definedName name="wrn.Kapacitet_procijena." hidden="1">{"Procjena kapaciteta prema procijenjenim izlazima",#N/A,FALSE,"zaliha"}</definedName>
    <definedName name="wrn.memo." localSheetId="35" hidden="1">{#N/A,#N/A,TRUE,"financial";#N/A,#N/A,TRUE,"plants"}</definedName>
    <definedName name="wrn.memo." localSheetId="31" hidden="1">{#N/A,#N/A,TRUE,"financial";#N/A,#N/A,TRUE,"plants"}</definedName>
    <definedName name="wrn.memo." localSheetId="37" hidden="1">{#N/A,#N/A,TRUE,"financial";#N/A,#N/A,TRUE,"plants"}</definedName>
    <definedName name="wrn.memo." localSheetId="36" hidden="1">{#N/A,#N/A,TRUE,"financial";#N/A,#N/A,TRUE,"plants"}</definedName>
    <definedName name="wrn.memo." hidden="1">{#N/A,#N/A,TRUE,"financial";#N/A,#N/A,TRUE,"plants"}</definedName>
    <definedName name="wrn.MENSUEL." localSheetId="35" hidden="1">{#N/A,#N/A,FALSE,"recap";#N/A,#N/A,FALSE,"matNeuf";#N/A,#N/A,FALSE,"matNdie";#N/A,#N/A,FALSE,"incNeuf";#N/A,#N/A,FALSE,"incNdie";#N/A,#N/A,FALSE,"volume";#N/A,#N/A,FALSE,"emballage";#N/A,#N/A,FALSE,"charge";#N/A,#N/A,FALSE,"cumul I";#N/A,#N/A,FALSE,"cumul II";#N/A,#N/A,FALSE,"cumul III"}</definedName>
    <definedName name="wrn.MENSUEL." localSheetId="31" hidden="1">{#N/A,#N/A,FALSE,"recap";#N/A,#N/A,FALSE,"matNeuf";#N/A,#N/A,FALSE,"matNdie";#N/A,#N/A,FALSE,"incNeuf";#N/A,#N/A,FALSE,"incNdie";#N/A,#N/A,FALSE,"volume";#N/A,#N/A,FALSE,"emballage";#N/A,#N/A,FALSE,"charge";#N/A,#N/A,FALSE,"cumul I";#N/A,#N/A,FALSE,"cumul II";#N/A,#N/A,FALSE,"cumul III"}</definedName>
    <definedName name="wrn.MENSUEL." localSheetId="37" hidden="1">{#N/A,#N/A,FALSE,"recap";#N/A,#N/A,FALSE,"matNeuf";#N/A,#N/A,FALSE,"matNdie";#N/A,#N/A,FALSE,"incNeuf";#N/A,#N/A,FALSE,"incNdie";#N/A,#N/A,FALSE,"volume";#N/A,#N/A,FALSE,"emballage";#N/A,#N/A,FALSE,"charge";#N/A,#N/A,FALSE,"cumul I";#N/A,#N/A,FALSE,"cumul II";#N/A,#N/A,FALSE,"cumul III"}</definedName>
    <definedName name="wrn.MENSUEL." localSheetId="36" hidden="1">{#N/A,#N/A,FALSE,"recap";#N/A,#N/A,FALSE,"matNeuf";#N/A,#N/A,FALSE,"matNdie";#N/A,#N/A,FALSE,"incNeuf";#N/A,#N/A,FALSE,"incNdie";#N/A,#N/A,FALSE,"volume";#N/A,#N/A,FALSE,"emballage";#N/A,#N/A,FALSE,"charge";#N/A,#N/A,FALSE,"cumul I";#N/A,#N/A,FALSE,"cumul II";#N/A,#N/A,FALSE,"cumul III"}</definedName>
    <definedName name="wrn.MENSUEL." hidden="1">{#N/A,#N/A,FALSE,"recap";#N/A,#N/A,FALSE,"matNeuf";#N/A,#N/A,FALSE,"matNdie";#N/A,#N/A,FALSE,"incNeuf";#N/A,#N/A,FALSE,"incNdie";#N/A,#N/A,FALSE,"volume";#N/A,#N/A,FALSE,"emballage";#N/A,#N/A,FALSE,"charge";#N/A,#N/A,FALSE,"cumul I";#N/A,#N/A,FALSE,"cumul II";#N/A,#N/A,FALSE,"cumul III"}</definedName>
    <definedName name="wrn.merger." localSheetId="35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erger." localSheetId="3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erger." localSheetId="37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erger." localSheetId="36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erger.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odel." localSheetId="35" hidden="1">{"DCF",#N/A,FALSE,"DCF"}</definedName>
    <definedName name="wrn.Model." localSheetId="31" hidden="1">{"DCF",#N/A,FALSE,"DCF"}</definedName>
    <definedName name="wrn.Model." localSheetId="37" hidden="1">{"DCF",#N/A,FALSE,"DCF"}</definedName>
    <definedName name="wrn.Model." localSheetId="36" hidden="1">{"DCF",#N/A,FALSE,"DCF"}</definedName>
    <definedName name="wrn.Model." hidden="1">{"DCF",#N/A,FALSE,"DCF"}</definedName>
    <definedName name="wrn.MOYENNE." localSheetId="35" hidden="1">{#N/A,#N/A,FALSE,"recap";#N/A,#N/A,FALSE,"matNeuf";#N/A,#N/A,FALSE,"matNdie";#N/A,#N/A,FALSE,"incNeuf";#N/A,#N/A,FALSE,"incNdie";#N/A,#N/A,FALSE,"volume";#N/A,#N/A,FALSE,"emballage";#N/A,#N/A,FALSE,"charge"}</definedName>
    <definedName name="wrn.MOYENNE." localSheetId="31" hidden="1">{#N/A,#N/A,FALSE,"recap";#N/A,#N/A,FALSE,"matNeuf";#N/A,#N/A,FALSE,"matNdie";#N/A,#N/A,FALSE,"incNeuf";#N/A,#N/A,FALSE,"incNdie";#N/A,#N/A,FALSE,"volume";#N/A,#N/A,FALSE,"emballage";#N/A,#N/A,FALSE,"charge"}</definedName>
    <definedName name="wrn.MOYENNE." localSheetId="37" hidden="1">{#N/A,#N/A,FALSE,"recap";#N/A,#N/A,FALSE,"matNeuf";#N/A,#N/A,FALSE,"matNdie";#N/A,#N/A,FALSE,"incNeuf";#N/A,#N/A,FALSE,"incNdie";#N/A,#N/A,FALSE,"volume";#N/A,#N/A,FALSE,"emballage";#N/A,#N/A,FALSE,"charge"}</definedName>
    <definedName name="wrn.MOYENNE." localSheetId="36" hidden="1">{#N/A,#N/A,FALSE,"recap";#N/A,#N/A,FALSE,"matNeuf";#N/A,#N/A,FALSE,"matNdie";#N/A,#N/A,FALSE,"incNeuf";#N/A,#N/A,FALSE,"incNdie";#N/A,#N/A,FALSE,"volume";#N/A,#N/A,FALSE,"emballage";#N/A,#N/A,FALSE,"charge"}</definedName>
    <definedName name="wrn.MOYENNE." hidden="1">{#N/A,#N/A,FALSE,"recap";#N/A,#N/A,FALSE,"matNeuf";#N/A,#N/A,FALSE,"matNdie";#N/A,#N/A,FALSE,"incNeuf";#N/A,#N/A,FALSE,"incNdie";#N/A,#N/A,FALSE,"volume";#N/A,#N/A,FALSE,"emballage";#N/A,#N/A,FALSE,"charge"}</definedName>
    <definedName name="wrn.novgl." localSheetId="3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wrn.novgl." localSheetId="3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wrn.novgl." localSheetId="37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wrn.novgl." localSheetId="36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wrn.novgl.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wrn.payback." localSheetId="35" hidden="1">{"payback",#N/A,FALSE,"Wirtschaftlichkeitsberechnung"}</definedName>
    <definedName name="wrn.payback." localSheetId="31" hidden="1">{"payback",#N/A,FALSE,"Wirtschaftlichkeitsberechnung"}</definedName>
    <definedName name="wrn.payback." localSheetId="37" hidden="1">{"payback",#N/A,FALSE,"Wirtschaftlichkeitsberechnung"}</definedName>
    <definedName name="wrn.payback." localSheetId="36" hidden="1">{"payback",#N/A,FALSE,"Wirtschaftlichkeitsberechnung"}</definedName>
    <definedName name="wrn.payback." hidden="1">{"payback",#N/A,FALSE,"Wirtschaftlichkeitsberechnung"}</definedName>
    <definedName name="wrn.payback2." localSheetId="35" hidden="1">{"payback2",#N/A,FALSE,"Wirtschaftlichkeitsberechnung"}</definedName>
    <definedName name="wrn.payback2." localSheetId="31" hidden="1">{"payback2",#N/A,FALSE,"Wirtschaftlichkeitsberechnung"}</definedName>
    <definedName name="wrn.payback2." localSheetId="37" hidden="1">{"payback2",#N/A,FALSE,"Wirtschaftlichkeitsberechnung"}</definedName>
    <definedName name="wrn.payback2." localSheetId="36" hidden="1">{"payback2",#N/A,FALSE,"Wirtschaftlichkeitsberechnung"}</definedName>
    <definedName name="wrn.payback2." hidden="1">{"payback2",#N/A,FALSE,"Wirtschaftlichkeitsberechnung"}</definedName>
    <definedName name="wrn.perimeter._.comp." localSheetId="35" hidden="1">{#N/A,#N/A,TRUE,"comp";#N/A,#N/A,TRUE,"notes"}</definedName>
    <definedName name="wrn.perimeter._.comp." localSheetId="31" hidden="1">{#N/A,#N/A,TRUE,"comp";#N/A,#N/A,TRUE,"notes"}</definedName>
    <definedName name="wrn.perimeter._.comp." localSheetId="37" hidden="1">{#N/A,#N/A,TRUE,"comp";#N/A,#N/A,TRUE,"notes"}</definedName>
    <definedName name="wrn.perimeter._.comp." localSheetId="36" hidden="1">{#N/A,#N/A,TRUE,"comp";#N/A,#N/A,TRUE,"notes"}</definedName>
    <definedName name="wrn.perimeter._.comp." hidden="1">{#N/A,#N/A,TRUE,"comp";#N/A,#N/A,TRUE,"notes"}</definedName>
    <definedName name="wrn.Pianocomp." localSheetId="35" hidden="1">{"page_1",#N/A,TRUE,"Sheet1";"page_2",#N/A,TRUE,"Sheet1";"page_notes",#N/A,TRUE,"Sheet1"}</definedName>
    <definedName name="wrn.Pianocomp." localSheetId="31" hidden="1">{"page_1",#N/A,TRUE,"Sheet1";"page_2",#N/A,TRUE,"Sheet1";"page_notes",#N/A,TRUE,"Sheet1"}</definedName>
    <definedName name="wrn.Pianocomp." localSheetId="37" hidden="1">{"page_1",#N/A,TRUE,"Sheet1";"page_2",#N/A,TRUE,"Sheet1";"page_notes",#N/A,TRUE,"Sheet1"}</definedName>
    <definedName name="wrn.Pianocomp." localSheetId="36" hidden="1">{"page_1",#N/A,TRUE,"Sheet1";"page_2",#N/A,TRUE,"Sheet1";"page_notes",#N/A,TRUE,"Sheet1"}</definedName>
    <definedName name="wrn.Pianocomp." hidden="1">{"page_1",#N/A,TRUE,"Sheet1";"page_2",#N/A,TRUE,"Sheet1";"page_notes",#N/A,TRUE,"Sheet1"}</definedName>
    <definedName name="wrn.Plan._.proizvodnje._.4T." localSheetId="35" hidden="1">{"Planiranje proizvodnje",#N/A,FALSE,"planiranje proizvodnje"}</definedName>
    <definedName name="wrn.Plan._.proizvodnje._.4T." localSheetId="31" hidden="1">{"Planiranje proizvodnje",#N/A,FALSE,"planiranje proizvodnje"}</definedName>
    <definedName name="wrn.Plan._.proizvodnje._.4T." localSheetId="37" hidden="1">{"Planiranje proizvodnje",#N/A,FALSE,"planiranje proizvodnje"}</definedName>
    <definedName name="wrn.Plan._.proizvodnje._.4T." localSheetId="36" hidden="1">{"Planiranje proizvodnje",#N/A,FALSE,"planiranje proizvodnje"}</definedName>
    <definedName name="wrn.Plan._.proizvodnje._.4T." hidden="1">{"Planiranje proizvodnje",#N/A,FALSE,"planiranje proizvodnje"}</definedName>
    <definedName name="wrn.print." localSheetId="35" hidden="1">{"dcf",#N/A,FALSE,"DCF";"sens",#N/A,FALSE,"DCF"}</definedName>
    <definedName name="wrn.print." localSheetId="31" hidden="1">{"dcf",#N/A,FALSE,"DCF";"sens",#N/A,FALSE,"DCF"}</definedName>
    <definedName name="wrn.print." localSheetId="37" hidden="1">{"dcf",#N/A,FALSE,"DCF";"sens",#N/A,FALSE,"DCF"}</definedName>
    <definedName name="wrn.print." localSheetId="36" hidden="1">{"dcf",#N/A,FALSE,"DCF";"sens",#N/A,FALSE,"DCF"}</definedName>
    <definedName name="wrn.print." hidden="1">{"dcf",#N/A,FALSE,"DCF";"sens",#N/A,FALSE,"DCF"}</definedName>
    <definedName name="wrn.Print._.the._.lot." localSheetId="35" hidden="1">{"First Page",#N/A,FALSE,"Surfactants LBO";"Second Page",#N/A,FALSE,"Surfactants LBO"}</definedName>
    <definedName name="wrn.Print._.the._.lot." localSheetId="31" hidden="1">{"First Page",#N/A,FALSE,"Surfactants LBO";"Second Page",#N/A,FALSE,"Surfactants LBO"}</definedName>
    <definedName name="wrn.Print._.the._.lot." localSheetId="37" hidden="1">{"First Page",#N/A,FALSE,"Surfactants LBO";"Second Page",#N/A,FALSE,"Surfactants LBO"}</definedName>
    <definedName name="wrn.Print._.the._.lot." localSheetId="36" hidden="1">{"First Page",#N/A,FALSE,"Surfactants LBO";"Second Page",#N/A,FALSE,"Surfactants LBO"}</definedName>
    <definedName name="wrn.Print._.the._.lot." hidden="1">{"First Page",#N/A,FALSE,"Surfactants LBO";"Second Page",#N/A,FALSE,"Surfactants LBO"}</definedName>
    <definedName name="wrn.Print_Comps_Report." localSheetId="35" hidden="1">{"comps1_1",#N/A,FALSE,"Comps1";"comps1_2",#N/A,FALSE,"Comps1";"comps1_3",#N/A,FALSE,"Comps1";"comps1_4",#N/A,FALSE,"Comps1";"comps1_5",#N/A,FALSE,"Comps1";"comps2_1",#N/A,FALSE,"Comps2";"comps2_2",#N/A,FALSE,"Comps2";"comps2_3",#N/A,FALSE,"Comps2";"comps2_4",#N/A,FALSE,"Comps2";"comps2_5",#N/A,FALSE,"Comps2"}</definedName>
    <definedName name="wrn.Print_Comps_Report." localSheetId="31" hidden="1">{"comps1_1",#N/A,FALSE,"Comps1";"comps1_2",#N/A,FALSE,"Comps1";"comps1_3",#N/A,FALSE,"Comps1";"comps1_4",#N/A,FALSE,"Comps1";"comps1_5",#N/A,FALSE,"Comps1";"comps2_1",#N/A,FALSE,"Comps2";"comps2_2",#N/A,FALSE,"Comps2";"comps2_3",#N/A,FALSE,"Comps2";"comps2_4",#N/A,FALSE,"Comps2";"comps2_5",#N/A,FALSE,"Comps2"}</definedName>
    <definedName name="wrn.Print_Comps_Report." localSheetId="37" hidden="1">{"comps1_1",#N/A,FALSE,"Comps1";"comps1_2",#N/A,FALSE,"Comps1";"comps1_3",#N/A,FALSE,"Comps1";"comps1_4",#N/A,FALSE,"Comps1";"comps1_5",#N/A,FALSE,"Comps1";"comps2_1",#N/A,FALSE,"Comps2";"comps2_2",#N/A,FALSE,"Comps2";"comps2_3",#N/A,FALSE,"Comps2";"comps2_4",#N/A,FALSE,"Comps2";"comps2_5",#N/A,FALSE,"Comps2"}</definedName>
    <definedName name="wrn.Print_Comps_Report." localSheetId="36" hidden="1">{"comps1_1",#N/A,FALSE,"Comps1";"comps1_2",#N/A,FALSE,"Comps1";"comps1_3",#N/A,FALSE,"Comps1";"comps1_4",#N/A,FALSE,"Comps1";"comps1_5",#N/A,FALSE,"Comps1";"comps2_1",#N/A,FALSE,"Comps2";"comps2_2",#N/A,FALSE,"Comps2";"comps2_3",#N/A,FALSE,"Comps2";"comps2_4",#N/A,FALSE,"Comps2";"comps2_5",#N/A,FALSE,"Comps2"}</definedName>
    <definedName name="wrn.Print_Comps_Report." hidden="1">{"comps1_1",#N/A,FALSE,"Comps1";"comps1_2",#N/A,FALSE,"Comps1";"comps1_3",#N/A,FALSE,"Comps1";"comps1_4",#N/A,FALSE,"Comps1";"comps1_5",#N/A,FALSE,"Comps1";"comps2_1",#N/A,FALSE,"Comps2";"comps2_2",#N/A,FALSE,"Comps2";"comps2_3",#N/A,FALSE,"Comps2";"comps2_4",#N/A,FALSE,"Comps2";"comps2_5",#N/A,FALSE,"Comps2"}</definedName>
    <definedName name="wrn.Printing._.Report." localSheetId="35" hidden="1">{"Assumptions",#N/A,FALSE,"Assumptions";"Sensitivities1",#N/A,FALSE,"Sensitivities";"Sensitivities2",#N/A,FALSE,"Sensitivities";"Sensitivities3",#N/A,FALSE,"Sensitivities";"Bidder",#N/A,FALSE,"Bidder";"Annualised_Target",#N/A,FALSE,"Target";"Target",#N/A,FALSE,"Target";"Summary",#N/A,FALSE,"Summary";"Historic",#N/A,FALSE,"Hist";"Current",#N/A,FALSE,"Curr";"Prospective",#N/A,FALSE,"Prosp";"Prospective+1",#N/A,FALSE,"Prosp+1"}</definedName>
    <definedName name="wrn.Printing._.Report." localSheetId="31" hidden="1">{"Assumptions",#N/A,FALSE,"Assumptions";"Sensitivities1",#N/A,FALSE,"Sensitivities";"Sensitivities2",#N/A,FALSE,"Sensitivities";"Sensitivities3",#N/A,FALSE,"Sensitivities";"Bidder",#N/A,FALSE,"Bidder";"Annualised_Target",#N/A,FALSE,"Target";"Target",#N/A,FALSE,"Target";"Summary",#N/A,FALSE,"Summary";"Historic",#N/A,FALSE,"Hist";"Current",#N/A,FALSE,"Curr";"Prospective",#N/A,FALSE,"Prosp";"Prospective+1",#N/A,FALSE,"Prosp+1"}</definedName>
    <definedName name="wrn.Printing._.Report." localSheetId="37" hidden="1">{"Assumptions",#N/A,FALSE,"Assumptions";"Sensitivities1",#N/A,FALSE,"Sensitivities";"Sensitivities2",#N/A,FALSE,"Sensitivities";"Sensitivities3",#N/A,FALSE,"Sensitivities";"Bidder",#N/A,FALSE,"Bidder";"Annualised_Target",#N/A,FALSE,"Target";"Target",#N/A,FALSE,"Target";"Summary",#N/A,FALSE,"Summary";"Historic",#N/A,FALSE,"Hist";"Current",#N/A,FALSE,"Curr";"Prospective",#N/A,FALSE,"Prosp";"Prospective+1",#N/A,FALSE,"Prosp+1"}</definedName>
    <definedName name="wrn.Printing._.Report." localSheetId="36" hidden="1">{"Assumptions",#N/A,FALSE,"Assumptions";"Sensitivities1",#N/A,FALSE,"Sensitivities";"Sensitivities2",#N/A,FALSE,"Sensitivities";"Sensitivities3",#N/A,FALSE,"Sensitivities";"Bidder",#N/A,FALSE,"Bidder";"Annualised_Target",#N/A,FALSE,"Target";"Target",#N/A,FALSE,"Target";"Summary",#N/A,FALSE,"Summary";"Historic",#N/A,FALSE,"Hist";"Current",#N/A,FALSE,"Curr";"Prospective",#N/A,FALSE,"Prosp";"Prospective+1",#N/A,FALSE,"Prosp+1"}</definedName>
    <definedName name="wrn.Printing._.Report." hidden="1">{"Assumptions",#N/A,FALSE,"Assumptions";"Sensitivities1",#N/A,FALSE,"Sensitivities";"Sensitivities2",#N/A,FALSE,"Sensitivities";"Sensitivities3",#N/A,FALSE,"Sensitivities";"Bidder",#N/A,FALSE,"Bidder";"Annualised_Target",#N/A,FALSE,"Target";"Target",#N/A,FALSE,"Target";"Summary",#N/A,FALSE,"Summary";"Historic",#N/A,FALSE,"Hist";"Current",#N/A,FALSE,"Curr";"Prospective",#N/A,FALSE,"Prosp";"Prospective+1",#N/A,FALSE,"Prosp+1"}</definedName>
    <definedName name="wrn.Printing._.the._.transactions._.sheets." localSheetId="35" hidden="1">{#N/A,#N/A,FALSE,"Eastern";#N/A,#N/A,FALSE,"Western"}</definedName>
    <definedName name="wrn.Printing._.the._.transactions._.sheets." localSheetId="31" hidden="1">{#N/A,#N/A,FALSE,"Eastern";#N/A,#N/A,FALSE,"Western"}</definedName>
    <definedName name="wrn.Printing._.the._.transactions._.sheets." localSheetId="37" hidden="1">{#N/A,#N/A,FALSE,"Eastern";#N/A,#N/A,FALSE,"Western"}</definedName>
    <definedName name="wrn.Printing._.the._.transactions._.sheets." localSheetId="36" hidden="1">{#N/A,#N/A,FALSE,"Eastern";#N/A,#N/A,FALSE,"Western"}</definedName>
    <definedName name="wrn.Printing._.the._.transactions._.sheets." hidden="1">{#N/A,#N/A,FALSE,"Eastern";#N/A,#N/A,FALSE,"Western"}</definedName>
    <definedName name="wrn.printsyns." localSheetId="35" hidden="1">{"dcfsyn",#N/A,FALSE,"DCFSYN";"senssyn",#N/A,FALSE,"DCFSYN"}</definedName>
    <definedName name="wrn.printsyns." localSheetId="31" hidden="1">{"dcfsyn",#N/A,FALSE,"DCFSYN";"senssyn",#N/A,FALSE,"DCFSYN"}</definedName>
    <definedName name="wrn.printsyns." localSheetId="37" hidden="1">{"dcfsyn",#N/A,FALSE,"DCFSYN";"senssyn",#N/A,FALSE,"DCFSYN"}</definedName>
    <definedName name="wrn.printsyns." localSheetId="36" hidden="1">{"dcfsyn",#N/A,FALSE,"DCFSYN";"senssyn",#N/A,FALSE,"DCFSYN"}</definedName>
    <definedName name="wrn.printsyns." hidden="1">{"dcfsyn",#N/A,FALSE,"DCFSYN";"senssyn",#N/A,FALSE,"DCFSYN"}</definedName>
    <definedName name="wrn.ptp." localSheetId="35" hidden="1">{#N/A,#N/A,FALSE,"RELATÓRIO";#N/A,#N/A,FALSE,"RELATÓRIO"}</definedName>
    <definedName name="wrn.ptp." localSheetId="31" hidden="1">{#N/A,#N/A,FALSE,"RELATÓRIO";#N/A,#N/A,FALSE,"RELATÓRIO"}</definedName>
    <definedName name="wrn.ptp." localSheetId="37" hidden="1">{#N/A,#N/A,FALSE,"RELATÓRIO";#N/A,#N/A,FALSE,"RELATÓRIO"}</definedName>
    <definedName name="wrn.ptp." localSheetId="36" hidden="1">{#N/A,#N/A,FALSE,"RELATÓRIO";#N/A,#N/A,FALSE,"RELATÓRIO"}</definedName>
    <definedName name="wrn.ptp." hidden="1">{#N/A,#N/A,FALSE,"RELATÓRIO";#N/A,#N/A,FALSE,"RELATÓRIO"}</definedName>
    <definedName name="wrn.Ratios." localSheetId="35" hidden="1">{"Ratios activités",#N/A,FALSE,"Feuil1 (2)"}</definedName>
    <definedName name="wrn.Ratios." localSheetId="31" hidden="1">{"Ratios activités",#N/A,FALSE,"Feuil1 (2)"}</definedName>
    <definedName name="wrn.Ratios." localSheetId="37" hidden="1">{"Ratios activités",#N/A,FALSE,"Feuil1 (2)"}</definedName>
    <definedName name="wrn.Ratios." localSheetId="36" hidden="1">{"Ratios activités",#N/A,FALSE,"Feuil1 (2)"}</definedName>
    <definedName name="wrn.Ratios." hidden="1">{"Ratios activités",#N/A,FALSE,"Feuil1 (2)"}</definedName>
    <definedName name="wrn.RDT." localSheetId="35" hidden="1">{"BA",#N/A,FALSE,"Feuil1";"CCF",#N/A,FALSE,"Feuil1";"CED",#N/A,FALSE,"Feuil1";"SNL",#N/A,FALSE,"Feuil1";"PPNC",#N/A,FALSE,"Feuil1"}</definedName>
    <definedName name="wrn.RDT." localSheetId="31" hidden="1">{"BA",#N/A,FALSE,"Feuil1";"CCF",#N/A,FALSE,"Feuil1";"CED",#N/A,FALSE,"Feuil1";"SNL",#N/A,FALSE,"Feuil1";"PPNC",#N/A,FALSE,"Feuil1"}</definedName>
    <definedName name="wrn.RDT." localSheetId="37" hidden="1">{"BA",#N/A,FALSE,"Feuil1";"CCF",#N/A,FALSE,"Feuil1";"CED",#N/A,FALSE,"Feuil1";"SNL",#N/A,FALSE,"Feuil1";"PPNC",#N/A,FALSE,"Feuil1"}</definedName>
    <definedName name="wrn.RDT." localSheetId="36" hidden="1">{"BA",#N/A,FALSE,"Feuil1";"CCF",#N/A,FALSE,"Feuil1";"CED",#N/A,FALSE,"Feuil1";"SNL",#N/A,FALSE,"Feuil1";"PPNC",#N/A,FALSE,"Feuil1"}</definedName>
    <definedName name="wrn.RDT." hidden="1">{"BA",#N/A,FALSE,"Feuil1";"CCF",#N/A,FALSE,"Feuil1";"CED",#N/A,FALSE,"Feuil1";"SNL",#N/A,FALSE,"Feuil1";"PPNC",#N/A,FALSE,"Feuil1"}</definedName>
    <definedName name="wrn.RDTBLEU." localSheetId="35" hidden="1">{"BLEUCAUS",#N/A,FALSE,"RDTBLE97";"BUCHES",#N/A,FALSE,"RDTBLE97";"PENA",#N/A,FALSE,"RDTBLE97";"BLOC",#N/A,FALSE,"RDTBLE97";"Cremont",#N/A,FALSE,"RDTBLE97"}</definedName>
    <definedName name="wrn.RDTBLEU." localSheetId="31" hidden="1">{"BLEUCAUS",#N/A,FALSE,"RDTBLE97";"BUCHES",#N/A,FALSE,"RDTBLE97";"PENA",#N/A,FALSE,"RDTBLE97";"BLOC",#N/A,FALSE,"RDTBLE97";"Cremont",#N/A,FALSE,"RDTBLE97"}</definedName>
    <definedName name="wrn.RDTBLEU." localSheetId="37" hidden="1">{"BLEUCAUS",#N/A,FALSE,"RDTBLE97";"BUCHES",#N/A,FALSE,"RDTBLE97";"PENA",#N/A,FALSE,"RDTBLE97";"BLOC",#N/A,FALSE,"RDTBLE97";"Cremont",#N/A,FALSE,"RDTBLE97"}</definedName>
    <definedName name="wrn.RDTBLEU." localSheetId="36" hidden="1">{"BLEUCAUS",#N/A,FALSE,"RDTBLE97";"BUCHES",#N/A,FALSE,"RDTBLE97";"PENA",#N/A,FALSE,"RDTBLE97";"BLOC",#N/A,FALSE,"RDTBLE97";"Cremont",#N/A,FALSE,"RDTBLE97"}</definedName>
    <definedName name="wrn.RDTBLEU." hidden="1">{"BLEUCAUS",#N/A,FALSE,"RDTBLE97";"BUCHES",#N/A,FALSE,"RDTBLE97";"PENA",#N/A,FALSE,"RDTBLE97";"BLOC",#N/A,FALSE,"RDTBLE97";"Cremont",#N/A,FALSE,"RDTBLE97"}</definedName>
    <definedName name="wrn.REELBUD." localSheetId="35" hidden="1">{"DETAIL",#N/A,FALSE,"REELBUDGET";"TOTAL",#N/A,FALSE,"REELBUDGET"}</definedName>
    <definedName name="wrn.REELBUD." localSheetId="31" hidden="1">{"DETAIL",#N/A,FALSE,"REELBUDGET";"TOTAL",#N/A,FALSE,"REELBUDGET"}</definedName>
    <definedName name="wrn.REELBUD." localSheetId="37" hidden="1">{"DETAIL",#N/A,FALSE,"REELBUDGET";"TOTAL",#N/A,FALSE,"REELBUDGET"}</definedName>
    <definedName name="wrn.REELBUD." localSheetId="36" hidden="1">{"DETAIL",#N/A,FALSE,"REELBUDGET";"TOTAL",#N/A,FALSE,"REELBUDGET"}</definedName>
    <definedName name="wrn.REELBUD." hidden="1">{"DETAIL",#N/A,FALSE,"REELBUDGET";"TOTAL",#N/A,FALSE,"REELBUDGET"}</definedName>
    <definedName name="wrn.report." localSheetId="35" hidden="1">{#N/A,#N/A,FALSE,"Summary"}</definedName>
    <definedName name="wrn.report." localSheetId="31" hidden="1">{#N/A,#N/A,FALSE,"Summary"}</definedName>
    <definedName name="wrn.report." localSheetId="37" hidden="1">{#N/A,#N/A,FALSE,"Summary"}</definedName>
    <definedName name="wrn.report." localSheetId="36" hidden="1">{#N/A,#N/A,FALSE,"Summary"}</definedName>
    <definedName name="wrn.report." hidden="1">{#N/A,#N/A,FALSE,"Summary"}</definedName>
    <definedName name="wrn.Report1." localSheetId="35" hidden="1">{#N/A,#N/A,FALSE,"Operations";#N/A,#N/A,FALSE,"Financials"}</definedName>
    <definedName name="wrn.Report1." localSheetId="31" hidden="1">{#N/A,#N/A,FALSE,"Operations";#N/A,#N/A,FALSE,"Financials"}</definedName>
    <definedName name="wrn.Report1." localSheetId="37" hidden="1">{#N/A,#N/A,FALSE,"Operations";#N/A,#N/A,FALSE,"Financials"}</definedName>
    <definedName name="wrn.Report1." localSheetId="36" hidden="1">{#N/A,#N/A,FALSE,"Operations";#N/A,#N/A,FALSE,"Financials"}</definedName>
    <definedName name="wrn.Report1." hidden="1">{#N/A,#N/A,FALSE,"Operations";#N/A,#N/A,FALSE,"Financials"}</definedName>
    <definedName name="wrn.Résultat." localSheetId="35" hidden="1">{"Struct",#N/A,FALSE,"Récap Struct";"Struct",#N/A,FALSE,"Récap Struct";"Chges Total",#N/A,FALSE,"Chges Récap";"Chges Détail",#N/A,FALSE,"Chges Récap";"Struct",#N/A,FALSE,"Récap Struct";"Chges Total",#N/A,FALSE,"Chges Récap";"Chges Détail",#N/A,FALSE,"Chges Récap";"Détail",#N/A,FALSE,"Chges Détail"}</definedName>
    <definedName name="wrn.Résultat." localSheetId="31" hidden="1">{"Struct",#N/A,FALSE,"Récap Struct";"Struct",#N/A,FALSE,"Récap Struct";"Chges Total",#N/A,FALSE,"Chges Récap";"Chges Détail",#N/A,FALSE,"Chges Récap";"Struct",#N/A,FALSE,"Récap Struct";"Chges Total",#N/A,FALSE,"Chges Récap";"Chges Détail",#N/A,FALSE,"Chges Récap";"Détail",#N/A,FALSE,"Chges Détail"}</definedName>
    <definedName name="wrn.Résultat." localSheetId="37" hidden="1">{"Struct",#N/A,FALSE,"Récap Struct";"Struct",#N/A,FALSE,"Récap Struct";"Chges Total",#N/A,FALSE,"Chges Récap";"Chges Détail",#N/A,FALSE,"Chges Récap";"Struct",#N/A,FALSE,"Récap Struct";"Chges Total",#N/A,FALSE,"Chges Récap";"Chges Détail",#N/A,FALSE,"Chges Récap";"Détail",#N/A,FALSE,"Chges Détail"}</definedName>
    <definedName name="wrn.Résultat." localSheetId="36" hidden="1">{"Struct",#N/A,FALSE,"Récap Struct";"Struct",#N/A,FALSE,"Récap Struct";"Chges Total",#N/A,FALSE,"Chges Récap";"Chges Détail",#N/A,FALSE,"Chges Récap";"Struct",#N/A,FALSE,"Récap Struct";"Chges Total",#N/A,FALSE,"Chges Récap";"Chges Détail",#N/A,FALSE,"Chges Récap";"Détail",#N/A,FALSE,"Chges Détail"}</definedName>
    <definedName name="wrn.Résultat." hidden="1">{"Struct",#N/A,FALSE,"Récap Struct";"Struct",#N/A,FALSE,"Récap Struct";"Chges Total",#N/A,FALSE,"Chges Récap";"Chges Détail",#N/A,FALSE,"Chges Récap";"Struct",#N/A,FALSE,"Récap Struct";"Chges Total",#N/A,FALSE,"Chges Récap";"Chges Détail",#N/A,FALSE,"Chges Récap";"Détail",#N/A,FALSE,"Chges Détail"}</definedName>
    <definedName name="wrn.rolling._.vs._.plan._.prodaje." localSheetId="35" hidden="1">{"Usporedba rolling vs plan prodaje",#N/A,FALSE,"planiranje proizvodnje"}</definedName>
    <definedName name="wrn.rolling._.vs._.plan._.prodaje." localSheetId="31" hidden="1">{"Usporedba rolling vs plan prodaje",#N/A,FALSE,"planiranje proizvodnje"}</definedName>
    <definedName name="wrn.rolling._.vs._.plan._.prodaje." localSheetId="37" hidden="1">{"Usporedba rolling vs plan prodaje",#N/A,FALSE,"planiranje proizvodnje"}</definedName>
    <definedName name="wrn.rolling._.vs._.plan._.prodaje." localSheetId="36" hidden="1">{"Usporedba rolling vs plan prodaje",#N/A,FALSE,"planiranje proizvodnje"}</definedName>
    <definedName name="wrn.rolling._.vs._.plan._.prodaje." hidden="1">{"Usporedba rolling vs plan prodaje",#N/A,FALSE,"planiranje proizvodnje"}</definedName>
    <definedName name="wrn.sens." localSheetId="35" hidden="1">{#N/A,#N/A,FALSE,"Sensitivities";#N/A,#N/A,FALSE,"Sensitivities2"}</definedName>
    <definedName name="wrn.sens." localSheetId="31" hidden="1">{#N/A,#N/A,FALSE,"Sensitivities";#N/A,#N/A,FALSE,"Sensitivities2"}</definedName>
    <definedName name="wrn.sens." localSheetId="37" hidden="1">{#N/A,#N/A,FALSE,"Sensitivities";#N/A,#N/A,FALSE,"Sensitivities2"}</definedName>
    <definedName name="wrn.sens." localSheetId="36" hidden="1">{#N/A,#N/A,FALSE,"Sensitivities";#N/A,#N/A,FALSE,"Sensitivities2"}</definedName>
    <definedName name="wrn.sens." hidden="1">{#N/A,#N/A,FALSE,"Sensitivities";#N/A,#N/A,FALSE,"Sensitivities2"}</definedName>
    <definedName name="wrn.sens3." localSheetId="35" hidden="1">{#N/A,#N/A,TRUE,"DCF";#N/A,#N/A,TRUE,"DCF"}</definedName>
    <definedName name="wrn.sens3." localSheetId="31" hidden="1">{#N/A,#N/A,TRUE,"DCF";#N/A,#N/A,TRUE,"DCF"}</definedName>
    <definedName name="wrn.sens3." localSheetId="37" hidden="1">{#N/A,#N/A,TRUE,"DCF";#N/A,#N/A,TRUE,"DCF"}</definedName>
    <definedName name="wrn.sens3." localSheetId="36" hidden="1">{#N/A,#N/A,TRUE,"DCF";#N/A,#N/A,TRUE,"DCF"}</definedName>
    <definedName name="wrn.sens3." hidden="1">{#N/A,#N/A,TRUE,"DCF";#N/A,#N/A,TRUE,"DCF"}</definedName>
    <definedName name="wrn.sensitivity._.analyses." localSheetId="35" hidden="1">{"general",#N/A,FALSE,"Assumptions"}</definedName>
    <definedName name="wrn.sensitivity._.analyses." localSheetId="31" hidden="1">{"general",#N/A,FALSE,"Assumptions"}</definedName>
    <definedName name="wrn.sensitivity._.analyses." localSheetId="37" hidden="1">{"general",#N/A,FALSE,"Assumptions"}</definedName>
    <definedName name="wrn.sensitivity._.analyses." localSheetId="36" hidden="1">{"general",#N/A,FALSE,"Assumptions"}</definedName>
    <definedName name="wrn.sensitivity._.analyses." hidden="1">{"general",#N/A,FALSE,"Assumptions"}</definedName>
    <definedName name="wrn.SPA1." localSheetId="35" hidden="1">{#N/A,#N/A,FALSE,"RIEP"}</definedName>
    <definedName name="wrn.SPA1." localSheetId="31" hidden="1">{#N/A,#N/A,FALSE,"RIEP"}</definedName>
    <definedName name="wrn.SPA1." localSheetId="37" hidden="1">{#N/A,#N/A,FALSE,"RIEP"}</definedName>
    <definedName name="wrn.SPA1." localSheetId="36" hidden="1">{#N/A,#N/A,FALSE,"RIEP"}</definedName>
    <definedName name="wrn.SPA1." hidden="1">{#N/A,#N/A,FALSE,"RIEP"}</definedName>
    <definedName name="wrn.SPM1." localSheetId="35" hidden="1">{"SPM1",#N/A,FALSE,"RIEP"}</definedName>
    <definedName name="wrn.SPM1." localSheetId="31" hidden="1">{"SPM1",#N/A,FALSE,"RIEP"}</definedName>
    <definedName name="wrn.SPM1." localSheetId="37" hidden="1">{"SPM1",#N/A,FALSE,"RIEP"}</definedName>
    <definedName name="wrn.SPM1." localSheetId="36" hidden="1">{"SPM1",#N/A,FALSE,"RIEP"}</definedName>
    <definedName name="wrn.SPM1." hidden="1">{"SPM1",#N/A,FALSE,"RIEP"}</definedName>
    <definedName name="wrn.stand_alone." localSheetId="35" hidden="1">{#N/A,#N/A,FALSE,"CBE";#N/A,#N/A,FALSE,"SWK"}</definedName>
    <definedName name="wrn.stand_alone." localSheetId="31" hidden="1">{#N/A,#N/A,FALSE,"CBE";#N/A,#N/A,FALSE,"SWK"}</definedName>
    <definedName name="wrn.stand_alone." localSheetId="37" hidden="1">{#N/A,#N/A,FALSE,"CBE";#N/A,#N/A,FALSE,"SWK"}</definedName>
    <definedName name="wrn.stand_alone." localSheetId="36" hidden="1">{#N/A,#N/A,FALSE,"CBE";#N/A,#N/A,FALSE,"SWK"}</definedName>
    <definedName name="wrn.stand_alone." hidden="1">{#N/A,#N/A,FALSE,"CBE";#N/A,#N/A,FALSE,"SWK"}</definedName>
    <definedName name="wrn.Summary." localSheetId="35" hidden="1">{#N/A,#N/A,FALSE,"Summary3";#N/A,#N/A,FALSE,"Summary1";#N/A,#N/A,FALSE,"Summary2";#N/A,#N/A,FALSE,"Sensitivities1";#N/A,#N/A,FALSE,"Sensitivities2"}</definedName>
    <definedName name="wrn.Summary." localSheetId="31" hidden="1">{#N/A,#N/A,FALSE,"Summary3";#N/A,#N/A,FALSE,"Summary1";#N/A,#N/A,FALSE,"Summary2";#N/A,#N/A,FALSE,"Sensitivities1";#N/A,#N/A,FALSE,"Sensitivities2"}</definedName>
    <definedName name="wrn.Summary." localSheetId="37" hidden="1">{#N/A,#N/A,FALSE,"Summary3";#N/A,#N/A,FALSE,"Summary1";#N/A,#N/A,FALSE,"Summary2";#N/A,#N/A,FALSE,"Sensitivities1";#N/A,#N/A,FALSE,"Sensitivities2"}</definedName>
    <definedName name="wrn.Summary." localSheetId="36" hidden="1">{#N/A,#N/A,FALSE,"Summary3";#N/A,#N/A,FALSE,"Summary1";#N/A,#N/A,FALSE,"Summary2";#N/A,#N/A,FALSE,"Sensitivities1";#N/A,#N/A,FALSE,"Sensitivities2"}</definedName>
    <definedName name="wrn.Summary." hidden="1">{#N/A,#N/A,FALSE,"Summary3";#N/A,#N/A,FALSE,"Summary1";#N/A,#N/A,FALSE,"Summary2";#N/A,#N/A,FALSE,"Sensitivities1";#N/A,#N/A,FALSE,"Sensitivities2"}</definedName>
    <definedName name="wrn.SYNTHESE." localSheetId="35" hidden="1">{#N/A,#N/A,TRUE,"ANALYSE";#N/A,#N/A,TRUE,"PM VOLUME";#N/A,#N/A,TRUE,"PM VALEUR";#N/A,#N/A,TRUE,"AR1";#N/A,#N/A,TRUE,"AR2";#N/A,#N/A,TRUE,"RAF";#N/A,#N/A,TRUE,"BILAN";#N/A,#N/A,TRUE,"CASH FLOW";#N/A,#N/A,TRUE,"ETAT FI"}</definedName>
    <definedName name="wrn.SYNTHESE." localSheetId="31" hidden="1">{#N/A,#N/A,TRUE,"ANALYSE";#N/A,#N/A,TRUE,"PM VOLUME";#N/A,#N/A,TRUE,"PM VALEUR";#N/A,#N/A,TRUE,"AR1";#N/A,#N/A,TRUE,"AR2";#N/A,#N/A,TRUE,"RAF";#N/A,#N/A,TRUE,"BILAN";#N/A,#N/A,TRUE,"CASH FLOW";#N/A,#N/A,TRUE,"ETAT FI"}</definedName>
    <definedName name="wrn.SYNTHESE." localSheetId="37" hidden="1">{#N/A,#N/A,TRUE,"ANALYSE";#N/A,#N/A,TRUE,"PM VOLUME";#N/A,#N/A,TRUE,"PM VALEUR";#N/A,#N/A,TRUE,"AR1";#N/A,#N/A,TRUE,"AR2";#N/A,#N/A,TRUE,"RAF";#N/A,#N/A,TRUE,"BILAN";#N/A,#N/A,TRUE,"CASH FLOW";#N/A,#N/A,TRUE,"ETAT FI"}</definedName>
    <definedName name="wrn.SYNTHESE." localSheetId="36" hidden="1">{#N/A,#N/A,TRUE,"ANALYSE";#N/A,#N/A,TRUE,"PM VOLUME";#N/A,#N/A,TRUE,"PM VALEUR";#N/A,#N/A,TRUE,"AR1";#N/A,#N/A,TRUE,"AR2";#N/A,#N/A,TRUE,"RAF";#N/A,#N/A,TRUE,"BILAN";#N/A,#N/A,TRUE,"CASH FLOW";#N/A,#N/A,TRUE,"ETAT FI"}</definedName>
    <definedName name="wrn.SYNTHESE." hidden="1">{#N/A,#N/A,TRUE,"ANALYSE";#N/A,#N/A,TRUE,"PM VOLUME";#N/A,#N/A,TRUE,"PM VALEUR";#N/A,#N/A,TRUE,"AR1";#N/A,#N/A,TRUE,"AR2";#N/A,#N/A,TRUE,"RAF";#N/A,#N/A,TRUE,"BILAN";#N/A,#N/A,TRUE,"CASH FLOW";#N/A,#N/A,TRUE,"ETAT FI"}</definedName>
    <definedName name="wrn.TABLEAUX." localSheetId="35" hidden="1">{#N/A,#N/A,TRUE,"EC COMM-t";#N/A,#N/A,TRUE,"EC PAR PDTS-t";#N/A,#N/A,TRUE,"EC MAT-t";#N/A,#N/A,TRUE,"SUIVI HAUSSES-t"}</definedName>
    <definedName name="wrn.TABLEAUX." localSheetId="31" hidden="1">{#N/A,#N/A,TRUE,"EC COMM-t";#N/A,#N/A,TRUE,"EC PAR PDTS-t";#N/A,#N/A,TRUE,"EC MAT-t";#N/A,#N/A,TRUE,"SUIVI HAUSSES-t"}</definedName>
    <definedName name="wrn.TABLEAUX." localSheetId="37" hidden="1">{#N/A,#N/A,TRUE,"EC COMM-t";#N/A,#N/A,TRUE,"EC PAR PDTS-t";#N/A,#N/A,TRUE,"EC MAT-t";#N/A,#N/A,TRUE,"SUIVI HAUSSES-t"}</definedName>
    <definedName name="wrn.TABLEAUX." localSheetId="36" hidden="1">{#N/A,#N/A,TRUE,"EC COMM-t";#N/A,#N/A,TRUE,"EC PAR PDTS-t";#N/A,#N/A,TRUE,"EC MAT-t";#N/A,#N/A,TRUE,"SUIVI HAUSSES-t"}</definedName>
    <definedName name="wrn.TABLEAUX." hidden="1">{#N/A,#N/A,TRUE,"EC COMM-t";#N/A,#N/A,TRUE,"EC PAR PDTS-t";#N/A,#N/A,TRUE,"EC MAT-t";#N/A,#N/A,TRUE,"SUIVI HAUSSES-t"}</definedName>
    <definedName name="wrn.Thomas_Case." localSheetId="35" hidden="1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homas_Case." localSheetId="31" hidden="1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homas_Case." localSheetId="37" hidden="1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homas_Case." localSheetId="36" hidden="1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homas_Case." hidden="1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otalcomp." localSheetId="35" hidden="1">{"comp1",#N/A,FALSE,"COMPS";"footnotes",#N/A,FALSE,"COMPS"}</definedName>
    <definedName name="wrn.totalcomp." localSheetId="31" hidden="1">{"comp1",#N/A,FALSE,"COMPS";"footnotes",#N/A,FALSE,"COMPS"}</definedName>
    <definedName name="wrn.totalcomp." localSheetId="37" hidden="1">{"comp1",#N/A,FALSE,"COMPS";"footnotes",#N/A,FALSE,"COMPS"}</definedName>
    <definedName name="wrn.totalcomp." localSheetId="36" hidden="1">{"comp1",#N/A,FALSE,"COMPS";"footnotes",#N/A,FALSE,"COMPS"}</definedName>
    <definedName name="wrn.totalcomp." hidden="1">{"comp1",#N/A,FALSE,"COMPS";"footnotes",#N/A,FALSE,"COMPS"}</definedName>
    <definedName name="wrn.tout." localSheetId="35" hidden="1">{"detail150",#N/A,FALSE,"Sheet1";"recap",#N/A,FALSE,"Sheet1"}</definedName>
    <definedName name="wrn.tout." localSheetId="31" hidden="1">{"detail150",#N/A,FALSE,"Sheet1";"recap",#N/A,FALSE,"Sheet1"}</definedName>
    <definedName name="wrn.tout." localSheetId="37" hidden="1">{"detail150",#N/A,FALSE,"Sheet1";"recap",#N/A,FALSE,"Sheet1"}</definedName>
    <definedName name="wrn.tout." localSheetId="36" hidden="1">{"detail150",#N/A,FALSE,"Sheet1";"recap",#N/A,FALSE,"Sheet1"}</definedName>
    <definedName name="wrn.tout." hidden="1">{"detail150",#N/A,FALSE,"Sheet1";"recap",#N/A,FALSE,"Sheet1"}</definedName>
    <definedName name="wrn.trans._.sum." localSheetId="35" hidden="1">{"trans assumptions",#N/A,FALSE,"Merger";"trans accretion",#N/A,FALSE,"Merger"}</definedName>
    <definedName name="wrn.trans._.sum." localSheetId="31" hidden="1">{"trans assumptions",#N/A,FALSE,"Merger";"trans accretion",#N/A,FALSE,"Merger"}</definedName>
    <definedName name="wrn.trans._.sum." localSheetId="37" hidden="1">{"trans assumptions",#N/A,FALSE,"Merger";"trans accretion",#N/A,FALSE,"Merger"}</definedName>
    <definedName name="wrn.trans._.sum." localSheetId="36" hidden="1">{"trans assumptions",#N/A,FALSE,"Merger";"trans accretion",#N/A,FALSE,"Merger"}</definedName>
    <definedName name="wrn.trans._.sum." hidden="1">{"trans assumptions",#N/A,FALSE,"Merger";"trans accretion",#N/A,FALSE,"Merger"}</definedName>
    <definedName name="wrn.up." localSheetId="35" hidden="1">{"up stand alones",#N/A,FALSE,"Acquiror"}</definedName>
    <definedName name="wrn.up." localSheetId="31" hidden="1">{"up stand alones",#N/A,FALSE,"Acquiror"}</definedName>
    <definedName name="wrn.up." localSheetId="37" hidden="1">{"up stand alones",#N/A,FALSE,"Acquiror"}</definedName>
    <definedName name="wrn.up." localSheetId="36" hidden="1">{"up stand alones",#N/A,FALSE,"Acquiror"}</definedName>
    <definedName name="wrn.up." hidden="1">{"up stand alones",#N/A,FALSE,"Acquiror"}</definedName>
    <definedName name="wrn.vd." localSheetId="4" hidden="1">{#N/A,#N/A,TRUE,"BT M200 da 10x20"}</definedName>
    <definedName name="wrn.vd." localSheetId="35" hidden="1">{#N/A,#N/A,TRUE,"BT M200 da 10x20"}</definedName>
    <definedName name="wrn.vd." localSheetId="31" hidden="1">{#N/A,#N/A,TRUE,"BT M200 da 10x20"}</definedName>
    <definedName name="wrn.vd." localSheetId="37" hidden="1">{#N/A,#N/A,TRUE,"BT M200 da 10x20"}</definedName>
    <definedName name="wrn.vd." localSheetId="38" hidden="1">{#N/A,#N/A,TRUE,"BT M200 da 10x20"}</definedName>
    <definedName name="wrn.vd." localSheetId="7" hidden="1">{#N/A,#N/A,TRUE,"BT M200 da 10x20"}</definedName>
    <definedName name="wrn.vd." localSheetId="36" hidden="1">{#N/A,#N/A,TRUE,"BT M200 da 10x20"}</definedName>
    <definedName name="wrn.vd." localSheetId="21" hidden="1">{#N/A,#N/A,TRUE,"BT M200 da 10x20"}</definedName>
    <definedName name="wrn.vd." localSheetId="30" hidden="1">{#N/A,#N/A,TRUE,"BT M200 da 10x20"}</definedName>
    <definedName name="wrn.vd." localSheetId="34" hidden="1">{#N/A,#N/A,TRUE,"BT M200 da 10x20"}</definedName>
    <definedName name="wrn.vd." localSheetId="33" hidden="1">{#N/A,#N/A,TRUE,"BT M200 da 10x20"}</definedName>
    <definedName name="wrn.vd." localSheetId="6" hidden="1">{#N/A,#N/A,TRUE,"BT M200 da 10x20"}</definedName>
    <definedName name="wrn.vd." hidden="1">{#N/A,#N/A,TRUE,"BT M200 da 10x20"}</definedName>
    <definedName name="wrn.Zaliha." localSheetId="35" hidden="1">{"Zaliha gotove robe",#N/A,FALSE,"zaliha"}</definedName>
    <definedName name="wrn.Zaliha." localSheetId="31" hidden="1">{"Zaliha gotove robe",#N/A,FALSE,"zaliha"}</definedName>
    <definedName name="wrn.Zaliha." localSheetId="37" hidden="1">{"Zaliha gotove robe",#N/A,FALSE,"zaliha"}</definedName>
    <definedName name="wrn.Zaliha." localSheetId="36" hidden="1">{"Zaliha gotove robe",#N/A,FALSE,"zaliha"}</definedName>
    <definedName name="wrn.Zaliha." hidden="1">{"Zaliha gotove robe",#N/A,FALSE,"zaliha"}</definedName>
    <definedName name="wrn1.CCC." localSheetId="35" hidden="1">{"QQQ",#N/A,FALSE,"RIEP"}</definedName>
    <definedName name="wrn1.CCC." localSheetId="31" hidden="1">{"QQQ",#N/A,FALSE,"RIEP"}</definedName>
    <definedName name="wrn1.CCC." localSheetId="37" hidden="1">{"QQQ",#N/A,FALSE,"RIEP"}</definedName>
    <definedName name="wrn1.CCC." localSheetId="36" hidden="1">{"QQQ",#N/A,FALSE,"RIEP"}</definedName>
    <definedName name="wrn1.CCC." hidden="1">{"QQQ",#N/A,FALSE,"RIEP"}</definedName>
    <definedName name="WRN2.Document" localSheetId="35" hidden="1">{"consolidated",#N/A,FALSE,"Sheet1";"cms",#N/A,FALSE,"Sheet1";"fse",#N/A,FALSE,"Sheet1"}</definedName>
    <definedName name="WRN2.Document" localSheetId="31" hidden="1">{"consolidated",#N/A,FALSE,"Sheet1";"cms",#N/A,FALSE,"Sheet1";"fse",#N/A,FALSE,"Sheet1"}</definedName>
    <definedName name="WRN2.Document" localSheetId="37" hidden="1">{"consolidated",#N/A,FALSE,"Sheet1";"cms",#N/A,FALSE,"Sheet1";"fse",#N/A,FALSE,"Sheet1"}</definedName>
    <definedName name="WRN2.Document" localSheetId="36" hidden="1">{"consolidated",#N/A,FALSE,"Sheet1";"cms",#N/A,FALSE,"Sheet1";"fse",#N/A,FALSE,"Sheet1"}</definedName>
    <definedName name="WRN2.Document" hidden="1">{"consolidated",#N/A,FALSE,"Sheet1";"cms",#N/A,FALSE,"Sheet1";"fse",#N/A,FALSE,"Sheet1"}</definedName>
    <definedName name="wt" localSheetId="35" hidden="1">{"comps2_1",#N/A,FALSE,"Comps2";"comps2_2",#N/A,FALSE,"Comps2";"comps2_3",#N/A,FALSE,"Comps2";"comps2_4",#N/A,FALSE,"Comps2";"comps2_5",#N/A,FALSE,"Comps2"}</definedName>
    <definedName name="wt" localSheetId="31" hidden="1">{"comps2_1",#N/A,FALSE,"Comps2";"comps2_2",#N/A,FALSE,"Comps2";"comps2_3",#N/A,FALSE,"Comps2";"comps2_4",#N/A,FALSE,"Comps2";"comps2_5",#N/A,FALSE,"Comps2"}</definedName>
    <definedName name="wt" localSheetId="37" hidden="1">{"comps2_1",#N/A,FALSE,"Comps2";"comps2_2",#N/A,FALSE,"Comps2";"comps2_3",#N/A,FALSE,"Comps2";"comps2_4",#N/A,FALSE,"Comps2";"comps2_5",#N/A,FALSE,"Comps2"}</definedName>
    <definedName name="wt" localSheetId="36" hidden="1">{"comps2_1",#N/A,FALSE,"Comps2";"comps2_2",#N/A,FALSE,"Comps2";"comps2_3",#N/A,FALSE,"Comps2";"comps2_4",#N/A,FALSE,"Comps2";"comps2_5",#N/A,FALSE,"Comps2"}</definedName>
    <definedName name="wt" hidden="1">{"comps2_1",#N/A,FALSE,"Comps2";"comps2_2",#N/A,FALSE,"Comps2";"comps2_3",#N/A,FALSE,"Comps2";"comps2_4",#N/A,FALSE,"Comps2";"comps2_5",#N/A,FALSE,"Comps2"}</definedName>
    <definedName name="ww" hidden="1">#REF!</definedName>
    <definedName name="wwq" localSheetId="31" hidden="1">#REF!</definedName>
    <definedName name="wwq" hidden="1">#REF!</definedName>
    <definedName name="www" localSheetId="35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ww" localSheetId="31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ww" localSheetId="37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ww" localSheetId="36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ww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www" localSheetId="35" hidden="1">{#N/A,#N/A,FALSE,"RIEP"}</definedName>
    <definedName name="wwww" localSheetId="31" hidden="1">{#N/A,#N/A,FALSE,"RIEP"}</definedName>
    <definedName name="wwww" localSheetId="37" hidden="1">{#N/A,#N/A,FALSE,"RIEP"}</definedName>
    <definedName name="wwww" localSheetId="36" hidden="1">{#N/A,#N/A,FALSE,"RIEP"}</definedName>
    <definedName name="wwww" hidden="1">{#N/A,#N/A,FALSE,"RIEP"}</definedName>
    <definedName name="wwwwww" localSheetId="3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wwwwww" localSheetId="3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wwwwww" localSheetId="37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wwwwww" localSheetId="36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wwwwww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wwwwwwwwwwww" localSheetId="35" hidden="1">{"QQQ",#N/A,FALSE,"RIEP"}</definedName>
    <definedName name="wwwwwwwwwwww" localSheetId="31" hidden="1">{"QQQ",#N/A,FALSE,"RIEP"}</definedName>
    <definedName name="wwwwwwwwwwww" localSheetId="37" hidden="1">{"QQQ",#N/A,FALSE,"RIEP"}</definedName>
    <definedName name="wwwwwwwwwwww" localSheetId="36" hidden="1">{"QQQ",#N/A,FALSE,"RIEP"}</definedName>
    <definedName name="wwwwwwwwwwww" hidden="1">{"QQQ",#N/A,FALSE,"RIEP"}</definedName>
    <definedName name="wwwwwwwwwwwwwwwwwwwwwwwwwww" localSheetId="35" hidden="1">{"SPM1",#N/A,FALSE,"RIEP"}</definedName>
    <definedName name="wwwwwwwwwwwwwwwwwwwwwwwwwww" localSheetId="31" hidden="1">{"SPM1",#N/A,FALSE,"RIEP"}</definedName>
    <definedName name="wwwwwwwwwwwwwwwwwwwwwwwwwww" localSheetId="37" hidden="1">{"SPM1",#N/A,FALSE,"RIEP"}</definedName>
    <definedName name="wwwwwwwwwwwwwwwwwwwwwwwwwww" localSheetId="36" hidden="1">{"SPM1",#N/A,FALSE,"RIEP"}</definedName>
    <definedName name="wwwwwwwwwwwwwwwwwwwwwwwwwww" hidden="1">{"SPM1",#N/A,FALSE,"RIEP"}</definedName>
    <definedName name="x" localSheetId="35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x" localSheetId="3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x" localSheetId="37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x" localSheetId="36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x" localSheetId="33">#REF!</definedName>
    <definedName name="x">#REF!</definedName>
    <definedName name="X1pFCOnc" localSheetId="33">#REF!</definedName>
    <definedName name="X1pFCOnc">#REF!</definedName>
    <definedName name="X1pFCOvc" localSheetId="31">#REF!</definedName>
    <definedName name="X1pFCOvc" localSheetId="33">#REF!</definedName>
    <definedName name="X1pFCOvc">#REF!</definedName>
    <definedName name="X1pFCOvl" localSheetId="31">#REF!</definedName>
    <definedName name="X1pFCOvl" localSheetId="33">#REF!</definedName>
    <definedName name="X1pFCOvl">#REF!</definedName>
    <definedName name="X1pIGnc" localSheetId="31">#REF!</definedName>
    <definedName name="X1pIGnc" localSheetId="33">#REF!</definedName>
    <definedName name="X1pIGnc">#REF!</definedName>
    <definedName name="X1pIGvc" localSheetId="31">#REF!</definedName>
    <definedName name="X1pIGvc" localSheetId="33">#REF!</definedName>
    <definedName name="X1pIGvc">#REF!</definedName>
    <definedName name="X1pIGvl" localSheetId="31">#REF!</definedName>
    <definedName name="X1pIGvl" localSheetId="33">#REF!</definedName>
    <definedName name="X1pIGvl">#REF!</definedName>
    <definedName name="X1pINDnc" localSheetId="31">#REF!</definedName>
    <definedName name="X1pINDnc" localSheetId="33">#REF!</definedName>
    <definedName name="X1pINDnc">#REF!</definedName>
    <definedName name="X1pINDvc" localSheetId="31">#REF!</definedName>
    <definedName name="X1pINDvc" localSheetId="33">#REF!</definedName>
    <definedName name="X1pINDvc">#REF!</definedName>
    <definedName name="X1pINDvl" localSheetId="31">#REF!</definedName>
    <definedName name="X1pINDvl" localSheetId="33">#REF!</definedName>
    <definedName name="X1pINDvl">#REF!</definedName>
    <definedName name="X1pINGnc" localSheetId="31">#REF!</definedName>
    <definedName name="X1pINGnc" localSheetId="33">#REF!</definedName>
    <definedName name="X1pINGnc">#REF!</definedName>
    <definedName name="X1pINGvc" localSheetId="31">#REF!</definedName>
    <definedName name="X1pINGvc" localSheetId="33">#REF!</definedName>
    <definedName name="X1pINGvc">#REF!</definedName>
    <definedName name="X1pINGvl" localSheetId="31">#REF!</definedName>
    <definedName name="X1pINGvl" localSheetId="33">#REF!</definedName>
    <definedName name="X1pINGvl">#REF!</definedName>
    <definedName name="X1pINTnc" localSheetId="31">#REF!</definedName>
    <definedName name="X1pINTnc" localSheetId="33">#REF!</definedName>
    <definedName name="X1pINTnc">#REF!</definedName>
    <definedName name="X1pINTvc" localSheetId="31">#REF!</definedName>
    <definedName name="X1pINTvc" localSheetId="33">#REF!</definedName>
    <definedName name="X1pINTvc">#REF!</definedName>
    <definedName name="X1pINTvl" localSheetId="31">#REF!</definedName>
    <definedName name="X1pINTvl" localSheetId="33">#REF!</definedName>
    <definedName name="X1pINTvl">#REF!</definedName>
    <definedName name="X1pITnc" localSheetId="31">#REF!</definedName>
    <definedName name="X1pITnc" localSheetId="33">#REF!</definedName>
    <definedName name="X1pITnc">#REF!</definedName>
    <definedName name="X1pITvc" localSheetId="31">#REF!</definedName>
    <definedName name="X1pITvc" localSheetId="33">#REF!</definedName>
    <definedName name="X1pITvc">#REF!</definedName>
    <definedName name="X1pITvl" localSheetId="31">#REF!</definedName>
    <definedName name="X1pITvl" localSheetId="33">#REF!</definedName>
    <definedName name="X1pITvl">#REF!</definedName>
    <definedName name="x1pind" localSheetId="31">#REF!</definedName>
    <definedName name="x1pind" localSheetId="33">#REF!</definedName>
    <definedName name="x1pind">#REF!</definedName>
    <definedName name="x1ping" localSheetId="31">#REF!</definedName>
    <definedName name="x1ping" localSheetId="33">#REF!</definedName>
    <definedName name="x1ping">#REF!</definedName>
    <definedName name="x1pint" localSheetId="31">#REF!</definedName>
    <definedName name="x1pint" localSheetId="33">#REF!</definedName>
    <definedName name="x1pint">#REF!</definedName>
    <definedName name="xa1pm" localSheetId="31">#REF!</definedName>
    <definedName name="xa1pm" localSheetId="33">#REF!</definedName>
    <definedName name="xa1pm">#REF!</definedName>
    <definedName name="xa3pm" localSheetId="31">#REF!</definedName>
    <definedName name="xa3pm" localSheetId="33">#REF!</definedName>
    <definedName name="xa3pm">#REF!</definedName>
    <definedName name="xact" localSheetId="31">#REF!</definedName>
    <definedName name="xact" localSheetId="33">#REF!</definedName>
    <definedName name="xact">#REF!</definedName>
    <definedName name="XCCT">0.5</definedName>
    <definedName name="xfco" localSheetId="33">#REF!</definedName>
    <definedName name="xfco">#REF!</definedName>
    <definedName name="xfco3p" localSheetId="31">#REF!</definedName>
    <definedName name="xfco3p" localSheetId="33">#REF!</definedName>
    <definedName name="xfco3p">#REF!</definedName>
    <definedName name="XFCOnc" localSheetId="31">#REF!</definedName>
    <definedName name="XFCOnc" localSheetId="33">#REF!</definedName>
    <definedName name="XFCOnc">#REF!</definedName>
    <definedName name="xfcotnc" localSheetId="31">#REF!</definedName>
    <definedName name="xfcotnc" localSheetId="33">#REF!</definedName>
    <definedName name="xfcotnc">#REF!</definedName>
    <definedName name="xfcotvl" localSheetId="31">#REF!</definedName>
    <definedName name="xfcotvl" localSheetId="33">#REF!</definedName>
    <definedName name="xfcotvl">#REF!</definedName>
    <definedName name="XFCOvc" localSheetId="31">#REF!</definedName>
    <definedName name="XFCOvc" localSheetId="33">#REF!</definedName>
    <definedName name="XFCOvc">#REF!</definedName>
    <definedName name="XFCOvl" localSheetId="31">#REF!</definedName>
    <definedName name="XFCOvl" localSheetId="33">#REF!</definedName>
    <definedName name="XFCOvl">#REF!</definedName>
    <definedName name="xh" localSheetId="31">#REF!</definedName>
    <definedName name="xh" localSheetId="33">#REF!</definedName>
    <definedName name="xh">#REF!</definedName>
    <definedName name="xhn" localSheetId="31">#REF!</definedName>
    <definedName name="xhn" localSheetId="33">#REF!</definedName>
    <definedName name="xhn">#REF!</definedName>
    <definedName name="XIG1nc" localSheetId="31">#REF!</definedName>
    <definedName name="XIG1nc" localSheetId="33">#REF!</definedName>
    <definedName name="XIG1nc">#REF!</definedName>
    <definedName name="XIG1vl" localSheetId="31">#REF!</definedName>
    <definedName name="XIG1vl" localSheetId="33">#REF!</definedName>
    <definedName name="XIG1vl">#REF!</definedName>
    <definedName name="XIGnc" localSheetId="31">#REF!</definedName>
    <definedName name="XIGnc" localSheetId="33">#REF!</definedName>
    <definedName name="XIGnc">#REF!</definedName>
    <definedName name="XIGvc" localSheetId="31">#REF!</definedName>
    <definedName name="XIGvc" localSheetId="33">#REF!</definedName>
    <definedName name="XIGvc">#REF!</definedName>
    <definedName name="XIGvl" localSheetId="31">#REF!</definedName>
    <definedName name="XIGvl" localSheetId="33">#REF!</definedName>
    <definedName name="XIGvl">#REF!</definedName>
    <definedName name="XIN190nc" localSheetId="31">#REF!</definedName>
    <definedName name="XIN190nc" localSheetId="33">#REF!</definedName>
    <definedName name="XIN190nc">#REF!</definedName>
    <definedName name="XIN190vc" localSheetId="31">#REF!</definedName>
    <definedName name="XIN190vc" localSheetId="33">#REF!</definedName>
    <definedName name="XIN190vc">#REF!</definedName>
    <definedName name="XIN190vl" localSheetId="31">#REF!</definedName>
    <definedName name="XIN190vl" localSheetId="33">#REF!</definedName>
    <definedName name="XIN190vl">#REF!</definedName>
    <definedName name="XINDnc" localSheetId="31">#REF!</definedName>
    <definedName name="XINDnc" localSheetId="33">#REF!</definedName>
    <definedName name="XINDnc">#REF!</definedName>
    <definedName name="XINDvc" localSheetId="31">#REF!</definedName>
    <definedName name="XINDvc" localSheetId="33">#REF!</definedName>
    <definedName name="XINDvc">#REF!</definedName>
    <definedName name="XINDvl" localSheetId="31">#REF!</definedName>
    <definedName name="XINDvl" localSheetId="33">#REF!</definedName>
    <definedName name="XINDvl">#REF!</definedName>
    <definedName name="XINnc" localSheetId="31">#REF!</definedName>
    <definedName name="XINnc" localSheetId="33">#REF!</definedName>
    <definedName name="XINnc">#REF!</definedName>
    <definedName name="XINvc" localSheetId="31">#REF!</definedName>
    <definedName name="XINvc" localSheetId="33">#REF!</definedName>
    <definedName name="XINvc">#REF!</definedName>
    <definedName name="XINvl" localSheetId="31">#REF!</definedName>
    <definedName name="XINvl" localSheetId="33">#REF!</definedName>
    <definedName name="XINvl">#REF!</definedName>
    <definedName name="XIT1nc" localSheetId="31">#REF!</definedName>
    <definedName name="XIT1nc" localSheetId="33">#REF!</definedName>
    <definedName name="XIT1nc">#REF!</definedName>
    <definedName name="XIT1vl" localSheetId="31">#REF!</definedName>
    <definedName name="XIT1vl" localSheetId="33">#REF!</definedName>
    <definedName name="XIT1vl">#REF!</definedName>
    <definedName name="XITnc" localSheetId="31">#REF!</definedName>
    <definedName name="XITnc" localSheetId="33">#REF!</definedName>
    <definedName name="XITnc">#REF!</definedName>
    <definedName name="XITvc" localSheetId="31">#REF!</definedName>
    <definedName name="XITvc" localSheetId="33">#REF!</definedName>
    <definedName name="XITvc">#REF!</definedName>
    <definedName name="XITvl" localSheetId="31">#REF!</definedName>
    <definedName name="XITvl" localSheetId="33">#REF!</definedName>
    <definedName name="XITvl">#REF!</definedName>
    <definedName name="xig" localSheetId="31">#REF!</definedName>
    <definedName name="xig" localSheetId="33">#REF!</definedName>
    <definedName name="xig">#REF!</definedName>
    <definedName name="xig1" localSheetId="31">#REF!</definedName>
    <definedName name="xig1" localSheetId="33">#REF!</definedName>
    <definedName name="xig1">#REF!</definedName>
    <definedName name="xig1p" localSheetId="31">#REF!</definedName>
    <definedName name="xig1p" localSheetId="33">#REF!</definedName>
    <definedName name="xig1p">#REF!</definedName>
    <definedName name="xig3p" localSheetId="31">#REF!</definedName>
    <definedName name="xig3p" localSheetId="33">#REF!</definedName>
    <definedName name="xig3p">#REF!</definedName>
    <definedName name="xin" localSheetId="31">#REF!</definedName>
    <definedName name="xin" localSheetId="33">#REF!</definedName>
    <definedName name="xin">#REF!</definedName>
    <definedName name="xin190" localSheetId="31">#REF!</definedName>
    <definedName name="xin190" localSheetId="33">#REF!</definedName>
    <definedName name="xin190">#REF!</definedName>
    <definedName name="xin1903p" localSheetId="31">#REF!</definedName>
    <definedName name="xin1903p" localSheetId="33">#REF!</definedName>
    <definedName name="xin1903p">#REF!</definedName>
    <definedName name="xin3p" localSheetId="31">#REF!</definedName>
    <definedName name="xin3p" localSheetId="33">#REF!</definedName>
    <definedName name="xin3p">#REF!</definedName>
    <definedName name="xind" localSheetId="31">#REF!</definedName>
    <definedName name="xind" localSheetId="33">#REF!</definedName>
    <definedName name="xind">#REF!</definedName>
    <definedName name="xind1p" localSheetId="31">#REF!</definedName>
    <definedName name="xind1p" localSheetId="33">#REF!</definedName>
    <definedName name="xind1p">#REF!</definedName>
    <definedName name="xind3p" localSheetId="31">#REF!</definedName>
    <definedName name="xind3p" localSheetId="33">#REF!</definedName>
    <definedName name="xind3p">#REF!</definedName>
    <definedName name="xindnc1p" localSheetId="31">#REF!</definedName>
    <definedName name="xindnc1p" localSheetId="33">#REF!</definedName>
    <definedName name="xindnc1p">#REF!</definedName>
    <definedName name="xindvl1p" localSheetId="31">#REF!</definedName>
    <definedName name="xindvl1p" localSheetId="33">#REF!</definedName>
    <definedName name="xindvl1p">#REF!</definedName>
    <definedName name="xing1p" localSheetId="31">#REF!</definedName>
    <definedName name="xing1p" localSheetId="33">#REF!</definedName>
    <definedName name="xing1p">#REF!</definedName>
    <definedName name="xingnc1p" localSheetId="31">#REF!</definedName>
    <definedName name="xingnc1p" localSheetId="33">#REF!</definedName>
    <definedName name="xingnc1p">#REF!</definedName>
    <definedName name="xingvl1p" localSheetId="31">#REF!</definedName>
    <definedName name="xingvl1p" localSheetId="33">#REF!</definedName>
    <definedName name="xingvl1p">#REF!</definedName>
    <definedName name="xint1p" localSheetId="31">#REF!</definedName>
    <definedName name="xint1p" localSheetId="33">#REF!</definedName>
    <definedName name="xint1p">#REF!</definedName>
    <definedName name="xit" localSheetId="31">#REF!</definedName>
    <definedName name="xit" localSheetId="33">#REF!</definedName>
    <definedName name="xit">#REF!</definedName>
    <definedName name="xit1" localSheetId="31">#REF!</definedName>
    <definedName name="xit1" localSheetId="33">#REF!</definedName>
    <definedName name="xit1">#REF!</definedName>
    <definedName name="xit1p" localSheetId="31">#REF!</definedName>
    <definedName name="xit1p" localSheetId="33">#REF!</definedName>
    <definedName name="xit1p">#REF!</definedName>
    <definedName name="xit3p" localSheetId="31">#REF!</definedName>
    <definedName name="xit3p" localSheetId="33">#REF!</definedName>
    <definedName name="xit3p">#REF!</definedName>
    <definedName name="xlbs" localSheetId="31">#REF!</definedName>
    <definedName name="xlbs" localSheetId="33">#REF!</definedName>
    <definedName name="xlbs">#REF!</definedName>
    <definedName name="xmcax" localSheetId="31">#REF!</definedName>
    <definedName name="xmcax" localSheetId="33">#REF!</definedName>
    <definedName name="xmcax">#REF!</definedName>
    <definedName name="xn" localSheetId="31">#REF!</definedName>
    <definedName name="xn" localSheetId="33">#REF!</definedName>
    <definedName name="xn">#REF!</definedName>
    <definedName name="XVCWXV" localSheetId="31" hidden="1">#REF!</definedName>
    <definedName name="XVCWXV" hidden="1">#REF!</definedName>
    <definedName name="xxx" localSheetId="31">#REF!</definedName>
    <definedName name="xxx" localSheetId="33">#REF!</definedName>
    <definedName name="xxx">#REF!</definedName>
    <definedName name="Y" localSheetId="35">#REF!</definedName>
    <definedName name="Y" localSheetId="31">#REF!</definedName>
    <definedName name="Y" localSheetId="37">#REF!</definedName>
    <definedName name="Y" localSheetId="36">#REF!</definedName>
    <definedName name="y" localSheetId="33">#REF!,#REF!,#REF!,#REF!,#REF!</definedName>
    <definedName name="y">#REF!,#REF!,#REF!,#REF!,#REF!</definedName>
    <definedName name="Y_1" localSheetId="31">#REF!</definedName>
    <definedName name="Y_1">#REF!</definedName>
    <definedName name="Y_2" localSheetId="31">#REF!</definedName>
    <definedName name="Y_2">#REF!</definedName>
    <definedName name="Y_3" localSheetId="31">#REF!</definedName>
    <definedName name="Y_3">#REF!</definedName>
    <definedName name="Y_N" localSheetId="35">#REF!</definedName>
    <definedName name="Y_N" localSheetId="31">#REF!</definedName>
    <definedName name="Y_N" localSheetId="37">#REF!</definedName>
    <definedName name="Y_N" localSheetId="36">#REF!</definedName>
    <definedName name="Y_N" localSheetId="30">#REF!</definedName>
    <definedName name="Y_N" localSheetId="34">#REF!</definedName>
    <definedName name="Y_N">#REF!</definedName>
    <definedName name="YA_1" localSheetId="31">#REF!</definedName>
    <definedName name="YA_1">#REF!</definedName>
    <definedName name="YA_2" localSheetId="31">#REF!</definedName>
    <definedName name="YA_2">#REF!</definedName>
    <definedName name="YB" localSheetId="31">#REF!</definedName>
    <definedName name="YB">#REF!</definedName>
    <definedName name="YB_1" localSheetId="31">#REF!</definedName>
    <definedName name="YB_1">#REF!</definedName>
    <definedName name="ybukkbyitkituk" localSheetId="35" hidden="1">{#N/A,#N/A,FALSE,"RIEP"}</definedName>
    <definedName name="ybukkbyitkituk" localSheetId="31" hidden="1">{#N/A,#N/A,FALSE,"RIEP"}</definedName>
    <definedName name="ybukkbyitkituk" localSheetId="37" hidden="1">{#N/A,#N/A,FALSE,"RIEP"}</definedName>
    <definedName name="ybukkbyitkituk" localSheetId="36" hidden="1">{#N/A,#N/A,FALSE,"RIEP"}</definedName>
    <definedName name="ybukkbyitkituk" hidden="1">{#N/A,#N/A,FALSE,"RIEP"}</definedName>
    <definedName name="YE">#REF!</definedName>
    <definedName name="YE_1" localSheetId="31">#REF!</definedName>
    <definedName name="YE_1">#REF!</definedName>
    <definedName name="Year" localSheetId="31">#REF!</definedName>
    <definedName name="Year">#REF!</definedName>
    <definedName name="YearMonth" localSheetId="31">#REF!&amp;""&amp;#REF!</definedName>
    <definedName name="YearMonth" localSheetId="30">#REF!&amp;""&amp;#REF!</definedName>
    <definedName name="YearMonth" localSheetId="34">#REF!&amp;""&amp;#REF!</definedName>
    <definedName name="YearMonth">#REF!&amp;""&amp;#REF!</definedName>
    <definedName name="yen" localSheetId="4" hidden="1">{#N/A,#N/A,FALSE,"Chi tiÆt"}</definedName>
    <definedName name="yen" localSheetId="35" hidden="1">{#N/A,#N/A,FALSE,"Chi tiÆt"}</definedName>
    <definedName name="yen" localSheetId="31" hidden="1">{#N/A,#N/A,FALSE,"Chi tiÆt"}</definedName>
    <definedName name="yen" localSheetId="37" hidden="1">{#N/A,#N/A,FALSE,"Chi tiÆt"}</definedName>
    <definedName name="yen" localSheetId="38" hidden="1">{#N/A,#N/A,FALSE,"Chi tiÆt"}</definedName>
    <definedName name="yen" localSheetId="7" hidden="1">{#N/A,#N/A,FALSE,"Chi tiÆt"}</definedName>
    <definedName name="yen" localSheetId="36" hidden="1">{#N/A,#N/A,FALSE,"Chi tiÆt"}</definedName>
    <definedName name="yen" localSheetId="21" hidden="1">{#N/A,#N/A,FALSE,"Chi tiÆt"}</definedName>
    <definedName name="yen" localSheetId="30" hidden="1">{#N/A,#N/A,FALSE,"Chi tiÆt"}</definedName>
    <definedName name="yen" localSheetId="34" hidden="1">{#N/A,#N/A,FALSE,"Chi tiÆt"}</definedName>
    <definedName name="yen" localSheetId="33" hidden="1">{#N/A,#N/A,FALSE,"Chi tiÆt"}</definedName>
    <definedName name="yen" localSheetId="6" hidden="1">{#N/A,#N/A,FALSE,"Chi tiÆt"}</definedName>
    <definedName name="yen" hidden="1">{#N/A,#N/A,FALSE,"Chi tiÆt"}</definedName>
    <definedName name="yertyyyy" localSheetId="3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ertyyyy" localSheetId="3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ertyyyy" localSheetId="37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ertyyyy" localSheetId="36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ertyyyy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ES_NO">#REF!</definedName>
    <definedName name="yeyyyy" localSheetId="3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eyyyy" localSheetId="3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eyyyy" localSheetId="37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eyyyy" localSheetId="36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eyyyy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J" localSheetId="33">#REF!</definedName>
    <definedName name="YJ">#REF!</definedName>
    <definedName name="yrnukuilky8u" localSheetId="35" hidden="1">{"QQQ",#N/A,FALSE,"RIEP"}</definedName>
    <definedName name="yrnukuilky8u" localSheetId="31" hidden="1">{"QQQ",#N/A,FALSE,"RIEP"}</definedName>
    <definedName name="yrnukuilky8u" localSheetId="37" hidden="1">{"QQQ",#N/A,FALSE,"RIEP"}</definedName>
    <definedName name="yrnukuilky8u" localSheetId="36" hidden="1">{"QQQ",#N/A,FALSE,"RIEP"}</definedName>
    <definedName name="yrnukuilky8u" hidden="1">{"QQQ",#N/A,FALSE,"RIEP"}</definedName>
    <definedName name="yt" localSheetId="33">#REF!</definedName>
    <definedName name="yt">#REF!</definedName>
    <definedName name="YTD" localSheetId="31">#REF!</definedName>
    <definedName name="YTD">#REF!</definedName>
    <definedName name="YTD_past" localSheetId="31">#REF!</definedName>
    <definedName name="YTD_past">#REF!</definedName>
    <definedName name="YTD_Query" localSheetId="31">#REF!</definedName>
    <definedName name="YTD_Query">#REF!</definedName>
    <definedName name="YTD_Query_23" localSheetId="31">#REF!</definedName>
    <definedName name="YTD_Query_23">#REF!</definedName>
    <definedName name="YTD_Query_3" localSheetId="31">#REF!</definedName>
    <definedName name="YTD_Query_3">#REF!</definedName>
    <definedName name="YTD_to" localSheetId="31">#REF!</definedName>
    <definedName name="YTD_to">#REF!</definedName>
    <definedName name="YTDTY" localSheetId="31">#REF!</definedName>
    <definedName name="YTDTY">#REF!</definedName>
    <definedName name="yu" localSheetId="31">#REF!</definedName>
    <definedName name="yu" localSheetId="33">#REF!</definedName>
    <definedName name="yu">#REF!</definedName>
    <definedName name="YY" localSheetId="35" hidden="1">{#N/A,#N/A,FALSE,"RIEP"}</definedName>
    <definedName name="YY" localSheetId="31" hidden="1">{#N/A,#N/A,FALSE,"RIEP"}</definedName>
    <definedName name="YY" localSheetId="37" hidden="1">{#N/A,#N/A,FALSE,"RIEP"}</definedName>
    <definedName name="YY" localSheetId="36" hidden="1">{#N/A,#N/A,FALSE,"RIEP"}</definedName>
    <definedName name="YY" hidden="1">{#N/A,#N/A,FALSE,"RIEP"}</definedName>
    <definedName name="yyqeyqy" localSheetId="3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yqeyqy" localSheetId="3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yqeyqy" localSheetId="37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yqeyqy" localSheetId="36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yqeyqy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yyyy" localSheetId="3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yyyy" localSheetId="3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yyyy" localSheetId="37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yyyy" localSheetId="36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yyyy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yyyyy" localSheetId="3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yyyyy" localSheetId="3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yyyyy" localSheetId="37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yyyyy" localSheetId="36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yyyyy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" localSheetId="33">#REF!</definedName>
    <definedName name="Z">#REF!</definedName>
    <definedName name="Z_2891AF67_639B_11D2_AA4E_AB73DC59AB4D_.wvu.PrintArea" localSheetId="31" hidden="1">#REF!</definedName>
    <definedName name="Z_2891AF67_639B_11D2_AA4E_AB73DC59AB4D_.wvu.PrintArea" hidden="1">#REF!</definedName>
    <definedName name="Z_2891AF68_639B_11D2_AA4E_AB73DC59AB4D_.wvu.PrintArea" localSheetId="31" hidden="1">#REF!</definedName>
    <definedName name="Z_2891AF68_639B_11D2_AA4E_AB73DC59AB4D_.wvu.PrintArea" hidden="1">#REF!</definedName>
    <definedName name="ZC_NO_B">"WJG"</definedName>
    <definedName name="ZC_NO_H">"WJG"</definedName>
    <definedName name="zedaqzd" localSheetId="35" hidden="1">{#N/A,#N/A,FALSE,"Operations";#N/A,#N/A,FALSE,"Financials"}</definedName>
    <definedName name="zedaqzd" localSheetId="31" hidden="1">{#N/A,#N/A,FALSE,"Operations";#N/A,#N/A,FALSE,"Financials"}</definedName>
    <definedName name="zedaqzd" localSheetId="37" hidden="1">{#N/A,#N/A,FALSE,"Operations";#N/A,#N/A,FALSE,"Financials"}</definedName>
    <definedName name="zedaqzd" localSheetId="36" hidden="1">{#N/A,#N/A,FALSE,"Operations";#N/A,#N/A,FALSE,"Financials"}</definedName>
    <definedName name="zedaqzd" hidden="1">{#N/A,#N/A,FALSE,"Operations";#N/A,#N/A,FALSE,"Financials"}</definedName>
    <definedName name="zefz" localSheetId="35" hidden="1">{"First Page",#N/A,FALSE,"Surfactants LBO";"Second Page",#N/A,FALSE,"Surfactants LBO"}</definedName>
    <definedName name="zefz" localSheetId="31" hidden="1">{"First Page",#N/A,FALSE,"Surfactants LBO";"Second Page",#N/A,FALSE,"Surfactants LBO"}</definedName>
    <definedName name="zefz" localSheetId="37" hidden="1">{"First Page",#N/A,FALSE,"Surfactants LBO";"Second Page",#N/A,FALSE,"Surfactants LBO"}</definedName>
    <definedName name="zefz" localSheetId="36" hidden="1">{"First Page",#N/A,FALSE,"Surfactants LBO";"Second Page",#N/A,FALSE,"Surfactants LBO"}</definedName>
    <definedName name="zefz" hidden="1">{"First Page",#N/A,FALSE,"Surfactants LBO";"Second Page",#N/A,FALSE,"Surfactants LBO"}</definedName>
    <definedName name="zefzaefze" localSheetId="3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efzaefze" localSheetId="3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efzaefze" localSheetId="37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efzaefze" localSheetId="36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efzaefze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efzerfzef" localSheetId="3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efzerfzef" localSheetId="3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efzerfzef" localSheetId="37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efzerfzef" localSheetId="36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efzerfze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egtrgzgt" localSheetId="3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egtrgzgt" localSheetId="3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egtrgzgt" localSheetId="37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egtrgzgt" localSheetId="36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egtrgzg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ERTRET" hidden="1">#REF!</definedName>
    <definedName name="Zip" localSheetId="31">#REF!</definedName>
    <definedName name="Zip" localSheetId="33">#REF!</definedName>
    <definedName name="Zip">#REF!</definedName>
    <definedName name="ZollExpConv" localSheetId="31">#REF!</definedName>
    <definedName name="ZollExpConv">#REF!</definedName>
    <definedName name="ZONE_A_RETRIEVER" localSheetId="31">#REF!</definedName>
    <definedName name="ZONE_A_RETRIEVER">#REF!</definedName>
    <definedName name="Zone_impres_MI" localSheetId="31">#REF!</definedName>
    <definedName name="Zone_impres_MI">#REF!</definedName>
    <definedName name="Zwischenstatus_121099" localSheetId="31">#REF!</definedName>
    <definedName name="Zwischenstatus_121099" localSheetId="33">#REF!</definedName>
    <definedName name="Zwischenstatus_121099">#REF!</definedName>
    <definedName name="ZXD" localSheetId="31">#REF!</definedName>
    <definedName name="ZXD" localSheetId="33">#REF!</definedName>
    <definedName name="ZXD">#REF!</definedName>
    <definedName name="ZXDF" localSheetId="31">#REF!</definedName>
    <definedName name="ZXDF" localSheetId="33">#REF!</definedName>
    <definedName name="ZXDF">#REF!</definedName>
    <definedName name="ZYX" localSheetId="31">#REF!</definedName>
    <definedName name="ZYX" localSheetId="33">#REF!</definedName>
    <definedName name="ZYX">#REF!</definedName>
    <definedName name="zzfzafz" localSheetId="3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zfzafz" localSheetId="3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zfzafz" localSheetId="37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zfzafz" localSheetId="36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zfzaf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ZZ" localSheetId="33">#REF!</definedName>
    <definedName name="ZZZ">#REF!</definedName>
    <definedName name="zzzzz" localSheetId="31" hidden="1">#REF!</definedName>
    <definedName name="zzzzz" hidden="1">#REF!</definedName>
    <definedName name="zzzzzz" localSheetId="3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zzzzz" localSheetId="3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zzzzz" localSheetId="37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zzzzz" localSheetId="36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zzzz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zzzzzz" localSheetId="3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zzzzzz" localSheetId="3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zzzzzz" localSheetId="37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zzzzzz" localSheetId="36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zzzzz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zzzzzzzz" localSheetId="35" hidden="1">{"SPM1",#N/A,FALSE,"RIEP"}</definedName>
    <definedName name="zzzzzzzzz" localSheetId="31" hidden="1">{"SPM1",#N/A,FALSE,"RIEP"}</definedName>
    <definedName name="zzzzzzzzz" localSheetId="37" hidden="1">{"SPM1",#N/A,FALSE,"RIEP"}</definedName>
    <definedName name="zzzzzzzzz" localSheetId="36" hidden="1">{"SPM1",#N/A,FALSE,"RIEP"}</definedName>
    <definedName name="zzzzzzzzz" hidden="1">{"SPM1",#N/A,FALSE,"RIEP"}</definedName>
    <definedName name="zzzzzzzzzz" localSheetId="35" hidden="1">{#N/A,#N/A,FALSE,"RIEP"}</definedName>
    <definedName name="zzzzzzzzzz" localSheetId="31" hidden="1">{#N/A,#N/A,FALSE,"RIEP"}</definedName>
    <definedName name="zzzzzzzzzz" localSheetId="37" hidden="1">{#N/A,#N/A,FALSE,"RIEP"}</definedName>
    <definedName name="zzzzzzzzzz" localSheetId="36" hidden="1">{#N/A,#N/A,FALSE,"RIEP"}</definedName>
    <definedName name="zzzzzzzzzz" hidden="1">{#N/A,#N/A,FALSE,"RIEP"}</definedName>
    <definedName name="zzzzzzzzzzzzz" localSheetId="35" hidden="1">{#N/A,#N/A,FALSE,"RIEP"}</definedName>
    <definedName name="zzzzzzzzzzzzz" localSheetId="31" hidden="1">{#N/A,#N/A,FALSE,"RIEP"}</definedName>
    <definedName name="zzzzzzzzzzzzz" localSheetId="37" hidden="1">{#N/A,#N/A,FALSE,"RIEP"}</definedName>
    <definedName name="zzzzzzzzzzzzz" localSheetId="36" hidden="1">{#N/A,#N/A,FALSE,"RIEP"}</definedName>
    <definedName name="zzzzzzzzzzzzz" hidden="1">{#N/A,#N/A,FALSE,"RIEP"}</definedName>
    <definedName name="zzzzzzzzzzzzzz" localSheetId="35" hidden="1">{"QQQ",#N/A,FALSE,"RIEP"}</definedName>
    <definedName name="zzzzzzzzzzzzzz" localSheetId="31" hidden="1">{"QQQ",#N/A,FALSE,"RIEP"}</definedName>
    <definedName name="zzzzzzzzzzzzzz" localSheetId="37" hidden="1">{"QQQ",#N/A,FALSE,"RIEP"}</definedName>
    <definedName name="zzzzzzzzzzzzzz" localSheetId="36" hidden="1">{"QQQ",#N/A,FALSE,"RIEP"}</definedName>
    <definedName name="zzzzzzzzzzzzzz" hidden="1">{"QQQ",#N/A,FALSE,"RIEP"}</definedName>
    <definedName name="zzzzzzzzzzzzzzzzzz" localSheetId="35" hidden="1">{"QQQ",#N/A,FALSE,"RIEP"}</definedName>
    <definedName name="zzzzzzzzzzzzzzzzzz" localSheetId="31" hidden="1">{"QQQ",#N/A,FALSE,"RIEP"}</definedName>
    <definedName name="zzzzzzzzzzzzzzzzzz" localSheetId="37" hidden="1">{"QQQ",#N/A,FALSE,"RIEP"}</definedName>
    <definedName name="zzzzzzzzzzzzzzzzzz" localSheetId="36" hidden="1">{"QQQ",#N/A,FALSE,"RIEP"}</definedName>
    <definedName name="zzzzzzzzzzzzzzzzzz" hidden="1">{"QQQ",#N/A,FALSE,"RIEP"}</definedName>
    <definedName name="а" localSheetId="35" hidden="1">{"QQQ",#N/A,FALSE,"RIEP"}</definedName>
    <definedName name="а" localSheetId="31" hidden="1">{"QQQ",#N/A,FALSE,"RIEP"}</definedName>
    <definedName name="а" localSheetId="37" hidden="1">{"QQQ",#N/A,FALSE,"RIEP"}</definedName>
    <definedName name="а" localSheetId="36" hidden="1">{"QQQ",#N/A,FALSE,"RIEP"}</definedName>
    <definedName name="а" hidden="1">{"QQQ",#N/A,FALSE,"RIEP"}</definedName>
    <definedName name="аааа" localSheetId="35" hidden="1">{#N/A,#N/A,FALSE,"RIEP"}</definedName>
    <definedName name="аааа" localSheetId="31" hidden="1">{#N/A,#N/A,FALSE,"RIEP"}</definedName>
    <definedName name="аааа" localSheetId="37" hidden="1">{#N/A,#N/A,FALSE,"RIEP"}</definedName>
    <definedName name="аааа" localSheetId="36" hidden="1">{#N/A,#N/A,FALSE,"RIEP"}</definedName>
    <definedName name="аааа" hidden="1">{#N/A,#N/A,FALSE,"RIEP"}</definedName>
    <definedName name="б_статистика_рус_сум_год_сум">#REF!</definedName>
    <definedName name="вннркыр" localSheetId="35" hidden="1">{#N/A,#N/A,FALSE,"RIEP"}</definedName>
    <definedName name="вннркыр" localSheetId="31" hidden="1">{#N/A,#N/A,FALSE,"RIEP"}</definedName>
    <definedName name="вннркыр" localSheetId="37" hidden="1">{#N/A,#N/A,FALSE,"RIEP"}</definedName>
    <definedName name="вннркыр" localSheetId="36" hidden="1">{#N/A,#N/A,FALSE,"RIEP"}</definedName>
    <definedName name="вннркыр" hidden="1">{#N/A,#N/A,FALSE,"RIEP"}</definedName>
    <definedName name="Запрос2">#REF!</definedName>
    <definedName name="Использование" localSheetId="31">#REF!</definedName>
    <definedName name="Использование" localSheetId="33">#REF!</definedName>
    <definedName name="Использование">#REF!</definedName>
    <definedName name="лагкооав" localSheetId="35" hidden="1">{"QQQ",#N/A,FALSE,"RIEP"}</definedName>
    <definedName name="лагкооав" localSheetId="31" hidden="1">{"QQQ",#N/A,FALSE,"RIEP"}</definedName>
    <definedName name="лагкооав" localSheetId="37" hidden="1">{"QQQ",#N/A,FALSE,"RIEP"}</definedName>
    <definedName name="лагкооав" localSheetId="36" hidden="1">{"QQQ",#N/A,FALSE,"RIEP"}</definedName>
    <definedName name="лагкооав" hidden="1">{"QQQ",#N/A,FALSE,"RIEP"}</definedName>
    <definedName name="МВЗ" localSheetId="33">#REF!</definedName>
    <definedName name="МВЗ">#REF!</definedName>
    <definedName name="СЗ" localSheetId="31">#REF!</definedName>
    <definedName name="СЗ" localSheetId="33">#REF!</definedName>
    <definedName name="СЗ">#REF!</definedName>
    <definedName name="Тип_расходов" localSheetId="31">#REF!</definedName>
    <definedName name="Тип_расходов" localSheetId="33">#REF!</definedName>
    <definedName name="Тип_расходов">#REF!</definedName>
    <definedName name="ЦЗ" localSheetId="31">#REF!</definedName>
    <definedName name="ЦЗ" localSheetId="33">#REF!</definedName>
    <definedName name="ЦЗ">#REF!</definedName>
    <definedName name="цуайцуай" localSheetId="31" hidden="1">#REF!</definedName>
    <definedName name="цуайцуай" hidden="1">#REF!</definedName>
    <definedName name="上和" localSheetId="31">#REF!</definedName>
    <definedName name="上和">#REF!</definedName>
    <definedName name="中转出库台数" localSheetId="35">OFFSET(#REF!,4,0,COUNTA(#REF!)-1,1)</definedName>
    <definedName name="中转出库台数" localSheetId="31">OFFSET(#REF!,4,0,COUNTA(#REF!)-1,1)</definedName>
    <definedName name="中转出库台数" localSheetId="37">OFFSET(#REF!,4,0,COUNTA(#REF!)-1,1)</definedName>
    <definedName name="中转出库台数" localSheetId="36">OFFSET(#REF!,4,0,COUNTA(#REF!)-1,1)</definedName>
    <definedName name="中转出库台数" localSheetId="30">OFFSET(#REF!,4,0,COUNTA(#REF!)-1,1)</definedName>
    <definedName name="中转出库台数" localSheetId="34">OFFSET(#REF!,4,0,COUNTA(#REF!)-1,1)</definedName>
    <definedName name="中转出库台数">OFFSET(#REF!,4,0,COUNTA(#REF!)-1,1)</definedName>
    <definedName name="云南" localSheetId="31">#REF!</definedName>
    <definedName name="云南" localSheetId="33">#REF!</definedName>
    <definedName name="云南">#REF!</definedName>
    <definedName name="仓库" localSheetId="31">#REF!</definedName>
    <definedName name="仓库" localSheetId="33">#REF!</definedName>
    <definedName name="仓库">#REF!</definedName>
    <definedName name="体积明细" localSheetId="35">OFFSET(#REF!,1,0,COUNTA(#REF!)-1,6)</definedName>
    <definedName name="体积明细" localSheetId="31">OFFSET(#REF!,1,0,COUNTA(#REF!)-1,6)</definedName>
    <definedName name="体积明细" localSheetId="37">OFFSET(#REF!,1,0,COUNTA(#REF!)-1,6)</definedName>
    <definedName name="体积明细" localSheetId="36">OFFSET(#REF!,1,0,COUNTA(#REF!)-1,6)</definedName>
    <definedName name="体积明细" localSheetId="30">OFFSET(#REF!,1,0,COUNTA(#REF!)-1,6)</definedName>
    <definedName name="体积明细" localSheetId="34">OFFSET(#REF!,1,0,COUNTA(#REF!)-1,6)</definedName>
    <definedName name="体积明细">OFFSET(#REF!,1,0,COUNTA(#REF!)-1,6)</definedName>
    <definedName name="余额表" localSheetId="31">#REF!</definedName>
    <definedName name="余额表">#REF!</definedName>
    <definedName name="供应商" localSheetId="31">#REF!</definedName>
    <definedName name="供应商">#REF!</definedName>
    <definedName name="全部末级余额" localSheetId="31">#REF!</definedName>
    <definedName name="全部末级余额" localSheetId="33">#REF!</definedName>
    <definedName name="全部末级余额">#REF!</definedName>
    <definedName name="其他费用" localSheetId="35">#REF!</definedName>
    <definedName name="其他费用" localSheetId="31">#REF!</definedName>
    <definedName name="其他费用" localSheetId="37">#REF!</definedName>
    <definedName name="其他费用" localSheetId="36">#REF!</definedName>
    <definedName name="其他费用" localSheetId="30">#REF!</definedName>
    <definedName name="其他费用" localSheetId="34">#REF!</definedName>
    <definedName name="其他费用">#REF!</definedName>
    <definedName name="出口" localSheetId="31">#REF!</definedName>
    <definedName name="出口" localSheetId="33">#REF!</definedName>
    <definedName name="出口">#REF!</definedName>
    <definedName name="出口机" localSheetId="31">#REF!</definedName>
    <definedName name="出口机" localSheetId="33">#REF!</definedName>
    <definedName name="出口机">#REF!</definedName>
    <definedName name="出口销售" localSheetId="31">#REF!</definedName>
    <definedName name="出口销售" localSheetId="33">#REF!</definedName>
    <definedName name="出口销售">#REF!</definedName>
    <definedName name="办公室固定电话费" localSheetId="31">#REF!</definedName>
    <definedName name="办公室固定电话费" localSheetId="33">#REF!</definedName>
    <definedName name="办公室固定电话费">#REF!</definedName>
    <definedName name="办公用品" localSheetId="31">#REF!</definedName>
    <definedName name="办公用品">#REF!</definedName>
    <definedName name="北京" localSheetId="31">#REF!</definedName>
    <definedName name="北京" localSheetId="30">#REF!</definedName>
    <definedName name="北京" localSheetId="34">#REF!</definedName>
    <definedName name="北京">#REF!</definedName>
    <definedName name="北京分公司" localSheetId="31">#REF!</definedName>
    <definedName name="北京分公司" localSheetId="33">#REF!</definedName>
    <definedName name="北京分公司">#REF!</definedName>
    <definedName name="半成品" localSheetId="31">#REF!</definedName>
    <definedName name="半成品">#REF!</definedName>
    <definedName name="单位往来" localSheetId="31">#REF!</definedName>
    <definedName name="单位往来">#REF!</definedName>
    <definedName name="南宁" localSheetId="31">#REF!</definedName>
    <definedName name="南宁" localSheetId="33">#REF!</definedName>
    <definedName name="南宁">#REF!</definedName>
    <definedName name="厨房" localSheetId="31">#REF!</definedName>
    <definedName name="厨房">#REF!</definedName>
    <definedName name="发生额" localSheetId="31">#REF!</definedName>
    <definedName name="发生额">#REF!</definedName>
    <definedName name="合并" localSheetId="31">#REF!</definedName>
    <definedName name="合并" localSheetId="33">#REF!</definedName>
    <definedName name="合并">#REF!</definedName>
    <definedName name="哈尔滨分公司" localSheetId="31">#REF!</definedName>
    <definedName name="哈尔滨分公司" localSheetId="33">#REF!</definedName>
    <definedName name="哈尔滨分公司">#REF!</definedName>
    <definedName name="四川" localSheetId="31">#REF!</definedName>
    <definedName name="四川" localSheetId="33">#REF!</definedName>
    <definedName name="四川">#REF!</definedName>
    <definedName name="固定资产" localSheetId="31">#REF!</definedName>
    <definedName name="固定资产" localSheetId="33">#REF!</definedName>
    <definedName name="固定资产">#REF!</definedName>
    <definedName name="固定资产付款申请单" localSheetId="31">#REF!</definedName>
    <definedName name="固定资产付款申请单" localSheetId="33">#REF!</definedName>
    <definedName name="固定资产付款申请单">#REF!</definedName>
    <definedName name="国内出库中转体积" localSheetId="35">OFFSET(#REF!,4,0,COUNTA(#REF!)-1,1)</definedName>
    <definedName name="国内出库中转体积" localSheetId="31">OFFSET(#REF!,4,0,COUNTA(#REF!)-1,1)</definedName>
    <definedName name="国内出库中转体积" localSheetId="37">OFFSET(#REF!,4,0,COUNTA(#REF!)-1,1)</definedName>
    <definedName name="国内出库中转体积" localSheetId="36">OFFSET(#REF!,4,0,COUNTA(#REF!)-1,1)</definedName>
    <definedName name="国内出库中转体积" localSheetId="30">OFFSET(#REF!,4,0,COUNTA(#REF!)-1,1)</definedName>
    <definedName name="国内出库中转体积" localSheetId="34">OFFSET(#REF!,4,0,COUNTA(#REF!)-1,1)</definedName>
    <definedName name="国内出库中转体积">OFFSET(#REF!,4,0,COUNTA(#REF!)-1,1)</definedName>
    <definedName name="国内出库中转数量" localSheetId="35">OFFSET(#REF!,4,0,COUNTA(#REF!)-1,1)</definedName>
    <definedName name="国内出库中转数量" localSheetId="31">OFFSET(#REF!,4,0,COUNTA(#REF!)-1,1)</definedName>
    <definedName name="国内出库中转数量" localSheetId="37">OFFSET(#REF!,4,0,COUNTA(#REF!)-1,1)</definedName>
    <definedName name="国内出库中转数量" localSheetId="36">OFFSET(#REF!,4,0,COUNTA(#REF!)-1,1)</definedName>
    <definedName name="国内出库中转数量" localSheetId="30">OFFSET(#REF!,4,0,COUNTA(#REF!)-1,1)</definedName>
    <definedName name="国内出库中转数量" localSheetId="34">OFFSET(#REF!,4,0,COUNTA(#REF!)-1,1)</definedName>
    <definedName name="国内出库中转数量">OFFSET(#REF!,4,0,COUNTA(#REF!)-1,1)</definedName>
    <definedName name="在产品201601" localSheetId="31">#REF!</definedName>
    <definedName name="在产品201601">#REF!</definedName>
    <definedName name="在产品201601003" localSheetId="31">#REF!</definedName>
    <definedName name="在产品201601003">#REF!</definedName>
    <definedName name="在产品20160102" localSheetId="31">#REF!</definedName>
    <definedName name="在产品20160102">#REF!</definedName>
    <definedName name="基础表3" localSheetId="4" hidden="1">{"'Foglio1'!$J$12:$M$12"}</definedName>
    <definedName name="基础表3" localSheetId="35" hidden="1">{"'Foglio1'!$J$12:$M$12"}</definedName>
    <definedName name="基础表3" localSheetId="31" hidden="1">{"'Foglio1'!$J$12:$M$12"}</definedName>
    <definedName name="基础表3" localSheetId="37" hidden="1">{"'Foglio1'!$J$12:$M$12"}</definedName>
    <definedName name="基础表3" localSheetId="38" hidden="1">{"'Foglio1'!$J$12:$M$12"}</definedName>
    <definedName name="基础表3" localSheetId="7" hidden="1">{"'Foglio1'!$J$12:$M$12"}</definedName>
    <definedName name="基础表3" localSheetId="36" hidden="1">{"'Foglio1'!$J$12:$M$12"}</definedName>
    <definedName name="基础表3" localSheetId="21" hidden="1">{"'Foglio1'!$J$12:$M$12"}</definedName>
    <definedName name="基础表3" localSheetId="30" hidden="1">{"'Foglio1'!$J$12:$M$12"}</definedName>
    <definedName name="基础表3" localSheetId="34" hidden="1">{"'Foglio1'!$J$12:$M$12"}</definedName>
    <definedName name="基础表3" localSheetId="33" hidden="1">{"'Foglio1'!$J$12:$M$12"}</definedName>
    <definedName name="基础表3" localSheetId="6" hidden="1">{"'Foglio1'!$J$12:$M$12"}</definedName>
    <definedName name="基础表3" hidden="1">{"'Foglio1'!$J$12:$M$12"}</definedName>
    <definedName name="存货明细___1_原材料_" localSheetId="33">#REF!</definedName>
    <definedName name="存货明细___1_原材料_">#REF!</definedName>
    <definedName name="安徽部" localSheetId="31">#REF!</definedName>
    <definedName name="安徽部" localSheetId="33">#REF!</definedName>
    <definedName name="安徽部">#REF!</definedName>
    <definedName name="差异" localSheetId="31">#REF!</definedName>
    <definedName name="差异">#REF!</definedName>
    <definedName name="差异201601" localSheetId="31">#REF!</definedName>
    <definedName name="差异201601">#REF!</definedName>
    <definedName name="差旅费12" localSheetId="31">#REF!</definedName>
    <definedName name="差旅费12" localSheetId="33">#REF!</definedName>
    <definedName name="差旅费12">#REF!</definedName>
    <definedName name="币种" localSheetId="35">#REF!</definedName>
    <definedName name="币种" localSheetId="31">#REF!</definedName>
    <definedName name="币种" localSheetId="37">#REF!</definedName>
    <definedName name="币种" localSheetId="36">#REF!</definedName>
    <definedName name="币种" localSheetId="30">#REF!</definedName>
    <definedName name="币种" localSheetId="34">#REF!</definedName>
    <definedName name="币种">#REF!</definedName>
    <definedName name="年份" localSheetId="35">#REF!</definedName>
    <definedName name="年份" localSheetId="31">#REF!</definedName>
    <definedName name="年份" localSheetId="37">#REF!</definedName>
    <definedName name="年份" localSheetId="36">#REF!</definedName>
    <definedName name="年份" localSheetId="30">#REF!</definedName>
    <definedName name="年份" localSheetId="34">#REF!</definedName>
    <definedName name="年份">#REF!</definedName>
    <definedName name="广东一" localSheetId="31">#REF!</definedName>
    <definedName name="广东一" localSheetId="33">#REF!</definedName>
    <definedName name="广东一">#REF!</definedName>
    <definedName name="广东二" localSheetId="31">#REF!</definedName>
    <definedName name="广东二" localSheetId="33">#REF!</definedName>
    <definedName name="广东二">#REF!</definedName>
    <definedName name="广州" localSheetId="31">#REF!</definedName>
    <definedName name="广州" localSheetId="33">#REF!</definedName>
    <definedName name="广州">#REF!</definedName>
    <definedName name="广州分公司" localSheetId="31">#REF!</definedName>
    <definedName name="广州分公司" localSheetId="33">#REF!</definedName>
    <definedName name="广州分公司">#REF!</definedName>
    <definedName name="广西" localSheetId="31">#REF!</definedName>
    <definedName name="广西" localSheetId="33">#REF!</definedName>
    <definedName name="广西">#REF!</definedName>
    <definedName name="广西分公司" localSheetId="31">#REF!</definedName>
    <definedName name="广西分公司" localSheetId="33">#REF!</definedName>
    <definedName name="广西分公司">#REF!</definedName>
    <definedName name="应付工资" localSheetId="31">#REF!</definedName>
    <definedName name="应付工资">#REF!</definedName>
    <definedName name="应付款" localSheetId="31">#REF!</definedName>
    <definedName name="应付款">#REF!</definedName>
    <definedName name="往来对账单" localSheetId="31">#REF!</definedName>
    <definedName name="往来对账单" localSheetId="33">#REF!</definedName>
    <definedName name="往来对账单">#REF!</definedName>
    <definedName name="总部" localSheetId="31">#REF!</definedName>
    <definedName name="总部" localSheetId="33">#REF!</definedName>
    <definedName name="总部">#REF!</definedName>
    <definedName name="我市" localSheetId="31">#REF!</definedName>
    <definedName name="我市" localSheetId="33">#REF!</definedName>
    <definedName name="我市">#REF!</definedName>
    <definedName name="折旧1" localSheetId="4" hidden="1">{#N/A,#N/A,FALSE,"Aging Summary";#N/A,#N/A,FALSE,"Ratio Analysis";#N/A,#N/A,FALSE,"Test 120 Day Accts";#N/A,#N/A,FALSE,"Tickmarks"}</definedName>
    <definedName name="折旧1" localSheetId="35" hidden="1">{#N/A,#N/A,FALSE,"Aging Summary";#N/A,#N/A,FALSE,"Ratio Analysis";#N/A,#N/A,FALSE,"Test 120 Day Accts";#N/A,#N/A,FALSE,"Tickmarks"}</definedName>
    <definedName name="折旧1" localSheetId="31" hidden="1">{#N/A,#N/A,FALSE,"Aging Summary";#N/A,#N/A,FALSE,"Ratio Analysis";#N/A,#N/A,FALSE,"Test 120 Day Accts";#N/A,#N/A,FALSE,"Tickmarks"}</definedName>
    <definedName name="折旧1" localSheetId="37" hidden="1">{#N/A,#N/A,FALSE,"Aging Summary";#N/A,#N/A,FALSE,"Ratio Analysis";#N/A,#N/A,FALSE,"Test 120 Day Accts";#N/A,#N/A,FALSE,"Tickmarks"}</definedName>
    <definedName name="折旧1" localSheetId="38" hidden="1">{#N/A,#N/A,FALSE,"Aging Summary";#N/A,#N/A,FALSE,"Ratio Analysis";#N/A,#N/A,FALSE,"Test 120 Day Accts";#N/A,#N/A,FALSE,"Tickmarks"}</definedName>
    <definedName name="折旧1" localSheetId="7" hidden="1">{#N/A,#N/A,FALSE,"Aging Summary";#N/A,#N/A,FALSE,"Ratio Analysis";#N/A,#N/A,FALSE,"Test 120 Day Accts";#N/A,#N/A,FALSE,"Tickmarks"}</definedName>
    <definedName name="折旧1" localSheetId="36" hidden="1">{#N/A,#N/A,FALSE,"Aging Summary";#N/A,#N/A,FALSE,"Ratio Analysis";#N/A,#N/A,FALSE,"Test 120 Day Accts";#N/A,#N/A,FALSE,"Tickmarks"}</definedName>
    <definedName name="折旧1" localSheetId="21" hidden="1">{#N/A,#N/A,FALSE,"Aging Summary";#N/A,#N/A,FALSE,"Ratio Analysis";#N/A,#N/A,FALSE,"Test 120 Day Accts";#N/A,#N/A,FALSE,"Tickmarks"}</definedName>
    <definedName name="折旧1" localSheetId="30" hidden="1">{#N/A,#N/A,FALSE,"Aging Summary";#N/A,#N/A,FALSE,"Ratio Analysis";#N/A,#N/A,FALSE,"Test 120 Day Accts";#N/A,#N/A,FALSE,"Tickmarks"}</definedName>
    <definedName name="折旧1" localSheetId="34" hidden="1">{#N/A,#N/A,FALSE,"Aging Summary";#N/A,#N/A,FALSE,"Ratio Analysis";#N/A,#N/A,FALSE,"Test 120 Day Accts";#N/A,#N/A,FALSE,"Tickmarks"}</definedName>
    <definedName name="折旧1" localSheetId="33" hidden="1">{#N/A,#N/A,FALSE,"Aging Summary";#N/A,#N/A,FALSE,"Ratio Analysis";#N/A,#N/A,FALSE,"Test 120 Day Accts";#N/A,#N/A,FALSE,"Tickmarks"}</definedName>
    <definedName name="折旧1" localSheetId="6" hidden="1">{#N/A,#N/A,FALSE,"Aging Summary";#N/A,#N/A,FALSE,"Ratio Analysis";#N/A,#N/A,FALSE,"Test 120 Day Accts";#N/A,#N/A,FALSE,"Tickmarks"}</definedName>
    <definedName name="折旧1" hidden="1">{#N/A,#N/A,FALSE,"Aging Summary";#N/A,#N/A,FALSE,"Ratio Analysis";#N/A,#N/A,FALSE,"Test 120 Day Accts";#N/A,#N/A,FALSE,"Tickmarks"}</definedName>
    <definedName name="报废">#REF!</definedName>
    <definedName name="招待费12" localSheetId="31">#REF!</definedName>
    <definedName name="招待费12" localSheetId="33">#REF!</definedName>
    <definedName name="招待费12">#REF!</definedName>
    <definedName name="损_益_表_合并" localSheetId="31">#REF!</definedName>
    <definedName name="损_益_表_合并" localSheetId="33">#REF!</definedName>
    <definedName name="损_益_表_合并">#REF!</definedName>
    <definedName name="损益表_合并" localSheetId="31">#REF!</definedName>
    <definedName name="损益表_合并" localSheetId="33">#REF!</definedName>
    <definedName name="损益表_合并">#REF!</definedName>
    <definedName name="数量金额总账" localSheetId="31">#REF!</definedName>
    <definedName name="数量金额总账" localSheetId="33">#REF!</definedName>
    <definedName name="数量金额总账">#REF!</definedName>
    <definedName name="新" localSheetId="31">#REF!</definedName>
    <definedName name="新" localSheetId="33">#REF!</definedName>
    <definedName name="新">#REF!</definedName>
    <definedName name="新136" localSheetId="35">#REF!</definedName>
    <definedName name="新136" localSheetId="31">#REF!</definedName>
    <definedName name="新136" localSheetId="37">#REF!</definedName>
    <definedName name="新136" localSheetId="36">#REF!</definedName>
    <definedName name="新136" localSheetId="30">#REF!</definedName>
    <definedName name="新136" localSheetId="34">#REF!</definedName>
    <definedName name="新136">#REF!</definedName>
    <definedName name="月份" localSheetId="35">#REF!</definedName>
    <definedName name="月份" localSheetId="31">#REF!</definedName>
    <definedName name="月份" localSheetId="37">#REF!</definedName>
    <definedName name="月份" localSheetId="36">#REF!</definedName>
    <definedName name="月份" localSheetId="30">#REF!</definedName>
    <definedName name="月份" localSheetId="34">#REF!</definedName>
    <definedName name="月份">#REF!</definedName>
    <definedName name="本部" localSheetId="31">#REF!</definedName>
    <definedName name="本部" localSheetId="33">#REF!</definedName>
    <definedName name="本部">#REF!</definedName>
    <definedName name="材料" localSheetId="31">#REF!</definedName>
    <definedName name="材料" localSheetId="33">#REF!</definedName>
    <definedName name="材料">#REF!</definedName>
    <definedName name="材料库存" localSheetId="31">#REF!</definedName>
    <definedName name="材料库存" localSheetId="33">#REF!</definedName>
    <definedName name="材料库存">#REF!</definedName>
    <definedName name="材料销售" localSheetId="31">#REF!</definedName>
    <definedName name="材料销售">#REF!</definedName>
    <definedName name="材料销售11" localSheetId="31">#REF!</definedName>
    <definedName name="材料销售11">#REF!</definedName>
    <definedName name="杨总房租" localSheetId="31">#REF!</definedName>
    <definedName name="杨总房租">#REF!</definedName>
    <definedName name="核算项目余额表" localSheetId="31">#REF!</definedName>
    <definedName name="核算项目余额表" localSheetId="33">#REF!</definedName>
    <definedName name="核算项目余额表">#REF!</definedName>
    <definedName name="次品仓中转台数" localSheetId="35">OFFSET(#REF!,4,0,COUNTA(#REF!)-1,1)</definedName>
    <definedName name="次品仓中转台数" localSheetId="31">OFFSET(#REF!,4,0,COUNTA(#REF!)-1,1)</definedName>
    <definedName name="次品仓中转台数" localSheetId="37">OFFSET(#REF!,4,0,COUNTA(#REF!)-1,1)</definedName>
    <definedName name="次品仓中转台数" localSheetId="36">OFFSET(#REF!,4,0,COUNTA(#REF!)-1,1)</definedName>
    <definedName name="次品仓中转台数" localSheetId="30">OFFSET(#REF!,4,0,COUNTA(#REF!)-1,1)</definedName>
    <definedName name="次品仓中转台数" localSheetId="34">OFFSET(#REF!,4,0,COUNTA(#REF!)-1,1)</definedName>
    <definedName name="次品仓中转台数">OFFSET(#REF!,4,0,COUNTA(#REF!)-1,1)</definedName>
    <definedName name="次品仓出库中转数量" localSheetId="35">OFFSET(#REF!,4,0,COUNTA(#REF!)-1,1)</definedName>
    <definedName name="次品仓出库中转数量" localSheetId="31">OFFSET(#REF!,4,0,COUNTA(#REF!)-1,1)</definedName>
    <definedName name="次品仓出库中转数量" localSheetId="37">OFFSET(#REF!,4,0,COUNTA(#REF!)-1,1)</definedName>
    <definedName name="次品仓出库中转数量" localSheetId="36">OFFSET(#REF!,4,0,COUNTA(#REF!)-1,1)</definedName>
    <definedName name="次品仓出库中转数量" localSheetId="30">OFFSET(#REF!,4,0,COUNTA(#REF!)-1,1)</definedName>
    <definedName name="次品仓出库中转数量" localSheetId="34">OFFSET(#REF!,4,0,COUNTA(#REF!)-1,1)</definedName>
    <definedName name="次品仓出库中转数量">OFFSET(#REF!,4,0,COUNTA(#REF!)-1,1)</definedName>
    <definedName name="武汉" localSheetId="31">#REF!</definedName>
    <definedName name="武汉" localSheetId="33">#REF!</definedName>
    <definedName name="武汉">#REF!</definedName>
    <definedName name="水" localSheetId="31">#REF!</definedName>
    <definedName name="水">#REF!</definedName>
    <definedName name="汇总" localSheetId="31">#REF!</definedName>
    <definedName name="汇总" localSheetId="33">#REF!</definedName>
    <definedName name="汇总">#REF!</definedName>
    <definedName name="江西" localSheetId="31">#REF!</definedName>
    <definedName name="江西" localSheetId="33">#REF!</definedName>
    <definedName name="江西">#REF!</definedName>
    <definedName name="河南部" localSheetId="31">#REF!</definedName>
    <definedName name="河南部" localSheetId="33">#REF!</definedName>
    <definedName name="河南部">#REF!</definedName>
    <definedName name="浙江" localSheetId="31">#REF!</definedName>
    <definedName name="浙江" localSheetId="33">#REF!</definedName>
    <definedName name="浙江">#REF!</definedName>
    <definedName name="海南" localSheetId="31">#REF!</definedName>
    <definedName name="海南" localSheetId="33">#REF!</definedName>
    <definedName name="海南">#REF!</definedName>
    <definedName name="湖北" localSheetId="31">#REF!</definedName>
    <definedName name="湖北" localSheetId="33">#REF!</definedName>
    <definedName name="湖北">#REF!</definedName>
    <definedName name="湖北分公司" localSheetId="31">#REF!</definedName>
    <definedName name="湖北分公司" localSheetId="33">#REF!</definedName>
    <definedName name="湖北分公司">#REF!</definedName>
    <definedName name="湖南" localSheetId="31">#REF!</definedName>
    <definedName name="湖南" localSheetId="33">#REF!</definedName>
    <definedName name="湖南">#REF!</definedName>
    <definedName name="物料代码0503" localSheetId="31">#REF!</definedName>
    <definedName name="物料代码0503" localSheetId="33">#REF!</definedName>
    <definedName name="物料代码0503">#REF!</definedName>
    <definedName name="用友办公用品" localSheetId="31">#REF!</definedName>
    <definedName name="用友办公用品">#REF!</definedName>
    <definedName name="用友科目" localSheetId="35">#REF!</definedName>
    <definedName name="用友科目" localSheetId="31">#REF!</definedName>
    <definedName name="用友科目" localSheetId="37">#REF!</definedName>
    <definedName name="用友科目" localSheetId="36">#REF!</definedName>
    <definedName name="用友科目" localSheetId="30">#REF!</definedName>
    <definedName name="用友科目" localSheetId="34">#REF!</definedName>
    <definedName name="用友科目">#REF!</definedName>
    <definedName name="电" localSheetId="31">#REF!</definedName>
    <definedName name="电">#REF!</definedName>
    <definedName name="直接" localSheetId="31">#REF!</definedName>
    <definedName name="直接">#REF!</definedName>
    <definedName name="福建" localSheetId="31">#REF!</definedName>
    <definedName name="福建" localSheetId="33">#REF!</definedName>
    <definedName name="福建">#REF!</definedName>
    <definedName name="科目余额表" localSheetId="31">#REF!</definedName>
    <definedName name="科目余额表" localSheetId="33">#REF!</definedName>
    <definedName name="科目余额表">#REF!</definedName>
    <definedName name="经办人" localSheetId="35">#REF!</definedName>
    <definedName name="经办人" localSheetId="31">#REF!</definedName>
    <definedName name="经办人" localSheetId="37">#REF!</definedName>
    <definedName name="经办人" localSheetId="36">#REF!</definedName>
    <definedName name="经办人" localSheetId="30">#REF!</definedName>
    <definedName name="经办人" localSheetId="34">#REF!</definedName>
    <definedName name="经办人">#REF!</definedName>
    <definedName name="美心思" localSheetId="31">#REF!</definedName>
    <definedName name="美心思">#REF!</definedName>
    <definedName name="美心思1" localSheetId="31">#REF!</definedName>
    <definedName name="美心思1">#REF!</definedName>
    <definedName name="表名">"Dummy"</definedName>
    <definedName name="试1" localSheetId="4" hidden="1">{#N/A,#N/A,FALSE,"Aging Summary";#N/A,#N/A,FALSE,"Ratio Analysis";#N/A,#N/A,FALSE,"Test 120 Day Accts";#N/A,#N/A,FALSE,"Tickmarks"}</definedName>
    <definedName name="试1" localSheetId="35" hidden="1">{#N/A,#N/A,FALSE,"Aging Summary";#N/A,#N/A,FALSE,"Ratio Analysis";#N/A,#N/A,FALSE,"Test 120 Day Accts";#N/A,#N/A,FALSE,"Tickmarks"}</definedName>
    <definedName name="试1" localSheetId="31" hidden="1">{#N/A,#N/A,FALSE,"Aging Summary";#N/A,#N/A,FALSE,"Ratio Analysis";#N/A,#N/A,FALSE,"Test 120 Day Accts";#N/A,#N/A,FALSE,"Tickmarks"}</definedName>
    <definedName name="试1" localSheetId="37" hidden="1">{#N/A,#N/A,FALSE,"Aging Summary";#N/A,#N/A,FALSE,"Ratio Analysis";#N/A,#N/A,FALSE,"Test 120 Day Accts";#N/A,#N/A,FALSE,"Tickmarks"}</definedName>
    <definedName name="试1" localSheetId="38" hidden="1">{#N/A,#N/A,FALSE,"Aging Summary";#N/A,#N/A,FALSE,"Ratio Analysis";#N/A,#N/A,FALSE,"Test 120 Day Accts";#N/A,#N/A,FALSE,"Tickmarks"}</definedName>
    <definedName name="试1" localSheetId="7" hidden="1">{#N/A,#N/A,FALSE,"Aging Summary";#N/A,#N/A,FALSE,"Ratio Analysis";#N/A,#N/A,FALSE,"Test 120 Day Accts";#N/A,#N/A,FALSE,"Tickmarks"}</definedName>
    <definedName name="试1" localSheetId="36" hidden="1">{#N/A,#N/A,FALSE,"Aging Summary";#N/A,#N/A,FALSE,"Ratio Analysis";#N/A,#N/A,FALSE,"Test 120 Day Accts";#N/A,#N/A,FALSE,"Tickmarks"}</definedName>
    <definedName name="试1" localSheetId="21" hidden="1">{#N/A,#N/A,FALSE,"Aging Summary";#N/A,#N/A,FALSE,"Ratio Analysis";#N/A,#N/A,FALSE,"Test 120 Day Accts";#N/A,#N/A,FALSE,"Tickmarks"}</definedName>
    <definedName name="试1" localSheetId="30" hidden="1">{#N/A,#N/A,FALSE,"Aging Summary";#N/A,#N/A,FALSE,"Ratio Analysis";#N/A,#N/A,FALSE,"Test 120 Day Accts";#N/A,#N/A,FALSE,"Tickmarks"}</definedName>
    <definedName name="试1" localSheetId="34" hidden="1">{#N/A,#N/A,FALSE,"Aging Summary";#N/A,#N/A,FALSE,"Ratio Analysis";#N/A,#N/A,FALSE,"Test 120 Day Accts";#N/A,#N/A,FALSE,"Tickmarks"}</definedName>
    <definedName name="试1" localSheetId="33" hidden="1">{#N/A,#N/A,FALSE,"Aging Summary";#N/A,#N/A,FALSE,"Ratio Analysis";#N/A,#N/A,FALSE,"Test 120 Day Accts";#N/A,#N/A,FALSE,"Tickmarks"}</definedName>
    <definedName name="试1" localSheetId="6" hidden="1">{#N/A,#N/A,FALSE,"Aging Summary";#N/A,#N/A,FALSE,"Ratio Analysis";#N/A,#N/A,FALSE,"Test 120 Day Accts";#N/A,#N/A,FALSE,"Tickmarks"}</definedName>
    <definedName name="试1" hidden="1">{#N/A,#N/A,FALSE,"Aging Summary";#N/A,#N/A,FALSE,"Ratio Analysis";#N/A,#N/A,FALSE,"Test 120 Day Accts";#N/A,#N/A,FALSE,"Tickmarks"}</definedName>
    <definedName name="试算平衡表" localSheetId="33">#REF!</definedName>
    <definedName name="试算平衡表">#REF!</definedName>
    <definedName name="负债表_合并" localSheetId="31">#REF!</definedName>
    <definedName name="负债表_合并" localSheetId="33">#REF!</definedName>
    <definedName name="负债表_合并">#REF!</definedName>
    <definedName name="负债表合并" localSheetId="31">#REF!</definedName>
    <definedName name="负债表合并" localSheetId="33">#REF!</definedName>
    <definedName name="负债表合并">#REF!</definedName>
    <definedName name="贵州" localSheetId="31">#REF!</definedName>
    <definedName name="贵州" localSheetId="33">#REF!</definedName>
    <definedName name="贵州">#REF!</definedName>
    <definedName name="费用" localSheetId="31">#REF!</definedName>
    <definedName name="费用" localSheetId="33">#REF!</definedName>
    <definedName name="费用">#REF!</definedName>
    <definedName name="边料" localSheetId="31">#REF!</definedName>
    <definedName name="边料">#REF!</definedName>
    <definedName name="郑州" localSheetId="31">#REF!</definedName>
    <definedName name="郑州" localSheetId="33">#REF!</definedName>
    <definedName name="郑州">#REF!</definedName>
    <definedName name="郑州分公司" localSheetId="31">#REF!</definedName>
    <definedName name="郑州分公司" localSheetId="33">#REF!</definedName>
    <definedName name="郑州分公司">#REF!</definedName>
    <definedName name="部门" localSheetId="31">#REF!</definedName>
    <definedName name="部门" localSheetId="33">#REF!</definedName>
    <definedName name="部门">#REF!</definedName>
    <definedName name="金羚电器有限公司" localSheetId="31">#REF!</definedName>
    <definedName name="金羚电器有限公司" localSheetId="33">#REF!</definedName>
    <definedName name="金羚电器有限公司">#REF!</definedName>
    <definedName name="销售成本" localSheetId="4" hidden="1">{#N/A,#N/A,FALSE,"Aging Summary";#N/A,#N/A,FALSE,"Ratio Analysis";#N/A,#N/A,FALSE,"Test 120 Day Accts";#N/A,#N/A,FALSE,"Tickmarks"}</definedName>
    <definedName name="销售成本" localSheetId="35" hidden="1">{#N/A,#N/A,FALSE,"Aging Summary";#N/A,#N/A,FALSE,"Ratio Analysis";#N/A,#N/A,FALSE,"Test 120 Day Accts";#N/A,#N/A,FALSE,"Tickmarks"}</definedName>
    <definedName name="销售成本" localSheetId="31" hidden="1">{#N/A,#N/A,FALSE,"Aging Summary";#N/A,#N/A,FALSE,"Ratio Analysis";#N/A,#N/A,FALSE,"Test 120 Day Accts";#N/A,#N/A,FALSE,"Tickmarks"}</definedName>
    <definedName name="销售成本" localSheetId="37" hidden="1">{#N/A,#N/A,FALSE,"Aging Summary";#N/A,#N/A,FALSE,"Ratio Analysis";#N/A,#N/A,FALSE,"Test 120 Day Accts";#N/A,#N/A,FALSE,"Tickmarks"}</definedName>
    <definedName name="销售成本" localSheetId="38" hidden="1">{#N/A,#N/A,FALSE,"Aging Summary";#N/A,#N/A,FALSE,"Ratio Analysis";#N/A,#N/A,FALSE,"Test 120 Day Accts";#N/A,#N/A,FALSE,"Tickmarks"}</definedName>
    <definedName name="销售成本" localSheetId="7" hidden="1">{#N/A,#N/A,FALSE,"Aging Summary";#N/A,#N/A,FALSE,"Ratio Analysis";#N/A,#N/A,FALSE,"Test 120 Day Accts";#N/A,#N/A,FALSE,"Tickmarks"}</definedName>
    <definedName name="销售成本" localSheetId="36" hidden="1">{#N/A,#N/A,FALSE,"Aging Summary";#N/A,#N/A,FALSE,"Ratio Analysis";#N/A,#N/A,FALSE,"Test 120 Day Accts";#N/A,#N/A,FALSE,"Tickmarks"}</definedName>
    <definedName name="销售成本" localSheetId="21" hidden="1">{#N/A,#N/A,FALSE,"Aging Summary";#N/A,#N/A,FALSE,"Ratio Analysis";#N/A,#N/A,FALSE,"Test 120 Day Accts";#N/A,#N/A,FALSE,"Tickmarks"}</definedName>
    <definedName name="销售成本" localSheetId="30" hidden="1">{#N/A,#N/A,FALSE,"Aging Summary";#N/A,#N/A,FALSE,"Ratio Analysis";#N/A,#N/A,FALSE,"Test 120 Day Accts";#N/A,#N/A,FALSE,"Tickmarks"}</definedName>
    <definedName name="销售成本" localSheetId="34" hidden="1">{#N/A,#N/A,FALSE,"Aging Summary";#N/A,#N/A,FALSE,"Ratio Analysis";#N/A,#N/A,FALSE,"Test 120 Day Accts";#N/A,#N/A,FALSE,"Tickmarks"}</definedName>
    <definedName name="销售成本" localSheetId="33" hidden="1">{#N/A,#N/A,FALSE,"Aging Summary";#N/A,#N/A,FALSE,"Ratio Analysis";#N/A,#N/A,FALSE,"Test 120 Day Accts";#N/A,#N/A,FALSE,"Tickmarks"}</definedName>
    <definedName name="销售成本" localSheetId="6" hidden="1">{#N/A,#N/A,FALSE,"Aging Summary";#N/A,#N/A,FALSE,"Ratio Analysis";#N/A,#N/A,FALSE,"Test 120 Day Accts";#N/A,#N/A,FALSE,"Tickmarks"}</definedName>
    <definedName name="销售成本" hidden="1">{#N/A,#N/A,FALSE,"Aging Summary";#N/A,#N/A,FALSE,"Ratio Analysis";#N/A,#N/A,FALSE,"Test 120 Day Accts";#N/A,#N/A,FALSE,"Tickmarks"}</definedName>
    <definedName name="门市部" localSheetId="33">#REF!</definedName>
    <definedName name="门市部">#REF!</definedName>
    <definedName name="间接" localSheetId="31">#REF!</definedName>
    <definedName name="间接">#REF!</definedName>
    <definedName name="陕西宁夏" localSheetId="31">#REF!</definedName>
    <definedName name="陕西宁夏" localSheetId="33">#REF!</definedName>
    <definedName name="陕西宁夏">#REF!</definedName>
    <definedName name="项目性质" localSheetId="35">#REF!</definedName>
    <definedName name="项目性质" localSheetId="31">#REF!</definedName>
    <definedName name="项目性质" localSheetId="37">#REF!</definedName>
    <definedName name="项目性质" localSheetId="36">#REF!</definedName>
    <definedName name="项目性质" localSheetId="30">#REF!</definedName>
    <definedName name="项目性质" localSheetId="34">#REF!</definedName>
    <definedName name="项目性质">#REF!</definedName>
    <definedName name="预提" localSheetId="31">#REF!</definedName>
    <definedName name="预提">#REF!</definedName>
    <definedName name="预提费用201611" localSheetId="31">#REF!</definedName>
    <definedName name="预提费用201611">#REF!</definedName>
  </definedNames>
  <calcPr calcId="191029"/>
  <pivotCaches>
    <pivotCache cacheId="0" r:id="rId4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3" i="61" l="1"/>
  <c r="C46" i="61"/>
  <c r="H11" i="14" l="1"/>
  <c r="H4" i="14"/>
  <c r="S131" i="66"/>
  <c r="S121" i="66"/>
  <c r="S120" i="66"/>
  <c r="S119" i="66"/>
  <c r="S118" i="66"/>
  <c r="S117" i="66"/>
  <c r="S115" i="66"/>
  <c r="S114" i="66"/>
  <c r="P141" i="66"/>
  <c r="P139" i="66"/>
  <c r="P138" i="66"/>
  <c r="P137" i="66"/>
  <c r="P135" i="66"/>
  <c r="P134" i="66"/>
  <c r="P133" i="66"/>
  <c r="P132" i="66"/>
  <c r="P131" i="66"/>
  <c r="P130" i="66"/>
  <c r="P128" i="66"/>
  <c r="P127" i="66"/>
  <c r="P126" i="66"/>
  <c r="P125" i="66"/>
  <c r="P124" i="66"/>
  <c r="P123" i="66"/>
  <c r="P122" i="66"/>
  <c r="P121" i="66"/>
  <c r="P120" i="66"/>
  <c r="P119" i="66"/>
  <c r="P118" i="66"/>
  <c r="P117" i="66"/>
  <c r="P116" i="66"/>
  <c r="P115" i="66"/>
  <c r="P114" i="66"/>
  <c r="P113" i="66"/>
  <c r="P111" i="66"/>
  <c r="P109" i="66"/>
  <c r="P108" i="66"/>
  <c r="P107" i="66"/>
  <c r="AA36" i="57"/>
  <c r="H7" i="72" l="1"/>
  <c r="H80" i="72"/>
  <c r="M12" i="57"/>
  <c r="M11" i="57"/>
  <c r="E43" i="77"/>
  <c r="M49" i="77"/>
  <c r="M41" i="77"/>
  <c r="K7" i="57"/>
  <c r="M7" i="57"/>
  <c r="G24" i="15"/>
  <c r="G33" i="15"/>
  <c r="G32" i="15"/>
  <c r="G30" i="15"/>
  <c r="I23" i="70" l="1"/>
  <c r="M27" i="57" l="1"/>
  <c r="M4" i="80"/>
  <c r="I14" i="80"/>
  <c r="I13" i="80"/>
  <c r="J14" i="80"/>
  <c r="J13" i="80"/>
  <c r="F16" i="80"/>
  <c r="E13" i="80"/>
  <c r="E12" i="80"/>
  <c r="L12" i="80" s="1"/>
  <c r="O12" i="80" s="1"/>
  <c r="C2" i="80"/>
  <c r="M25" i="57"/>
  <c r="L13" i="80" l="1"/>
  <c r="O13" i="80" s="1"/>
  <c r="M13" i="80"/>
  <c r="G12" i="80"/>
  <c r="M12" i="80"/>
  <c r="G13" i="80"/>
  <c r="H149" i="5" l="1"/>
  <c r="G149" i="5"/>
  <c r="N26" i="57" l="1"/>
  <c r="N25" i="57"/>
  <c r="P86" i="72" l="1"/>
  <c r="G345" i="72"/>
  <c r="O303" i="72"/>
  <c r="O302" i="72"/>
  <c r="N332" i="72"/>
  <c r="M332" i="72"/>
  <c r="L332" i="72"/>
  <c r="K332" i="72"/>
  <c r="J332" i="72"/>
  <c r="I332" i="72"/>
  <c r="N148" i="72"/>
  <c r="M148" i="72"/>
  <c r="L148" i="72"/>
  <c r="K148" i="72"/>
  <c r="J148" i="72"/>
  <c r="I148" i="72"/>
  <c r="H148" i="72"/>
  <c r="N201" i="72"/>
  <c r="M201" i="72"/>
  <c r="L201" i="72"/>
  <c r="K201" i="72"/>
  <c r="J201" i="72"/>
  <c r="I201" i="72"/>
  <c r="H201" i="72"/>
  <c r="H231" i="72"/>
  <c r="A79" i="72"/>
  <c r="O79" i="72" s="1"/>
  <c r="X59" i="66"/>
  <c r="H332" i="72" l="1"/>
  <c r="Y40" i="66"/>
  <c r="X40" i="66"/>
  <c r="AD28" i="67" l="1"/>
  <c r="O35" i="65" l="1"/>
  <c r="L35" i="65"/>
  <c r="I21" i="65"/>
  <c r="B21" i="65"/>
  <c r="N21" i="65"/>
  <c r="G60" i="15"/>
  <c r="J25" i="65"/>
  <c r="J16" i="65"/>
  <c r="J15" i="65"/>
  <c r="J12" i="65"/>
  <c r="J8" i="65"/>
  <c r="AA2" i="67" l="1"/>
  <c r="Z2" i="67"/>
  <c r="Y2" i="67"/>
  <c r="X2" i="67"/>
  <c r="W2" i="67"/>
  <c r="V2" i="67"/>
  <c r="T2" i="67"/>
  <c r="S2" i="67"/>
  <c r="R2" i="67"/>
  <c r="Q2" i="67"/>
  <c r="P2" i="67"/>
  <c r="X134" i="66" l="1"/>
  <c r="X132" i="66"/>
  <c r="M94" i="89"/>
  <c r="L94" i="89"/>
  <c r="K94" i="89"/>
  <c r="J94" i="89"/>
  <c r="I94" i="89"/>
  <c r="H94" i="89"/>
  <c r="G94" i="89"/>
  <c r="M93" i="89"/>
  <c r="L93" i="89"/>
  <c r="K93" i="89"/>
  <c r="J93" i="89"/>
  <c r="I93" i="89"/>
  <c r="H93" i="89"/>
  <c r="G93" i="89"/>
  <c r="M89" i="89"/>
  <c r="L89" i="89"/>
  <c r="K89" i="89"/>
  <c r="J89" i="89"/>
  <c r="I89" i="89"/>
  <c r="H89" i="89"/>
  <c r="G89" i="89"/>
  <c r="M86" i="89"/>
  <c r="L86" i="89"/>
  <c r="K86" i="89"/>
  <c r="J86" i="89"/>
  <c r="I86" i="89"/>
  <c r="H86" i="89"/>
  <c r="G86" i="89"/>
  <c r="T139" i="66" l="1"/>
  <c r="S139" i="66"/>
  <c r="R139" i="66"/>
  <c r="Q139" i="66"/>
  <c r="T135" i="66"/>
  <c r="S135" i="66"/>
  <c r="R135" i="66"/>
  <c r="Q135" i="66"/>
  <c r="T123" i="66"/>
  <c r="T124" i="66" s="1"/>
  <c r="T126" i="66" s="1"/>
  <c r="T128" i="66" s="1"/>
  <c r="T141" i="66" s="1"/>
  <c r="S123" i="66"/>
  <c r="R123" i="66"/>
  <c r="Q123" i="66"/>
  <c r="T116" i="66"/>
  <c r="Q116" i="66"/>
  <c r="Q124" i="66" l="1"/>
  <c r="Q126" i="66" s="1"/>
  <c r="L66" i="86" l="1"/>
  <c r="AA37" i="66"/>
  <c r="AA33" i="66"/>
  <c r="AA26" i="66"/>
  <c r="X84" i="88" l="1"/>
  <c r="AD78" i="88"/>
  <c r="AC78" i="88"/>
  <c r="AB78" i="88"/>
  <c r="AA78" i="88"/>
  <c r="Z78" i="88"/>
  <c r="Y78" i="88"/>
  <c r="X81" i="88"/>
  <c r="AD76" i="88"/>
  <c r="AC76" i="88"/>
  <c r="AB76" i="88"/>
  <c r="AA76" i="88"/>
  <c r="Z76" i="88"/>
  <c r="Y76" i="88"/>
  <c r="X76" i="88"/>
  <c r="AC71" i="88"/>
  <c r="AB71" i="88"/>
  <c r="AA71" i="88"/>
  <c r="AD69" i="88"/>
  <c r="AC69" i="88"/>
  <c r="AB69" i="88"/>
  <c r="AA69" i="88"/>
  <c r="Z69" i="88"/>
  <c r="Y69" i="88"/>
  <c r="AD63" i="88"/>
  <c r="AC63" i="88"/>
  <c r="AB63" i="88"/>
  <c r="AA63" i="88"/>
  <c r="Z63" i="88"/>
  <c r="Y63" i="88"/>
  <c r="X63" i="88"/>
  <c r="AD62" i="88"/>
  <c r="AC62" i="88"/>
  <c r="AB62" i="88"/>
  <c r="AA62" i="88"/>
  <c r="Z62" i="88"/>
  <c r="Y62" i="88"/>
  <c r="AD60" i="88"/>
  <c r="AC60" i="88"/>
  <c r="AB60" i="88"/>
  <c r="AA60" i="88"/>
  <c r="Z60" i="88"/>
  <c r="Y60" i="88"/>
  <c r="AD55" i="88"/>
  <c r="AC55" i="88"/>
  <c r="AB55" i="88"/>
  <c r="AA55" i="88"/>
  <c r="Z55" i="88"/>
  <c r="Y55" i="88"/>
  <c r="X55" i="88"/>
  <c r="W55" i="88"/>
  <c r="V55" i="88"/>
  <c r="U55" i="88"/>
  <c r="T55" i="88"/>
  <c r="S55" i="88"/>
  <c r="U54" i="88"/>
  <c r="T54" i="88"/>
  <c r="S54" i="88"/>
  <c r="BA28" i="88"/>
  <c r="AZ28" i="88"/>
  <c r="AY28" i="88"/>
  <c r="AX28" i="88"/>
  <c r="AW28" i="88"/>
  <c r="AV28" i="88"/>
  <c r="AO26" i="88"/>
  <c r="AD71" i="88" s="1"/>
  <c r="AN26" i="88"/>
  <c r="AM26" i="88"/>
  <c r="AL26" i="88"/>
  <c r="AK26" i="88"/>
  <c r="Z71" i="88" s="1"/>
  <c r="AJ26" i="88"/>
  <c r="Y71" i="88" s="1"/>
  <c r="AB28" i="88"/>
  <c r="AA28" i="88"/>
  <c r="Z28" i="88"/>
  <c r="X28" i="88"/>
  <c r="W28" i="88"/>
  <c r="V28" i="88"/>
  <c r="U28" i="88"/>
  <c r="T28" i="88"/>
  <c r="S28" i="88"/>
  <c r="AC27" i="88"/>
  <c r="AC28" i="88" s="1"/>
  <c r="AB27" i="88"/>
  <c r="AA27" i="88"/>
  <c r="Z27" i="88"/>
  <c r="Y27" i="88"/>
  <c r="Y28" i="88" s="1"/>
  <c r="X27" i="88"/>
  <c r="W27" i="88"/>
  <c r="V27" i="88"/>
  <c r="U27" i="88"/>
  <c r="T27" i="88"/>
  <c r="S27" i="88"/>
  <c r="R28" i="88"/>
  <c r="R27" i="88"/>
  <c r="AC26" i="88"/>
  <c r="AB26" i="88"/>
  <c r="AA26" i="88"/>
  <c r="Z26" i="88"/>
  <c r="Y26" i="88"/>
  <c r="X26" i="88"/>
  <c r="W26" i="88"/>
  <c r="V26" i="88"/>
  <c r="U26" i="88"/>
  <c r="T26" i="88"/>
  <c r="S26" i="88"/>
  <c r="R26" i="88"/>
  <c r="O37" i="87" l="1"/>
  <c r="O47" i="87"/>
  <c r="O49" i="87"/>
  <c r="N49" i="87"/>
  <c r="M49" i="87"/>
  <c r="L49" i="87"/>
  <c r="K49" i="87"/>
  <c r="J49" i="87"/>
  <c r="I49" i="87"/>
  <c r="O51" i="87"/>
  <c r="N51" i="87"/>
  <c r="M51" i="87"/>
  <c r="L51" i="87"/>
  <c r="K51" i="87"/>
  <c r="J51" i="87"/>
  <c r="N37" i="87"/>
  <c r="M37" i="87"/>
  <c r="L37" i="87"/>
  <c r="K37" i="87"/>
  <c r="J37" i="87"/>
  <c r="I37" i="87"/>
  <c r="H37" i="87"/>
  <c r="G37" i="87"/>
  <c r="F37" i="87"/>
  <c r="E37" i="87"/>
  <c r="D37" i="87"/>
  <c r="N36" i="87"/>
  <c r="M36" i="87"/>
  <c r="L36" i="87"/>
  <c r="K36" i="87"/>
  <c r="J36" i="87"/>
  <c r="I36" i="87"/>
  <c r="H36" i="87"/>
  <c r="G36" i="87"/>
  <c r="F36" i="87"/>
  <c r="E36" i="87"/>
  <c r="D36" i="87"/>
  <c r="K97" i="72"/>
  <c r="L97" i="72"/>
  <c r="M97" i="72"/>
  <c r="N97" i="72"/>
  <c r="Z27" i="87"/>
  <c r="Y27" i="87"/>
  <c r="X27" i="87"/>
  <c r="W27" i="87"/>
  <c r="V27" i="87"/>
  <c r="J97" i="72" s="1"/>
  <c r="U27" i="87"/>
  <c r="I97" i="72" s="1"/>
  <c r="T27" i="87"/>
  <c r="N2" i="87"/>
  <c r="M2" i="87"/>
  <c r="L2" i="87"/>
  <c r="K2" i="87"/>
  <c r="J2" i="87"/>
  <c r="I2" i="87"/>
  <c r="H2" i="87"/>
  <c r="G2" i="87"/>
  <c r="F2" i="87"/>
  <c r="E2" i="87"/>
  <c r="D2" i="87"/>
  <c r="C2" i="87"/>
  <c r="O82" i="72" l="1"/>
  <c r="Z2" i="89"/>
  <c r="Z36" i="66"/>
  <c r="X36" i="66"/>
  <c r="W36" i="66"/>
  <c r="Z32" i="66"/>
  <c r="X32" i="66"/>
  <c r="W32" i="66"/>
  <c r="Z20" i="66"/>
  <c r="Z13" i="66"/>
  <c r="Y30" i="66"/>
  <c r="O29" i="89"/>
  <c r="O25" i="89"/>
  <c r="N14" i="89"/>
  <c r="M2" i="89"/>
  <c r="M26" i="89" s="1"/>
  <c r="M90" i="89" s="1"/>
  <c r="L2" i="89"/>
  <c r="L26" i="89" s="1"/>
  <c r="L90" i="89" s="1"/>
  <c r="K2" i="89"/>
  <c r="K26" i="89" s="1"/>
  <c r="K90" i="89" s="1"/>
  <c r="J2" i="89"/>
  <c r="J26" i="89" s="1"/>
  <c r="J90" i="89" s="1"/>
  <c r="I2" i="89"/>
  <c r="I26" i="89" s="1"/>
  <c r="I90" i="89" s="1"/>
  <c r="H2" i="89"/>
  <c r="H26" i="89" s="1"/>
  <c r="H90" i="89" s="1"/>
  <c r="G2" i="89"/>
  <c r="G26" i="89" s="1"/>
  <c r="N32" i="89"/>
  <c r="F31" i="89"/>
  <c r="N28" i="89"/>
  <c r="F27" i="89"/>
  <c r="E20" i="89"/>
  <c r="E33" i="89" s="1"/>
  <c r="D20" i="89"/>
  <c r="C20" i="89"/>
  <c r="B20" i="89"/>
  <c r="F15" i="89"/>
  <c r="F16" i="89" s="1"/>
  <c r="Q14" i="89"/>
  <c r="F8" i="89"/>
  <c r="T36" i="66"/>
  <c r="S35" i="66"/>
  <c r="N32" i="65" s="1"/>
  <c r="R35" i="66"/>
  <c r="M32" i="65" s="1"/>
  <c r="Q35" i="66"/>
  <c r="K32" i="65" s="1"/>
  <c r="S34" i="66"/>
  <c r="R34" i="66"/>
  <c r="Q34" i="66"/>
  <c r="T32" i="66"/>
  <c r="S31" i="66"/>
  <c r="R31" i="66"/>
  <c r="M28" i="65" s="1"/>
  <c r="Q31" i="66"/>
  <c r="K28" i="65" s="1"/>
  <c r="S30" i="66"/>
  <c r="N27" i="65" s="1"/>
  <c r="R30" i="66"/>
  <c r="M27" i="65" s="1"/>
  <c r="Q30" i="66"/>
  <c r="K27" i="65" s="1"/>
  <c r="S29" i="66"/>
  <c r="R29" i="66"/>
  <c r="M26" i="65" s="1"/>
  <c r="Q29" i="66"/>
  <c r="S28" i="66"/>
  <c r="S32" i="66" s="1"/>
  <c r="R28" i="66"/>
  <c r="M25" i="65" s="1"/>
  <c r="Q28" i="66"/>
  <c r="K25" i="65" s="1"/>
  <c r="S27" i="66"/>
  <c r="N24" i="65" s="1"/>
  <c r="R27" i="66"/>
  <c r="M24" i="65" s="1"/>
  <c r="Q27" i="66"/>
  <c r="S24" i="66"/>
  <c r="R24" i="66"/>
  <c r="Q24" i="66"/>
  <c r="K21" i="65" s="1"/>
  <c r="S22" i="66"/>
  <c r="R22" i="66"/>
  <c r="M19" i="65" s="1"/>
  <c r="Q22" i="66"/>
  <c r="K19" i="65" s="1"/>
  <c r="T20" i="66"/>
  <c r="S19" i="66"/>
  <c r="N16" i="65" s="1"/>
  <c r="R19" i="66"/>
  <c r="M16" i="65" s="1"/>
  <c r="Q19" i="66"/>
  <c r="K16" i="65" s="1"/>
  <c r="S18" i="66"/>
  <c r="R18" i="66"/>
  <c r="M15" i="65" s="1"/>
  <c r="Q18" i="66"/>
  <c r="K15" i="65" s="1"/>
  <c r="S17" i="66"/>
  <c r="R17" i="66"/>
  <c r="M14" i="65" s="1"/>
  <c r="Q17" i="66"/>
  <c r="S16" i="66"/>
  <c r="R16" i="66"/>
  <c r="M13" i="65" s="1"/>
  <c r="Q16" i="66"/>
  <c r="S15" i="66"/>
  <c r="R15" i="66"/>
  <c r="Q15" i="66"/>
  <c r="S14" i="66"/>
  <c r="R14" i="66"/>
  <c r="Q14" i="66"/>
  <c r="T13" i="66"/>
  <c r="S12" i="66"/>
  <c r="R12" i="66"/>
  <c r="M9" i="65" s="1"/>
  <c r="Q12" i="66"/>
  <c r="K9" i="65" s="1"/>
  <c r="S11" i="66"/>
  <c r="R11" i="66"/>
  <c r="Q11" i="66"/>
  <c r="K8" i="65" s="1"/>
  <c r="S10" i="66"/>
  <c r="R10" i="66"/>
  <c r="Q10" i="66"/>
  <c r="R36" i="66" l="1"/>
  <c r="R40" i="66" s="1"/>
  <c r="AA40" i="66" s="1"/>
  <c r="M31" i="65"/>
  <c r="Q36" i="66"/>
  <c r="K31" i="65"/>
  <c r="S36" i="66"/>
  <c r="S40" i="66" s="1"/>
  <c r="N31" i="65"/>
  <c r="P21" i="65"/>
  <c r="M21" i="65"/>
  <c r="R13" i="66"/>
  <c r="M8" i="65"/>
  <c r="S13" i="66"/>
  <c r="N2" i="89"/>
  <c r="O26" i="89"/>
  <c r="G90" i="89"/>
  <c r="Y31" i="66"/>
  <c r="N28" i="65" s="1"/>
  <c r="T21" i="66"/>
  <c r="T23" i="66" s="1"/>
  <c r="T25" i="66" s="1"/>
  <c r="Q20" i="66"/>
  <c r="R20" i="66"/>
  <c r="R21" i="66" s="1"/>
  <c r="R23" i="66" s="1"/>
  <c r="R25" i="66" s="1"/>
  <c r="R32" i="66"/>
  <c r="Z21" i="66"/>
  <c r="Z23" i="66" s="1"/>
  <c r="Z25" i="66" s="1"/>
  <c r="Z38" i="66" s="1"/>
  <c r="Q13" i="66"/>
  <c r="Q32" i="66"/>
  <c r="S20" i="66"/>
  <c r="S21" i="66"/>
  <c r="S23" i="66" s="1"/>
  <c r="S25" i="66" s="1"/>
  <c r="N19" i="89"/>
  <c r="N29" i="89"/>
  <c r="N25" i="89"/>
  <c r="N26" i="89"/>
  <c r="O22" i="89"/>
  <c r="N22" i="89"/>
  <c r="O19" i="89"/>
  <c r="F18" i="89"/>
  <c r="Q21" i="66" l="1"/>
  <c r="Q23" i="66" s="1"/>
  <c r="Q25" i="66" s="1"/>
  <c r="F20" i="89"/>
  <c r="F33" i="89" l="1"/>
  <c r="F34" i="89" l="1"/>
  <c r="U47" i="86" l="1"/>
  <c r="N40" i="86"/>
  <c r="M40" i="86"/>
  <c r="L40" i="86"/>
  <c r="K40" i="86"/>
  <c r="J40" i="86"/>
  <c r="I40" i="86"/>
  <c r="H40" i="86"/>
  <c r="G41" i="86"/>
  <c r="G40" i="86"/>
  <c r="J39" i="86"/>
  <c r="I39" i="86"/>
  <c r="H39" i="86"/>
  <c r="G39" i="86"/>
  <c r="F39" i="86"/>
  <c r="E39" i="86"/>
  <c r="D39" i="86"/>
  <c r="C39" i="86"/>
  <c r="AT36" i="86"/>
  <c r="AX35" i="86"/>
  <c r="AW35" i="86"/>
  <c r="AV35" i="86"/>
  <c r="AU35" i="86"/>
  <c r="AN32" i="86"/>
  <c r="AM32" i="86"/>
  <c r="AL32" i="86"/>
  <c r="AK32" i="86"/>
  <c r="AJ32" i="86"/>
  <c r="AI32" i="86"/>
  <c r="AH32" i="86"/>
  <c r="AG32" i="86"/>
  <c r="AF32" i="86"/>
  <c r="AE32" i="86"/>
  <c r="AD32" i="86"/>
  <c r="AN31" i="86"/>
  <c r="AM31" i="86"/>
  <c r="AL31" i="86"/>
  <c r="AK31" i="86"/>
  <c r="AJ31" i="86"/>
  <c r="AI31" i="86"/>
  <c r="AH31" i="86"/>
  <c r="AG31" i="86"/>
  <c r="AF31" i="86"/>
  <c r="AE31" i="86"/>
  <c r="AD31" i="86"/>
  <c r="AN12" i="86" l="1"/>
  <c r="AM12" i="86"/>
  <c r="AL12" i="86"/>
  <c r="AK12" i="86"/>
  <c r="AJ12" i="86"/>
  <c r="AI12" i="86"/>
  <c r="AH12" i="86"/>
  <c r="AG12" i="86"/>
  <c r="AF12" i="86"/>
  <c r="AE12" i="86"/>
  <c r="AD12" i="86"/>
  <c r="AC12" i="86"/>
  <c r="N35" i="86"/>
  <c r="M35" i="86"/>
  <c r="L35" i="86"/>
  <c r="K35" i="86"/>
  <c r="J35" i="86"/>
  <c r="I35" i="86"/>
  <c r="H35" i="86"/>
  <c r="G35" i="86"/>
  <c r="F35" i="86"/>
  <c r="E35" i="86"/>
  <c r="D35" i="86"/>
  <c r="C35" i="86"/>
  <c r="N34" i="86"/>
  <c r="M34" i="86"/>
  <c r="L34" i="86"/>
  <c r="K34" i="86"/>
  <c r="J34" i="86"/>
  <c r="I34" i="86"/>
  <c r="H34" i="86"/>
  <c r="G34" i="86"/>
  <c r="F34" i="86"/>
  <c r="E34" i="86"/>
  <c r="D34" i="86"/>
  <c r="C34" i="86"/>
  <c r="AD81" i="88" l="1"/>
  <c r="AC81" i="88"/>
  <c r="AB81" i="88"/>
  <c r="AA81" i="88"/>
  <c r="Z81" i="88"/>
  <c r="Y81" i="88"/>
  <c r="W81" i="88"/>
  <c r="V81" i="88"/>
  <c r="U81" i="88"/>
  <c r="T81" i="88"/>
  <c r="S81" i="88"/>
  <c r="AB80" i="88"/>
  <c r="AA80" i="88"/>
  <c r="Z80" i="88"/>
  <c r="Y80" i="88"/>
  <c r="W80" i="88"/>
  <c r="V80" i="88"/>
  <c r="U80" i="88"/>
  <c r="T80" i="88"/>
  <c r="U78" i="88"/>
  <c r="T78" i="88"/>
  <c r="S78" i="88"/>
  <c r="AD80" i="88"/>
  <c r="AC80" i="88"/>
  <c r="S80" i="88"/>
  <c r="AH66" i="88"/>
  <c r="T61" i="88"/>
  <c r="T62" i="88" s="1"/>
  <c r="K28" i="88"/>
  <c r="AH25" i="88"/>
  <c r="AH49" i="88" s="1"/>
  <c r="AG25" i="88"/>
  <c r="AG29" i="88" s="1"/>
  <c r="BD24" i="88"/>
  <c r="BC24" i="88"/>
  <c r="BA24" i="88"/>
  <c r="AZ24" i="88"/>
  <c r="AY24" i="88"/>
  <c r="AX24" i="88"/>
  <c r="AW24" i="88"/>
  <c r="AV24" i="88"/>
  <c r="AU24" i="88"/>
  <c r="AT24" i="88"/>
  <c r="AS24" i="88"/>
  <c r="AR24" i="88"/>
  <c r="AQ24" i="88"/>
  <c r="AP24" i="88"/>
  <c r="R24" i="88"/>
  <c r="BC23" i="88"/>
  <c r="BD23" i="88" s="1"/>
  <c r="BA23" i="88"/>
  <c r="AZ23" i="88"/>
  <c r="AY23" i="88"/>
  <c r="AX23" i="88"/>
  <c r="AW23" i="88"/>
  <c r="AV23" i="88"/>
  <c r="AU23" i="88"/>
  <c r="AT23" i="88"/>
  <c r="AS23" i="88"/>
  <c r="AR23" i="88"/>
  <c r="AQ23" i="88"/>
  <c r="AP23" i="88"/>
  <c r="M23" i="88"/>
  <c r="K23" i="88"/>
  <c r="BK22" i="88"/>
  <c r="BK23" i="88" s="1"/>
  <c r="BD22" i="88"/>
  <c r="BC22" i="88"/>
  <c r="BA22" i="88"/>
  <c r="AZ22" i="88"/>
  <c r="AY22" i="88"/>
  <c r="AX22" i="88"/>
  <c r="AW22" i="88"/>
  <c r="AV22" i="88"/>
  <c r="AU22" i="88"/>
  <c r="AT22" i="88"/>
  <c r="AS22" i="88"/>
  <c r="AR22" i="88"/>
  <c r="AQ22" i="88"/>
  <c r="AP22" i="88"/>
  <c r="N22" i="88"/>
  <c r="BD21" i="88"/>
  <c r="BC21" i="88"/>
  <c r="BA21" i="88"/>
  <c r="AZ21" i="88"/>
  <c r="AY21" i="88"/>
  <c r="AX21" i="88"/>
  <c r="AW21" i="88"/>
  <c r="AV21" i="88"/>
  <c r="AU21" i="88"/>
  <c r="AT21" i="88"/>
  <c r="AS21" i="88"/>
  <c r="AR21" i="88"/>
  <c r="AQ21" i="88"/>
  <c r="AP21" i="88"/>
  <c r="N21" i="88"/>
  <c r="BC20" i="88"/>
  <c r="BD20" i="88" s="1"/>
  <c r="BA20" i="88"/>
  <c r="AZ20" i="88"/>
  <c r="AY20" i="88"/>
  <c r="AX20" i="88"/>
  <c r="AW20" i="88"/>
  <c r="AV20" i="88"/>
  <c r="AU20" i="88"/>
  <c r="AT20" i="88"/>
  <c r="AS20" i="88"/>
  <c r="AR20" i="88"/>
  <c r="AQ20" i="88"/>
  <c r="AP20" i="88"/>
  <c r="N20" i="88"/>
  <c r="BC19" i="88"/>
  <c r="BD19" i="88" s="1"/>
  <c r="BA19" i="88"/>
  <c r="AZ19" i="88"/>
  <c r="AY19" i="88"/>
  <c r="AX19" i="88"/>
  <c r="AA79" i="88" s="1"/>
  <c r="AW19" i="88"/>
  <c r="AV19" i="88"/>
  <c r="AU19" i="88"/>
  <c r="AT19" i="88"/>
  <c r="AS19" i="88"/>
  <c r="AR19" i="88"/>
  <c r="AQ19" i="88"/>
  <c r="AP19" i="88"/>
  <c r="N19" i="88"/>
  <c r="BC18" i="88"/>
  <c r="BD18" i="88" s="1"/>
  <c r="BA18" i="88"/>
  <c r="AD79" i="88" s="1"/>
  <c r="AZ18" i="88"/>
  <c r="AY18" i="88"/>
  <c r="AX18" i="88"/>
  <c r="AW18" i="88"/>
  <c r="AV18" i="88"/>
  <c r="AU18" i="88"/>
  <c r="AT18" i="88"/>
  <c r="AS18" i="88"/>
  <c r="AR18" i="88"/>
  <c r="AQ18" i="88"/>
  <c r="AP18" i="88"/>
  <c r="N18" i="88"/>
  <c r="BC17" i="88"/>
  <c r="BD17" i="88" s="1"/>
  <c r="BA17" i="88"/>
  <c r="AZ17" i="88"/>
  <c r="AY17" i="88"/>
  <c r="AX17" i="88"/>
  <c r="AW17" i="88"/>
  <c r="AV17" i="88"/>
  <c r="AU17" i="88"/>
  <c r="AT17" i="88"/>
  <c r="AS17" i="88"/>
  <c r="AR17" i="88"/>
  <c r="AQ17" i="88"/>
  <c r="AP17" i="88"/>
  <c r="N17" i="88"/>
  <c r="BD16" i="88"/>
  <c r="BC16" i="88"/>
  <c r="BA16" i="88"/>
  <c r="AZ16" i="88"/>
  <c r="AY16" i="88"/>
  <c r="AX16" i="88"/>
  <c r="AW16" i="88"/>
  <c r="AV16" i="88"/>
  <c r="AU16" i="88"/>
  <c r="AT16" i="88"/>
  <c r="AS16" i="88"/>
  <c r="AR16" i="88"/>
  <c r="AQ16" i="88"/>
  <c r="AP16" i="88"/>
  <c r="N16" i="88"/>
  <c r="BD15" i="88"/>
  <c r="BC15" i="88"/>
  <c r="BA15" i="88"/>
  <c r="AZ15" i="88"/>
  <c r="AY15" i="88"/>
  <c r="AX15" i="88"/>
  <c r="AW15" i="88"/>
  <c r="AV15" i="88"/>
  <c r="AU15" i="88"/>
  <c r="AT15" i="88"/>
  <c r="AS15" i="88"/>
  <c r="AR15" i="88"/>
  <c r="AQ15" i="88"/>
  <c r="AP15" i="88"/>
  <c r="N15" i="88"/>
  <c r="BC14" i="88"/>
  <c r="BD14" i="88" s="1"/>
  <c r="BA14" i="88"/>
  <c r="AZ14" i="88"/>
  <c r="AY14" i="88"/>
  <c r="AX14" i="88"/>
  <c r="AW14" i="88"/>
  <c r="AV14" i="88"/>
  <c r="AU14" i="88"/>
  <c r="AT14" i="88"/>
  <c r="AS14" i="88"/>
  <c r="AR14" i="88"/>
  <c r="AQ14" i="88"/>
  <c r="AP14" i="88"/>
  <c r="O14" i="88"/>
  <c r="N14" i="88"/>
  <c r="BD13" i="88"/>
  <c r="BC13" i="88"/>
  <c r="BA13" i="88"/>
  <c r="AZ13" i="88"/>
  <c r="AY13" i="88"/>
  <c r="AX13" i="88"/>
  <c r="AW13" i="88"/>
  <c r="AV13" i="88"/>
  <c r="AU13" i="88"/>
  <c r="AT13" i="88"/>
  <c r="AS13" i="88"/>
  <c r="AR13" i="88"/>
  <c r="AQ13" i="88"/>
  <c r="AP13" i="88"/>
  <c r="L13" i="88"/>
  <c r="L23" i="88" s="1"/>
  <c r="J13" i="88"/>
  <c r="N13" i="88" s="1"/>
  <c r="I13" i="88"/>
  <c r="BC12" i="88"/>
  <c r="BD12" i="88" s="1"/>
  <c r="BA12" i="88"/>
  <c r="AZ12" i="88"/>
  <c r="AY12" i="88"/>
  <c r="AX12" i="88"/>
  <c r="AW12" i="88"/>
  <c r="AV12" i="88"/>
  <c r="AU12" i="88"/>
  <c r="AT12" i="88"/>
  <c r="AS12" i="88"/>
  <c r="AR12" i="88"/>
  <c r="AQ12" i="88"/>
  <c r="AP12" i="88"/>
  <c r="J12" i="88"/>
  <c r="I12" i="88"/>
  <c r="I23" i="88" s="1"/>
  <c r="BJ11" i="88"/>
  <c r="BG11" i="88"/>
  <c r="BD11" i="88"/>
  <c r="BC11" i="88"/>
  <c r="BA11" i="88"/>
  <c r="AZ11" i="88"/>
  <c r="AY11" i="88"/>
  <c r="AX11" i="88"/>
  <c r="AW11" i="88"/>
  <c r="AV11" i="88"/>
  <c r="AU11" i="88"/>
  <c r="AT11" i="88"/>
  <c r="AS11" i="88"/>
  <c r="AR11" i="88"/>
  <c r="AQ11" i="88"/>
  <c r="AP11" i="88"/>
  <c r="N11" i="88"/>
  <c r="AO10" i="88"/>
  <c r="AO25" i="88" s="1"/>
  <c r="AN10" i="88"/>
  <c r="AN25" i="88" s="1"/>
  <c r="AM10" i="88"/>
  <c r="AL10" i="88"/>
  <c r="AK10" i="88"/>
  <c r="AK25" i="88" s="1"/>
  <c r="AK49" i="88" s="1"/>
  <c r="AJ10" i="88"/>
  <c r="AJ25" i="88" s="1"/>
  <c r="AJ49" i="88" s="1"/>
  <c r="AI10" i="88"/>
  <c r="AI25" i="88" s="1"/>
  <c r="AH10" i="88"/>
  <c r="AG10" i="88"/>
  <c r="AF10" i="88"/>
  <c r="U57" i="88" s="1"/>
  <c r="AE10" i="88"/>
  <c r="T57" i="88" s="1"/>
  <c r="AD10" i="88"/>
  <c r="S57" i="88" s="1"/>
  <c r="AC10" i="88"/>
  <c r="AD56" i="88" s="1"/>
  <c r="AB10" i="88"/>
  <c r="AB25" i="88" s="1"/>
  <c r="AA10" i="88"/>
  <c r="Z10" i="88"/>
  <c r="AA56" i="88" s="1"/>
  <c r="Y10" i="88"/>
  <c r="Z56" i="88" s="1"/>
  <c r="X10" i="88"/>
  <c r="Y56" i="88" s="1"/>
  <c r="W10" i="88"/>
  <c r="X56" i="88" s="1"/>
  <c r="V10" i="88"/>
  <c r="V25" i="88" s="1"/>
  <c r="U10" i="88"/>
  <c r="U25" i="88" s="1"/>
  <c r="T10" i="88"/>
  <c r="U56" i="88" s="1"/>
  <c r="U61" i="88" s="1"/>
  <c r="U62" i="88" s="1"/>
  <c r="S10" i="88"/>
  <c r="T56" i="88" s="1"/>
  <c r="R10" i="88"/>
  <c r="R25" i="88" s="1"/>
  <c r="N10" i="88"/>
  <c r="BC9" i="88"/>
  <c r="BD9" i="88" s="1"/>
  <c r="BA9" i="88"/>
  <c r="AZ9" i="88"/>
  <c r="AY9" i="88"/>
  <c r="AX9" i="88"/>
  <c r="AW9" i="88"/>
  <c r="AV9" i="88"/>
  <c r="AU9" i="88"/>
  <c r="AT9" i="88"/>
  <c r="AS9" i="88"/>
  <c r="AR9" i="88"/>
  <c r="AQ9" i="88"/>
  <c r="AP9" i="88"/>
  <c r="N9" i="88"/>
  <c r="BC8" i="88"/>
  <c r="BD8" i="88" s="1"/>
  <c r="BA8" i="88"/>
  <c r="AZ8" i="88"/>
  <c r="AY8" i="88"/>
  <c r="AX8" i="88"/>
  <c r="AW8" i="88"/>
  <c r="AV8" i="88"/>
  <c r="AU8" i="88"/>
  <c r="AT8" i="88"/>
  <c r="AS8" i="88"/>
  <c r="AR8" i="88"/>
  <c r="AQ8" i="88"/>
  <c r="AP8" i="88"/>
  <c r="N8" i="88"/>
  <c r="M8" i="88"/>
  <c r="L8" i="88"/>
  <c r="K8" i="88"/>
  <c r="J8" i="88"/>
  <c r="I8" i="88"/>
  <c r="BJ7" i="88"/>
  <c r="BI7" i="88"/>
  <c r="BH7" i="88"/>
  <c r="BG7" i="88"/>
  <c r="BC7" i="88"/>
  <c r="BD7" i="88" s="1"/>
  <c r="BA7" i="88"/>
  <c r="AZ7" i="88"/>
  <c r="AY7" i="88"/>
  <c r="AX7" i="88"/>
  <c r="AW7" i="88"/>
  <c r="AV7" i="88"/>
  <c r="AU7" i="88"/>
  <c r="AT7" i="88"/>
  <c r="AS7" i="88"/>
  <c r="AR7" i="88"/>
  <c r="AQ7" i="88"/>
  <c r="AP7" i="88"/>
  <c r="BD6" i="88"/>
  <c r="BC6" i="88"/>
  <c r="BA6" i="88"/>
  <c r="AZ6" i="88"/>
  <c r="AY6" i="88"/>
  <c r="AX6" i="88"/>
  <c r="AW6" i="88"/>
  <c r="AV6" i="88"/>
  <c r="AU6" i="88"/>
  <c r="AT6" i="88"/>
  <c r="AS6" i="88"/>
  <c r="AR6" i="88"/>
  <c r="AQ6" i="88"/>
  <c r="AP6" i="88"/>
  <c r="BC5" i="88"/>
  <c r="BA5" i="88"/>
  <c r="AZ5" i="88"/>
  <c r="AY5" i="88"/>
  <c r="AX5" i="88"/>
  <c r="AW5" i="88"/>
  <c r="AV5" i="88"/>
  <c r="AU5" i="88"/>
  <c r="AT5" i="88"/>
  <c r="AS5" i="88"/>
  <c r="AR5" i="88"/>
  <c r="AQ5" i="88"/>
  <c r="AP5" i="88"/>
  <c r="BC4" i="88"/>
  <c r="BD4" i="88" s="1"/>
  <c r="BA4" i="88"/>
  <c r="AZ4" i="88"/>
  <c r="AY4" i="88"/>
  <c r="AX4" i="88"/>
  <c r="AW4" i="88"/>
  <c r="AV4" i="88"/>
  <c r="AU4" i="88"/>
  <c r="AT4" i="88"/>
  <c r="AS4" i="88"/>
  <c r="AR4" i="88"/>
  <c r="AQ4" i="88"/>
  <c r="AP4" i="88"/>
  <c r="BF2" i="88"/>
  <c r="BI2" i="88" s="1"/>
  <c r="P67" i="87"/>
  <c r="O63" i="87"/>
  <c r="M62" i="87"/>
  <c r="H62" i="87"/>
  <c r="G62" i="87"/>
  <c r="N54" i="87"/>
  <c r="N63" i="87" s="1"/>
  <c r="M54" i="87"/>
  <c r="M63" i="87" s="1"/>
  <c r="L54" i="87"/>
  <c r="L63" i="87" s="1"/>
  <c r="K54" i="87"/>
  <c r="K63" i="87" s="1"/>
  <c r="J54" i="87"/>
  <c r="J63" i="87" s="1"/>
  <c r="I54" i="87"/>
  <c r="I63" i="87" s="1"/>
  <c r="F62" i="87"/>
  <c r="E62" i="87"/>
  <c r="D62" i="87"/>
  <c r="P47" i="87"/>
  <c r="Q47" i="87" s="1"/>
  <c r="M47" i="87"/>
  <c r="L47" i="87"/>
  <c r="H47" i="87"/>
  <c r="G47" i="87"/>
  <c r="F47" i="87"/>
  <c r="E47" i="87"/>
  <c r="D47" i="87"/>
  <c r="F61" i="87"/>
  <c r="E39" i="87"/>
  <c r="P38" i="87"/>
  <c r="P39" i="87" s="1"/>
  <c r="Q36" i="87"/>
  <c r="N47" i="87"/>
  <c r="P33" i="87"/>
  <c r="P34" i="87" s="1"/>
  <c r="AN27" i="87"/>
  <c r="AO27" i="87" s="1"/>
  <c r="AP27" i="87" s="1"/>
  <c r="AL27" i="87"/>
  <c r="AK27" i="87"/>
  <c r="AJ27" i="87"/>
  <c r="AI27" i="87"/>
  <c r="AH27" i="87"/>
  <c r="AG27" i="87"/>
  <c r="AF27" i="87"/>
  <c r="AE27" i="87"/>
  <c r="AD27" i="87"/>
  <c r="AC27" i="87"/>
  <c r="AA27" i="87"/>
  <c r="D49" i="87" s="1"/>
  <c r="AN26" i="87"/>
  <c r="AO26" i="87" s="1"/>
  <c r="AP26" i="87" s="1"/>
  <c r="AJ26" i="87"/>
  <c r="AI26" i="87"/>
  <c r="AH26" i="87"/>
  <c r="AG26" i="87"/>
  <c r="AF26" i="87"/>
  <c r="AE26" i="87"/>
  <c r="AD26" i="87"/>
  <c r="AC26" i="87"/>
  <c r="AB26" i="87"/>
  <c r="AA26" i="87"/>
  <c r="AL26" i="87"/>
  <c r="AK26" i="87"/>
  <c r="AN25" i="87"/>
  <c r="AO25" i="87" s="1"/>
  <c r="AP25" i="87" s="1"/>
  <c r="AL25" i="87"/>
  <c r="AK25" i="87"/>
  <c r="AJ25" i="87"/>
  <c r="AI25" i="87"/>
  <c r="AH25" i="87"/>
  <c r="AG25" i="87"/>
  <c r="AF25" i="87"/>
  <c r="AE25" i="87"/>
  <c r="AD25" i="87"/>
  <c r="AC25" i="87"/>
  <c r="AB25" i="87"/>
  <c r="AA25" i="87"/>
  <c r="AN24" i="87"/>
  <c r="AO24" i="87" s="1"/>
  <c r="AP24" i="87" s="1"/>
  <c r="AL24" i="87"/>
  <c r="AK24" i="87"/>
  <c r="AJ24" i="87"/>
  <c r="AI24" i="87"/>
  <c r="AH24" i="87"/>
  <c r="AG24" i="87"/>
  <c r="AF24" i="87"/>
  <c r="AE24" i="87"/>
  <c r="AD24" i="87"/>
  <c r="AC24" i="87"/>
  <c r="AB24" i="87"/>
  <c r="AA24" i="87"/>
  <c r="AN23" i="87"/>
  <c r="AO23" i="87" s="1"/>
  <c r="AP23" i="87" s="1"/>
  <c r="AL23" i="87"/>
  <c r="AK23" i="87"/>
  <c r="AJ23" i="87"/>
  <c r="AI23" i="87"/>
  <c r="AH23" i="87"/>
  <c r="AG23" i="87"/>
  <c r="AF23" i="87"/>
  <c r="AE23" i="87"/>
  <c r="AD23" i="87"/>
  <c r="AC23" i="87"/>
  <c r="AB23" i="87"/>
  <c r="AA23" i="87"/>
  <c r="AN22" i="87"/>
  <c r="AO22" i="87" s="1"/>
  <c r="AP22" i="87" s="1"/>
  <c r="AL22" i="87"/>
  <c r="AK22" i="87"/>
  <c r="AJ22" i="87"/>
  <c r="AI22" i="87"/>
  <c r="AH22" i="87"/>
  <c r="AG22" i="87"/>
  <c r="AF22" i="87"/>
  <c r="AE22" i="87"/>
  <c r="AD22" i="87"/>
  <c r="AC22" i="87"/>
  <c r="AB22" i="87"/>
  <c r="AA22" i="87"/>
  <c r="AN21" i="87"/>
  <c r="AO21" i="87" s="1"/>
  <c r="AP21" i="87" s="1"/>
  <c r="AL21" i="87"/>
  <c r="AK21" i="87"/>
  <c r="AJ21" i="87"/>
  <c r="AI21" i="87"/>
  <c r="AH21" i="87"/>
  <c r="AG21" i="87"/>
  <c r="AF21" i="87"/>
  <c r="AE21" i="87"/>
  <c r="AD21" i="87"/>
  <c r="AC21" i="87"/>
  <c r="AB21" i="87"/>
  <c r="E61" i="87" s="1"/>
  <c r="AA21" i="87"/>
  <c r="AN20" i="87"/>
  <c r="AO20" i="87" s="1"/>
  <c r="AP20" i="87" s="1"/>
  <c r="AL20" i="87"/>
  <c r="AK20" i="87"/>
  <c r="AJ20" i="87"/>
  <c r="AI20" i="87"/>
  <c r="AH20" i="87"/>
  <c r="AG20" i="87"/>
  <c r="AF20" i="87"/>
  <c r="AE20" i="87"/>
  <c r="AD20" i="87"/>
  <c r="AC20" i="87"/>
  <c r="AB20" i="87"/>
  <c r="AA20" i="87"/>
  <c r="AN19" i="87"/>
  <c r="AO19" i="87" s="1"/>
  <c r="AP19" i="87" s="1"/>
  <c r="AL19" i="87"/>
  <c r="AK19" i="87"/>
  <c r="AJ19" i="87"/>
  <c r="AI19" i="87"/>
  <c r="AH19" i="87"/>
  <c r="AG19" i="87"/>
  <c r="AF19" i="87"/>
  <c r="AE19" i="87"/>
  <c r="AD19" i="87"/>
  <c r="AC19" i="87"/>
  <c r="AB19" i="87"/>
  <c r="AA19" i="87"/>
  <c r="AN18" i="87"/>
  <c r="AO18" i="87" s="1"/>
  <c r="AP18" i="87" s="1"/>
  <c r="AL18" i="87"/>
  <c r="AK18" i="87"/>
  <c r="AJ18" i="87"/>
  <c r="AI18" i="87"/>
  <c r="AH18" i="87"/>
  <c r="AG18" i="87"/>
  <c r="AF18" i="87"/>
  <c r="AE18" i="87"/>
  <c r="AD18" i="87"/>
  <c r="AC18" i="87"/>
  <c r="AB18" i="87"/>
  <c r="AA18" i="87"/>
  <c r="AW17" i="87"/>
  <c r="AW8" i="87" s="1"/>
  <c r="AN17" i="87"/>
  <c r="AO17" i="87" s="1"/>
  <c r="AP17" i="87" s="1"/>
  <c r="AL17" i="87"/>
  <c r="AK17" i="87"/>
  <c r="AJ17" i="87"/>
  <c r="AI17" i="87"/>
  <c r="AH17" i="87"/>
  <c r="AG17" i="87"/>
  <c r="AF17" i="87"/>
  <c r="AE17" i="87"/>
  <c r="AD17" i="87"/>
  <c r="AC17" i="87"/>
  <c r="AB17" i="87"/>
  <c r="AA17" i="87"/>
  <c r="AN16" i="87"/>
  <c r="AO16" i="87" s="1"/>
  <c r="AP16" i="87" s="1"/>
  <c r="AL16" i="87"/>
  <c r="AK16" i="87"/>
  <c r="AJ16" i="87"/>
  <c r="AI16" i="87"/>
  <c r="AH16" i="87"/>
  <c r="AG16" i="87"/>
  <c r="AF16" i="87"/>
  <c r="AE16" i="87"/>
  <c r="AD16" i="87"/>
  <c r="AC16" i="87"/>
  <c r="AB16" i="87"/>
  <c r="AA16" i="87"/>
  <c r="AN15" i="87"/>
  <c r="AO15" i="87" s="1"/>
  <c r="AP15" i="87" s="1"/>
  <c r="AL15" i="87"/>
  <c r="O54" i="87" s="1"/>
  <c r="AK15" i="87"/>
  <c r="AJ15" i="87"/>
  <c r="AI15" i="87"/>
  <c r="AH15" i="87"/>
  <c r="AG15" i="87"/>
  <c r="AF15" i="87"/>
  <c r="AE15" i="87"/>
  <c r="H54" i="87" s="1"/>
  <c r="H63" i="87" s="1"/>
  <c r="AD15" i="87"/>
  <c r="G54" i="87" s="1"/>
  <c r="G63" i="87" s="1"/>
  <c r="AC15" i="87"/>
  <c r="F54" i="87" s="1"/>
  <c r="F63" i="87" s="1"/>
  <c r="AB15" i="87"/>
  <c r="E54" i="87" s="1"/>
  <c r="E63" i="87" s="1"/>
  <c r="AA15" i="87"/>
  <c r="D54" i="87" s="1"/>
  <c r="D63" i="87" s="1"/>
  <c r="AN14" i="87"/>
  <c r="AO14" i="87" s="1"/>
  <c r="AP14" i="87" s="1"/>
  <c r="AL14" i="87"/>
  <c r="AK14" i="87"/>
  <c r="AJ14" i="87"/>
  <c r="AI14" i="87"/>
  <c r="AH14" i="87"/>
  <c r="AG14" i="87"/>
  <c r="AF14" i="87"/>
  <c r="AE14" i="87"/>
  <c r="AD14" i="87"/>
  <c r="AC14" i="87"/>
  <c r="AB14" i="87"/>
  <c r="AA14" i="87"/>
  <c r="AN13" i="87"/>
  <c r="AO13" i="87" s="1"/>
  <c r="AP13" i="87" s="1"/>
  <c r="AL13" i="87"/>
  <c r="AK13" i="87"/>
  <c r="AJ13" i="87"/>
  <c r="AI13" i="87"/>
  <c r="AH13" i="87"/>
  <c r="AG13" i="87"/>
  <c r="AF13" i="87"/>
  <c r="AE13" i="87"/>
  <c r="AD13" i="87"/>
  <c r="AC13" i="87"/>
  <c r="AB13" i="87"/>
  <c r="AA13" i="87"/>
  <c r="AN12" i="87"/>
  <c r="AO12" i="87" s="1"/>
  <c r="AP12" i="87" s="1"/>
  <c r="AL12" i="87"/>
  <c r="AK12" i="87"/>
  <c r="AJ12" i="87"/>
  <c r="AI12" i="87"/>
  <c r="AH12" i="87"/>
  <c r="AG12" i="87"/>
  <c r="AF12" i="87"/>
  <c r="AE12" i="87"/>
  <c r="AD12" i="87"/>
  <c r="AC12" i="87"/>
  <c r="AB12" i="87"/>
  <c r="AA12" i="87"/>
  <c r="Z11" i="87"/>
  <c r="Y11" i="87"/>
  <c r="X11" i="87"/>
  <c r="X30" i="87" s="1"/>
  <c r="X31" i="87" s="1"/>
  <c r="M53" i="87" s="1"/>
  <c r="W11" i="87"/>
  <c r="L39" i="87" s="1"/>
  <c r="V11" i="87"/>
  <c r="U11" i="87"/>
  <c r="U30" i="87" s="1"/>
  <c r="U31" i="87" s="1"/>
  <c r="J53" i="87" s="1"/>
  <c r="J62" i="87" s="1"/>
  <c r="T11" i="87"/>
  <c r="I39" i="87" s="1"/>
  <c r="S11" i="87"/>
  <c r="H39" i="87" s="1"/>
  <c r="R11" i="87"/>
  <c r="R30" i="87" s="1"/>
  <c r="Q11" i="87"/>
  <c r="F39" i="87" s="1"/>
  <c r="P11" i="87"/>
  <c r="O11" i="87"/>
  <c r="D39" i="87" s="1"/>
  <c r="N11" i="87"/>
  <c r="N30" i="87" s="1"/>
  <c r="N31" i="87" s="1"/>
  <c r="M11" i="87"/>
  <c r="M30" i="87" s="1"/>
  <c r="M31" i="87" s="1"/>
  <c r="L11" i="87"/>
  <c r="K11" i="87"/>
  <c r="K30" i="87" s="1"/>
  <c r="K31" i="87" s="1"/>
  <c r="J11" i="87"/>
  <c r="J30" i="87" s="1"/>
  <c r="J31" i="87" s="1"/>
  <c r="I11" i="87"/>
  <c r="H11" i="87"/>
  <c r="G11" i="87"/>
  <c r="F11" i="87"/>
  <c r="E11" i="87"/>
  <c r="D11" i="87"/>
  <c r="C11" i="87"/>
  <c r="AN10" i="87"/>
  <c r="AO10" i="87" s="1"/>
  <c r="AP10" i="87" s="1"/>
  <c r="AN9" i="87"/>
  <c r="AO9" i="87" s="1"/>
  <c r="AP9" i="87" s="1"/>
  <c r="AL9" i="87"/>
  <c r="AK9" i="87"/>
  <c r="AJ9" i="87"/>
  <c r="AI9" i="87"/>
  <c r="AH9" i="87"/>
  <c r="AG9" i="87"/>
  <c r="AF9" i="87"/>
  <c r="AE9" i="87"/>
  <c r="AD9" i="87"/>
  <c r="AC9" i="87"/>
  <c r="AB9" i="87"/>
  <c r="AA9" i="87"/>
  <c r="AT8" i="87"/>
  <c r="AN8" i="87"/>
  <c r="AO8" i="87" s="1"/>
  <c r="AP8" i="87" s="1"/>
  <c r="AL8" i="87"/>
  <c r="AK8" i="87"/>
  <c r="AJ8" i="87"/>
  <c r="AI8" i="87"/>
  <c r="AH8" i="87"/>
  <c r="AG8" i="87"/>
  <c r="AF8" i="87"/>
  <c r="AE8" i="87"/>
  <c r="AD8" i="87"/>
  <c r="AC8" i="87"/>
  <c r="AB8" i="87"/>
  <c r="AA8" i="87"/>
  <c r="AN7" i="87"/>
  <c r="AO7" i="87" s="1"/>
  <c r="AP7" i="87" s="1"/>
  <c r="AL7" i="87"/>
  <c r="AK7" i="87"/>
  <c r="AJ7" i="87"/>
  <c r="AI7" i="87"/>
  <c r="AH7" i="87"/>
  <c r="AG7" i="87"/>
  <c r="AF7" i="87"/>
  <c r="AE7" i="87"/>
  <c r="AD7" i="87"/>
  <c r="AC7" i="87"/>
  <c r="AB7" i="87"/>
  <c r="AA7" i="87"/>
  <c r="AN6" i="87"/>
  <c r="AO6" i="87" s="1"/>
  <c r="AP6" i="87" s="1"/>
  <c r="AL6" i="87"/>
  <c r="AK6" i="87"/>
  <c r="AJ6" i="87"/>
  <c r="AI6" i="87"/>
  <c r="AH6" i="87"/>
  <c r="AG6" i="87"/>
  <c r="AF6" i="87"/>
  <c r="AE6" i="87"/>
  <c r="AD6" i="87"/>
  <c r="AC6" i="87"/>
  <c r="AB6" i="87"/>
  <c r="AA6" i="87"/>
  <c r="AT5" i="87"/>
  <c r="AT4" i="87" s="1"/>
  <c r="AY19" i="87" s="1"/>
  <c r="AN5" i="87"/>
  <c r="AL5" i="87"/>
  <c r="AK5" i="87"/>
  <c r="AJ5" i="87"/>
  <c r="AI5" i="87"/>
  <c r="AH5" i="87"/>
  <c r="AG5" i="87"/>
  <c r="AF5" i="87"/>
  <c r="AE5" i="87"/>
  <c r="AD5" i="87"/>
  <c r="AC5" i="87"/>
  <c r="AB5" i="87"/>
  <c r="AA5" i="87"/>
  <c r="AW4" i="87"/>
  <c r="AV4" i="87"/>
  <c r="AU4" i="87"/>
  <c r="N66" i="86"/>
  <c r="M66" i="86"/>
  <c r="I66" i="86"/>
  <c r="F66" i="86"/>
  <c r="E66" i="86"/>
  <c r="C66" i="86"/>
  <c r="G65" i="86"/>
  <c r="F65" i="86"/>
  <c r="E65" i="86"/>
  <c r="D65" i="86"/>
  <c r="C65" i="86"/>
  <c r="N57" i="86"/>
  <c r="M57" i="86"/>
  <c r="L57" i="86"/>
  <c r="K57" i="86"/>
  <c r="K66" i="86" s="1"/>
  <c r="J57" i="86"/>
  <c r="J66" i="86" s="1"/>
  <c r="I57" i="86"/>
  <c r="H57" i="86"/>
  <c r="H66" i="86" s="1"/>
  <c r="G57" i="86"/>
  <c r="G66" i="86" s="1"/>
  <c r="F57" i="86"/>
  <c r="E57" i="86"/>
  <c r="D57" i="86"/>
  <c r="D66" i="86" s="1"/>
  <c r="C57" i="86"/>
  <c r="Q53" i="86"/>
  <c r="N50" i="86"/>
  <c r="L50" i="86"/>
  <c r="J50" i="86"/>
  <c r="G50" i="86"/>
  <c r="F50" i="86"/>
  <c r="E50" i="86"/>
  <c r="D50" i="86"/>
  <c r="K50" i="86"/>
  <c r="I50" i="86"/>
  <c r="H50" i="86"/>
  <c r="C41" i="86"/>
  <c r="AC35" i="86"/>
  <c r="AN34" i="86"/>
  <c r="AN35" i="86" s="1"/>
  <c r="AM34" i="86"/>
  <c r="AM35" i="86" s="1"/>
  <c r="AL34" i="86"/>
  <c r="AL35" i="86" s="1"/>
  <c r="AJ34" i="86"/>
  <c r="AJ35" i="86" s="1"/>
  <c r="AH34" i="86"/>
  <c r="AH35" i="86" s="1"/>
  <c r="AG34" i="86"/>
  <c r="AG35" i="86" s="1"/>
  <c r="AD34" i="86"/>
  <c r="AD35" i="86" s="1"/>
  <c r="AC34" i="86"/>
  <c r="T34" i="86"/>
  <c r="T41" i="86" s="1"/>
  <c r="P34" i="86"/>
  <c r="BE33" i="86"/>
  <c r="BD33" i="86"/>
  <c r="BC33" i="86"/>
  <c r="BB33" i="86"/>
  <c r="BA33" i="86"/>
  <c r="AZ33" i="86"/>
  <c r="AY33" i="86"/>
  <c r="AX33" i="86"/>
  <c r="AW33" i="86"/>
  <c r="AV33" i="86"/>
  <c r="AU33" i="86"/>
  <c r="AT33" i="86"/>
  <c r="AS33" i="86"/>
  <c r="AQ33" i="86"/>
  <c r="AR33" i="86" s="1"/>
  <c r="BE32" i="86"/>
  <c r="BC32" i="86"/>
  <c r="BB32" i="86"/>
  <c r="AT32" i="86"/>
  <c r="AS32" i="86"/>
  <c r="AQ32" i="86"/>
  <c r="AR32" i="86" s="1"/>
  <c r="BD32" i="86"/>
  <c r="BA32" i="86"/>
  <c r="AZ32" i="86"/>
  <c r="AY32" i="86"/>
  <c r="AX32" i="86"/>
  <c r="AW32" i="86"/>
  <c r="AV32" i="86"/>
  <c r="AU32" i="86"/>
  <c r="BE31" i="86"/>
  <c r="BD31" i="86"/>
  <c r="AV31" i="86"/>
  <c r="AU31" i="86"/>
  <c r="AT31" i="86"/>
  <c r="AS31" i="86"/>
  <c r="AQ31" i="86"/>
  <c r="AR31" i="86" s="1"/>
  <c r="BC31" i="86"/>
  <c r="BB31" i="86"/>
  <c r="BA31" i="86"/>
  <c r="AZ31" i="86"/>
  <c r="AY31" i="86"/>
  <c r="AX31" i="86"/>
  <c r="AW31" i="86"/>
  <c r="BE30" i="86"/>
  <c r="BD30" i="86"/>
  <c r="BC30" i="86"/>
  <c r="BB30" i="86"/>
  <c r="BA30" i="86"/>
  <c r="AZ30" i="86"/>
  <c r="AY30" i="86"/>
  <c r="AX30" i="86"/>
  <c r="AW30" i="86"/>
  <c r="AV30" i="86"/>
  <c r="AU30" i="86"/>
  <c r="AT30" i="86"/>
  <c r="AS30" i="86"/>
  <c r="AQ30" i="86"/>
  <c r="AR30" i="86" s="1"/>
  <c r="BA29" i="86"/>
  <c r="AY29" i="86"/>
  <c r="AX29" i="86"/>
  <c r="AW29" i="86"/>
  <c r="AV29" i="86"/>
  <c r="AU29" i="86"/>
  <c r="AT29" i="86"/>
  <c r="AS29" i="86"/>
  <c r="AQ29" i="86"/>
  <c r="AR29" i="86" s="1"/>
  <c r="BE29" i="86"/>
  <c r="BD29" i="86"/>
  <c r="BC29" i="86"/>
  <c r="BB29" i="86"/>
  <c r="AZ29" i="86"/>
  <c r="BC28" i="86"/>
  <c r="BA28" i="86"/>
  <c r="AZ28" i="86"/>
  <c r="AY28" i="86"/>
  <c r="AX28" i="86"/>
  <c r="AW28" i="86"/>
  <c r="AV28" i="86"/>
  <c r="AU28" i="86"/>
  <c r="AT28" i="86"/>
  <c r="AS28" i="86"/>
  <c r="AQ28" i="86"/>
  <c r="AR28" i="86" s="1"/>
  <c r="BE28" i="86"/>
  <c r="BD28" i="86"/>
  <c r="BB28" i="86"/>
  <c r="BE27" i="86"/>
  <c r="BD27" i="86"/>
  <c r="BC27" i="86"/>
  <c r="BB27" i="86"/>
  <c r="BA27" i="86"/>
  <c r="AZ27" i="86"/>
  <c r="AY27" i="86"/>
  <c r="AX27" i="86"/>
  <c r="AW27" i="86"/>
  <c r="AV27" i="86"/>
  <c r="AU27" i="86"/>
  <c r="AT27" i="86"/>
  <c r="AS27" i="86"/>
  <c r="AQ27" i="86"/>
  <c r="AR27" i="86" s="1"/>
  <c r="BE26" i="86"/>
  <c r="BD26" i="86"/>
  <c r="BC26" i="86"/>
  <c r="BB26" i="86"/>
  <c r="BA26" i="86"/>
  <c r="AZ26" i="86"/>
  <c r="AY26" i="86"/>
  <c r="AX26" i="86"/>
  <c r="AW26" i="86"/>
  <c r="AV26" i="86"/>
  <c r="AU26" i="86"/>
  <c r="AT26" i="86"/>
  <c r="AS26" i="86"/>
  <c r="AR26" i="86"/>
  <c r="AQ26" i="86"/>
  <c r="BE25" i="86"/>
  <c r="BD25" i="86"/>
  <c r="BC25" i="86"/>
  <c r="BB25" i="86"/>
  <c r="BA25" i="86"/>
  <c r="AZ25" i="86"/>
  <c r="AY25" i="86"/>
  <c r="AX25" i="86"/>
  <c r="AW25" i="86"/>
  <c r="AV25" i="86"/>
  <c r="AT25" i="86"/>
  <c r="AS25" i="86"/>
  <c r="AQ25" i="86"/>
  <c r="AR25" i="86" s="1"/>
  <c r="AU25" i="86"/>
  <c r="BE24" i="86"/>
  <c r="BD24" i="86"/>
  <c r="BC24" i="86"/>
  <c r="BB24" i="86"/>
  <c r="BA24" i="86"/>
  <c r="AZ24" i="86"/>
  <c r="AY24" i="86"/>
  <c r="AX24" i="86"/>
  <c r="AW24" i="86"/>
  <c r="AV24" i="86"/>
  <c r="AU24" i="86"/>
  <c r="AT24" i="86"/>
  <c r="AS24" i="86"/>
  <c r="AQ24" i="86"/>
  <c r="AR24" i="86" s="1"/>
  <c r="BM23" i="86"/>
  <c r="BE23" i="86"/>
  <c r="BD23" i="86"/>
  <c r="BC23" i="86"/>
  <c r="BB23" i="86"/>
  <c r="BA23" i="86"/>
  <c r="AZ23" i="86"/>
  <c r="AY23" i="86"/>
  <c r="AX23" i="86"/>
  <c r="AW23" i="86"/>
  <c r="AV23" i="86"/>
  <c r="AU23" i="86"/>
  <c r="AT23" i="86"/>
  <c r="AS23" i="86"/>
  <c r="AR23" i="86"/>
  <c r="AQ23" i="86"/>
  <c r="BE22" i="86"/>
  <c r="BD22" i="86"/>
  <c r="BC22" i="86"/>
  <c r="BB22" i="86"/>
  <c r="BA22" i="86"/>
  <c r="AZ22" i="86"/>
  <c r="AY22" i="86"/>
  <c r="AX22" i="86"/>
  <c r="AW22" i="86"/>
  <c r="AV22" i="86"/>
  <c r="AU22" i="86"/>
  <c r="AT22" i="86"/>
  <c r="AS22" i="86"/>
  <c r="AQ22" i="86"/>
  <c r="AR22" i="86" s="1"/>
  <c r="BE21" i="86"/>
  <c r="BD21" i="86"/>
  <c r="BC21" i="86"/>
  <c r="BB21" i="86"/>
  <c r="BA21" i="86"/>
  <c r="AZ21" i="86"/>
  <c r="AY21" i="86"/>
  <c r="AX21" i="86"/>
  <c r="AW21" i="86"/>
  <c r="AV21" i="86"/>
  <c r="AU21" i="86"/>
  <c r="AT21" i="86"/>
  <c r="AS21" i="86"/>
  <c r="AQ21" i="86"/>
  <c r="AR21" i="86" s="1"/>
  <c r="BE20" i="86"/>
  <c r="BD20" i="86"/>
  <c r="BC20" i="86"/>
  <c r="BB20" i="86"/>
  <c r="BA20" i="86"/>
  <c r="AZ20" i="86"/>
  <c r="AY20" i="86"/>
  <c r="AX20" i="86"/>
  <c r="AW20" i="86"/>
  <c r="AV20" i="86"/>
  <c r="AU20" i="86"/>
  <c r="AT20" i="86"/>
  <c r="AS20" i="86"/>
  <c r="AQ20" i="86"/>
  <c r="AR20" i="86" s="1"/>
  <c r="BK19" i="86"/>
  <c r="BK11" i="86" s="1"/>
  <c r="BE19" i="86"/>
  <c r="BD19" i="86"/>
  <c r="BC19" i="86"/>
  <c r="BB19" i="86"/>
  <c r="BA19" i="86"/>
  <c r="AZ19" i="86"/>
  <c r="AY19" i="86"/>
  <c r="AX19" i="86"/>
  <c r="AW19" i="86"/>
  <c r="AV19" i="86"/>
  <c r="AU19" i="86"/>
  <c r="AT19" i="86"/>
  <c r="AS19" i="86"/>
  <c r="AR19" i="86"/>
  <c r="AQ19" i="86"/>
  <c r="BE18" i="86"/>
  <c r="BD18" i="86"/>
  <c r="BC18" i="86"/>
  <c r="BB18" i="86"/>
  <c r="BA18" i="86"/>
  <c r="AZ18" i="86"/>
  <c r="AY18" i="86"/>
  <c r="AX18" i="86"/>
  <c r="AW18" i="86"/>
  <c r="AV18" i="86"/>
  <c r="AU18" i="86"/>
  <c r="AT18" i="86"/>
  <c r="AS18" i="86"/>
  <c r="AQ18" i="86"/>
  <c r="AR18" i="86" s="1"/>
  <c r="BE17" i="86"/>
  <c r="BD17" i="86"/>
  <c r="BC17" i="86"/>
  <c r="BB17" i="86"/>
  <c r="BA17" i="86"/>
  <c r="AZ17" i="86"/>
  <c r="AY17" i="86"/>
  <c r="AX17" i="86"/>
  <c r="AW17" i="86"/>
  <c r="AV17" i="86"/>
  <c r="AU17" i="86"/>
  <c r="AT17" i="86"/>
  <c r="AS17" i="86"/>
  <c r="AR17" i="86"/>
  <c r="AQ17" i="86"/>
  <c r="BE16" i="86"/>
  <c r="BD16" i="86"/>
  <c r="BC16" i="86"/>
  <c r="BB16" i="86"/>
  <c r="BA16" i="86"/>
  <c r="AZ16" i="86"/>
  <c r="AY16" i="86"/>
  <c r="AX16" i="86"/>
  <c r="AW16" i="86"/>
  <c r="AV16" i="86"/>
  <c r="AT16" i="86"/>
  <c r="AS16" i="86"/>
  <c r="AQ16" i="86"/>
  <c r="AR16" i="86" s="1"/>
  <c r="AU16" i="86"/>
  <c r="BE15" i="86"/>
  <c r="BD15" i="86"/>
  <c r="BC15" i="86"/>
  <c r="BB15" i="86"/>
  <c r="BA15" i="86"/>
  <c r="AZ15" i="86"/>
  <c r="AY15" i="86"/>
  <c r="AX15" i="86"/>
  <c r="AW15" i="86"/>
  <c r="AV15" i="86"/>
  <c r="AU15" i="86"/>
  <c r="AT15" i="86"/>
  <c r="AS15" i="86"/>
  <c r="AQ15" i="86"/>
  <c r="AR15" i="86" s="1"/>
  <c r="BE14" i="86"/>
  <c r="BD14" i="86"/>
  <c r="BC14" i="86"/>
  <c r="BB14" i="86"/>
  <c r="BA14" i="86"/>
  <c r="AZ14" i="86"/>
  <c r="AY14" i="86"/>
  <c r="AX14" i="86"/>
  <c r="AW14" i="86"/>
  <c r="AV14" i="86"/>
  <c r="AU14" i="86"/>
  <c r="AT14" i="86"/>
  <c r="AS14" i="86"/>
  <c r="AR14" i="86"/>
  <c r="AQ14" i="86"/>
  <c r="BE13" i="86"/>
  <c r="BD13" i="86"/>
  <c r="BC13" i="86"/>
  <c r="BB13" i="86"/>
  <c r="BA13" i="86"/>
  <c r="AZ13" i="86"/>
  <c r="AY13" i="86"/>
  <c r="AX13" i="86"/>
  <c r="AW13" i="86"/>
  <c r="AV13" i="86"/>
  <c r="AU13" i="86"/>
  <c r="AT13" i="86"/>
  <c r="AS13" i="86"/>
  <c r="AQ13" i="86"/>
  <c r="AR13" i="86" s="1"/>
  <c r="AX12" i="86"/>
  <c r="AV12" i="86"/>
  <c r="AT12" i="86"/>
  <c r="AP12" i="86"/>
  <c r="AK34" i="86"/>
  <c r="AK35" i="86" s="1"/>
  <c r="AI34" i="86"/>
  <c r="AI35" i="86" s="1"/>
  <c r="AF34" i="86"/>
  <c r="AF35" i="86" s="1"/>
  <c r="AE34" i="86"/>
  <c r="AE35" i="86" s="1"/>
  <c r="AA12" i="86"/>
  <c r="Z12" i="86"/>
  <c r="BD12" i="86" s="1"/>
  <c r="Y12" i="86"/>
  <c r="X12" i="86"/>
  <c r="W12" i="86"/>
  <c r="V12" i="86"/>
  <c r="U12" i="86"/>
  <c r="H41" i="86" s="1"/>
  <c r="T12" i="86"/>
  <c r="S12" i="86"/>
  <c r="R12" i="86"/>
  <c r="R34" i="86" s="1"/>
  <c r="Q12" i="86"/>
  <c r="D41" i="86" s="1"/>
  <c r="P12" i="86"/>
  <c r="N12" i="86"/>
  <c r="M12" i="86"/>
  <c r="L12" i="86"/>
  <c r="K12" i="86"/>
  <c r="J12" i="86"/>
  <c r="I12" i="86"/>
  <c r="H12" i="86"/>
  <c r="G12" i="86"/>
  <c r="F12" i="86"/>
  <c r="E12" i="86"/>
  <c r="D12" i="86"/>
  <c r="D40" i="86" s="1"/>
  <c r="C12" i="86"/>
  <c r="C40" i="86" s="1"/>
  <c r="BH11" i="86"/>
  <c r="AT11" i="86"/>
  <c r="AS11" i="86"/>
  <c r="AQ11" i="86"/>
  <c r="AR11" i="86" s="1"/>
  <c r="AT10" i="86"/>
  <c r="AS10" i="86"/>
  <c r="AQ10" i="86"/>
  <c r="AR10" i="86" s="1"/>
  <c r="AT9" i="86"/>
  <c r="AS9" i="86"/>
  <c r="AQ9" i="86"/>
  <c r="AR9" i="86" s="1"/>
  <c r="AT8" i="86"/>
  <c r="AS8" i="86"/>
  <c r="AQ8" i="86"/>
  <c r="AR8" i="86" s="1"/>
  <c r="AT7" i="86"/>
  <c r="AS7" i="86"/>
  <c r="AQ7" i="86"/>
  <c r="BH5" i="86"/>
  <c r="AI49" i="88" l="1"/>
  <c r="AI26" i="88"/>
  <c r="X71" i="88" s="1"/>
  <c r="X80" i="88" s="1"/>
  <c r="AL25" i="88"/>
  <c r="AL49" i="88" s="1"/>
  <c r="AD1" i="88"/>
  <c r="AS10" i="88"/>
  <c r="AD25" i="88"/>
  <c r="AD26" i="88" s="1"/>
  <c r="AE25" i="88"/>
  <c r="AF25" i="88"/>
  <c r="AF27" i="88" s="1"/>
  <c r="AS25" i="88"/>
  <c r="AU10" i="88"/>
  <c r="AU27" i="88" s="1"/>
  <c r="AU28" i="88" s="1"/>
  <c r="X69" i="88" s="1"/>
  <c r="AY10" i="88"/>
  <c r="AY25" i="88" s="1"/>
  <c r="AC25" i="88"/>
  <c r="S56" i="88"/>
  <c r="S61" i="88" s="1"/>
  <c r="S62" i="88" s="1"/>
  <c r="V56" i="88"/>
  <c r="AR10" i="88"/>
  <c r="AR27" i="88" s="1"/>
  <c r="AR28" i="88" s="1"/>
  <c r="U79" i="88"/>
  <c r="U82" i="88" s="1"/>
  <c r="W56" i="88"/>
  <c r="AX10" i="88"/>
  <c r="AX25" i="88" s="1"/>
  <c r="T25" i="88"/>
  <c r="AQ10" i="88"/>
  <c r="AQ25" i="88" s="1"/>
  <c r="AZ10" i="88"/>
  <c r="AZ25" i="88" s="1"/>
  <c r="W25" i="88"/>
  <c r="AV10" i="88"/>
  <c r="AV27" i="88" s="1"/>
  <c r="AW10" i="88"/>
  <c r="AW25" i="88" s="1"/>
  <c r="S25" i="88"/>
  <c r="D45" i="87"/>
  <c r="D61" i="87" s="1"/>
  <c r="L30" i="87"/>
  <c r="L31" i="87" s="1"/>
  <c r="D38" i="87"/>
  <c r="C30" i="87"/>
  <c r="C31" i="87" s="1"/>
  <c r="H38" i="87"/>
  <c r="H41" i="87" s="1"/>
  <c r="G30" i="87"/>
  <c r="G31" i="87" s="1"/>
  <c r="H30" i="87"/>
  <c r="H31" i="87" s="1"/>
  <c r="S30" i="87"/>
  <c r="I30" i="87"/>
  <c r="I31" i="87" s="1"/>
  <c r="E38" i="87"/>
  <c r="D30" i="87"/>
  <c r="D31" i="87" s="1"/>
  <c r="F38" i="87"/>
  <c r="F43" i="87" s="1"/>
  <c r="F44" i="87" s="1"/>
  <c r="F59" i="87" s="1"/>
  <c r="E30" i="87"/>
  <c r="E31" i="87" s="1"/>
  <c r="G38" i="87"/>
  <c r="G43" i="87" s="1"/>
  <c r="F30" i="87"/>
  <c r="F31" i="87" s="1"/>
  <c r="T30" i="87"/>
  <c r="T31" i="87" s="1"/>
  <c r="I53" i="87" s="1"/>
  <c r="I62" i="87" s="1"/>
  <c r="AC11" i="87"/>
  <c r="AC30" i="87" s="1"/>
  <c r="AC31" i="87" s="1"/>
  <c r="O30" i="87"/>
  <c r="O31" i="87" s="1"/>
  <c r="AF11" i="87"/>
  <c r="AF30" i="87" s="1"/>
  <c r="AF31" i="87" s="1"/>
  <c r="I51" i="87" s="1"/>
  <c r="AG11" i="87"/>
  <c r="AG30" i="87" s="1"/>
  <c r="AG31" i="87" s="1"/>
  <c r="AH11" i="87"/>
  <c r="AH30" i="87" s="1"/>
  <c r="AH31" i="87" s="1"/>
  <c r="AE11" i="87"/>
  <c r="AE30" i="87" s="1"/>
  <c r="AI11" i="87"/>
  <c r="AI30" i="87" s="1"/>
  <c r="AI31" i="87" s="1"/>
  <c r="AJ11" i="87"/>
  <c r="AJ30" i="87" s="1"/>
  <c r="AJ31" i="87" s="1"/>
  <c r="D32" i="87"/>
  <c r="J38" i="87"/>
  <c r="J43" i="87" s="1"/>
  <c r="J44" i="87" s="1"/>
  <c r="M38" i="87"/>
  <c r="M43" i="87" s="1"/>
  <c r="D43" i="87"/>
  <c r="D44" i="87" s="1"/>
  <c r="D59" i="87" s="1"/>
  <c r="D41" i="87"/>
  <c r="E41" i="87"/>
  <c r="E42" i="87" s="1"/>
  <c r="E60" i="87" s="1"/>
  <c r="E43" i="87"/>
  <c r="E44" i="87" s="1"/>
  <c r="E59" i="87" s="1"/>
  <c r="E64" i="87" s="1"/>
  <c r="E32" i="87"/>
  <c r="I38" i="87"/>
  <c r="I43" i="87" s="1"/>
  <c r="I44" i="87" s="1"/>
  <c r="AL11" i="87"/>
  <c r="AL30" i="87" s="1"/>
  <c r="AL31" i="87" s="1"/>
  <c r="AK11" i="87"/>
  <c r="AK30" i="87" s="1"/>
  <c r="AK31" i="87" s="1"/>
  <c r="AD11" i="87"/>
  <c r="AD30" i="87" s="1"/>
  <c r="AD31" i="87" s="1"/>
  <c r="BC12" i="86"/>
  <c r="Y34" i="86"/>
  <c r="Y37" i="86" s="1"/>
  <c r="L41" i="86"/>
  <c r="L43" i="86" s="1"/>
  <c r="Z34" i="86"/>
  <c r="Z37" i="86" s="1"/>
  <c r="M41" i="86"/>
  <c r="M43" i="86" s="1"/>
  <c r="X34" i="86"/>
  <c r="X37" i="86" s="1"/>
  <c r="K41" i="86"/>
  <c r="AA34" i="86"/>
  <c r="AA37" i="86" s="1"/>
  <c r="N41" i="86"/>
  <c r="N43" i="86" s="1"/>
  <c r="H43" i="86"/>
  <c r="H44" i="86" s="1"/>
  <c r="H63" i="86" s="1"/>
  <c r="U34" i="86"/>
  <c r="U37" i="86" s="1"/>
  <c r="I41" i="86"/>
  <c r="V34" i="86"/>
  <c r="V37" i="86" s="1"/>
  <c r="W34" i="86"/>
  <c r="W37" i="86" s="1"/>
  <c r="J41" i="86"/>
  <c r="J43" i="86" s="1"/>
  <c r="BE12" i="86"/>
  <c r="BE34" i="86" s="1"/>
  <c r="BE35" i="86" s="1"/>
  <c r="AV34" i="86"/>
  <c r="AV36" i="86" s="1"/>
  <c r="AS12" i="86"/>
  <c r="AS34" i="86" s="1"/>
  <c r="AQ12" i="86"/>
  <c r="AQ34" i="86" s="1"/>
  <c r="B35" i="86"/>
  <c r="D43" i="86"/>
  <c r="D63" i="86" s="1"/>
  <c r="D97" i="86" s="1"/>
  <c r="C43" i="86"/>
  <c r="C44" i="86" s="1"/>
  <c r="C63" i="86" s="1"/>
  <c r="D64" i="86"/>
  <c r="D67" i="86" s="1"/>
  <c r="Z79" i="88"/>
  <c r="AX34" i="86"/>
  <c r="Y79" i="88"/>
  <c r="G61" i="87"/>
  <c r="G59" i="87"/>
  <c r="AZ12" i="86"/>
  <c r="AZ34" i="86" s="1"/>
  <c r="AZ35" i="86" s="1"/>
  <c r="AR7" i="86"/>
  <c r="AR12" i="86" s="1"/>
  <c r="AR34" i="86" s="1"/>
  <c r="BC34" i="86"/>
  <c r="BC35" i="86" s="1"/>
  <c r="AE31" i="87"/>
  <c r="BD34" i="86"/>
  <c r="BD35" i="86" s="1"/>
  <c r="Y25" i="88"/>
  <c r="M50" i="86"/>
  <c r="G39" i="87"/>
  <c r="G41" i="87" s="1"/>
  <c r="AT10" i="88"/>
  <c r="S63" i="88"/>
  <c r="Z25" i="88"/>
  <c r="AY27" i="88"/>
  <c r="BB12" i="86"/>
  <c r="BB34" i="86" s="1"/>
  <c r="BB35" i="86" s="1"/>
  <c r="AO49" i="88"/>
  <c r="X25" i="88"/>
  <c r="AA25" i="88"/>
  <c r="AB56" i="88"/>
  <c r="AM25" i="88"/>
  <c r="T79" i="88"/>
  <c r="T82" i="88" s="1"/>
  <c r="U73" i="88"/>
  <c r="U74" i="88" s="1"/>
  <c r="AS27" i="88"/>
  <c r="Q34" i="86"/>
  <c r="K38" i="87"/>
  <c r="K43" i="87" s="1"/>
  <c r="K44" i="87" s="1"/>
  <c r="J32" i="87"/>
  <c r="W82" i="88"/>
  <c r="E41" i="86"/>
  <c r="E43" i="86" s="1"/>
  <c r="E63" i="86" s="1"/>
  <c r="L38" i="87"/>
  <c r="L43" i="87" s="1"/>
  <c r="L44" i="87" s="1"/>
  <c r="K32" i="87"/>
  <c r="F40" i="86"/>
  <c r="S34" i="86"/>
  <c r="F41" i="86"/>
  <c r="AW12" i="86"/>
  <c r="AW34" i="86" s="1"/>
  <c r="W30" i="87"/>
  <c r="W31" i="87" s="1"/>
  <c r="L53" i="87" s="1"/>
  <c r="L62" i="87" s="1"/>
  <c r="H43" i="87"/>
  <c r="M39" i="87"/>
  <c r="K47" i="87"/>
  <c r="J23" i="88"/>
  <c r="N23" i="88" s="1"/>
  <c r="V82" i="88"/>
  <c r="G43" i="86"/>
  <c r="G63" i="86" s="1"/>
  <c r="G64" i="86" s="1"/>
  <c r="AT34" i="86"/>
  <c r="M32" i="87"/>
  <c r="N38" i="87"/>
  <c r="N43" i="87" s="1"/>
  <c r="N44" i="87" s="1"/>
  <c r="Y30" i="87"/>
  <c r="Y31" i="87" s="1"/>
  <c r="N53" i="87" s="1"/>
  <c r="N62" i="87" s="1"/>
  <c r="I47" i="87"/>
  <c r="N39" i="87"/>
  <c r="N12" i="88"/>
  <c r="K39" i="87"/>
  <c r="E40" i="86"/>
  <c r="V30" i="87"/>
  <c r="V31" i="87" s="1"/>
  <c r="K53" i="87" s="1"/>
  <c r="K62" i="87" s="1"/>
  <c r="BK23" i="86"/>
  <c r="BK24" i="86" s="1"/>
  <c r="AY12" i="86"/>
  <c r="AY34" i="86" s="1"/>
  <c r="AY35" i="86" s="1"/>
  <c r="AU12" i="86"/>
  <c r="AU34" i="86" s="1"/>
  <c r="N32" i="87"/>
  <c r="O38" i="87"/>
  <c r="O43" i="87" s="1"/>
  <c r="O44" i="87" s="1"/>
  <c r="Z30" i="87"/>
  <c r="Z31" i="87" s="1"/>
  <c r="O53" i="87" s="1"/>
  <c r="O62" i="87" s="1"/>
  <c r="O39" i="87"/>
  <c r="J47" i="87"/>
  <c r="J39" i="87"/>
  <c r="U59" i="88"/>
  <c r="BA10" i="88"/>
  <c r="AC56" i="88"/>
  <c r="AA11" i="87"/>
  <c r="AA30" i="87" s="1"/>
  <c r="AN11" i="87"/>
  <c r="AB27" i="87"/>
  <c r="AP10" i="88"/>
  <c r="BC10" i="88"/>
  <c r="BC25" i="88" s="1"/>
  <c r="BC26" i="88" s="1"/>
  <c r="T59" i="88"/>
  <c r="AN49" i="88"/>
  <c r="BA12" i="86"/>
  <c r="BA34" i="86" s="1"/>
  <c r="BA35" i="86" s="1"/>
  <c r="AB11" i="87"/>
  <c r="AB30" i="87" s="1"/>
  <c r="AO5" i="87"/>
  <c r="AP5" i="87" s="1"/>
  <c r="P30" i="87"/>
  <c r="BD5" i="88"/>
  <c r="BD10" i="88" s="1"/>
  <c r="BD25" i="88" s="1"/>
  <c r="V79" i="88"/>
  <c r="Q30" i="87"/>
  <c r="Q32" i="87" s="1"/>
  <c r="W79" i="88"/>
  <c r="AU25" i="88" l="1"/>
  <c r="AW27" i="88"/>
  <c r="AR25" i="88"/>
  <c r="S79" i="88"/>
  <c r="S82" i="88" s="1"/>
  <c r="S59" i="88"/>
  <c r="AQ27" i="88"/>
  <c r="AX27" i="88"/>
  <c r="AV25" i="88"/>
  <c r="AZ27" i="88"/>
  <c r="H42" i="87"/>
  <c r="H60" i="87" s="1"/>
  <c r="G42" i="87"/>
  <c r="G60" i="87" s="1"/>
  <c r="G64" i="87" s="1"/>
  <c r="D42" i="87"/>
  <c r="D60" i="87" s="1"/>
  <c r="D64" i="87" s="1"/>
  <c r="I32" i="87"/>
  <c r="H32" i="87"/>
  <c r="F41" i="87"/>
  <c r="M44" i="87"/>
  <c r="L32" i="87"/>
  <c r="G32" i="87"/>
  <c r="F32" i="87"/>
  <c r="C32" i="87"/>
  <c r="J41" i="87"/>
  <c r="L41" i="87"/>
  <c r="M41" i="87"/>
  <c r="O41" i="87"/>
  <c r="I41" i="87"/>
  <c r="N41" i="87"/>
  <c r="W35" i="86"/>
  <c r="W38" i="86" s="1"/>
  <c r="J56" i="86" s="1"/>
  <c r="J65" i="86" s="1"/>
  <c r="N44" i="86"/>
  <c r="N63" i="86" s="1"/>
  <c r="M44" i="86"/>
  <c r="M63" i="86" s="1"/>
  <c r="L44" i="86"/>
  <c r="L63" i="86" s="1"/>
  <c r="AA41" i="86"/>
  <c r="AA35" i="86"/>
  <c r="AA38" i="86" s="1"/>
  <c r="N56" i="86" s="1"/>
  <c r="N65" i="86" s="1"/>
  <c r="U41" i="86"/>
  <c r="U35" i="86"/>
  <c r="U38" i="86" s="1"/>
  <c r="H56" i="86" s="1"/>
  <c r="H65" i="86" s="1"/>
  <c r="J44" i="86"/>
  <c r="J63" i="86" s="1"/>
  <c r="J73" i="86" s="1"/>
  <c r="Y35" i="86"/>
  <c r="Y38" i="86" s="1"/>
  <c r="L56" i="86" s="1"/>
  <c r="L65" i="86" s="1"/>
  <c r="X35" i="86"/>
  <c r="V35" i="86"/>
  <c r="Z35" i="86"/>
  <c r="W41" i="86"/>
  <c r="E54" i="86"/>
  <c r="K43" i="86"/>
  <c r="F43" i="86"/>
  <c r="F63" i="86" s="1"/>
  <c r="I43" i="86"/>
  <c r="AB31" i="87"/>
  <c r="E73" i="86"/>
  <c r="E97" i="86"/>
  <c r="E64" i="86"/>
  <c r="K54" i="86"/>
  <c r="BB36" i="86"/>
  <c r="E45" i="86"/>
  <c r="Y41" i="86"/>
  <c r="F97" i="86"/>
  <c r="F73" i="86"/>
  <c r="F64" i="86"/>
  <c r="AT27" i="88"/>
  <c r="AT25" i="88"/>
  <c r="AP25" i="88"/>
  <c r="AP27" i="88"/>
  <c r="L54" i="86"/>
  <c r="BC36" i="86"/>
  <c r="H61" i="87"/>
  <c r="H59" i="87"/>
  <c r="D51" i="87"/>
  <c r="AA31" i="87"/>
  <c r="H97" i="86"/>
  <c r="H73" i="86"/>
  <c r="AW36" i="86"/>
  <c r="F45" i="86" s="1"/>
  <c r="F54" i="86"/>
  <c r="E67" i="86"/>
  <c r="Z41" i="86"/>
  <c r="E58" i="86"/>
  <c r="E59" i="86" s="1"/>
  <c r="V73" i="88"/>
  <c r="V74" i="88" s="1"/>
  <c r="AS28" i="88"/>
  <c r="T73" i="88"/>
  <c r="T74" i="88" s="1"/>
  <c r="AQ28" i="88"/>
  <c r="AX36" i="86"/>
  <c r="G45" i="86" s="1"/>
  <c r="G54" i="86"/>
  <c r="J54" i="86"/>
  <c r="BA36" i="86"/>
  <c r="G97" i="86"/>
  <c r="G73" i="86"/>
  <c r="G67" i="86"/>
  <c r="AM49" i="88"/>
  <c r="X41" i="86"/>
  <c r="V41" i="86"/>
  <c r="M54" i="86"/>
  <c r="BD36" i="86"/>
  <c r="I54" i="86"/>
  <c r="AZ36" i="86"/>
  <c r="BE36" i="86"/>
  <c r="N45" i="86" s="1"/>
  <c r="N54" i="86"/>
  <c r="AO11" i="87"/>
  <c r="AN30" i="87"/>
  <c r="AN32" i="87" s="1"/>
  <c r="AU36" i="86"/>
  <c r="D45" i="86" s="1"/>
  <c r="D54" i="86"/>
  <c r="K41" i="87"/>
  <c r="BA27" i="88"/>
  <c r="BA25" i="88"/>
  <c r="H54" i="86"/>
  <c r="AY36" i="86"/>
  <c r="H45" i="86" s="1"/>
  <c r="C45" i="86"/>
  <c r="C64" i="86" s="1"/>
  <c r="C67" i="86" s="1"/>
  <c r="AT35" i="86"/>
  <c r="C54" i="86" s="1"/>
  <c r="C58" i="86" s="1"/>
  <c r="C59" i="86" s="1"/>
  <c r="L45" i="86" l="1"/>
  <c r="O42" i="87"/>
  <c r="O60" i="87" s="1"/>
  <c r="M42" i="87"/>
  <c r="M60" i="87" s="1"/>
  <c r="L42" i="87"/>
  <c r="L60" i="87" s="1"/>
  <c r="J42" i="87"/>
  <c r="J60" i="87" s="1"/>
  <c r="N42" i="87"/>
  <c r="N60" i="87" s="1"/>
  <c r="F60" i="87"/>
  <c r="F64" i="87" s="1"/>
  <c r="F42" i="87"/>
  <c r="K42" i="87"/>
  <c r="K60" i="87" s="1"/>
  <c r="I42" i="87"/>
  <c r="I60" i="87" s="1"/>
  <c r="X14" i="66" s="1"/>
  <c r="H64" i="87"/>
  <c r="L97" i="86"/>
  <c r="L73" i="86"/>
  <c r="M97" i="86"/>
  <c r="M73" i="86"/>
  <c r="N73" i="86"/>
  <c r="N97" i="86"/>
  <c r="J45" i="86"/>
  <c r="K44" i="86"/>
  <c r="K45" i="86" s="1"/>
  <c r="M45" i="86"/>
  <c r="I44" i="86"/>
  <c r="I45" i="86" s="1"/>
  <c r="J97" i="86"/>
  <c r="V38" i="86"/>
  <c r="I56" i="86" s="1"/>
  <c r="I65" i="86" s="1"/>
  <c r="X38" i="86"/>
  <c r="K56" i="86" s="1"/>
  <c r="K65" i="86" s="1"/>
  <c r="Z38" i="86"/>
  <c r="M56" i="86" s="1"/>
  <c r="M65" i="86" s="1"/>
  <c r="S69" i="88"/>
  <c r="S73" i="88" s="1"/>
  <c r="S74" i="88" s="1"/>
  <c r="AP28" i="88"/>
  <c r="AO30" i="87"/>
  <c r="AO32" i="87" s="1"/>
  <c r="AP11" i="87"/>
  <c r="AP30" i="87" s="1"/>
  <c r="W73" i="88"/>
  <c r="W74" i="88" s="1"/>
  <c r="AT28" i="88"/>
  <c r="F58" i="86"/>
  <c r="F59" i="86" s="1"/>
  <c r="G58" i="86"/>
  <c r="G59" i="86" s="1"/>
  <c r="F67" i="86"/>
  <c r="D58" i="86"/>
  <c r="D59" i="86" s="1"/>
  <c r="M11" i="65" l="1"/>
  <c r="Y10" i="66"/>
  <c r="N7" i="65" s="1"/>
  <c r="I63" i="86"/>
  <c r="I73" i="86" s="1"/>
  <c r="K63" i="86"/>
  <c r="AR32" i="87"/>
  <c r="AP32" i="87"/>
  <c r="I97" i="86" l="1"/>
  <c r="X10" i="66"/>
  <c r="K97" i="86"/>
  <c r="K73" i="86"/>
  <c r="X13" i="66" l="1"/>
  <c r="M7" i="65"/>
  <c r="E4" i="66" l="1"/>
  <c r="Z140" i="66"/>
  <c r="Y140" i="66"/>
  <c r="X140" i="66"/>
  <c r="W140" i="66"/>
  <c r="Z137" i="66"/>
  <c r="Y137" i="66"/>
  <c r="Y139" i="66" s="1"/>
  <c r="X137" i="66"/>
  <c r="X139" i="66" s="1"/>
  <c r="AB136" i="66"/>
  <c r="Z134" i="66"/>
  <c r="Y134" i="66"/>
  <c r="Z133" i="66"/>
  <c r="Y133" i="66"/>
  <c r="Z132" i="66"/>
  <c r="Z130" i="66"/>
  <c r="Y130" i="66"/>
  <c r="S125" i="66"/>
  <c r="R125" i="66"/>
  <c r="AA123" i="66"/>
  <c r="AA124" i="66" s="1"/>
  <c r="AA126" i="66" s="1"/>
  <c r="AA128" i="66" s="1"/>
  <c r="AA130" i="66" s="1"/>
  <c r="Z122" i="66"/>
  <c r="Y122" i="66"/>
  <c r="Z120" i="66"/>
  <c r="X120" i="66"/>
  <c r="X116" i="66"/>
  <c r="S116" i="66"/>
  <c r="S124" i="66" s="1"/>
  <c r="R115" i="66"/>
  <c r="R116" i="66" s="1"/>
  <c r="R124" i="66" s="1"/>
  <c r="AC110" i="66"/>
  <c r="AC111" i="66" s="1"/>
  <c r="AB89" i="66"/>
  <c r="AB88" i="66"/>
  <c r="AB87" i="66"/>
  <c r="AB86" i="66"/>
  <c r="AB85" i="66"/>
  <c r="AB84" i="66"/>
  <c r="AB83" i="66"/>
  <c r="AB82" i="66"/>
  <c r="AB81" i="66"/>
  <c r="AB80" i="66"/>
  <c r="AB79" i="66"/>
  <c r="AB78" i="66"/>
  <c r="AB76" i="66"/>
  <c r="AB75" i="66"/>
  <c r="AB74" i="66"/>
  <c r="AB73" i="66"/>
  <c r="AB72" i="66"/>
  <c r="AB71" i="66"/>
  <c r="AB70" i="66"/>
  <c r="AB69" i="66"/>
  <c r="AB68" i="66"/>
  <c r="AB67" i="66"/>
  <c r="AB66" i="66"/>
  <c r="AB65" i="66"/>
  <c r="AB64" i="66"/>
  <c r="AB63" i="66"/>
  <c r="AB62" i="66"/>
  <c r="AB61" i="66"/>
  <c r="R126" i="66" l="1"/>
  <c r="R128" i="66" s="1"/>
  <c r="R141" i="66" s="1"/>
  <c r="S126" i="66"/>
  <c r="S128" i="66" s="1"/>
  <c r="S141" i="66" s="1"/>
  <c r="Z135" i="66"/>
  <c r="Z139" i="66"/>
  <c r="Z116" i="66"/>
  <c r="Z123" i="66"/>
  <c r="Z124" i="66" s="1"/>
  <c r="Z126" i="66" s="1"/>
  <c r="AA131" i="66"/>
  <c r="AA132" i="66" l="1"/>
  <c r="AA133" i="66" s="1"/>
  <c r="AA134" i="66" l="1"/>
  <c r="AA135" i="66" s="1"/>
  <c r="AA137" i="66" s="1"/>
  <c r="AA138" i="66" l="1"/>
  <c r="AA139" i="66" l="1"/>
  <c r="AA141" i="66" s="1"/>
  <c r="AA140" i="66" l="1"/>
  <c r="AB140" i="66" s="1"/>
  <c r="N104" i="5" l="1"/>
  <c r="N103" i="5"/>
  <c r="N102" i="5"/>
  <c r="N101" i="5"/>
  <c r="N100" i="5"/>
  <c r="N98" i="5"/>
  <c r="N96" i="5"/>
  <c r="N93" i="5"/>
  <c r="N92" i="5"/>
  <c r="N91" i="5"/>
  <c r="N90" i="5"/>
  <c r="N89" i="5"/>
  <c r="N88" i="5"/>
  <c r="N86" i="5"/>
  <c r="N85" i="5"/>
  <c r="N84" i="5"/>
  <c r="N322" i="72" l="1"/>
  <c r="M322" i="72"/>
  <c r="L322" i="72"/>
  <c r="K322" i="72"/>
  <c r="J322" i="72"/>
  <c r="I322" i="72"/>
  <c r="N315" i="72"/>
  <c r="M315" i="72"/>
  <c r="L315" i="72"/>
  <c r="K315" i="72"/>
  <c r="J315" i="72"/>
  <c r="I315" i="72"/>
  <c r="N312" i="72"/>
  <c r="M312" i="72"/>
  <c r="L312" i="72"/>
  <c r="K312" i="72"/>
  <c r="J312" i="72"/>
  <c r="I312" i="72"/>
  <c r="N309" i="72"/>
  <c r="M309" i="72"/>
  <c r="L309" i="72"/>
  <c r="K309" i="72"/>
  <c r="J309" i="72"/>
  <c r="I309" i="72"/>
  <c r="N307" i="72"/>
  <c r="M307" i="72"/>
  <c r="L307" i="72"/>
  <c r="K307" i="72"/>
  <c r="J307" i="72"/>
  <c r="I307" i="72"/>
  <c r="N305" i="72"/>
  <c r="M305" i="72"/>
  <c r="L305" i="72"/>
  <c r="K305" i="72"/>
  <c r="J305" i="72"/>
  <c r="I305" i="72"/>
  <c r="N260" i="72"/>
  <c r="M260" i="72"/>
  <c r="L260" i="72"/>
  <c r="K260" i="72"/>
  <c r="J260" i="72"/>
  <c r="I260" i="72"/>
  <c r="N257" i="72"/>
  <c r="M257" i="72"/>
  <c r="L257" i="72"/>
  <c r="K257" i="72"/>
  <c r="J257" i="72"/>
  <c r="I257" i="72"/>
  <c r="J335" i="72" l="1"/>
  <c r="I335" i="72"/>
  <c r="K335" i="72"/>
  <c r="L335" i="72"/>
  <c r="M335" i="72"/>
  <c r="N335" i="72"/>
  <c r="M131" i="72" l="1"/>
  <c r="L131" i="72"/>
  <c r="K131" i="72"/>
  <c r="J131" i="72"/>
  <c r="I131" i="72"/>
  <c r="N131" i="72"/>
  <c r="N129" i="72"/>
  <c r="M129" i="72"/>
  <c r="L129" i="72"/>
  <c r="K129" i="72"/>
  <c r="J129" i="72"/>
  <c r="I129" i="72"/>
  <c r="N112" i="72"/>
  <c r="AO27" i="88" s="1"/>
  <c r="M112" i="72"/>
  <c r="AN27" i="88" s="1"/>
  <c r="L112" i="72"/>
  <c r="AM27" i="88" s="1"/>
  <c r="K112" i="72"/>
  <c r="AL27" i="88" s="1"/>
  <c r="J112" i="72"/>
  <c r="AK27" i="88" s="1"/>
  <c r="I112" i="72"/>
  <c r="AJ27" i="88" s="1"/>
  <c r="N104" i="72"/>
  <c r="Z32" i="87" s="1"/>
  <c r="M104" i="72"/>
  <c r="Y32" i="87" s="1"/>
  <c r="L104" i="72"/>
  <c r="X32" i="87" s="1"/>
  <c r="K104" i="72"/>
  <c r="W32" i="87" s="1"/>
  <c r="J104" i="72"/>
  <c r="V32" i="87" s="1"/>
  <c r="I104" i="72"/>
  <c r="U32" i="87" s="1"/>
  <c r="N96" i="72"/>
  <c r="M96" i="72"/>
  <c r="L96" i="72"/>
  <c r="K96" i="72"/>
  <c r="J96" i="72"/>
  <c r="I96" i="72"/>
  <c r="N92" i="72"/>
  <c r="M92" i="72"/>
  <c r="L92" i="72"/>
  <c r="K92" i="72"/>
  <c r="J92" i="72"/>
  <c r="I92" i="72"/>
  <c r="N90" i="72"/>
  <c r="M90" i="72"/>
  <c r="L90" i="72"/>
  <c r="K90" i="72"/>
  <c r="J90" i="72"/>
  <c r="I90" i="72"/>
  <c r="N88" i="72"/>
  <c r="M88" i="72"/>
  <c r="L88" i="72"/>
  <c r="K88" i="72"/>
  <c r="J88" i="72"/>
  <c r="I88" i="72"/>
  <c r="N86" i="72"/>
  <c r="M86" i="72"/>
  <c r="L86" i="72"/>
  <c r="K86" i="72"/>
  <c r="J86" i="72"/>
  <c r="I86" i="72"/>
  <c r="N81" i="72"/>
  <c r="M81" i="72"/>
  <c r="L81" i="72"/>
  <c r="K81" i="72"/>
  <c r="J81" i="72"/>
  <c r="I81" i="72"/>
  <c r="N25" i="72"/>
  <c r="M25" i="72"/>
  <c r="L25" i="72"/>
  <c r="K25" i="72"/>
  <c r="J25" i="72"/>
  <c r="I25" i="72"/>
  <c r="N20" i="72"/>
  <c r="AA36" i="86" s="1"/>
  <c r="M20" i="72"/>
  <c r="Z36" i="86" s="1"/>
  <c r="L20" i="72"/>
  <c r="Y36" i="86" s="1"/>
  <c r="K20" i="72"/>
  <c r="X36" i="86" s="1"/>
  <c r="J20" i="72"/>
  <c r="W36" i="86" s="1"/>
  <c r="I20" i="72"/>
  <c r="V36" i="86" s="1"/>
  <c r="M12" i="72"/>
  <c r="L12" i="72"/>
  <c r="K12" i="72"/>
  <c r="J12" i="72"/>
  <c r="I12" i="72"/>
  <c r="N12" i="72"/>
  <c r="N247" i="72"/>
  <c r="M247" i="72"/>
  <c r="L247" i="72"/>
  <c r="K247" i="72"/>
  <c r="J247" i="72"/>
  <c r="I247" i="72"/>
  <c r="N231" i="72"/>
  <c r="M231" i="72"/>
  <c r="L231" i="72"/>
  <c r="K231" i="72"/>
  <c r="J231" i="72"/>
  <c r="I231" i="72"/>
  <c r="N224" i="72"/>
  <c r="M224" i="72"/>
  <c r="L224" i="72"/>
  <c r="K224" i="72"/>
  <c r="J224" i="72"/>
  <c r="I224" i="72"/>
  <c r="N216" i="72"/>
  <c r="M216" i="72"/>
  <c r="L216" i="72"/>
  <c r="K216" i="72"/>
  <c r="J216" i="72"/>
  <c r="I216" i="72"/>
  <c r="N212" i="72"/>
  <c r="M212" i="72"/>
  <c r="L212" i="72"/>
  <c r="K212" i="72"/>
  <c r="J212" i="72"/>
  <c r="I212" i="72"/>
  <c r="N210" i="72"/>
  <c r="M210" i="72"/>
  <c r="L210" i="72"/>
  <c r="K210" i="72"/>
  <c r="J210" i="72"/>
  <c r="I210" i="72"/>
  <c r="N208" i="72"/>
  <c r="M208" i="72"/>
  <c r="L208" i="72"/>
  <c r="K208" i="72"/>
  <c r="J208" i="72"/>
  <c r="I208" i="72"/>
  <c r="N206" i="72"/>
  <c r="M206" i="72"/>
  <c r="L206" i="72"/>
  <c r="K206" i="72"/>
  <c r="J206" i="72"/>
  <c r="I206" i="72"/>
  <c r="N153" i="72"/>
  <c r="M153" i="72"/>
  <c r="L153" i="72"/>
  <c r="K153" i="72"/>
  <c r="J153" i="72"/>
  <c r="I153" i="72"/>
  <c r="N140" i="72"/>
  <c r="M140" i="72"/>
  <c r="L140" i="72"/>
  <c r="K140" i="72"/>
  <c r="J140" i="72"/>
  <c r="I140" i="72"/>
  <c r="I248" i="72" l="1"/>
  <c r="L248" i="72"/>
  <c r="J248" i="72"/>
  <c r="K248" i="72"/>
  <c r="H126" i="5"/>
  <c r="M248" i="72"/>
  <c r="N248" i="72"/>
  <c r="M132" i="72"/>
  <c r="M249" i="72" s="1"/>
  <c r="J132" i="72"/>
  <c r="N132" i="72"/>
  <c r="N249" i="72" s="1"/>
  <c r="I132" i="72"/>
  <c r="K132" i="72"/>
  <c r="L132" i="72"/>
  <c r="K249" i="72" l="1"/>
  <c r="J249" i="72"/>
  <c r="L249" i="72"/>
  <c r="I249" i="72"/>
  <c r="N345" i="72"/>
  <c r="M345" i="72"/>
  <c r="B115" i="5"/>
  <c r="C8" i="69"/>
  <c r="D8" i="69"/>
  <c r="E8" i="69"/>
  <c r="F8" i="69"/>
  <c r="G8" i="69"/>
  <c r="L345" i="72" l="1"/>
  <c r="K345" i="72"/>
  <c r="J345" i="72"/>
  <c r="I345" i="72"/>
  <c r="F4" i="66"/>
  <c r="F107" i="66" s="1"/>
  <c r="E107" i="66"/>
  <c r="D4" i="66"/>
  <c r="D107" i="66" s="1"/>
  <c r="C4" i="66"/>
  <c r="C107" i="66" s="1"/>
  <c r="B4" i="66"/>
  <c r="P4" i="66" l="1"/>
  <c r="B107" i="66"/>
  <c r="S35" i="61" l="1"/>
  <c r="S31" i="61"/>
  <c r="S24" i="61"/>
  <c r="S21" i="61"/>
  <c r="F13" i="72"/>
  <c r="M13" i="57" l="1"/>
  <c r="D14" i="78"/>
  <c r="E13" i="78"/>
  <c r="E14" i="78" s="1"/>
  <c r="D13" i="78"/>
  <c r="E12" i="78"/>
  <c r="D12" i="78"/>
  <c r="F14" i="78" l="1"/>
  <c r="G14" i="78" s="1"/>
  <c r="I39" i="70" l="1"/>
  <c r="H39" i="70"/>
  <c r="H36" i="70"/>
  <c r="F33" i="15" l="1"/>
  <c r="F28" i="15"/>
  <c r="Q15" i="70" l="1"/>
  <c r="H5" i="70"/>
  <c r="G16" i="80"/>
  <c r="E6" i="80"/>
  <c r="L6" i="80" s="1"/>
  <c r="O6" i="80" s="1"/>
  <c r="E10" i="80"/>
  <c r="L10" i="80" s="1"/>
  <c r="O10" i="80" s="1"/>
  <c r="E8" i="80"/>
  <c r="L8" i="80" s="1"/>
  <c r="O8" i="80" s="1"/>
  <c r="E72" i="80"/>
  <c r="D72" i="80"/>
  <c r="N71" i="80"/>
  <c r="M71" i="80"/>
  <c r="L71" i="80"/>
  <c r="K71" i="80"/>
  <c r="J71" i="80"/>
  <c r="I71" i="80"/>
  <c r="L70" i="80"/>
  <c r="K70" i="80"/>
  <c r="J70" i="80"/>
  <c r="I70" i="80"/>
  <c r="H70" i="80"/>
  <c r="G70" i="80"/>
  <c r="O67" i="80"/>
  <c r="D81" i="80" s="1"/>
  <c r="N66" i="80"/>
  <c r="K66" i="80"/>
  <c r="N65" i="80"/>
  <c r="M65" i="80"/>
  <c r="L65" i="80"/>
  <c r="K65" i="80"/>
  <c r="J65" i="80"/>
  <c r="E60" i="80"/>
  <c r="D60" i="80"/>
  <c r="K59" i="80"/>
  <c r="J59" i="80"/>
  <c r="I59" i="80"/>
  <c r="H59" i="80"/>
  <c r="G59" i="80"/>
  <c r="F59" i="80"/>
  <c r="N58" i="80"/>
  <c r="J58" i="80"/>
  <c r="I58" i="80"/>
  <c r="H58" i="80"/>
  <c r="G58" i="80"/>
  <c r="F58" i="80"/>
  <c r="N56" i="80"/>
  <c r="M56" i="80"/>
  <c r="L56" i="80"/>
  <c r="K56" i="80"/>
  <c r="J56" i="80"/>
  <c r="O55" i="80"/>
  <c r="F81" i="80" s="1"/>
  <c r="N54" i="80"/>
  <c r="M54" i="80"/>
  <c r="L54" i="80"/>
  <c r="K54" i="80"/>
  <c r="J54" i="80"/>
  <c r="N53" i="80"/>
  <c r="M53" i="80"/>
  <c r="L53" i="80"/>
  <c r="K53" i="80"/>
  <c r="J53" i="80"/>
  <c r="I53" i="80"/>
  <c r="L52" i="80"/>
  <c r="K52" i="80"/>
  <c r="J52" i="80"/>
  <c r="I52" i="80"/>
  <c r="H52" i="80"/>
  <c r="G52" i="80"/>
  <c r="N51" i="80"/>
  <c r="K51" i="80"/>
  <c r="J51" i="80"/>
  <c r="I51" i="80"/>
  <c r="H51" i="80"/>
  <c r="G51" i="80"/>
  <c r="F51" i="80"/>
  <c r="F87" i="80"/>
  <c r="N59" i="80"/>
  <c r="M66" i="80"/>
  <c r="L66" i="80"/>
  <c r="K58" i="80"/>
  <c r="J66" i="80"/>
  <c r="I54" i="80"/>
  <c r="H71" i="80"/>
  <c r="G53" i="80"/>
  <c r="F70" i="80"/>
  <c r="O40" i="80"/>
  <c r="N17" i="80"/>
  <c r="E14" i="80"/>
  <c r="L14" i="80" s="1"/>
  <c r="O14" i="80" s="1"/>
  <c r="E81" i="80" l="1"/>
  <c r="F15" i="80"/>
  <c r="E4" i="80"/>
  <c r="L4" i="80" s="1"/>
  <c r="O4" i="80" s="1"/>
  <c r="G66" i="80"/>
  <c r="E7" i="80"/>
  <c r="L7" i="80" s="1"/>
  <c r="O7" i="80" s="1"/>
  <c r="E11" i="80"/>
  <c r="L11" i="80" s="1"/>
  <c r="O11" i="80" s="1"/>
  <c r="M52" i="80"/>
  <c r="F65" i="80"/>
  <c r="M70" i="80"/>
  <c r="O70" i="80" s="1"/>
  <c r="D84" i="80" s="1"/>
  <c r="G84" i="80" s="1"/>
  <c r="L51" i="80"/>
  <c r="N52" i="80"/>
  <c r="F54" i="80"/>
  <c r="G56" i="80"/>
  <c r="M59" i="80"/>
  <c r="G65" i="80"/>
  <c r="I66" i="80"/>
  <c r="N70" i="80"/>
  <c r="C75" i="80"/>
  <c r="G81" i="80"/>
  <c r="E5" i="80"/>
  <c r="L5" i="80" s="1"/>
  <c r="O5" i="80" s="1"/>
  <c r="E9" i="80"/>
  <c r="L9" i="80" s="1"/>
  <c r="O9" i="80" s="1"/>
  <c r="F56" i="80"/>
  <c r="L59" i="80"/>
  <c r="O59" i="80" s="1"/>
  <c r="F85" i="80" s="1"/>
  <c r="H66" i="80"/>
  <c r="M51" i="80"/>
  <c r="G54" i="80"/>
  <c r="H56" i="80"/>
  <c r="L58" i="80"/>
  <c r="H65" i="80"/>
  <c r="F66" i="80"/>
  <c r="D15" i="80"/>
  <c r="F53" i="80"/>
  <c r="H54" i="80"/>
  <c r="I56" i="80"/>
  <c r="M58" i="80"/>
  <c r="I65" i="80"/>
  <c r="F71" i="80"/>
  <c r="G71" i="80"/>
  <c r="F52" i="80"/>
  <c r="H53" i="80"/>
  <c r="O56" i="80" l="1"/>
  <c r="F82" i="80" s="1"/>
  <c r="O66" i="80"/>
  <c r="D80" i="80" s="1"/>
  <c r="G80" i="80" s="1"/>
  <c r="O58" i="80"/>
  <c r="F84" i="80" s="1"/>
  <c r="E84" i="80" s="1"/>
  <c r="F17" i="80"/>
  <c r="G15" i="80"/>
  <c r="G17" i="80" s="1"/>
  <c r="L17" i="80"/>
  <c r="L18" i="80" s="1"/>
  <c r="G18" i="80" s="1"/>
  <c r="O65" i="80"/>
  <c r="D79" i="80" s="1"/>
  <c r="G79" i="80" s="1"/>
  <c r="O71" i="80"/>
  <c r="D85" i="80" s="1"/>
  <c r="G85" i="80" s="1"/>
  <c r="O51" i="80"/>
  <c r="F77" i="80" s="1"/>
  <c r="O53" i="80"/>
  <c r="F79" i="80" s="1"/>
  <c r="E79" i="80" s="1"/>
  <c r="O52" i="80"/>
  <c r="F78" i="80" s="1"/>
  <c r="O54" i="80"/>
  <c r="F80" i="80" s="1"/>
  <c r="E80" i="80" s="1"/>
  <c r="E85" i="80" l="1"/>
  <c r="N19" i="57" l="1"/>
  <c r="G103" i="72" l="1"/>
  <c r="G18" i="72"/>
  <c r="G99" i="72"/>
  <c r="G16" i="72"/>
  <c r="G101" i="72"/>
  <c r="G15" i="72"/>
  <c r="G97" i="72"/>
  <c r="G13" i="72"/>
  <c r="H312" i="72" l="1"/>
  <c r="G312" i="72"/>
  <c r="H305" i="72"/>
  <c r="O301" i="72"/>
  <c r="H309" i="72"/>
  <c r="H307" i="72"/>
  <c r="H257" i="72"/>
  <c r="H260" i="72"/>
  <c r="O199" i="72"/>
  <c r="O198" i="72"/>
  <c r="A78" i="72"/>
  <c r="A77" i="72"/>
  <c r="G309" i="72"/>
  <c r="G307" i="72"/>
  <c r="O300" i="72"/>
  <c r="O299" i="72"/>
  <c r="G305" i="72"/>
  <c r="G260" i="72"/>
  <c r="O245" i="72"/>
  <c r="O197" i="72"/>
  <c r="O127" i="72"/>
  <c r="O76" i="72"/>
  <c r="P22" i="61"/>
  <c r="X36" i="57"/>
  <c r="W36" i="57" s="1"/>
  <c r="D2" i="78"/>
  <c r="E2" i="78" s="1"/>
  <c r="G2" i="78" s="1"/>
  <c r="C43" i="77"/>
  <c r="O46" i="77"/>
  <c r="P46" i="77" s="1"/>
  <c r="O45" i="77"/>
  <c r="P45" i="77" s="1"/>
  <c r="O44" i="77"/>
  <c r="C44" i="77"/>
  <c r="O43" i="77"/>
  <c r="O42" i="77"/>
  <c r="F54" i="77" s="1"/>
  <c r="C42" i="77"/>
  <c r="O41" i="77"/>
  <c r="F53" i="77" s="1"/>
  <c r="C41" i="77"/>
  <c r="O40" i="77"/>
  <c r="F52" i="77" s="1"/>
  <c r="C40" i="77"/>
  <c r="O39" i="77"/>
  <c r="F51" i="77" s="1"/>
  <c r="C39" i="77"/>
  <c r="O38" i="77"/>
  <c r="F50" i="77" s="1"/>
  <c r="G38" i="77"/>
  <c r="C38" i="77"/>
  <c r="C35" i="77"/>
  <c r="F103" i="72"/>
  <c r="F101" i="72"/>
  <c r="F99" i="72"/>
  <c r="F97" i="72"/>
  <c r="F18" i="72"/>
  <c r="F16" i="72"/>
  <c r="F15" i="72"/>
  <c r="P332" i="72"/>
  <c r="P322" i="72"/>
  <c r="P315" i="72"/>
  <c r="P312" i="72"/>
  <c r="P309" i="72"/>
  <c r="P307" i="72"/>
  <c r="P305" i="72"/>
  <c r="P260" i="72"/>
  <c r="P257" i="72"/>
  <c r="P131" i="72"/>
  <c r="P92" i="72"/>
  <c r="N14" i="57" s="1"/>
  <c r="P90" i="72"/>
  <c r="P88" i="72"/>
  <c r="N9" i="57"/>
  <c r="F16" i="76"/>
  <c r="E72" i="76"/>
  <c r="D72" i="76"/>
  <c r="O67" i="76"/>
  <c r="D81" i="76" s="1"/>
  <c r="G81" i="76" s="1"/>
  <c r="E60" i="76"/>
  <c r="D60" i="76"/>
  <c r="O55" i="76"/>
  <c r="F81" i="76" s="1"/>
  <c r="F87" i="76"/>
  <c r="O40" i="76"/>
  <c r="N17" i="76"/>
  <c r="F312" i="72"/>
  <c r="E305" i="72"/>
  <c r="D305" i="72"/>
  <c r="C305" i="72"/>
  <c r="F305" i="72"/>
  <c r="F309" i="72"/>
  <c r="F307" i="72"/>
  <c r="F260" i="72"/>
  <c r="A80" i="72"/>
  <c r="N94" i="5"/>
  <c r="M94" i="5"/>
  <c r="L94" i="5"/>
  <c r="K94" i="5"/>
  <c r="J94" i="5"/>
  <c r="I94" i="5"/>
  <c r="H94" i="5"/>
  <c r="G94" i="5"/>
  <c r="F94" i="5"/>
  <c r="E94" i="5"/>
  <c r="O39" i="70"/>
  <c r="N39" i="70"/>
  <c r="M39" i="70"/>
  <c r="L39" i="70"/>
  <c r="K39" i="70"/>
  <c r="J39" i="70"/>
  <c r="P39" i="70" s="1"/>
  <c r="O41" i="70"/>
  <c r="N41" i="70"/>
  <c r="M41" i="70"/>
  <c r="L41" i="70"/>
  <c r="K41" i="70"/>
  <c r="P41" i="70" s="1"/>
  <c r="K40" i="70"/>
  <c r="H32" i="70"/>
  <c r="I32" i="70"/>
  <c r="J32" i="70"/>
  <c r="K32" i="70"/>
  <c r="L32" i="70"/>
  <c r="M32" i="70"/>
  <c r="N32" i="70"/>
  <c r="O32" i="70"/>
  <c r="G32" i="70"/>
  <c r="O78" i="72" l="1"/>
  <c r="E81" i="76"/>
  <c r="P335" i="72"/>
  <c r="N33" i="57" s="1"/>
  <c r="G112" i="72"/>
  <c r="G81" i="72"/>
  <c r="F56" i="77"/>
  <c r="P44" i="77"/>
  <c r="F55" i="77"/>
  <c r="H55" i="77" s="1"/>
  <c r="P43" i="77"/>
  <c r="D48" i="77"/>
  <c r="H54" i="77"/>
  <c r="P42" i="77"/>
  <c r="H53" i="77"/>
  <c r="P41" i="77"/>
  <c r="H52" i="77"/>
  <c r="P40" i="77"/>
  <c r="H51" i="77"/>
  <c r="P39" i="77"/>
  <c r="C47" i="77"/>
  <c r="C49" i="77" s="1"/>
  <c r="F49" i="77" s="1"/>
  <c r="C45" i="77"/>
  <c r="E39" i="77"/>
  <c r="H42" i="77"/>
  <c r="H50" i="77"/>
  <c r="P38" i="77"/>
  <c r="P112" i="72"/>
  <c r="N12" i="57" s="1"/>
  <c r="P81" i="72"/>
  <c r="N15" i="57" s="1"/>
  <c r="P96" i="72"/>
  <c r="N8" i="57" s="1"/>
  <c r="P12" i="72"/>
  <c r="P129" i="72"/>
  <c r="N13" i="57" s="1"/>
  <c r="P104" i="72"/>
  <c r="N11" i="57" s="1"/>
  <c r="P25" i="72"/>
  <c r="P20" i="72"/>
  <c r="N7" i="57" s="1"/>
  <c r="D15" i="76"/>
  <c r="E13" i="76"/>
  <c r="L13" i="76" s="1"/>
  <c r="E12" i="76"/>
  <c r="L12" i="76" s="1"/>
  <c r="F15" i="76"/>
  <c r="F17" i="76" s="1"/>
  <c r="E4" i="76"/>
  <c r="L4" i="76" s="1"/>
  <c r="E11" i="76"/>
  <c r="L11" i="76" s="1"/>
  <c r="E7" i="76"/>
  <c r="L7" i="76" s="1"/>
  <c r="E6" i="76"/>
  <c r="E10" i="76"/>
  <c r="L10" i="76" s="1"/>
  <c r="E9" i="76"/>
  <c r="L9" i="76" s="1"/>
  <c r="E5" i="76"/>
  <c r="N71" i="76"/>
  <c r="N52" i="76"/>
  <c r="N56" i="76"/>
  <c r="N70" i="76"/>
  <c r="N54" i="76"/>
  <c r="N66" i="76"/>
  <c r="N65" i="76"/>
  <c r="N59" i="76"/>
  <c r="N53" i="76"/>
  <c r="N58" i="76"/>
  <c r="M52" i="76"/>
  <c r="M66" i="76"/>
  <c r="M65" i="76"/>
  <c r="M70" i="76"/>
  <c r="M71" i="76"/>
  <c r="M54" i="76"/>
  <c r="M59" i="76"/>
  <c r="M58" i="76"/>
  <c r="M53" i="76"/>
  <c r="M56" i="76"/>
  <c r="L53" i="76"/>
  <c r="L71" i="76"/>
  <c r="L52" i="76"/>
  <c r="L66" i="76"/>
  <c r="L59" i="76"/>
  <c r="L58" i="76"/>
  <c r="L56" i="76"/>
  <c r="L54" i="76"/>
  <c r="L70" i="76"/>
  <c r="L65" i="76"/>
  <c r="K71" i="76"/>
  <c r="K66" i="76"/>
  <c r="K70" i="76"/>
  <c r="K58" i="76"/>
  <c r="K52" i="76"/>
  <c r="K54" i="76"/>
  <c r="K59" i="76"/>
  <c r="K65" i="76"/>
  <c r="K53" i="76"/>
  <c r="K56" i="76"/>
  <c r="J65" i="76"/>
  <c r="J52" i="76"/>
  <c r="J53" i="76"/>
  <c r="J54" i="76"/>
  <c r="J56" i="76"/>
  <c r="J58" i="76"/>
  <c r="J66" i="76"/>
  <c r="J59" i="76"/>
  <c r="J70" i="76"/>
  <c r="J71" i="76"/>
  <c r="I54" i="76"/>
  <c r="I53" i="76"/>
  <c r="I56" i="76"/>
  <c r="I58" i="76"/>
  <c r="I70" i="76"/>
  <c r="I65" i="76"/>
  <c r="I66" i="76"/>
  <c r="I52" i="76"/>
  <c r="I71" i="76"/>
  <c r="I59" i="76"/>
  <c r="H70" i="76"/>
  <c r="H56" i="76"/>
  <c r="H58" i="76"/>
  <c r="H54" i="76"/>
  <c r="H71" i="76"/>
  <c r="H66" i="76"/>
  <c r="H65" i="76"/>
  <c r="H59" i="76"/>
  <c r="H53" i="76"/>
  <c r="H52" i="76"/>
  <c r="G54" i="76"/>
  <c r="G53" i="76"/>
  <c r="G70" i="76"/>
  <c r="G58" i="76"/>
  <c r="G66" i="76"/>
  <c r="G52" i="76"/>
  <c r="G65" i="76"/>
  <c r="G56" i="76"/>
  <c r="G71" i="76"/>
  <c r="G59" i="76"/>
  <c r="F54" i="76"/>
  <c r="F66" i="76"/>
  <c r="F56" i="76"/>
  <c r="F53" i="76"/>
  <c r="F58" i="76"/>
  <c r="C75" i="76"/>
  <c r="F65" i="76"/>
  <c r="F70" i="76"/>
  <c r="F71" i="76"/>
  <c r="F59" i="76"/>
  <c r="F52" i="76"/>
  <c r="E14" i="76"/>
  <c r="L14" i="76" s="1"/>
  <c r="E8" i="76"/>
  <c r="L8" i="76" s="1"/>
  <c r="L6" i="76"/>
  <c r="L5" i="76"/>
  <c r="D20" i="76"/>
  <c r="F81" i="72"/>
  <c r="P16" i="57"/>
  <c r="Y16" i="57" s="1"/>
  <c r="E17" i="57"/>
  <c r="L17" i="57"/>
  <c r="O17" i="57"/>
  <c r="P22" i="57"/>
  <c r="Y22" i="57" s="1"/>
  <c r="AF24" i="57"/>
  <c r="P26" i="57"/>
  <c r="Y26" i="57" s="1"/>
  <c r="P27" i="57"/>
  <c r="Y27" i="57" s="1"/>
  <c r="P28" i="57"/>
  <c r="Y28" i="57" s="1"/>
  <c r="P29" i="57"/>
  <c r="Y29" i="57" s="1"/>
  <c r="L30" i="57"/>
  <c r="M30" i="57"/>
  <c r="N30" i="57"/>
  <c r="O30" i="57"/>
  <c r="P32" i="57"/>
  <c r="Y32" i="57" s="1"/>
  <c r="E34" i="57"/>
  <c r="J34" i="57"/>
  <c r="K34" i="57"/>
  <c r="L34" i="57"/>
  <c r="M34" i="57"/>
  <c r="O34" i="57"/>
  <c r="H81" i="72" l="1"/>
  <c r="O77" i="72"/>
  <c r="L17" i="76"/>
  <c r="L18" i="76" s="1"/>
  <c r="N34" i="57"/>
  <c r="E45" i="77"/>
  <c r="E47" i="77"/>
  <c r="E49" i="77" s="1"/>
  <c r="P33" i="57"/>
  <c r="Y33" i="57" s="1"/>
  <c r="H49" i="77"/>
  <c r="H57" i="77" s="1"/>
  <c r="F57" i="77"/>
  <c r="P15" i="57"/>
  <c r="Y15" i="57" s="1"/>
  <c r="N17" i="57"/>
  <c r="N10" i="57"/>
  <c r="P132" i="72"/>
  <c r="O54" i="76"/>
  <c r="F80" i="76" s="1"/>
  <c r="O66" i="76"/>
  <c r="D80" i="76" s="1"/>
  <c r="G80" i="76" s="1"/>
  <c r="O56" i="76"/>
  <c r="F82" i="76" s="1"/>
  <c r="O53" i="76"/>
  <c r="F79" i="76" s="1"/>
  <c r="O58" i="76"/>
  <c r="F84" i="76" s="1"/>
  <c r="O65" i="76"/>
  <c r="D79" i="76" s="1"/>
  <c r="G79" i="76" s="1"/>
  <c r="O70" i="76"/>
  <c r="D84" i="76" s="1"/>
  <c r="G84" i="76" s="1"/>
  <c r="O71" i="76"/>
  <c r="D85" i="76" s="1"/>
  <c r="G85" i="76" s="1"/>
  <c r="O59" i="76"/>
  <c r="F85" i="76" s="1"/>
  <c r="O52" i="76"/>
  <c r="F78" i="76" s="1"/>
  <c r="F51" i="76"/>
  <c r="G51" i="76"/>
  <c r="H51" i="76"/>
  <c r="I51" i="76"/>
  <c r="J51" i="76"/>
  <c r="K51" i="76"/>
  <c r="L51" i="76"/>
  <c r="M51" i="76"/>
  <c r="N51" i="76"/>
  <c r="E80" i="76"/>
  <c r="E79" i="76"/>
  <c r="E84" i="76"/>
  <c r="P34" i="57" l="1"/>
  <c r="Y34" i="57" s="1"/>
  <c r="N18" i="57"/>
  <c r="O51" i="76"/>
  <c r="F77" i="76" s="1"/>
  <c r="E85" i="76"/>
  <c r="N9" i="74" l="1"/>
  <c r="D5" i="74" l="1"/>
  <c r="D8" i="74" s="1"/>
  <c r="C5" i="74"/>
  <c r="E6" i="14" l="1"/>
  <c r="F6" i="14"/>
  <c r="L10" i="57" l="1"/>
  <c r="L18" i="57" s="1"/>
  <c r="L20" i="57" s="1"/>
  <c r="L23" i="57" s="1"/>
  <c r="L36" i="57" s="1"/>
  <c r="O10" i="57"/>
  <c r="O18" i="57" s="1"/>
  <c r="O20" i="57" s="1"/>
  <c r="O23" i="57" s="1"/>
  <c r="O36" i="57" s="1"/>
  <c r="M10" i="57"/>
  <c r="N20" i="57" l="1"/>
  <c r="N23" i="57" s="1"/>
  <c r="K10" i="57"/>
  <c r="M17" i="57" l="1"/>
  <c r="M18" i="57" s="1"/>
  <c r="M20" i="57" s="1"/>
  <c r="M23" i="57" s="1"/>
  <c r="M36" i="57" s="1"/>
  <c r="N36" i="57" l="1"/>
  <c r="E244" i="72"/>
  <c r="E188" i="72"/>
  <c r="E126" i="72"/>
  <c r="E64" i="72"/>
  <c r="F32" i="70" l="1"/>
  <c r="M129" i="5" l="1"/>
  <c r="M17" i="89" s="1"/>
  <c r="M81" i="89" s="1"/>
  <c r="L129" i="5"/>
  <c r="L17" i="89" s="1"/>
  <c r="L81" i="89" s="1"/>
  <c r="K129" i="5"/>
  <c r="K17" i="89" s="1"/>
  <c r="K81" i="89" s="1"/>
  <c r="J129" i="5"/>
  <c r="J17" i="89" s="1"/>
  <c r="J81" i="89" s="1"/>
  <c r="I129" i="5"/>
  <c r="I17" i="89" s="1"/>
  <c r="I81" i="89" s="1"/>
  <c r="H129" i="5"/>
  <c r="H17" i="89" s="1"/>
  <c r="H81" i="89" s="1"/>
  <c r="G129" i="5"/>
  <c r="G17" i="89" s="1"/>
  <c r="G81" i="89" s="1"/>
  <c r="F129" i="5"/>
  <c r="E129" i="5"/>
  <c r="D129" i="5"/>
  <c r="O200" i="72"/>
  <c r="O196" i="72"/>
  <c r="O195" i="72"/>
  <c r="O194" i="72"/>
  <c r="O193" i="72"/>
  <c r="O191" i="72"/>
  <c r="O190" i="72"/>
  <c r="O189" i="72"/>
  <c r="O187" i="72"/>
  <c r="O186" i="72"/>
  <c r="O185" i="72"/>
  <c r="O184" i="72"/>
  <c r="O183" i="72"/>
  <c r="O182" i="72"/>
  <c r="O181" i="72"/>
  <c r="O180" i="72"/>
  <c r="O179" i="72"/>
  <c r="O178" i="72"/>
  <c r="O177" i="72"/>
  <c r="O176" i="72"/>
  <c r="O175" i="72"/>
  <c r="O174" i="72"/>
  <c r="O173" i="72"/>
  <c r="O172" i="72"/>
  <c r="O171" i="72"/>
  <c r="O170" i="72"/>
  <c r="O169" i="72"/>
  <c r="O168" i="72"/>
  <c r="O167" i="72"/>
  <c r="O166" i="72"/>
  <c r="O165" i="72"/>
  <c r="O164" i="72"/>
  <c r="O163" i="72"/>
  <c r="O162" i="72"/>
  <c r="O161" i="72"/>
  <c r="O160" i="72"/>
  <c r="O159" i="72"/>
  <c r="O124" i="72"/>
  <c r="O123" i="72"/>
  <c r="O122" i="72"/>
  <c r="O121" i="72"/>
  <c r="O120" i="72"/>
  <c r="O119" i="72"/>
  <c r="O118" i="72"/>
  <c r="O117" i="72"/>
  <c r="O116" i="72"/>
  <c r="O115" i="72"/>
  <c r="O114" i="72"/>
  <c r="O113" i="72"/>
  <c r="O80" i="72"/>
  <c r="O75" i="72"/>
  <c r="O74" i="72"/>
  <c r="O73" i="72"/>
  <c r="O72" i="72"/>
  <c r="O71" i="72"/>
  <c r="O70" i="72"/>
  <c r="O68" i="72"/>
  <c r="O67" i="72"/>
  <c r="O66" i="72"/>
  <c r="O65" i="72"/>
  <c r="O63" i="72"/>
  <c r="O62" i="72"/>
  <c r="O61" i="72"/>
  <c r="O60" i="72"/>
  <c r="O59" i="72"/>
  <c r="O58" i="72"/>
  <c r="O57" i="72"/>
  <c r="O56" i="72"/>
  <c r="O55" i="72"/>
  <c r="O54" i="72"/>
  <c r="O53" i="72"/>
  <c r="O52" i="72"/>
  <c r="O51" i="72"/>
  <c r="O50" i="72"/>
  <c r="O49" i="72"/>
  <c r="O48" i="72"/>
  <c r="O47" i="72"/>
  <c r="O46" i="72"/>
  <c r="O45" i="72"/>
  <c r="O44" i="72"/>
  <c r="O43" i="72"/>
  <c r="O42" i="72"/>
  <c r="O41" i="72"/>
  <c r="O40" i="72"/>
  <c r="O39" i="72"/>
  <c r="O38" i="72"/>
  <c r="O37" i="72"/>
  <c r="O36" i="72"/>
  <c r="O35" i="72"/>
  <c r="O34" i="72"/>
  <c r="O33" i="72"/>
  <c r="O32" i="72"/>
  <c r="O31" i="72"/>
  <c r="O30" i="72"/>
  <c r="O29" i="72"/>
  <c r="O28" i="72"/>
  <c r="O27" i="72"/>
  <c r="O26" i="72"/>
  <c r="E312" i="72"/>
  <c r="E309" i="72"/>
  <c r="E260" i="72"/>
  <c r="N17" i="89" l="1"/>
  <c r="O17" i="89"/>
  <c r="Y22" i="66"/>
  <c r="N19" i="65" s="1"/>
  <c r="E81" i="72"/>
  <c r="D94" i="5"/>
  <c r="D11" i="74" l="1"/>
  <c r="E11" i="74"/>
  <c r="F11" i="74"/>
  <c r="G11" i="74"/>
  <c r="H11" i="74"/>
  <c r="I11" i="74"/>
  <c r="J11" i="74"/>
  <c r="K11" i="74"/>
  <c r="L11" i="74"/>
  <c r="M11" i="74"/>
  <c r="C8" i="74"/>
  <c r="C11" i="74" s="1"/>
  <c r="N6" i="74"/>
  <c r="B5" i="74"/>
  <c r="B8" i="74" s="1"/>
  <c r="B11" i="74" s="1"/>
  <c r="N11" i="74" l="1"/>
  <c r="N5" i="74"/>
  <c r="N8" i="74" s="1"/>
  <c r="E32" i="70"/>
  <c r="J35" i="73" l="1"/>
  <c r="J33" i="73"/>
  <c r="J32" i="73"/>
  <c r="J31" i="73"/>
  <c r="J29" i="73"/>
  <c r="J28" i="73"/>
  <c r="J27" i="73"/>
  <c r="J26" i="73"/>
  <c r="J25" i="73"/>
  <c r="J24" i="73"/>
  <c r="J22" i="73"/>
  <c r="J21" i="73"/>
  <c r="J20" i="73"/>
  <c r="J19" i="73"/>
  <c r="J18" i="73"/>
  <c r="J17" i="73"/>
  <c r="J16" i="73"/>
  <c r="J15" i="73"/>
  <c r="J14" i="73"/>
  <c r="J13" i="73"/>
  <c r="J12" i="73"/>
  <c r="J11" i="73"/>
  <c r="J10" i="73"/>
  <c r="J9" i="73"/>
  <c r="J8" i="73"/>
  <c r="J7" i="73"/>
  <c r="AF3" i="57"/>
  <c r="AF4" i="57" l="1"/>
  <c r="C131" i="5" l="1"/>
  <c r="D192" i="72" l="1"/>
  <c r="O192" i="72" s="1"/>
  <c r="D188" i="72"/>
  <c r="D69" i="72"/>
  <c r="O69" i="72" s="1"/>
  <c r="D126" i="72"/>
  <c r="O126" i="72" s="1"/>
  <c r="D64" i="72"/>
  <c r="C135" i="5" l="1"/>
  <c r="J35" i="53"/>
  <c r="J33" i="53"/>
  <c r="J32" i="53"/>
  <c r="J31" i="53"/>
  <c r="J29" i="53"/>
  <c r="J28" i="53"/>
  <c r="J27" i="53"/>
  <c r="J26" i="53"/>
  <c r="J25" i="53"/>
  <c r="J24" i="53"/>
  <c r="J22" i="53"/>
  <c r="J21" i="53"/>
  <c r="J20" i="53"/>
  <c r="J19" i="53"/>
  <c r="J18" i="53"/>
  <c r="J17" i="53"/>
  <c r="J16" i="53"/>
  <c r="J15" i="53"/>
  <c r="J14" i="53"/>
  <c r="J13" i="53"/>
  <c r="J12" i="53"/>
  <c r="J11" i="53"/>
  <c r="J10" i="53"/>
  <c r="J9" i="53"/>
  <c r="J8" i="53"/>
  <c r="J7" i="53"/>
  <c r="C129" i="5" l="1"/>
  <c r="C312" i="72" l="1"/>
  <c r="D312" i="72"/>
  <c r="O319" i="72"/>
  <c r="D322" i="72"/>
  <c r="O308" i="72"/>
  <c r="D309" i="72"/>
  <c r="O309" i="72" s="1"/>
  <c r="O286" i="72"/>
  <c r="C94" i="5"/>
  <c r="P7" i="61"/>
  <c r="P8" i="61"/>
  <c r="P9" i="61"/>
  <c r="D81" i="72" l="1"/>
  <c r="D32" i="70" l="1"/>
  <c r="P32" i="70" s="1"/>
  <c r="C33" i="15" l="1"/>
  <c r="D33" i="15"/>
  <c r="E33" i="15"/>
  <c r="H33" i="15"/>
  <c r="I33" i="15"/>
  <c r="J33" i="15"/>
  <c r="K33" i="15"/>
  <c r="L33" i="15"/>
  <c r="M33" i="15"/>
  <c r="B33" i="15"/>
  <c r="B32" i="15"/>
  <c r="B30" i="15"/>
  <c r="M28" i="15"/>
  <c r="L28" i="15"/>
  <c r="K28" i="15"/>
  <c r="J28" i="15"/>
  <c r="I28" i="15"/>
  <c r="H28" i="15"/>
  <c r="G28" i="15"/>
  <c r="E28" i="15"/>
  <c r="D28" i="15"/>
  <c r="C28" i="15"/>
  <c r="B28" i="15"/>
  <c r="E26" i="15"/>
  <c r="D26" i="15"/>
  <c r="C26" i="15"/>
  <c r="B26" i="15"/>
  <c r="I38" i="70" l="1"/>
  <c r="H38" i="70"/>
  <c r="F32" i="15" s="1"/>
  <c r="G38" i="70"/>
  <c r="E32" i="15" s="1"/>
  <c r="F38" i="70"/>
  <c r="E38" i="70"/>
  <c r="C32" i="15" s="1"/>
  <c r="K38" i="70"/>
  <c r="L38" i="70"/>
  <c r="M38" i="70"/>
  <c r="N38" i="70"/>
  <c r="O38" i="70"/>
  <c r="J38" i="70"/>
  <c r="P21" i="70"/>
  <c r="L40" i="70"/>
  <c r="M40" i="70"/>
  <c r="N40" i="70"/>
  <c r="O40" i="70"/>
  <c r="J40" i="70"/>
  <c r="I35" i="70" l="1"/>
  <c r="H35" i="70"/>
  <c r="O35" i="70"/>
  <c r="N35" i="70"/>
  <c r="M35" i="70"/>
  <c r="L35" i="70"/>
  <c r="K35" i="70"/>
  <c r="J35" i="70"/>
  <c r="K34" i="70"/>
  <c r="I30" i="15" s="1"/>
  <c r="N28" i="70"/>
  <c r="M28" i="70"/>
  <c r="L28" i="70"/>
  <c r="K28" i="70"/>
  <c r="O28" i="70"/>
  <c r="D32" i="15"/>
  <c r="I32" i="15"/>
  <c r="H32" i="15"/>
  <c r="M32" i="15"/>
  <c r="L32" i="15"/>
  <c r="K32" i="15"/>
  <c r="J32" i="15"/>
  <c r="P40" i="70"/>
  <c r="L34" i="70"/>
  <c r="J30" i="15" s="1"/>
  <c r="M34" i="70"/>
  <c r="K30" i="15" s="1"/>
  <c r="N34" i="70"/>
  <c r="L30" i="15" s="1"/>
  <c r="O34" i="70"/>
  <c r="M30" i="15" s="1"/>
  <c r="E34" i="70"/>
  <c r="C30" i="15" s="1"/>
  <c r="J27" i="70"/>
  <c r="F34" i="70"/>
  <c r="O27" i="70"/>
  <c r="G34" i="70"/>
  <c r="E30" i="15" s="1"/>
  <c r="N27" i="70"/>
  <c r="H34" i="70"/>
  <c r="F30" i="15" s="1"/>
  <c r="M27" i="70"/>
  <c r="I34" i="70"/>
  <c r="L27" i="70"/>
  <c r="J34" i="70"/>
  <c r="H30" i="15" s="1"/>
  <c r="K27" i="70"/>
  <c r="P38" i="70"/>
  <c r="O48" i="70"/>
  <c r="N48" i="70"/>
  <c r="M48" i="70"/>
  <c r="L48" i="70"/>
  <c r="K48" i="70"/>
  <c r="J48" i="70"/>
  <c r="I48" i="70"/>
  <c r="H48" i="70"/>
  <c r="P20" i="70"/>
  <c r="P3" i="70"/>
  <c r="P35" i="70" l="1"/>
  <c r="H29" i="70"/>
  <c r="G29" i="70"/>
  <c r="P28" i="70"/>
  <c r="F29" i="70"/>
  <c r="E29" i="70"/>
  <c r="D30" i="15"/>
  <c r="P34" i="70"/>
  <c r="I25" i="70"/>
  <c r="G30" i="70"/>
  <c r="I30" i="70"/>
  <c r="J29" i="70"/>
  <c r="J30" i="70"/>
  <c r="K29" i="70"/>
  <c r="K30" i="70"/>
  <c r="L29" i="70"/>
  <c r="L30" i="70"/>
  <c r="M29" i="70"/>
  <c r="M30" i="70"/>
  <c r="N29" i="70"/>
  <c r="N30" i="70"/>
  <c r="O29" i="70"/>
  <c r="O30" i="70"/>
  <c r="J26" i="70"/>
  <c r="N26" i="70"/>
  <c r="M26" i="70"/>
  <c r="G25" i="70"/>
  <c r="O26" i="70"/>
  <c r="N25" i="70"/>
  <c r="L24" i="15" s="1"/>
  <c r="M25" i="70"/>
  <c r="L26" i="70"/>
  <c r="J25" i="70"/>
  <c r="H24" i="15" s="1"/>
  <c r="O25" i="70"/>
  <c r="L25" i="70"/>
  <c r="K25" i="70"/>
  <c r="K26" i="70"/>
  <c r="M24" i="15" l="1"/>
  <c r="I24" i="15"/>
  <c r="E24" i="15"/>
  <c r="J24" i="15"/>
  <c r="K24" i="15"/>
  <c r="G44" i="70"/>
  <c r="P29" i="70"/>
  <c r="P31" i="70"/>
  <c r="C244" i="72" l="1"/>
  <c r="C188" i="72"/>
  <c r="O188" i="72" s="1"/>
  <c r="C126" i="72"/>
  <c r="O125" i="72" s="1"/>
  <c r="C64" i="72"/>
  <c r="O64" i="72" s="1"/>
  <c r="C30" i="6" l="1"/>
  <c r="C16" i="6"/>
  <c r="I9" i="6"/>
  <c r="B129" i="5" l="1"/>
  <c r="B203" i="1"/>
  <c r="C203" i="1"/>
  <c r="D203" i="1"/>
  <c r="E203" i="1"/>
  <c r="F203" i="1"/>
  <c r="G203" i="1"/>
  <c r="H203" i="1"/>
  <c r="I203" i="1"/>
  <c r="J203" i="1"/>
  <c r="K203" i="1"/>
  <c r="L203" i="1"/>
  <c r="M203" i="1"/>
  <c r="C202" i="1"/>
  <c r="D202" i="1"/>
  <c r="E202" i="1"/>
  <c r="F202" i="1"/>
  <c r="G202" i="1"/>
  <c r="H202" i="1"/>
  <c r="I202" i="1"/>
  <c r="J202" i="1"/>
  <c r="K202" i="1"/>
  <c r="L202" i="1"/>
  <c r="M202" i="1"/>
  <c r="B202" i="1"/>
  <c r="N192" i="1"/>
  <c r="M219" i="1"/>
  <c r="L219" i="1"/>
  <c r="K219" i="1"/>
  <c r="J219" i="1"/>
  <c r="I219" i="1"/>
  <c r="H219" i="1"/>
  <c r="G219" i="1"/>
  <c r="F219" i="1"/>
  <c r="E219" i="1"/>
  <c r="D219" i="1"/>
  <c r="C219" i="1"/>
  <c r="B219" i="1"/>
  <c r="B194" i="1"/>
  <c r="N19" i="1"/>
  <c r="N17" i="1"/>
  <c r="N28" i="1"/>
  <c r="N203" i="1" l="1"/>
  <c r="N202" i="1"/>
  <c r="B220" i="1" l="1"/>
  <c r="C204" i="5"/>
  <c r="D204" i="5"/>
  <c r="E204" i="5"/>
  <c r="F204" i="5"/>
  <c r="G204" i="5"/>
  <c r="H204" i="5"/>
  <c r="I204" i="5"/>
  <c r="J204" i="5"/>
  <c r="K204" i="5"/>
  <c r="L204" i="5"/>
  <c r="M204" i="5"/>
  <c r="B204" i="5"/>
  <c r="N195" i="5"/>
  <c r="N196" i="5"/>
  <c r="N197" i="5"/>
  <c r="N198" i="5"/>
  <c r="N199" i="5"/>
  <c r="N208" i="5"/>
  <c r="N207" i="5"/>
  <c r="N206" i="5"/>
  <c r="N205" i="5"/>
  <c r="C202" i="5"/>
  <c r="D202" i="5"/>
  <c r="E202" i="5"/>
  <c r="F202" i="5"/>
  <c r="G202" i="5"/>
  <c r="H202" i="5"/>
  <c r="I202" i="5"/>
  <c r="J202" i="5"/>
  <c r="K202" i="5"/>
  <c r="L202" i="5"/>
  <c r="M202" i="5"/>
  <c r="B202" i="5"/>
  <c r="N194" i="5"/>
  <c r="N193" i="5"/>
  <c r="C203" i="5"/>
  <c r="D203" i="5"/>
  <c r="E203" i="5"/>
  <c r="F203" i="5"/>
  <c r="G203" i="5"/>
  <c r="H203" i="5"/>
  <c r="I203" i="5"/>
  <c r="J203" i="5"/>
  <c r="K203" i="5"/>
  <c r="L203" i="5"/>
  <c r="M203" i="5"/>
  <c r="B203" i="5"/>
  <c r="N202" i="5" l="1"/>
  <c r="N204" i="5"/>
  <c r="N203" i="5"/>
  <c r="B131" i="5" l="1"/>
  <c r="Y3" i="1" l="1"/>
  <c r="X3" i="1"/>
  <c r="Q154" i="1" l="1"/>
  <c r="Q106" i="1"/>
  <c r="Q212" i="1"/>
  <c r="C1" i="1"/>
  <c r="Q122" i="1"/>
  <c r="Q155" i="1"/>
  <c r="Q192" i="1"/>
  <c r="F18" i="6" s="1"/>
  <c r="Q267" i="1"/>
  <c r="Q298" i="1"/>
  <c r="Q123" i="1"/>
  <c r="Q213" i="1"/>
  <c r="Q219" i="1"/>
  <c r="Q134" i="1"/>
  <c r="Q220" i="1"/>
  <c r="Q140" i="1"/>
  <c r="Q229" i="1"/>
  <c r="Q130" i="1"/>
  <c r="D18" i="6" s="1"/>
  <c r="Q141" i="1"/>
  <c r="Q230" i="1"/>
  <c r="Q165" i="1"/>
  <c r="Q166" i="1"/>
  <c r="Q66" i="1"/>
  <c r="Q174" i="1"/>
  <c r="Q111" i="1"/>
  <c r="Q223" i="1"/>
  <c r="H18" i="6" s="1"/>
  <c r="Q233" i="1"/>
  <c r="Q77" i="1"/>
  <c r="Q124" i="1"/>
  <c r="Q135" i="1"/>
  <c r="Q143" i="1"/>
  <c r="Q156" i="1"/>
  <c r="Q167" i="1"/>
  <c r="Q215" i="1"/>
  <c r="Q231" i="1"/>
  <c r="Q57" i="1"/>
  <c r="Q78" i="1"/>
  <c r="Q125" i="1"/>
  <c r="Q136" i="1"/>
  <c r="Q150" i="1"/>
  <c r="Q157" i="1"/>
  <c r="Q169" i="1"/>
  <c r="Q202" i="1"/>
  <c r="Q216" i="1"/>
  <c r="Q225" i="1"/>
  <c r="H20" i="6" s="1"/>
  <c r="Q338" i="1"/>
  <c r="Q80" i="1"/>
  <c r="Q119" i="1"/>
  <c r="Q126" i="1"/>
  <c r="Q137" i="1"/>
  <c r="Q151" i="1"/>
  <c r="Q158" i="1"/>
  <c r="Q171" i="1"/>
  <c r="Q203" i="1"/>
  <c r="Q217" i="1"/>
  <c r="Q227" i="1"/>
  <c r="Q234" i="1"/>
  <c r="Q118" i="1"/>
  <c r="Q62" i="1"/>
  <c r="Q105" i="1"/>
  <c r="Q120" i="1"/>
  <c r="Q127" i="1"/>
  <c r="Q138" i="1"/>
  <c r="Q153" i="1"/>
  <c r="Q161" i="1"/>
  <c r="E18" i="6" s="1"/>
  <c r="Q172" i="1"/>
  <c r="Q211" i="1"/>
  <c r="Q218" i="1"/>
  <c r="Q228" i="1"/>
  <c r="Q236" i="1"/>
  <c r="D1" i="1"/>
  <c r="E1" i="1"/>
  <c r="F1" i="1"/>
  <c r="G1" i="1"/>
  <c r="H1" i="1"/>
  <c r="I1" i="1"/>
  <c r="J1" i="1"/>
  <c r="K1" i="1"/>
  <c r="L1" i="1"/>
  <c r="M1" i="1"/>
  <c r="B1" i="1"/>
  <c r="R157" i="1" l="1"/>
  <c r="R156" i="1"/>
  <c r="R136" i="1"/>
  <c r="R143" i="1"/>
  <c r="R111" i="1"/>
  <c r="R150" i="1"/>
  <c r="R77" i="1"/>
  <c r="R169" i="1"/>
  <c r="R231" i="1"/>
  <c r="R223" i="1"/>
  <c r="H18" i="60" s="1"/>
  <c r="R215" i="1"/>
  <c r="R171" i="1"/>
  <c r="R125" i="1"/>
  <c r="R167" i="1"/>
  <c r="R227" i="1"/>
  <c r="R217" i="1"/>
  <c r="R137" i="1"/>
  <c r="R338" i="1"/>
  <c r="R57" i="1"/>
  <c r="R135" i="1"/>
  <c r="R118" i="1"/>
  <c r="R126" i="1"/>
  <c r="R233" i="1"/>
  <c r="R124" i="1"/>
  <c r="R119" i="1"/>
  <c r="R225" i="1"/>
  <c r="R151" i="1"/>
  <c r="R78" i="1"/>
  <c r="R80" i="1"/>
  <c r="R216" i="1"/>
  <c r="R203" i="1"/>
  <c r="R158" i="1"/>
  <c r="R298" i="1"/>
  <c r="R166" i="1"/>
  <c r="R141" i="1"/>
  <c r="R123" i="1"/>
  <c r="R66" i="1"/>
  <c r="H1" i="60" s="1"/>
  <c r="R267" i="1"/>
  <c r="R219" i="1"/>
  <c r="R212" i="1"/>
  <c r="R165" i="1"/>
  <c r="R154" i="1"/>
  <c r="R140" i="1"/>
  <c r="R122" i="1"/>
  <c r="R106" i="1"/>
  <c r="R192" i="1"/>
  <c r="F18" i="60" s="1"/>
  <c r="R236" i="1"/>
  <c r="R218" i="1"/>
  <c r="R211" i="1"/>
  <c r="R172" i="1"/>
  <c r="R161" i="1"/>
  <c r="E18" i="60" s="1"/>
  <c r="R153" i="1"/>
  <c r="R138" i="1"/>
  <c r="R127" i="1"/>
  <c r="R120" i="1"/>
  <c r="R105" i="1"/>
  <c r="R230" i="1"/>
  <c r="R155" i="1"/>
  <c r="R134" i="1"/>
  <c r="R229" i="1"/>
  <c r="R130" i="1"/>
  <c r="D18" i="60" s="1"/>
  <c r="R220" i="1"/>
  <c r="R174" i="1"/>
  <c r="R228" i="1"/>
  <c r="R62" i="1"/>
  <c r="R213" i="1"/>
  <c r="R202" i="1"/>
  <c r="R234" i="1"/>
  <c r="C105" i="5" l="1"/>
  <c r="D105" i="5"/>
  <c r="E105" i="5"/>
  <c r="F105" i="5"/>
  <c r="G105" i="5"/>
  <c r="H105" i="5"/>
  <c r="I105" i="5"/>
  <c r="J105" i="5"/>
  <c r="K105" i="5"/>
  <c r="L105" i="5"/>
  <c r="M105" i="5"/>
  <c r="N105" i="5"/>
  <c r="B105" i="5"/>
  <c r="D135" i="5" l="1"/>
  <c r="E135" i="5"/>
  <c r="F135" i="5"/>
  <c r="G135" i="5"/>
  <c r="G24" i="89" s="1"/>
  <c r="H135" i="5"/>
  <c r="H24" i="89" s="1"/>
  <c r="H88" i="89" s="1"/>
  <c r="I135" i="5"/>
  <c r="I24" i="89" s="1"/>
  <c r="I88" i="89" s="1"/>
  <c r="J135" i="5"/>
  <c r="J24" i="89" s="1"/>
  <c r="J88" i="89" s="1"/>
  <c r="K135" i="5"/>
  <c r="K24" i="89" s="1"/>
  <c r="K88" i="89" s="1"/>
  <c r="L135" i="5"/>
  <c r="L24" i="89" s="1"/>
  <c r="L88" i="89" s="1"/>
  <c r="M135" i="5"/>
  <c r="M24" i="89" s="1"/>
  <c r="M88" i="89" s="1"/>
  <c r="C139" i="5"/>
  <c r="D139" i="5"/>
  <c r="E139" i="5"/>
  <c r="F139" i="5"/>
  <c r="G139" i="5"/>
  <c r="H139" i="5"/>
  <c r="I139" i="5"/>
  <c r="J139" i="5"/>
  <c r="K139" i="5"/>
  <c r="L139" i="5"/>
  <c r="M139" i="5"/>
  <c r="B139" i="5"/>
  <c r="B135" i="5"/>
  <c r="B119" i="5"/>
  <c r="C119" i="5"/>
  <c r="D119" i="5"/>
  <c r="E119" i="5"/>
  <c r="F119" i="5"/>
  <c r="G119" i="5"/>
  <c r="G7" i="89" s="1"/>
  <c r="G71" i="89" s="1"/>
  <c r="H119" i="5"/>
  <c r="H7" i="89" s="1"/>
  <c r="I119" i="5"/>
  <c r="I7" i="89" s="1"/>
  <c r="J119" i="5"/>
  <c r="J7" i="89" s="1"/>
  <c r="K119" i="5"/>
  <c r="K7" i="89" s="1"/>
  <c r="L119" i="5"/>
  <c r="L7" i="89" s="1"/>
  <c r="M119" i="5"/>
  <c r="M7" i="89" s="1"/>
  <c r="C332" i="72"/>
  <c r="O339" i="72"/>
  <c r="O338" i="72"/>
  <c r="O334" i="72"/>
  <c r="O333" i="72"/>
  <c r="G332" i="72"/>
  <c r="F332" i="72"/>
  <c r="E332" i="72"/>
  <c r="D332" i="72"/>
  <c r="O326" i="72"/>
  <c r="O325" i="72"/>
  <c r="O323" i="72"/>
  <c r="H322" i="72"/>
  <c r="G322" i="72"/>
  <c r="F322" i="72"/>
  <c r="E322" i="72"/>
  <c r="C322" i="72"/>
  <c r="O321" i="72"/>
  <c r="O320" i="72"/>
  <c r="O318" i="72"/>
  <c r="O317" i="72"/>
  <c r="O316" i="72"/>
  <c r="H315" i="72"/>
  <c r="G315" i="72"/>
  <c r="F315" i="72"/>
  <c r="E315" i="72"/>
  <c r="D315" i="72"/>
  <c r="C315" i="72"/>
  <c r="O314" i="72"/>
  <c r="O313" i="72"/>
  <c r="O311" i="72"/>
  <c r="O310" i="72"/>
  <c r="E307" i="72"/>
  <c r="D307" i="72"/>
  <c r="C307" i="72"/>
  <c r="O306" i="72"/>
  <c r="O304" i="72"/>
  <c r="O298" i="72"/>
  <c r="O297" i="72"/>
  <c r="O296" i="72"/>
  <c r="O295" i="72"/>
  <c r="O294" i="72"/>
  <c r="O293" i="72"/>
  <c r="O292" i="72"/>
  <c r="O291" i="72"/>
  <c r="O290" i="72"/>
  <c r="O287" i="72"/>
  <c r="O285" i="72"/>
  <c r="O283" i="72"/>
  <c r="O282" i="72"/>
  <c r="O281" i="72"/>
  <c r="O279" i="72"/>
  <c r="O277" i="72"/>
  <c r="O276" i="72"/>
  <c r="O274" i="72"/>
  <c r="O273" i="72"/>
  <c r="O272" i="72"/>
  <c r="O271" i="72"/>
  <c r="O269" i="72"/>
  <c r="O268" i="72"/>
  <c r="O266" i="72"/>
  <c r="O265" i="72"/>
  <c r="O264" i="72"/>
  <c r="O263" i="72"/>
  <c r="O262" i="72"/>
  <c r="O261" i="72"/>
  <c r="D260" i="72"/>
  <c r="C260" i="72"/>
  <c r="O259" i="72"/>
  <c r="O258" i="72"/>
  <c r="G257" i="72"/>
  <c r="F257" i="72"/>
  <c r="E257" i="72"/>
  <c r="D257" i="72"/>
  <c r="C257" i="72"/>
  <c r="O256" i="72"/>
  <c r="O255" i="72"/>
  <c r="O254" i="72"/>
  <c r="O253" i="72"/>
  <c r="H247" i="72"/>
  <c r="G247" i="72"/>
  <c r="F247" i="72"/>
  <c r="E247" i="72"/>
  <c r="D247" i="72"/>
  <c r="C247" i="72"/>
  <c r="O246" i="72"/>
  <c r="O244" i="72"/>
  <c r="O243" i="72"/>
  <c r="O242" i="72"/>
  <c r="O241" i="72"/>
  <c r="O240" i="72"/>
  <c r="O239" i="72"/>
  <c r="O238" i="72"/>
  <c r="O237" i="72"/>
  <c r="O236" i="72"/>
  <c r="O234" i="72"/>
  <c r="O233" i="72"/>
  <c r="O232" i="72"/>
  <c r="G231" i="72"/>
  <c r="F231" i="72"/>
  <c r="E231" i="72"/>
  <c r="D231" i="72"/>
  <c r="C231" i="72"/>
  <c r="O230" i="72"/>
  <c r="O229" i="72"/>
  <c r="O228" i="72"/>
  <c r="O227" i="72"/>
  <c r="O226" i="72"/>
  <c r="O225" i="72"/>
  <c r="H224" i="72"/>
  <c r="G224" i="72"/>
  <c r="F224" i="72"/>
  <c r="E224" i="72"/>
  <c r="D224" i="72"/>
  <c r="C224" i="72"/>
  <c r="O223" i="72"/>
  <c r="O222" i="72"/>
  <c r="O221" i="72"/>
  <c r="O220" i="72"/>
  <c r="O219" i="72"/>
  <c r="O218" i="72"/>
  <c r="O217" i="72"/>
  <c r="H216" i="72"/>
  <c r="G216" i="72"/>
  <c r="F216" i="72"/>
  <c r="E216" i="72"/>
  <c r="D216" i="72"/>
  <c r="C216" i="72"/>
  <c r="O215" i="72"/>
  <c r="O214" i="72"/>
  <c r="O213" i="72"/>
  <c r="H212" i="72"/>
  <c r="G212" i="72"/>
  <c r="F212" i="72"/>
  <c r="E212" i="72"/>
  <c r="D212" i="72"/>
  <c r="C212" i="72"/>
  <c r="O211" i="72"/>
  <c r="H210" i="72"/>
  <c r="G210" i="72"/>
  <c r="F210" i="72"/>
  <c r="E210" i="72"/>
  <c r="D210" i="72"/>
  <c r="C210" i="72"/>
  <c r="O209" i="72"/>
  <c r="H208" i="72"/>
  <c r="G208" i="72"/>
  <c r="F208" i="72"/>
  <c r="E208" i="72"/>
  <c r="D208" i="72"/>
  <c r="C208" i="72"/>
  <c r="O207" i="72"/>
  <c r="H206" i="72"/>
  <c r="G206" i="72"/>
  <c r="F206" i="72"/>
  <c r="E206" i="72"/>
  <c r="D206" i="72"/>
  <c r="C206" i="72"/>
  <c r="O205" i="72"/>
  <c r="O204" i="72"/>
  <c r="O203" i="72"/>
  <c r="O202" i="72"/>
  <c r="M125" i="5"/>
  <c r="M13" i="89" s="1"/>
  <c r="M77" i="89" s="1"/>
  <c r="L125" i="5"/>
  <c r="L13" i="89" s="1"/>
  <c r="L77" i="89" s="1"/>
  <c r="K125" i="5"/>
  <c r="K13" i="89" s="1"/>
  <c r="K77" i="89" s="1"/>
  <c r="J125" i="5"/>
  <c r="J13" i="89" s="1"/>
  <c r="J77" i="89" s="1"/>
  <c r="I125" i="5"/>
  <c r="I13" i="89" s="1"/>
  <c r="I77" i="89" s="1"/>
  <c r="H125" i="5"/>
  <c r="H13" i="89" s="1"/>
  <c r="H77" i="89" s="1"/>
  <c r="G125" i="5"/>
  <c r="G13" i="89" s="1"/>
  <c r="G201" i="72"/>
  <c r="F125" i="5" s="1"/>
  <c r="F201" i="72"/>
  <c r="E125" i="5" s="1"/>
  <c r="E201" i="72"/>
  <c r="D125" i="5" s="1"/>
  <c r="D201" i="72"/>
  <c r="C125" i="5" s="1"/>
  <c r="C201" i="72"/>
  <c r="O158" i="72"/>
  <c r="O157" i="72"/>
  <c r="O156" i="72"/>
  <c r="O155" i="72"/>
  <c r="O154" i="72"/>
  <c r="H153" i="72"/>
  <c r="G153" i="72"/>
  <c r="F153" i="72"/>
  <c r="E153" i="72"/>
  <c r="D153" i="72"/>
  <c r="C153" i="72"/>
  <c r="O152" i="72"/>
  <c r="O151" i="72"/>
  <c r="O150" i="72"/>
  <c r="O149" i="72"/>
  <c r="G148" i="72"/>
  <c r="F148" i="72"/>
  <c r="E148" i="72"/>
  <c r="D148" i="72"/>
  <c r="C148" i="72"/>
  <c r="O147" i="72"/>
  <c r="O146" i="72"/>
  <c r="O145" i="72"/>
  <c r="O144" i="72"/>
  <c r="O143" i="72"/>
  <c r="O142" i="72"/>
  <c r="O141" i="72"/>
  <c r="H140" i="72"/>
  <c r="G140" i="72"/>
  <c r="F140" i="72"/>
  <c r="E140" i="72"/>
  <c r="D140" i="72"/>
  <c r="C140" i="72"/>
  <c r="O139" i="72"/>
  <c r="O138" i="72"/>
  <c r="O137" i="72"/>
  <c r="O136" i="72"/>
  <c r="O135" i="72"/>
  <c r="O134" i="72"/>
  <c r="O133" i="72"/>
  <c r="H131" i="72"/>
  <c r="G131" i="72"/>
  <c r="F131" i="72"/>
  <c r="E131" i="72"/>
  <c r="D131" i="72"/>
  <c r="C131" i="72"/>
  <c r="O130" i="72"/>
  <c r="H129" i="72"/>
  <c r="G129" i="72"/>
  <c r="F129" i="72"/>
  <c r="E129" i="72"/>
  <c r="D129" i="72"/>
  <c r="C129" i="72"/>
  <c r="O128" i="72" s="1"/>
  <c r="H112" i="72"/>
  <c r="AI27" i="88" s="1"/>
  <c r="F112" i="72"/>
  <c r="E112" i="72"/>
  <c r="D112" i="72"/>
  <c r="C112" i="72"/>
  <c r="O111" i="72" s="1"/>
  <c r="O110" i="72"/>
  <c r="O109" i="72"/>
  <c r="O108" i="72"/>
  <c r="O107" i="72"/>
  <c r="O106" i="72"/>
  <c r="O105" i="72"/>
  <c r="H104" i="72"/>
  <c r="T32" i="87" s="1"/>
  <c r="G104" i="72"/>
  <c r="F104" i="72"/>
  <c r="E104" i="72"/>
  <c r="D104" i="72"/>
  <c r="C104" i="72"/>
  <c r="O103" i="72"/>
  <c r="O102" i="72"/>
  <c r="O101" i="72"/>
  <c r="O100" i="72"/>
  <c r="O99" i="72"/>
  <c r="O98" i="72"/>
  <c r="O97" i="72"/>
  <c r="H96" i="72"/>
  <c r="G96" i="72"/>
  <c r="F96" i="72"/>
  <c r="E96" i="72"/>
  <c r="D96" i="72"/>
  <c r="C96" i="72"/>
  <c r="O95" i="72"/>
  <c r="O94" i="72"/>
  <c r="O93" i="72"/>
  <c r="H92" i="72"/>
  <c r="G92" i="72"/>
  <c r="F92" i="72"/>
  <c r="E92" i="72"/>
  <c r="D92" i="72"/>
  <c r="C92" i="72"/>
  <c r="O91" i="72"/>
  <c r="H90" i="72"/>
  <c r="G90" i="72"/>
  <c r="F90" i="72"/>
  <c r="E90" i="72"/>
  <c r="D90" i="72"/>
  <c r="C90" i="72"/>
  <c r="O89" i="72"/>
  <c r="H88" i="72"/>
  <c r="G88" i="72"/>
  <c r="F88" i="72"/>
  <c r="E88" i="72"/>
  <c r="D88" i="72"/>
  <c r="C88" i="72"/>
  <c r="O87" i="72"/>
  <c r="H86" i="72"/>
  <c r="G86" i="72"/>
  <c r="F86" i="72"/>
  <c r="E86" i="72"/>
  <c r="D86" i="72"/>
  <c r="C86" i="72"/>
  <c r="O85" i="72"/>
  <c r="O84" i="72"/>
  <c r="O83" i="72"/>
  <c r="H25" i="72"/>
  <c r="G25" i="72"/>
  <c r="F25" i="72"/>
  <c r="E25" i="72"/>
  <c r="D25" i="72"/>
  <c r="O24" i="72"/>
  <c r="O23" i="72"/>
  <c r="O22" i="72"/>
  <c r="C25" i="72"/>
  <c r="H20" i="72"/>
  <c r="U36" i="86" s="1"/>
  <c r="G20" i="72"/>
  <c r="F20" i="72"/>
  <c r="E20" i="72"/>
  <c r="D20" i="72"/>
  <c r="C20" i="72"/>
  <c r="O19" i="72"/>
  <c r="O18" i="72"/>
  <c r="O17" i="72"/>
  <c r="O16" i="72"/>
  <c r="O15" i="72"/>
  <c r="O14" i="72"/>
  <c r="O13" i="72"/>
  <c r="G12" i="72"/>
  <c r="F12" i="72"/>
  <c r="E12" i="72"/>
  <c r="D12" i="72"/>
  <c r="C12" i="72"/>
  <c r="O10" i="72"/>
  <c r="O9" i="72"/>
  <c r="O8" i="72"/>
  <c r="O7" i="72"/>
  <c r="O6" i="72"/>
  <c r="P53" i="70"/>
  <c r="P37" i="70"/>
  <c r="P36" i="70"/>
  <c r="P33" i="70"/>
  <c r="O12" i="70"/>
  <c r="N12" i="70"/>
  <c r="M12" i="70"/>
  <c r="L12" i="70"/>
  <c r="K12" i="70"/>
  <c r="J12" i="70"/>
  <c r="I12" i="70"/>
  <c r="O11" i="70"/>
  <c r="N11" i="70"/>
  <c r="M11" i="70"/>
  <c r="L11" i="70"/>
  <c r="K11" i="70"/>
  <c r="J11" i="70"/>
  <c r="I11" i="70"/>
  <c r="H11" i="70"/>
  <c r="O10" i="70"/>
  <c r="N10" i="70"/>
  <c r="M10" i="70"/>
  <c r="L10" i="70"/>
  <c r="K10" i="70"/>
  <c r="J10" i="70"/>
  <c r="I10" i="70"/>
  <c r="H10" i="70"/>
  <c r="O9" i="70"/>
  <c r="N9" i="70"/>
  <c r="M9" i="70"/>
  <c r="L9" i="70"/>
  <c r="K9" i="70"/>
  <c r="J9" i="70"/>
  <c r="I9" i="70"/>
  <c r="O8" i="70"/>
  <c r="N8" i="70"/>
  <c r="M8" i="70"/>
  <c r="L8" i="70"/>
  <c r="K8" i="70"/>
  <c r="J8" i="70"/>
  <c r="I8" i="70"/>
  <c r="O16" i="70"/>
  <c r="N16" i="70"/>
  <c r="M16" i="70"/>
  <c r="L16" i="70"/>
  <c r="K16" i="70"/>
  <c r="J16" i="70"/>
  <c r="I16" i="70"/>
  <c r="H16" i="70"/>
  <c r="G16" i="70"/>
  <c r="O7" i="70"/>
  <c r="N7" i="70"/>
  <c r="M7" i="70"/>
  <c r="L7" i="70"/>
  <c r="K7" i="70"/>
  <c r="J7" i="70"/>
  <c r="I7" i="70"/>
  <c r="P15" i="70"/>
  <c r="P14" i="70"/>
  <c r="P13" i="70"/>
  <c r="O6" i="70"/>
  <c r="N6" i="70"/>
  <c r="M6" i="70"/>
  <c r="L6" i="70"/>
  <c r="K6" i="70"/>
  <c r="J6" i="70"/>
  <c r="O5" i="70"/>
  <c r="N5" i="70"/>
  <c r="M5" i="70"/>
  <c r="L5" i="70"/>
  <c r="K5" i="70"/>
  <c r="J5" i="70"/>
  <c r="I5" i="70"/>
  <c r="G5" i="70"/>
  <c r="F5" i="70"/>
  <c r="E5" i="70"/>
  <c r="E18" i="70" s="1"/>
  <c r="D5" i="70"/>
  <c r="O13" i="69"/>
  <c r="O12" i="69"/>
  <c r="O11" i="69"/>
  <c r="N10" i="69"/>
  <c r="N8" i="69" s="1"/>
  <c r="M10" i="69"/>
  <c r="M8" i="69" s="1"/>
  <c r="L10" i="69"/>
  <c r="L8" i="69" s="1"/>
  <c r="K10" i="69"/>
  <c r="K8" i="69" s="1"/>
  <c r="J10" i="69"/>
  <c r="J8" i="69" s="1"/>
  <c r="I10" i="69"/>
  <c r="I8" i="69" s="1"/>
  <c r="H10" i="69"/>
  <c r="H8" i="69" s="1"/>
  <c r="G10" i="69"/>
  <c r="G7" i="69" s="1"/>
  <c r="F10" i="69"/>
  <c r="F7" i="69" s="1"/>
  <c r="C2" i="76" s="1"/>
  <c r="E10" i="69"/>
  <c r="E7" i="69" s="1"/>
  <c r="F23" i="70" s="1"/>
  <c r="D10" i="69"/>
  <c r="D7" i="69" s="1"/>
  <c r="C10" i="69"/>
  <c r="I7" i="69"/>
  <c r="H82" i="5" s="1"/>
  <c r="C7" i="69"/>
  <c r="D23" i="70" s="1"/>
  <c r="D25" i="70" s="1"/>
  <c r="O5" i="69"/>
  <c r="O3" i="69"/>
  <c r="N49" i="14"/>
  <c r="M49" i="14"/>
  <c r="L49" i="14"/>
  <c r="K49" i="14"/>
  <c r="J49" i="14"/>
  <c r="I49" i="14"/>
  <c r="H49" i="14"/>
  <c r="G49" i="14"/>
  <c r="F49" i="14"/>
  <c r="E49" i="14"/>
  <c r="D49" i="14"/>
  <c r="C49" i="14"/>
  <c r="O48" i="14"/>
  <c r="O47" i="14"/>
  <c r="O46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O41" i="14"/>
  <c r="O40" i="14"/>
  <c r="O37" i="14"/>
  <c r="N35" i="14"/>
  <c r="M35" i="14"/>
  <c r="L35" i="14"/>
  <c r="K35" i="14"/>
  <c r="J35" i="14"/>
  <c r="I35" i="14"/>
  <c r="H35" i="14"/>
  <c r="G35" i="14"/>
  <c r="F35" i="14"/>
  <c r="E35" i="14"/>
  <c r="D35" i="14"/>
  <c r="C35" i="14"/>
  <c r="O35" i="14" s="1"/>
  <c r="O34" i="14"/>
  <c r="O33" i="14"/>
  <c r="M25" i="14"/>
  <c r="I22" i="14"/>
  <c r="H22" i="14"/>
  <c r="G22" i="14"/>
  <c r="F22" i="14"/>
  <c r="E22" i="14"/>
  <c r="D22" i="14"/>
  <c r="C22" i="14"/>
  <c r="N20" i="14"/>
  <c r="AD54" i="88" s="1"/>
  <c r="M20" i="14"/>
  <c r="AC54" i="88" s="1"/>
  <c r="L20" i="14"/>
  <c r="AB54" i="88" s="1"/>
  <c r="K20" i="14"/>
  <c r="AA54" i="88" s="1"/>
  <c r="J20" i="14"/>
  <c r="Z54" i="88" s="1"/>
  <c r="I20" i="14"/>
  <c r="Y54" i="88" s="1"/>
  <c r="H20" i="14"/>
  <c r="X54" i="88" s="1"/>
  <c r="G20" i="14"/>
  <c r="W54" i="88" s="1"/>
  <c r="F20" i="14"/>
  <c r="V54" i="88" s="1"/>
  <c r="E20" i="14"/>
  <c r="D20" i="14"/>
  <c r="C20" i="14"/>
  <c r="O19" i="14"/>
  <c r="O18" i="14"/>
  <c r="O17" i="14"/>
  <c r="N13" i="14"/>
  <c r="N26" i="14" s="1"/>
  <c r="M13" i="14"/>
  <c r="M26" i="14" s="1"/>
  <c r="L13" i="14"/>
  <c r="L26" i="14" s="1"/>
  <c r="K13" i="14"/>
  <c r="K26" i="14" s="1"/>
  <c r="J13" i="14"/>
  <c r="J26" i="14" s="1"/>
  <c r="I13" i="14"/>
  <c r="I26" i="14" s="1"/>
  <c r="H13" i="14"/>
  <c r="H26" i="14" s="1"/>
  <c r="G13" i="14"/>
  <c r="G26" i="14" s="1"/>
  <c r="F13" i="14"/>
  <c r="F26" i="14" s="1"/>
  <c r="E13" i="14"/>
  <c r="E26" i="14" s="1"/>
  <c r="D13" i="14"/>
  <c r="D26" i="14" s="1"/>
  <c r="C13" i="14"/>
  <c r="C26" i="14" s="1"/>
  <c r="O12" i="14"/>
  <c r="O11" i="14"/>
  <c r="O8" i="14"/>
  <c r="N6" i="14"/>
  <c r="N25" i="14" s="1"/>
  <c r="M6" i="14"/>
  <c r="L6" i="14"/>
  <c r="L25" i="14" s="1"/>
  <c r="K6" i="14"/>
  <c r="K25" i="14" s="1"/>
  <c r="J6" i="14"/>
  <c r="J25" i="14" s="1"/>
  <c r="J27" i="14" s="1"/>
  <c r="I6" i="14"/>
  <c r="I25" i="14" s="1"/>
  <c r="H6" i="14"/>
  <c r="H25" i="14" s="1"/>
  <c r="G6" i="14"/>
  <c r="G25" i="14" s="1"/>
  <c r="F25" i="14"/>
  <c r="E25" i="14"/>
  <c r="D6" i="14"/>
  <c r="D25" i="14" s="1"/>
  <c r="C6" i="14"/>
  <c r="O5" i="14"/>
  <c r="O4" i="14"/>
  <c r="L71" i="89" l="1"/>
  <c r="H71" i="89"/>
  <c r="M71" i="89"/>
  <c r="K71" i="89"/>
  <c r="J71" i="89"/>
  <c r="I71" i="89"/>
  <c r="N24" i="89"/>
  <c r="G88" i="89"/>
  <c r="Y29" i="66"/>
  <c r="O24" i="89"/>
  <c r="G77" i="89"/>
  <c r="Y18" i="66"/>
  <c r="N15" i="65" s="1"/>
  <c r="N13" i="89"/>
  <c r="O13" i="89"/>
  <c r="Q13" i="89" s="1"/>
  <c r="O6" i="14"/>
  <c r="O25" i="14" s="1"/>
  <c r="W57" i="88"/>
  <c r="W59" i="88" s="1"/>
  <c r="W78" i="88" s="1"/>
  <c r="W61" i="88"/>
  <c r="V57" i="88"/>
  <c r="V59" i="88" s="1"/>
  <c r="V78" i="88" s="1"/>
  <c r="V61" i="88"/>
  <c r="Y61" i="88"/>
  <c r="Y57" i="88"/>
  <c r="Y59" i="88" s="1"/>
  <c r="X57" i="88"/>
  <c r="X59" i="88" s="1"/>
  <c r="X60" i="88" s="1"/>
  <c r="X78" i="88" s="1"/>
  <c r="X15" i="66" s="1"/>
  <c r="X61" i="88"/>
  <c r="X62" i="88" s="1"/>
  <c r="X79" i="88" s="1"/>
  <c r="W15" i="66" s="1"/>
  <c r="K12" i="65" s="1"/>
  <c r="Z57" i="88"/>
  <c r="Z59" i="88" s="1"/>
  <c r="Z61" i="88"/>
  <c r="AB57" i="88"/>
  <c r="AB59" i="88" s="1"/>
  <c r="AB61" i="88"/>
  <c r="AB79" i="88" s="1"/>
  <c r="AA61" i="88"/>
  <c r="AA57" i="88"/>
  <c r="AA59" i="88" s="1"/>
  <c r="AC57" i="88"/>
  <c r="AC59" i="88" s="1"/>
  <c r="AC61" i="88"/>
  <c r="AC79" i="88" s="1"/>
  <c r="AD61" i="88"/>
  <c r="AD57" i="88"/>
  <c r="AD59" i="88" s="1"/>
  <c r="H27" i="14"/>
  <c r="H29" i="14" s="1"/>
  <c r="O7" i="89"/>
  <c r="Q7" i="89" s="1"/>
  <c r="Y12" i="66"/>
  <c r="N9" i="65" s="1"/>
  <c r="N7" i="89"/>
  <c r="M7" i="69"/>
  <c r="L82" i="5" s="1"/>
  <c r="N7" i="69"/>
  <c r="M82" i="5" s="1"/>
  <c r="H7" i="69"/>
  <c r="L7" i="69"/>
  <c r="K82" i="5" s="1"/>
  <c r="J7" i="69"/>
  <c r="I115" i="5" s="1"/>
  <c r="I4" i="66" s="1"/>
  <c r="I107" i="66" s="1"/>
  <c r="K7" i="69"/>
  <c r="J115" i="5" s="1"/>
  <c r="J4" i="66" s="1"/>
  <c r="J107" i="66" s="1"/>
  <c r="M115" i="5"/>
  <c r="M4" i="66" s="1"/>
  <c r="M107" i="66" s="1"/>
  <c r="H115" i="5"/>
  <c r="H4" i="66" s="1"/>
  <c r="H107" i="66" s="1"/>
  <c r="C82" i="5"/>
  <c r="E23" i="70"/>
  <c r="H23" i="70"/>
  <c r="D30" i="70"/>
  <c r="G27" i="14"/>
  <c r="I27" i="14"/>
  <c r="I29" i="14" s="1"/>
  <c r="L115" i="5"/>
  <c r="L4" i="66" s="1"/>
  <c r="L107" i="66" s="1"/>
  <c r="L27" i="14"/>
  <c r="L29" i="14" s="1"/>
  <c r="B82" i="5"/>
  <c r="O42" i="14"/>
  <c r="C25" i="14"/>
  <c r="C27" i="14" s="1"/>
  <c r="O49" i="14"/>
  <c r="F30" i="70"/>
  <c r="F25" i="70"/>
  <c r="H7" i="76"/>
  <c r="K7" i="76" s="1"/>
  <c r="G13" i="76"/>
  <c r="H6" i="76"/>
  <c r="K6" i="76" s="1"/>
  <c r="H5" i="76"/>
  <c r="K5" i="76" s="1"/>
  <c r="H4" i="76"/>
  <c r="K4" i="76" s="1"/>
  <c r="M4" i="76"/>
  <c r="G14" i="76"/>
  <c r="H14" i="76"/>
  <c r="K14" i="76" s="1"/>
  <c r="G12" i="76"/>
  <c r="H13" i="76"/>
  <c r="K13" i="76" s="1"/>
  <c r="G11" i="76"/>
  <c r="H12" i="76"/>
  <c r="K12" i="76" s="1"/>
  <c r="G10" i="76"/>
  <c r="H11" i="76"/>
  <c r="K11" i="76" s="1"/>
  <c r="G9" i="76"/>
  <c r="G6" i="76"/>
  <c r="H10" i="76"/>
  <c r="K10" i="76" s="1"/>
  <c r="G8" i="76"/>
  <c r="H9" i="76"/>
  <c r="K9" i="76" s="1"/>
  <c r="G7" i="76"/>
  <c r="H8" i="76"/>
  <c r="K8" i="76" s="1"/>
  <c r="M6" i="76"/>
  <c r="G5" i="76"/>
  <c r="M5" i="76"/>
  <c r="M14" i="76"/>
  <c r="M10" i="76"/>
  <c r="M11" i="76"/>
  <c r="G4" i="76"/>
  <c r="M9" i="76"/>
  <c r="M8" i="76"/>
  <c r="M13" i="76"/>
  <c r="M12" i="76"/>
  <c r="M7" i="76"/>
  <c r="F115" i="5"/>
  <c r="F82" i="5"/>
  <c r="F335" i="72"/>
  <c r="E140" i="5" s="1"/>
  <c r="H123" i="5"/>
  <c r="H11" i="89" s="1"/>
  <c r="H75" i="89" s="1"/>
  <c r="B133" i="5"/>
  <c r="M123" i="5"/>
  <c r="M11" i="89" s="1"/>
  <c r="M75" i="89" s="1"/>
  <c r="E115" i="5"/>
  <c r="E82" i="5"/>
  <c r="F18" i="70"/>
  <c r="I122" i="5"/>
  <c r="I10" i="89" s="1"/>
  <c r="I74" i="89" s="1"/>
  <c r="F27" i="14"/>
  <c r="E27" i="14"/>
  <c r="E29" i="14" s="1"/>
  <c r="J123" i="5"/>
  <c r="J11" i="89" s="1"/>
  <c r="J75" i="89" s="1"/>
  <c r="L122" i="5"/>
  <c r="L10" i="89" s="1"/>
  <c r="L74" i="89" s="1"/>
  <c r="F126" i="5"/>
  <c r="K117" i="5"/>
  <c r="K5" i="89" s="1"/>
  <c r="K69" i="89" s="1"/>
  <c r="M140" i="5"/>
  <c r="G136" i="5"/>
  <c r="F134" i="5"/>
  <c r="E124" i="5"/>
  <c r="B118" i="5"/>
  <c r="G121" i="5"/>
  <c r="G9" i="89" s="1"/>
  <c r="G73" i="89" s="1"/>
  <c r="B122" i="5"/>
  <c r="L123" i="5"/>
  <c r="L11" i="89" s="1"/>
  <c r="L75" i="89" s="1"/>
  <c r="G335" i="72"/>
  <c r="F140" i="5" s="1"/>
  <c r="C335" i="72"/>
  <c r="B140" i="5" s="1"/>
  <c r="H335" i="72"/>
  <c r="G140" i="5" s="1"/>
  <c r="H140" i="5"/>
  <c r="I140" i="5"/>
  <c r="J140" i="5"/>
  <c r="K140" i="5"/>
  <c r="L140" i="5"/>
  <c r="D335" i="72"/>
  <c r="C140" i="5" s="1"/>
  <c r="H136" i="5"/>
  <c r="G134" i="5"/>
  <c r="G23" i="89" s="1"/>
  <c r="G27" i="89" s="1"/>
  <c r="F124" i="5"/>
  <c r="C118" i="5"/>
  <c r="H121" i="5"/>
  <c r="H9" i="89" s="1"/>
  <c r="H73" i="89" s="1"/>
  <c r="M122" i="5"/>
  <c r="M10" i="89" s="1"/>
  <c r="M74" i="89" s="1"/>
  <c r="D82" i="5"/>
  <c r="D115" i="5"/>
  <c r="O10" i="69"/>
  <c r="Q4" i="65" s="1"/>
  <c r="D27" i="14"/>
  <c r="O20" i="14"/>
  <c r="E335" i="72"/>
  <c r="D140" i="5" s="1"/>
  <c r="H133" i="5"/>
  <c r="G124" i="5"/>
  <c r="G12" i="89" s="1"/>
  <c r="L117" i="5"/>
  <c r="L5" i="89" s="1"/>
  <c r="L69" i="89" s="1"/>
  <c r="H134" i="5"/>
  <c r="H23" i="89" s="1"/>
  <c r="I121" i="5"/>
  <c r="I9" i="89" s="1"/>
  <c r="I73" i="89" s="1"/>
  <c r="C122" i="5"/>
  <c r="I136" i="5"/>
  <c r="D118" i="5"/>
  <c r="C115" i="5"/>
  <c r="G133" i="5"/>
  <c r="D136" i="5"/>
  <c r="B124" i="5"/>
  <c r="K118" i="5"/>
  <c r="K6" i="89" s="1"/>
  <c r="K70" i="89" s="1"/>
  <c r="C134" i="5"/>
  <c r="D121" i="5"/>
  <c r="E136" i="5"/>
  <c r="D134" i="5"/>
  <c r="C124" i="5"/>
  <c r="L118" i="5"/>
  <c r="L6" i="89" s="1"/>
  <c r="L70" i="89" s="1"/>
  <c r="E121" i="5"/>
  <c r="J122" i="5"/>
  <c r="J10" i="89" s="1"/>
  <c r="J74" i="89" s="1"/>
  <c r="F136" i="5"/>
  <c r="E134" i="5"/>
  <c r="D124" i="5"/>
  <c r="M118" i="5"/>
  <c r="M6" i="89" s="1"/>
  <c r="M70" i="89" s="1"/>
  <c r="F121" i="5"/>
  <c r="K122" i="5"/>
  <c r="K10" i="89" s="1"/>
  <c r="K74" i="89" s="1"/>
  <c r="I123" i="5"/>
  <c r="I11" i="89" s="1"/>
  <c r="I75" i="89" s="1"/>
  <c r="F133" i="5"/>
  <c r="E126" i="5"/>
  <c r="J117" i="5"/>
  <c r="J5" i="89" s="1"/>
  <c r="J69" i="89" s="1"/>
  <c r="D18" i="70"/>
  <c r="B24" i="15"/>
  <c r="D44" i="70"/>
  <c r="D56" i="70" s="1"/>
  <c r="P7" i="70"/>
  <c r="P11" i="70"/>
  <c r="P27" i="70"/>
  <c r="K18" i="70"/>
  <c r="P8" i="70"/>
  <c r="N18" i="70"/>
  <c r="G18" i="70"/>
  <c r="G60" i="70" s="1"/>
  <c r="P5" i="70"/>
  <c r="H18" i="70"/>
  <c r="P10" i="70"/>
  <c r="I18" i="70"/>
  <c r="P16" i="70"/>
  <c r="J18" i="70"/>
  <c r="P54" i="70"/>
  <c r="P51" i="70"/>
  <c r="P12" i="70"/>
  <c r="M18" i="70"/>
  <c r="O18" i="70"/>
  <c r="P55" i="70"/>
  <c r="P23" i="70"/>
  <c r="P26" i="70"/>
  <c r="G56" i="70"/>
  <c r="B123" i="5"/>
  <c r="M117" i="5"/>
  <c r="M5" i="89" s="1"/>
  <c r="M69" i="89" s="1"/>
  <c r="C136" i="5"/>
  <c r="B134" i="5"/>
  <c r="M124" i="5"/>
  <c r="M12" i="89" s="1"/>
  <c r="M76" i="89" s="1"/>
  <c r="J118" i="5"/>
  <c r="J6" i="89" s="1"/>
  <c r="J70" i="89" s="1"/>
  <c r="C121" i="5"/>
  <c r="H122" i="5"/>
  <c r="H10" i="89" s="1"/>
  <c r="H74" i="89" s="1"/>
  <c r="F123" i="5"/>
  <c r="D123" i="5"/>
  <c r="G123" i="5"/>
  <c r="G11" i="89" s="1"/>
  <c r="G75" i="89" s="1"/>
  <c r="J133" i="5"/>
  <c r="K123" i="5"/>
  <c r="K11" i="89" s="1"/>
  <c r="K75" i="89" s="1"/>
  <c r="I126" i="5"/>
  <c r="B117" i="5"/>
  <c r="C133" i="5"/>
  <c r="I133" i="5"/>
  <c r="M136" i="5"/>
  <c r="L134" i="5"/>
  <c r="L23" i="89" s="1"/>
  <c r="K124" i="5"/>
  <c r="K12" i="89" s="1"/>
  <c r="K76" i="89" s="1"/>
  <c r="H118" i="5"/>
  <c r="H6" i="89" s="1"/>
  <c r="H70" i="89" s="1"/>
  <c r="M121" i="5"/>
  <c r="M9" i="89" s="1"/>
  <c r="M73" i="89" s="1"/>
  <c r="F122" i="5"/>
  <c r="B136" i="5"/>
  <c r="M134" i="5"/>
  <c r="M23" i="89" s="1"/>
  <c r="L124" i="5"/>
  <c r="L12" i="89" s="1"/>
  <c r="L76" i="89" s="1"/>
  <c r="I118" i="5"/>
  <c r="I6" i="89" s="1"/>
  <c r="I70" i="89" s="1"/>
  <c r="B121" i="5"/>
  <c r="G122" i="5"/>
  <c r="G10" i="89" s="1"/>
  <c r="G74" i="89" s="1"/>
  <c r="E123" i="5"/>
  <c r="J126" i="5"/>
  <c r="C117" i="5"/>
  <c r="L133" i="5"/>
  <c r="K133" i="5"/>
  <c r="D117" i="5"/>
  <c r="M133" i="5"/>
  <c r="J136" i="5"/>
  <c r="I134" i="5"/>
  <c r="I23" i="89" s="1"/>
  <c r="H124" i="5"/>
  <c r="H12" i="89" s="1"/>
  <c r="H76" i="89" s="1"/>
  <c r="E118" i="5"/>
  <c r="J121" i="5"/>
  <c r="J9" i="89" s="1"/>
  <c r="J73" i="89" s="1"/>
  <c r="D248" i="72"/>
  <c r="O260" i="72"/>
  <c r="B126" i="5"/>
  <c r="G117" i="5"/>
  <c r="G5" i="89" s="1"/>
  <c r="D133" i="5"/>
  <c r="E133" i="5"/>
  <c r="D126" i="5"/>
  <c r="I117" i="5"/>
  <c r="I5" i="89" s="1"/>
  <c r="I69" i="89" s="1"/>
  <c r="K136" i="5"/>
  <c r="J134" i="5"/>
  <c r="J23" i="89" s="1"/>
  <c r="I124" i="5"/>
  <c r="I12" i="89" s="1"/>
  <c r="I76" i="89" s="1"/>
  <c r="F118" i="5"/>
  <c r="K121" i="5"/>
  <c r="K9" i="89" s="1"/>
  <c r="K73" i="89" s="1"/>
  <c r="D122" i="5"/>
  <c r="F132" i="72"/>
  <c r="M126" i="5"/>
  <c r="F117" i="5"/>
  <c r="L136" i="5"/>
  <c r="K134" i="5"/>
  <c r="K23" i="89" s="1"/>
  <c r="J124" i="5"/>
  <c r="J12" i="89" s="1"/>
  <c r="J76" i="89" s="1"/>
  <c r="G118" i="5"/>
  <c r="G6" i="89" s="1"/>
  <c r="L121" i="5"/>
  <c r="L9" i="89" s="1"/>
  <c r="E122" i="5"/>
  <c r="C123" i="5"/>
  <c r="C126" i="5"/>
  <c r="H117" i="5"/>
  <c r="H5" i="89" s="1"/>
  <c r="H69" i="89" s="1"/>
  <c r="O307" i="72"/>
  <c r="K126" i="5"/>
  <c r="L126" i="5"/>
  <c r="O112" i="72"/>
  <c r="E117" i="5"/>
  <c r="P52" i="70"/>
  <c r="P6" i="70"/>
  <c r="L18" i="70"/>
  <c r="P9" i="70"/>
  <c r="O208" i="72"/>
  <c r="O224" i="72"/>
  <c r="O96" i="72"/>
  <c r="O153" i="72"/>
  <c r="O210" i="72"/>
  <c r="C248" i="72"/>
  <c r="O212" i="72"/>
  <c r="O305" i="72"/>
  <c r="O322" i="72"/>
  <c r="D132" i="72"/>
  <c r="E248" i="72"/>
  <c r="O131" i="72"/>
  <c r="O231" i="72"/>
  <c r="E132" i="72"/>
  <c r="F248" i="72"/>
  <c r="O88" i="72"/>
  <c r="O104" i="72"/>
  <c r="O20" i="72"/>
  <c r="O25" i="72"/>
  <c r="O90" i="72"/>
  <c r="O148" i="72"/>
  <c r="O312" i="72"/>
  <c r="O129" i="72"/>
  <c r="H248" i="72"/>
  <c r="G248" i="72"/>
  <c r="O216" i="72"/>
  <c r="G132" i="72"/>
  <c r="O86" i="72"/>
  <c r="O201" i="72"/>
  <c r="O247" i="72"/>
  <c r="O92" i="72"/>
  <c r="O206" i="72"/>
  <c r="O257" i="72"/>
  <c r="O315" i="72"/>
  <c r="O11" i="72"/>
  <c r="O332" i="72"/>
  <c r="O21" i="72"/>
  <c r="O140" i="72"/>
  <c r="C81" i="72"/>
  <c r="C29" i="14"/>
  <c r="M27" i="14"/>
  <c r="M29" i="14" s="1"/>
  <c r="D29" i="14"/>
  <c r="N27" i="14"/>
  <c r="N29" i="14" s="1"/>
  <c r="F29" i="14"/>
  <c r="G29" i="14"/>
  <c r="K27" i="14"/>
  <c r="K29" i="14" s="1"/>
  <c r="J29" i="14"/>
  <c r="O13" i="14"/>
  <c r="O26" i="14" s="1"/>
  <c r="O27" i="14" l="1"/>
  <c r="M12" i="65"/>
  <c r="X20" i="66"/>
  <c r="X21" i="66" s="1"/>
  <c r="X23" i="66" s="1"/>
  <c r="X25" i="66" s="1"/>
  <c r="X38" i="66" s="1"/>
  <c r="G115" i="5"/>
  <c r="G4" i="66" s="1"/>
  <c r="G107" i="66" s="1"/>
  <c r="U2" i="67"/>
  <c r="L8" i="89"/>
  <c r="L15" i="89"/>
  <c r="L16" i="89" s="1"/>
  <c r="L18" i="89" s="1"/>
  <c r="L20" i="89" s="1"/>
  <c r="L73" i="89"/>
  <c r="J87" i="89"/>
  <c r="J27" i="89"/>
  <c r="I8" i="89"/>
  <c r="I27" i="89"/>
  <c r="I87" i="89"/>
  <c r="M87" i="89"/>
  <c r="M27" i="89"/>
  <c r="J8" i="89"/>
  <c r="K27" i="89"/>
  <c r="K87" i="89"/>
  <c r="K8" i="89"/>
  <c r="M8" i="89"/>
  <c r="H27" i="89"/>
  <c r="H87" i="89"/>
  <c r="L27" i="89"/>
  <c r="L87" i="89"/>
  <c r="H8" i="89"/>
  <c r="N6" i="89"/>
  <c r="G70" i="89"/>
  <c r="Y11" i="66"/>
  <c r="N8" i="65" s="1"/>
  <c r="O6" i="89"/>
  <c r="Q6" i="89" s="1"/>
  <c r="G8" i="89"/>
  <c r="O12" i="89"/>
  <c r="Q12" i="89" s="1"/>
  <c r="G76" i="89"/>
  <c r="Y17" i="66"/>
  <c r="N12" i="89"/>
  <c r="G87" i="89"/>
  <c r="Y28" i="66"/>
  <c r="N25" i="65" s="1"/>
  <c r="O23" i="89"/>
  <c r="N23" i="89"/>
  <c r="N26" i="65"/>
  <c r="Y132" i="66"/>
  <c r="Y135" i="66" s="1"/>
  <c r="G69" i="89"/>
  <c r="N5" i="89"/>
  <c r="O5" i="89"/>
  <c r="Q5" i="89" s="1"/>
  <c r="M15" i="89"/>
  <c r="M16" i="89" s="1"/>
  <c r="M18" i="89" s="1"/>
  <c r="M20" i="89" s="1"/>
  <c r="K15" i="89"/>
  <c r="J15" i="89"/>
  <c r="Y16" i="66"/>
  <c r="N13" i="65" s="1"/>
  <c r="O11" i="89"/>
  <c r="Q11" i="89" s="1"/>
  <c r="N11" i="89"/>
  <c r="I15" i="89"/>
  <c r="Y15" i="66"/>
  <c r="N12" i="65" s="1"/>
  <c r="N10" i="89"/>
  <c r="O10" i="89"/>
  <c r="Q10" i="89" s="1"/>
  <c r="H15" i="89"/>
  <c r="Y14" i="66"/>
  <c r="N11" i="65" s="1"/>
  <c r="G15" i="89"/>
  <c r="N9" i="89"/>
  <c r="O9" i="89"/>
  <c r="Q9" i="89" s="1"/>
  <c r="Y116" i="66"/>
  <c r="G82" i="5"/>
  <c r="K115" i="5"/>
  <c r="K4" i="66" s="1"/>
  <c r="K107" i="66" s="1"/>
  <c r="J82" i="5"/>
  <c r="I82" i="5"/>
  <c r="O7" i="69"/>
  <c r="M57" i="76"/>
  <c r="M60" i="76" s="1"/>
  <c r="K69" i="76"/>
  <c r="F69" i="76"/>
  <c r="N69" i="76"/>
  <c r="J69" i="76"/>
  <c r="J57" i="76"/>
  <c r="J60" i="76" s="1"/>
  <c r="G69" i="76"/>
  <c r="I69" i="76"/>
  <c r="F57" i="76"/>
  <c r="I57" i="76"/>
  <c r="I60" i="76" s="1"/>
  <c r="L57" i="76"/>
  <c r="L60" i="76" s="1"/>
  <c r="N57" i="76"/>
  <c r="N60" i="76" s="1"/>
  <c r="H57" i="76"/>
  <c r="H60" i="76" s="1"/>
  <c r="L69" i="76"/>
  <c r="M69" i="76"/>
  <c r="G57" i="76"/>
  <c r="G60" i="76" s="1"/>
  <c r="K57" i="76"/>
  <c r="K60" i="76" s="1"/>
  <c r="H69" i="76"/>
  <c r="F44" i="70"/>
  <c r="F60" i="70" s="1"/>
  <c r="D24" i="15"/>
  <c r="G64" i="76"/>
  <c r="I64" i="76"/>
  <c r="H64" i="76"/>
  <c r="J64" i="76"/>
  <c r="K64" i="76"/>
  <c r="M64" i="76"/>
  <c r="L64" i="76"/>
  <c r="N64" i="76"/>
  <c r="F64" i="76"/>
  <c r="H42" i="70"/>
  <c r="F26" i="15" s="1"/>
  <c r="N42" i="70"/>
  <c r="M42" i="70"/>
  <c r="L42" i="70"/>
  <c r="K42" i="70"/>
  <c r="O42" i="70"/>
  <c r="J42" i="70"/>
  <c r="H25" i="70"/>
  <c r="H30" i="70"/>
  <c r="M7" i="80"/>
  <c r="M11" i="80"/>
  <c r="G14" i="80"/>
  <c r="M9" i="80"/>
  <c r="M10" i="80"/>
  <c r="G9" i="80"/>
  <c r="M8" i="80"/>
  <c r="M6" i="80"/>
  <c r="G5" i="80"/>
  <c r="G4" i="80"/>
  <c r="G8" i="80"/>
  <c r="M5" i="80"/>
  <c r="G7" i="80"/>
  <c r="G6" i="80"/>
  <c r="M14" i="80"/>
  <c r="G10" i="80"/>
  <c r="G11" i="80"/>
  <c r="E30" i="70"/>
  <c r="P30" i="70" s="1"/>
  <c r="E25" i="70"/>
  <c r="I68" i="76"/>
  <c r="J68" i="76"/>
  <c r="N68" i="76"/>
  <c r="H68" i="76"/>
  <c r="G68" i="76"/>
  <c r="K68" i="76"/>
  <c r="F68" i="76"/>
  <c r="L68" i="76"/>
  <c r="M68" i="76"/>
  <c r="M17" i="76"/>
  <c r="L63" i="76"/>
  <c r="L72" i="76" s="1"/>
  <c r="M63" i="76"/>
  <c r="H63" i="76"/>
  <c r="I63" i="76"/>
  <c r="N63" i="76"/>
  <c r="K63" i="76"/>
  <c r="F63" i="76"/>
  <c r="G63" i="76"/>
  <c r="G72" i="76" s="1"/>
  <c r="J63" i="76"/>
  <c r="B125" i="5"/>
  <c r="O81" i="72"/>
  <c r="O335" i="72"/>
  <c r="P25" i="70"/>
  <c r="P18" i="70"/>
  <c r="F249" i="72"/>
  <c r="F345" i="72" s="1"/>
  <c r="D249" i="72"/>
  <c r="D345" i="72" s="1"/>
  <c r="O248" i="72"/>
  <c r="G249" i="72"/>
  <c r="E249" i="72"/>
  <c r="E345" i="72" s="1"/>
  <c r="C132" i="72"/>
  <c r="N82" i="5" l="1"/>
  <c r="AB2" i="67"/>
  <c r="K16" i="89"/>
  <c r="K18" i="89" s="1"/>
  <c r="K20" i="89" s="1"/>
  <c r="O27" i="89"/>
  <c r="O8" i="89"/>
  <c r="G16" i="89"/>
  <c r="N8" i="89"/>
  <c r="I16" i="89"/>
  <c r="I18" i="89" s="1"/>
  <c r="I20" i="89" s="1"/>
  <c r="N27" i="89"/>
  <c r="Y13" i="66"/>
  <c r="J16" i="89"/>
  <c r="J18" i="89" s="1"/>
  <c r="J20" i="89" s="1"/>
  <c r="H16" i="89"/>
  <c r="H18" i="89" s="1"/>
  <c r="H20" i="89" s="1"/>
  <c r="N14" i="65"/>
  <c r="Y120" i="66"/>
  <c r="Y123" i="66" s="1"/>
  <c r="Y124" i="66" s="1"/>
  <c r="Y126" i="66" s="1"/>
  <c r="Y128" i="66" s="1"/>
  <c r="Y141" i="66" s="1"/>
  <c r="Y32" i="66"/>
  <c r="Y20" i="66"/>
  <c r="N15" i="89"/>
  <c r="O15" i="89"/>
  <c r="G26" i="15"/>
  <c r="G45" i="15" s="1"/>
  <c r="I44" i="70"/>
  <c r="I56" i="70" s="1"/>
  <c r="J69" i="80"/>
  <c r="M57" i="80"/>
  <c r="M60" i="80" s="1"/>
  <c r="F69" i="80"/>
  <c r="L69" i="80"/>
  <c r="M69" i="80"/>
  <c r="K69" i="80"/>
  <c r="L57" i="80"/>
  <c r="L60" i="80" s="1"/>
  <c r="J57" i="80"/>
  <c r="J60" i="80" s="1"/>
  <c r="G57" i="80"/>
  <c r="G60" i="80" s="1"/>
  <c r="I57" i="80"/>
  <c r="I60" i="80" s="1"/>
  <c r="I69" i="80"/>
  <c r="F57" i="80"/>
  <c r="N57" i="80"/>
  <c r="N60" i="80" s="1"/>
  <c r="H69" i="80"/>
  <c r="N69" i="80"/>
  <c r="G69" i="80"/>
  <c r="K57" i="80"/>
  <c r="K60" i="80" s="1"/>
  <c r="H57" i="80"/>
  <c r="H60" i="80" s="1"/>
  <c r="J26" i="15"/>
  <c r="L44" i="70"/>
  <c r="L56" i="70" s="1"/>
  <c r="F60" i="76"/>
  <c r="O60" i="76" s="1"/>
  <c r="O57" i="76"/>
  <c r="F83" i="76" s="1"/>
  <c r="K26" i="15"/>
  <c r="M44" i="70"/>
  <c r="M56" i="70" s="1"/>
  <c r="F56" i="70"/>
  <c r="J72" i="76"/>
  <c r="O68" i="76"/>
  <c r="D82" i="76" s="1"/>
  <c r="L26" i="15"/>
  <c r="N44" i="70"/>
  <c r="N56" i="70" s="1"/>
  <c r="I26" i="15"/>
  <c r="K44" i="70"/>
  <c r="K56" i="70" s="1"/>
  <c r="M17" i="80"/>
  <c r="M18" i="80" s="1"/>
  <c r="O64" i="76"/>
  <c r="D78" i="76" s="1"/>
  <c r="F72" i="76"/>
  <c r="O63" i="76"/>
  <c r="N72" i="76"/>
  <c r="M63" i="80"/>
  <c r="K63" i="80"/>
  <c r="N63" i="80"/>
  <c r="H63" i="80"/>
  <c r="I63" i="80"/>
  <c r="F63" i="80"/>
  <c r="J63" i="80"/>
  <c r="G63" i="80"/>
  <c r="L63" i="80"/>
  <c r="H64" i="80"/>
  <c r="L64" i="80"/>
  <c r="I64" i="80"/>
  <c r="N64" i="80"/>
  <c r="K64" i="80"/>
  <c r="G64" i="80"/>
  <c r="J64" i="80"/>
  <c r="F64" i="80"/>
  <c r="M64" i="80"/>
  <c r="F24" i="15"/>
  <c r="H44" i="70"/>
  <c r="H56" i="70" s="1"/>
  <c r="O69" i="76"/>
  <c r="D83" i="76" s="1"/>
  <c r="G83" i="76" s="1"/>
  <c r="K72" i="76"/>
  <c r="H72" i="76"/>
  <c r="H26" i="15"/>
  <c r="J44" i="70"/>
  <c r="J56" i="70" s="1"/>
  <c r="J68" i="80"/>
  <c r="F68" i="80"/>
  <c r="I68" i="80"/>
  <c r="G68" i="80"/>
  <c r="H68" i="80"/>
  <c r="K68" i="80"/>
  <c r="N68" i="80"/>
  <c r="M68" i="80"/>
  <c r="L68" i="80"/>
  <c r="I72" i="76"/>
  <c r="M72" i="76"/>
  <c r="E44" i="70"/>
  <c r="E56" i="70" s="1"/>
  <c r="C24" i="15"/>
  <c r="M26" i="15"/>
  <c r="O44" i="70"/>
  <c r="O56" i="70" s="1"/>
  <c r="P44" i="70"/>
  <c r="P56" i="70" s="1"/>
  <c r="C249" i="72"/>
  <c r="J25" i="57" l="1"/>
  <c r="I72" i="80"/>
  <c r="H72" i="80"/>
  <c r="O69" i="80"/>
  <c r="D83" i="80" s="1"/>
  <c r="G83" i="80" s="1"/>
  <c r="N72" i="80"/>
  <c r="O64" i="80"/>
  <c r="D78" i="80" s="1"/>
  <c r="E78" i="80" s="1"/>
  <c r="O16" i="89"/>
  <c r="Y21" i="66"/>
  <c r="Y23" i="66" s="1"/>
  <c r="G18" i="89"/>
  <c r="G20" i="89" s="1"/>
  <c r="N16" i="89"/>
  <c r="G82" i="76"/>
  <c r="E82" i="76"/>
  <c r="M72" i="80"/>
  <c r="O68" i="80"/>
  <c r="D82" i="80" s="1"/>
  <c r="K72" i="80"/>
  <c r="O72" i="76"/>
  <c r="D77" i="76"/>
  <c r="L72" i="80"/>
  <c r="G78" i="76"/>
  <c r="E78" i="76"/>
  <c r="G72" i="80"/>
  <c r="O57" i="80"/>
  <c r="F83" i="80" s="1"/>
  <c r="F60" i="80"/>
  <c r="O60" i="80" s="1"/>
  <c r="J72" i="80"/>
  <c r="E83" i="76"/>
  <c r="F86" i="76"/>
  <c r="F88" i="76" s="1"/>
  <c r="O63" i="80"/>
  <c r="F72" i="80"/>
  <c r="C345" i="72"/>
  <c r="K25" i="57" l="1"/>
  <c r="K30" i="57" s="1"/>
  <c r="G78" i="80"/>
  <c r="N18" i="89"/>
  <c r="O18" i="89"/>
  <c r="Y25" i="66"/>
  <c r="N20" i="89"/>
  <c r="O20" i="89"/>
  <c r="D77" i="80"/>
  <c r="O72" i="80"/>
  <c r="F86" i="80"/>
  <c r="F88" i="80" s="1"/>
  <c r="E83" i="80"/>
  <c r="E82" i="80"/>
  <c r="G82" i="80"/>
  <c r="E77" i="76"/>
  <c r="D86" i="76"/>
  <c r="G77" i="76"/>
  <c r="J2" i="67"/>
  <c r="M32" i="67"/>
  <c r="L32" i="67"/>
  <c r="K32" i="67"/>
  <c r="J32" i="67"/>
  <c r="I32" i="67"/>
  <c r="H32" i="67"/>
  <c r="G32" i="67"/>
  <c r="F32" i="67"/>
  <c r="E32" i="67"/>
  <c r="D32" i="67"/>
  <c r="C32" i="67"/>
  <c r="B32" i="67"/>
  <c r="C31" i="67"/>
  <c r="D31" i="67"/>
  <c r="E31" i="67"/>
  <c r="F31" i="67"/>
  <c r="G31" i="67"/>
  <c r="H31" i="67"/>
  <c r="I31" i="67"/>
  <c r="J31" i="67"/>
  <c r="K31" i="67"/>
  <c r="L31" i="67"/>
  <c r="M31" i="67"/>
  <c r="B31" i="67"/>
  <c r="M28" i="67"/>
  <c r="L28" i="67"/>
  <c r="K28" i="67"/>
  <c r="J28" i="67"/>
  <c r="I28" i="67"/>
  <c r="H28" i="67"/>
  <c r="G28" i="67"/>
  <c r="F28" i="67"/>
  <c r="E28" i="67"/>
  <c r="D28" i="67"/>
  <c r="C28" i="67"/>
  <c r="B28" i="67"/>
  <c r="M27" i="67"/>
  <c r="L27" i="67"/>
  <c r="K27" i="67"/>
  <c r="J27" i="67"/>
  <c r="I27" i="67"/>
  <c r="H27" i="67"/>
  <c r="G27" i="67"/>
  <c r="F27" i="67"/>
  <c r="E27" i="67"/>
  <c r="D27" i="67"/>
  <c r="C27" i="67"/>
  <c r="B27" i="67"/>
  <c r="M26" i="67"/>
  <c r="L26" i="67"/>
  <c r="K26" i="67"/>
  <c r="J26" i="67"/>
  <c r="I26" i="67"/>
  <c r="H26" i="67"/>
  <c r="G26" i="67"/>
  <c r="F26" i="67"/>
  <c r="E26" i="67"/>
  <c r="D26" i="67"/>
  <c r="C26" i="67"/>
  <c r="B26" i="67"/>
  <c r="M25" i="67"/>
  <c r="L25" i="67"/>
  <c r="K25" i="67"/>
  <c r="J25" i="67"/>
  <c r="I25" i="67"/>
  <c r="H25" i="67"/>
  <c r="G25" i="67"/>
  <c r="F25" i="67"/>
  <c r="E25" i="67"/>
  <c r="D25" i="67"/>
  <c r="C25" i="67"/>
  <c r="B25" i="67"/>
  <c r="M24" i="67"/>
  <c r="L24" i="67"/>
  <c r="K24" i="67"/>
  <c r="J24" i="67"/>
  <c r="I24" i="67"/>
  <c r="H24" i="67"/>
  <c r="G24" i="67"/>
  <c r="F24" i="67"/>
  <c r="E24" i="67"/>
  <c r="D24" i="67"/>
  <c r="C24" i="67"/>
  <c r="B24" i="67"/>
  <c r="M21" i="67"/>
  <c r="L21" i="67"/>
  <c r="K21" i="67"/>
  <c r="J21" i="67"/>
  <c r="I21" i="67"/>
  <c r="H21" i="67"/>
  <c r="G21" i="67"/>
  <c r="F21" i="67"/>
  <c r="E21" i="67"/>
  <c r="D21" i="67"/>
  <c r="C21" i="67"/>
  <c r="B21" i="67"/>
  <c r="M19" i="67"/>
  <c r="L19" i="67"/>
  <c r="K19" i="67"/>
  <c r="J19" i="67"/>
  <c r="I19" i="67"/>
  <c r="H19" i="67"/>
  <c r="G19" i="67"/>
  <c r="F19" i="67"/>
  <c r="E19" i="67"/>
  <c r="D19" i="67"/>
  <c r="C19" i="67"/>
  <c r="B19" i="67"/>
  <c r="M16" i="67"/>
  <c r="L16" i="67"/>
  <c r="K16" i="67"/>
  <c r="J16" i="67"/>
  <c r="I16" i="67"/>
  <c r="H16" i="67"/>
  <c r="F16" i="67"/>
  <c r="E16" i="67"/>
  <c r="D16" i="67"/>
  <c r="C16" i="67"/>
  <c r="B16" i="67"/>
  <c r="M15" i="67"/>
  <c r="L15" i="67"/>
  <c r="K15" i="67"/>
  <c r="J15" i="67"/>
  <c r="I15" i="67"/>
  <c r="H15" i="67"/>
  <c r="G15" i="67"/>
  <c r="F15" i="67"/>
  <c r="E15" i="67"/>
  <c r="D15" i="67"/>
  <c r="C15" i="67"/>
  <c r="B15" i="67"/>
  <c r="M14" i="67"/>
  <c r="L14" i="67"/>
  <c r="K14" i="67"/>
  <c r="J14" i="67"/>
  <c r="I14" i="67"/>
  <c r="H14" i="67"/>
  <c r="G14" i="67"/>
  <c r="F14" i="67"/>
  <c r="E14" i="67"/>
  <c r="D14" i="67"/>
  <c r="C14" i="67"/>
  <c r="B14" i="67"/>
  <c r="M13" i="67"/>
  <c r="L13" i="67"/>
  <c r="K13" i="67"/>
  <c r="J13" i="67"/>
  <c r="I13" i="67"/>
  <c r="H13" i="67"/>
  <c r="G13" i="67"/>
  <c r="F13" i="67"/>
  <c r="E13" i="67"/>
  <c r="D13" i="67"/>
  <c r="C13" i="67"/>
  <c r="B13" i="67"/>
  <c r="M12" i="67"/>
  <c r="L12" i="67"/>
  <c r="K12" i="67"/>
  <c r="J12" i="67"/>
  <c r="I12" i="67"/>
  <c r="H12" i="67"/>
  <c r="G12" i="67"/>
  <c r="F12" i="67"/>
  <c r="E12" i="67"/>
  <c r="D12" i="67"/>
  <c r="C12" i="67"/>
  <c r="B12" i="67"/>
  <c r="M11" i="67"/>
  <c r="L11" i="67"/>
  <c r="K11" i="67"/>
  <c r="J11" i="67"/>
  <c r="I11" i="67"/>
  <c r="H11" i="67"/>
  <c r="G11" i="67"/>
  <c r="F11" i="67"/>
  <c r="E11" i="67"/>
  <c r="D11" i="67"/>
  <c r="C11" i="67"/>
  <c r="B11" i="67"/>
  <c r="M9" i="67"/>
  <c r="L9" i="67"/>
  <c r="K9" i="67"/>
  <c r="J9" i="67"/>
  <c r="I9" i="67"/>
  <c r="H9" i="67"/>
  <c r="G9" i="67"/>
  <c r="F9" i="67"/>
  <c r="E9" i="67"/>
  <c r="D9" i="67"/>
  <c r="C9" i="67"/>
  <c r="B9" i="67"/>
  <c r="M8" i="67"/>
  <c r="L8" i="67"/>
  <c r="K8" i="67"/>
  <c r="J8" i="67"/>
  <c r="I8" i="67"/>
  <c r="H8" i="67"/>
  <c r="G8" i="67"/>
  <c r="F8" i="67"/>
  <c r="E8" i="67"/>
  <c r="D8" i="67"/>
  <c r="C8" i="67"/>
  <c r="B8" i="67"/>
  <c r="C7" i="67"/>
  <c r="D7" i="67"/>
  <c r="E7" i="67"/>
  <c r="F7" i="67"/>
  <c r="G7" i="67"/>
  <c r="H7" i="67"/>
  <c r="I7" i="67"/>
  <c r="J7" i="67"/>
  <c r="K7" i="67"/>
  <c r="L7" i="67"/>
  <c r="M7" i="67"/>
  <c r="B7" i="67"/>
  <c r="F21" i="65"/>
  <c r="F19" i="65"/>
  <c r="C2" i="67"/>
  <c r="D2" i="67"/>
  <c r="E2" i="67"/>
  <c r="F2" i="67"/>
  <c r="G2" i="67"/>
  <c r="H2" i="67"/>
  <c r="I2" i="67"/>
  <c r="K2" i="67"/>
  <c r="L2" i="67"/>
  <c r="M2" i="67"/>
  <c r="B2" i="67"/>
  <c r="F28" i="65"/>
  <c r="F27" i="65"/>
  <c r="F26" i="65"/>
  <c r="F25" i="65"/>
  <c r="F24" i="65"/>
  <c r="F16" i="65"/>
  <c r="F15" i="65"/>
  <c r="F14" i="65"/>
  <c r="F13" i="65"/>
  <c r="F12" i="65"/>
  <c r="F11" i="65"/>
  <c r="F9" i="65"/>
  <c r="F8" i="65"/>
  <c r="F7" i="65"/>
  <c r="C235" i="1"/>
  <c r="D235" i="1"/>
  <c r="E235" i="1"/>
  <c r="F235" i="1"/>
  <c r="G235" i="1"/>
  <c r="H235" i="1"/>
  <c r="I235" i="1"/>
  <c r="J235" i="1"/>
  <c r="K235" i="1"/>
  <c r="L235" i="1"/>
  <c r="M235" i="1"/>
  <c r="O33" i="65"/>
  <c r="N33" i="65"/>
  <c r="M33" i="65"/>
  <c r="L33" i="65"/>
  <c r="K33" i="65"/>
  <c r="J33" i="65"/>
  <c r="E33" i="65"/>
  <c r="P32" i="65"/>
  <c r="P31" i="65"/>
  <c r="O29" i="65"/>
  <c r="N29" i="65"/>
  <c r="M29" i="65"/>
  <c r="L29" i="65"/>
  <c r="P28" i="65"/>
  <c r="P27" i="65"/>
  <c r="P25" i="65"/>
  <c r="P19" i="65"/>
  <c r="O17" i="65"/>
  <c r="N17" i="65"/>
  <c r="M17" i="65"/>
  <c r="L17" i="65"/>
  <c r="E17" i="65"/>
  <c r="P16" i="65"/>
  <c r="P15" i="65"/>
  <c r="P12" i="65"/>
  <c r="O10" i="65"/>
  <c r="N10" i="65"/>
  <c r="M10" i="65"/>
  <c r="L10" i="65"/>
  <c r="H10" i="65"/>
  <c r="P9" i="65"/>
  <c r="P8" i="65"/>
  <c r="L29" i="67" l="1"/>
  <c r="J106" i="5"/>
  <c r="J107" i="5"/>
  <c r="H107" i="5"/>
  <c r="H106" i="5"/>
  <c r="F106" i="5"/>
  <c r="F107" i="5"/>
  <c r="I106" i="5"/>
  <c r="I107" i="5"/>
  <c r="G107" i="5"/>
  <c r="N107" i="5" s="1"/>
  <c r="G106" i="5"/>
  <c r="N106" i="5" s="1"/>
  <c r="N108" i="5" s="1"/>
  <c r="E107" i="5"/>
  <c r="E106" i="5"/>
  <c r="D106" i="5"/>
  <c r="D107" i="5"/>
  <c r="C106" i="5"/>
  <c r="C107" i="5"/>
  <c r="K107" i="5"/>
  <c r="K106" i="5"/>
  <c r="M107" i="5"/>
  <c r="M106" i="5"/>
  <c r="L18" i="65"/>
  <c r="L20" i="65" s="1"/>
  <c r="L22" i="65" s="1"/>
  <c r="L107" i="5"/>
  <c r="L106" i="5"/>
  <c r="G77" i="80"/>
  <c r="E77" i="80"/>
  <c r="D86" i="80"/>
  <c r="I33" i="67"/>
  <c r="H29" i="67"/>
  <c r="J33" i="67"/>
  <c r="X33" i="67" s="1"/>
  <c r="N21" i="67"/>
  <c r="L33" i="67"/>
  <c r="Z33" i="67" s="1"/>
  <c r="H33" i="67"/>
  <c r="M33" i="67"/>
  <c r="K33" i="67"/>
  <c r="Y33" i="67" s="1"/>
  <c r="N19" i="67"/>
  <c r="G29" i="67"/>
  <c r="U29" i="67" s="1"/>
  <c r="K29" i="67"/>
  <c r="Y29" i="67" s="1"/>
  <c r="N26" i="67"/>
  <c r="N27" i="67"/>
  <c r="N25" i="67"/>
  <c r="N28" i="67"/>
  <c r="N24" i="67"/>
  <c r="N15" i="67"/>
  <c r="N14" i="67"/>
  <c r="N12" i="67"/>
  <c r="N13" i="67"/>
  <c r="N11" i="67"/>
  <c r="N9" i="67"/>
  <c r="N8" i="67"/>
  <c r="B10" i="67"/>
  <c r="D10" i="67"/>
  <c r="N7" i="67"/>
  <c r="B29" i="67"/>
  <c r="G10" i="67"/>
  <c r="U10" i="67" s="1"/>
  <c r="C10" i="67"/>
  <c r="S12" i="67"/>
  <c r="Y8" i="67"/>
  <c r="H10" i="67"/>
  <c r="M10" i="67"/>
  <c r="J29" i="67"/>
  <c r="X29" i="67" s="1"/>
  <c r="J17" i="67"/>
  <c r="X17" i="67" s="1"/>
  <c r="E33" i="67"/>
  <c r="S33" i="67" s="1"/>
  <c r="M17" i="67"/>
  <c r="B17" i="67"/>
  <c r="S16" i="67"/>
  <c r="M29" i="67"/>
  <c r="AA29" i="67" s="1"/>
  <c r="Z24" i="67"/>
  <c r="D33" i="67"/>
  <c r="O18" i="65"/>
  <c r="O20" i="65" s="1"/>
  <c r="P33" i="65"/>
  <c r="S27" i="67"/>
  <c r="U9" i="67"/>
  <c r="U27" i="67"/>
  <c r="U24" i="67"/>
  <c r="S19" i="67"/>
  <c r="U11" i="67"/>
  <c r="U12" i="67"/>
  <c r="W26" i="67"/>
  <c r="U19" i="67"/>
  <c r="U25" i="67"/>
  <c r="Z7" i="67"/>
  <c r="Y12" i="67"/>
  <c r="X15" i="67"/>
  <c r="X14" i="67"/>
  <c r="X8" i="67"/>
  <c r="X26" i="67"/>
  <c r="X11" i="67"/>
  <c r="T16" i="67"/>
  <c r="Y11" i="67"/>
  <c r="Y13" i="67"/>
  <c r="Y14" i="67"/>
  <c r="Y26" i="67"/>
  <c r="X28" i="67"/>
  <c r="X9" i="67"/>
  <c r="Z11" i="67"/>
  <c r="Z13" i="67"/>
  <c r="Z14" i="67"/>
  <c r="Y28" i="67"/>
  <c r="Y9" i="67"/>
  <c r="T11" i="67"/>
  <c r="Z12" i="67"/>
  <c r="Y15" i="67"/>
  <c r="Z28" i="67"/>
  <c r="T32" i="67"/>
  <c r="X16" i="67"/>
  <c r="Z27" i="67"/>
  <c r="S7" i="67"/>
  <c r="S8" i="67"/>
  <c r="Z8" i="67"/>
  <c r="Y16" i="67"/>
  <c r="T8" i="67"/>
  <c r="Z16" i="67"/>
  <c r="Y19" i="67"/>
  <c r="Y24" i="67"/>
  <c r="U7" i="67"/>
  <c r="U8" i="67"/>
  <c r="Z9" i="67"/>
  <c r="T12" i="67"/>
  <c r="S14" i="67"/>
  <c r="Z15" i="67"/>
  <c r="Z19" i="67"/>
  <c r="T14" i="67"/>
  <c r="X25" i="67"/>
  <c r="Z29" i="67"/>
  <c r="Y32" i="67"/>
  <c r="Y25" i="67"/>
  <c r="Z32" i="67"/>
  <c r="T15" i="67"/>
  <c r="Z25" i="67"/>
  <c r="Z26" i="67"/>
  <c r="Z31" i="67"/>
  <c r="Y7" i="67"/>
  <c r="X12" i="67"/>
  <c r="U15" i="67"/>
  <c r="V11" i="67"/>
  <c r="AA12" i="67"/>
  <c r="I10" i="67"/>
  <c r="C17" i="67"/>
  <c r="B33" i="67"/>
  <c r="N32" i="67"/>
  <c r="F29" i="67"/>
  <c r="T29" i="67" s="1"/>
  <c r="T24" i="67"/>
  <c r="P19" i="67"/>
  <c r="D17" i="67"/>
  <c r="F33" i="67"/>
  <c r="T33" i="67" s="1"/>
  <c r="T31" i="67"/>
  <c r="S11" i="67"/>
  <c r="E17" i="67"/>
  <c r="S17" i="67" s="1"/>
  <c r="G33" i="67"/>
  <c r="U33" i="67" s="1"/>
  <c r="U31" i="67"/>
  <c r="R7" i="67"/>
  <c r="S13" i="67"/>
  <c r="M18" i="65"/>
  <c r="M20" i="65" s="1"/>
  <c r="F10" i="67"/>
  <c r="S9" i="67"/>
  <c r="T13" i="67"/>
  <c r="S32" i="67"/>
  <c r="E10" i="67"/>
  <c r="S15" i="67"/>
  <c r="C33" i="67"/>
  <c r="N18" i="65"/>
  <c r="N20" i="65" s="1"/>
  <c r="T7" i="67"/>
  <c r="T27" i="67"/>
  <c r="F29" i="65"/>
  <c r="T9" i="67"/>
  <c r="K17" i="67"/>
  <c r="Y17" i="67" s="1"/>
  <c r="X13" i="67"/>
  <c r="L17" i="67"/>
  <c r="Z17" i="67" s="1"/>
  <c r="S31" i="67"/>
  <c r="I17" i="67"/>
  <c r="E29" i="67"/>
  <c r="S29" i="67" s="1"/>
  <c r="S25" i="67"/>
  <c r="T19" i="67"/>
  <c r="R34" i="65"/>
  <c r="F17" i="65"/>
  <c r="S24" i="67"/>
  <c r="X27" i="67"/>
  <c r="S28" i="67"/>
  <c r="Y27" i="67"/>
  <c r="X32" i="67"/>
  <c r="U14" i="67"/>
  <c r="I29" i="67"/>
  <c r="C29" i="67"/>
  <c r="T26" i="67"/>
  <c r="T28" i="67"/>
  <c r="X31" i="67"/>
  <c r="F10" i="65"/>
  <c r="X7" i="67"/>
  <c r="U13" i="67"/>
  <c r="X19" i="67"/>
  <c r="X24" i="67"/>
  <c r="D29" i="67"/>
  <c r="U26" i="67"/>
  <c r="U28" i="67"/>
  <c r="AE28" i="67" s="1"/>
  <c r="Y31" i="67"/>
  <c r="T25" i="67"/>
  <c r="U32" i="67"/>
  <c r="J10" i="67"/>
  <c r="F17" i="67"/>
  <c r="T17" i="67" s="1"/>
  <c r="S26" i="67"/>
  <c r="N31" i="67"/>
  <c r="K10" i="67"/>
  <c r="L10" i="67"/>
  <c r="H17" i="67"/>
  <c r="O22" i="65" l="1"/>
  <c r="M22" i="65"/>
  <c r="M35" i="65" s="1"/>
  <c r="N22" i="65"/>
  <c r="N35" i="65" s="1"/>
  <c r="C18" i="67"/>
  <c r="Q18" i="67" s="1"/>
  <c r="B18" i="67"/>
  <c r="B20" i="67" s="1"/>
  <c r="B22" i="67" s="1"/>
  <c r="B35" i="67" s="1"/>
  <c r="M18" i="67"/>
  <c r="AA18" i="67" s="1"/>
  <c r="D18" i="67"/>
  <c r="R18" i="67" s="1"/>
  <c r="P10" i="67"/>
  <c r="V29" i="67"/>
  <c r="P8" i="67"/>
  <c r="V33" i="67"/>
  <c r="W17" i="67"/>
  <c r="W32" i="67"/>
  <c r="W7" i="67"/>
  <c r="P28" i="67"/>
  <c r="P29" i="67"/>
  <c r="W33" i="67"/>
  <c r="V10" i="67"/>
  <c r="P15" i="67"/>
  <c r="V8" i="67"/>
  <c r="P7" i="67"/>
  <c r="P16" i="67"/>
  <c r="P26" i="67"/>
  <c r="P32" i="67"/>
  <c r="P31" i="67"/>
  <c r="P33" i="67"/>
  <c r="AA31" i="67"/>
  <c r="P25" i="67"/>
  <c r="P27" i="67"/>
  <c r="W9" i="67"/>
  <c r="W12" i="67"/>
  <c r="W8" i="67"/>
  <c r="W24" i="67"/>
  <c r="W15" i="67"/>
  <c r="Q26" i="67"/>
  <c r="W14" i="67"/>
  <c r="W25" i="67"/>
  <c r="V14" i="67"/>
  <c r="W31" i="67"/>
  <c r="W16" i="67"/>
  <c r="W29" i="67"/>
  <c r="W27" i="67"/>
  <c r="W28" i="67"/>
  <c r="P12" i="67"/>
  <c r="W19" i="67"/>
  <c r="P24" i="67"/>
  <c r="P14" i="67"/>
  <c r="P9" i="67"/>
  <c r="W11" i="67"/>
  <c r="W13" i="67"/>
  <c r="V26" i="67"/>
  <c r="V12" i="67"/>
  <c r="AA27" i="67"/>
  <c r="AA33" i="67"/>
  <c r="Q24" i="67"/>
  <c r="AA26" i="67"/>
  <c r="AA17" i="67"/>
  <c r="Q11" i="67"/>
  <c r="R12" i="67"/>
  <c r="AA15" i="67"/>
  <c r="R32" i="67"/>
  <c r="AA9" i="67"/>
  <c r="AA10" i="67"/>
  <c r="V17" i="67"/>
  <c r="AA24" i="67"/>
  <c r="Q15" i="67"/>
  <c r="F18" i="65"/>
  <c r="F20" i="65" s="1"/>
  <c r="Q12" i="67"/>
  <c r="X10" i="67"/>
  <c r="J18" i="67"/>
  <c r="H18" i="67"/>
  <c r="V28" i="67"/>
  <c r="V32" i="67"/>
  <c r="V25" i="67"/>
  <c r="AE25" i="67" s="1"/>
  <c r="V15" i="67"/>
  <c r="V9" i="67"/>
  <c r="V7" i="67"/>
  <c r="V19" i="67"/>
  <c r="V27" i="67"/>
  <c r="V13" i="67"/>
  <c r="V16" i="67"/>
  <c r="V24" i="67"/>
  <c r="V31" i="67"/>
  <c r="AE31" i="67" s="1"/>
  <c r="Q29" i="67"/>
  <c r="R26" i="67"/>
  <c r="R14" i="67"/>
  <c r="R8" i="67"/>
  <c r="R19" i="67"/>
  <c r="R25" i="67"/>
  <c r="R11" i="67"/>
  <c r="Q16" i="67"/>
  <c r="Q13" i="67"/>
  <c r="R13" i="67"/>
  <c r="Z10" i="67"/>
  <c r="L18" i="67"/>
  <c r="Q33" i="67"/>
  <c r="R27" i="67"/>
  <c r="R10" i="67"/>
  <c r="Q9" i="67"/>
  <c r="R9" i="67"/>
  <c r="T10" i="67"/>
  <c r="F18" i="67"/>
  <c r="N10" i="67"/>
  <c r="R17" i="67"/>
  <c r="Y10" i="67"/>
  <c r="K18" i="67"/>
  <c r="Q25" i="67"/>
  <c r="Q19" i="67"/>
  <c r="Q7" i="67"/>
  <c r="N33" i="67"/>
  <c r="R29" i="67"/>
  <c r="Q14" i="67"/>
  <c r="R15" i="67"/>
  <c r="Q28" i="67"/>
  <c r="Q10" i="67"/>
  <c r="P17" i="67"/>
  <c r="P13" i="67"/>
  <c r="AD13" i="67" s="1"/>
  <c r="P11" i="67"/>
  <c r="AA32" i="67"/>
  <c r="AA13" i="67"/>
  <c r="AA28" i="67"/>
  <c r="AA7" i="67"/>
  <c r="AA19" i="67"/>
  <c r="AA25" i="67"/>
  <c r="AA11" i="67"/>
  <c r="AA8" i="67"/>
  <c r="AA16" i="67"/>
  <c r="AA14" i="67"/>
  <c r="N29" i="67"/>
  <c r="W10" i="67"/>
  <c r="I18" i="67"/>
  <c r="Q32" i="67"/>
  <c r="Q31" i="67"/>
  <c r="R33" i="67"/>
  <c r="E18" i="67"/>
  <c r="S10" i="67"/>
  <c r="R24" i="67"/>
  <c r="Q27" i="67"/>
  <c r="R31" i="67"/>
  <c r="Q8" i="67"/>
  <c r="R28" i="67"/>
  <c r="R16" i="67"/>
  <c r="Q17" i="67"/>
  <c r="AE8" i="67" l="1"/>
  <c r="AE9" i="67"/>
  <c r="AD29" i="67"/>
  <c r="AE15" i="67"/>
  <c r="AE32" i="67"/>
  <c r="AE19" i="67"/>
  <c r="AE24" i="67"/>
  <c r="AD27" i="67"/>
  <c r="AE26" i="67"/>
  <c r="AE11" i="67"/>
  <c r="AE14" i="67"/>
  <c r="AD19" i="67"/>
  <c r="AE7" i="67"/>
  <c r="AE29" i="67"/>
  <c r="AE12" i="67"/>
  <c r="AE13" i="67"/>
  <c r="AE33" i="67"/>
  <c r="AE10" i="67"/>
  <c r="AE27" i="67"/>
  <c r="AD11" i="67"/>
  <c r="AD25" i="67"/>
  <c r="AD33" i="67"/>
  <c r="AD9" i="67"/>
  <c r="AD26" i="67"/>
  <c r="AD16" i="67"/>
  <c r="AD7" i="67"/>
  <c r="AD17" i="67"/>
  <c r="AD12" i="67"/>
  <c r="AD10" i="67"/>
  <c r="AD15" i="67"/>
  <c r="AD31" i="67"/>
  <c r="AD32" i="67"/>
  <c r="AD14" i="67"/>
  <c r="AD24" i="67"/>
  <c r="AD8" i="67"/>
  <c r="C20" i="67"/>
  <c r="C22" i="67" s="1"/>
  <c r="C35" i="67" s="1"/>
  <c r="M20" i="67"/>
  <c r="D20" i="67"/>
  <c r="D22" i="67" s="1"/>
  <c r="D35" i="67" s="1"/>
  <c r="P18" i="67"/>
  <c r="F22" i="65"/>
  <c r="H20" i="67"/>
  <c r="H22" i="67" s="1"/>
  <c r="H35" i="67" s="1"/>
  <c r="V18" i="67"/>
  <c r="L20" i="67"/>
  <c r="L22" i="67" s="1"/>
  <c r="L35" i="67" s="1"/>
  <c r="Z18" i="67"/>
  <c r="F20" i="67"/>
  <c r="F22" i="67" s="1"/>
  <c r="F35" i="67" s="1"/>
  <c r="T18" i="67"/>
  <c r="X18" i="67"/>
  <c r="J20" i="67"/>
  <c r="J22" i="67" s="1"/>
  <c r="J35" i="67" s="1"/>
  <c r="I20" i="67"/>
  <c r="I22" i="67" s="1"/>
  <c r="I35" i="67" s="1"/>
  <c r="W18" i="67"/>
  <c r="P35" i="67"/>
  <c r="P20" i="67"/>
  <c r="E20" i="67"/>
  <c r="E22" i="67" s="1"/>
  <c r="E35" i="67" s="1"/>
  <c r="S18" i="67"/>
  <c r="Y18" i="67"/>
  <c r="K20" i="67"/>
  <c r="K22" i="67" s="1"/>
  <c r="K35" i="67" s="1"/>
  <c r="AD18" i="67" l="1"/>
  <c r="AA20" i="67"/>
  <c r="Q20" i="67"/>
  <c r="Q35" i="67"/>
  <c r="M22" i="67"/>
  <c r="M35" i="67" s="1"/>
  <c r="AA35" i="67" s="1"/>
  <c r="R20" i="67"/>
  <c r="R35" i="67"/>
  <c r="V20" i="67"/>
  <c r="V35" i="67"/>
  <c r="X20" i="67"/>
  <c r="X35" i="67"/>
  <c r="S35" i="67"/>
  <c r="S20" i="67"/>
  <c r="T20" i="67"/>
  <c r="T35" i="67"/>
  <c r="Z35" i="67"/>
  <c r="Z20" i="67"/>
  <c r="W35" i="67"/>
  <c r="W20" i="67"/>
  <c r="Y35" i="67"/>
  <c r="Y20" i="67"/>
  <c r="AD20" i="67" l="1"/>
  <c r="AD35" i="67"/>
  <c r="B262" i="1"/>
  <c r="C262" i="1"/>
  <c r="D262" i="1"/>
  <c r="E262" i="1"/>
  <c r="F262" i="1"/>
  <c r="G262" i="1"/>
  <c r="H262" i="1"/>
  <c r="I262" i="1"/>
  <c r="J262" i="1"/>
  <c r="K262" i="1"/>
  <c r="L262" i="1"/>
  <c r="M262" i="1"/>
  <c r="Y3" i="5"/>
  <c r="X3" i="5"/>
  <c r="W3" i="15"/>
  <c r="V3" i="15"/>
  <c r="P5" i="15" s="1"/>
  <c r="B198" i="1"/>
  <c r="C198" i="1"/>
  <c r="D198" i="1"/>
  <c r="E198" i="1"/>
  <c r="F198" i="1"/>
  <c r="G198" i="1"/>
  <c r="H198" i="1"/>
  <c r="I198" i="1"/>
  <c r="J198" i="1"/>
  <c r="K198" i="1"/>
  <c r="L198" i="1"/>
  <c r="M198" i="1"/>
  <c r="B200" i="1"/>
  <c r="C200" i="1"/>
  <c r="D200" i="1"/>
  <c r="E200" i="1"/>
  <c r="F200" i="1"/>
  <c r="G200" i="1"/>
  <c r="H200" i="1"/>
  <c r="I200" i="1"/>
  <c r="J200" i="1"/>
  <c r="K200" i="1"/>
  <c r="L200" i="1"/>
  <c r="M200" i="1"/>
  <c r="Q106" i="5" l="1"/>
  <c r="F32" i="57" s="1"/>
  <c r="Q90" i="5"/>
  <c r="F13" i="57" s="1"/>
  <c r="Q92" i="5"/>
  <c r="F15" i="57" s="1"/>
  <c r="Q131" i="5"/>
  <c r="Q22" i="57" s="1"/>
  <c r="AB22" i="57" s="1"/>
  <c r="Q133" i="5"/>
  <c r="Q25" i="57" s="1"/>
  <c r="AB25" i="57" s="1"/>
  <c r="Q197" i="5"/>
  <c r="Q198" i="5"/>
  <c r="Q204" i="5"/>
  <c r="M1" i="5"/>
  <c r="Q91" i="5"/>
  <c r="F14" i="57" s="1"/>
  <c r="Q89" i="5"/>
  <c r="Q64" i="5"/>
  <c r="Q218" i="5"/>
  <c r="Q212" i="5"/>
  <c r="Q203" i="5"/>
  <c r="Q195" i="5"/>
  <c r="Q137" i="5"/>
  <c r="Q29" i="57" s="1"/>
  <c r="AB29" i="57" s="1"/>
  <c r="Q129" i="5"/>
  <c r="Q19" i="57" s="1"/>
  <c r="AB19" i="57" s="1"/>
  <c r="Q121" i="5"/>
  <c r="Q109" i="5"/>
  <c r="Q103" i="5"/>
  <c r="F28" i="57" s="1"/>
  <c r="Q97" i="5"/>
  <c r="Q88" i="5"/>
  <c r="Q30" i="5"/>
  <c r="Q217" i="5"/>
  <c r="Q208" i="5"/>
  <c r="Q202" i="5"/>
  <c r="Q194" i="5"/>
  <c r="Q136" i="5"/>
  <c r="Q28" i="57" s="1"/>
  <c r="AB28" i="57" s="1"/>
  <c r="Q119" i="5"/>
  <c r="Q108" i="5"/>
  <c r="Q102" i="5"/>
  <c r="F27" i="57" s="1"/>
  <c r="Q96" i="5"/>
  <c r="F19" i="57" s="1"/>
  <c r="J1" i="5"/>
  <c r="Q86" i="5"/>
  <c r="I1" i="5"/>
  <c r="Q216" i="5"/>
  <c r="Q207" i="5"/>
  <c r="Q199" i="5"/>
  <c r="Q193" i="5"/>
  <c r="Q135" i="5"/>
  <c r="Q27" i="57" s="1"/>
  <c r="AB27" i="57" s="1"/>
  <c r="Q125" i="5"/>
  <c r="Q15" i="57" s="1"/>
  <c r="AB15" i="57" s="1"/>
  <c r="Q118" i="5"/>
  <c r="Q107" i="5"/>
  <c r="F33" i="57" s="1"/>
  <c r="Q101" i="5"/>
  <c r="F26" i="57" s="1"/>
  <c r="Q93" i="5"/>
  <c r="F16" i="57" s="1"/>
  <c r="C1" i="5"/>
  <c r="Q85" i="5"/>
  <c r="B1" i="5"/>
  <c r="Q215" i="5"/>
  <c r="Q98" i="5"/>
  <c r="F22" i="57" s="1"/>
  <c r="Q115" i="5"/>
  <c r="Q134" i="5"/>
  <c r="Q26" i="57" s="1"/>
  <c r="AB26" i="57" s="1"/>
  <c r="Q139" i="5"/>
  <c r="Q32" i="57" s="1"/>
  <c r="AB32" i="57" s="1"/>
  <c r="Q205" i="5"/>
  <c r="Q99" i="5"/>
  <c r="Q117" i="5"/>
  <c r="Q82" i="5"/>
  <c r="Q122" i="5"/>
  <c r="Q140" i="5"/>
  <c r="Q33" i="57" s="1"/>
  <c r="AB33" i="57" s="1"/>
  <c r="Q206" i="5"/>
  <c r="Q100" i="5"/>
  <c r="F25" i="57" s="1"/>
  <c r="Q213" i="5"/>
  <c r="Q84" i="5"/>
  <c r="K6" i="6" s="1"/>
  <c r="Q104" i="5"/>
  <c r="F29" i="57" s="1"/>
  <c r="Q123" i="5"/>
  <c r="Q13" i="57" s="1"/>
  <c r="AB13" i="57" s="1"/>
  <c r="Q142" i="5"/>
  <c r="Q196" i="5"/>
  <c r="Q214" i="5"/>
  <c r="Q105" i="5"/>
  <c r="Q124" i="5"/>
  <c r="Q14" i="57" s="1"/>
  <c r="AB14" i="57" s="1"/>
  <c r="N198" i="1"/>
  <c r="Q198" i="1"/>
  <c r="R198" i="1"/>
  <c r="N200" i="1"/>
  <c r="R200" i="1"/>
  <c r="Q200" i="1"/>
  <c r="R262" i="1"/>
  <c r="Q262" i="1"/>
  <c r="D1" i="5"/>
  <c r="E1" i="5"/>
  <c r="F1" i="5"/>
  <c r="G1" i="5"/>
  <c r="H1" i="5"/>
  <c r="K1" i="5"/>
  <c r="L1" i="5"/>
  <c r="P11" i="15"/>
  <c r="P28" i="15"/>
  <c r="P12" i="15"/>
  <c r="P30" i="15"/>
  <c r="P13" i="15"/>
  <c r="P31" i="15"/>
  <c r="P14" i="15"/>
  <c r="P32" i="15"/>
  <c r="P15" i="15"/>
  <c r="P33" i="15"/>
  <c r="P16" i="15"/>
  <c r="P34" i="15"/>
  <c r="C1" i="15"/>
  <c r="P17" i="15"/>
  <c r="P35" i="15"/>
  <c r="P19" i="15"/>
  <c r="P36" i="15"/>
  <c r="P9" i="15"/>
  <c r="P24" i="15"/>
  <c r="P38" i="15"/>
  <c r="P8" i="15"/>
  <c r="P25" i="15"/>
  <c r="P7" i="15"/>
  <c r="P26" i="15"/>
  <c r="P6" i="15"/>
  <c r="P27" i="15"/>
  <c r="B1" i="15"/>
  <c r="L1" i="15"/>
  <c r="K1" i="15"/>
  <c r="J1" i="15"/>
  <c r="I1" i="15"/>
  <c r="H1" i="15"/>
  <c r="M1" i="15"/>
  <c r="G1" i="15"/>
  <c r="F1" i="15"/>
  <c r="E1" i="15"/>
  <c r="D1" i="15"/>
  <c r="F34" i="57" l="1"/>
  <c r="R206" i="5"/>
  <c r="R199" i="5"/>
  <c r="F30" i="57"/>
  <c r="Q30" i="57"/>
  <c r="AB30" i="57" s="1"/>
  <c r="Q34" i="57"/>
  <c r="AB34" i="57" s="1"/>
  <c r="R208" i="5"/>
  <c r="R30" i="5"/>
  <c r="R212" i="5"/>
  <c r="R218" i="5"/>
  <c r="R88" i="5"/>
  <c r="K10" i="60" s="1"/>
  <c r="R89" i="5"/>
  <c r="K11" i="60" s="1"/>
  <c r="R207" i="5"/>
  <c r="R216" i="5"/>
  <c r="R217" i="5"/>
  <c r="R64" i="5"/>
  <c r="R97" i="5"/>
  <c r="R140" i="5"/>
  <c r="M29" i="60" s="1"/>
  <c r="R142" i="5"/>
  <c r="M31" i="60" s="1"/>
  <c r="R103" i="5"/>
  <c r="K25" i="60" s="1"/>
  <c r="R122" i="5"/>
  <c r="M11" i="60" s="1"/>
  <c r="R198" i="5"/>
  <c r="R109" i="5"/>
  <c r="K31" i="60" s="1"/>
  <c r="F19" i="53"/>
  <c r="L19" i="53" s="1"/>
  <c r="R123" i="5"/>
  <c r="M12" i="60" s="1"/>
  <c r="R82" i="5"/>
  <c r="K1" i="60" s="1"/>
  <c r="R215" i="5"/>
  <c r="R86" i="5"/>
  <c r="K8" i="60" s="1"/>
  <c r="R104" i="5"/>
  <c r="K26" i="60" s="1"/>
  <c r="R115" i="5"/>
  <c r="M1" i="60" s="1"/>
  <c r="R85" i="5"/>
  <c r="K7" i="60" s="1"/>
  <c r="R96" i="5"/>
  <c r="K18" i="60" s="1"/>
  <c r="R84" i="5"/>
  <c r="K6" i="60" s="1"/>
  <c r="R98" i="5"/>
  <c r="K20" i="60" s="1"/>
  <c r="R93" i="5"/>
  <c r="K15" i="60" s="1"/>
  <c r="R102" i="5"/>
  <c r="K24" i="60" s="1"/>
  <c r="R213" i="5"/>
  <c r="R92" i="5"/>
  <c r="K14" i="60" s="1"/>
  <c r="R101" i="5"/>
  <c r="K23" i="60" s="1"/>
  <c r="R108" i="5"/>
  <c r="R204" i="5"/>
  <c r="R133" i="5"/>
  <c r="M22" i="60" s="1"/>
  <c r="R91" i="5"/>
  <c r="K13" i="60" s="1"/>
  <c r="R197" i="5"/>
  <c r="R131" i="5"/>
  <c r="M20" i="60" s="1"/>
  <c r="R90" i="5"/>
  <c r="K12" i="60" s="1"/>
  <c r="R105" i="5"/>
  <c r="R99" i="5"/>
  <c r="R100" i="5"/>
  <c r="K22" i="60" s="1"/>
  <c r="R119" i="5"/>
  <c r="M8" i="60" s="1"/>
  <c r="R121" i="5"/>
  <c r="M10" i="60" s="1"/>
  <c r="R214" i="5"/>
  <c r="R118" i="5"/>
  <c r="M7" i="60" s="1"/>
  <c r="R129" i="5"/>
  <c r="M18" i="60" s="1"/>
  <c r="R196" i="5"/>
  <c r="R205" i="5"/>
  <c r="R117" i="5"/>
  <c r="M6" i="60" s="1"/>
  <c r="R125" i="5"/>
  <c r="M14" i="60" s="1"/>
  <c r="R136" i="5"/>
  <c r="M25" i="60" s="1"/>
  <c r="R137" i="5"/>
  <c r="M26" i="60" s="1"/>
  <c r="R139" i="5"/>
  <c r="M28" i="60" s="1"/>
  <c r="R124" i="5"/>
  <c r="M13" i="60" s="1"/>
  <c r="R135" i="5"/>
  <c r="M24" i="60" s="1"/>
  <c r="R194" i="5"/>
  <c r="R195" i="5"/>
  <c r="R134" i="5"/>
  <c r="M23" i="60" s="1"/>
  <c r="R193" i="5"/>
  <c r="R202" i="5"/>
  <c r="R203" i="5"/>
  <c r="Q32" i="15"/>
  <c r="Q38" i="15"/>
  <c r="Q31" i="15"/>
  <c r="Q24" i="15"/>
  <c r="Q13" i="15"/>
  <c r="Q36" i="15"/>
  <c r="Q30" i="15"/>
  <c r="Q19" i="15"/>
  <c r="Q12" i="15"/>
  <c r="Q35" i="15"/>
  <c r="Q28" i="15"/>
  <c r="Q17" i="15"/>
  <c r="Q11" i="15"/>
  <c r="Q34" i="15"/>
  <c r="Q27" i="15"/>
  <c r="Q16" i="15"/>
  <c r="Q6" i="15"/>
  <c r="Q7" i="15"/>
  <c r="Q33" i="15"/>
  <c r="Q26" i="15"/>
  <c r="Q15" i="15"/>
  <c r="Q8" i="15"/>
  <c r="Q9" i="15"/>
  <c r="Q25" i="15"/>
  <c r="Q14" i="15"/>
  <c r="Q5" i="15"/>
  <c r="O6" i="60" l="1"/>
  <c r="B184" i="1"/>
  <c r="M189" i="1"/>
  <c r="L189" i="1"/>
  <c r="K189" i="1"/>
  <c r="J189" i="1"/>
  <c r="I189" i="1"/>
  <c r="H189" i="1"/>
  <c r="G189" i="1"/>
  <c r="F189" i="1"/>
  <c r="E189" i="1"/>
  <c r="D189" i="1"/>
  <c r="C189" i="1"/>
  <c r="B189" i="1"/>
  <c r="M188" i="1"/>
  <c r="L188" i="1"/>
  <c r="K188" i="1"/>
  <c r="J188" i="1"/>
  <c r="I188" i="1"/>
  <c r="H188" i="1"/>
  <c r="G188" i="1"/>
  <c r="F188" i="1"/>
  <c r="E188" i="1"/>
  <c r="D188" i="1"/>
  <c r="C188" i="1"/>
  <c r="B188" i="1"/>
  <c r="M187" i="1"/>
  <c r="L187" i="1"/>
  <c r="K187" i="1"/>
  <c r="J187" i="1"/>
  <c r="I187" i="1"/>
  <c r="H187" i="1"/>
  <c r="G187" i="1"/>
  <c r="F187" i="1"/>
  <c r="E187" i="1"/>
  <c r="D187" i="1"/>
  <c r="C187" i="1"/>
  <c r="B187" i="1"/>
  <c r="M186" i="1"/>
  <c r="L186" i="1"/>
  <c r="K186" i="1"/>
  <c r="J186" i="1"/>
  <c r="I186" i="1"/>
  <c r="H186" i="1"/>
  <c r="G186" i="1"/>
  <c r="F186" i="1"/>
  <c r="E186" i="1"/>
  <c r="D186" i="1"/>
  <c r="C186" i="1"/>
  <c r="B186" i="1"/>
  <c r="M185" i="1"/>
  <c r="L185" i="1"/>
  <c r="K185" i="1"/>
  <c r="J185" i="1"/>
  <c r="I185" i="1"/>
  <c r="H185" i="1"/>
  <c r="G185" i="1"/>
  <c r="F185" i="1"/>
  <c r="E185" i="1"/>
  <c r="D185" i="1"/>
  <c r="C185" i="1"/>
  <c r="B185" i="1"/>
  <c r="M184" i="1"/>
  <c r="L184" i="1"/>
  <c r="K184" i="1"/>
  <c r="J184" i="1"/>
  <c r="I184" i="1"/>
  <c r="H184" i="1"/>
  <c r="G184" i="1"/>
  <c r="F184" i="1"/>
  <c r="E184" i="1"/>
  <c r="D184" i="1"/>
  <c r="C184" i="1"/>
  <c r="O202" i="1"/>
  <c r="O203" i="1"/>
  <c r="N185" i="1" l="1"/>
  <c r="Q185" i="1"/>
  <c r="R185" i="1"/>
  <c r="N186" i="1"/>
  <c r="R186" i="1"/>
  <c r="Q186" i="1"/>
  <c r="N187" i="1"/>
  <c r="Q187" i="1"/>
  <c r="R187" i="1"/>
  <c r="N188" i="1"/>
  <c r="N189" i="1"/>
  <c r="O189" i="1" s="1"/>
  <c r="N184" i="1"/>
  <c r="O184" i="1" s="1"/>
  <c r="R184" i="1"/>
  <c r="Q184" i="1"/>
  <c r="R189" i="1"/>
  <c r="Q189" i="1"/>
  <c r="R188" i="1"/>
  <c r="Q188" i="1"/>
  <c r="O185" i="1"/>
  <c r="O186" i="1"/>
  <c r="O200" i="1"/>
  <c r="O187" i="1"/>
  <c r="O188" i="1"/>
  <c r="B168" i="1" l="1"/>
  <c r="B199" i="1" l="1"/>
  <c r="C168" i="1"/>
  <c r="C199" i="1" s="1"/>
  <c r="D168" i="1" l="1"/>
  <c r="D199" i="1" l="1"/>
  <c r="E168" i="1"/>
  <c r="E199" i="1" s="1"/>
  <c r="F168" i="1" l="1"/>
  <c r="F199" i="1" l="1"/>
  <c r="Q168" i="1"/>
  <c r="R168" i="1"/>
  <c r="G168" i="1"/>
  <c r="G199" i="1" s="1"/>
  <c r="Q199" i="1" l="1"/>
  <c r="R199" i="1"/>
  <c r="H168" i="1"/>
  <c r="H199" i="1" s="1"/>
  <c r="I168" i="1" l="1"/>
  <c r="I199" i="1" s="1"/>
  <c r="J168" i="1" l="1"/>
  <c r="J199" i="1" s="1"/>
  <c r="K168" i="1" l="1"/>
  <c r="K199" i="1" s="1"/>
  <c r="L168" i="1" l="1"/>
  <c r="L199" i="1" s="1"/>
  <c r="M168" i="1" l="1"/>
  <c r="M199" i="1" s="1"/>
  <c r="N199" i="1" s="1"/>
  <c r="O199" i="1" l="1"/>
  <c r="N234" i="1" l="1"/>
  <c r="N233" i="1"/>
  <c r="N231" i="1"/>
  <c r="N230" i="1"/>
  <c r="N229" i="1"/>
  <c r="N228" i="1"/>
  <c r="N227" i="1"/>
  <c r="N223" i="1"/>
  <c r="N220" i="1"/>
  <c r="N219" i="1"/>
  <c r="N218" i="1"/>
  <c r="N217" i="1"/>
  <c r="N216" i="1"/>
  <c r="N215" i="1"/>
  <c r="N213" i="1"/>
  <c r="N212" i="1"/>
  <c r="N211" i="1"/>
  <c r="M66" i="1"/>
  <c r="N66" i="1" s="1"/>
  <c r="B149" i="1" s="1"/>
  <c r="N3" i="1"/>
  <c r="N22" i="1"/>
  <c r="N10" i="1"/>
  <c r="N11" i="1"/>
  <c r="N12" i="1"/>
  <c r="N13" i="1"/>
  <c r="N14" i="1"/>
  <c r="N6" i="1"/>
  <c r="N7" i="1"/>
  <c r="O24" i="1" l="1"/>
  <c r="O19" i="1"/>
  <c r="N235" i="1"/>
  <c r="F31" i="65" s="1"/>
  <c r="C149" i="1"/>
  <c r="R149" i="1" s="1"/>
  <c r="D149" i="1"/>
  <c r="G149" i="1"/>
  <c r="L149" i="1"/>
  <c r="E149" i="1"/>
  <c r="F149" i="1"/>
  <c r="I149" i="1"/>
  <c r="J149" i="1"/>
  <c r="K149" i="1"/>
  <c r="M149" i="1"/>
  <c r="H149" i="1"/>
  <c r="N35" i="1"/>
  <c r="N321" i="1" s="1"/>
  <c r="O234" i="1"/>
  <c r="O219" i="1"/>
  <c r="O212" i="1"/>
  <c r="O213" i="1"/>
  <c r="O215" i="1"/>
  <c r="O216" i="1"/>
  <c r="O217" i="1"/>
  <c r="O218" i="1"/>
  <c r="O220" i="1"/>
  <c r="O223" i="1"/>
  <c r="O227" i="1"/>
  <c r="O228" i="1"/>
  <c r="O229" i="1"/>
  <c r="O230" i="1"/>
  <c r="O231" i="1"/>
  <c r="O233" i="1"/>
  <c r="O236" i="1"/>
  <c r="O211" i="1"/>
  <c r="F32" i="65" l="1"/>
  <c r="F33" i="65" s="1"/>
  <c r="F35" i="65" s="1"/>
  <c r="E6" i="60"/>
  <c r="Q149" i="1"/>
  <c r="E6" i="6" s="1"/>
  <c r="C35" i="1"/>
  <c r="C321" i="1" s="1"/>
  <c r="D35" i="1"/>
  <c r="E35" i="1"/>
  <c r="F35" i="1"/>
  <c r="F321" i="1" s="1"/>
  <c r="G35" i="1"/>
  <c r="G321" i="1" s="1"/>
  <c r="H35" i="1"/>
  <c r="H321" i="1" s="1"/>
  <c r="I35" i="1"/>
  <c r="I321" i="1" s="1"/>
  <c r="J35" i="1"/>
  <c r="J321" i="1" s="1"/>
  <c r="K35" i="1"/>
  <c r="K321" i="1" s="1"/>
  <c r="L35" i="1"/>
  <c r="L321" i="1" s="1"/>
  <c r="M35" i="1"/>
  <c r="M321" i="1" s="1"/>
  <c r="B35" i="1"/>
  <c r="B51" i="1" s="1"/>
  <c r="B100" i="1" s="1"/>
  <c r="C29" i="1"/>
  <c r="D29" i="1"/>
  <c r="E29" i="1"/>
  <c r="F29" i="1"/>
  <c r="G29" i="1"/>
  <c r="H29" i="1"/>
  <c r="I29" i="1"/>
  <c r="J29" i="1"/>
  <c r="K29" i="1"/>
  <c r="L29" i="1"/>
  <c r="M29" i="1"/>
  <c r="B29" i="1"/>
  <c r="N27" i="1"/>
  <c r="N29" i="1" s="1"/>
  <c r="N21" i="1"/>
  <c r="N26" i="1" s="1"/>
  <c r="N9" i="1"/>
  <c r="N15" i="1" s="1"/>
  <c r="N5" i="1"/>
  <c r="O5" i="1" s="1"/>
  <c r="Q4" i="61"/>
  <c r="F4" i="73" s="1"/>
  <c r="L4" i="73" s="1"/>
  <c r="N115" i="5"/>
  <c r="N4" i="66" s="1"/>
  <c r="Q33" i="61"/>
  <c r="Q32" i="61"/>
  <c r="Q29" i="61"/>
  <c r="Q28" i="61"/>
  <c r="Q27" i="61"/>
  <c r="Q26" i="61"/>
  <c r="Q25" i="61"/>
  <c r="Q22" i="61"/>
  <c r="Q19" i="61"/>
  <c r="Q15" i="61"/>
  <c r="Q14" i="61"/>
  <c r="Q13" i="61"/>
  <c r="Q12" i="61"/>
  <c r="Q11" i="61"/>
  <c r="Q9" i="61"/>
  <c r="Q8" i="61"/>
  <c r="Q7" i="61"/>
  <c r="F29" i="61"/>
  <c r="F28" i="61"/>
  <c r="F27" i="61"/>
  <c r="F26" i="61"/>
  <c r="F25" i="61"/>
  <c r="F22" i="61"/>
  <c r="F23" i="61" s="1"/>
  <c r="F19" i="61"/>
  <c r="F16" i="61"/>
  <c r="F15" i="61"/>
  <c r="F14" i="61"/>
  <c r="F13" i="61"/>
  <c r="F12" i="61"/>
  <c r="F11" i="61"/>
  <c r="F9" i="61"/>
  <c r="F8" i="61"/>
  <c r="F7" i="61"/>
  <c r="O34" i="61"/>
  <c r="N34" i="61"/>
  <c r="M34" i="61"/>
  <c r="L34" i="61"/>
  <c r="K34" i="61"/>
  <c r="J34" i="61"/>
  <c r="E34" i="61"/>
  <c r="P33" i="61"/>
  <c r="P32" i="61"/>
  <c r="O30" i="61"/>
  <c r="N30" i="61"/>
  <c r="M30" i="61"/>
  <c r="L30" i="61"/>
  <c r="K30" i="61"/>
  <c r="J30" i="61"/>
  <c r="P29" i="61"/>
  <c r="P28" i="61"/>
  <c r="P27" i="61"/>
  <c r="P26" i="61"/>
  <c r="P25" i="61"/>
  <c r="O23" i="61"/>
  <c r="H23" i="61"/>
  <c r="E23" i="61"/>
  <c r="P19" i="61"/>
  <c r="O17" i="61"/>
  <c r="N17" i="61"/>
  <c r="M17" i="61"/>
  <c r="L17" i="61"/>
  <c r="K17" i="61"/>
  <c r="J17" i="61"/>
  <c r="E17" i="61"/>
  <c r="P16" i="61"/>
  <c r="P15" i="61"/>
  <c r="P14" i="61"/>
  <c r="P13" i="61"/>
  <c r="P12" i="61"/>
  <c r="P11" i="61"/>
  <c r="O10" i="61"/>
  <c r="N10" i="61"/>
  <c r="M10" i="61"/>
  <c r="L10" i="61"/>
  <c r="K10" i="61"/>
  <c r="J10" i="61"/>
  <c r="H10" i="61"/>
  <c r="P10" i="61"/>
  <c r="Q12" i="57"/>
  <c r="AB12" i="57" s="1"/>
  <c r="Q11" i="57"/>
  <c r="AB11" i="57" s="1"/>
  <c r="Q7" i="57"/>
  <c r="AB7" i="57" s="1"/>
  <c r="Q8" i="57"/>
  <c r="AB8" i="57" s="1"/>
  <c r="Q9" i="57"/>
  <c r="AB9" i="57" s="1"/>
  <c r="H10" i="57"/>
  <c r="P12" i="57"/>
  <c r="Y12" i="57" s="1"/>
  <c r="P8" i="57"/>
  <c r="Y8" i="57" s="1"/>
  <c r="F7" i="57"/>
  <c r="F8" i="57"/>
  <c r="F9" i="57"/>
  <c r="F11" i="57"/>
  <c r="F12" i="57"/>
  <c r="W9" i="60"/>
  <c r="R9" i="60"/>
  <c r="I9" i="60"/>
  <c r="I1" i="60"/>
  <c r="W9" i="6"/>
  <c r="R9" i="6"/>
  <c r="R178" i="5"/>
  <c r="Q178" i="5"/>
  <c r="M22" i="6"/>
  <c r="M11" i="6"/>
  <c r="M8" i="6"/>
  <c r="K31" i="6"/>
  <c r="K29" i="6"/>
  <c r="K28" i="6"/>
  <c r="K23" i="6"/>
  <c r="K22" i="6"/>
  <c r="K10" i="6"/>
  <c r="K7" i="6"/>
  <c r="N134" i="5"/>
  <c r="Q25" i="65" s="1"/>
  <c r="N142" i="5"/>
  <c r="N140" i="5"/>
  <c r="Q32" i="65" s="1"/>
  <c r="R32" i="65" s="1"/>
  <c r="N139" i="5"/>
  <c r="Q31" i="65" s="1"/>
  <c r="N137" i="5"/>
  <c r="Q28" i="65" s="1"/>
  <c r="R28" i="65" s="1"/>
  <c r="N136" i="5"/>
  <c r="Q27" i="65" s="1"/>
  <c r="R27" i="65" s="1"/>
  <c r="N135" i="5"/>
  <c r="Q26" i="65" s="1"/>
  <c r="R26" i="65" s="1"/>
  <c r="N133" i="5"/>
  <c r="Q24" i="65" s="1"/>
  <c r="R24" i="65" s="1"/>
  <c r="N131" i="5"/>
  <c r="Q21" i="65" s="1"/>
  <c r="R21" i="65" s="1"/>
  <c r="N129" i="5"/>
  <c r="Q19" i="65" s="1"/>
  <c r="R19" i="65" s="1"/>
  <c r="N125" i="5"/>
  <c r="Q15" i="65" s="1"/>
  <c r="R15" i="65" s="1"/>
  <c r="N124" i="5"/>
  <c r="Q14" i="65" s="1"/>
  <c r="R14" i="65" s="1"/>
  <c r="N123" i="5"/>
  <c r="Q13" i="65" s="1"/>
  <c r="R13" i="65" s="1"/>
  <c r="N122" i="5"/>
  <c r="Q12" i="65" s="1"/>
  <c r="R12" i="65" s="1"/>
  <c r="N121" i="5"/>
  <c r="Q11" i="65" s="1"/>
  <c r="N119" i="5"/>
  <c r="Q9" i="65" s="1"/>
  <c r="R9" i="65" s="1"/>
  <c r="N118" i="5"/>
  <c r="Q8" i="65" s="1"/>
  <c r="R8" i="65" s="1"/>
  <c r="N117" i="5"/>
  <c r="Q7" i="65" s="1"/>
  <c r="C120" i="5"/>
  <c r="D120" i="5"/>
  <c r="E120" i="5"/>
  <c r="F120" i="5"/>
  <c r="G120" i="5"/>
  <c r="H120" i="5"/>
  <c r="I120" i="5"/>
  <c r="J120" i="5"/>
  <c r="K120" i="5"/>
  <c r="L120" i="5"/>
  <c r="M120" i="5"/>
  <c r="C127" i="5"/>
  <c r="D127" i="5"/>
  <c r="E127" i="5"/>
  <c r="F127" i="5"/>
  <c r="H127" i="5"/>
  <c r="I127" i="5"/>
  <c r="J127" i="5"/>
  <c r="K127" i="5"/>
  <c r="L127" i="5"/>
  <c r="M127" i="5"/>
  <c r="C138" i="5"/>
  <c r="D138" i="5"/>
  <c r="E138" i="5"/>
  <c r="F138" i="5"/>
  <c r="G138" i="5"/>
  <c r="H138" i="5"/>
  <c r="I138" i="5"/>
  <c r="J138" i="5"/>
  <c r="K138" i="5"/>
  <c r="L138" i="5"/>
  <c r="M138" i="5"/>
  <c r="C141" i="5"/>
  <c r="D141" i="5"/>
  <c r="E141" i="5"/>
  <c r="F141" i="5"/>
  <c r="G141" i="5"/>
  <c r="H141" i="5"/>
  <c r="H31" i="89" s="1"/>
  <c r="H33" i="89" s="1"/>
  <c r="H34" i="89" s="1"/>
  <c r="I141" i="5"/>
  <c r="I31" i="89" s="1"/>
  <c r="J141" i="5"/>
  <c r="J31" i="89" s="1"/>
  <c r="J33" i="89" s="1"/>
  <c r="J34" i="89" s="1"/>
  <c r="K141" i="5"/>
  <c r="K31" i="89" s="1"/>
  <c r="K33" i="89" s="1"/>
  <c r="K34" i="89" s="1"/>
  <c r="L141" i="5"/>
  <c r="L31" i="89" s="1"/>
  <c r="L33" i="89" s="1"/>
  <c r="L34" i="89" s="1"/>
  <c r="M141" i="5"/>
  <c r="M31" i="89" s="1"/>
  <c r="M33" i="89" s="1"/>
  <c r="M34" i="89" s="1"/>
  <c r="B141" i="5"/>
  <c r="B138" i="5"/>
  <c r="B127" i="5"/>
  <c r="B120" i="5"/>
  <c r="M23" i="6"/>
  <c r="K24" i="6"/>
  <c r="K20" i="6"/>
  <c r="A72" i="5"/>
  <c r="H293" i="1"/>
  <c r="H59" i="5" s="1"/>
  <c r="G293" i="1"/>
  <c r="G59" i="5" s="1"/>
  <c r="F293" i="1"/>
  <c r="F59" i="5" s="1"/>
  <c r="E293" i="1"/>
  <c r="E59" i="5" s="1"/>
  <c r="D293" i="1"/>
  <c r="D59" i="5" s="1"/>
  <c r="C293" i="1"/>
  <c r="C59" i="5" s="1"/>
  <c r="H29" i="60"/>
  <c r="H28" i="60"/>
  <c r="H26" i="60"/>
  <c r="H25" i="60"/>
  <c r="H23" i="60"/>
  <c r="H22" i="60"/>
  <c r="H15" i="60"/>
  <c r="H14" i="60"/>
  <c r="H13" i="60"/>
  <c r="H12" i="60"/>
  <c r="H11" i="60"/>
  <c r="H10" i="60"/>
  <c r="H8" i="60"/>
  <c r="H7" i="60"/>
  <c r="H6" i="60"/>
  <c r="F29" i="60"/>
  <c r="F28" i="60"/>
  <c r="F26" i="60"/>
  <c r="F25" i="60"/>
  <c r="F15" i="60"/>
  <c r="F14" i="60"/>
  <c r="F13" i="60"/>
  <c r="F12" i="60"/>
  <c r="F11" i="60"/>
  <c r="F10" i="60"/>
  <c r="E29" i="60"/>
  <c r="E28" i="60"/>
  <c r="E26" i="60"/>
  <c r="E25" i="60"/>
  <c r="E15" i="60"/>
  <c r="E14" i="60"/>
  <c r="E12" i="60"/>
  <c r="E11" i="60"/>
  <c r="E10" i="60"/>
  <c r="E8" i="60"/>
  <c r="D31" i="60"/>
  <c r="D29" i="60"/>
  <c r="D28" i="60"/>
  <c r="D26" i="60"/>
  <c r="D14" i="60"/>
  <c r="D11" i="60"/>
  <c r="D10" i="60"/>
  <c r="D8" i="60"/>
  <c r="D6" i="60"/>
  <c r="I18" i="6"/>
  <c r="M31" i="6"/>
  <c r="M29" i="6"/>
  <c r="M24" i="6"/>
  <c r="M13" i="6"/>
  <c r="M12" i="6"/>
  <c r="M6" i="6"/>
  <c r="O6" i="6" s="1"/>
  <c r="K26" i="6"/>
  <c r="K25" i="6"/>
  <c r="K14" i="6"/>
  <c r="K13" i="6"/>
  <c r="K12" i="6"/>
  <c r="K11" i="6"/>
  <c r="K8" i="6"/>
  <c r="B94" i="5"/>
  <c r="C87" i="5"/>
  <c r="C95" i="5" s="1"/>
  <c r="C110" i="5" s="1"/>
  <c r="D87" i="5"/>
  <c r="D95" i="5" s="1"/>
  <c r="D110" i="5" s="1"/>
  <c r="E87" i="5"/>
  <c r="E95" i="5" s="1"/>
  <c r="E110" i="5" s="1"/>
  <c r="F87" i="5"/>
  <c r="F95" i="5" s="1"/>
  <c r="F110" i="5" s="1"/>
  <c r="G87" i="5"/>
  <c r="G95" i="5" s="1"/>
  <c r="G110" i="5" s="1"/>
  <c r="H87" i="5"/>
  <c r="H95" i="5" s="1"/>
  <c r="H110" i="5" s="1"/>
  <c r="I87" i="5"/>
  <c r="I95" i="5" s="1"/>
  <c r="I110" i="5" s="1"/>
  <c r="J87" i="5"/>
  <c r="J95" i="5" s="1"/>
  <c r="J110" i="5" s="1"/>
  <c r="K87" i="5"/>
  <c r="K95" i="5" s="1"/>
  <c r="K110" i="5" s="1"/>
  <c r="L87" i="5"/>
  <c r="L95" i="5" s="1"/>
  <c r="L110" i="5" s="1"/>
  <c r="M87" i="5"/>
  <c r="M95" i="5" s="1"/>
  <c r="M110" i="5" s="1"/>
  <c r="N87" i="5"/>
  <c r="N95" i="5" s="1"/>
  <c r="B87" i="5"/>
  <c r="N30" i="5"/>
  <c r="C5" i="5"/>
  <c r="D5" i="5"/>
  <c r="E5" i="5"/>
  <c r="F5" i="5"/>
  <c r="G5" i="5"/>
  <c r="H5" i="5"/>
  <c r="I5" i="5"/>
  <c r="J5" i="5"/>
  <c r="K5" i="5"/>
  <c r="L5" i="5"/>
  <c r="M5" i="5"/>
  <c r="C6" i="5"/>
  <c r="D6" i="5"/>
  <c r="E6" i="5"/>
  <c r="F6" i="5"/>
  <c r="G6" i="5"/>
  <c r="H6" i="5"/>
  <c r="I6" i="5"/>
  <c r="J6" i="5"/>
  <c r="K6" i="5"/>
  <c r="L6" i="5"/>
  <c r="M6" i="5"/>
  <c r="C7" i="5"/>
  <c r="D7" i="5"/>
  <c r="E7" i="5"/>
  <c r="F7" i="5"/>
  <c r="G7" i="5"/>
  <c r="H7" i="5"/>
  <c r="I7" i="5"/>
  <c r="J7" i="5"/>
  <c r="K7" i="5"/>
  <c r="L7" i="5"/>
  <c r="M7" i="5"/>
  <c r="C9" i="5"/>
  <c r="C157" i="5" s="1"/>
  <c r="C14" i="66" s="1"/>
  <c r="C117" i="66" s="1"/>
  <c r="D9" i="5"/>
  <c r="D157" i="5" s="1"/>
  <c r="D14" i="66" s="1"/>
  <c r="D117" i="66" s="1"/>
  <c r="E9" i="5"/>
  <c r="E157" i="5" s="1"/>
  <c r="F9" i="5"/>
  <c r="F157" i="5" s="1"/>
  <c r="F14" i="66" s="1"/>
  <c r="F117" i="66" s="1"/>
  <c r="G9" i="5"/>
  <c r="G157" i="5" s="1"/>
  <c r="I52" i="87" s="1"/>
  <c r="H9" i="5"/>
  <c r="H157" i="5" s="1"/>
  <c r="J52" i="87" s="1"/>
  <c r="I9" i="5"/>
  <c r="I157" i="5" s="1"/>
  <c r="K52" i="87" s="1"/>
  <c r="J9" i="5"/>
  <c r="J157" i="5" s="1"/>
  <c r="L52" i="87" s="1"/>
  <c r="K9" i="5"/>
  <c r="K157" i="5" s="1"/>
  <c r="M52" i="87" s="1"/>
  <c r="L9" i="5"/>
  <c r="L157" i="5" s="1"/>
  <c r="N52" i="87" s="1"/>
  <c r="M9" i="5"/>
  <c r="M157" i="5" s="1"/>
  <c r="O52" i="87" s="1"/>
  <c r="C10" i="5"/>
  <c r="C158" i="5" s="1"/>
  <c r="C15" i="66" s="1"/>
  <c r="C118" i="66" s="1"/>
  <c r="D10" i="5"/>
  <c r="D158" i="5" s="1"/>
  <c r="D15" i="66" s="1"/>
  <c r="D118" i="66" s="1"/>
  <c r="E10" i="5"/>
  <c r="E158" i="5" s="1"/>
  <c r="F10" i="5"/>
  <c r="F158" i="5" s="1"/>
  <c r="F15" i="66" s="1"/>
  <c r="F118" i="66" s="1"/>
  <c r="G10" i="5"/>
  <c r="G158" i="5" s="1"/>
  <c r="H10" i="5"/>
  <c r="H158" i="5" s="1"/>
  <c r="I10" i="5"/>
  <c r="I158" i="5" s="1"/>
  <c r="J10" i="5"/>
  <c r="J158" i="5" s="1"/>
  <c r="K10" i="5"/>
  <c r="K158" i="5" s="1"/>
  <c r="L10" i="5"/>
  <c r="L158" i="5" s="1"/>
  <c r="M10" i="5"/>
  <c r="M158" i="5" s="1"/>
  <c r="C11" i="5"/>
  <c r="C159" i="5" s="1"/>
  <c r="C16" i="66" s="1"/>
  <c r="C119" i="66" s="1"/>
  <c r="D11" i="5"/>
  <c r="D159" i="5" s="1"/>
  <c r="D16" i="66" s="1"/>
  <c r="D119" i="66" s="1"/>
  <c r="E11" i="5"/>
  <c r="E159" i="5" s="1"/>
  <c r="F11" i="5"/>
  <c r="F159" i="5" s="1"/>
  <c r="F16" i="66" s="1"/>
  <c r="F119" i="66" s="1"/>
  <c r="G11" i="5"/>
  <c r="G159" i="5" s="1"/>
  <c r="G16" i="66" s="1"/>
  <c r="G119" i="66" s="1"/>
  <c r="H11" i="5"/>
  <c r="H159" i="5" s="1"/>
  <c r="H16" i="66" s="1"/>
  <c r="H119" i="66" s="1"/>
  <c r="I11" i="5"/>
  <c r="I159" i="5" s="1"/>
  <c r="I16" i="66" s="1"/>
  <c r="I119" i="66" s="1"/>
  <c r="J11" i="5"/>
  <c r="J159" i="5" s="1"/>
  <c r="J16" i="66" s="1"/>
  <c r="J119" i="66" s="1"/>
  <c r="K11" i="5"/>
  <c r="K159" i="5" s="1"/>
  <c r="K16" i="66" s="1"/>
  <c r="K119" i="66" s="1"/>
  <c r="L11" i="5"/>
  <c r="L159" i="5" s="1"/>
  <c r="L16" i="66" s="1"/>
  <c r="L119" i="66" s="1"/>
  <c r="M11" i="5"/>
  <c r="M159" i="5" s="1"/>
  <c r="M16" i="66" s="1"/>
  <c r="M119" i="66" s="1"/>
  <c r="C12" i="5"/>
  <c r="C160" i="5" s="1"/>
  <c r="C17" i="66" s="1"/>
  <c r="C120" i="66" s="1"/>
  <c r="D12" i="5"/>
  <c r="D160" i="5" s="1"/>
  <c r="D17" i="66" s="1"/>
  <c r="D120" i="66" s="1"/>
  <c r="E12" i="5"/>
  <c r="E160" i="5" s="1"/>
  <c r="F12" i="5"/>
  <c r="F160" i="5" s="1"/>
  <c r="F17" i="66" s="1"/>
  <c r="F120" i="66" s="1"/>
  <c r="G12" i="5"/>
  <c r="G160" i="5" s="1"/>
  <c r="G17" i="66" s="1"/>
  <c r="G120" i="66" s="1"/>
  <c r="H12" i="5"/>
  <c r="H160" i="5" s="1"/>
  <c r="H17" i="66" s="1"/>
  <c r="H120" i="66" s="1"/>
  <c r="I12" i="5"/>
  <c r="I160" i="5" s="1"/>
  <c r="I17" i="66" s="1"/>
  <c r="I120" i="66" s="1"/>
  <c r="J12" i="5"/>
  <c r="J160" i="5" s="1"/>
  <c r="J17" i="66" s="1"/>
  <c r="J120" i="66" s="1"/>
  <c r="K12" i="5"/>
  <c r="K160" i="5" s="1"/>
  <c r="K17" i="66" s="1"/>
  <c r="K120" i="66" s="1"/>
  <c r="L12" i="5"/>
  <c r="L160" i="5" s="1"/>
  <c r="L17" i="66" s="1"/>
  <c r="L120" i="66" s="1"/>
  <c r="M12" i="5"/>
  <c r="M160" i="5" s="1"/>
  <c r="M17" i="66" s="1"/>
  <c r="M120" i="66" s="1"/>
  <c r="C13" i="5"/>
  <c r="C161" i="5" s="1"/>
  <c r="C18" i="66" s="1"/>
  <c r="C121" i="66" s="1"/>
  <c r="D13" i="5"/>
  <c r="D161" i="5" s="1"/>
  <c r="D18" i="66" s="1"/>
  <c r="D121" i="66" s="1"/>
  <c r="E13" i="5"/>
  <c r="E161" i="5" s="1"/>
  <c r="F13" i="5"/>
  <c r="F161" i="5" s="1"/>
  <c r="F18" i="66" s="1"/>
  <c r="F121" i="66" s="1"/>
  <c r="G13" i="5"/>
  <c r="G161" i="5" s="1"/>
  <c r="G18" i="66" s="1"/>
  <c r="G121" i="66" s="1"/>
  <c r="H13" i="5"/>
  <c r="H161" i="5" s="1"/>
  <c r="H18" i="66" s="1"/>
  <c r="H121" i="66" s="1"/>
  <c r="I13" i="5"/>
  <c r="I161" i="5" s="1"/>
  <c r="I18" i="66" s="1"/>
  <c r="I121" i="66" s="1"/>
  <c r="J13" i="5"/>
  <c r="J161" i="5" s="1"/>
  <c r="J18" i="66" s="1"/>
  <c r="J121" i="66" s="1"/>
  <c r="K13" i="5"/>
  <c r="K161" i="5" s="1"/>
  <c r="K18" i="66" s="1"/>
  <c r="K121" i="66" s="1"/>
  <c r="L13" i="5"/>
  <c r="L161" i="5" s="1"/>
  <c r="L18" i="66" s="1"/>
  <c r="L121" i="66" s="1"/>
  <c r="M13" i="5"/>
  <c r="M161" i="5" s="1"/>
  <c r="M18" i="66" s="1"/>
  <c r="M121" i="66" s="1"/>
  <c r="C14" i="5"/>
  <c r="C162" i="5" s="1"/>
  <c r="C19" i="66" s="1"/>
  <c r="C122" i="66" s="1"/>
  <c r="D14" i="5"/>
  <c r="D162" i="5" s="1"/>
  <c r="D19" i="66" s="1"/>
  <c r="D122" i="66" s="1"/>
  <c r="E14" i="5"/>
  <c r="E162" i="5" s="1"/>
  <c r="F14" i="5"/>
  <c r="F162" i="5" s="1"/>
  <c r="F19" i="66" s="1"/>
  <c r="F122" i="66" s="1"/>
  <c r="G14" i="5"/>
  <c r="H14" i="5"/>
  <c r="H162" i="5" s="1"/>
  <c r="H19" i="66" s="1"/>
  <c r="H122" i="66" s="1"/>
  <c r="I14" i="5"/>
  <c r="I162" i="5" s="1"/>
  <c r="I19" i="66" s="1"/>
  <c r="I122" i="66" s="1"/>
  <c r="J14" i="5"/>
  <c r="J162" i="5" s="1"/>
  <c r="J19" i="66" s="1"/>
  <c r="J122" i="66" s="1"/>
  <c r="K14" i="5"/>
  <c r="K162" i="5" s="1"/>
  <c r="K19" i="66" s="1"/>
  <c r="K122" i="66" s="1"/>
  <c r="L14" i="5"/>
  <c r="L162" i="5" s="1"/>
  <c r="L19" i="66" s="1"/>
  <c r="L122" i="66" s="1"/>
  <c r="M14" i="5"/>
  <c r="M162" i="5" s="1"/>
  <c r="M19" i="66" s="1"/>
  <c r="M122" i="66" s="1"/>
  <c r="C17" i="5"/>
  <c r="C165" i="5" s="1"/>
  <c r="C22" i="66" s="1"/>
  <c r="C125" i="66" s="1"/>
  <c r="D17" i="5"/>
  <c r="D165" i="5" s="1"/>
  <c r="D22" i="66" s="1"/>
  <c r="D125" i="66" s="1"/>
  <c r="E17" i="5"/>
  <c r="E165" i="5" s="1"/>
  <c r="F17" i="5"/>
  <c r="F165" i="5" s="1"/>
  <c r="F22" i="66" s="1"/>
  <c r="F125" i="66" s="1"/>
  <c r="G17" i="5"/>
  <c r="G165" i="5" s="1"/>
  <c r="G22" i="66" s="1"/>
  <c r="G125" i="66" s="1"/>
  <c r="H17" i="5"/>
  <c r="H165" i="5" s="1"/>
  <c r="H22" i="66" s="1"/>
  <c r="H125" i="66" s="1"/>
  <c r="I17" i="5"/>
  <c r="I165" i="5" s="1"/>
  <c r="I22" i="66" s="1"/>
  <c r="I125" i="66" s="1"/>
  <c r="J17" i="5"/>
  <c r="J165" i="5" s="1"/>
  <c r="J22" i="66" s="1"/>
  <c r="J125" i="66" s="1"/>
  <c r="K17" i="5"/>
  <c r="K165" i="5" s="1"/>
  <c r="K22" i="66" s="1"/>
  <c r="K125" i="66" s="1"/>
  <c r="L17" i="5"/>
  <c r="L165" i="5" s="1"/>
  <c r="L22" i="66" s="1"/>
  <c r="L125" i="66" s="1"/>
  <c r="M17" i="5"/>
  <c r="M165" i="5" s="1"/>
  <c r="M22" i="66" s="1"/>
  <c r="M125" i="66" s="1"/>
  <c r="C21" i="5"/>
  <c r="D21" i="5"/>
  <c r="E21" i="5"/>
  <c r="F21" i="5"/>
  <c r="G21" i="5"/>
  <c r="H21" i="5"/>
  <c r="I21" i="5"/>
  <c r="J21" i="5"/>
  <c r="K21" i="5"/>
  <c r="L21" i="5"/>
  <c r="M21" i="5"/>
  <c r="C22" i="5"/>
  <c r="D22" i="5"/>
  <c r="E22" i="5"/>
  <c r="F22" i="5"/>
  <c r="G22" i="5"/>
  <c r="H22" i="5"/>
  <c r="I22" i="5"/>
  <c r="J22" i="5"/>
  <c r="K22" i="5"/>
  <c r="L22" i="5"/>
  <c r="M22" i="5"/>
  <c r="C23" i="5"/>
  <c r="D23" i="5"/>
  <c r="E23" i="5"/>
  <c r="F23" i="5"/>
  <c r="G23" i="5"/>
  <c r="H23" i="5"/>
  <c r="I23" i="5"/>
  <c r="J23" i="5"/>
  <c r="K23" i="5"/>
  <c r="L23" i="5"/>
  <c r="M23" i="5"/>
  <c r="C24" i="5"/>
  <c r="C172" i="5" s="1"/>
  <c r="C30" i="66" s="1"/>
  <c r="C133" i="66" s="1"/>
  <c r="D24" i="5"/>
  <c r="D172" i="5" s="1"/>
  <c r="D30" i="66" s="1"/>
  <c r="D133" i="66" s="1"/>
  <c r="E24" i="5"/>
  <c r="E172" i="5" s="1"/>
  <c r="F24" i="5"/>
  <c r="F172" i="5" s="1"/>
  <c r="F30" i="66" s="1"/>
  <c r="F133" i="66" s="1"/>
  <c r="G24" i="5"/>
  <c r="G172" i="5" s="1"/>
  <c r="G30" i="66" s="1"/>
  <c r="G133" i="66" s="1"/>
  <c r="H24" i="5"/>
  <c r="H172" i="5" s="1"/>
  <c r="H30" i="66" s="1"/>
  <c r="H133" i="66" s="1"/>
  <c r="I24" i="5"/>
  <c r="I172" i="5" s="1"/>
  <c r="I30" i="66" s="1"/>
  <c r="I133" i="66" s="1"/>
  <c r="J24" i="5"/>
  <c r="J172" i="5" s="1"/>
  <c r="J30" i="66" s="1"/>
  <c r="J133" i="66" s="1"/>
  <c r="K24" i="5"/>
  <c r="K172" i="5" s="1"/>
  <c r="K30" i="66" s="1"/>
  <c r="K133" i="66" s="1"/>
  <c r="L24" i="5"/>
  <c r="L172" i="5" s="1"/>
  <c r="L30" i="66" s="1"/>
  <c r="L133" i="66" s="1"/>
  <c r="M24" i="5"/>
  <c r="M172" i="5" s="1"/>
  <c r="M30" i="66" s="1"/>
  <c r="M133" i="66" s="1"/>
  <c r="C25" i="5"/>
  <c r="C173" i="5" s="1"/>
  <c r="C31" i="66" s="1"/>
  <c r="C134" i="66" s="1"/>
  <c r="D25" i="5"/>
  <c r="D173" i="5" s="1"/>
  <c r="D31" i="66" s="1"/>
  <c r="D134" i="66" s="1"/>
  <c r="E25" i="5"/>
  <c r="E173" i="5" s="1"/>
  <c r="E31" i="66" s="1"/>
  <c r="E134" i="66" s="1"/>
  <c r="F25" i="5"/>
  <c r="F173" i="5" s="1"/>
  <c r="F31" i="66" s="1"/>
  <c r="F134" i="66" s="1"/>
  <c r="G25" i="5"/>
  <c r="G173" i="5" s="1"/>
  <c r="G31" i="66" s="1"/>
  <c r="G134" i="66" s="1"/>
  <c r="H25" i="5"/>
  <c r="H173" i="5" s="1"/>
  <c r="H31" i="66" s="1"/>
  <c r="H134" i="66" s="1"/>
  <c r="I25" i="5"/>
  <c r="I173" i="5" s="1"/>
  <c r="I31" i="66" s="1"/>
  <c r="I134" i="66" s="1"/>
  <c r="J25" i="5"/>
  <c r="J173" i="5" s="1"/>
  <c r="J31" i="66" s="1"/>
  <c r="J134" i="66" s="1"/>
  <c r="K25" i="5"/>
  <c r="K173" i="5" s="1"/>
  <c r="K31" i="66" s="1"/>
  <c r="K134" i="66" s="1"/>
  <c r="L25" i="5"/>
  <c r="L173" i="5" s="1"/>
  <c r="L31" i="66" s="1"/>
  <c r="L134" i="66" s="1"/>
  <c r="M25" i="5"/>
  <c r="M173" i="5" s="1"/>
  <c r="M31" i="66" s="1"/>
  <c r="M134" i="66" s="1"/>
  <c r="C27" i="5"/>
  <c r="C175" i="5" s="1"/>
  <c r="C34" i="66" s="1"/>
  <c r="C137" i="66" s="1"/>
  <c r="D27" i="5"/>
  <c r="D175" i="5" s="1"/>
  <c r="D34" i="66" s="1"/>
  <c r="D137" i="66" s="1"/>
  <c r="E27" i="5"/>
  <c r="E175" i="5" s="1"/>
  <c r="E34" i="66" s="1"/>
  <c r="E137" i="66" s="1"/>
  <c r="F27" i="5"/>
  <c r="F175" i="5" s="1"/>
  <c r="F34" i="66" s="1"/>
  <c r="F137" i="66" s="1"/>
  <c r="G27" i="5"/>
  <c r="G175" i="5" s="1"/>
  <c r="G34" i="66" s="1"/>
  <c r="G137" i="66" s="1"/>
  <c r="H27" i="5"/>
  <c r="H175" i="5" s="1"/>
  <c r="H34" i="66" s="1"/>
  <c r="H137" i="66" s="1"/>
  <c r="I27" i="5"/>
  <c r="I175" i="5" s="1"/>
  <c r="I34" i="66" s="1"/>
  <c r="I137" i="66" s="1"/>
  <c r="J27" i="5"/>
  <c r="J175" i="5" s="1"/>
  <c r="J34" i="66" s="1"/>
  <c r="J137" i="66" s="1"/>
  <c r="K27" i="5"/>
  <c r="K175" i="5" s="1"/>
  <c r="K34" i="66" s="1"/>
  <c r="K137" i="66" s="1"/>
  <c r="L27" i="5"/>
  <c r="L175" i="5" s="1"/>
  <c r="L34" i="66" s="1"/>
  <c r="L137" i="66" s="1"/>
  <c r="M27" i="5"/>
  <c r="M175" i="5" s="1"/>
  <c r="M34" i="66" s="1"/>
  <c r="M137" i="66" s="1"/>
  <c r="C28" i="5"/>
  <c r="C176" i="5" s="1"/>
  <c r="C35" i="66" s="1"/>
  <c r="C138" i="66" s="1"/>
  <c r="D28" i="5"/>
  <c r="D176" i="5" s="1"/>
  <c r="D35" i="66" s="1"/>
  <c r="D138" i="66" s="1"/>
  <c r="E28" i="5"/>
  <c r="E176" i="5" s="1"/>
  <c r="E35" i="66" s="1"/>
  <c r="E138" i="66" s="1"/>
  <c r="F28" i="5"/>
  <c r="F176" i="5" s="1"/>
  <c r="F35" i="66" s="1"/>
  <c r="F138" i="66" s="1"/>
  <c r="G28" i="5"/>
  <c r="G176" i="5" s="1"/>
  <c r="G35" i="66" s="1"/>
  <c r="G138" i="66" s="1"/>
  <c r="H28" i="5"/>
  <c r="H176" i="5" s="1"/>
  <c r="H35" i="66" s="1"/>
  <c r="H138" i="66" s="1"/>
  <c r="I28" i="5"/>
  <c r="I176" i="5" s="1"/>
  <c r="I35" i="66" s="1"/>
  <c r="I138" i="66" s="1"/>
  <c r="J28" i="5"/>
  <c r="J176" i="5" s="1"/>
  <c r="J35" i="66" s="1"/>
  <c r="J138" i="66" s="1"/>
  <c r="K28" i="5"/>
  <c r="K176" i="5" s="1"/>
  <c r="K35" i="66" s="1"/>
  <c r="K138" i="66" s="1"/>
  <c r="L28" i="5"/>
  <c r="L176" i="5" s="1"/>
  <c r="L35" i="66" s="1"/>
  <c r="L138" i="66" s="1"/>
  <c r="M28" i="5"/>
  <c r="M176" i="5" s="1"/>
  <c r="M35" i="66" s="1"/>
  <c r="M138" i="66" s="1"/>
  <c r="B28" i="5"/>
  <c r="B27" i="5"/>
  <c r="B25" i="5"/>
  <c r="B24" i="5"/>
  <c r="B23" i="5"/>
  <c r="B22" i="5"/>
  <c r="B21" i="5"/>
  <c r="B17" i="5"/>
  <c r="B14" i="5"/>
  <c r="B13" i="5"/>
  <c r="B12" i="5"/>
  <c r="B11" i="5"/>
  <c r="B10" i="5"/>
  <c r="B9" i="5"/>
  <c r="B7" i="5"/>
  <c r="B6" i="5"/>
  <c r="C3" i="5"/>
  <c r="C5" i="66" s="1"/>
  <c r="C108" i="66" s="1"/>
  <c r="D3" i="5"/>
  <c r="D5" i="66" s="1"/>
  <c r="E3" i="5"/>
  <c r="E5" i="66" s="1"/>
  <c r="F3" i="5"/>
  <c r="G3" i="5"/>
  <c r="G5" i="66" s="1"/>
  <c r="H3" i="5"/>
  <c r="H5" i="66" s="1"/>
  <c r="I3" i="5"/>
  <c r="I5" i="66" s="1"/>
  <c r="J3" i="5"/>
  <c r="J5" i="66" s="1"/>
  <c r="K3" i="5"/>
  <c r="K5" i="66" s="1"/>
  <c r="L3" i="5"/>
  <c r="L5" i="66" s="1"/>
  <c r="M3" i="5"/>
  <c r="M5" i="66" s="1"/>
  <c r="B3" i="5"/>
  <c r="B5" i="66" s="1"/>
  <c r="B108" i="66" s="1"/>
  <c r="B5" i="5"/>
  <c r="H29" i="6"/>
  <c r="H28" i="6"/>
  <c r="H26" i="6"/>
  <c r="H25" i="6"/>
  <c r="H24" i="6"/>
  <c r="H23" i="6"/>
  <c r="H22" i="6"/>
  <c r="H15" i="6"/>
  <c r="H14" i="6"/>
  <c r="H13" i="6"/>
  <c r="H12" i="6"/>
  <c r="H11" i="6"/>
  <c r="H10" i="6"/>
  <c r="H8" i="6"/>
  <c r="H7" i="6"/>
  <c r="H6" i="6"/>
  <c r="F29" i="6"/>
  <c r="F28" i="6"/>
  <c r="F26" i="6"/>
  <c r="F25" i="6"/>
  <c r="F24" i="6"/>
  <c r="F15" i="6"/>
  <c r="F14" i="6"/>
  <c r="F13" i="6"/>
  <c r="F12" i="6"/>
  <c r="F11" i="6"/>
  <c r="F10" i="6"/>
  <c r="E29" i="6"/>
  <c r="E28" i="6"/>
  <c r="E26" i="6"/>
  <c r="E25" i="6"/>
  <c r="E24" i="6"/>
  <c r="E23" i="6"/>
  <c r="E22" i="6"/>
  <c r="E15" i="6"/>
  <c r="E14" i="6"/>
  <c r="E13" i="6"/>
  <c r="E12" i="6"/>
  <c r="E11" i="6"/>
  <c r="E10" i="6"/>
  <c r="E8" i="6"/>
  <c r="E7" i="6"/>
  <c r="D31" i="6"/>
  <c r="D29" i="6"/>
  <c r="D28" i="6"/>
  <c r="D26" i="6"/>
  <c r="D25" i="6"/>
  <c r="D24" i="6"/>
  <c r="D23" i="6"/>
  <c r="D22" i="6"/>
  <c r="D15" i="6"/>
  <c r="D14" i="6"/>
  <c r="D13" i="6"/>
  <c r="D12" i="6"/>
  <c r="D11" i="6"/>
  <c r="D10" i="6"/>
  <c r="D8" i="6"/>
  <c r="D7" i="6"/>
  <c r="D6" i="6"/>
  <c r="B26" i="6"/>
  <c r="D321" i="1"/>
  <c r="E321" i="1"/>
  <c r="B221" i="1"/>
  <c r="C221" i="1"/>
  <c r="D221" i="1"/>
  <c r="E221" i="1"/>
  <c r="F221" i="1"/>
  <c r="G221" i="1"/>
  <c r="H221" i="1"/>
  <c r="I221" i="1"/>
  <c r="J221" i="1"/>
  <c r="K221" i="1"/>
  <c r="L221" i="1"/>
  <c r="M221" i="1"/>
  <c r="N221" i="1"/>
  <c r="B235" i="1"/>
  <c r="M232" i="1"/>
  <c r="L232" i="1"/>
  <c r="K232" i="1"/>
  <c r="J232" i="1"/>
  <c r="I232" i="1"/>
  <c r="H232" i="1"/>
  <c r="G232" i="1"/>
  <c r="F232" i="1"/>
  <c r="E232" i="1"/>
  <c r="D232" i="1"/>
  <c r="C232" i="1"/>
  <c r="B232" i="1"/>
  <c r="H24" i="60"/>
  <c r="M19" i="5"/>
  <c r="M167" i="5" s="1"/>
  <c r="M24" i="66" s="1"/>
  <c r="M127" i="66" s="1"/>
  <c r="L19" i="5"/>
  <c r="L167" i="5" s="1"/>
  <c r="L24" i="66" s="1"/>
  <c r="L127" i="66" s="1"/>
  <c r="K19" i="5"/>
  <c r="K167" i="5" s="1"/>
  <c r="K24" i="66" s="1"/>
  <c r="K127" i="66" s="1"/>
  <c r="H19" i="5"/>
  <c r="H167" i="5" s="1"/>
  <c r="H24" i="66" s="1"/>
  <c r="H127" i="66" s="1"/>
  <c r="G19" i="5"/>
  <c r="G167" i="5" s="1"/>
  <c r="G24" i="66" s="1"/>
  <c r="G127" i="66" s="1"/>
  <c r="F19" i="5"/>
  <c r="F167" i="5" s="1"/>
  <c r="F24" i="66" s="1"/>
  <c r="F127" i="66" s="1"/>
  <c r="E19" i="5"/>
  <c r="E167" i="5" s="1"/>
  <c r="D19" i="5"/>
  <c r="D167" i="5" s="1"/>
  <c r="D24" i="66" s="1"/>
  <c r="D127" i="66" s="1"/>
  <c r="N214" i="1"/>
  <c r="M214" i="1"/>
  <c r="L214" i="1"/>
  <c r="K214" i="1"/>
  <c r="J214" i="1"/>
  <c r="I214" i="1"/>
  <c r="H214" i="1"/>
  <c r="G214" i="1"/>
  <c r="F214" i="1"/>
  <c r="E214" i="1"/>
  <c r="D214" i="1"/>
  <c r="C214" i="1"/>
  <c r="B214" i="1"/>
  <c r="M204" i="1"/>
  <c r="L204" i="1"/>
  <c r="K204" i="1"/>
  <c r="J204" i="1"/>
  <c r="I204" i="1"/>
  <c r="H204" i="1"/>
  <c r="G204" i="1"/>
  <c r="F204" i="1"/>
  <c r="E204" i="1"/>
  <c r="D204" i="1"/>
  <c r="C204" i="1"/>
  <c r="B204" i="1"/>
  <c r="O198" i="1"/>
  <c r="M194" i="1"/>
  <c r="L194" i="1"/>
  <c r="K194" i="1"/>
  <c r="J194" i="1"/>
  <c r="I194" i="1"/>
  <c r="H194" i="1"/>
  <c r="G194" i="1"/>
  <c r="F194" i="1"/>
  <c r="Q194" i="1" s="1"/>
  <c r="F20" i="6" s="1"/>
  <c r="E194" i="1"/>
  <c r="D194" i="1"/>
  <c r="C194" i="1"/>
  <c r="R194" i="1" s="1"/>
  <c r="O192" i="1"/>
  <c r="M190" i="1"/>
  <c r="L190" i="1"/>
  <c r="K190" i="1"/>
  <c r="J190" i="1"/>
  <c r="I190" i="1"/>
  <c r="H190" i="1"/>
  <c r="G190" i="1"/>
  <c r="F190" i="1"/>
  <c r="E190" i="1"/>
  <c r="D190" i="1"/>
  <c r="C190" i="1"/>
  <c r="B190" i="1"/>
  <c r="N173" i="1"/>
  <c r="M173" i="1"/>
  <c r="L173" i="1"/>
  <c r="K173" i="1"/>
  <c r="J173" i="1"/>
  <c r="I173" i="1"/>
  <c r="H173" i="1"/>
  <c r="G173" i="1"/>
  <c r="F173" i="1"/>
  <c r="E173" i="1"/>
  <c r="D173" i="1"/>
  <c r="C173" i="1"/>
  <c r="B173" i="1"/>
  <c r="M170" i="1"/>
  <c r="L170" i="1"/>
  <c r="K170" i="1"/>
  <c r="J170" i="1"/>
  <c r="I170" i="1"/>
  <c r="H170" i="1"/>
  <c r="G170" i="1"/>
  <c r="F170" i="1"/>
  <c r="E170" i="1"/>
  <c r="D170" i="1"/>
  <c r="C170" i="1"/>
  <c r="B170" i="1"/>
  <c r="N167" i="1"/>
  <c r="E24" i="60" s="1"/>
  <c r="E23" i="60"/>
  <c r="E22" i="60"/>
  <c r="M163" i="1"/>
  <c r="L163" i="1"/>
  <c r="K163" i="1"/>
  <c r="J163" i="1"/>
  <c r="I163" i="1"/>
  <c r="H163" i="1"/>
  <c r="G163" i="1"/>
  <c r="F163" i="1"/>
  <c r="E163" i="1"/>
  <c r="D163" i="1"/>
  <c r="C163" i="1"/>
  <c r="B163" i="1"/>
  <c r="N161" i="1"/>
  <c r="M159" i="1"/>
  <c r="L159" i="1"/>
  <c r="K159" i="1"/>
  <c r="J159" i="1"/>
  <c r="I159" i="1"/>
  <c r="H159" i="1"/>
  <c r="G159" i="1"/>
  <c r="F159" i="1"/>
  <c r="E159" i="1"/>
  <c r="D159" i="1"/>
  <c r="C159" i="1"/>
  <c r="B159" i="1"/>
  <c r="M152" i="1"/>
  <c r="L152" i="1"/>
  <c r="K152" i="1"/>
  <c r="J152" i="1"/>
  <c r="I152" i="1"/>
  <c r="H152" i="1"/>
  <c r="G152" i="1"/>
  <c r="F152" i="1"/>
  <c r="E152" i="1"/>
  <c r="D152" i="1"/>
  <c r="C152" i="1"/>
  <c r="B152" i="1"/>
  <c r="C142" i="1"/>
  <c r="D142" i="1"/>
  <c r="E142" i="1"/>
  <c r="F142" i="1"/>
  <c r="G142" i="1"/>
  <c r="H142" i="1"/>
  <c r="I142" i="1"/>
  <c r="J142" i="1"/>
  <c r="K142" i="1"/>
  <c r="L142" i="1"/>
  <c r="M142" i="1"/>
  <c r="N142" i="1"/>
  <c r="B142" i="1"/>
  <c r="L139" i="1"/>
  <c r="E139" i="1"/>
  <c r="N136" i="1"/>
  <c r="D24" i="60" s="1"/>
  <c r="N135" i="1"/>
  <c r="M139" i="1"/>
  <c r="K139" i="1"/>
  <c r="J139" i="1"/>
  <c r="I139" i="1"/>
  <c r="H139" i="1"/>
  <c r="G139" i="1"/>
  <c r="F139" i="1"/>
  <c r="D139" i="1"/>
  <c r="C139" i="1"/>
  <c r="B139" i="1"/>
  <c r="M132" i="1"/>
  <c r="L132" i="1"/>
  <c r="K132" i="1"/>
  <c r="J132" i="1"/>
  <c r="I132" i="1"/>
  <c r="H132" i="1"/>
  <c r="G132" i="1"/>
  <c r="F132" i="1"/>
  <c r="E132" i="1"/>
  <c r="D132" i="1"/>
  <c r="C132" i="1"/>
  <c r="B132" i="1"/>
  <c r="N130" i="1"/>
  <c r="L128" i="1"/>
  <c r="M128" i="1"/>
  <c r="D15" i="60"/>
  <c r="C128" i="1"/>
  <c r="D13" i="60"/>
  <c r="D128" i="1"/>
  <c r="E128" i="1"/>
  <c r="K128" i="1"/>
  <c r="J128" i="1"/>
  <c r="I128" i="1"/>
  <c r="H128" i="1"/>
  <c r="G128" i="1"/>
  <c r="F128" i="1"/>
  <c r="I121" i="1"/>
  <c r="H121" i="1"/>
  <c r="G121" i="1"/>
  <c r="D7" i="60"/>
  <c r="M121" i="1"/>
  <c r="L121" i="1"/>
  <c r="K121" i="1"/>
  <c r="J121" i="1"/>
  <c r="F121" i="1"/>
  <c r="E121" i="1"/>
  <c r="D121" i="1"/>
  <c r="C121" i="1"/>
  <c r="B121" i="1"/>
  <c r="N105" i="1"/>
  <c r="N80" i="1"/>
  <c r="N62" i="1"/>
  <c r="X44" i="66" l="1"/>
  <c r="AB40" i="66"/>
  <c r="N110" i="5"/>
  <c r="N97" i="5"/>
  <c r="N99" i="5" s="1"/>
  <c r="J15" i="66"/>
  <c r="J118" i="66" s="1"/>
  <c r="AA70" i="88"/>
  <c r="I15" i="66"/>
  <c r="I118" i="66" s="1"/>
  <c r="Z70" i="88"/>
  <c r="H15" i="66"/>
  <c r="H118" i="66" s="1"/>
  <c r="Y70" i="88"/>
  <c r="L15" i="66"/>
  <c r="L118" i="66" s="1"/>
  <c r="AC70" i="88"/>
  <c r="K15" i="66"/>
  <c r="K118" i="66" s="1"/>
  <c r="AB70" i="88"/>
  <c r="M15" i="66"/>
  <c r="M118" i="66" s="1"/>
  <c r="AD70" i="88"/>
  <c r="AD82" i="88" s="1"/>
  <c r="G15" i="66"/>
  <c r="G118" i="66" s="1"/>
  <c r="X70" i="88"/>
  <c r="H30" i="6"/>
  <c r="I33" i="89"/>
  <c r="I34" i="89" s="1"/>
  <c r="Y36" i="66"/>
  <c r="N30" i="89"/>
  <c r="O30" i="89"/>
  <c r="G31" i="89"/>
  <c r="K14" i="66"/>
  <c r="K117" i="66" s="1"/>
  <c r="J14" i="66"/>
  <c r="J117" i="66" s="1"/>
  <c r="I14" i="66"/>
  <c r="I117" i="66" s="1"/>
  <c r="M14" i="66"/>
  <c r="M117" i="66" s="1"/>
  <c r="L14" i="66"/>
  <c r="L117" i="66" s="1"/>
  <c r="H14" i="66"/>
  <c r="H117" i="66" s="1"/>
  <c r="G14" i="66"/>
  <c r="G117" i="66" s="1"/>
  <c r="K6" i="66"/>
  <c r="K109" i="66" s="1"/>
  <c r="K108" i="66"/>
  <c r="H6" i="66"/>
  <c r="H109" i="66" s="1"/>
  <c r="H108" i="66"/>
  <c r="V4" i="66"/>
  <c r="N107" i="66"/>
  <c r="W107" i="66" s="1"/>
  <c r="D6" i="66"/>
  <c r="D109" i="66" s="1"/>
  <c r="D108" i="66"/>
  <c r="I6" i="66"/>
  <c r="I109" i="66" s="1"/>
  <c r="I108" i="66"/>
  <c r="G6" i="66"/>
  <c r="G109" i="66" s="1"/>
  <c r="G108" i="66"/>
  <c r="M6" i="66"/>
  <c r="M109" i="66" s="1"/>
  <c r="M108" i="66"/>
  <c r="J6" i="66"/>
  <c r="J109" i="66" s="1"/>
  <c r="J108" i="66"/>
  <c r="E6" i="66"/>
  <c r="E109" i="66" s="1"/>
  <c r="E108" i="66"/>
  <c r="L6" i="66"/>
  <c r="L109" i="66" s="1"/>
  <c r="L108" i="66"/>
  <c r="Q6" i="5"/>
  <c r="B205" i="1"/>
  <c r="E205" i="1"/>
  <c r="B106" i="5"/>
  <c r="R106" i="5" s="1"/>
  <c r="B107" i="5"/>
  <c r="R107" i="5" s="1"/>
  <c r="F5" i="66"/>
  <c r="Q3" i="5"/>
  <c r="K30" i="6"/>
  <c r="F24" i="73"/>
  <c r="L24" i="73" s="1"/>
  <c r="F25" i="73"/>
  <c r="L25" i="73" s="1"/>
  <c r="F8" i="73"/>
  <c r="L8" i="73" s="1"/>
  <c r="F26" i="73"/>
  <c r="L26" i="73" s="1"/>
  <c r="F9" i="73"/>
  <c r="L9" i="73" s="1"/>
  <c r="O36" i="61"/>
  <c r="D9" i="6"/>
  <c r="E24" i="66"/>
  <c r="E127" i="66" s="1"/>
  <c r="E16" i="66"/>
  <c r="E119" i="66" s="1"/>
  <c r="E14" i="66"/>
  <c r="E117" i="66" s="1"/>
  <c r="E15" i="66"/>
  <c r="E118" i="66" s="1"/>
  <c r="E17" i="66"/>
  <c r="E120" i="66" s="1"/>
  <c r="E30" i="66"/>
  <c r="E133" i="66" s="1"/>
  <c r="E18" i="66"/>
  <c r="E121" i="66" s="1"/>
  <c r="E22" i="66"/>
  <c r="E125" i="66" s="1"/>
  <c r="E19" i="66"/>
  <c r="E122" i="66" s="1"/>
  <c r="F17" i="57"/>
  <c r="F7" i="73"/>
  <c r="G7" i="73" s="1"/>
  <c r="C128" i="5"/>
  <c r="C130" i="5" s="1"/>
  <c r="C132" i="5" s="1"/>
  <c r="C143" i="5" s="1"/>
  <c r="E16" i="6"/>
  <c r="H9" i="6"/>
  <c r="F16" i="6"/>
  <c r="D27" i="6"/>
  <c r="H16" i="6"/>
  <c r="P34" i="61"/>
  <c r="L18" i="61"/>
  <c r="L20" i="61" s="1"/>
  <c r="L23" i="61" s="1"/>
  <c r="L36" i="61" s="1"/>
  <c r="M18" i="61"/>
  <c r="M20" i="61" s="1"/>
  <c r="M23" i="61" s="1"/>
  <c r="M36" i="61" s="1"/>
  <c r="J18" i="61"/>
  <c r="J20" i="61" s="1"/>
  <c r="J23" i="61" s="1"/>
  <c r="J36" i="61" s="1"/>
  <c r="O18" i="61"/>
  <c r="O20" i="61" s="1"/>
  <c r="F19" i="73"/>
  <c r="F21" i="73"/>
  <c r="F32" i="73"/>
  <c r="F15" i="73"/>
  <c r="F14" i="73"/>
  <c r="F13" i="73"/>
  <c r="F27" i="73"/>
  <c r="F11" i="73"/>
  <c r="F28" i="73"/>
  <c r="F12" i="73"/>
  <c r="F31" i="73"/>
  <c r="N18" i="61"/>
  <c r="N20" i="61" s="1"/>
  <c r="N23" i="61" s="1"/>
  <c r="N36" i="61" s="1"/>
  <c r="K18" i="61"/>
  <c r="K20" i="61" s="1"/>
  <c r="K23" i="61" s="1"/>
  <c r="K36" i="61" s="1"/>
  <c r="F21" i="53"/>
  <c r="L21" i="53" s="1"/>
  <c r="Q110" i="5"/>
  <c r="E30" i="6"/>
  <c r="P17" i="61"/>
  <c r="P18" i="61" s="1"/>
  <c r="P20" i="61" s="1"/>
  <c r="P23" i="61" s="1"/>
  <c r="P30" i="61"/>
  <c r="V24" i="6"/>
  <c r="X24" i="6" s="1"/>
  <c r="V23" i="6"/>
  <c r="X23" i="6" s="1"/>
  <c r="V24" i="60"/>
  <c r="X24" i="60" s="1"/>
  <c r="F28" i="53"/>
  <c r="L28" i="53" s="1"/>
  <c r="F24" i="53"/>
  <c r="L24" i="53" s="1"/>
  <c r="F27" i="53"/>
  <c r="L27" i="53" s="1"/>
  <c r="F8" i="53"/>
  <c r="L8" i="53" s="1"/>
  <c r="F25" i="53"/>
  <c r="L25" i="53" s="1"/>
  <c r="F11" i="53"/>
  <c r="L11" i="53" s="1"/>
  <c r="F9" i="53"/>
  <c r="L9" i="53" s="1"/>
  <c r="F26" i="53"/>
  <c r="L26" i="53" s="1"/>
  <c r="F7" i="53"/>
  <c r="L7" i="53" s="1"/>
  <c r="F32" i="53"/>
  <c r="L32" i="53" s="1"/>
  <c r="F15" i="53"/>
  <c r="L15" i="53" s="1"/>
  <c r="F14" i="53"/>
  <c r="L14" i="53" s="1"/>
  <c r="F13" i="53"/>
  <c r="L13" i="53" s="1"/>
  <c r="F12" i="53"/>
  <c r="L12" i="53" s="1"/>
  <c r="D30" i="6"/>
  <c r="E27" i="6"/>
  <c r="D16" i="6"/>
  <c r="E9" i="6"/>
  <c r="H27" i="6"/>
  <c r="B165" i="5"/>
  <c r="R17" i="5"/>
  <c r="Q17" i="5"/>
  <c r="B19" i="57" s="1"/>
  <c r="F30" i="6"/>
  <c r="K36" i="66"/>
  <c r="K139" i="66" s="1"/>
  <c r="Q25" i="60"/>
  <c r="Q10" i="57"/>
  <c r="AB10" i="57" s="1"/>
  <c r="M30" i="60"/>
  <c r="F36" i="66"/>
  <c r="F139" i="66" s="1"/>
  <c r="J205" i="1"/>
  <c r="K205" i="1"/>
  <c r="L205" i="1"/>
  <c r="D36" i="66"/>
  <c r="D139" i="66" s="1"/>
  <c r="K328" i="1"/>
  <c r="N190" i="1"/>
  <c r="N194" i="1"/>
  <c r="O194" i="1" s="1"/>
  <c r="M205" i="1"/>
  <c r="C205" i="1"/>
  <c r="D205" i="1"/>
  <c r="B321" i="1"/>
  <c r="B333" i="1" s="1"/>
  <c r="Q35" i="1"/>
  <c r="B1" i="6" s="1"/>
  <c r="R35" i="1"/>
  <c r="B1" i="60" s="1"/>
  <c r="C1" i="60" s="1"/>
  <c r="R121" i="1"/>
  <c r="Q121" i="1"/>
  <c r="R142" i="1"/>
  <c r="Q142" i="1"/>
  <c r="R139" i="1"/>
  <c r="Q139" i="1"/>
  <c r="R152" i="1"/>
  <c r="Q152" i="1"/>
  <c r="Q159" i="1"/>
  <c r="R159" i="1"/>
  <c r="F205" i="1"/>
  <c r="G205" i="1"/>
  <c r="H205" i="1"/>
  <c r="R214" i="1"/>
  <c r="Q214" i="1"/>
  <c r="R132" i="1"/>
  <c r="Q132" i="1"/>
  <c r="D20" i="6" s="1"/>
  <c r="Q163" i="1"/>
  <c r="E20" i="6" s="1"/>
  <c r="R163" i="1"/>
  <c r="I205" i="1"/>
  <c r="Q170" i="1"/>
  <c r="R170" i="1"/>
  <c r="R173" i="1"/>
  <c r="Q173" i="1"/>
  <c r="R232" i="1"/>
  <c r="Q232" i="1"/>
  <c r="N204" i="1"/>
  <c r="R204" i="1"/>
  <c r="Q204" i="1"/>
  <c r="H36" i="66"/>
  <c r="H139" i="66" s="1"/>
  <c r="J36" i="66"/>
  <c r="J139" i="66" s="1"/>
  <c r="M36" i="66"/>
  <c r="M139" i="66" s="1"/>
  <c r="L36" i="66"/>
  <c r="L139" i="66" s="1"/>
  <c r="I36" i="66"/>
  <c r="I139" i="66" s="1"/>
  <c r="Q235" i="1"/>
  <c r="R235" i="1"/>
  <c r="Q221" i="1"/>
  <c r="R221" i="1"/>
  <c r="R190" i="1"/>
  <c r="Q190" i="1"/>
  <c r="O190" i="1"/>
  <c r="O25" i="60"/>
  <c r="D128" i="5"/>
  <c r="D130" i="5" s="1"/>
  <c r="D132" i="5" s="1"/>
  <c r="D143" i="5" s="1"/>
  <c r="E346" i="72" s="1"/>
  <c r="F31" i="53"/>
  <c r="L31" i="53" s="1"/>
  <c r="U298" i="1"/>
  <c r="G31" i="60"/>
  <c r="Q31" i="60" s="1"/>
  <c r="S31" i="60" s="1"/>
  <c r="G36" i="66"/>
  <c r="G139" i="66" s="1"/>
  <c r="C6" i="66"/>
  <c r="C109" i="66" s="1"/>
  <c r="E36" i="66"/>
  <c r="E139" i="66" s="1"/>
  <c r="B6" i="66"/>
  <c r="V23" i="60"/>
  <c r="X23" i="60" s="1"/>
  <c r="R94" i="5"/>
  <c r="Q94" i="5"/>
  <c r="Q87" i="5"/>
  <c r="R87" i="5"/>
  <c r="K9" i="60"/>
  <c r="F10" i="57"/>
  <c r="C36" i="66"/>
  <c r="C139" i="66" s="1"/>
  <c r="Q141" i="5"/>
  <c r="R141" i="5"/>
  <c r="Q33" i="65"/>
  <c r="R33" i="65" s="1"/>
  <c r="R31" i="65"/>
  <c r="N141" i="5"/>
  <c r="I128" i="5"/>
  <c r="I130" i="5" s="1"/>
  <c r="I132" i="5" s="1"/>
  <c r="I143" i="5" s="1"/>
  <c r="J346" i="72" s="1"/>
  <c r="F128" i="5"/>
  <c r="F130" i="5" s="1"/>
  <c r="F132" i="5" s="1"/>
  <c r="F143" i="5" s="1"/>
  <c r="G346" i="72" s="1"/>
  <c r="K128" i="5"/>
  <c r="K130" i="5" s="1"/>
  <c r="K132" i="5" s="1"/>
  <c r="K143" i="5" s="1"/>
  <c r="L346" i="72" s="1"/>
  <c r="M128" i="5"/>
  <c r="M130" i="5" s="1"/>
  <c r="M132" i="5" s="1"/>
  <c r="M143" i="5" s="1"/>
  <c r="N346" i="72" s="1"/>
  <c r="L128" i="5"/>
  <c r="L130" i="5" s="1"/>
  <c r="L132" i="5" s="1"/>
  <c r="L143" i="5" s="1"/>
  <c r="M346" i="72" s="1"/>
  <c r="J128" i="5"/>
  <c r="J130" i="5" s="1"/>
  <c r="J132" i="5" s="1"/>
  <c r="J143" i="5" s="1"/>
  <c r="K346" i="72" s="1"/>
  <c r="H128" i="5"/>
  <c r="H130" i="5" s="1"/>
  <c r="H132" i="5" s="1"/>
  <c r="H143" i="5" s="1"/>
  <c r="I346" i="72" s="1"/>
  <c r="Q10" i="61"/>
  <c r="N2" i="67"/>
  <c r="R138" i="5"/>
  <c r="Q138" i="5"/>
  <c r="N138" i="5"/>
  <c r="R25" i="65"/>
  <c r="Q29" i="65"/>
  <c r="R29" i="65" s="1"/>
  <c r="R11" i="65"/>
  <c r="Q13" i="6"/>
  <c r="E128" i="5"/>
  <c r="E130" i="5" s="1"/>
  <c r="E132" i="5" s="1"/>
  <c r="E143" i="5" s="1"/>
  <c r="F346" i="72" s="1"/>
  <c r="R120" i="5"/>
  <c r="Q120" i="5"/>
  <c r="Q10" i="65"/>
  <c r="R7" i="65"/>
  <c r="B128" i="5"/>
  <c r="N120" i="5"/>
  <c r="G31" i="6"/>
  <c r="J31" i="6" s="1"/>
  <c r="T298" i="1"/>
  <c r="R14" i="5"/>
  <c r="Q14" i="5"/>
  <c r="B16" i="57" s="1"/>
  <c r="I16" i="57" s="1"/>
  <c r="Q21" i="5"/>
  <c r="B25" i="57" s="1"/>
  <c r="R21" i="5"/>
  <c r="R22" i="5"/>
  <c r="Q22" i="5"/>
  <c r="B26" i="57" s="1"/>
  <c r="C25" i="53" s="1"/>
  <c r="Q13" i="5"/>
  <c r="B15" i="57" s="1"/>
  <c r="I15" i="57" s="1"/>
  <c r="R13" i="5"/>
  <c r="Q5" i="5"/>
  <c r="B7" i="57" s="1"/>
  <c r="C7" i="53" s="1"/>
  <c r="R5" i="5"/>
  <c r="Q23" i="5"/>
  <c r="B27" i="57" s="1"/>
  <c r="C26" i="53" s="1"/>
  <c r="R23" i="5"/>
  <c r="Q25" i="5"/>
  <c r="B29" i="57" s="1"/>
  <c r="I29" i="57" s="1"/>
  <c r="R25" i="5"/>
  <c r="R3" i="5"/>
  <c r="B4" i="61" s="1"/>
  <c r="B8" i="57"/>
  <c r="C8" i="53" s="1"/>
  <c r="R6" i="5"/>
  <c r="R24" i="5"/>
  <c r="Q24" i="5"/>
  <c r="B28" i="57" s="1"/>
  <c r="I28" i="57" s="1"/>
  <c r="Q10" i="5"/>
  <c r="B12" i="57" s="1"/>
  <c r="R10" i="5"/>
  <c r="B176" i="5"/>
  <c r="R28" i="5"/>
  <c r="Q28" i="5"/>
  <c r="B33" i="57" s="1"/>
  <c r="I33" i="57" s="1"/>
  <c r="S33" i="57" s="1"/>
  <c r="Q7" i="5"/>
  <c r="B9" i="57" s="1"/>
  <c r="C9" i="53" s="1"/>
  <c r="R7" i="5"/>
  <c r="Q27" i="5"/>
  <c r="B32" i="57" s="1"/>
  <c r="R27" i="5"/>
  <c r="R11" i="5"/>
  <c r="Q11" i="5"/>
  <c r="B13" i="57" s="1"/>
  <c r="B157" i="5"/>
  <c r="R157" i="5" s="1"/>
  <c r="R9" i="5"/>
  <c r="Q9" i="5"/>
  <c r="B11" i="57" s="1"/>
  <c r="Q12" i="5"/>
  <c r="B14" i="57" s="1"/>
  <c r="I14" i="57" s="1"/>
  <c r="R12" i="5"/>
  <c r="R59" i="5"/>
  <c r="Q59" i="5"/>
  <c r="G29" i="57" s="1"/>
  <c r="V8" i="6"/>
  <c r="X8" i="6" s="1"/>
  <c r="V22" i="6"/>
  <c r="X22" i="6" s="1"/>
  <c r="Q11" i="6"/>
  <c r="Q29" i="6"/>
  <c r="Q12" i="6"/>
  <c r="K27" i="60"/>
  <c r="V6" i="60"/>
  <c r="X6" i="60" s="1"/>
  <c r="W26" i="6"/>
  <c r="F30" i="60"/>
  <c r="D30" i="60"/>
  <c r="E30" i="60"/>
  <c r="C19" i="5"/>
  <c r="C167" i="5" s="1"/>
  <c r="C24" i="66" s="1"/>
  <c r="C127" i="66" s="1"/>
  <c r="N225" i="1"/>
  <c r="O225" i="1" s="1"/>
  <c r="B159" i="5"/>
  <c r="O214" i="1"/>
  <c r="N8" i="1"/>
  <c r="N16" i="1" s="1"/>
  <c r="N18" i="1" s="1"/>
  <c r="N20" i="1" s="1"/>
  <c r="N31" i="1" s="1"/>
  <c r="O235" i="1"/>
  <c r="O221" i="1"/>
  <c r="C177" i="5"/>
  <c r="D177" i="5"/>
  <c r="G177" i="5"/>
  <c r="J177" i="5"/>
  <c r="F177" i="5"/>
  <c r="D9" i="60"/>
  <c r="M177" i="5"/>
  <c r="L177" i="5"/>
  <c r="K177" i="5"/>
  <c r="E177" i="5"/>
  <c r="B161" i="5"/>
  <c r="B160" i="5"/>
  <c r="B162" i="5"/>
  <c r="H177" i="5"/>
  <c r="I177" i="5"/>
  <c r="B175" i="5"/>
  <c r="B172" i="5"/>
  <c r="B173" i="5"/>
  <c r="B158" i="5"/>
  <c r="I163" i="5"/>
  <c r="I20" i="66" s="1"/>
  <c r="I123" i="66" s="1"/>
  <c r="Q29" i="60"/>
  <c r="H16" i="60"/>
  <c r="Q13" i="60"/>
  <c r="H9" i="60"/>
  <c r="R22" i="61"/>
  <c r="R12" i="61"/>
  <c r="R28" i="61"/>
  <c r="R19" i="61"/>
  <c r="R27" i="61"/>
  <c r="R15" i="61"/>
  <c r="R7" i="61"/>
  <c r="R33" i="61"/>
  <c r="R32" i="61"/>
  <c r="R8" i="61"/>
  <c r="R11" i="61"/>
  <c r="R13" i="61"/>
  <c r="R25" i="61"/>
  <c r="R26" i="61"/>
  <c r="R14" i="61"/>
  <c r="F17" i="61"/>
  <c r="F10" i="61"/>
  <c r="R9" i="61"/>
  <c r="Q30" i="61"/>
  <c r="Q34" i="61"/>
  <c r="F30" i="61"/>
  <c r="R35" i="61"/>
  <c r="R29" i="61"/>
  <c r="Q11" i="60"/>
  <c r="F16" i="60"/>
  <c r="E27" i="60"/>
  <c r="Q14" i="60"/>
  <c r="O14" i="60"/>
  <c r="O18" i="60"/>
  <c r="M27" i="60"/>
  <c r="V22" i="60"/>
  <c r="O22" i="60"/>
  <c r="Q10" i="60"/>
  <c r="K16" i="60"/>
  <c r="O31" i="60"/>
  <c r="O7" i="60"/>
  <c r="Q12" i="60"/>
  <c r="O20" i="60"/>
  <c r="O10" i="60"/>
  <c r="O8" i="60"/>
  <c r="O12" i="60"/>
  <c r="H30" i="60"/>
  <c r="M9" i="60"/>
  <c r="V7" i="60"/>
  <c r="H27" i="60"/>
  <c r="O26" i="60"/>
  <c r="O23" i="60"/>
  <c r="Q26" i="60"/>
  <c r="Q28" i="60"/>
  <c r="V8" i="60"/>
  <c r="X8" i="60" s="1"/>
  <c r="O24" i="60"/>
  <c r="O11" i="60"/>
  <c r="O13" i="60"/>
  <c r="M28" i="6"/>
  <c r="M30" i="6" s="1"/>
  <c r="M14" i="6"/>
  <c r="Q14" i="6" s="1"/>
  <c r="O24" i="6"/>
  <c r="O22" i="6"/>
  <c r="K15" i="6"/>
  <c r="K16" i="6" s="1"/>
  <c r="H163" i="5"/>
  <c r="H20" i="66" s="1"/>
  <c r="H123" i="66" s="1"/>
  <c r="F163" i="5"/>
  <c r="F20" i="66" s="1"/>
  <c r="F123" i="66" s="1"/>
  <c r="E163" i="5"/>
  <c r="D163" i="5"/>
  <c r="D20" i="66" s="1"/>
  <c r="D123" i="66" s="1"/>
  <c r="C163" i="5"/>
  <c r="C20" i="66" s="1"/>
  <c r="C123" i="66" s="1"/>
  <c r="M163" i="5"/>
  <c r="M20" i="66" s="1"/>
  <c r="M123" i="66" s="1"/>
  <c r="L163" i="5"/>
  <c r="L20" i="66" s="1"/>
  <c r="L123" i="66" s="1"/>
  <c r="K163" i="5"/>
  <c r="K20" i="66" s="1"/>
  <c r="K123" i="66" s="1"/>
  <c r="J163" i="5"/>
  <c r="J20" i="66" s="1"/>
  <c r="J123" i="66" s="1"/>
  <c r="O23" i="6"/>
  <c r="M20" i="6"/>
  <c r="O20" i="6" s="1"/>
  <c r="M18" i="6"/>
  <c r="Q18" i="6" s="1"/>
  <c r="M7" i="6"/>
  <c r="V7" i="6" s="1"/>
  <c r="X7" i="6" s="1"/>
  <c r="K18" i="6"/>
  <c r="M25" i="6"/>
  <c r="Q25" i="6" s="1"/>
  <c r="M10" i="6"/>
  <c r="M26" i="6"/>
  <c r="O26" i="6" s="1"/>
  <c r="O29" i="6"/>
  <c r="O31" i="6"/>
  <c r="O11" i="6"/>
  <c r="O12" i="6"/>
  <c r="O13" i="6"/>
  <c r="K27" i="6"/>
  <c r="M293" i="1"/>
  <c r="M59" i="5" s="1"/>
  <c r="K293" i="1"/>
  <c r="K59" i="5" s="1"/>
  <c r="L293" i="1"/>
  <c r="L59" i="5" s="1"/>
  <c r="F24" i="60"/>
  <c r="J293" i="1"/>
  <c r="J59" i="5" s="1"/>
  <c r="I293" i="1"/>
  <c r="I59" i="5" s="1"/>
  <c r="B293" i="1"/>
  <c r="B59" i="5" s="1"/>
  <c r="O8" i="6"/>
  <c r="N262" i="1"/>
  <c r="I19" i="5"/>
  <c r="I167" i="5" s="1"/>
  <c r="I24" i="66" s="1"/>
  <c r="I127" i="66" s="1"/>
  <c r="J19" i="5"/>
  <c r="J167" i="5" s="1"/>
  <c r="J24" i="66" s="1"/>
  <c r="J127" i="66" s="1"/>
  <c r="D12" i="60"/>
  <c r="D16" i="60" s="1"/>
  <c r="Q18" i="60"/>
  <c r="D23" i="60"/>
  <c r="B19" i="5"/>
  <c r="H1" i="6"/>
  <c r="E13" i="60"/>
  <c r="E16" i="60" s="1"/>
  <c r="D25" i="60"/>
  <c r="J8" i="5"/>
  <c r="N152" i="1"/>
  <c r="E7" i="60"/>
  <c r="E9" i="60" s="1"/>
  <c r="D29" i="5"/>
  <c r="B15" i="5"/>
  <c r="B95" i="5"/>
  <c r="B110" i="5" s="1"/>
  <c r="R110" i="5" s="1"/>
  <c r="I29" i="5"/>
  <c r="K26" i="5"/>
  <c r="K8" i="5"/>
  <c r="E26" i="5"/>
  <c r="M26" i="5"/>
  <c r="K29" i="5"/>
  <c r="G29" i="5"/>
  <c r="N11" i="5"/>
  <c r="D26" i="5"/>
  <c r="H29" i="5"/>
  <c r="N22" i="5"/>
  <c r="B25" i="65" s="1"/>
  <c r="B8" i="5"/>
  <c r="C29" i="5"/>
  <c r="N13" i="5"/>
  <c r="L29" i="5"/>
  <c r="N25" i="5"/>
  <c r="B28" i="65" s="1"/>
  <c r="N12" i="5"/>
  <c r="B14" i="65" s="1"/>
  <c r="N14" i="5"/>
  <c r="L15" i="5"/>
  <c r="N9" i="5"/>
  <c r="B11" i="65" s="1"/>
  <c r="N27" i="5"/>
  <c r="N17" i="5"/>
  <c r="F26" i="5"/>
  <c r="N10" i="5"/>
  <c r="G8" i="5"/>
  <c r="F8" i="5"/>
  <c r="B26" i="5"/>
  <c r="N23" i="5"/>
  <c r="B26" i="65" s="1"/>
  <c r="E8" i="5"/>
  <c r="N7" i="5"/>
  <c r="B9" i="65" s="1"/>
  <c r="N24" i="5"/>
  <c r="E29" i="5"/>
  <c r="M15" i="5"/>
  <c r="I15" i="5"/>
  <c r="F29" i="5"/>
  <c r="I8" i="5"/>
  <c r="N3" i="5"/>
  <c r="B29" i="5"/>
  <c r="K15" i="5"/>
  <c r="F15" i="5"/>
  <c r="C26" i="5"/>
  <c r="J15" i="5"/>
  <c r="H15" i="5"/>
  <c r="G15" i="5"/>
  <c r="H8" i="5"/>
  <c r="E15" i="5"/>
  <c r="N28" i="5"/>
  <c r="B32" i="65" s="1"/>
  <c r="C8" i="5"/>
  <c r="N6" i="5"/>
  <c r="L26" i="5"/>
  <c r="J26" i="5"/>
  <c r="I26" i="5"/>
  <c r="H26" i="5"/>
  <c r="M8" i="5"/>
  <c r="N21" i="5"/>
  <c r="B24" i="65" s="1"/>
  <c r="D15" i="5"/>
  <c r="N5" i="5"/>
  <c r="C15" i="5"/>
  <c r="M29" i="5"/>
  <c r="J29" i="5"/>
  <c r="G26" i="5"/>
  <c r="L8" i="5"/>
  <c r="D8" i="5"/>
  <c r="F328" i="1"/>
  <c r="M328" i="1"/>
  <c r="L328" i="1"/>
  <c r="D328" i="1"/>
  <c r="J328" i="1"/>
  <c r="I328" i="1"/>
  <c r="E328" i="1"/>
  <c r="C328" i="1"/>
  <c r="H328" i="1"/>
  <c r="E160" i="1"/>
  <c r="E162" i="1" s="1"/>
  <c r="E164" i="1" s="1"/>
  <c r="E175" i="1" s="1"/>
  <c r="E308" i="1" s="1"/>
  <c r="E74" i="5" s="1"/>
  <c r="E42" i="66" s="1"/>
  <c r="E145" i="66" s="1"/>
  <c r="G328" i="1"/>
  <c r="I222" i="1"/>
  <c r="I224" i="1" s="1"/>
  <c r="I226" i="1" s="1"/>
  <c r="I237" i="1" s="1"/>
  <c r="J160" i="1"/>
  <c r="J162" i="1" s="1"/>
  <c r="J164" i="1" s="1"/>
  <c r="J175" i="1" s="1"/>
  <c r="J308" i="1" s="1"/>
  <c r="J74" i="5" s="1"/>
  <c r="J42" i="66" s="1"/>
  <c r="J145" i="66" s="1"/>
  <c r="N232" i="1"/>
  <c r="J222" i="1"/>
  <c r="J224" i="1" s="1"/>
  <c r="J226" i="1" s="1"/>
  <c r="J237" i="1" s="1"/>
  <c r="B222" i="1"/>
  <c r="N222" i="1"/>
  <c r="F222" i="1"/>
  <c r="F224" i="1" s="1"/>
  <c r="F226" i="1" s="1"/>
  <c r="F237" i="1" s="1"/>
  <c r="K222" i="1"/>
  <c r="K224" i="1" s="1"/>
  <c r="K226" i="1" s="1"/>
  <c r="K237" i="1" s="1"/>
  <c r="L222" i="1"/>
  <c r="L224" i="1" s="1"/>
  <c r="L226" i="1" s="1"/>
  <c r="L237" i="1" s="1"/>
  <c r="E222" i="1"/>
  <c r="E224" i="1" s="1"/>
  <c r="E226" i="1" s="1"/>
  <c r="E237" i="1" s="1"/>
  <c r="D160" i="1"/>
  <c r="D162" i="1" s="1"/>
  <c r="D164" i="1" s="1"/>
  <c r="D175" i="1" s="1"/>
  <c r="D308" i="1" s="1"/>
  <c r="D74" i="5" s="1"/>
  <c r="D42" i="66" s="1"/>
  <c r="D145" i="66" s="1"/>
  <c r="D222" i="1"/>
  <c r="D224" i="1" s="1"/>
  <c r="D226" i="1" s="1"/>
  <c r="D237" i="1" s="1"/>
  <c r="F160" i="1"/>
  <c r="F162" i="1" s="1"/>
  <c r="F164" i="1" s="1"/>
  <c r="F175" i="1" s="1"/>
  <c r="F308" i="1" s="1"/>
  <c r="F74" i="5" s="1"/>
  <c r="F42" i="66" s="1"/>
  <c r="F145" i="66" s="1"/>
  <c r="G222" i="1"/>
  <c r="G224" i="1" s="1"/>
  <c r="G226" i="1" s="1"/>
  <c r="G237" i="1" s="1"/>
  <c r="M222" i="1"/>
  <c r="M224" i="1" s="1"/>
  <c r="M226" i="1" s="1"/>
  <c r="M237" i="1" s="1"/>
  <c r="C222" i="1"/>
  <c r="C224" i="1" s="1"/>
  <c r="C226" i="1" s="1"/>
  <c r="C237" i="1" s="1"/>
  <c r="H222" i="1"/>
  <c r="H224" i="1" s="1"/>
  <c r="H226" i="1" s="1"/>
  <c r="H237" i="1" s="1"/>
  <c r="H160" i="1"/>
  <c r="H162" i="1" s="1"/>
  <c r="H164" i="1" s="1"/>
  <c r="H175" i="1" s="1"/>
  <c r="H308" i="1" s="1"/>
  <c r="H74" i="5" s="1"/>
  <c r="H42" i="66" s="1"/>
  <c r="H145" i="66" s="1"/>
  <c r="J129" i="1"/>
  <c r="J131" i="1" s="1"/>
  <c r="J133" i="1" s="1"/>
  <c r="J144" i="1" s="1"/>
  <c r="J306" i="1" s="1"/>
  <c r="J73" i="5" s="1"/>
  <c r="J41" i="66" s="1"/>
  <c r="J144" i="66" s="1"/>
  <c r="I160" i="1"/>
  <c r="I162" i="1" s="1"/>
  <c r="I164" i="1" s="1"/>
  <c r="I175" i="1" s="1"/>
  <c r="I308" i="1" s="1"/>
  <c r="I74" i="5" s="1"/>
  <c r="I42" i="66" s="1"/>
  <c r="I145" i="66" s="1"/>
  <c r="K160" i="1"/>
  <c r="K162" i="1" s="1"/>
  <c r="K164" i="1" s="1"/>
  <c r="K175" i="1" s="1"/>
  <c r="K308" i="1" s="1"/>
  <c r="K74" i="5" s="1"/>
  <c r="K42" i="66" s="1"/>
  <c r="K145" i="66" s="1"/>
  <c r="L160" i="1"/>
  <c r="L162" i="1" s="1"/>
  <c r="L164" i="1" s="1"/>
  <c r="L175" i="1" s="1"/>
  <c r="L308" i="1" s="1"/>
  <c r="L74" i="5" s="1"/>
  <c r="L42" i="66" s="1"/>
  <c r="L145" i="66" s="1"/>
  <c r="M160" i="1"/>
  <c r="M162" i="1" s="1"/>
  <c r="M164" i="1" s="1"/>
  <c r="M175" i="1" s="1"/>
  <c r="M308" i="1" s="1"/>
  <c r="M74" i="5" s="1"/>
  <c r="M42" i="66" s="1"/>
  <c r="M145" i="66" s="1"/>
  <c r="G160" i="1"/>
  <c r="G162" i="1" s="1"/>
  <c r="G164" i="1" s="1"/>
  <c r="G175" i="1" s="1"/>
  <c r="G308" i="1" s="1"/>
  <c r="G74" i="5" s="1"/>
  <c r="G42" i="66" s="1"/>
  <c r="G145" i="66" s="1"/>
  <c r="N163" i="1"/>
  <c r="C160" i="1"/>
  <c r="C162" i="1" s="1"/>
  <c r="C164" i="1" s="1"/>
  <c r="C175" i="1" s="1"/>
  <c r="C308" i="1" s="1"/>
  <c r="C74" i="5" s="1"/>
  <c r="C42" i="66" s="1"/>
  <c r="C145" i="66" s="1"/>
  <c r="N159" i="1"/>
  <c r="B160" i="1"/>
  <c r="N170" i="1"/>
  <c r="M129" i="1"/>
  <c r="M131" i="1" s="1"/>
  <c r="M133" i="1" s="1"/>
  <c r="M144" i="1" s="1"/>
  <c r="M306" i="1" s="1"/>
  <c r="M73" i="5" s="1"/>
  <c r="M41" i="66" s="1"/>
  <c r="M144" i="66" s="1"/>
  <c r="N132" i="1"/>
  <c r="N128" i="1"/>
  <c r="K129" i="1"/>
  <c r="K131" i="1" s="1"/>
  <c r="K133" i="1" s="1"/>
  <c r="K144" i="1" s="1"/>
  <c r="K306" i="1" s="1"/>
  <c r="K73" i="5" s="1"/>
  <c r="K41" i="66" s="1"/>
  <c r="K144" i="66" s="1"/>
  <c r="L129" i="1"/>
  <c r="L131" i="1" s="1"/>
  <c r="L133" i="1" s="1"/>
  <c r="L144" i="1" s="1"/>
  <c r="L306" i="1" s="1"/>
  <c r="L73" i="5" s="1"/>
  <c r="L41" i="66" s="1"/>
  <c r="L144" i="66" s="1"/>
  <c r="F129" i="1"/>
  <c r="F131" i="1" s="1"/>
  <c r="F133" i="1" s="1"/>
  <c r="F144" i="1" s="1"/>
  <c r="F306" i="1" s="1"/>
  <c r="F73" i="5" s="1"/>
  <c r="F41" i="66" s="1"/>
  <c r="F144" i="66" s="1"/>
  <c r="G129" i="1"/>
  <c r="G131" i="1" s="1"/>
  <c r="G133" i="1" s="1"/>
  <c r="G144" i="1" s="1"/>
  <c r="G306" i="1" s="1"/>
  <c r="G73" i="5" s="1"/>
  <c r="G41" i="66" s="1"/>
  <c r="G144" i="66" s="1"/>
  <c r="C129" i="1"/>
  <c r="C131" i="1" s="1"/>
  <c r="C133" i="1" s="1"/>
  <c r="C144" i="1" s="1"/>
  <c r="C306" i="1" s="1"/>
  <c r="C73" i="5" s="1"/>
  <c r="C41" i="66" s="1"/>
  <c r="C144" i="66" s="1"/>
  <c r="H129" i="1"/>
  <c r="H131" i="1" s="1"/>
  <c r="H133" i="1" s="1"/>
  <c r="H144" i="1" s="1"/>
  <c r="H306" i="1" s="1"/>
  <c r="H73" i="5" s="1"/>
  <c r="H41" i="66" s="1"/>
  <c r="H144" i="66" s="1"/>
  <c r="D129" i="1"/>
  <c r="D131" i="1" s="1"/>
  <c r="D133" i="1" s="1"/>
  <c r="D144" i="1" s="1"/>
  <c r="D306" i="1" s="1"/>
  <c r="D73" i="5" s="1"/>
  <c r="D41" i="66" s="1"/>
  <c r="D144" i="66" s="1"/>
  <c r="I129" i="1"/>
  <c r="I131" i="1" s="1"/>
  <c r="I133" i="1" s="1"/>
  <c r="I144" i="1" s="1"/>
  <c r="I306" i="1" s="1"/>
  <c r="I73" i="5" s="1"/>
  <c r="I41" i="66" s="1"/>
  <c r="I144" i="66" s="1"/>
  <c r="E129" i="1"/>
  <c r="E131" i="1" s="1"/>
  <c r="E133" i="1" s="1"/>
  <c r="E144" i="1" s="1"/>
  <c r="E306" i="1" s="1"/>
  <c r="E73" i="5" s="1"/>
  <c r="E41" i="66" s="1"/>
  <c r="E144" i="66" s="1"/>
  <c r="N121" i="1"/>
  <c r="B128" i="1"/>
  <c r="N57" i="1"/>
  <c r="B26" i="60" s="1"/>
  <c r="W26" i="60" s="1"/>
  <c r="M56" i="1"/>
  <c r="M261" i="1" s="1"/>
  <c r="L56" i="1"/>
  <c r="L261" i="1" s="1"/>
  <c r="K56" i="1"/>
  <c r="K261" i="1" s="1"/>
  <c r="J56" i="1"/>
  <c r="J261" i="1" s="1"/>
  <c r="I56" i="1"/>
  <c r="I261" i="1" s="1"/>
  <c r="H56" i="1"/>
  <c r="H261" i="1" s="1"/>
  <c r="G56" i="1"/>
  <c r="G261" i="1" s="1"/>
  <c r="F56" i="1"/>
  <c r="F261" i="1" s="1"/>
  <c r="E56" i="1"/>
  <c r="E261" i="1" s="1"/>
  <c r="D56" i="1"/>
  <c r="D261" i="1" s="1"/>
  <c r="C56" i="1"/>
  <c r="C261" i="1" s="1"/>
  <c r="B56" i="1"/>
  <c r="O6" i="1"/>
  <c r="O7" i="1"/>
  <c r="O9" i="1"/>
  <c r="O10" i="1"/>
  <c r="F324" i="1" s="1"/>
  <c r="O11" i="1"/>
  <c r="O12" i="1"/>
  <c r="C44" i="1" s="1"/>
  <c r="C249" i="1" s="1"/>
  <c r="O13" i="1"/>
  <c r="J327" i="1" s="1"/>
  <c r="O14" i="1"/>
  <c r="C46" i="1" s="1"/>
  <c r="C251" i="1" s="1"/>
  <c r="O17" i="1"/>
  <c r="C49" i="1" s="1"/>
  <c r="C254" i="1" s="1"/>
  <c r="C51" i="1"/>
  <c r="C256" i="1" s="1"/>
  <c r="O21" i="1"/>
  <c r="O22" i="1"/>
  <c r="O23" i="1"/>
  <c r="O25" i="1"/>
  <c r="O27" i="1"/>
  <c r="C335" i="1" s="1"/>
  <c r="O28" i="1"/>
  <c r="O29" i="1"/>
  <c r="E337" i="1" s="1"/>
  <c r="O30" i="1"/>
  <c r="C15" i="1"/>
  <c r="D15" i="1"/>
  <c r="E15" i="1"/>
  <c r="F15" i="1"/>
  <c r="G15" i="1"/>
  <c r="H15" i="1"/>
  <c r="I15" i="1"/>
  <c r="J15" i="1"/>
  <c r="K15" i="1"/>
  <c r="L15" i="1"/>
  <c r="M15" i="1"/>
  <c r="O15" i="1"/>
  <c r="C8" i="1"/>
  <c r="D8" i="1"/>
  <c r="E8" i="1"/>
  <c r="F8" i="1"/>
  <c r="G8" i="1"/>
  <c r="H8" i="1"/>
  <c r="I8" i="1"/>
  <c r="J8" i="1"/>
  <c r="K8" i="1"/>
  <c r="L8" i="1"/>
  <c r="M8" i="1"/>
  <c r="C26" i="1"/>
  <c r="D26" i="1"/>
  <c r="E26" i="1"/>
  <c r="F26" i="1"/>
  <c r="G26" i="1"/>
  <c r="H26" i="1"/>
  <c r="I26" i="1"/>
  <c r="J26" i="1"/>
  <c r="K26" i="1"/>
  <c r="L26" i="1"/>
  <c r="M26" i="1"/>
  <c r="O26" i="1"/>
  <c r="B26" i="1"/>
  <c r="Q177" i="5" l="1"/>
  <c r="Z73" i="88"/>
  <c r="Z74" i="88" s="1"/>
  <c r="Z82" i="88"/>
  <c r="AC73" i="88"/>
  <c r="AC74" i="88" s="1"/>
  <c r="AC82" i="88"/>
  <c r="AB73" i="88"/>
  <c r="AB74" i="88" s="1"/>
  <c r="AB82" i="88"/>
  <c r="AA73" i="88"/>
  <c r="AA74" i="88" s="1"/>
  <c r="AA82" i="88"/>
  <c r="Y73" i="88"/>
  <c r="Y74" i="88" s="1"/>
  <c r="Y82" i="88"/>
  <c r="X82" i="88"/>
  <c r="X73" i="88"/>
  <c r="X74" i="88" s="1"/>
  <c r="D17" i="6"/>
  <c r="D19" i="6" s="1"/>
  <c r="Y38" i="66"/>
  <c r="N31" i="89"/>
  <c r="G33" i="89"/>
  <c r="G34" i="89" s="1"/>
  <c r="O31" i="89"/>
  <c r="F6" i="66"/>
  <c r="F109" i="66" s="1"/>
  <c r="F108" i="66"/>
  <c r="P6" i="66"/>
  <c r="B109" i="66"/>
  <c r="P5" i="66"/>
  <c r="G26" i="73"/>
  <c r="G24" i="73"/>
  <c r="B31" i="66"/>
  <c r="P31" i="66" s="1"/>
  <c r="R173" i="5"/>
  <c r="K29" i="60"/>
  <c r="O29" i="60" s="1"/>
  <c r="F33" i="61"/>
  <c r="K28" i="60"/>
  <c r="F32" i="61"/>
  <c r="G8" i="73"/>
  <c r="G25" i="73"/>
  <c r="G9" i="73"/>
  <c r="P36" i="61"/>
  <c r="T28" i="57"/>
  <c r="S28" i="57"/>
  <c r="T29" i="57"/>
  <c r="S29" i="57"/>
  <c r="T14" i="57"/>
  <c r="L7" i="73"/>
  <c r="T15" i="57"/>
  <c r="S15" i="57"/>
  <c r="B18" i="66"/>
  <c r="P18" i="66" s="1"/>
  <c r="R161" i="5"/>
  <c r="B17" i="66"/>
  <c r="P17" i="66" s="1"/>
  <c r="R160" i="5"/>
  <c r="B19" i="66"/>
  <c r="P19" i="66" s="1"/>
  <c r="B30" i="66"/>
  <c r="P30" i="66" s="1"/>
  <c r="R172" i="5"/>
  <c r="B15" i="66"/>
  <c r="P15" i="66" s="1"/>
  <c r="R158" i="5"/>
  <c r="B22" i="66"/>
  <c r="P22" i="66" s="1"/>
  <c r="R165" i="5"/>
  <c r="B35" i="66"/>
  <c r="P35" i="66" s="1"/>
  <c r="R176" i="5"/>
  <c r="B16" i="66"/>
  <c r="P16" i="66" s="1"/>
  <c r="R159" i="5"/>
  <c r="B34" i="66"/>
  <c r="P34" i="66" s="1"/>
  <c r="R175" i="5"/>
  <c r="E20" i="66"/>
  <c r="E123" i="66" s="1"/>
  <c r="E17" i="6"/>
  <c r="E19" i="6" s="1"/>
  <c r="E21" i="6" s="1"/>
  <c r="E32" i="6" s="1"/>
  <c r="F18" i="57"/>
  <c r="F20" i="57" s="1"/>
  <c r="F23" i="57" s="1"/>
  <c r="F36" i="57" s="1"/>
  <c r="I19" i="57"/>
  <c r="C24" i="53"/>
  <c r="B30" i="57"/>
  <c r="C29" i="53" s="1"/>
  <c r="T33" i="57"/>
  <c r="B34" i="57"/>
  <c r="I32" i="57"/>
  <c r="S32" i="57" s="1"/>
  <c r="B17" i="57"/>
  <c r="C17" i="53" s="1"/>
  <c r="I13" i="57"/>
  <c r="H17" i="6"/>
  <c r="H19" i="6" s="1"/>
  <c r="H21" i="6" s="1"/>
  <c r="H32" i="6" s="1"/>
  <c r="L15" i="73"/>
  <c r="G15" i="73"/>
  <c r="L28" i="73"/>
  <c r="G28" i="73"/>
  <c r="L32" i="73"/>
  <c r="G32" i="73"/>
  <c r="R10" i="61"/>
  <c r="F10" i="73"/>
  <c r="L11" i="73"/>
  <c r="G11" i="73"/>
  <c r="L21" i="73"/>
  <c r="G21" i="73"/>
  <c r="L27" i="73"/>
  <c r="G27" i="73"/>
  <c r="L19" i="73"/>
  <c r="G19" i="73"/>
  <c r="R30" i="61"/>
  <c r="F29" i="73"/>
  <c r="E4" i="61"/>
  <c r="E5" i="61" s="1"/>
  <c r="C4" i="73"/>
  <c r="L14" i="73"/>
  <c r="G14" i="73"/>
  <c r="L12" i="73"/>
  <c r="G12" i="73"/>
  <c r="L31" i="73"/>
  <c r="G31" i="73"/>
  <c r="F33" i="73"/>
  <c r="L13" i="73"/>
  <c r="G13" i="73"/>
  <c r="C149" i="5"/>
  <c r="D346" i="72"/>
  <c r="N165" i="5"/>
  <c r="N22" i="66" s="1"/>
  <c r="N125" i="66" s="1"/>
  <c r="R34" i="61"/>
  <c r="O27" i="60"/>
  <c r="K17" i="60"/>
  <c r="K19" i="60" s="1"/>
  <c r="K21" i="60" s="1"/>
  <c r="E336" i="1"/>
  <c r="F336" i="1"/>
  <c r="G336" i="1"/>
  <c r="H336" i="1"/>
  <c r="I336" i="1"/>
  <c r="J336" i="1"/>
  <c r="K336" i="1"/>
  <c r="L336" i="1"/>
  <c r="M336" i="1"/>
  <c r="B336" i="1"/>
  <c r="D336" i="1"/>
  <c r="E335" i="1"/>
  <c r="F335" i="1"/>
  <c r="G335" i="1"/>
  <c r="H335" i="1"/>
  <c r="I335" i="1"/>
  <c r="J335" i="1"/>
  <c r="K335" i="1"/>
  <c r="L335" i="1"/>
  <c r="M335" i="1"/>
  <c r="B335" i="1"/>
  <c r="D335" i="1"/>
  <c r="C336" i="1"/>
  <c r="F29" i="53"/>
  <c r="L29" i="53" s="1"/>
  <c r="F10" i="53"/>
  <c r="L10" i="53" s="1"/>
  <c r="I333" i="1"/>
  <c r="E20" i="60"/>
  <c r="D333" i="1"/>
  <c r="D21" i="6"/>
  <c r="D32" i="6" s="1"/>
  <c r="M333" i="1"/>
  <c r="G333" i="1"/>
  <c r="Q165" i="5"/>
  <c r="H333" i="1"/>
  <c r="K333" i="1"/>
  <c r="J333" i="1"/>
  <c r="L333" i="1"/>
  <c r="F333" i="1"/>
  <c r="C333" i="1"/>
  <c r="E333" i="1"/>
  <c r="O10" i="6"/>
  <c r="M9" i="6"/>
  <c r="E331" i="1"/>
  <c r="J31" i="60"/>
  <c r="M331" i="1"/>
  <c r="G331" i="1"/>
  <c r="F331" i="1"/>
  <c r="H331" i="1"/>
  <c r="B327" i="1"/>
  <c r="B326" i="1"/>
  <c r="B331" i="1"/>
  <c r="B325" i="1"/>
  <c r="B324" i="1"/>
  <c r="B323" i="1"/>
  <c r="B329" i="1"/>
  <c r="B328" i="1"/>
  <c r="N328" i="1" s="1"/>
  <c r="H27" i="65" s="1"/>
  <c r="H29" i="65" s="1"/>
  <c r="I331" i="1"/>
  <c r="D59" i="1"/>
  <c r="D108" i="1" s="1"/>
  <c r="E59" i="1"/>
  <c r="E108" i="1" s="1"/>
  <c r="H59" i="1"/>
  <c r="H108" i="1" s="1"/>
  <c r="J59" i="1"/>
  <c r="J108" i="1" s="1"/>
  <c r="M59" i="1"/>
  <c r="M108" i="1" s="1"/>
  <c r="B59" i="1"/>
  <c r="B108" i="1" s="1"/>
  <c r="C59" i="1"/>
  <c r="C108" i="1" s="1"/>
  <c r="F59" i="1"/>
  <c r="F108" i="1" s="1"/>
  <c r="G59" i="1"/>
  <c r="G108" i="1" s="1"/>
  <c r="I59" i="1"/>
  <c r="I108" i="1" s="1"/>
  <c r="K59" i="1"/>
  <c r="K108" i="1" s="1"/>
  <c r="L59" i="1"/>
  <c r="L108" i="1" s="1"/>
  <c r="K331" i="1"/>
  <c r="J331" i="1"/>
  <c r="C331" i="1"/>
  <c r="L331" i="1"/>
  <c r="E60" i="1"/>
  <c r="F60" i="1"/>
  <c r="J60" i="1"/>
  <c r="B60" i="1"/>
  <c r="C60" i="1"/>
  <c r="G60" i="1"/>
  <c r="H60" i="1"/>
  <c r="I60" i="1"/>
  <c r="K60" i="1"/>
  <c r="L60" i="1"/>
  <c r="M60" i="1"/>
  <c r="D60" i="1"/>
  <c r="D331" i="1"/>
  <c r="C28" i="53"/>
  <c r="C14" i="53"/>
  <c r="I11" i="57"/>
  <c r="C11" i="53"/>
  <c r="I12" i="57"/>
  <c r="S12" i="57" s="1"/>
  <c r="C12" i="53"/>
  <c r="O204" i="1"/>
  <c r="C27" i="53"/>
  <c r="N205" i="1"/>
  <c r="O205" i="1" s="1"/>
  <c r="R205" i="1"/>
  <c r="Q205" i="1"/>
  <c r="R128" i="1"/>
  <c r="Q128" i="1"/>
  <c r="C13" i="53"/>
  <c r="R160" i="1"/>
  <c r="Q160" i="1"/>
  <c r="R293" i="1"/>
  <c r="Q293" i="1"/>
  <c r="C26" i="6" s="1"/>
  <c r="C31" i="53"/>
  <c r="O18" i="6"/>
  <c r="B261" i="1"/>
  <c r="Q56" i="1"/>
  <c r="B25" i="6" s="1"/>
  <c r="R56" i="1"/>
  <c r="C16" i="53"/>
  <c r="C32" i="53"/>
  <c r="C15" i="53"/>
  <c r="R222" i="1"/>
  <c r="Q222" i="1"/>
  <c r="O25" i="6"/>
  <c r="F33" i="53"/>
  <c r="L33" i="53" s="1"/>
  <c r="B8" i="61"/>
  <c r="C8" i="73" s="1"/>
  <c r="B8" i="65"/>
  <c r="B12" i="61"/>
  <c r="B12" i="65"/>
  <c r="I32" i="65"/>
  <c r="B15" i="61"/>
  <c r="B15" i="65"/>
  <c r="I11" i="65"/>
  <c r="B13" i="61"/>
  <c r="B13" i="65"/>
  <c r="Q31" i="6"/>
  <c r="S31" i="6" s="1"/>
  <c r="I28" i="65"/>
  <c r="B19" i="61"/>
  <c r="B19" i="65"/>
  <c r="B28" i="61"/>
  <c r="B27" i="65"/>
  <c r="I14" i="65"/>
  <c r="N5" i="66"/>
  <c r="N108" i="66" s="1"/>
  <c r="B4" i="65"/>
  <c r="B7" i="61"/>
  <c r="B7" i="65"/>
  <c r="B32" i="61"/>
  <c r="B31" i="65"/>
  <c r="B16" i="61"/>
  <c r="B16" i="65"/>
  <c r="Q95" i="5"/>
  <c r="R95" i="5"/>
  <c r="O28" i="6"/>
  <c r="O30" i="6" s="1"/>
  <c r="N157" i="5"/>
  <c r="N14" i="66" s="1"/>
  <c r="B14" i="66"/>
  <c r="P14" i="66" s="1"/>
  <c r="O9" i="60"/>
  <c r="AB26" i="67"/>
  <c r="AB14" i="67"/>
  <c r="AB8" i="67"/>
  <c r="AB11" i="67"/>
  <c r="AB12" i="67"/>
  <c r="AB28" i="67"/>
  <c r="AB25" i="67"/>
  <c r="AB27" i="67"/>
  <c r="AB7" i="67"/>
  <c r="AB15" i="67"/>
  <c r="AB31" i="67"/>
  <c r="AB24" i="67"/>
  <c r="AB9" i="67"/>
  <c r="AB19" i="67"/>
  <c r="AB32" i="67"/>
  <c r="AB13" i="67"/>
  <c r="AB29" i="67"/>
  <c r="AB33" i="67"/>
  <c r="AB10" i="67"/>
  <c r="Q10" i="6"/>
  <c r="B130" i="5"/>
  <c r="R10" i="65"/>
  <c r="B9" i="61"/>
  <c r="B14" i="61"/>
  <c r="R15" i="5"/>
  <c r="B25" i="61"/>
  <c r="R8" i="5"/>
  <c r="B27" i="61"/>
  <c r="C26" i="73" s="1"/>
  <c r="B10" i="57"/>
  <c r="Q173" i="5"/>
  <c r="R29" i="5"/>
  <c r="Q29" i="5"/>
  <c r="B26" i="61"/>
  <c r="Q172" i="5"/>
  <c r="Q157" i="5"/>
  <c r="B33" i="61"/>
  <c r="B11" i="61"/>
  <c r="Q19" i="5"/>
  <c r="B22" i="57" s="1"/>
  <c r="I22" i="57" s="1"/>
  <c r="R19" i="5"/>
  <c r="Q175" i="5"/>
  <c r="Q158" i="5"/>
  <c r="Q160" i="5"/>
  <c r="Q159" i="5"/>
  <c r="Q176" i="5"/>
  <c r="N176" i="5"/>
  <c r="N35" i="66" s="1"/>
  <c r="N138" i="66" s="1"/>
  <c r="N161" i="5"/>
  <c r="N18" i="66" s="1"/>
  <c r="N121" i="66" s="1"/>
  <c r="Q161" i="5"/>
  <c r="Q8" i="5"/>
  <c r="B29" i="61"/>
  <c r="R26" i="5"/>
  <c r="Q26" i="5"/>
  <c r="Q15" i="5"/>
  <c r="Q26" i="6"/>
  <c r="Q20" i="6"/>
  <c r="Q28" i="6"/>
  <c r="Q30" i="6" s="1"/>
  <c r="V26" i="6"/>
  <c r="X26" i="6" s="1"/>
  <c r="K9" i="6"/>
  <c r="K17" i="6" s="1"/>
  <c r="K19" i="6" s="1"/>
  <c r="K21" i="6" s="1"/>
  <c r="K32" i="6" s="1"/>
  <c r="V6" i="6"/>
  <c r="X6" i="6" s="1"/>
  <c r="X9" i="6" s="1"/>
  <c r="N159" i="5"/>
  <c r="N16" i="66" s="1"/>
  <c r="O232" i="1"/>
  <c r="O222" i="1"/>
  <c r="O8" i="1"/>
  <c r="B37" i="1"/>
  <c r="E17" i="60"/>
  <c r="E19" i="60" s="1"/>
  <c r="V26" i="60"/>
  <c r="X26" i="60" s="1"/>
  <c r="N160" i="5"/>
  <c r="N17" i="66" s="1"/>
  <c r="N19" i="5"/>
  <c r="B167" i="5"/>
  <c r="D17" i="60"/>
  <c r="D19" i="60" s="1"/>
  <c r="B177" i="5"/>
  <c r="R177" i="5" s="1"/>
  <c r="N175" i="5"/>
  <c r="N34" i="66" s="1"/>
  <c r="N173" i="5"/>
  <c r="N31" i="66" s="1"/>
  <c r="N172" i="5"/>
  <c r="N30" i="66" s="1"/>
  <c r="N158" i="5"/>
  <c r="N15" i="66" s="1"/>
  <c r="B163" i="5"/>
  <c r="F18" i="61"/>
  <c r="F20" i="61" s="1"/>
  <c r="H17" i="60"/>
  <c r="H19" i="60" s="1"/>
  <c r="X22" i="60"/>
  <c r="X7" i="60"/>
  <c r="X9" i="60" s="1"/>
  <c r="V9" i="60"/>
  <c r="Q30" i="60"/>
  <c r="O14" i="6"/>
  <c r="O7" i="6"/>
  <c r="M27" i="6"/>
  <c r="O27" i="6" s="1"/>
  <c r="E292" i="1"/>
  <c r="E58" i="5" s="1"/>
  <c r="D20" i="60"/>
  <c r="F292" i="1"/>
  <c r="F58" i="5" s="1"/>
  <c r="N293" i="1"/>
  <c r="N59" i="5" s="1"/>
  <c r="G292" i="1"/>
  <c r="G58" i="5" s="1"/>
  <c r="H292" i="1"/>
  <c r="H58" i="5" s="1"/>
  <c r="C292" i="1"/>
  <c r="C58" i="5" s="1"/>
  <c r="J292" i="1"/>
  <c r="J58" i="5" s="1"/>
  <c r="K292" i="1"/>
  <c r="K58" i="5" s="1"/>
  <c r="L292" i="1"/>
  <c r="L58" i="5" s="1"/>
  <c r="D292" i="1"/>
  <c r="D58" i="5" s="1"/>
  <c r="I292" i="1"/>
  <c r="I58" i="5" s="1"/>
  <c r="M292" i="1"/>
  <c r="M58" i="5" s="1"/>
  <c r="C95" i="1"/>
  <c r="H20" i="60"/>
  <c r="Q20" i="60" s="1"/>
  <c r="C93" i="1"/>
  <c r="C100" i="1"/>
  <c r="C98" i="1"/>
  <c r="B129" i="1"/>
  <c r="N139" i="1"/>
  <c r="D22" i="60"/>
  <c r="D27" i="60" s="1"/>
  <c r="J16" i="5"/>
  <c r="J18" i="5" s="1"/>
  <c r="J20" i="5" s="1"/>
  <c r="J31" i="5" s="1"/>
  <c r="F20" i="60"/>
  <c r="N160" i="1"/>
  <c r="B224" i="1"/>
  <c r="N224" i="1"/>
  <c r="B162" i="1"/>
  <c r="K16" i="5"/>
  <c r="K18" i="5" s="1"/>
  <c r="K20" i="5" s="1"/>
  <c r="K31" i="5" s="1"/>
  <c r="B16" i="5"/>
  <c r="C16" i="5"/>
  <c r="C18" i="5" s="1"/>
  <c r="C20" i="5" s="1"/>
  <c r="C31" i="5" s="1"/>
  <c r="E16" i="5"/>
  <c r="E18" i="5" s="1"/>
  <c r="E20" i="5" s="1"/>
  <c r="E31" i="5" s="1"/>
  <c r="F16" i="5"/>
  <c r="F18" i="5" s="1"/>
  <c r="F20" i="5" s="1"/>
  <c r="F31" i="5" s="1"/>
  <c r="N26" i="5"/>
  <c r="B29" i="65" s="1"/>
  <c r="M16" i="5"/>
  <c r="M18" i="5" s="1"/>
  <c r="M20" i="5" s="1"/>
  <c r="M31" i="5" s="1"/>
  <c r="G16" i="5"/>
  <c r="G18" i="5" s="1"/>
  <c r="G20" i="5" s="1"/>
  <c r="G31" i="5" s="1"/>
  <c r="H16" i="5"/>
  <c r="H18" i="5" s="1"/>
  <c r="H20" i="5" s="1"/>
  <c r="H31" i="5" s="1"/>
  <c r="D16" i="5"/>
  <c r="D18" i="5" s="1"/>
  <c r="D20" i="5" s="1"/>
  <c r="D31" i="5" s="1"/>
  <c r="L16" i="5"/>
  <c r="L18" i="5" s="1"/>
  <c r="L20" i="5" s="1"/>
  <c r="L31" i="5" s="1"/>
  <c r="I16" i="5"/>
  <c r="I18" i="5" s="1"/>
  <c r="I20" i="5" s="1"/>
  <c r="I31" i="5" s="1"/>
  <c r="N29" i="5"/>
  <c r="B33" i="65" s="1"/>
  <c r="N8" i="5"/>
  <c r="B10" i="65" s="1"/>
  <c r="N15" i="5"/>
  <c r="B17" i="65" s="1"/>
  <c r="K323" i="1"/>
  <c r="L326" i="1"/>
  <c r="K324" i="1"/>
  <c r="D326" i="1"/>
  <c r="B337" i="1"/>
  <c r="H323" i="1"/>
  <c r="J337" i="1"/>
  <c r="L329" i="1"/>
  <c r="G337" i="1"/>
  <c r="K337" i="1"/>
  <c r="J329" i="1"/>
  <c r="C45" i="1"/>
  <c r="C250" i="1" s="1"/>
  <c r="I327" i="1"/>
  <c r="L327" i="1"/>
  <c r="G327" i="1"/>
  <c r="G329" i="1"/>
  <c r="F327" i="1"/>
  <c r="J326" i="1"/>
  <c r="C327" i="1"/>
  <c r="H327" i="1"/>
  <c r="C43" i="1"/>
  <c r="C248" i="1" s="1"/>
  <c r="G325" i="1"/>
  <c r="J325" i="1"/>
  <c r="C325" i="1"/>
  <c r="D325" i="1"/>
  <c r="E325" i="1"/>
  <c r="I325" i="1"/>
  <c r="L325" i="1"/>
  <c r="M325" i="1"/>
  <c r="G326" i="1"/>
  <c r="F329" i="1"/>
  <c r="K327" i="1"/>
  <c r="K325" i="1"/>
  <c r="I337" i="1"/>
  <c r="C42" i="1"/>
  <c r="C247" i="1" s="1"/>
  <c r="G324" i="1"/>
  <c r="I324" i="1"/>
  <c r="J324" i="1"/>
  <c r="C324" i="1"/>
  <c r="D324" i="1"/>
  <c r="L324" i="1"/>
  <c r="M324" i="1"/>
  <c r="E324" i="1"/>
  <c r="F325" i="1"/>
  <c r="F326" i="1"/>
  <c r="K41" i="1"/>
  <c r="K246" i="1" s="1"/>
  <c r="G323" i="1"/>
  <c r="I323" i="1"/>
  <c r="J323" i="1"/>
  <c r="M323" i="1"/>
  <c r="E323" i="1"/>
  <c r="L323" i="1"/>
  <c r="C323" i="1"/>
  <c r="D323" i="1"/>
  <c r="F323" i="1"/>
  <c r="I329" i="1"/>
  <c r="K329" i="1"/>
  <c r="M337" i="1"/>
  <c r="C329" i="1"/>
  <c r="L337" i="1"/>
  <c r="K326" i="1"/>
  <c r="M329" i="1"/>
  <c r="C326" i="1"/>
  <c r="M327" i="1"/>
  <c r="H337" i="1"/>
  <c r="I326" i="1"/>
  <c r="D327" i="1"/>
  <c r="C337" i="1"/>
  <c r="H329" i="1"/>
  <c r="H324" i="1"/>
  <c r="M326" i="1"/>
  <c r="D337" i="1"/>
  <c r="H325" i="1"/>
  <c r="E329" i="1"/>
  <c r="E327" i="1"/>
  <c r="D329" i="1"/>
  <c r="H326" i="1"/>
  <c r="E326" i="1"/>
  <c r="F337" i="1"/>
  <c r="D16" i="1"/>
  <c r="D18" i="1" s="1"/>
  <c r="D20" i="1" s="1"/>
  <c r="D31" i="1" s="1"/>
  <c r="D32" i="1" s="1"/>
  <c r="I16" i="1"/>
  <c r="I18" i="1" s="1"/>
  <c r="I20" i="1" s="1"/>
  <c r="I31" i="1" s="1"/>
  <c r="I32" i="1" s="1"/>
  <c r="N129" i="1"/>
  <c r="E16" i="1"/>
  <c r="E18" i="1" s="1"/>
  <c r="E20" i="1" s="1"/>
  <c r="E31" i="1" s="1"/>
  <c r="E32" i="1" s="1"/>
  <c r="D55" i="1"/>
  <c r="D260" i="1" s="1"/>
  <c r="D54" i="1"/>
  <c r="D259" i="1" s="1"/>
  <c r="G16" i="1"/>
  <c r="G18" i="1" s="1"/>
  <c r="G20" i="1" s="1"/>
  <c r="G31" i="1" s="1"/>
  <c r="G32" i="1" s="1"/>
  <c r="K37" i="1"/>
  <c r="K242" i="1" s="1"/>
  <c r="C39" i="1"/>
  <c r="C244" i="1" s="1"/>
  <c r="C38" i="1"/>
  <c r="C243" i="1" s="1"/>
  <c r="J37" i="1"/>
  <c r="J242" i="1" s="1"/>
  <c r="D39" i="1"/>
  <c r="D244" i="1" s="1"/>
  <c r="I41" i="1"/>
  <c r="I246" i="1" s="1"/>
  <c r="D43" i="1"/>
  <c r="D248" i="1" s="1"/>
  <c r="L38" i="1"/>
  <c r="L243" i="1" s="1"/>
  <c r="E49" i="1"/>
  <c r="E254" i="1" s="1"/>
  <c r="F49" i="1"/>
  <c r="F254" i="1" s="1"/>
  <c r="E55" i="1"/>
  <c r="D53" i="1"/>
  <c r="D258" i="1" s="1"/>
  <c r="B53" i="1"/>
  <c r="G49" i="1"/>
  <c r="G254" i="1" s="1"/>
  <c r="M37" i="1"/>
  <c r="M242" i="1" s="1"/>
  <c r="H49" i="1"/>
  <c r="H254" i="1" s="1"/>
  <c r="L49" i="1"/>
  <c r="L254" i="1" s="1"/>
  <c r="M49" i="1"/>
  <c r="M254" i="1" s="1"/>
  <c r="E43" i="1"/>
  <c r="E248" i="1" s="1"/>
  <c r="E53" i="1"/>
  <c r="E258" i="1" s="1"/>
  <c r="F43" i="1"/>
  <c r="F248" i="1" s="1"/>
  <c r="F53" i="1"/>
  <c r="F258" i="1" s="1"/>
  <c r="D44" i="1"/>
  <c r="D249" i="1" s="1"/>
  <c r="G53" i="1"/>
  <c r="G258" i="1" s="1"/>
  <c r="E44" i="1"/>
  <c r="E249" i="1" s="1"/>
  <c r="H53" i="1"/>
  <c r="H258" i="1" s="1"/>
  <c r="F44" i="1"/>
  <c r="F249" i="1" s="1"/>
  <c r="I53" i="1"/>
  <c r="I258" i="1" s="1"/>
  <c r="L37" i="1"/>
  <c r="L242" i="1" s="1"/>
  <c r="D49" i="1"/>
  <c r="D254" i="1" s="1"/>
  <c r="M54" i="1"/>
  <c r="M259" i="1" s="1"/>
  <c r="E39" i="1"/>
  <c r="E244" i="1" s="1"/>
  <c r="L41" i="1"/>
  <c r="L246" i="1" s="1"/>
  <c r="F39" i="1"/>
  <c r="F244" i="1" s="1"/>
  <c r="G43" i="1"/>
  <c r="G248" i="1" s="1"/>
  <c r="G55" i="1"/>
  <c r="G260" i="1" s="1"/>
  <c r="G39" i="1"/>
  <c r="G244" i="1" s="1"/>
  <c r="D42" i="1"/>
  <c r="D247" i="1" s="1"/>
  <c r="L43" i="1"/>
  <c r="L248" i="1" s="1"/>
  <c r="J53" i="1"/>
  <c r="J258" i="1" s="1"/>
  <c r="H55" i="1"/>
  <c r="H260" i="1" s="1"/>
  <c r="B41" i="1"/>
  <c r="N56" i="1"/>
  <c r="F42" i="1"/>
  <c r="F247" i="1" s="1"/>
  <c r="B54" i="1"/>
  <c r="I37" i="1"/>
  <c r="I242" i="1" s="1"/>
  <c r="D41" i="1"/>
  <c r="D246" i="1" s="1"/>
  <c r="E51" i="1"/>
  <c r="E256" i="1" s="1"/>
  <c r="E54" i="1"/>
  <c r="E259" i="1" s="1"/>
  <c r="D38" i="1"/>
  <c r="D243" i="1" s="1"/>
  <c r="E41" i="1"/>
  <c r="E246" i="1" s="1"/>
  <c r="H42" i="1"/>
  <c r="H247" i="1" s="1"/>
  <c r="D45" i="1"/>
  <c r="D250" i="1" s="1"/>
  <c r="F51" i="1"/>
  <c r="F256" i="1" s="1"/>
  <c r="F54" i="1"/>
  <c r="F259" i="1" s="1"/>
  <c r="E38" i="1"/>
  <c r="E243" i="1" s="1"/>
  <c r="F41" i="1"/>
  <c r="F246" i="1" s="1"/>
  <c r="I42" i="1"/>
  <c r="I247" i="1" s="1"/>
  <c r="E45" i="1"/>
  <c r="E250" i="1" s="1"/>
  <c r="G54" i="1"/>
  <c r="G259" i="1" s="1"/>
  <c r="J41" i="1"/>
  <c r="J246" i="1" s="1"/>
  <c r="F55" i="1"/>
  <c r="F260" i="1" s="1"/>
  <c r="M41" i="1"/>
  <c r="M246" i="1" s="1"/>
  <c r="E42" i="1"/>
  <c r="E247" i="1" s="1"/>
  <c r="M53" i="1"/>
  <c r="M258" i="1" s="1"/>
  <c r="C41" i="1"/>
  <c r="D51" i="1"/>
  <c r="D256" i="1" s="1"/>
  <c r="G42" i="1"/>
  <c r="G247" i="1" s="1"/>
  <c r="F38" i="1"/>
  <c r="F243" i="1" s="1"/>
  <c r="G41" i="1"/>
  <c r="G246" i="1" s="1"/>
  <c r="L42" i="1"/>
  <c r="L247" i="1" s="1"/>
  <c r="D46" i="1"/>
  <c r="D251" i="1" s="1"/>
  <c r="C53" i="1"/>
  <c r="C258" i="1" s="1"/>
  <c r="H54" i="1"/>
  <c r="H259" i="1" s="1"/>
  <c r="G38" i="1"/>
  <c r="G243" i="1" s="1"/>
  <c r="H41" i="1"/>
  <c r="H246" i="1" s="1"/>
  <c r="M42" i="1"/>
  <c r="M247" i="1" s="1"/>
  <c r="I54" i="1"/>
  <c r="I259" i="1" s="1"/>
  <c r="F46" i="1"/>
  <c r="F251" i="1" s="1"/>
  <c r="G44" i="1"/>
  <c r="G249" i="1" s="1"/>
  <c r="G45" i="1"/>
  <c r="G250" i="1" s="1"/>
  <c r="G46" i="1"/>
  <c r="G251" i="1" s="1"/>
  <c r="G51" i="1"/>
  <c r="G256" i="1" s="1"/>
  <c r="H37" i="1"/>
  <c r="H242" i="1" s="1"/>
  <c r="H38" i="1"/>
  <c r="H243" i="1" s="1"/>
  <c r="H39" i="1"/>
  <c r="H244" i="1" s="1"/>
  <c r="H43" i="1"/>
  <c r="H248" i="1" s="1"/>
  <c r="H44" i="1"/>
  <c r="H249" i="1" s="1"/>
  <c r="H45" i="1"/>
  <c r="H250" i="1" s="1"/>
  <c r="H46" i="1"/>
  <c r="H251" i="1" s="1"/>
  <c r="H51" i="1"/>
  <c r="H256" i="1" s="1"/>
  <c r="I55" i="1"/>
  <c r="I260" i="1" s="1"/>
  <c r="G37" i="1"/>
  <c r="G242" i="1" s="1"/>
  <c r="I38" i="1"/>
  <c r="I243" i="1" s="1"/>
  <c r="I39" i="1"/>
  <c r="I244" i="1" s="1"/>
  <c r="I43" i="1"/>
  <c r="I248" i="1" s="1"/>
  <c r="I44" i="1"/>
  <c r="I249" i="1" s="1"/>
  <c r="I45" i="1"/>
  <c r="I250" i="1" s="1"/>
  <c r="I46" i="1"/>
  <c r="I251" i="1" s="1"/>
  <c r="I49" i="1"/>
  <c r="I254" i="1" s="1"/>
  <c r="I51" i="1"/>
  <c r="I256" i="1" s="1"/>
  <c r="J54" i="1"/>
  <c r="J259" i="1" s="1"/>
  <c r="J55" i="1"/>
  <c r="J260" i="1" s="1"/>
  <c r="F37" i="1"/>
  <c r="F242" i="1" s="1"/>
  <c r="J38" i="1"/>
  <c r="J243" i="1" s="1"/>
  <c r="J39" i="1"/>
  <c r="J244" i="1" s="1"/>
  <c r="J42" i="1"/>
  <c r="J247" i="1" s="1"/>
  <c r="J43" i="1"/>
  <c r="J248" i="1" s="1"/>
  <c r="J44" i="1"/>
  <c r="J249" i="1" s="1"/>
  <c r="J45" i="1"/>
  <c r="J250" i="1" s="1"/>
  <c r="J46" i="1"/>
  <c r="J251" i="1" s="1"/>
  <c r="J49" i="1"/>
  <c r="J254" i="1" s="1"/>
  <c r="J51" i="1"/>
  <c r="J256" i="1" s="1"/>
  <c r="K53" i="1"/>
  <c r="K258" i="1" s="1"/>
  <c r="K54" i="1"/>
  <c r="K259" i="1" s="1"/>
  <c r="K55" i="1"/>
  <c r="E37" i="1"/>
  <c r="E242" i="1" s="1"/>
  <c r="K38" i="1"/>
  <c r="K243" i="1" s="1"/>
  <c r="K39" i="1"/>
  <c r="K244" i="1" s="1"/>
  <c r="K42" i="1"/>
  <c r="K247" i="1" s="1"/>
  <c r="K43" i="1"/>
  <c r="K248" i="1" s="1"/>
  <c r="K44" i="1"/>
  <c r="K249" i="1" s="1"/>
  <c r="K45" i="1"/>
  <c r="K250" i="1" s="1"/>
  <c r="K46" i="1"/>
  <c r="K251" i="1" s="1"/>
  <c r="K49" i="1"/>
  <c r="K254" i="1" s="1"/>
  <c r="K51" i="1"/>
  <c r="K256" i="1" s="1"/>
  <c r="L53" i="1"/>
  <c r="L258" i="1" s="1"/>
  <c r="L54" i="1"/>
  <c r="L259" i="1" s="1"/>
  <c r="L55" i="1"/>
  <c r="F45" i="1"/>
  <c r="F250" i="1" s="1"/>
  <c r="D37" i="1"/>
  <c r="D242" i="1" s="1"/>
  <c r="L39" i="1"/>
  <c r="L244" i="1" s="1"/>
  <c r="L44" i="1"/>
  <c r="L249" i="1" s="1"/>
  <c r="L51" i="1"/>
  <c r="L256" i="1" s="1"/>
  <c r="M55" i="1"/>
  <c r="M260" i="1" s="1"/>
  <c r="L45" i="1"/>
  <c r="L250" i="1" s="1"/>
  <c r="M38" i="1"/>
  <c r="M243" i="1" s="1"/>
  <c r="M43" i="1"/>
  <c r="M248" i="1" s="1"/>
  <c r="M45" i="1"/>
  <c r="M250" i="1" s="1"/>
  <c r="M51" i="1"/>
  <c r="M256" i="1" s="1"/>
  <c r="B55" i="1"/>
  <c r="B38" i="1"/>
  <c r="B39" i="1"/>
  <c r="B42" i="1"/>
  <c r="B43" i="1"/>
  <c r="B44" i="1"/>
  <c r="B45" i="1"/>
  <c r="B94" i="1" s="1"/>
  <c r="B46" i="1"/>
  <c r="B49" i="1"/>
  <c r="B98" i="1" s="1"/>
  <c r="C54" i="1"/>
  <c r="C259" i="1" s="1"/>
  <c r="C55" i="1"/>
  <c r="C260" i="1" s="1"/>
  <c r="E46" i="1"/>
  <c r="E251" i="1" s="1"/>
  <c r="L46" i="1"/>
  <c r="L251" i="1" s="1"/>
  <c r="C37" i="1"/>
  <c r="C242" i="1" s="1"/>
  <c r="M39" i="1"/>
  <c r="M244" i="1" s="1"/>
  <c r="M44" i="1"/>
  <c r="M249" i="1" s="1"/>
  <c r="M46" i="1"/>
  <c r="M251" i="1" s="1"/>
  <c r="C16" i="1"/>
  <c r="C18" i="1" s="1"/>
  <c r="C20" i="1" s="1"/>
  <c r="C31" i="1" s="1"/>
  <c r="C32" i="1" s="1"/>
  <c r="H16" i="1"/>
  <c r="H18" i="1" s="1"/>
  <c r="H20" i="1" s="1"/>
  <c r="H31" i="1" s="1"/>
  <c r="H32" i="1" s="1"/>
  <c r="M16" i="1"/>
  <c r="M18" i="1" s="1"/>
  <c r="M20" i="1" s="1"/>
  <c r="M31" i="1" s="1"/>
  <c r="M32" i="1" s="1"/>
  <c r="L16" i="1"/>
  <c r="L18" i="1" s="1"/>
  <c r="L20" i="1" s="1"/>
  <c r="L31" i="1" s="1"/>
  <c r="L32" i="1" s="1"/>
  <c r="K16" i="1"/>
  <c r="K18" i="1" s="1"/>
  <c r="K20" i="1" s="1"/>
  <c r="K31" i="1" s="1"/>
  <c r="K32" i="1" s="1"/>
  <c r="J16" i="1"/>
  <c r="J18" i="1" s="1"/>
  <c r="J20" i="1" s="1"/>
  <c r="J31" i="1" s="1"/>
  <c r="J32" i="1" s="1"/>
  <c r="F16" i="1"/>
  <c r="F18" i="1" s="1"/>
  <c r="F20" i="1" s="1"/>
  <c r="F31" i="1" s="1"/>
  <c r="F32" i="1" s="1"/>
  <c r="B15" i="1"/>
  <c r="B8" i="1"/>
  <c r="F34" i="61" l="1"/>
  <c r="F36" i="61"/>
  <c r="R323" i="1"/>
  <c r="Q337" i="1"/>
  <c r="E4" i="65"/>
  <c r="E5" i="65" s="1"/>
  <c r="C21" i="65"/>
  <c r="B18" i="57"/>
  <c r="W108" i="66"/>
  <c r="O33" i="89"/>
  <c r="N33" i="89"/>
  <c r="N133" i="66"/>
  <c r="N119" i="66"/>
  <c r="B134" i="66"/>
  <c r="U134" i="66" s="1"/>
  <c r="N120" i="66"/>
  <c r="V14" i="66"/>
  <c r="B117" i="66"/>
  <c r="U117" i="66" s="1"/>
  <c r="V30" i="66"/>
  <c r="AA30" i="66" s="1"/>
  <c r="B133" i="66"/>
  <c r="U133" i="66" s="1"/>
  <c r="B137" i="66"/>
  <c r="U137" i="66" s="1"/>
  <c r="N117" i="66"/>
  <c r="B138" i="66"/>
  <c r="V18" i="66"/>
  <c r="AA18" i="66" s="1"/>
  <c r="B121" i="66"/>
  <c r="B122" i="66"/>
  <c r="U122" i="66" s="1"/>
  <c r="V31" i="66"/>
  <c r="AA31" i="66" s="1"/>
  <c r="N134" i="66"/>
  <c r="V16" i="66"/>
  <c r="AA16" i="66" s="1"/>
  <c r="B119" i="66"/>
  <c r="U119" i="66" s="1"/>
  <c r="B125" i="66"/>
  <c r="V15" i="66"/>
  <c r="AA15" i="66" s="1"/>
  <c r="B118" i="66"/>
  <c r="U118" i="66" s="1"/>
  <c r="V34" i="66"/>
  <c r="AA34" i="66" s="1"/>
  <c r="N137" i="66"/>
  <c r="V17" i="66"/>
  <c r="AA17" i="66" s="1"/>
  <c r="B120" i="66"/>
  <c r="U120" i="66" s="1"/>
  <c r="N118" i="66"/>
  <c r="W118" i="66" s="1"/>
  <c r="V22" i="66"/>
  <c r="AA22" i="66" s="1"/>
  <c r="V35" i="66"/>
  <c r="AA35" i="66" s="1"/>
  <c r="N6" i="66"/>
  <c r="V5" i="66"/>
  <c r="B24" i="66"/>
  <c r="P24" i="66" s="1"/>
  <c r="R167" i="5"/>
  <c r="K30" i="60"/>
  <c r="K32" i="60" s="1"/>
  <c r="O28" i="60"/>
  <c r="O30" i="60" s="1"/>
  <c r="T19" i="57"/>
  <c r="S19" i="57"/>
  <c r="T22" i="57"/>
  <c r="S22" i="57"/>
  <c r="T13" i="57"/>
  <c r="C26" i="60"/>
  <c r="Q335" i="1"/>
  <c r="H32" i="57" s="1"/>
  <c r="B36" i="66"/>
  <c r="P36" i="66" s="1"/>
  <c r="B20" i="66"/>
  <c r="P20" i="66" s="1"/>
  <c r="Q336" i="1"/>
  <c r="H33" i="57" s="1"/>
  <c r="P19" i="57"/>
  <c r="I17" i="57"/>
  <c r="T32" i="57"/>
  <c r="I34" i="57"/>
  <c r="B20" i="57"/>
  <c r="C10" i="53"/>
  <c r="I10" i="60"/>
  <c r="C8" i="61"/>
  <c r="D26" i="73"/>
  <c r="I33" i="61"/>
  <c r="S33" i="61" s="1"/>
  <c r="C32" i="73"/>
  <c r="D32" i="73" s="1"/>
  <c r="I19" i="61"/>
  <c r="S19" i="61" s="1"/>
  <c r="C19" i="73"/>
  <c r="D19" i="73" s="1"/>
  <c r="D8" i="73"/>
  <c r="L33" i="73"/>
  <c r="G33" i="73"/>
  <c r="L10" i="73"/>
  <c r="G10" i="73"/>
  <c r="I11" i="61"/>
  <c r="S11" i="61" s="1"/>
  <c r="C11" i="73"/>
  <c r="D11" i="73" s="1"/>
  <c r="C16" i="61"/>
  <c r="C16" i="73"/>
  <c r="D16" i="73" s="1"/>
  <c r="L29" i="73"/>
  <c r="G29" i="73"/>
  <c r="I28" i="61"/>
  <c r="S28" i="61" s="1"/>
  <c r="C27" i="73"/>
  <c r="D27" i="73" s="1"/>
  <c r="I14" i="61"/>
  <c r="S14" i="61" s="1"/>
  <c r="C14" i="73"/>
  <c r="D14" i="73" s="1"/>
  <c r="C32" i="61"/>
  <c r="C31" i="73"/>
  <c r="C26" i="61"/>
  <c r="C25" i="73"/>
  <c r="D25" i="73" s="1"/>
  <c r="C9" i="61"/>
  <c r="C9" i="73"/>
  <c r="D9" i="73" s="1"/>
  <c r="I13" i="61"/>
  <c r="S13" i="61" s="1"/>
  <c r="C13" i="73"/>
  <c r="D13" i="73" s="1"/>
  <c r="C7" i="61"/>
  <c r="C7" i="73"/>
  <c r="D7" i="73" s="1"/>
  <c r="I29" i="61"/>
  <c r="S29" i="61" s="1"/>
  <c r="C28" i="73"/>
  <c r="D28" i="73" s="1"/>
  <c r="C12" i="61"/>
  <c r="C12" i="73"/>
  <c r="D12" i="73" s="1"/>
  <c r="C25" i="61"/>
  <c r="C24" i="73"/>
  <c r="D24" i="73" s="1"/>
  <c r="I15" i="61"/>
  <c r="S15" i="61" s="1"/>
  <c r="C15" i="73"/>
  <c r="D15" i="73" s="1"/>
  <c r="N336" i="1"/>
  <c r="R336" i="1"/>
  <c r="N335" i="1"/>
  <c r="R335" i="1"/>
  <c r="B242" i="1"/>
  <c r="B70" i="1"/>
  <c r="T12" i="57"/>
  <c r="T11" i="57"/>
  <c r="E21" i="60"/>
  <c r="E32" i="60" s="1"/>
  <c r="Q328" i="1"/>
  <c r="N333" i="1"/>
  <c r="H21" i="65" s="1"/>
  <c r="Q333" i="1"/>
  <c r="R333" i="1"/>
  <c r="I20" i="60" s="1"/>
  <c r="O9" i="6"/>
  <c r="Q323" i="1"/>
  <c r="I10" i="6" s="1"/>
  <c r="L109" i="1"/>
  <c r="L110" i="1" s="1"/>
  <c r="L265" i="1"/>
  <c r="B109" i="1"/>
  <c r="B110" i="1" s="1"/>
  <c r="Q60" i="1"/>
  <c r="B29" i="6" s="1"/>
  <c r="V29" i="6" s="1"/>
  <c r="X29" i="6" s="1"/>
  <c r="R60" i="1"/>
  <c r="B29" i="60" s="1"/>
  <c r="V29" i="60" s="1"/>
  <c r="X29" i="60" s="1"/>
  <c r="B265" i="1"/>
  <c r="N60" i="1"/>
  <c r="N265" i="1" s="1"/>
  <c r="R324" i="1"/>
  <c r="I11" i="60" s="1"/>
  <c r="Q324" i="1"/>
  <c r="H12" i="57" s="1"/>
  <c r="R328" i="1"/>
  <c r="C8" i="65"/>
  <c r="J109" i="1"/>
  <c r="J110" i="1" s="1"/>
  <c r="J265" i="1"/>
  <c r="C28" i="65"/>
  <c r="F109" i="1"/>
  <c r="F110" i="1" s="1"/>
  <c r="F265" i="1"/>
  <c r="N331" i="1"/>
  <c r="H19" i="65" s="1"/>
  <c r="Q331" i="1"/>
  <c r="H19" i="57" s="1"/>
  <c r="R331" i="1"/>
  <c r="K109" i="1"/>
  <c r="K110" i="1" s="1"/>
  <c r="K265" i="1"/>
  <c r="E109" i="1"/>
  <c r="E110" i="1" s="1"/>
  <c r="E265" i="1"/>
  <c r="C109" i="1"/>
  <c r="C110" i="1" s="1"/>
  <c r="C265" i="1"/>
  <c r="C29" i="65"/>
  <c r="D109" i="1"/>
  <c r="D110" i="1" s="1"/>
  <c r="D265" i="1"/>
  <c r="I109" i="1"/>
  <c r="I110" i="1" s="1"/>
  <c r="I265" i="1"/>
  <c r="H109" i="1"/>
  <c r="H110" i="1" s="1"/>
  <c r="H265" i="1"/>
  <c r="G109" i="1"/>
  <c r="G110" i="1" s="1"/>
  <c r="G265" i="1"/>
  <c r="C13" i="61"/>
  <c r="C7" i="65"/>
  <c r="M109" i="1"/>
  <c r="M110" i="1" s="1"/>
  <c r="M265" i="1"/>
  <c r="B243" i="1"/>
  <c r="Q38" i="1"/>
  <c r="B7" i="6" s="1"/>
  <c r="R38" i="1"/>
  <c r="R55" i="1"/>
  <c r="Q55" i="1"/>
  <c r="B24" i="6" s="1"/>
  <c r="B259" i="1"/>
  <c r="Q54" i="1"/>
  <c r="B23" i="6" s="1"/>
  <c r="R54" i="1"/>
  <c r="I12" i="61"/>
  <c r="S12" i="61" s="1"/>
  <c r="R325" i="1"/>
  <c r="I12" i="60" s="1"/>
  <c r="Q325" i="1"/>
  <c r="C17" i="65"/>
  <c r="C14" i="65"/>
  <c r="N108" i="1"/>
  <c r="C10" i="65"/>
  <c r="R37" i="1"/>
  <c r="Q37" i="1"/>
  <c r="B6" i="6" s="1"/>
  <c r="C33" i="65"/>
  <c r="C9" i="65"/>
  <c r="C25" i="65"/>
  <c r="R42" i="1"/>
  <c r="Q42" i="1"/>
  <c r="B11" i="6" s="1"/>
  <c r="B244" i="1"/>
  <c r="R39" i="1"/>
  <c r="Q39" i="1"/>
  <c r="B8" i="6" s="1"/>
  <c r="R41" i="1"/>
  <c r="Q41" i="1"/>
  <c r="B10" i="6" s="1"/>
  <c r="I32" i="61"/>
  <c r="S32" i="61" s="1"/>
  <c r="Q44" i="1"/>
  <c r="B13" i="6" s="1"/>
  <c r="R44" i="1"/>
  <c r="B258" i="1"/>
  <c r="R53" i="1"/>
  <c r="Q53" i="1"/>
  <c r="B22" i="6" s="1"/>
  <c r="R162" i="1"/>
  <c r="Q162" i="1"/>
  <c r="C24" i="65"/>
  <c r="C32" i="65"/>
  <c r="C21" i="53"/>
  <c r="R326" i="1"/>
  <c r="I13" i="60" s="1"/>
  <c r="Q326" i="1"/>
  <c r="H14" i="57" s="1"/>
  <c r="Q129" i="1"/>
  <c r="R129" i="1"/>
  <c r="C29" i="61"/>
  <c r="R43" i="1"/>
  <c r="Q43" i="1"/>
  <c r="B12" i="6" s="1"/>
  <c r="Q261" i="1"/>
  <c r="R261" i="1"/>
  <c r="B25" i="60"/>
  <c r="V25" i="60" s="1"/>
  <c r="B256" i="1"/>
  <c r="Q51" i="1"/>
  <c r="B20" i="6" s="1"/>
  <c r="R51" i="1"/>
  <c r="R46" i="1"/>
  <c r="Q46" i="1"/>
  <c r="B15" i="6" s="1"/>
  <c r="R329" i="1"/>
  <c r="I15" i="60" s="1"/>
  <c r="Q329" i="1"/>
  <c r="R327" i="1"/>
  <c r="I14" i="60" s="1"/>
  <c r="Q327" i="1"/>
  <c r="R45" i="1"/>
  <c r="Q45" i="1"/>
  <c r="B14" i="6" s="1"/>
  <c r="Q49" i="1"/>
  <c r="B18" i="6" s="1"/>
  <c r="R49" i="1"/>
  <c r="B18" i="60" s="1"/>
  <c r="R337" i="1"/>
  <c r="I28" i="6"/>
  <c r="I30" i="6" s="1"/>
  <c r="R59" i="1"/>
  <c r="Q59" i="1"/>
  <c r="B28" i="6" s="1"/>
  <c r="C33" i="61"/>
  <c r="C33" i="53"/>
  <c r="B34" i="61"/>
  <c r="C34" i="61" s="1"/>
  <c r="C19" i="53"/>
  <c r="R224" i="1"/>
  <c r="Q224" i="1"/>
  <c r="I27" i="65"/>
  <c r="C27" i="65"/>
  <c r="C15" i="61"/>
  <c r="I31" i="65"/>
  <c r="I33" i="65" s="1"/>
  <c r="C31" i="65"/>
  <c r="G29" i="61"/>
  <c r="G28" i="65"/>
  <c r="B10" i="61"/>
  <c r="C19" i="65"/>
  <c r="I19" i="65"/>
  <c r="I16" i="61"/>
  <c r="B30" i="61"/>
  <c r="I12" i="65"/>
  <c r="C12" i="65"/>
  <c r="C19" i="61"/>
  <c r="I13" i="65"/>
  <c r="C13" i="65"/>
  <c r="C26" i="65"/>
  <c r="I15" i="65"/>
  <c r="C15" i="65"/>
  <c r="C14" i="61"/>
  <c r="C28" i="61"/>
  <c r="C11" i="65"/>
  <c r="C16" i="65"/>
  <c r="I16" i="65"/>
  <c r="B22" i="61"/>
  <c r="N36" i="66"/>
  <c r="B132" i="5"/>
  <c r="F264" i="1"/>
  <c r="E264" i="1"/>
  <c r="M264" i="1"/>
  <c r="C264" i="1"/>
  <c r="L264" i="1"/>
  <c r="B247" i="1"/>
  <c r="C27" i="61"/>
  <c r="I264" i="1"/>
  <c r="E260" i="1"/>
  <c r="K260" i="1"/>
  <c r="C246" i="1"/>
  <c r="D264" i="1"/>
  <c r="B254" i="1"/>
  <c r="B251" i="1"/>
  <c r="R16" i="5"/>
  <c r="R18" i="5" s="1"/>
  <c r="R20" i="5" s="1"/>
  <c r="B250" i="1"/>
  <c r="B264" i="1"/>
  <c r="B249" i="1"/>
  <c r="B248" i="1"/>
  <c r="K264" i="1"/>
  <c r="J264" i="1"/>
  <c r="H264" i="1"/>
  <c r="B246" i="1"/>
  <c r="B260" i="1"/>
  <c r="L260" i="1"/>
  <c r="G264" i="1"/>
  <c r="Q16" i="5"/>
  <c r="Q18" i="5" s="1"/>
  <c r="Q20" i="5" s="1"/>
  <c r="B17" i="61"/>
  <c r="C11" i="61"/>
  <c r="Q167" i="5"/>
  <c r="Q58" i="5"/>
  <c r="G28" i="57" s="1"/>
  <c r="O224" i="1"/>
  <c r="D21" i="60"/>
  <c r="D32" i="60" s="1"/>
  <c r="N167" i="5"/>
  <c r="N24" i="66" s="1"/>
  <c r="N127" i="66" s="1"/>
  <c r="N177" i="5"/>
  <c r="B18" i="5"/>
  <c r="N226" i="1"/>
  <c r="V25" i="6"/>
  <c r="W25" i="6"/>
  <c r="W27" i="6" s="1"/>
  <c r="H21" i="60"/>
  <c r="H32" i="60" s="1"/>
  <c r="M95" i="1"/>
  <c r="L100" i="1"/>
  <c r="K93" i="1"/>
  <c r="J94" i="1"/>
  <c r="I94" i="1"/>
  <c r="H75" i="1"/>
  <c r="H103" i="1" s="1"/>
  <c r="F76" i="1"/>
  <c r="F104" i="1" s="1"/>
  <c r="D71" i="1"/>
  <c r="D91" i="1"/>
  <c r="M70" i="1"/>
  <c r="M180" i="1" s="1"/>
  <c r="M93" i="1"/>
  <c r="L93" i="1"/>
  <c r="K92" i="1"/>
  <c r="J93" i="1"/>
  <c r="I93" i="1"/>
  <c r="C74" i="1"/>
  <c r="C196" i="1" s="1"/>
  <c r="J90" i="1"/>
  <c r="E75" i="1"/>
  <c r="E103" i="1" s="1"/>
  <c r="G72" i="1"/>
  <c r="E93" i="1"/>
  <c r="G98" i="1"/>
  <c r="C72" i="1"/>
  <c r="C92" i="1"/>
  <c r="N261" i="1"/>
  <c r="B292" i="1"/>
  <c r="B58" i="5" s="1"/>
  <c r="R58" i="5" s="1"/>
  <c r="M72" i="1"/>
  <c r="K91" i="1"/>
  <c r="J92" i="1"/>
  <c r="I92" i="1"/>
  <c r="D95" i="1"/>
  <c r="G75" i="1"/>
  <c r="G103" i="1" s="1"/>
  <c r="E100" i="1"/>
  <c r="G76" i="1"/>
  <c r="G104" i="1" s="1"/>
  <c r="G74" i="1"/>
  <c r="G102" i="1" s="1"/>
  <c r="K70" i="1"/>
  <c r="D70" i="1"/>
  <c r="J91" i="1"/>
  <c r="I72" i="1"/>
  <c r="G100" i="1"/>
  <c r="L91" i="1"/>
  <c r="E94" i="1"/>
  <c r="D90" i="1"/>
  <c r="G92" i="1"/>
  <c r="D93" i="1"/>
  <c r="D74" i="1"/>
  <c r="D102" i="1" s="1"/>
  <c r="L95" i="1"/>
  <c r="F94" i="1"/>
  <c r="J72" i="1"/>
  <c r="I71" i="1"/>
  <c r="G95" i="1"/>
  <c r="G90" i="1"/>
  <c r="I91" i="1"/>
  <c r="F72" i="1"/>
  <c r="F182" i="1" s="1"/>
  <c r="F74" i="1"/>
  <c r="F102" i="1" s="1"/>
  <c r="D75" i="1"/>
  <c r="D103" i="1" s="1"/>
  <c r="E95" i="1"/>
  <c r="E70" i="1"/>
  <c r="E180" i="1" s="1"/>
  <c r="G70" i="1"/>
  <c r="G180" i="1" s="1"/>
  <c r="G94" i="1"/>
  <c r="F71" i="1"/>
  <c r="F90" i="1"/>
  <c r="L90" i="1"/>
  <c r="F92" i="1"/>
  <c r="F98" i="1"/>
  <c r="D76" i="1"/>
  <c r="D104" i="1" s="1"/>
  <c r="C280" i="1"/>
  <c r="C46" i="5" s="1"/>
  <c r="C76" i="1"/>
  <c r="C104" i="1" s="1"/>
  <c r="M100" i="1"/>
  <c r="L75" i="1"/>
  <c r="L103" i="1" s="1"/>
  <c r="F70" i="1"/>
  <c r="I76" i="1"/>
  <c r="I104" i="1" s="1"/>
  <c r="G93" i="1"/>
  <c r="G91" i="1"/>
  <c r="E71" i="1"/>
  <c r="F91" i="1"/>
  <c r="E72" i="1"/>
  <c r="E74" i="1"/>
  <c r="E102" i="1" s="1"/>
  <c r="E98" i="1"/>
  <c r="C75" i="1"/>
  <c r="C103" i="1" s="1"/>
  <c r="M94" i="1"/>
  <c r="L74" i="1"/>
  <c r="L102" i="1" s="1"/>
  <c r="K75" i="1"/>
  <c r="K103" i="1" s="1"/>
  <c r="J76" i="1"/>
  <c r="J104" i="1" s="1"/>
  <c r="H100" i="1"/>
  <c r="F95" i="1"/>
  <c r="D100" i="1"/>
  <c r="M75" i="1"/>
  <c r="M103" i="1" s="1"/>
  <c r="E92" i="1"/>
  <c r="L71" i="1"/>
  <c r="M92" i="1"/>
  <c r="K100" i="1"/>
  <c r="K74" i="1"/>
  <c r="K102" i="1" s="1"/>
  <c r="H95" i="1"/>
  <c r="I75" i="1"/>
  <c r="I103" i="1" s="1"/>
  <c r="F100" i="1"/>
  <c r="D98" i="1"/>
  <c r="M98" i="1"/>
  <c r="D92" i="1"/>
  <c r="C285" i="1"/>
  <c r="C51" i="5" s="1"/>
  <c r="M71" i="1"/>
  <c r="K98" i="1"/>
  <c r="J100" i="1"/>
  <c r="I100" i="1"/>
  <c r="H94" i="1"/>
  <c r="M91" i="1"/>
  <c r="D94" i="1"/>
  <c r="H76" i="1"/>
  <c r="H104" i="1" s="1"/>
  <c r="L98" i="1"/>
  <c r="I90" i="1"/>
  <c r="L94" i="1"/>
  <c r="K95" i="1"/>
  <c r="J98" i="1"/>
  <c r="I98" i="1"/>
  <c r="H93" i="1"/>
  <c r="H90" i="1"/>
  <c r="E91" i="1"/>
  <c r="H91" i="1"/>
  <c r="H98" i="1"/>
  <c r="C91" i="1"/>
  <c r="C287" i="1"/>
  <c r="C53" i="5" s="1"/>
  <c r="M76" i="1"/>
  <c r="M104" i="1" s="1"/>
  <c r="K94" i="1"/>
  <c r="J95" i="1"/>
  <c r="I95" i="1"/>
  <c r="H92" i="1"/>
  <c r="G71" i="1"/>
  <c r="M90" i="1"/>
  <c r="E90" i="1"/>
  <c r="L92" i="1"/>
  <c r="F93" i="1"/>
  <c r="K90" i="1"/>
  <c r="C94" i="1"/>
  <c r="C282" i="1"/>
  <c r="C48" i="5" s="1"/>
  <c r="B95" i="1"/>
  <c r="B93" i="1"/>
  <c r="B92" i="1"/>
  <c r="N162" i="1"/>
  <c r="B91" i="1"/>
  <c r="B74" i="1"/>
  <c r="B72" i="1"/>
  <c r="B71" i="1"/>
  <c r="B76" i="1"/>
  <c r="B75" i="1"/>
  <c r="B131" i="1"/>
  <c r="N131" i="1"/>
  <c r="B90" i="1"/>
  <c r="B226" i="1"/>
  <c r="B164" i="1"/>
  <c r="N16" i="5"/>
  <c r="B18" i="65" s="1"/>
  <c r="C18" i="65" s="1"/>
  <c r="K330" i="1"/>
  <c r="H330" i="1"/>
  <c r="N337" i="1"/>
  <c r="N323" i="1"/>
  <c r="E330" i="1"/>
  <c r="N324" i="1"/>
  <c r="M330" i="1"/>
  <c r="J330" i="1"/>
  <c r="I330" i="1"/>
  <c r="G330" i="1"/>
  <c r="N325" i="1"/>
  <c r="B330" i="1"/>
  <c r="B332" i="1" s="1"/>
  <c r="F330" i="1"/>
  <c r="D330" i="1"/>
  <c r="N326" i="1"/>
  <c r="N329" i="1"/>
  <c r="N327" i="1"/>
  <c r="C330" i="1"/>
  <c r="L330" i="1"/>
  <c r="C61" i="1"/>
  <c r="K61" i="1"/>
  <c r="J61" i="1"/>
  <c r="D72" i="1"/>
  <c r="D182" i="1" s="1"/>
  <c r="L61" i="1"/>
  <c r="I61" i="1"/>
  <c r="D58" i="1"/>
  <c r="C70" i="1"/>
  <c r="C180" i="1" s="1"/>
  <c r="C47" i="1"/>
  <c r="C90" i="1"/>
  <c r="D61" i="1"/>
  <c r="M61" i="1"/>
  <c r="H61" i="1"/>
  <c r="K71" i="1"/>
  <c r="K181" i="1" s="1"/>
  <c r="L72" i="1"/>
  <c r="J70" i="1"/>
  <c r="J74" i="1"/>
  <c r="J196" i="1" s="1"/>
  <c r="E76" i="1"/>
  <c r="M74" i="1"/>
  <c r="M196" i="1" s="1"/>
  <c r="C71" i="1"/>
  <c r="G61" i="1"/>
  <c r="J71" i="1"/>
  <c r="K72" i="1"/>
  <c r="I70" i="1"/>
  <c r="I180" i="1" s="1"/>
  <c r="I74" i="1"/>
  <c r="I196" i="1" s="1"/>
  <c r="L76" i="1"/>
  <c r="E61" i="1"/>
  <c r="F75" i="1"/>
  <c r="F197" i="1" s="1"/>
  <c r="L70" i="1"/>
  <c r="L180" i="1" s="1"/>
  <c r="F61" i="1"/>
  <c r="H71" i="1"/>
  <c r="H72" i="1"/>
  <c r="H70" i="1"/>
  <c r="H180" i="1" s="1"/>
  <c r="H74" i="1"/>
  <c r="H196" i="1" s="1"/>
  <c r="J75" i="1"/>
  <c r="J103" i="1" s="1"/>
  <c r="K76" i="1"/>
  <c r="E40" i="1"/>
  <c r="C40" i="1"/>
  <c r="J40" i="1"/>
  <c r="K47" i="1"/>
  <c r="L40" i="1"/>
  <c r="I47" i="1"/>
  <c r="G40" i="1"/>
  <c r="F58" i="1"/>
  <c r="E58" i="1"/>
  <c r="K40" i="1"/>
  <c r="G47" i="1"/>
  <c r="I40" i="1"/>
  <c r="F47" i="1"/>
  <c r="L47" i="1"/>
  <c r="F40" i="1"/>
  <c r="B58" i="1"/>
  <c r="L58" i="1"/>
  <c r="K58" i="1"/>
  <c r="N41" i="1"/>
  <c r="B47" i="1"/>
  <c r="M58" i="1"/>
  <c r="H47" i="1"/>
  <c r="J58" i="1"/>
  <c r="I58" i="1"/>
  <c r="M47" i="1"/>
  <c r="E47" i="1"/>
  <c r="H58" i="1"/>
  <c r="B61" i="1"/>
  <c r="N59" i="1"/>
  <c r="C58" i="1"/>
  <c r="J47" i="1"/>
  <c r="B40" i="1"/>
  <c r="N37" i="1"/>
  <c r="H40" i="1"/>
  <c r="G58" i="1"/>
  <c r="M40" i="1"/>
  <c r="D40" i="1"/>
  <c r="D47" i="1"/>
  <c r="N38" i="1"/>
  <c r="N39" i="1"/>
  <c r="N54" i="1"/>
  <c r="N49" i="1"/>
  <c r="N53" i="1"/>
  <c r="O16" i="1"/>
  <c r="N55" i="1"/>
  <c r="N51" i="1"/>
  <c r="N46" i="1"/>
  <c r="N45" i="1"/>
  <c r="N44" i="1"/>
  <c r="N43" i="1"/>
  <c r="N42" i="1"/>
  <c r="B16" i="1"/>
  <c r="B18" i="1" s="1"/>
  <c r="B20" i="1" s="1"/>
  <c r="B31" i="1" s="1"/>
  <c r="B32" i="1" s="1"/>
  <c r="W120" i="66" l="1"/>
  <c r="AB120" i="66" s="1"/>
  <c r="W117" i="66"/>
  <c r="AB117" i="66" s="1"/>
  <c r="U125" i="66"/>
  <c r="W119" i="66"/>
  <c r="AB119" i="66" s="1"/>
  <c r="U138" i="66"/>
  <c r="W137" i="66"/>
  <c r="AB137" i="66" s="1"/>
  <c r="W133" i="66"/>
  <c r="X133" i="66" s="1"/>
  <c r="X135" i="66" s="1"/>
  <c r="B123" i="66"/>
  <c r="U123" i="66" s="1"/>
  <c r="V36" i="66"/>
  <c r="AA36" i="66" s="1"/>
  <c r="N139" i="66"/>
  <c r="AB118" i="66"/>
  <c r="V24" i="66"/>
  <c r="AA24" i="66" s="1"/>
  <c r="B127" i="66"/>
  <c r="V6" i="66"/>
  <c r="N109" i="66"/>
  <c r="W109" i="66" s="1"/>
  <c r="B139" i="66"/>
  <c r="U139" i="66" s="1"/>
  <c r="W134" i="66"/>
  <c r="AB134" i="66" s="1"/>
  <c r="H28" i="61"/>
  <c r="H30" i="61" s="1"/>
  <c r="I25" i="60"/>
  <c r="I27" i="60" s="1"/>
  <c r="H22" i="57"/>
  <c r="I20" i="6"/>
  <c r="H28" i="57"/>
  <c r="H30" i="57" s="1"/>
  <c r="I25" i="6"/>
  <c r="I27" i="6" s="1"/>
  <c r="H34" i="57"/>
  <c r="T34" i="57"/>
  <c r="S34" i="57"/>
  <c r="Y19" i="57"/>
  <c r="R70" i="1"/>
  <c r="B10" i="60"/>
  <c r="W10" i="60" s="1"/>
  <c r="I12" i="6"/>
  <c r="H13" i="57"/>
  <c r="I15" i="6"/>
  <c r="H16" i="57"/>
  <c r="I14" i="6"/>
  <c r="H15" i="57"/>
  <c r="B23" i="57"/>
  <c r="R256" i="1"/>
  <c r="K295" i="1"/>
  <c r="K61" i="5" s="1"/>
  <c r="H33" i="61"/>
  <c r="I29" i="60"/>
  <c r="I295" i="1"/>
  <c r="I61" i="5"/>
  <c r="H32" i="61"/>
  <c r="I28" i="60"/>
  <c r="C295" i="1"/>
  <c r="C61" i="5" s="1"/>
  <c r="M295" i="1"/>
  <c r="M61" i="5" s="1"/>
  <c r="G295" i="1"/>
  <c r="G61" i="5" s="1"/>
  <c r="B180" i="1"/>
  <c r="H19" i="61"/>
  <c r="I18" i="60"/>
  <c r="C17" i="61"/>
  <c r="C17" i="73"/>
  <c r="D17" i="73" s="1"/>
  <c r="T12" i="61"/>
  <c r="C21" i="73"/>
  <c r="D21" i="73" s="1"/>
  <c r="T14" i="61"/>
  <c r="D31" i="73"/>
  <c r="C33" i="73"/>
  <c r="C30" i="61"/>
  <c r="C29" i="73"/>
  <c r="D29" i="73" s="1"/>
  <c r="T15" i="61"/>
  <c r="T13" i="61"/>
  <c r="T28" i="61"/>
  <c r="T29" i="61"/>
  <c r="T32" i="61"/>
  <c r="T19" i="61"/>
  <c r="T11" i="61"/>
  <c r="C10" i="61"/>
  <c r="C10" i="73"/>
  <c r="D10" i="73" s="1"/>
  <c r="T33" i="61"/>
  <c r="L266" i="1"/>
  <c r="B20" i="60"/>
  <c r="B334" i="1"/>
  <c r="I11" i="6"/>
  <c r="B8" i="60"/>
  <c r="I332" i="1"/>
  <c r="I334" i="1" s="1"/>
  <c r="G332" i="1"/>
  <c r="G334" i="1" s="1"/>
  <c r="K332" i="1"/>
  <c r="K334" i="1" s="1"/>
  <c r="M332" i="1"/>
  <c r="M334" i="1" s="1"/>
  <c r="M339" i="1" s="1"/>
  <c r="M310" i="1" s="1"/>
  <c r="M76" i="5" s="1"/>
  <c r="F332" i="1"/>
  <c r="F334" i="1" s="1"/>
  <c r="F339" i="1" s="1"/>
  <c r="F310" i="1" s="1"/>
  <c r="F76" i="5" s="1"/>
  <c r="F44" i="66" s="1"/>
  <c r="F147" i="66" s="1"/>
  <c r="J332" i="1"/>
  <c r="J334" i="1" s="1"/>
  <c r="J339" i="1" s="1"/>
  <c r="J310" i="1" s="1"/>
  <c r="J76" i="5" s="1"/>
  <c r="J44" i="66" s="1"/>
  <c r="J147" i="66" s="1"/>
  <c r="B7" i="60"/>
  <c r="H332" i="1"/>
  <c r="H334" i="1" s="1"/>
  <c r="I22" i="61"/>
  <c r="S22" i="61" s="1"/>
  <c r="C332" i="1"/>
  <c r="C334" i="1" s="1"/>
  <c r="B12" i="60"/>
  <c r="W12" i="60" s="1"/>
  <c r="H11" i="57"/>
  <c r="L332" i="1"/>
  <c r="L334" i="1" s="1"/>
  <c r="L339" i="1" s="1"/>
  <c r="L310" i="1" s="1"/>
  <c r="L76" i="5" s="1"/>
  <c r="L44" i="66" s="1"/>
  <c r="L147" i="66" s="1"/>
  <c r="E332" i="1"/>
  <c r="E334" i="1" s="1"/>
  <c r="D332" i="1"/>
  <c r="D334" i="1" s="1"/>
  <c r="C296" i="1"/>
  <c r="C62" i="5" s="1"/>
  <c r="W25" i="60"/>
  <c r="W27" i="60" s="1"/>
  <c r="K296" i="1"/>
  <c r="N109" i="1"/>
  <c r="N296" i="1" s="1"/>
  <c r="N62" i="5" s="1"/>
  <c r="G32" i="65" s="1"/>
  <c r="Q109" i="1"/>
  <c r="R109" i="1"/>
  <c r="B296" i="1"/>
  <c r="B62" i="5" s="1"/>
  <c r="L296" i="1"/>
  <c r="L62" i="5" s="1"/>
  <c r="I17" i="61"/>
  <c r="I296" i="1"/>
  <c r="I62" i="5" s="1"/>
  <c r="F296" i="1"/>
  <c r="F62" i="5" s="1"/>
  <c r="G296" i="1"/>
  <c r="G62" i="5" s="1"/>
  <c r="H296" i="1"/>
  <c r="H62" i="5" s="1"/>
  <c r="F266" i="1"/>
  <c r="J296" i="1"/>
  <c r="J62" i="5" s="1"/>
  <c r="D296" i="1"/>
  <c r="D62" i="5" s="1"/>
  <c r="E296" i="1"/>
  <c r="E62" i="5" s="1"/>
  <c r="B24" i="60"/>
  <c r="B6" i="60"/>
  <c r="C22" i="61"/>
  <c r="J266" i="1"/>
  <c r="M296" i="1"/>
  <c r="M62" i="5" s="1"/>
  <c r="Q265" i="1"/>
  <c r="R265" i="1"/>
  <c r="B196" i="1"/>
  <c r="R74" i="1"/>
  <c r="Q74" i="1"/>
  <c r="C22" i="6" s="1"/>
  <c r="Q91" i="1"/>
  <c r="R91" i="1"/>
  <c r="B23" i="60"/>
  <c r="B197" i="1"/>
  <c r="Q75" i="1"/>
  <c r="C23" i="6" s="1"/>
  <c r="R75" i="1"/>
  <c r="R92" i="1"/>
  <c r="Q92" i="1"/>
  <c r="I34" i="61"/>
  <c r="S34" i="61" s="1"/>
  <c r="R260" i="1"/>
  <c r="Q260" i="1"/>
  <c r="R248" i="1"/>
  <c r="Q248" i="1"/>
  <c r="R40" i="1"/>
  <c r="Q40" i="1"/>
  <c r="Q259" i="1"/>
  <c r="R259" i="1"/>
  <c r="Q131" i="1"/>
  <c r="R131" i="1"/>
  <c r="B11" i="60"/>
  <c r="W11" i="60" s="1"/>
  <c r="R246" i="1"/>
  <c r="Q246" i="1"/>
  <c r="R93" i="1"/>
  <c r="Q93" i="1"/>
  <c r="I13" i="6"/>
  <c r="R242" i="1"/>
  <c r="Q242" i="1"/>
  <c r="Q249" i="1"/>
  <c r="R249" i="1"/>
  <c r="R247" i="1"/>
  <c r="Q247" i="1"/>
  <c r="Q258" i="1"/>
  <c r="R258" i="1"/>
  <c r="B22" i="60"/>
  <c r="W18" i="60"/>
  <c r="R164" i="1"/>
  <c r="Q164" i="1"/>
  <c r="R76" i="1"/>
  <c r="Q76" i="1"/>
  <c r="Q256" i="1"/>
  <c r="Q243" i="1"/>
  <c r="R243" i="1"/>
  <c r="B13" i="60"/>
  <c r="W13" i="60" s="1"/>
  <c r="B181" i="1"/>
  <c r="R71" i="1"/>
  <c r="Q71" i="1"/>
  <c r="C7" i="6" s="1"/>
  <c r="Q70" i="1"/>
  <c r="C6" i="6" s="1"/>
  <c r="B14" i="60"/>
  <c r="V14" i="60" s="1"/>
  <c r="B15" i="60"/>
  <c r="W15" i="60" s="1"/>
  <c r="R90" i="1"/>
  <c r="Q90" i="1"/>
  <c r="B182" i="1"/>
  <c r="R72" i="1"/>
  <c r="Q72" i="1"/>
  <c r="C8" i="6" s="1"/>
  <c r="R244" i="1"/>
  <c r="Q244" i="1"/>
  <c r="Q58" i="1"/>
  <c r="R58" i="1"/>
  <c r="Q292" i="1"/>
  <c r="C25" i="6" s="1"/>
  <c r="R292" i="1"/>
  <c r="B287" i="1"/>
  <c r="R100" i="1"/>
  <c r="Q100" i="1"/>
  <c r="R251" i="1"/>
  <c r="Q251" i="1"/>
  <c r="R95" i="1"/>
  <c r="Q95" i="1"/>
  <c r="R330" i="1"/>
  <c r="Q330" i="1"/>
  <c r="R250" i="1"/>
  <c r="Q250" i="1"/>
  <c r="R94" i="1"/>
  <c r="Q94" i="1"/>
  <c r="R47" i="1"/>
  <c r="Q47" i="1"/>
  <c r="R98" i="1"/>
  <c r="Q98" i="1"/>
  <c r="R254" i="1"/>
  <c r="Q254" i="1"/>
  <c r="B295" i="1"/>
  <c r="B61" i="5" s="1"/>
  <c r="R264" i="1"/>
  <c r="Q264" i="1"/>
  <c r="R110" i="1"/>
  <c r="Q110" i="1"/>
  <c r="R61" i="1"/>
  <c r="Q61" i="1"/>
  <c r="R108" i="1"/>
  <c r="Q108" i="1"/>
  <c r="C18" i="53"/>
  <c r="R226" i="1"/>
  <c r="Q226" i="1"/>
  <c r="H12" i="61"/>
  <c r="H12" i="65"/>
  <c r="E266" i="1"/>
  <c r="C266" i="1"/>
  <c r="H266" i="1"/>
  <c r="D266" i="1"/>
  <c r="H15" i="61"/>
  <c r="H15" i="65"/>
  <c r="H16" i="61"/>
  <c r="H16" i="65"/>
  <c r="H11" i="61"/>
  <c r="H11" i="65"/>
  <c r="K266" i="1"/>
  <c r="D295" i="1"/>
  <c r="D61" i="5" s="1"/>
  <c r="D63" i="5" s="1"/>
  <c r="H14" i="61"/>
  <c r="H14" i="65"/>
  <c r="H31" i="65"/>
  <c r="H33" i="65" s="1"/>
  <c r="F295" i="1"/>
  <c r="F61" i="5" s="1"/>
  <c r="L295" i="1"/>
  <c r="L61" i="5" s="1"/>
  <c r="H295" i="1"/>
  <c r="H61" i="5" s="1"/>
  <c r="B285" i="1"/>
  <c r="B51" i="5" s="1"/>
  <c r="I17" i="65"/>
  <c r="G266" i="1"/>
  <c r="B266" i="1"/>
  <c r="M266" i="1"/>
  <c r="E295" i="1"/>
  <c r="E61" i="5" s="1"/>
  <c r="I266" i="1"/>
  <c r="J295" i="1"/>
  <c r="J61" i="5" s="1"/>
  <c r="N264" i="1"/>
  <c r="H13" i="61"/>
  <c r="H13" i="65"/>
  <c r="B143" i="5"/>
  <c r="B252" i="1"/>
  <c r="E196" i="1"/>
  <c r="C277" i="1"/>
  <c r="C43" i="5" s="1"/>
  <c r="B277" i="1"/>
  <c r="B43" i="5" s="1"/>
  <c r="B18" i="61"/>
  <c r="M197" i="1"/>
  <c r="C197" i="1"/>
  <c r="E197" i="1"/>
  <c r="H197" i="1"/>
  <c r="L196" i="1"/>
  <c r="L197" i="1"/>
  <c r="I197" i="1"/>
  <c r="J197" i="1"/>
  <c r="D197" i="1"/>
  <c r="K197" i="1"/>
  <c r="G197" i="1"/>
  <c r="D196" i="1"/>
  <c r="K196" i="1"/>
  <c r="G196" i="1"/>
  <c r="F196" i="1"/>
  <c r="E87" i="1"/>
  <c r="E181" i="1"/>
  <c r="J87" i="1"/>
  <c r="J181" i="1"/>
  <c r="G87" i="1"/>
  <c r="G181" i="1"/>
  <c r="J88" i="1"/>
  <c r="J182" i="1"/>
  <c r="M88" i="1"/>
  <c r="M182" i="1"/>
  <c r="E88" i="1"/>
  <c r="E182" i="1"/>
  <c r="F86" i="1"/>
  <c r="F180" i="1"/>
  <c r="Q180" i="1" s="1"/>
  <c r="F6" i="6" s="1"/>
  <c r="H87" i="1"/>
  <c r="H181" i="1"/>
  <c r="I87" i="1"/>
  <c r="I181" i="1"/>
  <c r="I88" i="1"/>
  <c r="I182" i="1"/>
  <c r="D86" i="1"/>
  <c r="D180" i="1"/>
  <c r="K88" i="1"/>
  <c r="K182" i="1"/>
  <c r="J86" i="1"/>
  <c r="J180" i="1"/>
  <c r="G88" i="1"/>
  <c r="G182" i="1"/>
  <c r="D87" i="1"/>
  <c r="D181" i="1"/>
  <c r="M87" i="1"/>
  <c r="M181" i="1"/>
  <c r="L87" i="1"/>
  <c r="L181" i="1"/>
  <c r="C88" i="1"/>
  <c r="C182" i="1"/>
  <c r="H88" i="1"/>
  <c r="H182" i="1"/>
  <c r="F87" i="1"/>
  <c r="F181" i="1"/>
  <c r="C87" i="1"/>
  <c r="C181" i="1"/>
  <c r="L88" i="1"/>
  <c r="L182" i="1"/>
  <c r="K86" i="1"/>
  <c r="K180" i="1"/>
  <c r="C86" i="1"/>
  <c r="C273" i="1" s="1"/>
  <c r="C39" i="5" s="1"/>
  <c r="C153" i="5" s="1"/>
  <c r="C10" i="66" s="1"/>
  <c r="C113" i="66" s="1"/>
  <c r="N70" i="1"/>
  <c r="N71" i="1"/>
  <c r="N72" i="1"/>
  <c r="B102" i="1"/>
  <c r="N74" i="1"/>
  <c r="N75" i="1"/>
  <c r="N237" i="1"/>
  <c r="O226" i="1"/>
  <c r="B20" i="5"/>
  <c r="B31" i="5" s="1"/>
  <c r="N18" i="5"/>
  <c r="B20" i="65" s="1"/>
  <c r="V27" i="60"/>
  <c r="V27" i="6"/>
  <c r="X25" i="6"/>
  <c r="X27" i="6" s="1"/>
  <c r="I73" i="1"/>
  <c r="V20" i="6"/>
  <c r="W20" i="6"/>
  <c r="E96" i="1"/>
  <c r="M73" i="1"/>
  <c r="V20" i="60"/>
  <c r="W20" i="60"/>
  <c r="W28" i="6"/>
  <c r="W30" i="6" s="1"/>
  <c r="V28" i="6"/>
  <c r="W14" i="6"/>
  <c r="V14" i="6"/>
  <c r="W10" i="6"/>
  <c r="V10" i="6"/>
  <c r="W13" i="6"/>
  <c r="V13" i="6"/>
  <c r="W11" i="6"/>
  <c r="V11" i="6"/>
  <c r="K79" i="1"/>
  <c r="W18" i="6"/>
  <c r="V18" i="6"/>
  <c r="W15" i="6"/>
  <c r="W12" i="6"/>
  <c r="V12" i="6"/>
  <c r="G73" i="1"/>
  <c r="F73" i="1"/>
  <c r="D96" i="1"/>
  <c r="F96" i="1"/>
  <c r="E73" i="1"/>
  <c r="M291" i="1"/>
  <c r="M57" i="5" s="1"/>
  <c r="M171" i="5" s="1"/>
  <c r="M29" i="66" s="1"/>
  <c r="M132" i="66" s="1"/>
  <c r="J291" i="1"/>
  <c r="J57" i="5" s="1"/>
  <c r="J171" i="5" s="1"/>
  <c r="J29" i="66" s="1"/>
  <c r="J132" i="66" s="1"/>
  <c r="D291" i="1"/>
  <c r="D57" i="5" s="1"/>
  <c r="D171" i="5" s="1"/>
  <c r="D29" i="66" s="1"/>
  <c r="D132" i="66" s="1"/>
  <c r="I291" i="1"/>
  <c r="I57" i="5" s="1"/>
  <c r="I171" i="5" s="1"/>
  <c r="I29" i="66" s="1"/>
  <c r="I132" i="66" s="1"/>
  <c r="H291" i="1"/>
  <c r="H57" i="5" s="1"/>
  <c r="H171" i="5" s="1"/>
  <c r="H29" i="66" s="1"/>
  <c r="H132" i="66" s="1"/>
  <c r="B278" i="1"/>
  <c r="B44" i="5" s="1"/>
  <c r="N256" i="1"/>
  <c r="N260" i="1"/>
  <c r="J102" i="1"/>
  <c r="F291" i="1"/>
  <c r="F57" i="5" s="1"/>
  <c r="F171" i="5" s="1"/>
  <c r="F29" i="66" s="1"/>
  <c r="F132" i="66" s="1"/>
  <c r="M279" i="1"/>
  <c r="M45" i="5" s="1"/>
  <c r="N250" i="1"/>
  <c r="N251" i="1"/>
  <c r="M278" i="1"/>
  <c r="M44" i="5" s="1"/>
  <c r="C291" i="1"/>
  <c r="C57" i="5" s="1"/>
  <c r="C171" i="5" s="1"/>
  <c r="C29" i="66" s="1"/>
  <c r="C132" i="66" s="1"/>
  <c r="M280" i="1"/>
  <c r="M46" i="5" s="1"/>
  <c r="B282" i="1"/>
  <c r="B48" i="5" s="1"/>
  <c r="N258" i="1"/>
  <c r="N292" i="1"/>
  <c r="N58" i="5" s="1"/>
  <c r="N254" i="1"/>
  <c r="D287" i="1"/>
  <c r="D53" i="5" s="1"/>
  <c r="M281" i="1"/>
  <c r="M47" i="5" s="1"/>
  <c r="F278" i="1"/>
  <c r="F44" i="5" s="1"/>
  <c r="D73" i="1"/>
  <c r="B281" i="1"/>
  <c r="B47" i="5" s="1"/>
  <c r="N259" i="1"/>
  <c r="N243" i="1"/>
  <c r="N248" i="1"/>
  <c r="N247" i="1"/>
  <c r="N249" i="1"/>
  <c r="C102" i="1"/>
  <c r="B279" i="1"/>
  <c r="B45" i="5" s="1"/>
  <c r="G291" i="1"/>
  <c r="G57" i="5" s="1"/>
  <c r="G171" i="5" s="1"/>
  <c r="G29" i="66" s="1"/>
  <c r="G132" i="66" s="1"/>
  <c r="M102" i="1"/>
  <c r="B280" i="1"/>
  <c r="B46" i="5" s="1"/>
  <c r="G279" i="1"/>
  <c r="G45" i="5" s="1"/>
  <c r="J278" i="1"/>
  <c r="J44" i="5" s="1"/>
  <c r="D79" i="1"/>
  <c r="N244" i="1"/>
  <c r="N246" i="1"/>
  <c r="H277" i="1"/>
  <c r="H43" i="5" s="1"/>
  <c r="D277" i="1"/>
  <c r="D43" i="5" s="1"/>
  <c r="I281" i="1"/>
  <c r="I47" i="5" s="1"/>
  <c r="L79" i="1"/>
  <c r="F279" i="1"/>
  <c r="F45" i="5" s="1"/>
  <c r="F281" i="1"/>
  <c r="F47" i="5" s="1"/>
  <c r="K278" i="1"/>
  <c r="K44" i="5" s="1"/>
  <c r="G285" i="1"/>
  <c r="G51" i="5" s="1"/>
  <c r="N95" i="1"/>
  <c r="G86" i="1"/>
  <c r="G273" i="1" s="1"/>
  <c r="G39" i="5" s="1"/>
  <c r="G153" i="5" s="1"/>
  <c r="I277" i="1"/>
  <c r="I43" i="5" s="1"/>
  <c r="H281" i="1"/>
  <c r="H47" i="5" s="1"/>
  <c r="F287" i="1"/>
  <c r="F53" i="5" s="1"/>
  <c r="F282" i="1"/>
  <c r="F48" i="5" s="1"/>
  <c r="M287" i="1"/>
  <c r="M53" i="5" s="1"/>
  <c r="E86" i="1"/>
  <c r="E273" i="1" s="1"/>
  <c r="E39" i="5" s="1"/>
  <c r="E153" i="5" s="1"/>
  <c r="E10" i="66" s="1"/>
  <c r="E113" i="66" s="1"/>
  <c r="H279" i="1"/>
  <c r="H45" i="5" s="1"/>
  <c r="C278" i="1"/>
  <c r="C44" i="5" s="1"/>
  <c r="H280" i="1"/>
  <c r="H46" i="5" s="1"/>
  <c r="L277" i="1"/>
  <c r="L43" i="5" s="1"/>
  <c r="I278" i="1"/>
  <c r="I44" i="5" s="1"/>
  <c r="E287" i="1"/>
  <c r="E53" i="5" s="1"/>
  <c r="Q53" i="5" s="1"/>
  <c r="G22" i="57" s="1"/>
  <c r="I280" i="1"/>
  <c r="I46" i="5" s="1"/>
  <c r="C79" i="1"/>
  <c r="L285" i="1"/>
  <c r="L51" i="5" s="1"/>
  <c r="I287" i="1"/>
  <c r="I53" i="5" s="1"/>
  <c r="D279" i="1"/>
  <c r="D45" i="5" s="1"/>
  <c r="H287" i="1"/>
  <c r="H53" i="5" s="1"/>
  <c r="E285" i="1"/>
  <c r="E51" i="5" s="1"/>
  <c r="G278" i="1"/>
  <c r="G44" i="5" s="1"/>
  <c r="L282" i="1"/>
  <c r="L48" i="5" s="1"/>
  <c r="E281" i="1"/>
  <c r="E47" i="5" s="1"/>
  <c r="J281" i="1"/>
  <c r="J47" i="5" s="1"/>
  <c r="I79" i="1"/>
  <c r="J96" i="1"/>
  <c r="H96" i="1"/>
  <c r="F280" i="1"/>
  <c r="F46" i="5" s="1"/>
  <c r="I282" i="1"/>
  <c r="I48" i="5" s="1"/>
  <c r="H285" i="1"/>
  <c r="H51" i="5" s="1"/>
  <c r="I285" i="1"/>
  <c r="I51" i="5" s="1"/>
  <c r="E282" i="1"/>
  <c r="E48" i="5" s="1"/>
  <c r="Q48" i="5" s="1"/>
  <c r="G16" i="57" s="1"/>
  <c r="G277" i="1"/>
  <c r="G43" i="5" s="1"/>
  <c r="E280" i="1"/>
  <c r="E46" i="5" s="1"/>
  <c r="J280" i="1"/>
  <c r="J46" i="5" s="1"/>
  <c r="M86" i="1"/>
  <c r="M273" i="1" s="1"/>
  <c r="M39" i="5" s="1"/>
  <c r="M153" i="5" s="1"/>
  <c r="F88" i="1"/>
  <c r="J287" i="1"/>
  <c r="J53" i="5" s="1"/>
  <c r="H282" i="1"/>
  <c r="H48" i="5" s="1"/>
  <c r="G280" i="1"/>
  <c r="G46" i="5" s="1"/>
  <c r="F277" i="1"/>
  <c r="F43" i="5" s="1"/>
  <c r="L278" i="1"/>
  <c r="L44" i="5" s="1"/>
  <c r="D278" i="1"/>
  <c r="D44" i="5" s="1"/>
  <c r="K280" i="1"/>
  <c r="K46" i="5" s="1"/>
  <c r="G79" i="1"/>
  <c r="I96" i="1"/>
  <c r="B88" i="1"/>
  <c r="C281" i="1"/>
  <c r="C47" i="5" s="1"/>
  <c r="L279" i="1"/>
  <c r="L45" i="5" s="1"/>
  <c r="J282" i="1"/>
  <c r="J48" i="5" s="1"/>
  <c r="J285" i="1"/>
  <c r="J51" i="5" s="1"/>
  <c r="E279" i="1"/>
  <c r="E45" i="5" s="1"/>
  <c r="G282" i="1"/>
  <c r="G48" i="5" s="1"/>
  <c r="D282" i="1"/>
  <c r="D48" i="5" s="1"/>
  <c r="K279" i="1"/>
  <c r="K45" i="5" s="1"/>
  <c r="M96" i="1"/>
  <c r="G96" i="1"/>
  <c r="K285" i="1"/>
  <c r="K51" i="5" s="1"/>
  <c r="M285" i="1"/>
  <c r="M51" i="5" s="1"/>
  <c r="G287" i="1"/>
  <c r="G53" i="5" s="1"/>
  <c r="L287" i="1"/>
  <c r="L53" i="5" s="1"/>
  <c r="K96" i="1"/>
  <c r="K277" i="1"/>
  <c r="K43" i="5" s="1"/>
  <c r="E277" i="1"/>
  <c r="E43" i="5" s="1"/>
  <c r="K281" i="1"/>
  <c r="K47" i="5" s="1"/>
  <c r="H278" i="1"/>
  <c r="H44" i="5" s="1"/>
  <c r="K282" i="1"/>
  <c r="K48" i="5" s="1"/>
  <c r="F285" i="1"/>
  <c r="F51" i="5" s="1"/>
  <c r="I279" i="1"/>
  <c r="I45" i="5" s="1"/>
  <c r="C279" i="1"/>
  <c r="C45" i="5" s="1"/>
  <c r="L280" i="1"/>
  <c r="L46" i="5" s="1"/>
  <c r="H79" i="1"/>
  <c r="B9" i="6"/>
  <c r="B245" i="1"/>
  <c r="N242" i="1"/>
  <c r="D281" i="1"/>
  <c r="D47" i="5" s="1"/>
  <c r="D285" i="1"/>
  <c r="D51" i="5" s="1"/>
  <c r="K287" i="1"/>
  <c r="K53" i="5" s="1"/>
  <c r="G281" i="1"/>
  <c r="G47" i="5" s="1"/>
  <c r="D280" i="1"/>
  <c r="D46" i="5" s="1"/>
  <c r="N92" i="1"/>
  <c r="L96" i="1"/>
  <c r="M277" i="1"/>
  <c r="M43" i="5" s="1"/>
  <c r="E278" i="1"/>
  <c r="E44" i="5" s="1"/>
  <c r="L281" i="1"/>
  <c r="L47" i="5" s="1"/>
  <c r="J279" i="1"/>
  <c r="J45" i="5" s="1"/>
  <c r="J277" i="1"/>
  <c r="J43" i="5" s="1"/>
  <c r="M282" i="1"/>
  <c r="M48" i="5" s="1"/>
  <c r="N61" i="1"/>
  <c r="B28" i="60"/>
  <c r="B96" i="1"/>
  <c r="F252" i="1"/>
  <c r="B73" i="1"/>
  <c r="B87" i="1"/>
  <c r="B237" i="1"/>
  <c r="B30" i="6"/>
  <c r="N133" i="1"/>
  <c r="B103" i="1"/>
  <c r="G263" i="1"/>
  <c r="N100" i="1"/>
  <c r="B104" i="1"/>
  <c r="N93" i="1"/>
  <c r="N91" i="1"/>
  <c r="B27" i="6"/>
  <c r="B79" i="1"/>
  <c r="C245" i="1"/>
  <c r="B16" i="6"/>
  <c r="B133" i="1"/>
  <c r="N164" i="1"/>
  <c r="N98" i="1"/>
  <c r="N94" i="1"/>
  <c r="E263" i="1"/>
  <c r="B175" i="1"/>
  <c r="N330" i="1"/>
  <c r="N332" i="1" s="1"/>
  <c r="N334" i="1" s="1"/>
  <c r="C96" i="1"/>
  <c r="I86" i="1"/>
  <c r="I273" i="1" s="1"/>
  <c r="K73" i="1"/>
  <c r="N76" i="1"/>
  <c r="C48" i="1"/>
  <c r="C50" i="1" s="1"/>
  <c r="C52" i="1" s="1"/>
  <c r="C63" i="1" s="1"/>
  <c r="B48" i="1"/>
  <c r="N90" i="1"/>
  <c r="M79" i="1"/>
  <c r="H73" i="1"/>
  <c r="B86" i="1"/>
  <c r="D88" i="1"/>
  <c r="F48" i="1"/>
  <c r="F50" i="1" s="1"/>
  <c r="F52" i="1" s="1"/>
  <c r="F63" i="1" s="1"/>
  <c r="D107" i="1"/>
  <c r="L104" i="1"/>
  <c r="H86" i="1"/>
  <c r="H273" i="1" s="1"/>
  <c r="H39" i="5" s="1"/>
  <c r="F79" i="1"/>
  <c r="L73" i="1"/>
  <c r="K87" i="1"/>
  <c r="H102" i="1"/>
  <c r="E104" i="1"/>
  <c r="L86" i="1"/>
  <c r="L273" i="1" s="1"/>
  <c r="L39" i="5" s="1"/>
  <c r="L153" i="5" s="1"/>
  <c r="E79" i="1"/>
  <c r="K104" i="1"/>
  <c r="G107" i="1"/>
  <c r="C73" i="1"/>
  <c r="F103" i="1"/>
  <c r="J79" i="1"/>
  <c r="J73" i="1"/>
  <c r="I102" i="1"/>
  <c r="J48" i="1"/>
  <c r="J50" i="1" s="1"/>
  <c r="J52" i="1" s="1"/>
  <c r="J63" i="1" s="1"/>
  <c r="J252" i="1" s="1"/>
  <c r="E48" i="1"/>
  <c r="E50" i="1" s="1"/>
  <c r="E52" i="1" s="1"/>
  <c r="E63" i="1" s="1"/>
  <c r="E252" i="1" s="1"/>
  <c r="L48" i="1"/>
  <c r="L50" i="1" s="1"/>
  <c r="L52" i="1" s="1"/>
  <c r="L63" i="1" s="1"/>
  <c r="L252" i="1" s="1"/>
  <c r="H48" i="1"/>
  <c r="H50" i="1" s="1"/>
  <c r="H52" i="1" s="1"/>
  <c r="H63" i="1" s="1"/>
  <c r="H252" i="1" s="1"/>
  <c r="K48" i="1"/>
  <c r="K50" i="1" s="1"/>
  <c r="K52" i="1" s="1"/>
  <c r="K63" i="1" s="1"/>
  <c r="K252" i="1" s="1"/>
  <c r="I48" i="1"/>
  <c r="I50" i="1" s="1"/>
  <c r="I52" i="1" s="1"/>
  <c r="I63" i="1" s="1"/>
  <c r="I252" i="1" s="1"/>
  <c r="G48" i="1"/>
  <c r="G50" i="1" s="1"/>
  <c r="G52" i="1" s="1"/>
  <c r="G63" i="1" s="1"/>
  <c r="G252" i="1" s="1"/>
  <c r="N40" i="1"/>
  <c r="N58" i="1"/>
  <c r="N47" i="1"/>
  <c r="D48" i="1"/>
  <c r="D50" i="1" s="1"/>
  <c r="D52" i="1" s="1"/>
  <c r="D63" i="1" s="1"/>
  <c r="D252" i="1" s="1"/>
  <c r="M48" i="1"/>
  <c r="M50" i="1" s="1"/>
  <c r="M52" i="1" s="1"/>
  <c r="M63" i="1" s="1"/>
  <c r="M252" i="1" s="1"/>
  <c r="O18" i="1"/>
  <c r="V10" i="60" l="1"/>
  <c r="I39" i="5"/>
  <c r="I153" i="5" s="1"/>
  <c r="U121" i="66"/>
  <c r="W121" i="66"/>
  <c r="AB121" i="66" s="1"/>
  <c r="Q127" i="66"/>
  <c r="Q128" i="66" s="1"/>
  <c r="W139" i="66"/>
  <c r="AB139" i="66" s="1"/>
  <c r="W125" i="66"/>
  <c r="AB125" i="66" s="1"/>
  <c r="W138" i="66"/>
  <c r="AB138" i="66" s="1"/>
  <c r="L10" i="66"/>
  <c r="L113" i="66" s="1"/>
  <c r="M55" i="86"/>
  <c r="M10" i="66"/>
  <c r="M113" i="66" s="1"/>
  <c r="N55" i="86"/>
  <c r="G10" i="66"/>
  <c r="G113" i="66" s="1"/>
  <c r="H55" i="86"/>
  <c r="W127" i="66"/>
  <c r="X127" i="66" s="1"/>
  <c r="Q51" i="5"/>
  <c r="G19" i="57" s="1"/>
  <c r="F49" i="5"/>
  <c r="Q47" i="5"/>
  <c r="G15" i="57" s="1"/>
  <c r="E49" i="5"/>
  <c r="K49" i="5"/>
  <c r="R46" i="5"/>
  <c r="G14" i="61" s="1"/>
  <c r="I30" i="60"/>
  <c r="L49" i="5"/>
  <c r="R45" i="5"/>
  <c r="G13" i="61" s="1"/>
  <c r="H34" i="61"/>
  <c r="M63" i="5"/>
  <c r="H17" i="57"/>
  <c r="H18" i="57" s="1"/>
  <c r="H20" i="57" s="1"/>
  <c r="H23" i="57" s="1"/>
  <c r="H36" i="57" s="1"/>
  <c r="C297" i="1"/>
  <c r="K297" i="1"/>
  <c r="G297" i="1"/>
  <c r="Q287" i="1"/>
  <c r="M49" i="5"/>
  <c r="R48" i="5"/>
  <c r="G16" i="61" s="1"/>
  <c r="I49" i="5"/>
  <c r="G49" i="5"/>
  <c r="H49" i="5"/>
  <c r="Q43" i="5"/>
  <c r="G11" i="57" s="1"/>
  <c r="J49" i="5"/>
  <c r="B36" i="57"/>
  <c r="I16" i="6"/>
  <c r="I17" i="6" s="1"/>
  <c r="I19" i="6" s="1"/>
  <c r="I21" i="6" s="1"/>
  <c r="I32" i="6" s="1"/>
  <c r="V13" i="60"/>
  <c r="X13" i="60" s="1"/>
  <c r="K62" i="5"/>
  <c r="K63" i="5" s="1"/>
  <c r="G290" i="1"/>
  <c r="G56" i="5" s="1"/>
  <c r="G170" i="5" s="1"/>
  <c r="G28" i="66" s="1"/>
  <c r="G131" i="66" s="1"/>
  <c r="K289" i="1"/>
  <c r="K55" i="5" s="1"/>
  <c r="K169" i="5" s="1"/>
  <c r="K27" i="66" s="1"/>
  <c r="K130" i="66" s="1"/>
  <c r="J290" i="1"/>
  <c r="J56" i="5" s="1"/>
  <c r="J170" i="5" s="1"/>
  <c r="J28" i="66" s="1"/>
  <c r="J131" i="66" s="1"/>
  <c r="M297" i="1"/>
  <c r="I297" i="1"/>
  <c r="B53" i="5"/>
  <c r="N266" i="1"/>
  <c r="L289" i="1"/>
  <c r="L55" i="5" s="1"/>
  <c r="L169" i="5" s="1"/>
  <c r="L27" i="66" s="1"/>
  <c r="L130" i="66" s="1"/>
  <c r="I290" i="1"/>
  <c r="I56" i="5" s="1"/>
  <c r="I170" i="5" s="1"/>
  <c r="I28" i="66" s="1"/>
  <c r="I131" i="66" s="1"/>
  <c r="R180" i="1"/>
  <c r="F6" i="60" s="1"/>
  <c r="T34" i="61"/>
  <c r="B20" i="61"/>
  <c r="B23" i="61" s="1"/>
  <c r="C18" i="73"/>
  <c r="D18" i="73" s="1"/>
  <c r="T22" i="61"/>
  <c r="D33" i="73"/>
  <c r="Q44" i="5"/>
  <c r="G12" i="57" s="1"/>
  <c r="R61" i="5"/>
  <c r="G32" i="61" s="1"/>
  <c r="D297" i="1"/>
  <c r="H63" i="5"/>
  <c r="C23" i="60"/>
  <c r="C8" i="60"/>
  <c r="R332" i="1"/>
  <c r="Q332" i="1"/>
  <c r="C20" i="53"/>
  <c r="C22" i="53" s="1"/>
  <c r="C35" i="53" s="1"/>
  <c r="J63" i="5"/>
  <c r="C63" i="5"/>
  <c r="B183" i="1"/>
  <c r="C9" i="6"/>
  <c r="C17" i="6" s="1"/>
  <c r="C19" i="6" s="1"/>
  <c r="C21" i="6" s="1"/>
  <c r="E339" i="1"/>
  <c r="K339" i="1"/>
  <c r="K310" i="1" s="1"/>
  <c r="K76" i="5" s="1"/>
  <c r="H339" i="1"/>
  <c r="H310" i="1" s="1"/>
  <c r="H76" i="5" s="1"/>
  <c r="B339" i="1"/>
  <c r="Q334" i="1"/>
  <c r="R334" i="1"/>
  <c r="I339" i="1"/>
  <c r="I310" i="1" s="1"/>
  <c r="I76" i="5" s="1"/>
  <c r="I182" i="5" s="1"/>
  <c r="I8" i="66" s="1"/>
  <c r="I111" i="66" s="1"/>
  <c r="L63" i="5"/>
  <c r="I16" i="60"/>
  <c r="I17" i="60" s="1"/>
  <c r="I19" i="60" s="1"/>
  <c r="I21" i="60" s="1"/>
  <c r="I32" i="60" s="1"/>
  <c r="B9" i="60"/>
  <c r="D339" i="1"/>
  <c r="D310" i="1" s="1"/>
  <c r="D76" i="5" s="1"/>
  <c r="G339" i="1"/>
  <c r="G310" i="1" s="1"/>
  <c r="G76" i="5" s="1"/>
  <c r="G20" i="6"/>
  <c r="C339" i="1"/>
  <c r="C310" i="1" s="1"/>
  <c r="C76" i="5" s="1"/>
  <c r="J297" i="1"/>
  <c r="L297" i="1"/>
  <c r="V11" i="60"/>
  <c r="X11" i="60" s="1"/>
  <c r="Q46" i="5"/>
  <c r="G14" i="57" s="1"/>
  <c r="R43" i="5"/>
  <c r="G11" i="61" s="1"/>
  <c r="E290" i="1"/>
  <c r="E56" i="5" s="1"/>
  <c r="E170" i="5" s="1"/>
  <c r="E28" i="66" s="1"/>
  <c r="E131" i="66" s="1"/>
  <c r="X25" i="60"/>
  <c r="X27" i="60" s="1"/>
  <c r="F63" i="5"/>
  <c r="V12" i="60"/>
  <c r="X12" i="60" s="1"/>
  <c r="G63" i="5"/>
  <c r="E63" i="5"/>
  <c r="N180" i="1"/>
  <c r="E201" i="1"/>
  <c r="H297" i="1"/>
  <c r="R62" i="5"/>
  <c r="G33" i="61" s="1"/>
  <c r="Q62" i="5"/>
  <c r="G33" i="57" s="1"/>
  <c r="R47" i="5"/>
  <c r="G15" i="61" s="1"/>
  <c r="B16" i="60"/>
  <c r="Q45" i="5"/>
  <c r="G13" i="57" s="1"/>
  <c r="N110" i="1"/>
  <c r="R44" i="5"/>
  <c r="G12" i="61" s="1"/>
  <c r="F297" i="1"/>
  <c r="G25" i="6"/>
  <c r="J25" i="6" s="1"/>
  <c r="E297" i="1"/>
  <c r="B27" i="60"/>
  <c r="Q296" i="1"/>
  <c r="G29" i="6" s="1"/>
  <c r="R296" i="1"/>
  <c r="B49" i="5"/>
  <c r="I63" i="5"/>
  <c r="Q73" i="1"/>
  <c r="R73" i="1"/>
  <c r="R277" i="1"/>
  <c r="Q277" i="1"/>
  <c r="T292" i="1"/>
  <c r="R104" i="1"/>
  <c r="Q104" i="1"/>
  <c r="W14" i="60"/>
  <c r="X14" i="60" s="1"/>
  <c r="B289" i="1"/>
  <c r="B55" i="5" s="1"/>
  <c r="B169" i="5" s="1"/>
  <c r="R102" i="1"/>
  <c r="Q102" i="1"/>
  <c r="N197" i="1"/>
  <c r="Q197" i="1"/>
  <c r="F23" i="6" s="1"/>
  <c r="R197" i="1"/>
  <c r="F23" i="60" s="1"/>
  <c r="R278" i="1"/>
  <c r="Q278" i="1"/>
  <c r="T278" i="1" s="1"/>
  <c r="Q103" i="1"/>
  <c r="R103" i="1"/>
  <c r="R51" i="5"/>
  <c r="G19" i="61" s="1"/>
  <c r="Q86" i="1"/>
  <c r="R86" i="1"/>
  <c r="Q175" i="1"/>
  <c r="R175" i="1"/>
  <c r="C7" i="60"/>
  <c r="V18" i="60"/>
  <c r="X18" i="60" s="1"/>
  <c r="C6" i="60"/>
  <c r="B273" i="1"/>
  <c r="B39" i="5" s="1"/>
  <c r="B153" i="5" s="1"/>
  <c r="B10" i="66" s="1"/>
  <c r="B113" i="66" s="1"/>
  <c r="R133" i="1"/>
  <c r="Q133" i="1"/>
  <c r="R53" i="5"/>
  <c r="G22" i="61" s="1"/>
  <c r="G23" i="61" s="1"/>
  <c r="R287" i="1"/>
  <c r="R88" i="1"/>
  <c r="Q88" i="1"/>
  <c r="Q79" i="1"/>
  <c r="R79" i="1"/>
  <c r="Q280" i="1"/>
  <c r="G13" i="6" s="1"/>
  <c r="R280" i="1"/>
  <c r="N181" i="1"/>
  <c r="R181" i="1"/>
  <c r="F7" i="60" s="1"/>
  <c r="Q181" i="1"/>
  <c r="F7" i="6" s="1"/>
  <c r="R87" i="1"/>
  <c r="Q87" i="1"/>
  <c r="Q279" i="1"/>
  <c r="T279" i="1" s="1"/>
  <c r="R279" i="1"/>
  <c r="N182" i="1"/>
  <c r="R182" i="1"/>
  <c r="F8" i="60" s="1"/>
  <c r="Q182" i="1"/>
  <c r="F8" i="6" s="1"/>
  <c r="N196" i="1"/>
  <c r="R196" i="1"/>
  <c r="F22" i="60" s="1"/>
  <c r="Q196" i="1"/>
  <c r="F22" i="6" s="1"/>
  <c r="C25" i="60"/>
  <c r="R96" i="1"/>
  <c r="Q96" i="1"/>
  <c r="R48" i="1"/>
  <c r="Q48" i="1"/>
  <c r="R266" i="1"/>
  <c r="Q266" i="1"/>
  <c r="B297" i="1"/>
  <c r="R295" i="1"/>
  <c r="Q295" i="1"/>
  <c r="T295" i="1" s="1"/>
  <c r="C18" i="61"/>
  <c r="R282" i="1"/>
  <c r="Q282" i="1"/>
  <c r="R281" i="1"/>
  <c r="Q281" i="1"/>
  <c r="R237" i="1"/>
  <c r="Q237" i="1"/>
  <c r="Q285" i="1"/>
  <c r="G18" i="6" s="1"/>
  <c r="R285" i="1"/>
  <c r="G18" i="60" s="1"/>
  <c r="H290" i="1"/>
  <c r="H56" i="5" s="1"/>
  <c r="H170" i="5" s="1"/>
  <c r="H28" i="66" s="1"/>
  <c r="H131" i="66" s="1"/>
  <c r="E289" i="1"/>
  <c r="E55" i="5" s="1"/>
  <c r="B63" i="5"/>
  <c r="H17" i="65"/>
  <c r="H18" i="65" s="1"/>
  <c r="H20" i="65" s="1"/>
  <c r="H17" i="61"/>
  <c r="H18" i="61" s="1"/>
  <c r="H20" i="61" s="1"/>
  <c r="Q61" i="5"/>
  <c r="G32" i="57" s="1"/>
  <c r="B253" i="1"/>
  <c r="D183" i="1"/>
  <c r="D191" i="1" s="1"/>
  <c r="D193" i="1" s="1"/>
  <c r="D195" i="1" s="1"/>
  <c r="N295" i="1"/>
  <c r="N61" i="5" s="1"/>
  <c r="F274" i="1"/>
  <c r="F40" i="5" s="1"/>
  <c r="F154" i="5" s="1"/>
  <c r="F11" i="66" s="1"/>
  <c r="F114" i="66" s="1"/>
  <c r="M182" i="5"/>
  <c r="M8" i="66" s="1"/>
  <c r="M111" i="66" s="1"/>
  <c r="M44" i="66"/>
  <c r="M147" i="66" s="1"/>
  <c r="J275" i="1"/>
  <c r="J41" i="5" s="1"/>
  <c r="J155" i="5" s="1"/>
  <c r="J12" i="66" s="1"/>
  <c r="J115" i="66" s="1"/>
  <c r="G28" i="61"/>
  <c r="G27" i="65"/>
  <c r="C290" i="1"/>
  <c r="C56" i="5" s="1"/>
  <c r="C170" i="5" s="1"/>
  <c r="C28" i="66" s="1"/>
  <c r="C131" i="66" s="1"/>
  <c r="B35" i="65"/>
  <c r="C35" i="65" s="1"/>
  <c r="C20" i="65"/>
  <c r="C346" i="72"/>
  <c r="B149" i="5"/>
  <c r="I274" i="1"/>
  <c r="I40" i="5" s="1"/>
  <c r="I154" i="5" s="1"/>
  <c r="I11" i="66" s="1"/>
  <c r="I114" i="66" s="1"/>
  <c r="J182" i="5"/>
  <c r="J8" i="66" s="1"/>
  <c r="J111" i="66" s="1"/>
  <c r="L201" i="1"/>
  <c r="M290" i="1"/>
  <c r="M56" i="5" s="1"/>
  <c r="M170" i="5" s="1"/>
  <c r="M28" i="66" s="1"/>
  <c r="M131" i="66" s="1"/>
  <c r="L182" i="5"/>
  <c r="L8" i="66" s="1"/>
  <c r="L111" i="66" s="1"/>
  <c r="E274" i="1"/>
  <c r="E40" i="5" s="1"/>
  <c r="G201" i="1"/>
  <c r="J89" i="1"/>
  <c r="J97" i="1" s="1"/>
  <c r="J99" i="1" s="1"/>
  <c r="M183" i="1"/>
  <c r="M191" i="1" s="1"/>
  <c r="M193" i="1" s="1"/>
  <c r="M195" i="1" s="1"/>
  <c r="Q31" i="5"/>
  <c r="R31" i="5"/>
  <c r="D290" i="1"/>
  <c r="D56" i="5" s="1"/>
  <c r="D170" i="5" s="1"/>
  <c r="D28" i="66" s="1"/>
  <c r="D131" i="66" s="1"/>
  <c r="I275" i="1"/>
  <c r="I41" i="5" s="1"/>
  <c r="I155" i="5" s="1"/>
  <c r="I12" i="66" s="1"/>
  <c r="I115" i="66" s="1"/>
  <c r="L290" i="1"/>
  <c r="L56" i="5" s="1"/>
  <c r="L170" i="5" s="1"/>
  <c r="L28" i="66" s="1"/>
  <c r="L131" i="66" s="1"/>
  <c r="G183" i="1"/>
  <c r="G191" i="1" s="1"/>
  <c r="G193" i="1" s="1"/>
  <c r="G195" i="1" s="1"/>
  <c r="H274" i="1"/>
  <c r="H40" i="5" s="1"/>
  <c r="H154" i="5" s="1"/>
  <c r="H11" i="66" s="1"/>
  <c r="H114" i="66" s="1"/>
  <c r="D201" i="1"/>
  <c r="K290" i="1"/>
  <c r="K56" i="5" s="1"/>
  <c r="K170" i="5" s="1"/>
  <c r="K28" i="66" s="1"/>
  <c r="K131" i="66" s="1"/>
  <c r="N20" i="5"/>
  <c r="B22" i="65" s="1"/>
  <c r="C22" i="65" s="1"/>
  <c r="L275" i="1"/>
  <c r="L41" i="5" s="1"/>
  <c r="L155" i="5" s="1"/>
  <c r="L12" i="66" s="1"/>
  <c r="L115" i="66" s="1"/>
  <c r="K275" i="1"/>
  <c r="K41" i="5" s="1"/>
  <c r="K155" i="5" s="1"/>
  <c r="K12" i="66" s="1"/>
  <c r="K115" i="66" s="1"/>
  <c r="X10" i="6"/>
  <c r="K183" i="1"/>
  <c r="K191" i="1" s="1"/>
  <c r="K193" i="1" s="1"/>
  <c r="K195" i="1" s="1"/>
  <c r="C275" i="1"/>
  <c r="C41" i="5" s="1"/>
  <c r="C155" i="5" s="1"/>
  <c r="C12" i="66" s="1"/>
  <c r="C115" i="66" s="1"/>
  <c r="I183" i="1"/>
  <c r="I191" i="1" s="1"/>
  <c r="I193" i="1" s="1"/>
  <c r="I195" i="1" s="1"/>
  <c r="G274" i="1"/>
  <c r="G40" i="5" s="1"/>
  <c r="H275" i="1"/>
  <c r="H41" i="5" s="1"/>
  <c r="L183" i="1"/>
  <c r="L191" i="1" s="1"/>
  <c r="L193" i="1" s="1"/>
  <c r="L195" i="1" s="1"/>
  <c r="F273" i="1"/>
  <c r="F39" i="5" s="1"/>
  <c r="E275" i="1"/>
  <c r="G289" i="1"/>
  <c r="G55" i="5" s="1"/>
  <c r="G169" i="5" s="1"/>
  <c r="G27" i="66" s="1"/>
  <c r="G130" i="66" s="1"/>
  <c r="D289" i="1"/>
  <c r="D55" i="5" s="1"/>
  <c r="K201" i="1"/>
  <c r="G275" i="1"/>
  <c r="G41" i="5" s="1"/>
  <c r="G155" i="5" s="1"/>
  <c r="L274" i="1"/>
  <c r="L40" i="5" s="1"/>
  <c r="F289" i="1"/>
  <c r="F55" i="5" s="1"/>
  <c r="E183" i="1"/>
  <c r="E191" i="1" s="1"/>
  <c r="E193" i="1" s="1"/>
  <c r="E195" i="1" s="1"/>
  <c r="D274" i="1"/>
  <c r="D40" i="5" s="1"/>
  <c r="H153" i="5"/>
  <c r="I55" i="86" s="1"/>
  <c r="M274" i="1"/>
  <c r="M40" i="5" s="1"/>
  <c r="J273" i="1"/>
  <c r="J39" i="5" s="1"/>
  <c r="C274" i="1"/>
  <c r="C40" i="5" s="1"/>
  <c r="H201" i="1"/>
  <c r="B201" i="1"/>
  <c r="J183" i="1"/>
  <c r="J191" i="1" s="1"/>
  <c r="J193" i="1" s="1"/>
  <c r="J195" i="1" s="1"/>
  <c r="M275" i="1"/>
  <c r="M41" i="5" s="1"/>
  <c r="M155" i="5" s="1"/>
  <c r="M12" i="66" s="1"/>
  <c r="M115" i="66" s="1"/>
  <c r="F201" i="1"/>
  <c r="J274" i="1"/>
  <c r="J40" i="5" s="1"/>
  <c r="J154" i="5" s="1"/>
  <c r="J11" i="66" s="1"/>
  <c r="J114" i="66" s="1"/>
  <c r="H183" i="1"/>
  <c r="H191" i="1" s="1"/>
  <c r="H193" i="1" s="1"/>
  <c r="H195" i="1" s="1"/>
  <c r="F183" i="1"/>
  <c r="F191" i="1" s="1"/>
  <c r="F193" i="1" s="1"/>
  <c r="F195" i="1" s="1"/>
  <c r="F89" i="1"/>
  <c r="F97" i="1" s="1"/>
  <c r="F99" i="1" s="1"/>
  <c r="D273" i="1"/>
  <c r="D39" i="5" s="1"/>
  <c r="Q39" i="5" s="1"/>
  <c r="G7" i="57" s="1"/>
  <c r="I7" i="57" s="1"/>
  <c r="I289" i="1"/>
  <c r="K273" i="1"/>
  <c r="K39" i="5" s="1"/>
  <c r="C183" i="1"/>
  <c r="C191" i="1" s="1"/>
  <c r="C193" i="1" s="1"/>
  <c r="C195" i="1" s="1"/>
  <c r="C89" i="1"/>
  <c r="C97" i="1" s="1"/>
  <c r="C99" i="1" s="1"/>
  <c r="O237" i="1"/>
  <c r="X12" i="6"/>
  <c r="N31" i="5"/>
  <c r="F182" i="5"/>
  <c r="F8" i="66" s="1"/>
  <c r="F111" i="66" s="1"/>
  <c r="I81" i="1"/>
  <c r="X18" i="6"/>
  <c r="X20" i="60"/>
  <c r="X20" i="6"/>
  <c r="J107" i="1"/>
  <c r="M107" i="1"/>
  <c r="V30" i="6"/>
  <c r="X28" i="6"/>
  <c r="X30" i="6" s="1"/>
  <c r="D81" i="1"/>
  <c r="B30" i="60"/>
  <c r="V28" i="60"/>
  <c r="W28" i="60"/>
  <c r="W30" i="60" s="1"/>
  <c r="X13" i="6"/>
  <c r="W16" i="6"/>
  <c r="W17" i="6" s="1"/>
  <c r="W19" i="6" s="1"/>
  <c r="W21" i="6" s="1"/>
  <c r="W32" i="6" s="1"/>
  <c r="X10" i="60"/>
  <c r="X14" i="6"/>
  <c r="X11" i="6"/>
  <c r="B17" i="6"/>
  <c r="B19" i="6" s="1"/>
  <c r="B21" i="6" s="1"/>
  <c r="B32" i="6" s="1"/>
  <c r="J283" i="1"/>
  <c r="C283" i="1"/>
  <c r="M89" i="1"/>
  <c r="M97" i="1" s="1"/>
  <c r="M99" i="1" s="1"/>
  <c r="N287" i="1"/>
  <c r="N53" i="5" s="1"/>
  <c r="G21" i="65" s="1"/>
  <c r="G89" i="1"/>
  <c r="G97" i="1" s="1"/>
  <c r="G99" i="1" s="1"/>
  <c r="N282" i="1"/>
  <c r="N48" i="5" s="1"/>
  <c r="G16" i="65" s="1"/>
  <c r="N281" i="1"/>
  <c r="N47" i="5" s="1"/>
  <c r="G15" i="65" s="1"/>
  <c r="D49" i="5"/>
  <c r="B274" i="1"/>
  <c r="B40" i="5" s="1"/>
  <c r="G81" i="1"/>
  <c r="B291" i="1"/>
  <c r="B57" i="5" s="1"/>
  <c r="C107" i="1"/>
  <c r="B290" i="1"/>
  <c r="B56" i="5" s="1"/>
  <c r="K274" i="1"/>
  <c r="K40" i="5" s="1"/>
  <c r="K154" i="5" s="1"/>
  <c r="K11" i="66" s="1"/>
  <c r="K114" i="66" s="1"/>
  <c r="N285" i="1"/>
  <c r="N51" i="5" s="1"/>
  <c r="G19" i="65" s="1"/>
  <c r="D275" i="1"/>
  <c r="D41" i="5" s="1"/>
  <c r="D155" i="5" s="1"/>
  <c r="D12" i="66" s="1"/>
  <c r="D115" i="66" s="1"/>
  <c r="F275" i="1"/>
  <c r="F41" i="5" s="1"/>
  <c r="F155" i="5" s="1"/>
  <c r="F12" i="66" s="1"/>
  <c r="F115" i="66" s="1"/>
  <c r="K291" i="1"/>
  <c r="K57" i="5" s="1"/>
  <c r="K171" i="5" s="1"/>
  <c r="K29" i="66" s="1"/>
  <c r="K132" i="66" s="1"/>
  <c r="N280" i="1"/>
  <c r="N46" i="5" s="1"/>
  <c r="G14" i="65" s="1"/>
  <c r="E291" i="1"/>
  <c r="E57" i="5" s="1"/>
  <c r="E171" i="5" s="1"/>
  <c r="C252" i="1"/>
  <c r="C253" i="1" s="1"/>
  <c r="C49" i="5"/>
  <c r="B81" i="1"/>
  <c r="L291" i="1"/>
  <c r="L57" i="5" s="1"/>
  <c r="L171" i="5" s="1"/>
  <c r="L29" i="66" s="1"/>
  <c r="L132" i="66" s="1"/>
  <c r="N278" i="1"/>
  <c r="N44" i="5" s="1"/>
  <c r="G12" i="65" s="1"/>
  <c r="N279" i="1"/>
  <c r="N45" i="5" s="1"/>
  <c r="G13" i="65" s="1"/>
  <c r="B275" i="1"/>
  <c r="B41" i="5" s="1"/>
  <c r="M283" i="1"/>
  <c r="G283" i="1"/>
  <c r="E283" i="1"/>
  <c r="K283" i="1"/>
  <c r="F283" i="1"/>
  <c r="N277" i="1"/>
  <c r="N43" i="5" s="1"/>
  <c r="I283" i="1"/>
  <c r="B107" i="1"/>
  <c r="E89" i="1"/>
  <c r="F263" i="1"/>
  <c r="F290" i="1"/>
  <c r="F56" i="5" s="1"/>
  <c r="F170" i="5" s="1"/>
  <c r="F28" i="66" s="1"/>
  <c r="F131" i="66" s="1"/>
  <c r="D283" i="1"/>
  <c r="H289" i="1"/>
  <c r="H55" i="5" s="1"/>
  <c r="L283" i="1"/>
  <c r="H283" i="1"/>
  <c r="L81" i="1"/>
  <c r="E245" i="1"/>
  <c r="E253" i="1" s="1"/>
  <c r="D263" i="1"/>
  <c r="C81" i="1"/>
  <c r="I263" i="1"/>
  <c r="M263" i="1"/>
  <c r="F81" i="1"/>
  <c r="J245" i="1"/>
  <c r="J253" i="1" s="1"/>
  <c r="C263" i="1"/>
  <c r="H81" i="1"/>
  <c r="K81" i="1"/>
  <c r="L263" i="1"/>
  <c r="M81" i="1"/>
  <c r="J263" i="1"/>
  <c r="B283" i="1"/>
  <c r="K263" i="1"/>
  <c r="E81" i="1"/>
  <c r="G245" i="1"/>
  <c r="G253" i="1" s="1"/>
  <c r="N175" i="1"/>
  <c r="F245" i="1"/>
  <c r="F253" i="1" s="1"/>
  <c r="H263" i="1"/>
  <c r="M245" i="1"/>
  <c r="M253" i="1" s="1"/>
  <c r="B144" i="1"/>
  <c r="N144" i="1"/>
  <c r="C22" i="60"/>
  <c r="G25" i="60"/>
  <c r="B50" i="1"/>
  <c r="B308" i="1"/>
  <c r="N87" i="1"/>
  <c r="D89" i="1"/>
  <c r="L107" i="1"/>
  <c r="B89" i="1"/>
  <c r="K107" i="1"/>
  <c r="I89" i="1"/>
  <c r="N103" i="1"/>
  <c r="H89" i="1"/>
  <c r="L89" i="1"/>
  <c r="I107" i="1"/>
  <c r="J81" i="1"/>
  <c r="E107" i="1"/>
  <c r="N96" i="1"/>
  <c r="N88" i="1"/>
  <c r="N102" i="1"/>
  <c r="N79" i="1"/>
  <c r="H107" i="1"/>
  <c r="N73" i="1"/>
  <c r="N104" i="1"/>
  <c r="F107" i="1"/>
  <c r="K89" i="1"/>
  <c r="N86" i="1"/>
  <c r="N48" i="1"/>
  <c r="O20" i="1"/>
  <c r="I10" i="66" l="1"/>
  <c r="I113" i="66" s="1"/>
  <c r="J55" i="86"/>
  <c r="U127" i="66"/>
  <c r="N58" i="86"/>
  <c r="N59" i="86" s="1"/>
  <c r="M58" i="86"/>
  <c r="M59" i="86" s="1"/>
  <c r="I58" i="86"/>
  <c r="I59" i="86" s="1"/>
  <c r="H58" i="86"/>
  <c r="H59" i="86" s="1"/>
  <c r="Z128" i="66"/>
  <c r="Z141" i="66" s="1"/>
  <c r="Z142" i="66" s="1"/>
  <c r="F153" i="5"/>
  <c r="F10" i="66" s="1"/>
  <c r="F113" i="66" s="1"/>
  <c r="G17" i="57"/>
  <c r="Q57" i="5"/>
  <c r="G27" i="57" s="1"/>
  <c r="I27" i="57" s="1"/>
  <c r="E310" i="1"/>
  <c r="E76" i="5" s="1"/>
  <c r="H36" i="61"/>
  <c r="F60" i="5"/>
  <c r="R57" i="5"/>
  <c r="G27" i="61" s="1"/>
  <c r="I27" i="61" s="1"/>
  <c r="E276" i="1"/>
  <c r="E284" i="1" s="1"/>
  <c r="E286" i="1" s="1"/>
  <c r="E288" i="1" s="1"/>
  <c r="B27" i="66"/>
  <c r="E29" i="66"/>
  <c r="E132" i="66" s="1"/>
  <c r="Q171" i="5"/>
  <c r="G34" i="57"/>
  <c r="G154" i="5"/>
  <c r="G11" i="66" s="1"/>
  <c r="G114" i="66" s="1"/>
  <c r="G42" i="5"/>
  <c r="G50" i="5" s="1"/>
  <c r="G52" i="5" s="1"/>
  <c r="G54" i="5" s="1"/>
  <c r="H42" i="5"/>
  <c r="H50" i="5" s="1"/>
  <c r="H52" i="5" s="1"/>
  <c r="H54" i="5" s="1"/>
  <c r="H155" i="5"/>
  <c r="H12" i="66" s="1"/>
  <c r="H115" i="66" s="1"/>
  <c r="D169" i="5"/>
  <c r="D174" i="5" s="1"/>
  <c r="D32" i="66" s="1"/>
  <c r="D135" i="66" s="1"/>
  <c r="D60" i="5"/>
  <c r="E60" i="5"/>
  <c r="E169" i="5"/>
  <c r="N49" i="5"/>
  <c r="G11" i="65"/>
  <c r="G17" i="65" s="1"/>
  <c r="C42" i="5"/>
  <c r="C50" i="5" s="1"/>
  <c r="C52" i="5" s="1"/>
  <c r="C54" i="5" s="1"/>
  <c r="C154" i="5"/>
  <c r="L42" i="5"/>
  <c r="L50" i="5" s="1"/>
  <c r="L52" i="5" s="1"/>
  <c r="L54" i="5" s="1"/>
  <c r="D154" i="5"/>
  <c r="D11" i="66" s="1"/>
  <c r="D114" i="66" s="1"/>
  <c r="Q40" i="5"/>
  <c r="G8" i="57" s="1"/>
  <c r="I8" i="57" s="1"/>
  <c r="E154" i="5"/>
  <c r="E11" i="66" s="1"/>
  <c r="E114" i="66" s="1"/>
  <c r="F169" i="5"/>
  <c r="R39" i="5"/>
  <c r="G7" i="61" s="1"/>
  <c r="I7" i="61" s="1"/>
  <c r="L154" i="5"/>
  <c r="L156" i="5" s="1"/>
  <c r="L164" i="5" s="1"/>
  <c r="B171" i="5"/>
  <c r="R171" i="5" s="1"/>
  <c r="I294" i="1"/>
  <c r="I55" i="5"/>
  <c r="O182" i="1"/>
  <c r="O180" i="1"/>
  <c r="O197" i="1"/>
  <c r="E41" i="5"/>
  <c r="G294" i="1"/>
  <c r="C20" i="73"/>
  <c r="D20" i="73" s="1"/>
  <c r="C20" i="61"/>
  <c r="G34" i="61"/>
  <c r="C37" i="53"/>
  <c r="T7" i="57"/>
  <c r="V7" i="57" s="1"/>
  <c r="R49" i="5"/>
  <c r="R339" i="1"/>
  <c r="Q252" i="1"/>
  <c r="R183" i="1"/>
  <c r="B310" i="1"/>
  <c r="B76" i="5" s="1"/>
  <c r="B44" i="66" s="1"/>
  <c r="B147" i="66" s="1"/>
  <c r="R252" i="1"/>
  <c r="B191" i="1"/>
  <c r="B193" i="1" s="1"/>
  <c r="N193" i="1" s="1"/>
  <c r="Q183" i="1"/>
  <c r="E7" i="57"/>
  <c r="K44" i="66"/>
  <c r="K147" i="66" s="1"/>
  <c r="K182" i="5"/>
  <c r="K8" i="66" s="1"/>
  <c r="K111" i="66" s="1"/>
  <c r="F9" i="6"/>
  <c r="F17" i="6" s="1"/>
  <c r="F19" i="6" s="1"/>
  <c r="F21" i="6" s="1"/>
  <c r="F27" i="6"/>
  <c r="H182" i="5"/>
  <c r="H8" i="66" s="1"/>
  <c r="H111" i="66" s="1"/>
  <c r="H44" i="66"/>
  <c r="H147" i="66" s="1"/>
  <c r="G182" i="5"/>
  <c r="G8" i="66" s="1"/>
  <c r="G111" i="66" s="1"/>
  <c r="G44" i="66"/>
  <c r="G147" i="66" s="1"/>
  <c r="C44" i="66"/>
  <c r="C147" i="66" s="1"/>
  <c r="C182" i="5"/>
  <c r="C8" i="66" s="1"/>
  <c r="C111" i="66" s="1"/>
  <c r="D44" i="66"/>
  <c r="D147" i="66" s="1"/>
  <c r="D182" i="5"/>
  <c r="D8" i="66" s="1"/>
  <c r="D111" i="66" s="1"/>
  <c r="Q339" i="1"/>
  <c r="N339" i="1"/>
  <c r="H22" i="65" s="1"/>
  <c r="H35" i="65" s="1"/>
  <c r="R40" i="5"/>
  <c r="G8" i="61" s="1"/>
  <c r="I8" i="61" s="1"/>
  <c r="S8" i="61" s="1"/>
  <c r="I44" i="66"/>
  <c r="I147" i="66" s="1"/>
  <c r="B154" i="5"/>
  <c r="B17" i="60"/>
  <c r="B19" i="60" s="1"/>
  <c r="G12" i="6"/>
  <c r="R12" i="6" s="1"/>
  <c r="U13" i="57" s="1"/>
  <c r="V13" i="57" s="1"/>
  <c r="O181" i="1"/>
  <c r="F9" i="60"/>
  <c r="F17" i="60" s="1"/>
  <c r="F19" i="60" s="1"/>
  <c r="F21" i="60" s="1"/>
  <c r="W16" i="60"/>
  <c r="W17" i="60" s="1"/>
  <c r="W19" i="60" s="1"/>
  <c r="W21" i="60" s="1"/>
  <c r="W32" i="60" s="1"/>
  <c r="Q49" i="5"/>
  <c r="E206" i="1"/>
  <c r="E307" i="1" s="1"/>
  <c r="E75" i="5" s="1"/>
  <c r="E43" i="66" s="1"/>
  <c r="E146" i="66" s="1"/>
  <c r="L60" i="5"/>
  <c r="R29" i="6"/>
  <c r="U33" i="57" s="1"/>
  <c r="V33" i="57" s="1"/>
  <c r="J29" i="6"/>
  <c r="T280" i="1"/>
  <c r="R25" i="6"/>
  <c r="U28" i="57" s="1"/>
  <c r="T296" i="1"/>
  <c r="G206" i="1"/>
  <c r="G307" i="1" s="1"/>
  <c r="G75" i="5" s="1"/>
  <c r="G43" i="66" s="1"/>
  <c r="G146" i="66" s="1"/>
  <c r="U296" i="1"/>
  <c r="G29" i="60"/>
  <c r="N289" i="1"/>
  <c r="N55" i="5" s="1"/>
  <c r="G24" i="65" s="1"/>
  <c r="I24" i="65" s="1"/>
  <c r="E24" i="65" s="1"/>
  <c r="N183" i="1"/>
  <c r="O183" i="1" s="1"/>
  <c r="B155" i="5"/>
  <c r="R107" i="1"/>
  <c r="Q107" i="1"/>
  <c r="R290" i="1"/>
  <c r="Q290" i="1"/>
  <c r="T290" i="1" s="1"/>
  <c r="B306" i="1"/>
  <c r="B73" i="5" s="1"/>
  <c r="B41" i="66" s="1"/>
  <c r="B144" i="66" s="1"/>
  <c r="R144" i="1"/>
  <c r="Q144" i="1"/>
  <c r="R81" i="1"/>
  <c r="Q81" i="1"/>
  <c r="Q89" i="1"/>
  <c r="R89" i="1"/>
  <c r="R291" i="1"/>
  <c r="Q291" i="1"/>
  <c r="T291" i="1" s="1"/>
  <c r="R274" i="1"/>
  <c r="Q274" i="1"/>
  <c r="G7" i="6" s="1"/>
  <c r="Q7" i="6" s="1"/>
  <c r="S7" i="6" s="1"/>
  <c r="H294" i="1"/>
  <c r="G11" i="6"/>
  <c r="R11" i="6" s="1"/>
  <c r="Q289" i="1"/>
  <c r="Q273" i="1"/>
  <c r="T273" i="1" s="1"/>
  <c r="R273" i="1"/>
  <c r="G6" i="60" s="1"/>
  <c r="J6" i="60" s="1"/>
  <c r="F27" i="60"/>
  <c r="Q275" i="1"/>
  <c r="R275" i="1"/>
  <c r="B42" i="5"/>
  <c r="H206" i="1"/>
  <c r="H307" i="1" s="1"/>
  <c r="H75" i="5" s="1"/>
  <c r="H43" i="66" s="1"/>
  <c r="H146" i="66" s="1"/>
  <c r="G28" i="6"/>
  <c r="K206" i="1"/>
  <c r="K307" i="1" s="1"/>
  <c r="K75" i="5" s="1"/>
  <c r="K43" i="66" s="1"/>
  <c r="K146" i="66" s="1"/>
  <c r="R50" i="1"/>
  <c r="Q50" i="1"/>
  <c r="R297" i="1"/>
  <c r="Q297" i="1"/>
  <c r="T297" i="1" s="1"/>
  <c r="Q283" i="1"/>
  <c r="R283" i="1"/>
  <c r="L174" i="5"/>
  <c r="L32" i="66" s="1"/>
  <c r="L135" i="66" s="1"/>
  <c r="E294" i="1"/>
  <c r="D294" i="1"/>
  <c r="G276" i="1"/>
  <c r="G284" i="1" s="1"/>
  <c r="G286" i="1" s="1"/>
  <c r="G288" i="1" s="1"/>
  <c r="C276" i="1"/>
  <c r="C284" i="1" s="1"/>
  <c r="C286" i="1" s="1"/>
  <c r="C288" i="1" s="1"/>
  <c r="D206" i="1"/>
  <c r="D307" i="1" s="1"/>
  <c r="D75" i="5" s="1"/>
  <c r="D43" i="66" s="1"/>
  <c r="D146" i="66" s="1"/>
  <c r="R63" i="5"/>
  <c r="Q63" i="5"/>
  <c r="I276" i="1"/>
  <c r="I284" i="1" s="1"/>
  <c r="I286" i="1" s="1"/>
  <c r="I288" i="1" s="1"/>
  <c r="G12" i="60"/>
  <c r="J12" i="60" s="1"/>
  <c r="G31" i="65"/>
  <c r="G33" i="65" s="1"/>
  <c r="N63" i="5"/>
  <c r="G11" i="60"/>
  <c r="R11" i="60" s="1"/>
  <c r="N297" i="1"/>
  <c r="G28" i="60"/>
  <c r="K60" i="5"/>
  <c r="G17" i="61"/>
  <c r="K174" i="5"/>
  <c r="K32" i="66" s="1"/>
  <c r="K135" i="66" s="1"/>
  <c r="G12" i="66"/>
  <c r="G115" i="66" s="1"/>
  <c r="H10" i="66"/>
  <c r="H113" i="66" s="1"/>
  <c r="U278" i="1"/>
  <c r="R25" i="60"/>
  <c r="U292" i="1"/>
  <c r="T277" i="1"/>
  <c r="G10" i="6"/>
  <c r="R10" i="6" s="1"/>
  <c r="G174" i="5"/>
  <c r="G32" i="66" s="1"/>
  <c r="G135" i="66" s="1"/>
  <c r="G15" i="6"/>
  <c r="T282" i="1"/>
  <c r="U279" i="1"/>
  <c r="T293" i="1"/>
  <c r="G26" i="6"/>
  <c r="L206" i="1"/>
  <c r="L307" i="1" s="1"/>
  <c r="L75" i="5" s="1"/>
  <c r="L43" i="66" s="1"/>
  <c r="L146" i="66" s="1"/>
  <c r="L294" i="1"/>
  <c r="F294" i="1"/>
  <c r="R56" i="5"/>
  <c r="G26" i="61" s="1"/>
  <c r="Q56" i="5"/>
  <c r="G26" i="57" s="1"/>
  <c r="I26" i="57" s="1"/>
  <c r="S26" i="57" s="1"/>
  <c r="L276" i="1"/>
  <c r="L284" i="1" s="1"/>
  <c r="L286" i="1" s="1"/>
  <c r="L288" i="1" s="1"/>
  <c r="J276" i="1"/>
  <c r="J284" i="1" s="1"/>
  <c r="J286" i="1" s="1"/>
  <c r="J288" i="1" s="1"/>
  <c r="K294" i="1"/>
  <c r="M276" i="1"/>
  <c r="M284" i="1" s="1"/>
  <c r="M286" i="1" s="1"/>
  <c r="M288" i="1" s="1"/>
  <c r="H276" i="1"/>
  <c r="H284" i="1" s="1"/>
  <c r="H286" i="1" s="1"/>
  <c r="H288" i="1" s="1"/>
  <c r="F276" i="1"/>
  <c r="F284" i="1" s="1"/>
  <c r="F286" i="1" s="1"/>
  <c r="F288" i="1" s="1"/>
  <c r="G60" i="5"/>
  <c r="D276" i="1"/>
  <c r="D284" i="1" s="1"/>
  <c r="D286" i="1" s="1"/>
  <c r="D288" i="1" s="1"/>
  <c r="M201" i="1"/>
  <c r="M206" i="1" s="1"/>
  <c r="M307" i="1" s="1"/>
  <c r="M75" i="5" s="1"/>
  <c r="M43" i="66" s="1"/>
  <c r="M146" i="66" s="1"/>
  <c r="K153" i="5"/>
  <c r="L55" i="86" s="1"/>
  <c r="K42" i="5"/>
  <c r="K50" i="5" s="1"/>
  <c r="K52" i="5" s="1"/>
  <c r="K54" i="5" s="1"/>
  <c r="M154" i="5"/>
  <c r="M42" i="5"/>
  <c r="M50" i="5" s="1"/>
  <c r="M52" i="5" s="1"/>
  <c r="M54" i="5" s="1"/>
  <c r="J153" i="5"/>
  <c r="K55" i="86" s="1"/>
  <c r="J42" i="5"/>
  <c r="J50" i="5" s="1"/>
  <c r="J52" i="5" s="1"/>
  <c r="J54" i="5" s="1"/>
  <c r="H169" i="5"/>
  <c r="H60" i="5"/>
  <c r="K276" i="1"/>
  <c r="K284" i="1" s="1"/>
  <c r="K286" i="1" s="1"/>
  <c r="K288" i="1" s="1"/>
  <c r="I42" i="5"/>
  <c r="I50" i="5" s="1"/>
  <c r="I52" i="5" s="1"/>
  <c r="I54" i="5" s="1"/>
  <c r="O196" i="1"/>
  <c r="C201" i="1"/>
  <c r="C206" i="1" s="1"/>
  <c r="C307" i="1" s="1"/>
  <c r="C75" i="5" s="1"/>
  <c r="C43" i="66" s="1"/>
  <c r="C146" i="66" s="1"/>
  <c r="F206" i="1"/>
  <c r="F307" i="1" s="1"/>
  <c r="F75" i="5" s="1"/>
  <c r="F43" i="66" s="1"/>
  <c r="F146" i="66" s="1"/>
  <c r="D153" i="5"/>
  <c r="R153" i="5" s="1"/>
  <c r="D42" i="5"/>
  <c r="D50" i="5" s="1"/>
  <c r="D52" i="5" s="1"/>
  <c r="D54" i="5" s="1"/>
  <c r="B170" i="5"/>
  <c r="B60" i="5"/>
  <c r="M289" i="1"/>
  <c r="F42" i="5"/>
  <c r="F50" i="5" s="1"/>
  <c r="F52" i="5" s="1"/>
  <c r="F54" i="5" s="1"/>
  <c r="F65" i="5" s="1"/>
  <c r="C289" i="1"/>
  <c r="J201" i="1"/>
  <c r="J206" i="1" s="1"/>
  <c r="J307" i="1" s="1"/>
  <c r="J75" i="5" s="1"/>
  <c r="J43" i="66" s="1"/>
  <c r="J146" i="66" s="1"/>
  <c r="I201" i="1"/>
  <c r="I206" i="1" s="1"/>
  <c r="I307" i="1" s="1"/>
  <c r="I75" i="5" s="1"/>
  <c r="I43" i="66" s="1"/>
  <c r="I146" i="66" s="1"/>
  <c r="J289" i="1"/>
  <c r="I156" i="5"/>
  <c r="J25" i="60"/>
  <c r="F156" i="5"/>
  <c r="V30" i="60"/>
  <c r="X28" i="60"/>
  <c r="X30" i="60" s="1"/>
  <c r="C30" i="60"/>
  <c r="J13" i="6"/>
  <c r="R13" i="6"/>
  <c r="U14" i="57" s="1"/>
  <c r="V14" i="57" s="1"/>
  <c r="N283" i="1"/>
  <c r="N291" i="1"/>
  <c r="N57" i="5" s="1"/>
  <c r="G26" i="65" s="1"/>
  <c r="I26" i="65" s="1"/>
  <c r="E97" i="1"/>
  <c r="E99" i="1" s="1"/>
  <c r="N290" i="1"/>
  <c r="N56" i="5" s="1"/>
  <c r="G25" i="65" s="1"/>
  <c r="I25" i="65" s="1"/>
  <c r="E25" i="65" s="1"/>
  <c r="N275" i="1"/>
  <c r="N41" i="5" s="1"/>
  <c r="G9" i="65" s="1"/>
  <c r="I9" i="65" s="1"/>
  <c r="E9" i="65" s="1"/>
  <c r="N274" i="1"/>
  <c r="N40" i="5" s="1"/>
  <c r="G8" i="65" s="1"/>
  <c r="I8" i="65" s="1"/>
  <c r="E8" i="65" s="1"/>
  <c r="N273" i="1"/>
  <c r="N39" i="5" s="1"/>
  <c r="G7" i="65" s="1"/>
  <c r="I7" i="65" s="1"/>
  <c r="E7" i="65" s="1"/>
  <c r="D97" i="1"/>
  <c r="D99" i="1" s="1"/>
  <c r="D245" i="1"/>
  <c r="H97" i="1"/>
  <c r="H99" i="1" s="1"/>
  <c r="H245" i="1"/>
  <c r="H253" i="1" s="1"/>
  <c r="M101" i="1"/>
  <c r="M255" i="1"/>
  <c r="K97" i="1"/>
  <c r="K99" i="1" s="1"/>
  <c r="K245" i="1"/>
  <c r="K253" i="1" s="1"/>
  <c r="B294" i="1"/>
  <c r="E255" i="1"/>
  <c r="E257" i="1" s="1"/>
  <c r="E268" i="1" s="1"/>
  <c r="N308" i="1"/>
  <c r="N74" i="5" s="1"/>
  <c r="N42" i="66" s="1"/>
  <c r="N145" i="66" s="1"/>
  <c r="N50" i="1"/>
  <c r="U282" i="1"/>
  <c r="N306" i="1"/>
  <c r="N73" i="5" s="1"/>
  <c r="N41" i="66" s="1"/>
  <c r="N144" i="66" s="1"/>
  <c r="B263" i="1"/>
  <c r="G101" i="1"/>
  <c r="G255" i="1"/>
  <c r="J101" i="1"/>
  <c r="J255" i="1"/>
  <c r="I97" i="1"/>
  <c r="I99" i="1" s="1"/>
  <c r="I245" i="1"/>
  <c r="I253" i="1" s="1"/>
  <c r="B52" i="1"/>
  <c r="L97" i="1"/>
  <c r="L99" i="1" s="1"/>
  <c r="L245" i="1"/>
  <c r="L253" i="1" s="1"/>
  <c r="B97" i="1"/>
  <c r="F101" i="1"/>
  <c r="F255" i="1"/>
  <c r="F257" i="1" s="1"/>
  <c r="F268" i="1" s="1"/>
  <c r="C101" i="1"/>
  <c r="C255" i="1"/>
  <c r="B276" i="1"/>
  <c r="B74" i="5"/>
  <c r="B42" i="66" s="1"/>
  <c r="B145" i="66" s="1"/>
  <c r="N89" i="1"/>
  <c r="N107" i="1"/>
  <c r="N81" i="1"/>
  <c r="N32" i="1"/>
  <c r="O31" i="1"/>
  <c r="A128" i="27"/>
  <c r="A129" i="27"/>
  <c r="J58" i="86" l="1"/>
  <c r="J59" i="86" s="1"/>
  <c r="E182" i="5"/>
  <c r="E8" i="66" s="1"/>
  <c r="E111" i="66" s="1"/>
  <c r="E44" i="66"/>
  <c r="E147" i="66" s="1"/>
  <c r="L65" i="5"/>
  <c r="B130" i="66"/>
  <c r="AB127" i="66"/>
  <c r="K58" i="86"/>
  <c r="K59" i="86" s="1"/>
  <c r="L58" i="86"/>
  <c r="L59" i="86" s="1"/>
  <c r="T7" i="61"/>
  <c r="V7" i="61" s="1"/>
  <c r="S7" i="61"/>
  <c r="T27" i="61"/>
  <c r="V27" i="61" s="1"/>
  <c r="S27" i="61"/>
  <c r="E8" i="57"/>
  <c r="S8" i="57"/>
  <c r="T27" i="57"/>
  <c r="V27" i="57" s="1"/>
  <c r="S27" i="57"/>
  <c r="G299" i="1"/>
  <c r="G65" i="5"/>
  <c r="R154" i="5"/>
  <c r="H65" i="5"/>
  <c r="D65" i="5"/>
  <c r="E155" i="5"/>
  <c r="N155" i="5" s="1"/>
  <c r="N12" i="66" s="1"/>
  <c r="N115" i="66" s="1"/>
  <c r="R41" i="5"/>
  <c r="G9" i="61" s="1"/>
  <c r="I9" i="61" s="1"/>
  <c r="Q41" i="5"/>
  <c r="G9" i="57" s="1"/>
  <c r="I9" i="57" s="1"/>
  <c r="B28" i="66"/>
  <c r="P28" i="66" s="1"/>
  <c r="R170" i="5"/>
  <c r="V28" i="57"/>
  <c r="T26" i="57"/>
  <c r="V26" i="57" s="1"/>
  <c r="E26" i="57"/>
  <c r="H156" i="5"/>
  <c r="H164" i="5" s="1"/>
  <c r="G156" i="5"/>
  <c r="G13" i="66" s="1"/>
  <c r="G116" i="66" s="1"/>
  <c r="T8" i="57"/>
  <c r="V8" i="57" s="1"/>
  <c r="D27" i="66"/>
  <c r="D130" i="66" s="1"/>
  <c r="C294" i="1"/>
  <c r="R294" i="1" s="1"/>
  <c r="C55" i="5"/>
  <c r="R55" i="5" s="1"/>
  <c r="G25" i="61" s="1"/>
  <c r="I25" i="61" s="1"/>
  <c r="S25" i="61" s="1"/>
  <c r="R289" i="1"/>
  <c r="M294" i="1"/>
  <c r="M55" i="5"/>
  <c r="M169" i="5" s="1"/>
  <c r="F27" i="66"/>
  <c r="F130" i="66" s="1"/>
  <c r="F174" i="5"/>
  <c r="F32" i="66" s="1"/>
  <c r="F135" i="66" s="1"/>
  <c r="L11" i="66"/>
  <c r="L114" i="66" s="1"/>
  <c r="E42" i="5"/>
  <c r="D253" i="1"/>
  <c r="R245" i="1"/>
  <c r="Q245" i="1"/>
  <c r="Q6" i="60"/>
  <c r="I299" i="1"/>
  <c r="B29" i="66"/>
  <c r="P29" i="66" s="1"/>
  <c r="N310" i="1"/>
  <c r="N76" i="5" s="1"/>
  <c r="N44" i="66" s="1"/>
  <c r="N147" i="66" s="1"/>
  <c r="E27" i="66"/>
  <c r="E130" i="66" s="1"/>
  <c r="E174" i="5"/>
  <c r="E32" i="66" s="1"/>
  <c r="E135" i="66" s="1"/>
  <c r="N171" i="5"/>
  <c r="N29" i="66" s="1"/>
  <c r="D10" i="66"/>
  <c r="Q153" i="5"/>
  <c r="J294" i="1"/>
  <c r="J299" i="1" s="1"/>
  <c r="J55" i="5"/>
  <c r="J60" i="5" s="1"/>
  <c r="J65" i="5" s="1"/>
  <c r="C11" i="66"/>
  <c r="C114" i="66" s="1"/>
  <c r="C156" i="5"/>
  <c r="C22" i="73"/>
  <c r="B36" i="61"/>
  <c r="C36" i="61" s="1"/>
  <c r="C23" i="61"/>
  <c r="Q55" i="5"/>
  <c r="G25" i="57" s="1"/>
  <c r="S11" i="60"/>
  <c r="U12" i="61"/>
  <c r="V12" i="61" s="1"/>
  <c r="E7" i="61"/>
  <c r="R201" i="1"/>
  <c r="S25" i="60"/>
  <c r="U28" i="61"/>
  <c r="E8" i="61"/>
  <c r="T8" i="61"/>
  <c r="V8" i="61" s="1"/>
  <c r="Q201" i="1"/>
  <c r="S11" i="6"/>
  <c r="U12" i="57"/>
  <c r="V12" i="57" s="1"/>
  <c r="S13" i="6"/>
  <c r="S25" i="6"/>
  <c r="S12" i="6"/>
  <c r="S29" i="6"/>
  <c r="B11" i="66"/>
  <c r="R191" i="1"/>
  <c r="Q191" i="1"/>
  <c r="N191" i="1"/>
  <c r="O191" i="1" s="1"/>
  <c r="J12" i="6"/>
  <c r="F32" i="6"/>
  <c r="Q154" i="5"/>
  <c r="F32" i="60"/>
  <c r="U11" i="57"/>
  <c r="G30" i="6"/>
  <c r="J30" i="6" s="1"/>
  <c r="T274" i="1"/>
  <c r="E29" i="65"/>
  <c r="I29" i="65"/>
  <c r="B50" i="5"/>
  <c r="N60" i="5"/>
  <c r="H299" i="1"/>
  <c r="G29" i="65"/>
  <c r="Q42" i="5"/>
  <c r="E299" i="1"/>
  <c r="E309" i="1" s="1"/>
  <c r="I10" i="65"/>
  <c r="I18" i="65" s="1"/>
  <c r="I20" i="65" s="1"/>
  <c r="I22" i="65" s="1"/>
  <c r="B156" i="5"/>
  <c r="E10" i="65"/>
  <c r="E18" i="65" s="1"/>
  <c r="E20" i="65" s="1"/>
  <c r="E22" i="65" s="1"/>
  <c r="G10" i="65"/>
  <c r="G18" i="65" s="1"/>
  <c r="G20" i="65" s="1"/>
  <c r="G24" i="6"/>
  <c r="Q24" i="6" s="1"/>
  <c r="S24" i="6" s="1"/>
  <c r="G30" i="60"/>
  <c r="J30" i="60" s="1"/>
  <c r="R29" i="60"/>
  <c r="J29" i="60"/>
  <c r="C24" i="60"/>
  <c r="N42" i="5"/>
  <c r="N50" i="5" s="1"/>
  <c r="N52" i="5" s="1"/>
  <c r="R276" i="1"/>
  <c r="Q276" i="1"/>
  <c r="C24" i="6"/>
  <c r="C27" i="6" s="1"/>
  <c r="C32" i="6" s="1"/>
  <c r="J11" i="6"/>
  <c r="B12" i="66"/>
  <c r="B115" i="66" s="1"/>
  <c r="R28" i="6"/>
  <c r="U32" i="57" s="1"/>
  <c r="N201" i="1"/>
  <c r="O201" i="1" s="1"/>
  <c r="J28" i="6"/>
  <c r="R263" i="1"/>
  <c r="Q263" i="1"/>
  <c r="Q294" i="1"/>
  <c r="D299" i="1"/>
  <c r="R97" i="1"/>
  <c r="Q97" i="1"/>
  <c r="Q52" i="1"/>
  <c r="R52" i="1"/>
  <c r="Q193" i="1"/>
  <c r="R193" i="1"/>
  <c r="G7" i="60"/>
  <c r="J7" i="60" s="1"/>
  <c r="K65" i="5"/>
  <c r="U295" i="1"/>
  <c r="G15" i="60"/>
  <c r="R15" i="60" s="1"/>
  <c r="U297" i="1"/>
  <c r="J28" i="60"/>
  <c r="R12" i="60"/>
  <c r="G24" i="60"/>
  <c r="Q24" i="60" s="1"/>
  <c r="S24" i="60" s="1"/>
  <c r="J11" i="60"/>
  <c r="G13" i="60"/>
  <c r="R13" i="60" s="1"/>
  <c r="J7" i="6"/>
  <c r="G10" i="60"/>
  <c r="R10" i="60" s="1"/>
  <c r="L299" i="1"/>
  <c r="R28" i="60"/>
  <c r="U32" i="61" s="1"/>
  <c r="H174" i="5"/>
  <c r="H32" i="66" s="1"/>
  <c r="H135" i="66" s="1"/>
  <c r="H27" i="66"/>
  <c r="H130" i="66" s="1"/>
  <c r="L13" i="66"/>
  <c r="L116" i="66" s="1"/>
  <c r="M156" i="5"/>
  <c r="M164" i="5" s="1"/>
  <c r="M11" i="66"/>
  <c r="M114" i="66" s="1"/>
  <c r="J156" i="5"/>
  <c r="J10" i="66"/>
  <c r="J113" i="66" s="1"/>
  <c r="F164" i="5"/>
  <c r="F13" i="66"/>
  <c r="F116" i="66" s="1"/>
  <c r="I164" i="5"/>
  <c r="I13" i="66"/>
  <c r="I116" i="66" s="1"/>
  <c r="K156" i="5"/>
  <c r="K10" i="66"/>
  <c r="K113" i="66" s="1"/>
  <c r="L166" i="5"/>
  <c r="L21" i="66"/>
  <c r="G6" i="6"/>
  <c r="U274" i="1"/>
  <c r="U280" i="1"/>
  <c r="U277" i="1"/>
  <c r="T275" i="1"/>
  <c r="G8" i="6"/>
  <c r="G23" i="6"/>
  <c r="Q23" i="6" s="1"/>
  <c r="S23" i="6" s="1"/>
  <c r="G22" i="6"/>
  <c r="T289" i="1"/>
  <c r="U291" i="1"/>
  <c r="R74" i="5"/>
  <c r="Q74" i="5"/>
  <c r="Q76" i="5"/>
  <c r="R76" i="5"/>
  <c r="Q73" i="5"/>
  <c r="R73" i="5"/>
  <c r="F299" i="1"/>
  <c r="F309" i="1" s="1"/>
  <c r="K299" i="1"/>
  <c r="Q170" i="5"/>
  <c r="I26" i="61"/>
  <c r="N154" i="5"/>
  <c r="N11" i="66" s="1"/>
  <c r="O193" i="1"/>
  <c r="B195" i="1"/>
  <c r="N195" i="1" s="1"/>
  <c r="I169" i="5"/>
  <c r="I60" i="5"/>
  <c r="I65" i="5" s="1"/>
  <c r="D156" i="5"/>
  <c r="N153" i="5"/>
  <c r="N10" i="66" s="1"/>
  <c r="B174" i="5"/>
  <c r="N170" i="5"/>
  <c r="N28" i="66" s="1"/>
  <c r="C169" i="5"/>
  <c r="R169" i="5" s="1"/>
  <c r="C60" i="5"/>
  <c r="C65" i="5" s="1"/>
  <c r="M299" i="1"/>
  <c r="J26" i="6"/>
  <c r="R26" i="6"/>
  <c r="U29" i="57" s="1"/>
  <c r="B21" i="60"/>
  <c r="J15" i="6"/>
  <c r="R15" i="6"/>
  <c r="U16" i="57" s="1"/>
  <c r="C16" i="60"/>
  <c r="B182" i="5"/>
  <c r="B8" i="66" s="1"/>
  <c r="J10" i="6"/>
  <c r="N294" i="1"/>
  <c r="N276" i="1"/>
  <c r="N284" i="1" s="1"/>
  <c r="N286" i="1" s="1"/>
  <c r="N288" i="1" s="1"/>
  <c r="G23" i="60"/>
  <c r="Q23" i="60" s="1"/>
  <c r="S23" i="60" s="1"/>
  <c r="E101" i="1"/>
  <c r="D101" i="1"/>
  <c r="G257" i="1"/>
  <c r="G268" i="1" s="1"/>
  <c r="G112" i="1"/>
  <c r="I101" i="1"/>
  <c r="I255" i="1"/>
  <c r="B99" i="1"/>
  <c r="K101" i="1"/>
  <c r="K255" i="1"/>
  <c r="N97" i="1"/>
  <c r="G8" i="60"/>
  <c r="C112" i="1"/>
  <c r="C257" i="1"/>
  <c r="C268" i="1" s="1"/>
  <c r="L255" i="1"/>
  <c r="B63" i="1"/>
  <c r="J257" i="1"/>
  <c r="J268" i="1" s="1"/>
  <c r="J112" i="1"/>
  <c r="G22" i="60"/>
  <c r="L101" i="1"/>
  <c r="M257" i="1"/>
  <c r="M268" i="1" s="1"/>
  <c r="M112" i="1"/>
  <c r="H255" i="1"/>
  <c r="H101" i="1"/>
  <c r="N245" i="1"/>
  <c r="G26" i="60"/>
  <c r="N52" i="1"/>
  <c r="F112" i="1"/>
  <c r="B284" i="1"/>
  <c r="A127" i="30"/>
  <c r="A128" i="30"/>
  <c r="A126" i="27"/>
  <c r="A127" i="27"/>
  <c r="E35" i="65" l="1"/>
  <c r="G269" i="1"/>
  <c r="L124" i="66"/>
  <c r="L25" i="66"/>
  <c r="L38" i="66" s="1"/>
  <c r="N131" i="66"/>
  <c r="N132" i="66"/>
  <c r="V29" i="66"/>
  <c r="AA29" i="66" s="1"/>
  <c r="B132" i="66"/>
  <c r="U132" i="66" s="1"/>
  <c r="P8" i="66"/>
  <c r="B111" i="66"/>
  <c r="P10" i="66"/>
  <c r="V10" i="66" s="1"/>
  <c r="D113" i="66"/>
  <c r="U113" i="66" s="1"/>
  <c r="V28" i="66"/>
  <c r="AA28" i="66" s="1"/>
  <c r="B131" i="66"/>
  <c r="U131" i="66" s="1"/>
  <c r="N113" i="66"/>
  <c r="N114" i="66"/>
  <c r="P11" i="66"/>
  <c r="V11" i="66" s="1"/>
  <c r="AA11" i="66" s="1"/>
  <c r="B114" i="66"/>
  <c r="U114" i="66" s="1"/>
  <c r="P12" i="66"/>
  <c r="V12" i="66" s="1"/>
  <c r="AA12" i="66" s="1"/>
  <c r="J169" i="5"/>
  <c r="N169" i="5" s="1"/>
  <c r="N27" i="66" s="1"/>
  <c r="N130" i="66" s="1"/>
  <c r="T26" i="61"/>
  <c r="V26" i="61" s="1"/>
  <c r="S26" i="61"/>
  <c r="I10" i="61"/>
  <c r="S10" i="61" s="1"/>
  <c r="S9" i="61"/>
  <c r="G10" i="57"/>
  <c r="G18" i="57" s="1"/>
  <c r="G20" i="57" s="1"/>
  <c r="G23" i="57" s="1"/>
  <c r="I10" i="57"/>
  <c r="I18" i="57" s="1"/>
  <c r="T9" i="61"/>
  <c r="V9" i="61" s="1"/>
  <c r="G309" i="1"/>
  <c r="G77" i="5" s="1"/>
  <c r="G45" i="66" s="1"/>
  <c r="E156" i="5"/>
  <c r="E164" i="5" s="1"/>
  <c r="E12" i="66"/>
  <c r="E115" i="66" s="1"/>
  <c r="R50" i="5"/>
  <c r="C299" i="1"/>
  <c r="E9" i="57"/>
  <c r="E10" i="57" s="1"/>
  <c r="E18" i="57" s="1"/>
  <c r="E20" i="57" s="1"/>
  <c r="E23" i="57" s="1"/>
  <c r="E9" i="61"/>
  <c r="E10" i="61" s="1"/>
  <c r="E18" i="61" s="1"/>
  <c r="E20" i="61" s="1"/>
  <c r="G10" i="61"/>
  <c r="G18" i="61" s="1"/>
  <c r="G20" i="61" s="1"/>
  <c r="T9" i="57"/>
  <c r="V9" i="57" s="1"/>
  <c r="R155" i="5"/>
  <c r="Q155" i="5"/>
  <c r="E50" i="5"/>
  <c r="E52" i="5" s="1"/>
  <c r="E54" i="5" s="1"/>
  <c r="E65" i="5" s="1"/>
  <c r="R42" i="5"/>
  <c r="B13" i="66"/>
  <c r="B32" i="66"/>
  <c r="I25" i="57"/>
  <c r="G30" i="57"/>
  <c r="V32" i="57"/>
  <c r="U34" i="57"/>
  <c r="V34" i="57" s="1"/>
  <c r="U30" i="57"/>
  <c r="V29" i="57"/>
  <c r="H13" i="66"/>
  <c r="H116" i="66" s="1"/>
  <c r="R253" i="1"/>
  <c r="Q253" i="1"/>
  <c r="C164" i="5"/>
  <c r="C13" i="66"/>
  <c r="C116" i="66" s="1"/>
  <c r="M60" i="5"/>
  <c r="M65" i="5" s="1"/>
  <c r="Q6" i="6"/>
  <c r="S6" i="6" s="1"/>
  <c r="J6" i="6"/>
  <c r="D255" i="1"/>
  <c r="D257" i="1" s="1"/>
  <c r="D268" i="1" s="1"/>
  <c r="D309" i="1" s="1"/>
  <c r="D77" i="5" s="1"/>
  <c r="D45" i="66" s="1"/>
  <c r="R60" i="5"/>
  <c r="Q60" i="5"/>
  <c r="G30" i="61"/>
  <c r="D22" i="73"/>
  <c r="C35" i="73"/>
  <c r="U16" i="61"/>
  <c r="V32" i="61"/>
  <c r="V28" i="61"/>
  <c r="J10" i="60"/>
  <c r="U11" i="61"/>
  <c r="T25" i="61"/>
  <c r="V25" i="61" s="1"/>
  <c r="E25" i="61"/>
  <c r="S29" i="60"/>
  <c r="U33" i="61"/>
  <c r="V33" i="61" s="1"/>
  <c r="S12" i="60"/>
  <c r="U13" i="61"/>
  <c r="V13" i="61" s="1"/>
  <c r="C27" i="66"/>
  <c r="P27" i="66" s="1"/>
  <c r="Q169" i="5"/>
  <c r="S13" i="60"/>
  <c r="U14" i="61"/>
  <c r="V14" i="61" s="1"/>
  <c r="V11" i="57"/>
  <c r="R27" i="6"/>
  <c r="S10" i="6"/>
  <c r="Q156" i="5"/>
  <c r="B52" i="5"/>
  <c r="G9" i="6"/>
  <c r="Q22" i="6"/>
  <c r="Q27" i="6" s="1"/>
  <c r="G27" i="6"/>
  <c r="J27" i="6" s="1"/>
  <c r="Q50" i="5"/>
  <c r="I35" i="65"/>
  <c r="J24" i="6"/>
  <c r="G22" i="65"/>
  <c r="G35" i="65" s="1"/>
  <c r="B164" i="5"/>
  <c r="R30" i="6"/>
  <c r="S28" i="6"/>
  <c r="S30" i="6" s="1"/>
  <c r="N206" i="1"/>
  <c r="N307" i="1" s="1"/>
  <c r="N75" i="5" s="1"/>
  <c r="N43" i="66" s="1"/>
  <c r="N146" i="66" s="1"/>
  <c r="Q7" i="60"/>
  <c r="S7" i="60" s="1"/>
  <c r="T294" i="1"/>
  <c r="R99" i="1"/>
  <c r="Q99" i="1"/>
  <c r="R63" i="1"/>
  <c r="Q63" i="1"/>
  <c r="R284" i="1"/>
  <c r="Q284" i="1"/>
  <c r="R195" i="1"/>
  <c r="Q195" i="1"/>
  <c r="J15" i="60"/>
  <c r="F269" i="1"/>
  <c r="U290" i="1"/>
  <c r="J23" i="6"/>
  <c r="J24" i="60"/>
  <c r="R30" i="60"/>
  <c r="S28" i="60"/>
  <c r="J13" i="60"/>
  <c r="I174" i="5"/>
  <c r="I32" i="66" s="1"/>
  <c r="I135" i="66" s="1"/>
  <c r="I27" i="66"/>
  <c r="I130" i="66" s="1"/>
  <c r="M174" i="5"/>
  <c r="M32" i="66" s="1"/>
  <c r="M135" i="66" s="1"/>
  <c r="M27" i="66"/>
  <c r="M130" i="66" s="1"/>
  <c r="M13" i="66"/>
  <c r="M116" i="66" s="1"/>
  <c r="F166" i="5"/>
  <c r="F21" i="66"/>
  <c r="H166" i="5"/>
  <c r="H21" i="66"/>
  <c r="K164" i="5"/>
  <c r="K13" i="66"/>
  <c r="K116" i="66" s="1"/>
  <c r="M166" i="5"/>
  <c r="M21" i="66"/>
  <c r="D164" i="5"/>
  <c r="D13" i="66"/>
  <c r="D116" i="66" s="1"/>
  <c r="J164" i="5"/>
  <c r="J13" i="66"/>
  <c r="J116" i="66" s="1"/>
  <c r="L168" i="5"/>
  <c r="L23" i="66"/>
  <c r="N156" i="5"/>
  <c r="N13" i="66" s="1"/>
  <c r="N116" i="66" s="1"/>
  <c r="I166" i="5"/>
  <c r="I21" i="66"/>
  <c r="T276" i="1"/>
  <c r="U293" i="1"/>
  <c r="J22" i="60"/>
  <c r="U289" i="1"/>
  <c r="U273" i="1"/>
  <c r="Q8" i="60"/>
  <c r="S8" i="60" s="1"/>
  <c r="U275" i="1"/>
  <c r="J23" i="60"/>
  <c r="F312" i="1"/>
  <c r="F72" i="5" s="1"/>
  <c r="F77" i="5"/>
  <c r="F45" i="66" s="1"/>
  <c r="E312" i="1"/>
  <c r="E72" i="5" s="1"/>
  <c r="E77" i="5"/>
  <c r="E45" i="66" s="1"/>
  <c r="E26" i="61"/>
  <c r="I30" i="61"/>
  <c r="S30" i="61" s="1"/>
  <c r="Q182" i="5"/>
  <c r="R182" i="5"/>
  <c r="M269" i="1"/>
  <c r="M309" i="1"/>
  <c r="J269" i="1"/>
  <c r="J309" i="1"/>
  <c r="O195" i="1"/>
  <c r="B206" i="1"/>
  <c r="C174" i="5"/>
  <c r="C309" i="1"/>
  <c r="C269" i="1"/>
  <c r="R26" i="60"/>
  <c r="U29" i="61" s="1"/>
  <c r="V29" i="61" s="1"/>
  <c r="J26" i="60"/>
  <c r="N299" i="1"/>
  <c r="C9" i="60"/>
  <c r="C17" i="60" s="1"/>
  <c r="N54" i="5"/>
  <c r="J8" i="6"/>
  <c r="Q8" i="6"/>
  <c r="S8" i="6" s="1"/>
  <c r="B32" i="60"/>
  <c r="G27" i="60"/>
  <c r="Q22" i="60"/>
  <c r="J8" i="60"/>
  <c r="N182" i="5"/>
  <c r="N8" i="66" s="1"/>
  <c r="C27" i="60"/>
  <c r="E112" i="1"/>
  <c r="E269" i="1" s="1"/>
  <c r="J22" i="6"/>
  <c r="I257" i="1"/>
  <c r="I268" i="1" s="1"/>
  <c r="I309" i="1" s="1"/>
  <c r="I77" i="5" s="1"/>
  <c r="I45" i="66" s="1"/>
  <c r="D112" i="1"/>
  <c r="D269" i="1" s="1"/>
  <c r="L257" i="1"/>
  <c r="L268" i="1" s="1"/>
  <c r="L309" i="1" s="1"/>
  <c r="L77" i="5" s="1"/>
  <c r="L45" i="66" s="1"/>
  <c r="K257" i="1"/>
  <c r="K268" i="1" s="1"/>
  <c r="K309" i="1" s="1"/>
  <c r="K77" i="5" s="1"/>
  <c r="K45" i="66" s="1"/>
  <c r="K112" i="1"/>
  <c r="K269" i="1" s="1"/>
  <c r="B101" i="1"/>
  <c r="L112" i="1"/>
  <c r="L269" i="1" s="1"/>
  <c r="H257" i="1"/>
  <c r="H268" i="1" s="1"/>
  <c r="H309" i="1" s="1"/>
  <c r="H77" i="5" s="1"/>
  <c r="H45" i="66" s="1"/>
  <c r="H112" i="1"/>
  <c r="H269" i="1" s="1"/>
  <c r="N63" i="1"/>
  <c r="N263" i="1"/>
  <c r="U294" i="1" s="1"/>
  <c r="N99" i="1"/>
  <c r="I112" i="1"/>
  <c r="I269" i="1" s="1"/>
  <c r="B286" i="1"/>
  <c r="A125" i="30"/>
  <c r="A126" i="30"/>
  <c r="A125" i="27"/>
  <c r="E13" i="66" l="1"/>
  <c r="E116" i="66" s="1"/>
  <c r="R156" i="5"/>
  <c r="J174" i="5"/>
  <c r="J32" i="66" s="1"/>
  <c r="J135" i="66" s="1"/>
  <c r="J27" i="66"/>
  <c r="J130" i="66" s="1"/>
  <c r="R52" i="5"/>
  <c r="G312" i="1"/>
  <c r="G72" i="5" s="1"/>
  <c r="Q111" i="66"/>
  <c r="Q141" i="66" s="1"/>
  <c r="U115" i="66"/>
  <c r="B135" i="66"/>
  <c r="F124" i="66"/>
  <c r="F25" i="66"/>
  <c r="F38" i="66" s="1"/>
  <c r="F141" i="66" s="1"/>
  <c r="P13" i="66"/>
  <c r="V13" i="66" s="1"/>
  <c r="I124" i="66"/>
  <c r="I25" i="66"/>
  <c r="I38" i="66" s="1"/>
  <c r="H124" i="66"/>
  <c r="H25" i="66"/>
  <c r="H38" i="66" s="1"/>
  <c r="M124" i="66"/>
  <c r="M25" i="66"/>
  <c r="M38" i="66" s="1"/>
  <c r="W131" i="66"/>
  <c r="F47" i="66"/>
  <c r="F150" i="66" s="1"/>
  <c r="F148" i="66"/>
  <c r="W114" i="66"/>
  <c r="AB114" i="66" s="1"/>
  <c r="W132" i="66"/>
  <c r="AB132" i="66" s="1"/>
  <c r="K47" i="66"/>
  <c r="K150" i="66" s="1"/>
  <c r="K148" i="66"/>
  <c r="G47" i="66"/>
  <c r="G150" i="66" s="1"/>
  <c r="G148" i="66"/>
  <c r="W113" i="66"/>
  <c r="L141" i="66"/>
  <c r="L126" i="66"/>
  <c r="C130" i="66"/>
  <c r="U130" i="66" s="1"/>
  <c r="B116" i="66"/>
  <c r="U116" i="66" s="1"/>
  <c r="E47" i="66"/>
  <c r="E150" i="66" s="1"/>
  <c r="E148" i="66"/>
  <c r="L47" i="66"/>
  <c r="L150" i="66" s="1"/>
  <c r="L148" i="66"/>
  <c r="I47" i="66"/>
  <c r="I150" i="66" s="1"/>
  <c r="I148" i="66"/>
  <c r="H47" i="66"/>
  <c r="H150" i="66" s="1"/>
  <c r="H148" i="66"/>
  <c r="V8" i="66"/>
  <c r="N111" i="66"/>
  <c r="D47" i="66"/>
  <c r="D150" i="66" s="1"/>
  <c r="D148" i="66"/>
  <c r="V27" i="66"/>
  <c r="AA27" i="66" s="1"/>
  <c r="T10" i="57"/>
  <c r="V10" i="57" s="1"/>
  <c r="G36" i="57"/>
  <c r="T10" i="61"/>
  <c r="V10" i="61" s="1"/>
  <c r="I18" i="61"/>
  <c r="I20" i="61" s="1"/>
  <c r="I20" i="57"/>
  <c r="G36" i="61"/>
  <c r="B21" i="66"/>
  <c r="C32" i="66"/>
  <c r="C135" i="66" s="1"/>
  <c r="R174" i="5"/>
  <c r="E21" i="66"/>
  <c r="E166" i="5"/>
  <c r="E25" i="57"/>
  <c r="E30" i="57" s="1"/>
  <c r="E36" i="57" s="1"/>
  <c r="I30" i="57"/>
  <c r="T25" i="57"/>
  <c r="V25" i="57" s="1"/>
  <c r="C166" i="5"/>
  <c r="C21" i="66"/>
  <c r="U30" i="61"/>
  <c r="S10" i="60"/>
  <c r="C37" i="73"/>
  <c r="D35" i="73"/>
  <c r="Q174" i="5"/>
  <c r="V11" i="61"/>
  <c r="U34" i="61"/>
  <c r="T30" i="61"/>
  <c r="S30" i="60"/>
  <c r="E30" i="61"/>
  <c r="E36" i="61" s="1"/>
  <c r="B54" i="5"/>
  <c r="Q54" i="5" s="1"/>
  <c r="Q52" i="5"/>
  <c r="B166" i="5"/>
  <c r="Q101" i="1"/>
  <c r="R101" i="1"/>
  <c r="R206" i="1"/>
  <c r="Q206" i="1"/>
  <c r="R286" i="1"/>
  <c r="Q286" i="1"/>
  <c r="S6" i="60"/>
  <c r="S9" i="60" s="1"/>
  <c r="K166" i="5"/>
  <c r="K21" i="66"/>
  <c r="L128" i="66"/>
  <c r="L179" i="5"/>
  <c r="H168" i="5"/>
  <c r="H23" i="66"/>
  <c r="J166" i="5"/>
  <c r="J21" i="66"/>
  <c r="M168" i="5"/>
  <c r="M23" i="66"/>
  <c r="F168" i="5"/>
  <c r="F23" i="66"/>
  <c r="I168" i="5"/>
  <c r="I23" i="66"/>
  <c r="D166" i="5"/>
  <c r="D21" i="66"/>
  <c r="F78" i="5"/>
  <c r="E78" i="5"/>
  <c r="M312" i="1"/>
  <c r="M72" i="5" s="1"/>
  <c r="M77" i="5"/>
  <c r="M45" i="66" s="1"/>
  <c r="T285" i="1"/>
  <c r="G9" i="60"/>
  <c r="J9" i="60" s="1"/>
  <c r="J312" i="1"/>
  <c r="J72" i="5" s="1"/>
  <c r="J77" i="5"/>
  <c r="J45" i="66" s="1"/>
  <c r="C312" i="1"/>
  <c r="C72" i="5" s="1"/>
  <c r="C77" i="5"/>
  <c r="C45" i="66" s="1"/>
  <c r="U276" i="1"/>
  <c r="O206" i="1"/>
  <c r="B307" i="1"/>
  <c r="B75" i="5" s="1"/>
  <c r="B43" i="66" s="1"/>
  <c r="B146" i="66" s="1"/>
  <c r="N174" i="5"/>
  <c r="N32" i="66" s="1"/>
  <c r="S26" i="60"/>
  <c r="R27" i="60"/>
  <c r="Q27" i="60"/>
  <c r="S22" i="60"/>
  <c r="J27" i="60"/>
  <c r="N65" i="5"/>
  <c r="Q9" i="6"/>
  <c r="S9" i="6"/>
  <c r="C19" i="60"/>
  <c r="L312" i="1"/>
  <c r="L72" i="5" s="1"/>
  <c r="D312" i="1"/>
  <c r="D72" i="5" s="1"/>
  <c r="K312" i="1"/>
  <c r="K72" i="5" s="1"/>
  <c r="H312" i="1"/>
  <c r="H72" i="5" s="1"/>
  <c r="G78" i="5"/>
  <c r="I312" i="1"/>
  <c r="I72" i="5" s="1"/>
  <c r="B112" i="1"/>
  <c r="N101" i="1"/>
  <c r="J9" i="6"/>
  <c r="B288" i="1"/>
  <c r="W130" i="66" l="1"/>
  <c r="W111" i="66"/>
  <c r="X111" i="66" s="1"/>
  <c r="U135" i="66"/>
  <c r="W116" i="66"/>
  <c r="AB116" i="66" s="1"/>
  <c r="W115" i="66"/>
  <c r="AB115" i="66" s="1"/>
  <c r="I23" i="57"/>
  <c r="I36" i="57" s="1"/>
  <c r="E124" i="66"/>
  <c r="E25" i="66"/>
  <c r="E38" i="66" s="1"/>
  <c r="E141" i="66" s="1"/>
  <c r="B25" i="66"/>
  <c r="P21" i="66"/>
  <c r="D124" i="66"/>
  <c r="D25" i="66"/>
  <c r="D38" i="66" s="1"/>
  <c r="P32" i="66"/>
  <c r="V32" i="66" s="1"/>
  <c r="AA32" i="66" s="1"/>
  <c r="C124" i="66"/>
  <c r="C25" i="66"/>
  <c r="C38" i="66" s="1"/>
  <c r="K124" i="66"/>
  <c r="K25" i="66"/>
  <c r="K38" i="66" s="1"/>
  <c r="J124" i="66"/>
  <c r="J25" i="66"/>
  <c r="J38" i="66" s="1"/>
  <c r="M47" i="66"/>
  <c r="M150" i="66" s="1"/>
  <c r="M148" i="66"/>
  <c r="C47" i="66"/>
  <c r="C150" i="66" s="1"/>
  <c r="C148" i="66"/>
  <c r="B124" i="66"/>
  <c r="F126" i="66"/>
  <c r="H126" i="66"/>
  <c r="L50" i="66"/>
  <c r="L153" i="66" s="1"/>
  <c r="N135" i="66"/>
  <c r="I126" i="66"/>
  <c r="J47" i="66"/>
  <c r="J150" i="66" s="1"/>
  <c r="J148" i="66"/>
  <c r="M141" i="66"/>
  <c r="M126" i="66"/>
  <c r="I23" i="61"/>
  <c r="T30" i="57"/>
  <c r="V30" i="57" s="1"/>
  <c r="E168" i="5"/>
  <c r="E23" i="66"/>
  <c r="B23" i="66"/>
  <c r="V30" i="61"/>
  <c r="C168" i="5"/>
  <c r="C23" i="66"/>
  <c r="V34" i="61"/>
  <c r="B65" i="5"/>
  <c r="R65" i="5" s="1"/>
  <c r="R54" i="5"/>
  <c r="B168" i="5"/>
  <c r="Q9" i="60"/>
  <c r="R112" i="1"/>
  <c r="Q112" i="1"/>
  <c r="R288" i="1"/>
  <c r="Q288" i="1"/>
  <c r="M78" i="5"/>
  <c r="D168" i="5"/>
  <c r="D23" i="66"/>
  <c r="D126" i="66" s="1"/>
  <c r="I128" i="66"/>
  <c r="I179" i="5"/>
  <c r="H128" i="66"/>
  <c r="H179" i="5"/>
  <c r="F179" i="5"/>
  <c r="F128" i="66"/>
  <c r="J168" i="5"/>
  <c r="J23" i="66"/>
  <c r="M128" i="66"/>
  <c r="M179" i="5"/>
  <c r="K168" i="5"/>
  <c r="K23" i="66"/>
  <c r="J78" i="5"/>
  <c r="C78" i="5"/>
  <c r="G14" i="6"/>
  <c r="T281" i="1"/>
  <c r="T287" i="1"/>
  <c r="U285" i="1"/>
  <c r="R75" i="5"/>
  <c r="Q75" i="5"/>
  <c r="Q65" i="5"/>
  <c r="S27" i="60"/>
  <c r="L78" i="5"/>
  <c r="K78" i="5"/>
  <c r="D78" i="5"/>
  <c r="C21" i="60"/>
  <c r="R18" i="60"/>
  <c r="J18" i="60"/>
  <c r="J18" i="6"/>
  <c r="R18" i="6"/>
  <c r="U19" i="57" s="1"/>
  <c r="V19" i="57" s="1"/>
  <c r="H78" i="5"/>
  <c r="I78" i="5"/>
  <c r="T283" i="1"/>
  <c r="G14" i="60"/>
  <c r="N252" i="1"/>
  <c r="G20" i="60"/>
  <c r="N112" i="1"/>
  <c r="B299" i="1"/>
  <c r="A315" i="27"/>
  <c r="A311" i="27"/>
  <c r="A318" i="30"/>
  <c r="A314" i="30"/>
  <c r="A123" i="30"/>
  <c r="A124" i="30"/>
  <c r="A129" i="30"/>
  <c r="W135" i="66" l="1"/>
  <c r="AB135" i="66" s="1"/>
  <c r="I36" i="61"/>
  <c r="U124" i="66"/>
  <c r="M50" i="66"/>
  <c r="M153" i="66" s="1"/>
  <c r="B38" i="66"/>
  <c r="P38" i="66" s="1"/>
  <c r="P25" i="66"/>
  <c r="P23" i="66"/>
  <c r="F50" i="66"/>
  <c r="F153" i="66" s="1"/>
  <c r="E126" i="66"/>
  <c r="H50" i="66"/>
  <c r="H153" i="66" s="1"/>
  <c r="H141" i="66"/>
  <c r="B126" i="66"/>
  <c r="U126" i="66" s="1"/>
  <c r="K126" i="66"/>
  <c r="I50" i="66"/>
  <c r="I153" i="66" s="1"/>
  <c r="I141" i="66"/>
  <c r="C126" i="66"/>
  <c r="J126" i="66"/>
  <c r="B141" i="66"/>
  <c r="E179" i="5"/>
  <c r="E128" i="66"/>
  <c r="B179" i="5"/>
  <c r="C128" i="66"/>
  <c r="C179" i="5"/>
  <c r="S18" i="60"/>
  <c r="U19" i="61"/>
  <c r="S18" i="6"/>
  <c r="B128" i="66"/>
  <c r="R14" i="6"/>
  <c r="G16" i="6"/>
  <c r="G17" i="6" s="1"/>
  <c r="G19" i="6" s="1"/>
  <c r="G21" i="6" s="1"/>
  <c r="G32" i="6" s="1"/>
  <c r="R299" i="1"/>
  <c r="Q299" i="1"/>
  <c r="K179" i="5"/>
  <c r="K128" i="66"/>
  <c r="J128" i="66"/>
  <c r="J179" i="5"/>
  <c r="D141" i="66"/>
  <c r="D179" i="5"/>
  <c r="D128" i="66"/>
  <c r="U287" i="1"/>
  <c r="U281" i="1"/>
  <c r="R20" i="60"/>
  <c r="J20" i="60"/>
  <c r="R14" i="60"/>
  <c r="U15" i="61" s="1"/>
  <c r="J14" i="60"/>
  <c r="G16" i="60"/>
  <c r="J20" i="6"/>
  <c r="R20" i="6"/>
  <c r="U22" i="57" s="1"/>
  <c r="V22" i="57" s="1"/>
  <c r="C32" i="60"/>
  <c r="J14" i="6"/>
  <c r="N269" i="1"/>
  <c r="B269" i="1"/>
  <c r="U283" i="1"/>
  <c r="N253" i="1"/>
  <c r="B255" i="1"/>
  <c r="T284" i="1"/>
  <c r="A123" i="27"/>
  <c r="A124" i="27"/>
  <c r="U128" i="66" l="1"/>
  <c r="J50" i="66"/>
  <c r="J153" i="66" s="1"/>
  <c r="J141" i="66"/>
  <c r="E50" i="66"/>
  <c r="E153" i="66" s="1"/>
  <c r="K50" i="66"/>
  <c r="K153" i="66" s="1"/>
  <c r="K141" i="66"/>
  <c r="C50" i="66"/>
  <c r="C153" i="66" s="1"/>
  <c r="C141" i="66"/>
  <c r="U141" i="66" s="1"/>
  <c r="R16" i="6"/>
  <c r="R17" i="6" s="1"/>
  <c r="R19" i="6" s="1"/>
  <c r="U15" i="57"/>
  <c r="S20" i="60"/>
  <c r="U22" i="61"/>
  <c r="V19" i="61"/>
  <c r="V15" i="61"/>
  <c r="U17" i="61"/>
  <c r="S20" i="6"/>
  <c r="S14" i="6"/>
  <c r="B257" i="1"/>
  <c r="B268" i="1" s="1"/>
  <c r="Q255" i="1"/>
  <c r="T286" i="1" s="1"/>
  <c r="R255" i="1"/>
  <c r="D50" i="66"/>
  <c r="D153" i="66" s="1"/>
  <c r="J16" i="60"/>
  <c r="G17" i="60"/>
  <c r="S14" i="60"/>
  <c r="R16" i="60"/>
  <c r="J16" i="6"/>
  <c r="U284" i="1"/>
  <c r="N255" i="1"/>
  <c r="R21" i="6" l="1"/>
  <c r="U17" i="57"/>
  <c r="V15" i="57"/>
  <c r="U18" i="61"/>
  <c r="V22" i="61"/>
  <c r="R257" i="1"/>
  <c r="Q257" i="1"/>
  <c r="T288" i="1" s="1"/>
  <c r="R268" i="1"/>
  <c r="Q268" i="1"/>
  <c r="T299" i="1" s="1"/>
  <c r="B309" i="1"/>
  <c r="R17" i="60"/>
  <c r="G19" i="60"/>
  <c r="J17" i="60"/>
  <c r="J17" i="6"/>
  <c r="N257" i="1"/>
  <c r="N268" i="1" s="1"/>
  <c r="N309" i="1" s="1"/>
  <c r="N77" i="5" s="1"/>
  <c r="N45" i="66" s="1"/>
  <c r="U286" i="1"/>
  <c r="AK76" i="21"/>
  <c r="AK158" i="21"/>
  <c r="AK159" i="21"/>
  <c r="AK160" i="21"/>
  <c r="AK192" i="21"/>
  <c r="AK257" i="21"/>
  <c r="AK258" i="21"/>
  <c r="AK259" i="21"/>
  <c r="AK260" i="21"/>
  <c r="AK261" i="21"/>
  <c r="AK262" i="21"/>
  <c r="AK263" i="21"/>
  <c r="AK264" i="21"/>
  <c r="AK265" i="21"/>
  <c r="N47" i="66" l="1"/>
  <c r="N150" i="66" s="1"/>
  <c r="N148" i="66"/>
  <c r="R32" i="6"/>
  <c r="U18" i="57"/>
  <c r="U20" i="61"/>
  <c r="B77" i="5"/>
  <c r="B312" i="1"/>
  <c r="B72" i="5" s="1"/>
  <c r="N312" i="1"/>
  <c r="N72" i="5" s="1"/>
  <c r="G21" i="60"/>
  <c r="J19" i="60"/>
  <c r="R19" i="60"/>
  <c r="J19" i="6"/>
  <c r="U288" i="1"/>
  <c r="U299" i="1"/>
  <c r="U20" i="57" l="1"/>
  <c r="U23" i="61"/>
  <c r="B78" i="5"/>
  <c r="R72" i="5"/>
  <c r="Q72" i="5"/>
  <c r="B45" i="66"/>
  <c r="Q77" i="5"/>
  <c r="R77" i="5"/>
  <c r="R21" i="60"/>
  <c r="G32" i="60"/>
  <c r="J32" i="60" s="1"/>
  <c r="J21" i="60"/>
  <c r="N78" i="5"/>
  <c r="J32" i="6"/>
  <c r="J21" i="6"/>
  <c r="B47" i="66" l="1"/>
  <c r="B148" i="66"/>
  <c r="U23" i="57"/>
  <c r="U36" i="61"/>
  <c r="Q78" i="5"/>
  <c r="R78" i="5"/>
  <c r="R32" i="60"/>
  <c r="A312" i="30"/>
  <c r="A313" i="30"/>
  <c r="B50" i="66" l="1"/>
  <c r="B153" i="66" s="1"/>
  <c r="B150" i="66"/>
  <c r="U36" i="57"/>
  <c r="A317" i="30"/>
  <c r="A130" i="30"/>
  <c r="A131" i="30"/>
  <c r="A132" i="30"/>
  <c r="A133" i="30"/>
  <c r="A134" i="30"/>
  <c r="A120" i="30"/>
  <c r="A121" i="30"/>
  <c r="A122" i="30"/>
  <c r="A130" i="27"/>
  <c r="A131" i="27"/>
  <c r="A132" i="27"/>
  <c r="A133" i="27"/>
  <c r="A134" i="27"/>
  <c r="A135" i="27"/>
  <c r="A136" i="27"/>
  <c r="A137" i="27"/>
  <c r="A138" i="27"/>
  <c r="A139" i="27"/>
  <c r="A140" i="27"/>
  <c r="A141" i="27"/>
  <c r="A142" i="27"/>
  <c r="A143" i="27"/>
  <c r="A144" i="27"/>
  <c r="A145" i="27"/>
  <c r="A146" i="27"/>
  <c r="A147" i="27"/>
  <c r="A148" i="27"/>
  <c r="A149" i="27"/>
  <c r="A150" i="27"/>
  <c r="A151" i="27"/>
  <c r="A152" i="27"/>
  <c r="A153" i="27"/>
  <c r="A154" i="27"/>
  <c r="A155" i="27"/>
  <c r="A101" i="27" l="1"/>
  <c r="A102" i="27"/>
  <c r="A103" i="27"/>
  <c r="A104" i="27"/>
  <c r="A105" i="27"/>
  <c r="A106" i="27"/>
  <c r="A107" i="27"/>
  <c r="A108" i="27"/>
  <c r="A109" i="27"/>
  <c r="A110" i="27"/>
  <c r="A111" i="27"/>
  <c r="A112" i="27"/>
  <c r="A113" i="27"/>
  <c r="A114" i="27"/>
  <c r="A115" i="27"/>
  <c r="A116" i="27"/>
  <c r="A117" i="27"/>
  <c r="A118" i="27"/>
  <c r="A119" i="27"/>
  <c r="A120" i="27"/>
  <c r="A121" i="27"/>
  <c r="A122" i="27"/>
  <c r="A314" i="27" l="1"/>
  <c r="A310" i="27"/>
  <c r="A244" i="27"/>
  <c r="I21" i="55" l="1"/>
  <c r="J21" i="55" s="1"/>
  <c r="I19" i="55"/>
  <c r="J19" i="55" s="1"/>
  <c r="I15" i="55"/>
  <c r="J15" i="55" s="1"/>
  <c r="I16" i="55"/>
  <c r="J16" i="55" s="1"/>
  <c r="I14" i="55"/>
  <c r="J14" i="55" s="1"/>
  <c r="I13" i="55"/>
  <c r="J13" i="55" s="1"/>
  <c r="I12" i="55"/>
  <c r="J12" i="55" s="1"/>
  <c r="M11" i="55"/>
  <c r="N11" i="55" s="1"/>
  <c r="G11" i="55"/>
  <c r="I11" i="55"/>
  <c r="J11" i="55" s="1"/>
  <c r="J17" i="55" s="1"/>
  <c r="I9" i="55"/>
  <c r="J9" i="55" s="1"/>
  <c r="J8" i="55"/>
  <c r="J23" i="55"/>
  <c r="J24" i="55"/>
  <c r="J25" i="55"/>
  <c r="J26" i="55"/>
  <c r="J27" i="55"/>
  <c r="J28" i="55"/>
  <c r="J29" i="55"/>
  <c r="J30" i="55"/>
  <c r="J31" i="55"/>
  <c r="J32" i="55"/>
  <c r="J33" i="55"/>
  <c r="J34" i="55"/>
  <c r="J35" i="55"/>
  <c r="I8" i="55"/>
  <c r="P3" i="55"/>
  <c r="I7" i="55"/>
  <c r="J7" i="55" s="1"/>
  <c r="J10" i="55" l="1"/>
  <c r="M7" i="55"/>
  <c r="I17" i="55"/>
  <c r="I10" i="55"/>
  <c r="A316" i="30"/>
  <c r="A119" i="30"/>
  <c r="A135" i="30"/>
  <c r="I18" i="55" l="1"/>
  <c r="A313" i="27"/>
  <c r="A309" i="27"/>
  <c r="A100" i="27"/>
  <c r="J18" i="55" l="1"/>
  <c r="I20" i="55"/>
  <c r="M242" i="30"/>
  <c r="M243" i="30"/>
  <c r="M244" i="30"/>
  <c r="M245" i="30"/>
  <c r="M246" i="30"/>
  <c r="M247" i="30"/>
  <c r="M248" i="30"/>
  <c r="M249" i="30"/>
  <c r="M250" i="30"/>
  <c r="M251" i="30"/>
  <c r="M252" i="30"/>
  <c r="M253" i="30"/>
  <c r="M254" i="30"/>
  <c r="M255" i="30"/>
  <c r="M256" i="30"/>
  <c r="M257" i="30"/>
  <c r="M258" i="30"/>
  <c r="M259" i="30"/>
  <c r="M260" i="30"/>
  <c r="M261" i="30"/>
  <c r="M262" i="30"/>
  <c r="M263" i="30"/>
  <c r="M264" i="30"/>
  <c r="M265" i="30"/>
  <c r="M266" i="30"/>
  <c r="M267" i="30"/>
  <c r="M268" i="30"/>
  <c r="M269" i="30"/>
  <c r="M270" i="30"/>
  <c r="M271" i="30"/>
  <c r="M272" i="30"/>
  <c r="M273" i="30"/>
  <c r="M274" i="30"/>
  <c r="M275" i="30"/>
  <c r="M276" i="30"/>
  <c r="M277" i="30"/>
  <c r="M278" i="30"/>
  <c r="M279" i="30"/>
  <c r="M280" i="30"/>
  <c r="M281" i="30"/>
  <c r="M282" i="30"/>
  <c r="M283" i="30"/>
  <c r="M284" i="30"/>
  <c r="M285" i="30"/>
  <c r="M286" i="30"/>
  <c r="M287" i="30"/>
  <c r="M288" i="30"/>
  <c r="M289" i="30"/>
  <c r="M290" i="30"/>
  <c r="M291" i="30"/>
  <c r="M292" i="30"/>
  <c r="M293" i="30"/>
  <c r="M294" i="30"/>
  <c r="M295" i="30"/>
  <c r="M296" i="30"/>
  <c r="M297" i="30"/>
  <c r="M298" i="30"/>
  <c r="M299" i="30"/>
  <c r="M300" i="30"/>
  <c r="M301" i="30"/>
  <c r="M302" i="30"/>
  <c r="M303" i="30"/>
  <c r="M304" i="30"/>
  <c r="M305" i="30"/>
  <c r="M306" i="30"/>
  <c r="M307" i="30"/>
  <c r="M308" i="30"/>
  <c r="M309" i="30"/>
  <c r="M310" i="30"/>
  <c r="M311" i="30"/>
  <c r="M312" i="30"/>
  <c r="M313" i="30"/>
  <c r="M314" i="30"/>
  <c r="M315" i="30"/>
  <c r="M241" i="30"/>
  <c r="M15" i="30"/>
  <c r="M16" i="30"/>
  <c r="M17" i="30"/>
  <c r="M18" i="30"/>
  <c r="M19" i="30"/>
  <c r="M20" i="30"/>
  <c r="M21" i="30"/>
  <c r="M22" i="30"/>
  <c r="M23" i="30"/>
  <c r="M24" i="30"/>
  <c r="M25" i="30"/>
  <c r="M26" i="30"/>
  <c r="M27" i="30"/>
  <c r="M28" i="30"/>
  <c r="M29" i="30"/>
  <c r="M30" i="30"/>
  <c r="M31" i="30"/>
  <c r="M32" i="30"/>
  <c r="M33" i="30"/>
  <c r="M34" i="30"/>
  <c r="M35" i="30"/>
  <c r="M36" i="30"/>
  <c r="M37" i="30"/>
  <c r="M38" i="30"/>
  <c r="M39" i="30"/>
  <c r="M40" i="30"/>
  <c r="M41" i="30"/>
  <c r="M42" i="30"/>
  <c r="M43" i="30"/>
  <c r="M44" i="30"/>
  <c r="M45" i="30"/>
  <c r="M46" i="30"/>
  <c r="M47" i="30"/>
  <c r="M48" i="30"/>
  <c r="M49" i="30"/>
  <c r="M50" i="30"/>
  <c r="M51" i="30"/>
  <c r="M52" i="30"/>
  <c r="M53" i="30"/>
  <c r="M54" i="30"/>
  <c r="M55" i="30"/>
  <c r="M56" i="30"/>
  <c r="M57" i="30"/>
  <c r="M58" i="30"/>
  <c r="M59" i="30"/>
  <c r="M60" i="30"/>
  <c r="M61" i="30"/>
  <c r="M62" i="30"/>
  <c r="M63" i="30"/>
  <c r="M64" i="30"/>
  <c r="M65" i="30"/>
  <c r="M66" i="30"/>
  <c r="M67" i="30"/>
  <c r="M68" i="30"/>
  <c r="M69" i="30"/>
  <c r="M70" i="30"/>
  <c r="M71" i="30"/>
  <c r="M72" i="30"/>
  <c r="M73" i="30"/>
  <c r="M74" i="30"/>
  <c r="M75" i="30"/>
  <c r="M76" i="30"/>
  <c r="M77" i="30"/>
  <c r="M78" i="30"/>
  <c r="M79" i="30"/>
  <c r="M80" i="30"/>
  <c r="M81" i="30"/>
  <c r="M82" i="30"/>
  <c r="M83" i="30"/>
  <c r="M84" i="30"/>
  <c r="M85" i="30"/>
  <c r="M86" i="30"/>
  <c r="M87" i="30"/>
  <c r="M88" i="30"/>
  <c r="M89" i="30"/>
  <c r="M90" i="30"/>
  <c r="M91" i="30"/>
  <c r="M92" i="30"/>
  <c r="M93" i="30"/>
  <c r="M94" i="30"/>
  <c r="M95" i="30"/>
  <c r="M96" i="30"/>
  <c r="M97" i="30"/>
  <c r="M98" i="30"/>
  <c r="M99" i="30"/>
  <c r="M100" i="30"/>
  <c r="M101" i="30"/>
  <c r="M102" i="30"/>
  <c r="M103" i="30"/>
  <c r="M104" i="30"/>
  <c r="M105" i="30"/>
  <c r="M106" i="30"/>
  <c r="M107" i="30"/>
  <c r="M108" i="30"/>
  <c r="M109" i="30"/>
  <c r="M110" i="30"/>
  <c r="M111" i="30"/>
  <c r="M112" i="30"/>
  <c r="M113" i="30"/>
  <c r="M114" i="30"/>
  <c r="M115" i="30"/>
  <c r="M116" i="30"/>
  <c r="M117" i="30"/>
  <c r="M118" i="30"/>
  <c r="M136" i="30"/>
  <c r="M137" i="30"/>
  <c r="M138" i="30"/>
  <c r="M139" i="30"/>
  <c r="M140" i="30"/>
  <c r="M141" i="30"/>
  <c r="M142" i="30"/>
  <c r="M143" i="30"/>
  <c r="M144" i="30"/>
  <c r="M145" i="30"/>
  <c r="M146" i="30"/>
  <c r="M147" i="30"/>
  <c r="M148" i="30"/>
  <c r="M149" i="30"/>
  <c r="M150" i="30"/>
  <c r="M151" i="30"/>
  <c r="M152" i="30"/>
  <c r="M153" i="30"/>
  <c r="M154" i="30"/>
  <c r="M155" i="30"/>
  <c r="M156" i="30"/>
  <c r="M157" i="30"/>
  <c r="M158" i="30"/>
  <c r="M159" i="30"/>
  <c r="M160" i="30"/>
  <c r="M161" i="30"/>
  <c r="M162" i="30"/>
  <c r="M163" i="30"/>
  <c r="M164" i="30"/>
  <c r="M165" i="30"/>
  <c r="M166" i="30"/>
  <c r="M167" i="30"/>
  <c r="M168" i="30"/>
  <c r="M169" i="30"/>
  <c r="M170" i="30"/>
  <c r="M171" i="30"/>
  <c r="M172" i="30"/>
  <c r="M173" i="30"/>
  <c r="M174" i="30"/>
  <c r="M175" i="30"/>
  <c r="M176" i="30"/>
  <c r="M177" i="30"/>
  <c r="M178" i="30"/>
  <c r="M179" i="30"/>
  <c r="M180" i="30"/>
  <c r="M181" i="30"/>
  <c r="M182" i="30"/>
  <c r="M183" i="30"/>
  <c r="M184" i="30"/>
  <c r="M185" i="30"/>
  <c r="M186" i="30"/>
  <c r="M187" i="30"/>
  <c r="M188" i="30"/>
  <c r="M189" i="30"/>
  <c r="M190" i="30"/>
  <c r="M191" i="30"/>
  <c r="M192" i="30"/>
  <c r="M193" i="30"/>
  <c r="M194" i="30"/>
  <c r="M195" i="30"/>
  <c r="M196" i="30"/>
  <c r="M197" i="30"/>
  <c r="M198" i="30"/>
  <c r="M199" i="30"/>
  <c r="M200" i="30"/>
  <c r="M201" i="30"/>
  <c r="M202" i="30"/>
  <c r="M203" i="30"/>
  <c r="M204" i="30"/>
  <c r="M205" i="30"/>
  <c r="M206" i="30"/>
  <c r="M207" i="30"/>
  <c r="M208" i="30"/>
  <c r="M209" i="30"/>
  <c r="M210" i="30"/>
  <c r="M211" i="30"/>
  <c r="M212" i="30"/>
  <c r="M213" i="30"/>
  <c r="M214" i="30"/>
  <c r="M215" i="30"/>
  <c r="M216" i="30"/>
  <c r="M217" i="30"/>
  <c r="M218" i="30"/>
  <c r="M219" i="30"/>
  <c r="M220" i="30"/>
  <c r="M221" i="30"/>
  <c r="M222" i="30"/>
  <c r="M223" i="30"/>
  <c r="M224" i="30"/>
  <c r="M225" i="30"/>
  <c r="M226" i="30"/>
  <c r="M227" i="30"/>
  <c r="M228" i="30"/>
  <c r="M229" i="30"/>
  <c r="M230" i="30"/>
  <c r="M231" i="30"/>
  <c r="M232" i="30"/>
  <c r="M233" i="30"/>
  <c r="M234" i="30"/>
  <c r="M14" i="30"/>
  <c r="A305" i="21"/>
  <c r="A301" i="21"/>
  <c r="M239" i="27"/>
  <c r="M240" i="27"/>
  <c r="M241" i="27"/>
  <c r="M242" i="27"/>
  <c r="M243" i="27"/>
  <c r="M244" i="27"/>
  <c r="M245" i="27"/>
  <c r="M246" i="27"/>
  <c r="M247" i="27"/>
  <c r="M248" i="27"/>
  <c r="M249" i="27"/>
  <c r="M250" i="27"/>
  <c r="M251" i="27"/>
  <c r="M252" i="27"/>
  <c r="M253" i="27"/>
  <c r="M254" i="27"/>
  <c r="M255" i="27"/>
  <c r="M256" i="27"/>
  <c r="M257" i="27"/>
  <c r="M258" i="27"/>
  <c r="M259" i="27"/>
  <c r="M260" i="27"/>
  <c r="M261" i="27"/>
  <c r="M262" i="27"/>
  <c r="M263" i="27"/>
  <c r="M264" i="27"/>
  <c r="M265" i="27"/>
  <c r="M266" i="27"/>
  <c r="M267" i="27"/>
  <c r="M268" i="27"/>
  <c r="M269" i="27"/>
  <c r="M270" i="27"/>
  <c r="M271" i="27"/>
  <c r="M272" i="27"/>
  <c r="M273" i="27"/>
  <c r="M274" i="27"/>
  <c r="M275" i="27"/>
  <c r="M276" i="27"/>
  <c r="M277" i="27"/>
  <c r="M278" i="27"/>
  <c r="M279" i="27"/>
  <c r="M280" i="27"/>
  <c r="M281" i="27"/>
  <c r="M282" i="27"/>
  <c r="M283" i="27"/>
  <c r="M284" i="27"/>
  <c r="M285" i="27"/>
  <c r="M286" i="27"/>
  <c r="M287" i="27"/>
  <c r="M288" i="27"/>
  <c r="M289" i="27"/>
  <c r="M290" i="27"/>
  <c r="M291" i="27"/>
  <c r="M292" i="27"/>
  <c r="M293" i="27"/>
  <c r="M294" i="27"/>
  <c r="M295" i="27"/>
  <c r="M296" i="27"/>
  <c r="M297" i="27"/>
  <c r="M298" i="27"/>
  <c r="M299" i="27"/>
  <c r="M300" i="27"/>
  <c r="M301" i="27"/>
  <c r="M302" i="27"/>
  <c r="M303" i="27"/>
  <c r="M304" i="27"/>
  <c r="M305" i="27"/>
  <c r="M306" i="27"/>
  <c r="M307" i="27"/>
  <c r="M308" i="27"/>
  <c r="M309" i="27"/>
  <c r="M310" i="27"/>
  <c r="M311" i="27"/>
  <c r="M312" i="27"/>
  <c r="M238" i="27"/>
  <c r="A144" i="21"/>
  <c r="M75" i="27"/>
  <c r="M76" i="27"/>
  <c r="M77" i="27"/>
  <c r="M78" i="27"/>
  <c r="M79" i="27"/>
  <c r="M80" i="27"/>
  <c r="M81" i="27"/>
  <c r="M82" i="27"/>
  <c r="M83" i="27"/>
  <c r="M84" i="27"/>
  <c r="M85" i="27"/>
  <c r="M86" i="27"/>
  <c r="M87" i="27"/>
  <c r="M88" i="27"/>
  <c r="M89" i="27"/>
  <c r="M90" i="27"/>
  <c r="M91" i="27"/>
  <c r="M92" i="27"/>
  <c r="M93" i="27"/>
  <c r="M94" i="27"/>
  <c r="M95" i="27"/>
  <c r="M96" i="27"/>
  <c r="M97" i="27"/>
  <c r="M98" i="27"/>
  <c r="M99" i="27"/>
  <c r="M104" i="27"/>
  <c r="M105" i="27"/>
  <c r="M106" i="27"/>
  <c r="M107" i="27"/>
  <c r="M108" i="27"/>
  <c r="M109" i="27"/>
  <c r="M110" i="27"/>
  <c r="M111" i="27"/>
  <c r="M112" i="27"/>
  <c r="M113" i="27"/>
  <c r="M114" i="27"/>
  <c r="M115" i="27"/>
  <c r="M116" i="27"/>
  <c r="M117" i="27"/>
  <c r="M118" i="27"/>
  <c r="M119" i="27"/>
  <c r="M120" i="27"/>
  <c r="M121" i="27"/>
  <c r="M122" i="27"/>
  <c r="M155" i="27"/>
  <c r="M156" i="27"/>
  <c r="M157" i="27"/>
  <c r="M158" i="27"/>
  <c r="M159" i="27"/>
  <c r="M160" i="27"/>
  <c r="M161" i="27"/>
  <c r="M162" i="27"/>
  <c r="M163" i="27"/>
  <c r="M164" i="27"/>
  <c r="M165" i="27"/>
  <c r="M166" i="27"/>
  <c r="M167" i="27"/>
  <c r="M168" i="27"/>
  <c r="M169" i="27"/>
  <c r="M170" i="27"/>
  <c r="M171" i="27"/>
  <c r="M172" i="27"/>
  <c r="M173" i="27"/>
  <c r="M174" i="27"/>
  <c r="M175" i="27"/>
  <c r="M176" i="27"/>
  <c r="M177" i="27"/>
  <c r="M178" i="27"/>
  <c r="M179" i="27"/>
  <c r="M180" i="27"/>
  <c r="M181" i="27"/>
  <c r="M182" i="27"/>
  <c r="M183" i="27"/>
  <c r="M184" i="27"/>
  <c r="M185" i="27"/>
  <c r="M186" i="27"/>
  <c r="M187" i="27"/>
  <c r="M188" i="27"/>
  <c r="M189" i="27"/>
  <c r="M190" i="27"/>
  <c r="M191" i="27"/>
  <c r="M192" i="27"/>
  <c r="M193" i="27"/>
  <c r="M194" i="27"/>
  <c r="M195" i="27"/>
  <c r="M196" i="27"/>
  <c r="M197" i="27"/>
  <c r="M198" i="27"/>
  <c r="M199" i="27"/>
  <c r="M200" i="27"/>
  <c r="M201" i="27"/>
  <c r="M202" i="27"/>
  <c r="M203" i="27"/>
  <c r="M204" i="27"/>
  <c r="M205" i="27"/>
  <c r="M206" i="27"/>
  <c r="M207" i="27"/>
  <c r="M208" i="27"/>
  <c r="M209" i="27"/>
  <c r="M210" i="27"/>
  <c r="M211" i="27"/>
  <c r="M212" i="27"/>
  <c r="M213" i="27"/>
  <c r="M214" i="27"/>
  <c r="M215" i="27"/>
  <c r="M216" i="27"/>
  <c r="M217" i="27"/>
  <c r="M218" i="27"/>
  <c r="M219" i="27"/>
  <c r="M220" i="27"/>
  <c r="M221" i="27"/>
  <c r="M222" i="27"/>
  <c r="M223" i="27"/>
  <c r="M224" i="27"/>
  <c r="M225" i="27"/>
  <c r="M226" i="27"/>
  <c r="M227" i="27"/>
  <c r="M228" i="27"/>
  <c r="M229" i="27"/>
  <c r="M230" i="27"/>
  <c r="M231" i="27"/>
  <c r="M232" i="27"/>
  <c r="M233" i="27"/>
  <c r="M234" i="27"/>
  <c r="A99" i="21"/>
  <c r="A74" i="21"/>
  <c r="M15" i="27"/>
  <c r="M16" i="27"/>
  <c r="M17" i="27"/>
  <c r="M18" i="27"/>
  <c r="M19" i="27"/>
  <c r="M20" i="27"/>
  <c r="M21" i="27"/>
  <c r="M22" i="27"/>
  <c r="M23" i="27"/>
  <c r="M24" i="27"/>
  <c r="M25" i="27"/>
  <c r="M26" i="27"/>
  <c r="M27" i="27"/>
  <c r="M28" i="27"/>
  <c r="M29" i="27"/>
  <c r="M30" i="27"/>
  <c r="M31" i="27"/>
  <c r="M32" i="27"/>
  <c r="M33" i="27"/>
  <c r="M34" i="27"/>
  <c r="M35" i="27"/>
  <c r="M36" i="27"/>
  <c r="M37" i="27"/>
  <c r="M38" i="27"/>
  <c r="M39" i="27"/>
  <c r="M40" i="27"/>
  <c r="M41" i="27"/>
  <c r="M42" i="27"/>
  <c r="M43" i="27"/>
  <c r="M44" i="27"/>
  <c r="M45" i="27"/>
  <c r="M46" i="27"/>
  <c r="M47" i="27"/>
  <c r="M48" i="27"/>
  <c r="M49" i="27"/>
  <c r="M50" i="27"/>
  <c r="M51" i="27"/>
  <c r="M52" i="27"/>
  <c r="M53" i="27"/>
  <c r="M54" i="27"/>
  <c r="M55" i="27"/>
  <c r="M56" i="27"/>
  <c r="M57" i="27"/>
  <c r="M58" i="27"/>
  <c r="M59" i="27"/>
  <c r="M60" i="27"/>
  <c r="M61" i="27"/>
  <c r="M62" i="27"/>
  <c r="M63" i="27"/>
  <c r="M64" i="27"/>
  <c r="M65" i="27"/>
  <c r="M66" i="27"/>
  <c r="M67" i="27"/>
  <c r="M68" i="27"/>
  <c r="M69" i="27"/>
  <c r="M70" i="27"/>
  <c r="M71" i="27"/>
  <c r="M72" i="27"/>
  <c r="M73" i="27"/>
  <c r="M74" i="27"/>
  <c r="M14" i="27"/>
  <c r="J20" i="55" l="1"/>
  <c r="I22" i="55"/>
  <c r="J22" i="55" s="1"/>
  <c r="M22" i="55" s="1"/>
  <c r="C320" i="30"/>
  <c r="A118" i="30" l="1"/>
  <c r="A140" i="30"/>
  <c r="A141" i="30"/>
  <c r="A142" i="30"/>
  <c r="A143" i="30"/>
  <c r="A144" i="30"/>
  <c r="A145" i="30"/>
  <c r="A146" i="30"/>
  <c r="A147" i="30"/>
  <c r="A148" i="30"/>
  <c r="A149" i="30"/>
  <c r="A150" i="30"/>
  <c r="A151" i="30"/>
  <c r="A152" i="30"/>
  <c r="A153" i="30"/>
  <c r="A154" i="30"/>
  <c r="A155" i="30"/>
  <c r="A156" i="30"/>
  <c r="A157" i="30"/>
  <c r="A158" i="30"/>
  <c r="A159" i="30"/>
  <c r="A160" i="30"/>
  <c r="A161" i="30"/>
  <c r="A162" i="30"/>
  <c r="A163" i="30"/>
  <c r="A164" i="30"/>
  <c r="A165" i="30"/>
  <c r="A166" i="30"/>
  <c r="A167" i="30"/>
  <c r="A168" i="30"/>
  <c r="A169" i="30"/>
  <c r="A170" i="30"/>
  <c r="A171" i="30"/>
  <c r="A172" i="30"/>
  <c r="A173" i="30"/>
  <c r="A174" i="30"/>
  <c r="A175" i="30"/>
  <c r="A176" i="30"/>
  <c r="A177" i="30"/>
  <c r="A178" i="30"/>
  <c r="A179" i="30"/>
  <c r="A180" i="30"/>
  <c r="A181" i="30"/>
  <c r="A182" i="30"/>
  <c r="A183" i="30"/>
  <c r="A184" i="30"/>
  <c r="A185" i="30"/>
  <c r="A186" i="30"/>
  <c r="A187" i="30"/>
  <c r="A188" i="30"/>
  <c r="A189" i="30"/>
  <c r="A190" i="30"/>
  <c r="A191" i="30"/>
  <c r="A192" i="30"/>
  <c r="A193" i="30"/>
  <c r="A194" i="30"/>
  <c r="A195" i="30"/>
  <c r="A196" i="30"/>
  <c r="A197" i="30"/>
  <c r="A198" i="30"/>
  <c r="A199" i="30"/>
  <c r="A200" i="30"/>
  <c r="A201" i="30"/>
  <c r="A202" i="30"/>
  <c r="A203" i="30"/>
  <c r="A204" i="30"/>
  <c r="A205" i="30"/>
  <c r="A206" i="30"/>
  <c r="A207" i="30"/>
  <c r="A208" i="30"/>
  <c r="A209" i="30"/>
  <c r="A210" i="30"/>
  <c r="A211" i="30"/>
  <c r="A212" i="30"/>
  <c r="A213" i="30"/>
  <c r="A214" i="30"/>
  <c r="A215" i="30"/>
  <c r="A216" i="30"/>
  <c r="A217" i="30"/>
  <c r="A218" i="30"/>
  <c r="A219" i="30"/>
  <c r="A220" i="30"/>
  <c r="A221" i="30"/>
  <c r="A222" i="30"/>
  <c r="A223" i="30"/>
  <c r="A224" i="30"/>
  <c r="A225" i="30"/>
  <c r="A226" i="30"/>
  <c r="A227" i="30"/>
  <c r="A228" i="30"/>
  <c r="A229" i="30"/>
  <c r="A230" i="30"/>
  <c r="A231" i="30"/>
  <c r="A232" i="30"/>
  <c r="A233" i="30"/>
  <c r="A234" i="30"/>
  <c r="A136" i="30"/>
  <c r="A137" i="30"/>
  <c r="A138" i="30"/>
  <c r="A99" i="27" l="1"/>
  <c r="A315" i="30" l="1"/>
  <c r="A304" i="30"/>
  <c r="A305" i="30"/>
  <c r="A306" i="30"/>
  <c r="A307" i="30"/>
  <c r="A308" i="30"/>
  <c r="A309" i="30"/>
  <c r="A310" i="30"/>
  <c r="A311" i="30"/>
  <c r="A117" i="30"/>
  <c r="A301" i="27" l="1"/>
  <c r="A302" i="27"/>
  <c r="A303" i="27"/>
  <c r="A304" i="27"/>
  <c r="A305" i="27"/>
  <c r="A306" i="27"/>
  <c r="A307" i="27"/>
  <c r="A308" i="27"/>
  <c r="A312" i="27"/>
  <c r="A303" i="30" l="1"/>
  <c r="A139" i="30"/>
  <c r="A114" i="30"/>
  <c r="A115" i="30"/>
  <c r="A116" i="30"/>
  <c r="A300" i="27" l="1"/>
  <c r="A299" i="27"/>
  <c r="A158" i="21" l="1"/>
  <c r="A159" i="21"/>
  <c r="A160" i="21"/>
  <c r="A310" i="21" l="1"/>
  <c r="A301" i="30" l="1"/>
  <c r="A302" i="30"/>
  <c r="A112" i="30"/>
  <c r="A113" i="30"/>
  <c r="A298" i="27"/>
  <c r="AF268" i="21" l="1"/>
  <c r="A171" i="27" l="1"/>
  <c r="A55" i="30"/>
  <c r="A297" i="27" l="1"/>
  <c r="A229" i="27"/>
  <c r="A230" i="27"/>
  <c r="A231" i="27"/>
  <c r="A232" i="27"/>
  <c r="A233" i="27"/>
  <c r="A234" i="27"/>
  <c r="A98" i="27"/>
  <c r="A325" i="21" l="1"/>
  <c r="M2" i="21" l="1"/>
  <c r="N2" i="21"/>
  <c r="A174" i="27" l="1"/>
  <c r="A175" i="27"/>
  <c r="A296" i="27" l="1"/>
  <c r="A297" i="30"/>
  <c r="A298" i="30"/>
  <c r="A299" i="30"/>
  <c r="A300" i="30"/>
  <c r="A111" i="30" l="1"/>
  <c r="A291" i="21" l="1"/>
  <c r="A289" i="21"/>
  <c r="A284" i="21"/>
  <c r="A192" i="21"/>
  <c r="A76" i="21"/>
  <c r="A267" i="30" l="1"/>
  <c r="A266" i="30"/>
  <c r="A265" i="30"/>
  <c r="A47" i="30"/>
  <c r="A46" i="30"/>
  <c r="A67" i="30"/>
  <c r="A190" i="27"/>
  <c r="A176" i="27"/>
  <c r="A270" i="27" l="1"/>
  <c r="A271" i="27"/>
  <c r="A272" i="27"/>
  <c r="A273" i="27"/>
  <c r="A274" i="27"/>
  <c r="A275" i="27"/>
  <c r="A276" i="27"/>
  <c r="A277" i="27"/>
  <c r="A278" i="27"/>
  <c r="A279" i="27"/>
  <c r="A280" i="27"/>
  <c r="A281" i="27"/>
  <c r="A282" i="27"/>
  <c r="A283" i="27"/>
  <c r="A284" i="27"/>
  <c r="A285" i="27"/>
  <c r="A286" i="27"/>
  <c r="A287" i="27"/>
  <c r="A288" i="27"/>
  <c r="A289" i="27"/>
  <c r="A290" i="27"/>
  <c r="A291" i="27"/>
  <c r="A292" i="27"/>
  <c r="A293" i="27"/>
  <c r="A294" i="27"/>
  <c r="A295" i="27"/>
  <c r="E27" i="45" l="1"/>
  <c r="F3" i="45" l="1"/>
  <c r="F4" i="45"/>
  <c r="F5" i="45"/>
  <c r="F6" i="45"/>
  <c r="F7" i="45"/>
  <c r="F8" i="45"/>
  <c r="F9" i="45"/>
  <c r="E10" i="45"/>
  <c r="A97" i="27"/>
  <c r="A96" i="27"/>
  <c r="F10" i="45" l="1"/>
  <c r="F27" i="45" s="1"/>
  <c r="A15" i="27" l="1"/>
  <c r="A327" i="21"/>
  <c r="A326" i="21"/>
  <c r="A324" i="21"/>
  <c r="A302" i="21"/>
  <c r="A300" i="21"/>
  <c r="A297" i="21"/>
  <c r="A296" i="21"/>
  <c r="A293" i="21"/>
  <c r="A281" i="21"/>
  <c r="E31" i="36" l="1"/>
  <c r="E32" i="36"/>
  <c r="E33" i="36"/>
  <c r="E34" i="36"/>
  <c r="E35" i="36"/>
  <c r="E36" i="36"/>
  <c r="E37" i="36"/>
  <c r="E38" i="36"/>
  <c r="E39" i="36"/>
  <c r="E40" i="36"/>
  <c r="E41" i="36"/>
  <c r="E42" i="36"/>
  <c r="E43" i="36"/>
  <c r="A270" i="30" l="1"/>
  <c r="A271" i="30"/>
  <c r="A272" i="30"/>
  <c r="A273" i="30"/>
  <c r="A274" i="30"/>
  <c r="A275" i="30"/>
  <c r="A276" i="30"/>
  <c r="A277" i="30"/>
  <c r="A293" i="30"/>
  <c r="A294" i="30"/>
  <c r="A102" i="30"/>
  <c r="A103" i="30"/>
  <c r="A104" i="30"/>
  <c r="A105" i="30"/>
  <c r="A224" i="27"/>
  <c r="A225" i="27"/>
  <c r="A226" i="27"/>
  <c r="A264" i="27" l="1"/>
  <c r="A265" i="27"/>
  <c r="A266" i="27"/>
  <c r="A267" i="27"/>
  <c r="A268" i="27"/>
  <c r="A269" i="27"/>
  <c r="I31" i="40" l="1"/>
  <c r="J31" i="40" s="1"/>
  <c r="I30" i="40"/>
  <c r="G30" i="40"/>
  <c r="L28" i="40"/>
  <c r="J28" i="40"/>
  <c r="H28" i="40"/>
  <c r="K28" i="40" s="1"/>
  <c r="L27" i="40"/>
  <c r="H27" i="40"/>
  <c r="K27" i="40" s="1"/>
  <c r="L26" i="40"/>
  <c r="J26" i="40"/>
  <c r="H26" i="40"/>
  <c r="K26" i="40" s="1"/>
  <c r="L25" i="40"/>
  <c r="H25" i="40"/>
  <c r="K25" i="40" s="1"/>
  <c r="L24" i="40"/>
  <c r="H24" i="40"/>
  <c r="K24" i="40" s="1"/>
  <c r="L23" i="40"/>
  <c r="J23" i="40"/>
  <c r="H23" i="40"/>
  <c r="K23" i="40" s="1"/>
  <c r="L22" i="40"/>
  <c r="J22" i="40"/>
  <c r="H22" i="40"/>
  <c r="K22" i="40" s="1"/>
  <c r="L21" i="40"/>
  <c r="J21" i="40"/>
  <c r="H21" i="40"/>
  <c r="K21" i="40" s="1"/>
  <c r="L20" i="40"/>
  <c r="J20" i="40"/>
  <c r="H20" i="40"/>
  <c r="K20" i="40" s="1"/>
  <c r="L19" i="40"/>
  <c r="J19" i="40"/>
  <c r="H19" i="40"/>
  <c r="K19" i="40" s="1"/>
  <c r="L18" i="40"/>
  <c r="J18" i="40"/>
  <c r="H18" i="40"/>
  <c r="K18" i="40" s="1"/>
  <c r="L17" i="40"/>
  <c r="J17" i="40"/>
  <c r="H17" i="40"/>
  <c r="K17" i="40" s="1"/>
  <c r="L16" i="40"/>
  <c r="J16" i="40"/>
  <c r="H16" i="40"/>
  <c r="K16" i="40" s="1"/>
  <c r="L15" i="40"/>
  <c r="J15" i="40"/>
  <c r="H15" i="40"/>
  <c r="K15" i="40" s="1"/>
  <c r="L32" i="40" l="1"/>
  <c r="L35" i="40" s="1"/>
  <c r="I32" i="40"/>
  <c r="K32" i="40"/>
  <c r="K35" i="40" s="1"/>
  <c r="I35" i="40"/>
  <c r="L33" i="40"/>
  <c r="J32" i="40"/>
  <c r="J30" i="40"/>
  <c r="A285" i="21" l="1"/>
  <c r="A286" i="21"/>
  <c r="A287" i="21"/>
  <c r="A288" i="21"/>
  <c r="A290" i="21"/>
  <c r="A292" i="21"/>
  <c r="A294" i="21"/>
  <c r="A295" i="21"/>
  <c r="A298" i="21"/>
  <c r="A299" i="21"/>
  <c r="A303" i="21"/>
  <c r="A304" i="21"/>
  <c r="A306" i="21"/>
  <c r="A307" i="21"/>
  <c r="A308" i="21"/>
  <c r="A309" i="21"/>
  <c r="A311" i="21"/>
  <c r="A312" i="21"/>
  <c r="A313" i="21"/>
  <c r="A314" i="21"/>
  <c r="A315" i="21"/>
  <c r="A316" i="21"/>
  <c r="A317" i="21"/>
  <c r="A318" i="21"/>
  <c r="A319" i="21"/>
  <c r="A320" i="21"/>
  <c r="A321" i="21"/>
  <c r="A322" i="21"/>
  <c r="A323" i="21"/>
  <c r="A328" i="21"/>
  <c r="A329" i="21"/>
  <c r="A333" i="21"/>
  <c r="A332" i="21"/>
  <c r="A331" i="21"/>
  <c r="A330" i="21"/>
  <c r="A245" i="30" l="1"/>
  <c r="A247" i="30"/>
  <c r="A261" i="30"/>
  <c r="A263" i="30"/>
  <c r="A268" i="30"/>
  <c r="A278" i="30"/>
  <c r="A284" i="30"/>
  <c r="A290" i="30"/>
  <c r="A287" i="30"/>
  <c r="A286" i="30"/>
  <c r="A285" i="30"/>
  <c r="A283" i="30"/>
  <c r="A282" i="30"/>
  <c r="A281" i="30"/>
  <c r="A280" i="30"/>
  <c r="A279" i="30"/>
  <c r="A269" i="30"/>
  <c r="A264" i="30"/>
  <c r="A262" i="30"/>
  <c r="A260" i="30"/>
  <c r="A259" i="30"/>
  <c r="A258" i="30"/>
  <c r="A257" i="30"/>
  <c r="A256" i="30"/>
  <c r="A255" i="30"/>
  <c r="A254" i="30"/>
  <c r="A253" i="30"/>
  <c r="A252" i="30"/>
  <c r="A251" i="30"/>
  <c r="A250" i="30"/>
  <c r="A249" i="30"/>
  <c r="A248" i="30"/>
  <c r="A246" i="30"/>
  <c r="A289" i="30"/>
  <c r="A288" i="30"/>
  <c r="A291" i="30"/>
  <c r="A244" i="30"/>
  <c r="A243" i="30"/>
  <c r="A242" i="30"/>
  <c r="A110" i="30"/>
  <c r="A109" i="30"/>
  <c r="A107" i="30"/>
  <c r="A91" i="30"/>
  <c r="A84" i="30"/>
  <c r="A76" i="30"/>
  <c r="A72" i="30"/>
  <c r="A70" i="30"/>
  <c r="A68" i="30"/>
  <c r="A65" i="30"/>
  <c r="A62" i="30"/>
  <c r="A35" i="30"/>
  <c r="A108" i="30"/>
  <c r="A106" i="30"/>
  <c r="A101" i="30"/>
  <c r="A100" i="30"/>
  <c r="A99" i="30"/>
  <c r="A98" i="30"/>
  <c r="A97" i="30"/>
  <c r="A96" i="30"/>
  <c r="A95" i="30"/>
  <c r="A94" i="30"/>
  <c r="A93" i="30"/>
  <c r="A92" i="30"/>
  <c r="A90" i="30"/>
  <c r="A89" i="30"/>
  <c r="A88" i="30"/>
  <c r="A87" i="30"/>
  <c r="A86" i="30"/>
  <c r="A85" i="30"/>
  <c r="A83" i="30"/>
  <c r="A82" i="30"/>
  <c r="A81" i="30"/>
  <c r="A80" i="30"/>
  <c r="A79" i="30"/>
  <c r="A78" i="30"/>
  <c r="A77" i="30"/>
  <c r="A75" i="30"/>
  <c r="A74" i="30"/>
  <c r="A73" i="30"/>
  <c r="A71" i="30"/>
  <c r="A69" i="30"/>
  <c r="A66" i="30"/>
  <c r="A64" i="30"/>
  <c r="A63" i="30"/>
  <c r="A61" i="30"/>
  <c r="A60" i="30"/>
  <c r="A59" i="30"/>
  <c r="A58" i="30"/>
  <c r="A57" i="30"/>
  <c r="A56" i="30"/>
  <c r="A54" i="30"/>
  <c r="A53" i="30"/>
  <c r="A52" i="30"/>
  <c r="A51" i="30"/>
  <c r="A50" i="30"/>
  <c r="A49" i="30"/>
  <c r="A48" i="30"/>
  <c r="A45" i="30"/>
  <c r="A44" i="30"/>
  <c r="A43" i="30"/>
  <c r="A42" i="30"/>
  <c r="A41" i="30"/>
  <c r="A40" i="30"/>
  <c r="A39" i="30"/>
  <c r="A38" i="30"/>
  <c r="A37" i="30"/>
  <c r="A36" i="30"/>
  <c r="A34" i="30"/>
  <c r="A263" i="27"/>
  <c r="A262" i="27"/>
  <c r="A261" i="27"/>
  <c r="A260" i="27"/>
  <c r="A259" i="27"/>
  <c r="A258" i="27"/>
  <c r="A257" i="27"/>
  <c r="A256" i="27"/>
  <c r="A255" i="27"/>
  <c r="A254" i="27"/>
  <c r="A253" i="27"/>
  <c r="A252" i="27"/>
  <c r="A251" i="27"/>
  <c r="A250" i="27"/>
  <c r="A249" i="27"/>
  <c r="A248" i="27"/>
  <c r="A247" i="27"/>
  <c r="A246" i="27"/>
  <c r="A245" i="27"/>
  <c r="A243" i="27"/>
  <c r="A242" i="27"/>
  <c r="A241" i="27"/>
  <c r="A240" i="27"/>
  <c r="A239" i="27"/>
  <c r="A195" i="27"/>
  <c r="A193" i="27"/>
  <c r="A191" i="27"/>
  <c r="A188" i="27"/>
  <c r="A185" i="27"/>
  <c r="A197" i="27"/>
  <c r="A196" i="27"/>
  <c r="A194" i="27"/>
  <c r="A192" i="27"/>
  <c r="A189" i="27"/>
  <c r="A187" i="27"/>
  <c r="A186" i="27"/>
  <c r="A184" i="27"/>
  <c r="A183" i="27"/>
  <c r="A182" i="27"/>
  <c r="A181" i="27"/>
  <c r="A180" i="27"/>
  <c r="A179" i="27"/>
  <c r="A178" i="27"/>
  <c r="A177" i="27"/>
  <c r="A173" i="27"/>
  <c r="A172" i="27"/>
  <c r="A170" i="27"/>
  <c r="A169" i="27"/>
  <c r="A168" i="27"/>
  <c r="A167" i="27"/>
  <c r="A166" i="27"/>
  <c r="A165" i="27"/>
  <c r="A164" i="27"/>
  <c r="A163" i="27"/>
  <c r="A162" i="27"/>
  <c r="A161" i="27"/>
  <c r="A160" i="27"/>
  <c r="A159" i="27"/>
  <c r="A158" i="27"/>
  <c r="A157" i="27"/>
  <c r="A156" i="27"/>
  <c r="Q259" i="21" l="1"/>
  <c r="Q260" i="21"/>
  <c r="Q261" i="21"/>
  <c r="Q262" i="21"/>
  <c r="Q263" i="21"/>
  <c r="Q264" i="21"/>
  <c r="Q265" i="21"/>
  <c r="Q258" i="21"/>
  <c r="D32" i="36"/>
  <c r="D33" i="36"/>
  <c r="P19" i="36"/>
  <c r="P20" i="36"/>
  <c r="D36" i="36"/>
  <c r="P36" i="36" s="1"/>
  <c r="D37" i="36"/>
  <c r="D38" i="36"/>
  <c r="D39" i="36"/>
  <c r="D40" i="36"/>
  <c r="P26" i="36"/>
  <c r="D42" i="36"/>
  <c r="D43" i="36"/>
  <c r="P16" i="36"/>
  <c r="P17" i="36"/>
  <c r="P18" i="36"/>
  <c r="P23" i="36"/>
  <c r="P12" i="36"/>
  <c r="P11" i="36"/>
  <c r="P10" i="36"/>
  <c r="P9" i="36"/>
  <c r="P8" i="36"/>
  <c r="P7" i="36"/>
  <c r="P6" i="36"/>
  <c r="P5" i="36"/>
  <c r="P4" i="36"/>
  <c r="P3" i="36"/>
  <c r="P2" i="36"/>
  <c r="D31" i="36" l="1"/>
  <c r="P25" i="36"/>
  <c r="P24" i="36"/>
  <c r="P22" i="36"/>
  <c r="P33" i="36"/>
  <c r="P32" i="36"/>
  <c r="P40" i="36"/>
  <c r="P39" i="36"/>
  <c r="P38" i="36"/>
  <c r="P37" i="36"/>
  <c r="D34" i="36"/>
  <c r="D41" i="36"/>
  <c r="P21" i="36"/>
  <c r="D35" i="36"/>
  <c r="A280" i="21"/>
  <c r="P31" i="36" l="1"/>
  <c r="P34" i="36"/>
  <c r="P35" i="36"/>
  <c r="P41" i="36"/>
  <c r="A214" i="27"/>
  <c r="A215" i="27"/>
  <c r="A216" i="27"/>
  <c r="A217" i="27"/>
  <c r="A218" i="27"/>
  <c r="A219" i="27"/>
  <c r="A220" i="27"/>
  <c r="A221" i="27"/>
  <c r="A222" i="27"/>
  <c r="A223" i="27"/>
  <c r="A227" i="27"/>
  <c r="A228" i="27"/>
  <c r="A89" i="27"/>
  <c r="A90" i="27"/>
  <c r="A91" i="27"/>
  <c r="A92" i="27"/>
  <c r="A93" i="27"/>
  <c r="A94" i="27"/>
  <c r="A95" i="27"/>
  <c r="A256" i="21" l="1"/>
  <c r="A75" i="27"/>
  <c r="A76" i="27"/>
  <c r="A77" i="27"/>
  <c r="A78" i="27"/>
  <c r="A79" i="27"/>
  <c r="A80" i="27"/>
  <c r="A81" i="27"/>
  <c r="A82" i="27"/>
  <c r="A83" i="27"/>
  <c r="A84" i="27"/>
  <c r="A85" i="27"/>
  <c r="A86" i="27"/>
  <c r="A87" i="27"/>
  <c r="A88" i="27"/>
  <c r="A296" i="30" l="1"/>
  <c r="A295" i="30"/>
  <c r="A292" i="30"/>
  <c r="A241" i="30"/>
  <c r="A33" i="30"/>
  <c r="A32" i="30"/>
  <c r="A31" i="30"/>
  <c r="A30" i="30"/>
  <c r="A29" i="30"/>
  <c r="A28" i="30"/>
  <c r="A27" i="30"/>
  <c r="A26" i="30"/>
  <c r="A25" i="30"/>
  <c r="A24" i="30"/>
  <c r="A23" i="30"/>
  <c r="A22" i="30"/>
  <c r="A21" i="30"/>
  <c r="A20" i="30"/>
  <c r="A19" i="30"/>
  <c r="A18" i="30"/>
  <c r="A17" i="30"/>
  <c r="A16" i="30"/>
  <c r="A15" i="30"/>
  <c r="A14" i="30"/>
  <c r="A238" i="27"/>
  <c r="R305" i="21" l="1"/>
  <c r="Q305" i="21"/>
  <c r="Q301" i="21"/>
  <c r="R99" i="21"/>
  <c r="Q99" i="21"/>
  <c r="R144" i="21"/>
  <c r="Q74" i="21"/>
  <c r="Q144" i="21"/>
  <c r="R74" i="21"/>
  <c r="Q325" i="21"/>
  <c r="Q158" i="21"/>
  <c r="Q160" i="21"/>
  <c r="Q159" i="21"/>
  <c r="Q310" i="21"/>
  <c r="R284" i="21"/>
  <c r="Q76" i="21"/>
  <c r="R76" i="21"/>
  <c r="R289" i="21"/>
  <c r="Q284" i="21"/>
  <c r="Q289" i="21"/>
  <c r="R291" i="21"/>
  <c r="Q291" i="21"/>
  <c r="Q331" i="21"/>
  <c r="Q318" i="21"/>
  <c r="Q293" i="21"/>
  <c r="Q330" i="21"/>
  <c r="Q317" i="21"/>
  <c r="Q294" i="21"/>
  <c r="Q329" i="21"/>
  <c r="Q316" i="21"/>
  <c r="Q280" i="21"/>
  <c r="Q295" i="21"/>
  <c r="Q328" i="21"/>
  <c r="Q315" i="21"/>
  <c r="Q281" i="21"/>
  <c r="Q296" i="21"/>
  <c r="Q327" i="21"/>
  <c r="Q314" i="21"/>
  <c r="Q297" i="21"/>
  <c r="Q326" i="21"/>
  <c r="Q313" i="21"/>
  <c r="Q298" i="21"/>
  <c r="Q324" i="21"/>
  <c r="Q312" i="21"/>
  <c r="Q285" i="21"/>
  <c r="Q299" i="21"/>
  <c r="Q323" i="21"/>
  <c r="Q311" i="21"/>
  <c r="Q286" i="21"/>
  <c r="Q300" i="21"/>
  <c r="Q322" i="21"/>
  <c r="Q309" i="21"/>
  <c r="Q287" i="21"/>
  <c r="Q302" i="21"/>
  <c r="Q321" i="21"/>
  <c r="Q308" i="21"/>
  <c r="Q288" i="21"/>
  <c r="Q303" i="21"/>
  <c r="Q333" i="21"/>
  <c r="Q320" i="21"/>
  <c r="Q307" i="21"/>
  <c r="Q290" i="21"/>
  <c r="Q304" i="21"/>
  <c r="Q332" i="21"/>
  <c r="Q319" i="21"/>
  <c r="Q306" i="21"/>
  <c r="Q292" i="21"/>
  <c r="R304" i="21"/>
  <c r="R318" i="21"/>
  <c r="R286" i="21"/>
  <c r="R321" i="21"/>
  <c r="R288" i="21"/>
  <c r="R322" i="21"/>
  <c r="R290" i="21"/>
  <c r="R294" i="21"/>
  <c r="R285" i="21"/>
  <c r="R306" i="21"/>
  <c r="R319" i="21"/>
  <c r="R320" i="21"/>
  <c r="R287" i="21"/>
  <c r="R309" i="21"/>
  <c r="R312" i="21"/>
  <c r="R313" i="21"/>
  <c r="R307" i="21"/>
  <c r="R308" i="21"/>
  <c r="R311" i="21"/>
  <c r="R323" i="21"/>
  <c r="R292" i="21"/>
  <c r="R328" i="21"/>
  <c r="R330" i="21"/>
  <c r="R298" i="21"/>
  <c r="R315" i="21"/>
  <c r="R331" i="21"/>
  <c r="R299" i="21"/>
  <c r="R332" i="21"/>
  <c r="R317" i="21"/>
  <c r="R295" i="21"/>
  <c r="R280" i="21"/>
  <c r="R316" i="21"/>
  <c r="R303" i="21"/>
  <c r="R333" i="21"/>
  <c r="R329" i="21"/>
  <c r="R314" i="21"/>
  <c r="R256" i="21"/>
  <c r="Q256" i="21"/>
  <c r="A198" i="27"/>
  <c r="A199" i="27"/>
  <c r="A200" i="27"/>
  <c r="A201" i="27"/>
  <c r="A202" i="27"/>
  <c r="A203" i="27"/>
  <c r="A204" i="27"/>
  <c r="A205" i="27"/>
  <c r="A206" i="27"/>
  <c r="A207" i="27"/>
  <c r="A208" i="27"/>
  <c r="A209" i="27"/>
  <c r="A210" i="27"/>
  <c r="A211" i="27"/>
  <c r="A212" i="27"/>
  <c r="A213" i="27"/>
  <c r="A16" i="27"/>
  <c r="A17" i="27"/>
  <c r="A18" i="27"/>
  <c r="A19" i="27"/>
  <c r="A20" i="27"/>
  <c r="A21" i="27"/>
  <c r="A22" i="27"/>
  <c r="A23" i="27"/>
  <c r="A24" i="27"/>
  <c r="A25" i="27"/>
  <c r="A26" i="27"/>
  <c r="A27" i="27"/>
  <c r="A28" i="27"/>
  <c r="A29" i="27"/>
  <c r="A30" i="27"/>
  <c r="A31" i="27"/>
  <c r="A32" i="27"/>
  <c r="A33" i="27"/>
  <c r="A34" i="27"/>
  <c r="A35" i="27"/>
  <c r="A36" i="27"/>
  <c r="A37" i="27"/>
  <c r="A38" i="27"/>
  <c r="A39" i="27"/>
  <c r="A40" i="27"/>
  <c r="A41" i="27"/>
  <c r="A42" i="27"/>
  <c r="A43" i="27"/>
  <c r="A44" i="27"/>
  <c r="A45" i="27"/>
  <c r="A46" i="27"/>
  <c r="A47" i="27"/>
  <c r="A48" i="27"/>
  <c r="A49" i="27"/>
  <c r="A50" i="27"/>
  <c r="A51" i="27"/>
  <c r="A52" i="27"/>
  <c r="A53" i="27"/>
  <c r="A54" i="27"/>
  <c r="A55" i="27"/>
  <c r="A56" i="27"/>
  <c r="A57" i="27"/>
  <c r="A58" i="27"/>
  <c r="A59" i="27"/>
  <c r="A60" i="27"/>
  <c r="A61" i="27"/>
  <c r="A62" i="27"/>
  <c r="A63" i="27"/>
  <c r="A64" i="27"/>
  <c r="A65" i="27"/>
  <c r="A66" i="27"/>
  <c r="A67" i="27"/>
  <c r="A68" i="27"/>
  <c r="A69" i="27"/>
  <c r="A70" i="27"/>
  <c r="A71" i="27"/>
  <c r="A72" i="27"/>
  <c r="A73" i="27"/>
  <c r="A74" i="27"/>
  <c r="A14" i="27"/>
  <c r="A270" i="21"/>
  <c r="R270" i="21" s="1"/>
  <c r="A271" i="21"/>
  <c r="Q271" i="21" s="1"/>
  <c r="A272" i="21"/>
  <c r="R272" i="21" s="1"/>
  <c r="A273" i="21"/>
  <c r="R273" i="21" s="1"/>
  <c r="A274" i="21"/>
  <c r="R274" i="21" s="1"/>
  <c r="A275" i="21"/>
  <c r="R275" i="21" s="1"/>
  <c r="A276" i="21"/>
  <c r="Q276" i="21" s="1"/>
  <c r="A277" i="21"/>
  <c r="Q277" i="21" s="1"/>
  <c r="A278" i="21"/>
  <c r="Q278" i="21" s="1"/>
  <c r="A279" i="21"/>
  <c r="R279" i="21" s="1"/>
  <c r="A282" i="21"/>
  <c r="R282" i="21" s="1"/>
  <c r="A283" i="21"/>
  <c r="R283" i="21" s="1"/>
  <c r="A269" i="21"/>
  <c r="C305" i="21" l="1"/>
  <c r="AK305" i="21" s="1"/>
  <c r="C99" i="21"/>
  <c r="AK99" i="21" s="1"/>
  <c r="D144" i="21"/>
  <c r="C301" i="21"/>
  <c r="AK301" i="21" s="1"/>
  <c r="C144" i="21"/>
  <c r="AK144" i="21" s="1"/>
  <c r="D99" i="21"/>
  <c r="D74" i="21"/>
  <c r="C74" i="21"/>
  <c r="AK74" i="21" s="1"/>
  <c r="C310" i="21"/>
  <c r="AK310" i="21" s="1"/>
  <c r="C325" i="21"/>
  <c r="AK325" i="21" s="1"/>
  <c r="C328" i="21"/>
  <c r="AK328" i="21" s="1"/>
  <c r="Q283" i="21"/>
  <c r="Q282" i="21"/>
  <c r="Q279" i="21"/>
  <c r="C284" i="21"/>
  <c r="AK284" i="21" s="1"/>
  <c r="D284" i="21"/>
  <c r="C289" i="21"/>
  <c r="AK289" i="21" s="1"/>
  <c r="D289" i="21"/>
  <c r="C291" i="21"/>
  <c r="AK291" i="21" s="1"/>
  <c r="D291" i="21"/>
  <c r="C324" i="21"/>
  <c r="AK324" i="21" s="1"/>
  <c r="C300" i="21"/>
  <c r="AK300" i="21" s="1"/>
  <c r="C281" i="21"/>
  <c r="AK281" i="21" s="1"/>
  <c r="C296" i="21"/>
  <c r="AK296" i="21" s="1"/>
  <c r="C297" i="21"/>
  <c r="AK297" i="21" s="1"/>
  <c r="C302" i="21"/>
  <c r="AK302" i="21" s="1"/>
  <c r="C326" i="21"/>
  <c r="AK326" i="21" s="1"/>
  <c r="C293" i="21"/>
  <c r="AK293" i="21" s="1"/>
  <c r="C327" i="21"/>
  <c r="AK327" i="21" s="1"/>
  <c r="C298" i="21"/>
  <c r="AK298" i="21" s="1"/>
  <c r="R277" i="21"/>
  <c r="R271" i="21"/>
  <c r="Q272" i="21"/>
  <c r="R276" i="21"/>
  <c r="R278" i="21"/>
  <c r="Q274" i="21"/>
  <c r="Q275" i="21"/>
  <c r="Q270" i="21"/>
  <c r="Q273" i="21"/>
  <c r="C270" i="21"/>
  <c r="AK270" i="21" s="1"/>
  <c r="C283" i="21"/>
  <c r="AK283" i="21" s="1"/>
  <c r="C304" i="21"/>
  <c r="AK304" i="21" s="1"/>
  <c r="C318" i="21"/>
  <c r="AK318" i="21" s="1"/>
  <c r="C285" i="21"/>
  <c r="AK285" i="21" s="1"/>
  <c r="C306" i="21"/>
  <c r="AK306" i="21" s="1"/>
  <c r="C319" i="21"/>
  <c r="AK319" i="21" s="1"/>
  <c r="C272" i="21"/>
  <c r="AK272" i="21" s="1"/>
  <c r="C286" i="21"/>
  <c r="AK286" i="21" s="1"/>
  <c r="C307" i="21"/>
  <c r="AK307" i="21" s="1"/>
  <c r="C320" i="21"/>
  <c r="AK320" i="21" s="1"/>
  <c r="C273" i="21"/>
  <c r="AK273" i="21" s="1"/>
  <c r="C287" i="21"/>
  <c r="AK287" i="21" s="1"/>
  <c r="C308" i="21"/>
  <c r="AK308" i="21" s="1"/>
  <c r="C321" i="21"/>
  <c r="AK321" i="21" s="1"/>
  <c r="C271" i="21"/>
  <c r="AK271" i="21" s="1"/>
  <c r="C274" i="21"/>
  <c r="AK274" i="21" s="1"/>
  <c r="C288" i="21"/>
  <c r="AK288" i="21" s="1"/>
  <c r="C309" i="21"/>
  <c r="AK309" i="21" s="1"/>
  <c r="C322" i="21"/>
  <c r="AK322" i="21" s="1"/>
  <c r="C275" i="21"/>
  <c r="AK275" i="21" s="1"/>
  <c r="C290" i="21"/>
  <c r="AK290" i="21" s="1"/>
  <c r="C311" i="21"/>
  <c r="AK311" i="21" s="1"/>
  <c r="C323" i="21"/>
  <c r="AK323" i="21" s="1"/>
  <c r="C276" i="21"/>
  <c r="AK276" i="21" s="1"/>
  <c r="C292" i="21"/>
  <c r="AK292" i="21" s="1"/>
  <c r="C312" i="21"/>
  <c r="AK312" i="21" s="1"/>
  <c r="C277" i="21"/>
  <c r="AK277" i="21" s="1"/>
  <c r="C294" i="21"/>
  <c r="AK294" i="21" s="1"/>
  <c r="C313" i="21"/>
  <c r="AK313" i="21" s="1"/>
  <c r="C329" i="21"/>
  <c r="AK329" i="21" s="1"/>
  <c r="C278" i="21"/>
  <c r="AK278" i="21" s="1"/>
  <c r="C295" i="21"/>
  <c r="AK295" i="21" s="1"/>
  <c r="C314" i="21"/>
  <c r="AK314" i="21" s="1"/>
  <c r="C330" i="21"/>
  <c r="AK330" i="21" s="1"/>
  <c r="C279" i="21"/>
  <c r="AK279" i="21" s="1"/>
  <c r="C315" i="21"/>
  <c r="AK315" i="21" s="1"/>
  <c r="C331" i="21"/>
  <c r="AK331" i="21" s="1"/>
  <c r="C280" i="21"/>
  <c r="AK280" i="21" s="1"/>
  <c r="C299" i="21"/>
  <c r="AK299" i="21" s="1"/>
  <c r="C316" i="21"/>
  <c r="AK316" i="21" s="1"/>
  <c r="C332" i="21"/>
  <c r="AK332" i="21" s="1"/>
  <c r="C282" i="21"/>
  <c r="AK282" i="21" s="1"/>
  <c r="C303" i="21"/>
  <c r="AK303" i="21" s="1"/>
  <c r="C317" i="21"/>
  <c r="AK317" i="21" s="1"/>
  <c r="C333" i="21"/>
  <c r="AK333" i="21" s="1"/>
  <c r="Q269" i="21"/>
  <c r="R269" i="21"/>
  <c r="D292" i="21"/>
  <c r="D283" i="21"/>
  <c r="D275" i="21"/>
  <c r="D269" i="21"/>
  <c r="C269" i="21"/>
  <c r="AK269" i="21" s="1"/>
  <c r="D290" i="21"/>
  <c r="D282" i="21"/>
  <c r="D274" i="21"/>
  <c r="D256" i="21"/>
  <c r="C256" i="21"/>
  <c r="AK256" i="21" s="1"/>
  <c r="D288" i="21"/>
  <c r="D279" i="21"/>
  <c r="D273" i="21"/>
  <c r="D287" i="21"/>
  <c r="D278" i="21"/>
  <c r="D272" i="21"/>
  <c r="D286" i="21"/>
  <c r="D277" i="21"/>
  <c r="D271" i="21"/>
  <c r="D285" i="21"/>
  <c r="D276" i="21"/>
  <c r="D270" i="21"/>
  <c r="A255" i="21"/>
  <c r="D255" i="21" s="1"/>
  <c r="A150" i="21"/>
  <c r="C150" i="21" s="1"/>
  <c r="AK150" i="21" s="1"/>
  <c r="A151" i="21"/>
  <c r="D151" i="21" s="1"/>
  <c r="A152" i="21"/>
  <c r="D152" i="21" s="1"/>
  <c r="A153" i="21"/>
  <c r="D153" i="21" s="1"/>
  <c r="A154" i="21"/>
  <c r="D154" i="21" s="1"/>
  <c r="A155" i="21"/>
  <c r="D155" i="21" s="1"/>
  <c r="A156" i="21"/>
  <c r="C156" i="21" s="1"/>
  <c r="AK156" i="21" s="1"/>
  <c r="A157" i="21"/>
  <c r="D157" i="21" s="1"/>
  <c r="A161" i="21"/>
  <c r="A162" i="21"/>
  <c r="A163" i="21"/>
  <c r="Q163" i="21" s="1"/>
  <c r="A164" i="21"/>
  <c r="A165" i="21"/>
  <c r="C165" i="21" s="1"/>
  <c r="AK165" i="21" s="1"/>
  <c r="A166" i="21"/>
  <c r="C166" i="21" s="1"/>
  <c r="AK166" i="21" s="1"/>
  <c r="A167" i="21"/>
  <c r="C167" i="21" s="1"/>
  <c r="AK167" i="21" s="1"/>
  <c r="A168" i="21"/>
  <c r="C168" i="21" s="1"/>
  <c r="AK168" i="21" s="1"/>
  <c r="A169" i="21"/>
  <c r="D169" i="21" s="1"/>
  <c r="A170" i="21"/>
  <c r="D170" i="21" s="1"/>
  <c r="A171" i="21"/>
  <c r="D171" i="21" s="1"/>
  <c r="A172" i="21"/>
  <c r="A173" i="21"/>
  <c r="A174" i="21"/>
  <c r="D174" i="21" s="1"/>
  <c r="A175" i="21"/>
  <c r="D175" i="21" s="1"/>
  <c r="A176" i="21"/>
  <c r="D176" i="21" s="1"/>
  <c r="A177" i="21"/>
  <c r="C177" i="21" s="1"/>
  <c r="AK177" i="21" s="1"/>
  <c r="A178" i="21"/>
  <c r="D178" i="21" s="1"/>
  <c r="A179" i="21"/>
  <c r="C179" i="21" s="1"/>
  <c r="AK179" i="21" s="1"/>
  <c r="A180" i="21"/>
  <c r="C180" i="21" s="1"/>
  <c r="AK180" i="21" s="1"/>
  <c r="A181" i="21"/>
  <c r="C181" i="21" s="1"/>
  <c r="AK181" i="21" s="1"/>
  <c r="A182" i="21"/>
  <c r="D182" i="21" s="1"/>
  <c r="A183" i="21"/>
  <c r="A184" i="21"/>
  <c r="A185" i="21"/>
  <c r="D185" i="21" s="1"/>
  <c r="A186" i="21"/>
  <c r="A187" i="21"/>
  <c r="A188" i="21"/>
  <c r="D188" i="21" s="1"/>
  <c r="A189" i="21"/>
  <c r="C189" i="21" s="1"/>
  <c r="AK189" i="21" s="1"/>
  <c r="A190" i="21"/>
  <c r="C190" i="21" s="1"/>
  <c r="AK190" i="21" s="1"/>
  <c r="A191" i="21"/>
  <c r="D191" i="21" s="1"/>
  <c r="A193" i="21"/>
  <c r="C193" i="21" s="1"/>
  <c r="AK193" i="21" s="1"/>
  <c r="A194" i="21"/>
  <c r="A195" i="21"/>
  <c r="C195" i="21" s="1"/>
  <c r="AK195" i="21" s="1"/>
  <c r="A196" i="21"/>
  <c r="A197" i="21"/>
  <c r="C197" i="21" s="1"/>
  <c r="AK197" i="21" s="1"/>
  <c r="A198" i="21"/>
  <c r="C198" i="21" s="1"/>
  <c r="AK198" i="21" s="1"/>
  <c r="A199" i="21"/>
  <c r="D199" i="21" s="1"/>
  <c r="A200" i="21"/>
  <c r="A201" i="21"/>
  <c r="D201" i="21" s="1"/>
  <c r="A202" i="21"/>
  <c r="D202" i="21" s="1"/>
  <c r="A203" i="21"/>
  <c r="C203" i="21" s="1"/>
  <c r="AK203" i="21" s="1"/>
  <c r="A204" i="21"/>
  <c r="D204" i="21" s="1"/>
  <c r="A205" i="21"/>
  <c r="D205" i="21" s="1"/>
  <c r="A206" i="21"/>
  <c r="A207" i="21"/>
  <c r="A208" i="21"/>
  <c r="A209" i="21"/>
  <c r="D209" i="21" s="1"/>
  <c r="A210" i="21"/>
  <c r="A211" i="21"/>
  <c r="A212" i="21"/>
  <c r="A213" i="21"/>
  <c r="D213" i="21" s="1"/>
  <c r="A214" i="21"/>
  <c r="A215" i="21"/>
  <c r="D215" i="21" s="1"/>
  <c r="A216" i="21"/>
  <c r="C216" i="21" s="1"/>
  <c r="AK216" i="21" s="1"/>
  <c r="A217" i="21"/>
  <c r="D217" i="21" s="1"/>
  <c r="A218" i="21"/>
  <c r="A219" i="21"/>
  <c r="A220" i="21"/>
  <c r="A221" i="21"/>
  <c r="C221" i="21" s="1"/>
  <c r="AK221" i="21" s="1"/>
  <c r="A222" i="21"/>
  <c r="D222" i="21" s="1"/>
  <c r="A223" i="21"/>
  <c r="D223" i="21" s="1"/>
  <c r="A224" i="21"/>
  <c r="A225" i="21"/>
  <c r="C225" i="21" s="1"/>
  <c r="AK225" i="21" s="1"/>
  <c r="A226" i="21"/>
  <c r="D226" i="21" s="1"/>
  <c r="A227" i="21"/>
  <c r="C227" i="21" s="1"/>
  <c r="AK227" i="21" s="1"/>
  <c r="A228" i="21"/>
  <c r="D228" i="21" s="1"/>
  <c r="A229" i="21"/>
  <c r="D229" i="21" s="1"/>
  <c r="A230" i="21"/>
  <c r="C230" i="21" s="1"/>
  <c r="AK230" i="21" s="1"/>
  <c r="A231" i="21"/>
  <c r="D231" i="21" s="1"/>
  <c r="A232" i="21"/>
  <c r="D232" i="21" s="1"/>
  <c r="A233" i="21"/>
  <c r="D233" i="21" s="1"/>
  <c r="A234" i="21"/>
  <c r="C234" i="21" s="1"/>
  <c r="AK234" i="21" s="1"/>
  <c r="A235" i="21"/>
  <c r="C235" i="21" s="1"/>
  <c r="AK235" i="21" s="1"/>
  <c r="A236" i="21"/>
  <c r="A237" i="21"/>
  <c r="D237" i="21" s="1"/>
  <c r="A238" i="21"/>
  <c r="D238" i="21" s="1"/>
  <c r="A239" i="21"/>
  <c r="C239" i="21" s="1"/>
  <c r="AK239" i="21" s="1"/>
  <c r="A240" i="21"/>
  <c r="C240" i="21" s="1"/>
  <c r="AK240" i="21" s="1"/>
  <c r="A241" i="21"/>
  <c r="C241" i="21" s="1"/>
  <c r="AK241" i="21" s="1"/>
  <c r="A242" i="21"/>
  <c r="D242" i="21" s="1"/>
  <c r="A243" i="21"/>
  <c r="D243" i="21" s="1"/>
  <c r="A244" i="21"/>
  <c r="D244" i="21" s="1"/>
  <c r="A245" i="21"/>
  <c r="A246" i="21"/>
  <c r="D246" i="21" s="1"/>
  <c r="A247" i="21"/>
  <c r="D247" i="21" s="1"/>
  <c r="A248" i="21"/>
  <c r="D248" i="21" s="1"/>
  <c r="A249" i="21"/>
  <c r="D249" i="21" s="1"/>
  <c r="A250" i="21"/>
  <c r="D250" i="21" s="1"/>
  <c r="A251" i="21"/>
  <c r="D251" i="21" s="1"/>
  <c r="A252" i="21"/>
  <c r="C252" i="21" s="1"/>
  <c r="AK252" i="21" s="1"/>
  <c r="A253" i="21"/>
  <c r="C253" i="21" s="1"/>
  <c r="AK253" i="21" s="1"/>
  <c r="A254" i="21"/>
  <c r="D254" i="21" s="1"/>
  <c r="A149" i="21"/>
  <c r="A148" i="21"/>
  <c r="A30" i="21"/>
  <c r="D30" i="21" s="1"/>
  <c r="A31" i="21"/>
  <c r="A32" i="21"/>
  <c r="A33" i="21"/>
  <c r="A34" i="21"/>
  <c r="C34" i="21" s="1"/>
  <c r="AK34" i="21" s="1"/>
  <c r="A35" i="21"/>
  <c r="D35" i="21" s="1"/>
  <c r="A36" i="21"/>
  <c r="D36" i="21" s="1"/>
  <c r="A37" i="21"/>
  <c r="D37" i="21" s="1"/>
  <c r="A38" i="21"/>
  <c r="C38" i="21" s="1"/>
  <c r="AK38" i="21" s="1"/>
  <c r="A39" i="21"/>
  <c r="C39" i="21" s="1"/>
  <c r="AK39" i="21" s="1"/>
  <c r="A40" i="21"/>
  <c r="D40" i="21" s="1"/>
  <c r="A41" i="21"/>
  <c r="A42" i="21"/>
  <c r="D42" i="21" s="1"/>
  <c r="A43" i="21"/>
  <c r="D43" i="21" s="1"/>
  <c r="A44" i="21"/>
  <c r="A45" i="21"/>
  <c r="A46" i="21"/>
  <c r="C46" i="21" s="1"/>
  <c r="AK46" i="21" s="1"/>
  <c r="A47" i="21"/>
  <c r="D47" i="21" s="1"/>
  <c r="A48" i="21"/>
  <c r="C48" i="21" s="1"/>
  <c r="AK48" i="21" s="1"/>
  <c r="A49" i="21"/>
  <c r="D49" i="21" s="1"/>
  <c r="A50" i="21"/>
  <c r="A51" i="21"/>
  <c r="C51" i="21" s="1"/>
  <c r="AK51" i="21" s="1"/>
  <c r="A52" i="21"/>
  <c r="D52" i="21" s="1"/>
  <c r="A53" i="21"/>
  <c r="D53" i="21" s="1"/>
  <c r="A54" i="21"/>
  <c r="C54" i="21" s="1"/>
  <c r="AK54" i="21" s="1"/>
  <c r="A55" i="21"/>
  <c r="A56" i="21"/>
  <c r="A57" i="21"/>
  <c r="A58" i="21"/>
  <c r="D58" i="21" s="1"/>
  <c r="A59" i="21"/>
  <c r="D59" i="21" s="1"/>
  <c r="A60" i="21"/>
  <c r="A61" i="21"/>
  <c r="C61" i="21" s="1"/>
  <c r="AK61" i="21" s="1"/>
  <c r="A62" i="21"/>
  <c r="A63" i="21"/>
  <c r="D63" i="21" s="1"/>
  <c r="A64" i="21"/>
  <c r="D64" i="21" s="1"/>
  <c r="A65" i="21"/>
  <c r="D65" i="21" s="1"/>
  <c r="A66" i="21"/>
  <c r="A67" i="21"/>
  <c r="D67" i="21" s="1"/>
  <c r="A68" i="21"/>
  <c r="A69" i="21"/>
  <c r="D69" i="21" s="1"/>
  <c r="A70" i="21"/>
  <c r="D70" i="21" s="1"/>
  <c r="A71" i="21"/>
  <c r="D71" i="21" s="1"/>
  <c r="A72" i="21"/>
  <c r="C72" i="21" s="1"/>
  <c r="AK72" i="21" s="1"/>
  <c r="A73" i="21"/>
  <c r="R73" i="21" s="1"/>
  <c r="A75" i="21"/>
  <c r="D75" i="21" s="1"/>
  <c r="A77" i="21"/>
  <c r="D77" i="21" s="1"/>
  <c r="A78" i="21"/>
  <c r="C78" i="21" s="1"/>
  <c r="AK78" i="21" s="1"/>
  <c r="A79" i="21"/>
  <c r="A80" i="21"/>
  <c r="C80" i="21" s="1"/>
  <c r="AK80" i="21" s="1"/>
  <c r="A81" i="21"/>
  <c r="D81" i="21" s="1"/>
  <c r="A82" i="21"/>
  <c r="A83" i="21"/>
  <c r="A84" i="21"/>
  <c r="D84" i="21" s="1"/>
  <c r="A85" i="21"/>
  <c r="D85" i="21" s="1"/>
  <c r="A86" i="21"/>
  <c r="D86" i="21" s="1"/>
  <c r="A87" i="21"/>
  <c r="D87" i="21" s="1"/>
  <c r="A88" i="21"/>
  <c r="C88" i="21" s="1"/>
  <c r="AK88" i="21" s="1"/>
  <c r="A89" i="21"/>
  <c r="A90" i="21"/>
  <c r="C90" i="21" s="1"/>
  <c r="AK90" i="21" s="1"/>
  <c r="A91" i="21"/>
  <c r="D91" i="21" s="1"/>
  <c r="A92" i="21"/>
  <c r="D92" i="21" s="1"/>
  <c r="A93" i="21"/>
  <c r="D93" i="21" s="1"/>
  <c r="A94" i="21"/>
  <c r="D94" i="21" s="1"/>
  <c r="A95" i="21"/>
  <c r="A96" i="21"/>
  <c r="D96" i="21" s="1"/>
  <c r="A97" i="21"/>
  <c r="D97" i="21" s="1"/>
  <c r="A98" i="21"/>
  <c r="D98" i="21" s="1"/>
  <c r="A100" i="21"/>
  <c r="D100" i="21" s="1"/>
  <c r="A101" i="21"/>
  <c r="D101" i="21" s="1"/>
  <c r="A102" i="21"/>
  <c r="A103" i="21"/>
  <c r="A104" i="21"/>
  <c r="C104" i="21" s="1"/>
  <c r="AK104" i="21" s="1"/>
  <c r="A105" i="21"/>
  <c r="C105" i="21" s="1"/>
  <c r="AK105" i="21" s="1"/>
  <c r="A106" i="21"/>
  <c r="D106" i="21" s="1"/>
  <c r="A107" i="21"/>
  <c r="A108" i="21"/>
  <c r="A109" i="21"/>
  <c r="C109" i="21" s="1"/>
  <c r="AK109" i="21" s="1"/>
  <c r="A110" i="21"/>
  <c r="C110" i="21" s="1"/>
  <c r="AK110" i="21" s="1"/>
  <c r="A111" i="21"/>
  <c r="C111" i="21" s="1"/>
  <c r="AK111" i="21" s="1"/>
  <c r="A112" i="21"/>
  <c r="C112" i="21" s="1"/>
  <c r="AK112" i="21" s="1"/>
  <c r="A113" i="21"/>
  <c r="D113" i="21" s="1"/>
  <c r="A114" i="21"/>
  <c r="C114" i="21" s="1"/>
  <c r="AK114" i="21" s="1"/>
  <c r="A115" i="21"/>
  <c r="D115" i="21" s="1"/>
  <c r="A116" i="21"/>
  <c r="A117" i="21"/>
  <c r="D117" i="21" s="1"/>
  <c r="A118" i="21"/>
  <c r="A119" i="21"/>
  <c r="A120" i="21"/>
  <c r="A121" i="21"/>
  <c r="C121" i="21" s="1"/>
  <c r="AK121" i="21" s="1"/>
  <c r="A122" i="21"/>
  <c r="D122" i="21" s="1"/>
  <c r="A123" i="21"/>
  <c r="D123" i="21" s="1"/>
  <c r="A124" i="21"/>
  <c r="D124" i="21" s="1"/>
  <c r="A125" i="21"/>
  <c r="A126" i="21"/>
  <c r="D126" i="21" s="1"/>
  <c r="A127" i="21"/>
  <c r="D127" i="21" s="1"/>
  <c r="A128" i="21"/>
  <c r="C128" i="21" s="1"/>
  <c r="AK128" i="21" s="1"/>
  <c r="A129" i="21"/>
  <c r="A130" i="21"/>
  <c r="D130" i="21" s="1"/>
  <c r="A131" i="21"/>
  <c r="A132" i="21"/>
  <c r="C132" i="21" s="1"/>
  <c r="AK132" i="21" s="1"/>
  <c r="A133" i="21"/>
  <c r="D133" i="21" s="1"/>
  <c r="A134" i="21"/>
  <c r="C134" i="21" s="1"/>
  <c r="AK134" i="21" s="1"/>
  <c r="A135" i="21"/>
  <c r="A136" i="21"/>
  <c r="C136" i="21" s="1"/>
  <c r="AK136" i="21" s="1"/>
  <c r="A137" i="21"/>
  <c r="A138" i="21"/>
  <c r="D138" i="21" s="1"/>
  <c r="A139" i="21"/>
  <c r="C139" i="21" s="1"/>
  <c r="AK139" i="21" s="1"/>
  <c r="A140" i="21"/>
  <c r="D140" i="21" s="1"/>
  <c r="A141" i="21"/>
  <c r="A142" i="21"/>
  <c r="A143" i="21"/>
  <c r="A145" i="21"/>
  <c r="D145" i="21" s="1"/>
  <c r="A146" i="21"/>
  <c r="D146" i="21" s="1"/>
  <c r="A147" i="21"/>
  <c r="D147" i="21" s="1"/>
  <c r="A29" i="21"/>
  <c r="L198" i="30" l="1"/>
  <c r="L148" i="30"/>
  <c r="L159" i="30"/>
  <c r="L170" i="30"/>
  <c r="L179" i="30"/>
  <c r="L228" i="30"/>
  <c r="L162" i="30"/>
  <c r="L137" i="30"/>
  <c r="L163" i="30"/>
  <c r="L233" i="30"/>
  <c r="L222" i="30"/>
  <c r="L147" i="30"/>
  <c r="L217" i="30"/>
  <c r="L167" i="30"/>
  <c r="L204" i="30"/>
  <c r="L201" i="30"/>
  <c r="L224" i="30"/>
  <c r="L151" i="30"/>
  <c r="L209" i="30"/>
  <c r="L221" i="30"/>
  <c r="L146" i="30"/>
  <c r="L193" i="30"/>
  <c r="L155" i="30"/>
  <c r="L180" i="30"/>
  <c r="L141" i="30"/>
  <c r="L212" i="30"/>
  <c r="L118" i="30"/>
  <c r="L143" i="30"/>
  <c r="L223" i="30"/>
  <c r="L200" i="30"/>
  <c r="L194" i="30"/>
  <c r="L152" i="30"/>
  <c r="L136" i="30"/>
  <c r="L178" i="30"/>
  <c r="L158" i="30"/>
  <c r="L177" i="30"/>
  <c r="L160" i="30"/>
  <c r="L142" i="30"/>
  <c r="L185" i="30"/>
  <c r="L197" i="30"/>
  <c r="L210" i="30"/>
  <c r="L169" i="30"/>
  <c r="L156" i="30"/>
  <c r="L144" i="30"/>
  <c r="L195" i="30"/>
  <c r="L161" i="30"/>
  <c r="L173" i="30"/>
  <c r="L229" i="30"/>
  <c r="L157" i="30"/>
  <c r="L211" i="30"/>
  <c r="L226" i="30"/>
  <c r="L150" i="30"/>
  <c r="L188" i="30"/>
  <c r="L214" i="30"/>
  <c r="L176" i="30"/>
  <c r="L234" i="30"/>
  <c r="L202" i="30"/>
  <c r="L164" i="30"/>
  <c r="L219" i="30"/>
  <c r="L190" i="30"/>
  <c r="L196" i="30"/>
  <c r="L182" i="30"/>
  <c r="L140" i="30"/>
  <c r="L166" i="30"/>
  <c r="L187" i="30"/>
  <c r="L191" i="30"/>
  <c r="L232" i="30"/>
  <c r="L149" i="30"/>
  <c r="L145" i="30"/>
  <c r="L216" i="30"/>
  <c r="L174" i="30"/>
  <c r="L138" i="30"/>
  <c r="L231" i="30"/>
  <c r="L192" i="30"/>
  <c r="L218" i="30"/>
  <c r="L225" i="30"/>
  <c r="L208" i="30"/>
  <c r="L168" i="30"/>
  <c r="L213" i="30"/>
  <c r="L207" i="30"/>
  <c r="L189" i="30"/>
  <c r="L215" i="30"/>
  <c r="L199" i="30"/>
  <c r="L165" i="30"/>
  <c r="L171" i="30"/>
  <c r="L153" i="30"/>
  <c r="L220" i="30"/>
  <c r="L227" i="30"/>
  <c r="L186" i="30"/>
  <c r="L205" i="30"/>
  <c r="L206" i="30"/>
  <c r="L175" i="30"/>
  <c r="L203" i="30"/>
  <c r="L184" i="30"/>
  <c r="L172" i="30"/>
  <c r="L183" i="30"/>
  <c r="L230" i="30"/>
  <c r="L154" i="30"/>
  <c r="L181" i="30"/>
  <c r="L314" i="30"/>
  <c r="L311" i="30"/>
  <c r="L308" i="30"/>
  <c r="L315" i="30"/>
  <c r="L305" i="30"/>
  <c r="L310" i="30"/>
  <c r="L306" i="30"/>
  <c r="L307" i="30"/>
  <c r="L117" i="30"/>
  <c r="L309" i="30"/>
  <c r="L304" i="30"/>
  <c r="L312" i="30"/>
  <c r="L313" i="30"/>
  <c r="L114" i="30"/>
  <c r="L116" i="30"/>
  <c r="L115" i="30"/>
  <c r="L139" i="30"/>
  <c r="L303" i="30"/>
  <c r="L302" i="30"/>
  <c r="L113" i="30"/>
  <c r="L112" i="30"/>
  <c r="L301" i="30"/>
  <c r="L55" i="30"/>
  <c r="L299" i="30"/>
  <c r="L297" i="30"/>
  <c r="L300" i="30"/>
  <c r="L298" i="30"/>
  <c r="L111" i="30"/>
  <c r="L266" i="30"/>
  <c r="L267" i="30"/>
  <c r="L67" i="30"/>
  <c r="L46" i="30"/>
  <c r="L47" i="30"/>
  <c r="L265" i="30"/>
  <c r="L276" i="30"/>
  <c r="L102" i="30"/>
  <c r="L273" i="30"/>
  <c r="L103" i="30"/>
  <c r="L294" i="30"/>
  <c r="L275" i="30"/>
  <c r="L277" i="30"/>
  <c r="L274" i="30"/>
  <c r="L293" i="30"/>
  <c r="L272" i="30"/>
  <c r="L271" i="30"/>
  <c r="L104" i="30"/>
  <c r="L270" i="30"/>
  <c r="L105" i="30"/>
  <c r="L291" i="30"/>
  <c r="L246" i="30"/>
  <c r="L64" i="30"/>
  <c r="L56" i="30"/>
  <c r="L74" i="30"/>
  <c r="L69" i="30"/>
  <c r="L86" i="30"/>
  <c r="L96" i="30"/>
  <c r="L45" i="30"/>
  <c r="L262" i="30"/>
  <c r="L256" i="30"/>
  <c r="L70" i="30"/>
  <c r="L259" i="30"/>
  <c r="L51" i="30"/>
  <c r="L88" i="30"/>
  <c r="L101" i="30"/>
  <c r="L43" i="30"/>
  <c r="L41" i="30"/>
  <c r="L37" i="30"/>
  <c r="L79" i="30"/>
  <c r="L108" i="30"/>
  <c r="L283" i="30"/>
  <c r="L281" i="30"/>
  <c r="L247" i="30"/>
  <c r="L290" i="30"/>
  <c r="L261" i="30"/>
  <c r="L66" i="30"/>
  <c r="L287" i="30"/>
  <c r="L40" i="30"/>
  <c r="L107" i="30"/>
  <c r="L42" i="30"/>
  <c r="L58" i="30"/>
  <c r="L44" i="30"/>
  <c r="L54" i="30"/>
  <c r="L62" i="30"/>
  <c r="L244" i="30"/>
  <c r="L83" i="30"/>
  <c r="L50" i="30"/>
  <c r="L87" i="30"/>
  <c r="L250" i="30"/>
  <c r="L57" i="30"/>
  <c r="L77" i="30"/>
  <c r="L59" i="30"/>
  <c r="L60" i="30"/>
  <c r="L48" i="30"/>
  <c r="L61" i="30"/>
  <c r="L80" i="30"/>
  <c r="L252" i="30"/>
  <c r="L253" i="30"/>
  <c r="L268" i="30"/>
  <c r="L63" i="30"/>
  <c r="L81" i="30"/>
  <c r="L97" i="30"/>
  <c r="L38" i="30"/>
  <c r="L100" i="30"/>
  <c r="L264" i="30"/>
  <c r="L75" i="30"/>
  <c r="L90" i="30"/>
  <c r="L78" i="30"/>
  <c r="L93" i="30"/>
  <c r="L92" i="30"/>
  <c r="L285" i="30"/>
  <c r="L72" i="30"/>
  <c r="L39" i="30"/>
  <c r="L91" i="30"/>
  <c r="L278" i="30"/>
  <c r="L89" i="30"/>
  <c r="L243" i="30"/>
  <c r="L65" i="30"/>
  <c r="L68" i="30"/>
  <c r="L98" i="30"/>
  <c r="L71" i="30"/>
  <c r="L289" i="30"/>
  <c r="L99" i="30"/>
  <c r="L249" i="30"/>
  <c r="L34" i="30"/>
  <c r="L106" i="30"/>
  <c r="L110" i="30"/>
  <c r="L35" i="30"/>
  <c r="L254" i="30"/>
  <c r="L94" i="30"/>
  <c r="L242" i="30"/>
  <c r="L53" i="30"/>
  <c r="L52" i="30"/>
  <c r="L258" i="30"/>
  <c r="L84" i="30"/>
  <c r="L109" i="30"/>
  <c r="L73" i="30"/>
  <c r="L286" i="30"/>
  <c r="L248" i="30"/>
  <c r="L284" i="30"/>
  <c r="L257" i="30"/>
  <c r="L251" i="30"/>
  <c r="L279" i="30"/>
  <c r="L95" i="30"/>
  <c r="L260" i="30"/>
  <c r="L49" i="30"/>
  <c r="L85" i="30"/>
  <c r="L269" i="30"/>
  <c r="L263" i="30"/>
  <c r="L280" i="30"/>
  <c r="L288" i="30"/>
  <c r="L255" i="30"/>
  <c r="L82" i="30"/>
  <c r="L282" i="30"/>
  <c r="L76" i="30"/>
  <c r="L36" i="30"/>
  <c r="L245" i="30"/>
  <c r="L296" i="30"/>
  <c r="L20" i="30"/>
  <c r="L27" i="30"/>
  <c r="L32" i="30"/>
  <c r="L26" i="30"/>
  <c r="L31" i="30"/>
  <c r="L17" i="30"/>
  <c r="L21" i="30"/>
  <c r="L25" i="30"/>
  <c r="L33" i="30"/>
  <c r="L30" i="30"/>
  <c r="L22" i="30"/>
  <c r="L18" i="30"/>
  <c r="L241" i="30"/>
  <c r="L15" i="30"/>
  <c r="L23" i="30"/>
  <c r="L16" i="30"/>
  <c r="L292" i="30"/>
  <c r="L28" i="30"/>
  <c r="L24" i="30"/>
  <c r="L19" i="30"/>
  <c r="L14" i="30"/>
  <c r="L29" i="30"/>
  <c r="L295" i="30"/>
  <c r="L239" i="27"/>
  <c r="L245" i="27"/>
  <c r="L251" i="27"/>
  <c r="L257" i="27"/>
  <c r="L263" i="27"/>
  <c r="L269" i="27"/>
  <c r="L275" i="27"/>
  <c r="L281" i="27"/>
  <c r="L287" i="27"/>
  <c r="L293" i="27"/>
  <c r="L299" i="27"/>
  <c r="L305" i="27"/>
  <c r="L311" i="27"/>
  <c r="L246" i="27"/>
  <c r="L264" i="27"/>
  <c r="L276" i="27"/>
  <c r="L288" i="27"/>
  <c r="L300" i="27"/>
  <c r="L312" i="27"/>
  <c r="L240" i="27"/>
  <c r="L252" i="27"/>
  <c r="L258" i="27"/>
  <c r="L270" i="27"/>
  <c r="L282" i="27"/>
  <c r="L294" i="27"/>
  <c r="L306" i="27"/>
  <c r="L241" i="27"/>
  <c r="L247" i="27"/>
  <c r="L253" i="27"/>
  <c r="L259" i="27"/>
  <c r="L265" i="27"/>
  <c r="L271" i="27"/>
  <c r="L277" i="27"/>
  <c r="L283" i="27"/>
  <c r="L289" i="27"/>
  <c r="L295" i="27"/>
  <c r="L301" i="27"/>
  <c r="L307" i="27"/>
  <c r="L242" i="27"/>
  <c r="L248" i="27"/>
  <c r="L254" i="27"/>
  <c r="L260" i="27"/>
  <c r="L266" i="27"/>
  <c r="L272" i="27"/>
  <c r="L278" i="27"/>
  <c r="L284" i="27"/>
  <c r="L290" i="27"/>
  <c r="L296" i="27"/>
  <c r="L302" i="27"/>
  <c r="L308" i="27"/>
  <c r="L243" i="27"/>
  <c r="L249" i="27"/>
  <c r="L255" i="27"/>
  <c r="L261" i="27"/>
  <c r="L267" i="27"/>
  <c r="L273" i="27"/>
  <c r="L279" i="27"/>
  <c r="L285" i="27"/>
  <c r="L291" i="27"/>
  <c r="L297" i="27"/>
  <c r="L303" i="27"/>
  <c r="L309" i="27"/>
  <c r="L244" i="27"/>
  <c r="L250" i="27"/>
  <c r="L256" i="27"/>
  <c r="L262" i="27"/>
  <c r="L268" i="27"/>
  <c r="L274" i="27"/>
  <c r="L280" i="27"/>
  <c r="L286" i="27"/>
  <c r="L292" i="27"/>
  <c r="L298" i="27"/>
  <c r="L304" i="27"/>
  <c r="L310" i="27"/>
  <c r="L180" i="27"/>
  <c r="L192" i="27"/>
  <c r="L194" i="27"/>
  <c r="L196" i="27"/>
  <c r="L185" i="27"/>
  <c r="L186" i="27"/>
  <c r="L187" i="27"/>
  <c r="L232" i="27"/>
  <c r="L233" i="27"/>
  <c r="L191" i="27"/>
  <c r="L234" i="27"/>
  <c r="L181" i="27"/>
  <c r="L193" i="27"/>
  <c r="L182" i="27"/>
  <c r="L183" i="27"/>
  <c r="L195" i="27"/>
  <c r="L184" i="27"/>
  <c r="L197" i="27"/>
  <c r="L198" i="27"/>
  <c r="L230" i="27"/>
  <c r="L188" i="27"/>
  <c r="L231" i="27"/>
  <c r="L189" i="27"/>
  <c r="L190" i="27"/>
  <c r="D164" i="21"/>
  <c r="Q164" i="21"/>
  <c r="C162" i="21"/>
  <c r="AK162" i="21" s="1"/>
  <c r="Q162" i="21"/>
  <c r="D161" i="21"/>
  <c r="Q161" i="21"/>
  <c r="C5" i="21"/>
  <c r="V5" i="21" s="1"/>
  <c r="L48" i="27"/>
  <c r="L176" i="27"/>
  <c r="L96" i="27"/>
  <c r="L97" i="27"/>
  <c r="L15" i="27"/>
  <c r="L225" i="27"/>
  <c r="L226" i="27"/>
  <c r="L224" i="27"/>
  <c r="C126" i="21"/>
  <c r="AK126" i="21" s="1"/>
  <c r="D166" i="21"/>
  <c r="D128" i="21"/>
  <c r="C113" i="21"/>
  <c r="AK113" i="21" s="1"/>
  <c r="C232" i="21"/>
  <c r="AK232" i="21" s="1"/>
  <c r="D156" i="21"/>
  <c r="D105" i="21"/>
  <c r="D181" i="21"/>
  <c r="D111" i="21"/>
  <c r="D227" i="21"/>
  <c r="D230" i="21"/>
  <c r="C101" i="21"/>
  <c r="AK101" i="21" s="1"/>
  <c r="C93" i="21"/>
  <c r="AK93" i="21" s="1"/>
  <c r="C215" i="21"/>
  <c r="AK215" i="21" s="1"/>
  <c r="C100" i="21"/>
  <c r="AK100" i="21" s="1"/>
  <c r="C37" i="21"/>
  <c r="AK37" i="21" s="1"/>
  <c r="D29" i="21"/>
  <c r="D216" i="21"/>
  <c r="C182" i="21"/>
  <c r="AK182" i="21" s="1"/>
  <c r="D88" i="21"/>
  <c r="C70" i="21"/>
  <c r="AK70" i="21" s="1"/>
  <c r="C152" i="21"/>
  <c r="AK152" i="21" s="1"/>
  <c r="D80" i="21"/>
  <c r="D51" i="21"/>
  <c r="C47" i="21"/>
  <c r="AK47" i="21" s="1"/>
  <c r="C222" i="21"/>
  <c r="AK222" i="21" s="1"/>
  <c r="C91" i="21"/>
  <c r="AK91" i="21" s="1"/>
  <c r="C117" i="21"/>
  <c r="AK117" i="21" s="1"/>
  <c r="C124" i="21"/>
  <c r="AK124" i="21" s="1"/>
  <c r="C238" i="21"/>
  <c r="AK238" i="21" s="1"/>
  <c r="D165" i="21"/>
  <c r="D203" i="21"/>
  <c r="C36" i="21"/>
  <c r="AK36" i="21" s="1"/>
  <c r="C228" i="21"/>
  <c r="AK228" i="21" s="1"/>
  <c r="C226" i="21"/>
  <c r="AK226" i="21" s="1"/>
  <c r="D150" i="21"/>
  <c r="C97" i="21"/>
  <c r="AK97" i="21" s="1"/>
  <c r="C154" i="21"/>
  <c r="AK154" i="21" s="1"/>
  <c r="C170" i="21"/>
  <c r="AK170" i="21" s="1"/>
  <c r="D112" i="21"/>
  <c r="C75" i="21"/>
  <c r="AK75" i="21" s="1"/>
  <c r="C250" i="21"/>
  <c r="AK250" i="21" s="1"/>
  <c r="D177" i="21"/>
  <c r="D121" i="21"/>
  <c r="C85" i="21"/>
  <c r="AK85" i="21" s="1"/>
  <c r="D134" i="21"/>
  <c r="L28" i="27"/>
  <c r="C169" i="21"/>
  <c r="AK169" i="21" s="1"/>
  <c r="C176" i="21"/>
  <c r="AK176" i="21" s="1"/>
  <c r="D189" i="21"/>
  <c r="C63" i="21"/>
  <c r="AK63" i="21" s="1"/>
  <c r="C64" i="21"/>
  <c r="AK64" i="21" s="1"/>
  <c r="C122" i="21"/>
  <c r="AK122" i="21" s="1"/>
  <c r="D34" i="21"/>
  <c r="C242" i="21"/>
  <c r="AK242" i="21" s="1"/>
  <c r="C243" i="21"/>
  <c r="AK243" i="21" s="1"/>
  <c r="D38" i="21"/>
  <c r="C138" i="21"/>
  <c r="AK138" i="21" s="1"/>
  <c r="D239" i="21"/>
  <c r="L38" i="27"/>
  <c r="C254" i="21"/>
  <c r="AK254" i="21" s="1"/>
  <c r="C249" i="21"/>
  <c r="AK249" i="21" s="1"/>
  <c r="C151" i="21"/>
  <c r="AK151" i="21" s="1"/>
  <c r="C146" i="21"/>
  <c r="AK146" i="21" s="1"/>
  <c r="D46" i="21"/>
  <c r="C255" i="21"/>
  <c r="AK255" i="21" s="1"/>
  <c r="C86" i="21"/>
  <c r="AK86" i="21" s="1"/>
  <c r="C43" i="21"/>
  <c r="AK43" i="21" s="1"/>
  <c r="L24" i="27"/>
  <c r="D109" i="21"/>
  <c r="C35" i="21"/>
  <c r="AK35" i="21" s="1"/>
  <c r="C92" i="21"/>
  <c r="AK92" i="21" s="1"/>
  <c r="C49" i="21"/>
  <c r="AK49" i="21" s="1"/>
  <c r="L164" i="27"/>
  <c r="L162" i="27"/>
  <c r="L170" i="27"/>
  <c r="L172" i="27"/>
  <c r="L157" i="27"/>
  <c r="L178" i="27"/>
  <c r="L167" i="27"/>
  <c r="L173" i="27"/>
  <c r="L161" i="27"/>
  <c r="L169" i="27"/>
  <c r="L155" i="27"/>
  <c r="L160" i="27"/>
  <c r="L177" i="27"/>
  <c r="L118" i="27"/>
  <c r="L117" i="27"/>
  <c r="L158" i="27"/>
  <c r="L156" i="27"/>
  <c r="L163" i="27"/>
  <c r="L165" i="27"/>
  <c r="L166" i="27"/>
  <c r="L179" i="27"/>
  <c r="L159" i="27"/>
  <c r="L168" i="27"/>
  <c r="L222" i="27"/>
  <c r="L218" i="27"/>
  <c r="L214" i="27"/>
  <c r="L91" i="27"/>
  <c r="L92" i="27"/>
  <c r="L228" i="27"/>
  <c r="L89" i="27"/>
  <c r="L215" i="27"/>
  <c r="L217" i="27"/>
  <c r="L90" i="27"/>
  <c r="L216" i="27"/>
  <c r="L227" i="27"/>
  <c r="L94" i="27"/>
  <c r="L221" i="27"/>
  <c r="L219" i="27"/>
  <c r="L95" i="27"/>
  <c r="L223" i="27"/>
  <c r="L93" i="27"/>
  <c r="L220" i="27"/>
  <c r="L238" i="27"/>
  <c r="R143" i="21"/>
  <c r="Q143" i="21"/>
  <c r="R119" i="21"/>
  <c r="Q119" i="21"/>
  <c r="R82" i="21"/>
  <c r="Q82" i="21"/>
  <c r="R44" i="21"/>
  <c r="Q44" i="21"/>
  <c r="R211" i="21"/>
  <c r="Q211" i="21"/>
  <c r="C32" i="21"/>
  <c r="AK32" i="21" s="1"/>
  <c r="L29" i="27"/>
  <c r="L114" i="27"/>
  <c r="L56" i="27"/>
  <c r="L57" i="27"/>
  <c r="Q141" i="21"/>
  <c r="R141" i="21"/>
  <c r="R129" i="21"/>
  <c r="Q129" i="21"/>
  <c r="Q117" i="21"/>
  <c r="R117" i="21"/>
  <c r="Q105" i="21"/>
  <c r="R105" i="21"/>
  <c r="Q92" i="21"/>
  <c r="R92" i="21"/>
  <c r="R80" i="21"/>
  <c r="Q80" i="21"/>
  <c r="Q66" i="21"/>
  <c r="R66" i="21"/>
  <c r="R54" i="21"/>
  <c r="Q54" i="21"/>
  <c r="R42" i="21"/>
  <c r="Q42" i="21"/>
  <c r="Q30" i="21"/>
  <c r="R30" i="21"/>
  <c r="Q245" i="21"/>
  <c r="R245" i="21"/>
  <c r="Q233" i="21"/>
  <c r="R233" i="21"/>
  <c r="Q221" i="21"/>
  <c r="R221" i="21"/>
  <c r="Q209" i="21"/>
  <c r="R209" i="21"/>
  <c r="Q197" i="21"/>
  <c r="R197" i="21"/>
  <c r="Q184" i="21"/>
  <c r="R184" i="21"/>
  <c r="Q172" i="21"/>
  <c r="R172" i="21"/>
  <c r="Q157" i="21"/>
  <c r="R157" i="21"/>
  <c r="C29" i="21"/>
  <c r="AK29" i="21" s="1"/>
  <c r="C98" i="21"/>
  <c r="AK98" i="21" s="1"/>
  <c r="C175" i="21"/>
  <c r="AK175" i="21" s="1"/>
  <c r="C248" i="21"/>
  <c r="AK248" i="21" s="1"/>
  <c r="C188" i="21"/>
  <c r="AK188" i="21" s="1"/>
  <c r="C94" i="21"/>
  <c r="AK94" i="21" s="1"/>
  <c r="C171" i="21"/>
  <c r="AK171" i="21" s="1"/>
  <c r="C244" i="21"/>
  <c r="AK244" i="21" s="1"/>
  <c r="C209" i="21"/>
  <c r="AK209" i="21" s="1"/>
  <c r="D221" i="21"/>
  <c r="C84" i="21"/>
  <c r="AK84" i="21" s="1"/>
  <c r="C161" i="21"/>
  <c r="AK161" i="21" s="1"/>
  <c r="L41" i="27"/>
  <c r="L116" i="27"/>
  <c r="L209" i="27"/>
  <c r="L69" i="27"/>
  <c r="L36" i="27"/>
  <c r="L40" i="27"/>
  <c r="L108" i="27"/>
  <c r="Q145" i="21"/>
  <c r="R145" i="21"/>
  <c r="Q132" i="21"/>
  <c r="R132" i="21"/>
  <c r="Q120" i="21"/>
  <c r="R120" i="21"/>
  <c r="Q108" i="21"/>
  <c r="R108" i="21"/>
  <c r="Q95" i="21"/>
  <c r="R95" i="21"/>
  <c r="Q83" i="21"/>
  <c r="R83" i="21"/>
  <c r="Q69" i="21"/>
  <c r="R69" i="21"/>
  <c r="Q57" i="21"/>
  <c r="R57" i="21"/>
  <c r="Q45" i="21"/>
  <c r="R45" i="21"/>
  <c r="Q33" i="21"/>
  <c r="R33" i="21"/>
  <c r="Q248" i="21"/>
  <c r="R248" i="21"/>
  <c r="Q236" i="21"/>
  <c r="R236" i="21"/>
  <c r="Q224" i="21"/>
  <c r="R224" i="21"/>
  <c r="Q212" i="21"/>
  <c r="R212" i="21"/>
  <c r="Q200" i="21"/>
  <c r="R200" i="21"/>
  <c r="Q187" i="21"/>
  <c r="R187" i="21"/>
  <c r="Q175" i="21"/>
  <c r="R175" i="21"/>
  <c r="R163" i="21"/>
  <c r="C236" i="21"/>
  <c r="AK236" i="21" s="1"/>
  <c r="C120" i="21"/>
  <c r="AK120" i="21" s="1"/>
  <c r="D57" i="21"/>
  <c r="L17" i="27"/>
  <c r="L45" i="27"/>
  <c r="R142" i="21"/>
  <c r="Q142" i="21"/>
  <c r="R118" i="21"/>
  <c r="Q118" i="21"/>
  <c r="R81" i="21"/>
  <c r="Q81" i="21"/>
  <c r="R55" i="21"/>
  <c r="Q55" i="21"/>
  <c r="R31" i="21"/>
  <c r="Q31" i="21"/>
  <c r="R234" i="21"/>
  <c r="Q234" i="21"/>
  <c r="Q210" i="21"/>
  <c r="R210" i="21"/>
  <c r="Q185" i="21"/>
  <c r="R185" i="21"/>
  <c r="R173" i="21"/>
  <c r="Q173" i="21"/>
  <c r="D198" i="21"/>
  <c r="C174" i="21"/>
  <c r="AK174" i="21" s="1"/>
  <c r="C247" i="21"/>
  <c r="AK247" i="21" s="1"/>
  <c r="D211" i="21"/>
  <c r="R116" i="21"/>
  <c r="Q116" i="21"/>
  <c r="R79" i="21"/>
  <c r="Q79" i="21"/>
  <c r="R65" i="21"/>
  <c r="Q65" i="21"/>
  <c r="Q148" i="21"/>
  <c r="R148" i="21"/>
  <c r="R244" i="21"/>
  <c r="Q244" i="21"/>
  <c r="R208" i="21"/>
  <c r="Q208" i="21"/>
  <c r="R196" i="21"/>
  <c r="Q196" i="21"/>
  <c r="Q140" i="21"/>
  <c r="R140" i="21"/>
  <c r="R104" i="21"/>
  <c r="Q104" i="21"/>
  <c r="R41" i="21"/>
  <c r="Q41" i="21"/>
  <c r="R220" i="21"/>
  <c r="Q220" i="21"/>
  <c r="R183" i="21"/>
  <c r="Q183" i="21"/>
  <c r="R156" i="21"/>
  <c r="Q156" i="21"/>
  <c r="C118" i="21"/>
  <c r="AK118" i="21" s="1"/>
  <c r="D31" i="21"/>
  <c r="C44" i="21"/>
  <c r="AK44" i="21" s="1"/>
  <c r="C57" i="21"/>
  <c r="AK57" i="21" s="1"/>
  <c r="L213" i="27"/>
  <c r="R195" i="21"/>
  <c r="Q195" i="21"/>
  <c r="C187" i="21"/>
  <c r="AK187" i="21" s="1"/>
  <c r="C201" i="21"/>
  <c r="AK201" i="21" s="1"/>
  <c r="C246" i="21"/>
  <c r="AK246" i="21" s="1"/>
  <c r="L212" i="27"/>
  <c r="L112" i="27"/>
  <c r="L22" i="27"/>
  <c r="L47" i="27"/>
  <c r="L64" i="27"/>
  <c r="L27" i="27"/>
  <c r="L51" i="27"/>
  <c r="R139" i="21"/>
  <c r="Q139" i="21"/>
  <c r="R115" i="21"/>
  <c r="Q115" i="21"/>
  <c r="R90" i="21"/>
  <c r="Q90" i="21"/>
  <c r="R52" i="21"/>
  <c r="Q52" i="21"/>
  <c r="R149" i="21"/>
  <c r="Q149" i="21"/>
  <c r="R231" i="21"/>
  <c r="Q231" i="21"/>
  <c r="R207" i="21"/>
  <c r="Q207" i="21"/>
  <c r="R170" i="21"/>
  <c r="Q170" i="21"/>
  <c r="C41" i="21"/>
  <c r="AK41" i="21" s="1"/>
  <c r="C145" i="21"/>
  <c r="AK145" i="21" s="1"/>
  <c r="C173" i="21"/>
  <c r="AK173" i="21" s="1"/>
  <c r="L18" i="27"/>
  <c r="L16" i="27"/>
  <c r="L206" i="27"/>
  <c r="Q138" i="21"/>
  <c r="R138" i="21"/>
  <c r="Q102" i="21"/>
  <c r="R102" i="21"/>
  <c r="Q77" i="21"/>
  <c r="R77" i="21"/>
  <c r="Q39" i="21"/>
  <c r="R39" i="21"/>
  <c r="Q230" i="21"/>
  <c r="R230" i="21"/>
  <c r="Q206" i="21"/>
  <c r="R206" i="21"/>
  <c r="Q169" i="21"/>
  <c r="R169" i="21"/>
  <c r="C69" i="21"/>
  <c r="AK69" i="21" s="1"/>
  <c r="C33" i="21"/>
  <c r="AK33" i="21" s="1"/>
  <c r="R113" i="21"/>
  <c r="Q113" i="21"/>
  <c r="R88" i="21"/>
  <c r="Q88" i="21"/>
  <c r="R62" i="21"/>
  <c r="Q62" i="21"/>
  <c r="R38" i="21"/>
  <c r="Q38" i="21"/>
  <c r="R241" i="21"/>
  <c r="Q241" i="21"/>
  <c r="R229" i="21"/>
  <c r="Q229" i="21"/>
  <c r="Q217" i="21"/>
  <c r="R217" i="21"/>
  <c r="R205" i="21"/>
  <c r="Q205" i="21"/>
  <c r="Q193" i="21"/>
  <c r="R193" i="21"/>
  <c r="Q168" i="21"/>
  <c r="R168" i="21"/>
  <c r="Q153" i="21"/>
  <c r="R153" i="21"/>
  <c r="C53" i="21"/>
  <c r="AK53" i="21" s="1"/>
  <c r="C205" i="21"/>
  <c r="AK205" i="21" s="1"/>
  <c r="D168" i="21"/>
  <c r="D241" i="21"/>
  <c r="C123" i="21"/>
  <c r="AK123" i="21" s="1"/>
  <c r="C200" i="21"/>
  <c r="AK200" i="21" s="1"/>
  <c r="D200" i="21"/>
  <c r="C213" i="21"/>
  <c r="AK213" i="21" s="1"/>
  <c r="C119" i="21"/>
  <c r="AK119" i="21" s="1"/>
  <c r="C196" i="21"/>
  <c r="AK196" i="21" s="1"/>
  <c r="D44" i="21"/>
  <c r="D119" i="21"/>
  <c r="D196" i="21"/>
  <c r="C83" i="21"/>
  <c r="AK83" i="21" s="1"/>
  <c r="C157" i="21"/>
  <c r="AK157" i="21" s="1"/>
  <c r="C233" i="21"/>
  <c r="AK233" i="21" s="1"/>
  <c r="D95" i="21"/>
  <c r="D172" i="21"/>
  <c r="D245" i="21"/>
  <c r="C185" i="21"/>
  <c r="AK185" i="21" s="1"/>
  <c r="L42" i="27"/>
  <c r="L55" i="27"/>
  <c r="L204" i="27"/>
  <c r="L34" i="27"/>
  <c r="L111" i="27"/>
  <c r="L63" i="27"/>
  <c r="L53" i="27"/>
  <c r="L19" i="27"/>
  <c r="L62" i="27"/>
  <c r="R127" i="21"/>
  <c r="Q127" i="21"/>
  <c r="R103" i="21"/>
  <c r="Q103" i="21"/>
  <c r="R78" i="21"/>
  <c r="Q78" i="21"/>
  <c r="R64" i="21"/>
  <c r="Q64" i="21"/>
  <c r="Q40" i="21"/>
  <c r="R40" i="21"/>
  <c r="R243" i="21"/>
  <c r="Q243" i="21"/>
  <c r="R219" i="21"/>
  <c r="Q219" i="21"/>
  <c r="R182" i="21"/>
  <c r="Q182" i="21"/>
  <c r="D187" i="21"/>
  <c r="D183" i="21"/>
  <c r="C96" i="21"/>
  <c r="AK96" i="21" s="1"/>
  <c r="L65" i="27"/>
  <c r="L31" i="27"/>
  <c r="L72" i="27"/>
  <c r="L205" i="27"/>
  <c r="Q126" i="21"/>
  <c r="R126" i="21"/>
  <c r="Q89" i="21"/>
  <c r="R89" i="21"/>
  <c r="Q51" i="21"/>
  <c r="R51" i="21"/>
  <c r="Q254" i="21"/>
  <c r="R254" i="21"/>
  <c r="Q218" i="21"/>
  <c r="R218" i="21"/>
  <c r="Q194" i="21"/>
  <c r="R194" i="21"/>
  <c r="Q154" i="21"/>
  <c r="R154" i="21"/>
  <c r="C194" i="21"/>
  <c r="AK194" i="21" s="1"/>
  <c r="D194" i="21"/>
  <c r="C130" i="21"/>
  <c r="AK130" i="21" s="1"/>
  <c r="D41" i="21"/>
  <c r="D118" i="21"/>
  <c r="C103" i="21"/>
  <c r="AK103" i="21" s="1"/>
  <c r="L43" i="27"/>
  <c r="R137" i="21"/>
  <c r="Q137" i="21"/>
  <c r="R125" i="21"/>
  <c r="Q125" i="21"/>
  <c r="R101" i="21"/>
  <c r="Q101" i="21"/>
  <c r="R75" i="21"/>
  <c r="Q75" i="21"/>
  <c r="R50" i="21"/>
  <c r="Q50" i="21"/>
  <c r="R253" i="21"/>
  <c r="Q253" i="21"/>
  <c r="R136" i="21"/>
  <c r="Q136" i="21"/>
  <c r="R124" i="21"/>
  <c r="Q124" i="21"/>
  <c r="R112" i="21"/>
  <c r="Q112" i="21"/>
  <c r="R100" i="21"/>
  <c r="Q100" i="21"/>
  <c r="R87" i="21"/>
  <c r="Q87" i="21"/>
  <c r="Q73" i="21"/>
  <c r="R61" i="21"/>
  <c r="Q61" i="21"/>
  <c r="R49" i="21"/>
  <c r="Q49" i="21"/>
  <c r="R37" i="21"/>
  <c r="Q37" i="21"/>
  <c r="Q252" i="21"/>
  <c r="R252" i="21"/>
  <c r="R240" i="21"/>
  <c r="Q240" i="21"/>
  <c r="Q228" i="21"/>
  <c r="R228" i="21"/>
  <c r="Q216" i="21"/>
  <c r="R216" i="21"/>
  <c r="Q204" i="21"/>
  <c r="R204" i="21"/>
  <c r="R191" i="21"/>
  <c r="Q191" i="21"/>
  <c r="Q179" i="21"/>
  <c r="R179" i="21"/>
  <c r="Q167" i="21"/>
  <c r="R167" i="21"/>
  <c r="R152" i="21"/>
  <c r="Q152" i="21"/>
  <c r="D234" i="21"/>
  <c r="C59" i="21"/>
  <c r="AK59" i="21" s="1"/>
  <c r="C211" i="21"/>
  <c r="AK211" i="21" s="1"/>
  <c r="C129" i="21"/>
  <c r="AK129" i="21" s="1"/>
  <c r="C206" i="21"/>
  <c r="AK206" i="21" s="1"/>
  <c r="D54" i="21"/>
  <c r="D129" i="21"/>
  <c r="D206" i="21"/>
  <c r="C67" i="21"/>
  <c r="AK67" i="21" s="1"/>
  <c r="C142" i="21"/>
  <c r="AK142" i="21" s="1"/>
  <c r="C219" i="21"/>
  <c r="AK219" i="21" s="1"/>
  <c r="C30" i="21"/>
  <c r="AK30" i="21" s="1"/>
  <c r="D55" i="21"/>
  <c r="D207" i="21"/>
  <c r="C50" i="21"/>
  <c r="AK50" i="21" s="1"/>
  <c r="C125" i="21"/>
  <c r="AK125" i="21" s="1"/>
  <c r="C202" i="21"/>
  <c r="AK202" i="21" s="1"/>
  <c r="D50" i="21"/>
  <c r="D125" i="21"/>
  <c r="C89" i="21"/>
  <c r="AK89" i="21" s="1"/>
  <c r="C77" i="21"/>
  <c r="AK77" i="21" s="1"/>
  <c r="D102" i="21"/>
  <c r="C40" i="21"/>
  <c r="AK40" i="21" s="1"/>
  <c r="C115" i="21"/>
  <c r="AK115" i="21" s="1"/>
  <c r="C191" i="21"/>
  <c r="AK191" i="21" s="1"/>
  <c r="L54" i="27"/>
  <c r="L67" i="27"/>
  <c r="L32" i="27"/>
  <c r="L201" i="27"/>
  <c r="L26" i="27"/>
  <c r="L46" i="27"/>
  <c r="L203" i="27"/>
  <c r="L207" i="27"/>
  <c r="L20" i="27"/>
  <c r="L33" i="27"/>
  <c r="L229" i="27"/>
  <c r="L39" i="27"/>
  <c r="L61" i="27"/>
  <c r="R131" i="21"/>
  <c r="Q131" i="21"/>
  <c r="R107" i="21"/>
  <c r="Q107" i="21"/>
  <c r="R94" i="21"/>
  <c r="Q94" i="21"/>
  <c r="R68" i="21"/>
  <c r="Q68" i="21"/>
  <c r="R56" i="21"/>
  <c r="Q56" i="21"/>
  <c r="R32" i="21"/>
  <c r="Q32" i="21"/>
  <c r="Q247" i="21"/>
  <c r="R247" i="21"/>
  <c r="R235" i="21"/>
  <c r="Q235" i="21"/>
  <c r="Q223" i="21"/>
  <c r="R223" i="21"/>
  <c r="Q199" i="21"/>
  <c r="R199" i="21"/>
  <c r="R186" i="21"/>
  <c r="Q186" i="21"/>
  <c r="Q174" i="21"/>
  <c r="R174" i="21"/>
  <c r="R162" i="21"/>
  <c r="C163" i="21"/>
  <c r="AK163" i="21" s="1"/>
  <c r="D163" i="21"/>
  <c r="D236" i="21"/>
  <c r="R171" i="21"/>
  <c r="Q171" i="21"/>
  <c r="C186" i="21"/>
  <c r="AK186" i="21" s="1"/>
  <c r="R155" i="21"/>
  <c r="Q155" i="21"/>
  <c r="D139" i="21"/>
  <c r="C116" i="21"/>
  <c r="AK116" i="21" s="1"/>
  <c r="D32" i="21"/>
  <c r="R180" i="21"/>
  <c r="Q180" i="21"/>
  <c r="D78" i="21"/>
  <c r="Q29" i="21"/>
  <c r="R29" i="21"/>
  <c r="L84" i="27"/>
  <c r="L85" i="27"/>
  <c r="L86" i="27"/>
  <c r="L87" i="27"/>
  <c r="L88" i="27"/>
  <c r="L77" i="27"/>
  <c r="L76" i="27"/>
  <c r="L79" i="27"/>
  <c r="L80" i="27"/>
  <c r="L78" i="27"/>
  <c r="L81" i="27"/>
  <c r="L82" i="27"/>
  <c r="L75" i="27"/>
  <c r="L83" i="27"/>
  <c r="R135" i="21"/>
  <c r="Q135" i="21"/>
  <c r="Q123" i="21"/>
  <c r="R123" i="21"/>
  <c r="Q111" i="21"/>
  <c r="R111" i="21"/>
  <c r="Q98" i="21"/>
  <c r="R98" i="21"/>
  <c r="Q86" i="21"/>
  <c r="R86" i="21"/>
  <c r="Q72" i="21"/>
  <c r="R72" i="21"/>
  <c r="Q60" i="21"/>
  <c r="R60" i="21"/>
  <c r="R48" i="21"/>
  <c r="Q48" i="21"/>
  <c r="Q36" i="21"/>
  <c r="R36" i="21"/>
  <c r="Q251" i="21"/>
  <c r="R251" i="21"/>
  <c r="Q239" i="21"/>
  <c r="R239" i="21"/>
  <c r="Q227" i="21"/>
  <c r="R227" i="21"/>
  <c r="Q215" i="21"/>
  <c r="R215" i="21"/>
  <c r="Q203" i="21"/>
  <c r="R203" i="21"/>
  <c r="Q190" i="21"/>
  <c r="R190" i="21"/>
  <c r="Q178" i="21"/>
  <c r="R178" i="21"/>
  <c r="Q166" i="21"/>
  <c r="R166" i="21"/>
  <c r="Q151" i="21"/>
  <c r="R151" i="21"/>
  <c r="D90" i="21"/>
  <c r="D167" i="21"/>
  <c r="D240" i="21"/>
  <c r="C65" i="21"/>
  <c r="AK65" i="21" s="1"/>
  <c r="C140" i="21"/>
  <c r="AK140" i="21" s="1"/>
  <c r="C217" i="21"/>
  <c r="AK217" i="21" s="1"/>
  <c r="D104" i="21"/>
  <c r="D180" i="21"/>
  <c r="D253" i="21"/>
  <c r="C135" i="21"/>
  <c r="AK135" i="21" s="1"/>
  <c r="C212" i="21"/>
  <c r="AK212" i="21" s="1"/>
  <c r="D60" i="21"/>
  <c r="D135" i="21"/>
  <c r="D212" i="21"/>
  <c r="C73" i="21"/>
  <c r="AK73" i="21" s="1"/>
  <c r="C149" i="21"/>
  <c r="AK149" i="21" s="1"/>
  <c r="C66" i="21"/>
  <c r="AK66" i="21" s="1"/>
  <c r="D61" i="21"/>
  <c r="D136" i="21"/>
  <c r="C56" i="21"/>
  <c r="AK56" i="21" s="1"/>
  <c r="C131" i="21"/>
  <c r="AK131" i="21" s="1"/>
  <c r="C208" i="21"/>
  <c r="AK208" i="21" s="1"/>
  <c r="D56" i="21"/>
  <c r="D131" i="21"/>
  <c r="D208" i="21"/>
  <c r="C95" i="21"/>
  <c r="AK95" i="21" s="1"/>
  <c r="C172" i="21"/>
  <c r="AK172" i="21" s="1"/>
  <c r="C245" i="21"/>
  <c r="AK245" i="21" s="1"/>
  <c r="D33" i="21"/>
  <c r="D108" i="21"/>
  <c r="D184" i="21"/>
  <c r="L66" i="27"/>
  <c r="L199" i="27"/>
  <c r="L23" i="27"/>
  <c r="L50" i="27"/>
  <c r="L58" i="27"/>
  <c r="L110" i="27"/>
  <c r="L25" i="27"/>
  <c r="L52" i="27"/>
  <c r="L208" i="27"/>
  <c r="L200" i="27"/>
  <c r="C107" i="21"/>
  <c r="AK107" i="21" s="1"/>
  <c r="C183" i="21"/>
  <c r="AK183" i="21" s="1"/>
  <c r="D107" i="21"/>
  <c r="D83" i="21"/>
  <c r="L35" i="27"/>
  <c r="Q114" i="21"/>
  <c r="R114" i="21"/>
  <c r="Q63" i="21"/>
  <c r="R63" i="21"/>
  <c r="Q242" i="21"/>
  <c r="R242" i="21"/>
  <c r="Q181" i="21"/>
  <c r="R181" i="21"/>
  <c r="C199" i="21"/>
  <c r="AK199" i="21" s="1"/>
  <c r="D162" i="21"/>
  <c r="D235" i="21"/>
  <c r="C207" i="21"/>
  <c r="AK207" i="21" s="1"/>
  <c r="D195" i="21"/>
  <c r="C45" i="21"/>
  <c r="AK45" i="21" s="1"/>
  <c r="D89" i="21"/>
  <c r="L30" i="27"/>
  <c r="R147" i="21"/>
  <c r="Q147" i="21"/>
  <c r="R134" i="21"/>
  <c r="Q134" i="21"/>
  <c r="R122" i="21"/>
  <c r="Q122" i="21"/>
  <c r="R110" i="21"/>
  <c r="Q110" i="21"/>
  <c r="R97" i="21"/>
  <c r="Q97" i="21"/>
  <c r="R85" i="21"/>
  <c r="Q85" i="21"/>
  <c r="R71" i="21"/>
  <c r="Q71" i="21"/>
  <c r="R59" i="21"/>
  <c r="Q59" i="21"/>
  <c r="R47" i="21"/>
  <c r="Q47" i="21"/>
  <c r="R35" i="21"/>
  <c r="Q35" i="21"/>
  <c r="R250" i="21"/>
  <c r="Q250" i="21"/>
  <c r="R238" i="21"/>
  <c r="Q238" i="21"/>
  <c r="R226" i="21"/>
  <c r="Q226" i="21"/>
  <c r="R214" i="21"/>
  <c r="Q214" i="21"/>
  <c r="R202" i="21"/>
  <c r="Q202" i="21"/>
  <c r="R189" i="21"/>
  <c r="Q189" i="21"/>
  <c r="R177" i="21"/>
  <c r="Q177" i="21"/>
  <c r="R165" i="21"/>
  <c r="Q165" i="21"/>
  <c r="R150" i="21"/>
  <c r="Q150" i="21"/>
  <c r="D173" i="21"/>
  <c r="C71" i="21"/>
  <c r="AK71" i="21" s="1"/>
  <c r="C147" i="21"/>
  <c r="C16" i="21" s="1"/>
  <c r="C223" i="21"/>
  <c r="AK223" i="21" s="1"/>
  <c r="D110" i="21"/>
  <c r="D186" i="21"/>
  <c r="C141" i="21"/>
  <c r="AK141" i="21" s="1"/>
  <c r="C218" i="21"/>
  <c r="AK218" i="21" s="1"/>
  <c r="D66" i="21"/>
  <c r="D141" i="21"/>
  <c r="D218" i="21"/>
  <c r="C81" i="21"/>
  <c r="AK81" i="21" s="1"/>
  <c r="C155" i="21"/>
  <c r="AK155" i="21" s="1"/>
  <c r="C231" i="21"/>
  <c r="AK231" i="21" s="1"/>
  <c r="D48" i="21"/>
  <c r="D142" i="21"/>
  <c r="D219" i="21"/>
  <c r="C62" i="21"/>
  <c r="AK62" i="21" s="1"/>
  <c r="C137" i="21"/>
  <c r="AK137" i="21" s="1"/>
  <c r="C214" i="21"/>
  <c r="AK214" i="21" s="1"/>
  <c r="C42" i="21"/>
  <c r="AK42" i="21" s="1"/>
  <c r="D62" i="21"/>
  <c r="D137" i="21"/>
  <c r="D214" i="21"/>
  <c r="C102" i="21"/>
  <c r="AK102" i="21" s="1"/>
  <c r="C178" i="21"/>
  <c r="AK178" i="21" s="1"/>
  <c r="C251" i="21"/>
  <c r="AK251" i="21" s="1"/>
  <c r="D39" i="21"/>
  <c r="D114" i="21"/>
  <c r="D190" i="21"/>
  <c r="C52" i="21"/>
  <c r="AK52" i="21" s="1"/>
  <c r="C127" i="21"/>
  <c r="AK127" i="21" s="1"/>
  <c r="C204" i="21"/>
  <c r="AK204" i="21" s="1"/>
  <c r="L14" i="27"/>
  <c r="L210" i="27"/>
  <c r="L211" i="27"/>
  <c r="L59" i="27"/>
  <c r="L74" i="27"/>
  <c r="L70" i="27"/>
  <c r="L60" i="27"/>
  <c r="L37" i="27"/>
  <c r="C82" i="21"/>
  <c r="AK82" i="21" s="1"/>
  <c r="D82" i="21"/>
  <c r="D132" i="21"/>
  <c r="L44" i="27"/>
  <c r="L202" i="27"/>
  <c r="L73" i="27"/>
  <c r="R130" i="21"/>
  <c r="Q130" i="21"/>
  <c r="R106" i="21"/>
  <c r="Q106" i="21"/>
  <c r="R93" i="21"/>
  <c r="Q93" i="21"/>
  <c r="R67" i="21"/>
  <c r="Q67" i="21"/>
  <c r="R43" i="21"/>
  <c r="Q43" i="21"/>
  <c r="Q246" i="21"/>
  <c r="R246" i="21"/>
  <c r="R222" i="21"/>
  <c r="Q222" i="21"/>
  <c r="R198" i="21"/>
  <c r="Q198" i="21"/>
  <c r="R161" i="21"/>
  <c r="C106" i="21"/>
  <c r="AK106" i="21" s="1"/>
  <c r="C55" i="21"/>
  <c r="AK55" i="21" s="1"/>
  <c r="R128" i="21"/>
  <c r="Q128" i="21"/>
  <c r="R91" i="21"/>
  <c r="Q91" i="21"/>
  <c r="R53" i="21"/>
  <c r="Q53" i="21"/>
  <c r="R232" i="21"/>
  <c r="Q232" i="21"/>
  <c r="D210" i="21"/>
  <c r="R146" i="21"/>
  <c r="Q146" i="21"/>
  <c r="R133" i="21"/>
  <c r="Q133" i="21"/>
  <c r="R121" i="21"/>
  <c r="Q121" i="21"/>
  <c r="R109" i="21"/>
  <c r="Q109" i="21"/>
  <c r="Q96" i="21"/>
  <c r="R96" i="21"/>
  <c r="R84" i="21"/>
  <c r="Q84" i="21"/>
  <c r="R70" i="21"/>
  <c r="Q70" i="21"/>
  <c r="R58" i="21"/>
  <c r="Q58" i="21"/>
  <c r="R46" i="21"/>
  <c r="Q46" i="21"/>
  <c r="Q34" i="21"/>
  <c r="R34" i="21"/>
  <c r="R249" i="21"/>
  <c r="Q249" i="21"/>
  <c r="R237" i="21"/>
  <c r="Q237" i="21"/>
  <c r="R225" i="21"/>
  <c r="Q225" i="21"/>
  <c r="R213" i="21"/>
  <c r="Q213" i="21"/>
  <c r="R201" i="21"/>
  <c r="Q201" i="21"/>
  <c r="R188" i="21"/>
  <c r="Q188" i="21"/>
  <c r="R176" i="21"/>
  <c r="Q176" i="21"/>
  <c r="R164" i="21"/>
  <c r="R255" i="21"/>
  <c r="Q255" i="21"/>
  <c r="D103" i="21"/>
  <c r="D179" i="21"/>
  <c r="D252" i="21"/>
  <c r="C79" i="21"/>
  <c r="AK79" i="21" s="1"/>
  <c r="C153" i="21"/>
  <c r="AK153" i="21" s="1"/>
  <c r="C229" i="21"/>
  <c r="AK229" i="21" s="1"/>
  <c r="D116" i="21"/>
  <c r="D193" i="21"/>
  <c r="C148" i="21"/>
  <c r="AK148" i="21" s="1"/>
  <c r="C224" i="21"/>
  <c r="AK224" i="21" s="1"/>
  <c r="D72" i="21"/>
  <c r="D148" i="21"/>
  <c r="D224" i="21"/>
  <c r="C87" i="21"/>
  <c r="AK87" i="21" s="1"/>
  <c r="C164" i="21"/>
  <c r="AK164" i="21" s="1"/>
  <c r="C237" i="21"/>
  <c r="AK237" i="21" s="1"/>
  <c r="C31" i="21"/>
  <c r="AK31" i="21" s="1"/>
  <c r="D73" i="21"/>
  <c r="D149" i="21"/>
  <c r="D225" i="21"/>
  <c r="C68" i="21"/>
  <c r="AK68" i="21" s="1"/>
  <c r="C143" i="21"/>
  <c r="AK143" i="21" s="1"/>
  <c r="C220" i="21"/>
  <c r="AK220" i="21" s="1"/>
  <c r="C60" i="21"/>
  <c r="AK60" i="21" s="1"/>
  <c r="D68" i="21"/>
  <c r="D143" i="21"/>
  <c r="D220" i="21"/>
  <c r="D79" i="21"/>
  <c r="C108" i="21"/>
  <c r="AK108" i="21" s="1"/>
  <c r="C184" i="21"/>
  <c r="AK184" i="21" s="1"/>
  <c r="D45" i="21"/>
  <c r="D120" i="21"/>
  <c r="D197" i="21"/>
  <c r="C58" i="21"/>
  <c r="AK58" i="21" s="1"/>
  <c r="C133" i="21"/>
  <c r="AK133" i="21" s="1"/>
  <c r="C210" i="21"/>
  <c r="AK210" i="21" s="1"/>
  <c r="L115" i="27"/>
  <c r="L68" i="27"/>
  <c r="L21" i="27"/>
  <c r="L71" i="27"/>
  <c r="L113" i="27"/>
  <c r="L49" i="27"/>
  <c r="V16" i="21" l="1"/>
  <c r="AK147" i="21"/>
  <c r="C11" i="21"/>
  <c r="V11" i="21" s="1"/>
  <c r="C6" i="21"/>
  <c r="V6" i="21" s="1"/>
  <c r="C10" i="21"/>
  <c r="V10" i="21" s="1"/>
  <c r="N5" i="15" l="1"/>
  <c r="B10" i="15"/>
  <c r="J10" i="21" l="1"/>
  <c r="J8" i="21"/>
  <c r="J7" i="21"/>
  <c r="J5" i="21"/>
  <c r="J6" i="21"/>
  <c r="J9" i="21"/>
  <c r="J11" i="21"/>
  <c r="J12" i="21"/>
  <c r="J13" i="21"/>
  <c r="J14" i="21"/>
  <c r="J15" i="21"/>
  <c r="J16" i="21"/>
  <c r="J4" i="21"/>
  <c r="C15" i="21"/>
  <c r="V15" i="21" s="1"/>
  <c r="C14" i="21"/>
  <c r="V14" i="21" s="1"/>
  <c r="C13" i="21"/>
  <c r="V13" i="21" s="1"/>
  <c r="C12" i="21"/>
  <c r="C9" i="21"/>
  <c r="C8" i="21"/>
  <c r="C7" i="21"/>
  <c r="V7" i="21" s="1"/>
  <c r="C4" i="21"/>
  <c r="V4" i="21" s="1"/>
  <c r="V12" i="21" l="1"/>
  <c r="V9" i="21"/>
  <c r="V8" i="21"/>
  <c r="W6" i="21"/>
  <c r="X6" i="21" s="1"/>
  <c r="W10" i="21"/>
  <c r="X10" i="21" s="1"/>
  <c r="W16" i="21"/>
  <c r="X16" i="21" s="1"/>
  <c r="W5" i="21"/>
  <c r="X5" i="21" s="1"/>
  <c r="C17" i="21"/>
  <c r="C19" i="21" s="1"/>
  <c r="K17" i="21"/>
  <c r="J17" i="21"/>
  <c r="J19" i="21" s="1"/>
  <c r="V17" i="21" l="1"/>
  <c r="U17" i="21"/>
  <c r="T17" i="21"/>
  <c r="S17" i="21"/>
  <c r="Q17" i="21"/>
  <c r="P17" i="21"/>
  <c r="O17" i="21"/>
  <c r="N17" i="21"/>
  <c r="W7" i="21"/>
  <c r="X7" i="21" s="1"/>
  <c r="W15" i="21"/>
  <c r="X15" i="21" s="1"/>
  <c r="W14" i="21"/>
  <c r="X14" i="21" s="1"/>
  <c r="W13" i="21"/>
  <c r="X13" i="21" s="1"/>
  <c r="M17" i="21"/>
  <c r="W9" i="21"/>
  <c r="X9" i="21" s="1"/>
  <c r="W4" i="21"/>
  <c r="X4" i="21" s="1"/>
  <c r="W8" i="21"/>
  <c r="X8" i="21" s="1"/>
  <c r="W12" i="21"/>
  <c r="X12" i="21" s="1"/>
  <c r="W11" i="21"/>
  <c r="X11" i="21" s="1"/>
  <c r="L17" i="21"/>
  <c r="W17" i="21" l="1"/>
  <c r="X17" i="21" s="1"/>
  <c r="B4" i="57" l="1"/>
  <c r="C19" i="57" l="1"/>
  <c r="C28" i="57"/>
  <c r="C14" i="57"/>
  <c r="C25" i="57"/>
  <c r="C26" i="57"/>
  <c r="C32" i="57"/>
  <c r="C13" i="57"/>
  <c r="C16" i="57"/>
  <c r="C15" i="57"/>
  <c r="C27" i="57"/>
  <c r="C22" i="57"/>
  <c r="C29" i="57"/>
  <c r="C33" i="57"/>
  <c r="C30" i="57"/>
  <c r="C34" i="57"/>
  <c r="C17" i="57"/>
  <c r="C18" i="57"/>
  <c r="C20" i="57"/>
  <c r="C23" i="57"/>
  <c r="C36" i="57"/>
  <c r="C4" i="53"/>
  <c r="C9" i="57"/>
  <c r="C10" i="57"/>
  <c r="C12" i="57"/>
  <c r="C11" i="57"/>
  <c r="C7" i="57"/>
  <c r="C8" i="57"/>
  <c r="C4" i="55"/>
  <c r="G12" i="55" s="1"/>
  <c r="T4" i="55" s="1"/>
  <c r="T5" i="55" s="1"/>
  <c r="T6" i="55" s="1"/>
  <c r="V6" i="55" s="1"/>
  <c r="Q4" i="57"/>
  <c r="P18" i="15"/>
  <c r="P29" i="15"/>
  <c r="P37" i="15"/>
  <c r="P10" i="15"/>
  <c r="R29" i="57" l="1"/>
  <c r="AF29" i="57" s="1"/>
  <c r="R26" i="57"/>
  <c r="AF26" i="57" s="1"/>
  <c r="R28" i="57"/>
  <c r="AF28" i="57" s="1"/>
  <c r="R33" i="57"/>
  <c r="AF33" i="57" s="1"/>
  <c r="R19" i="57"/>
  <c r="AF19" i="57" s="1"/>
  <c r="AD27" i="57"/>
  <c r="R22" i="57"/>
  <c r="AF22" i="57" s="1"/>
  <c r="R13" i="57"/>
  <c r="AF13" i="57" s="1"/>
  <c r="R15" i="57"/>
  <c r="AF15" i="57" s="1"/>
  <c r="R32" i="57"/>
  <c r="AF32" i="57" s="1"/>
  <c r="R27" i="57"/>
  <c r="AF27" i="57" s="1"/>
  <c r="AD32" i="57"/>
  <c r="R25" i="57"/>
  <c r="AF25" i="57" s="1"/>
  <c r="R34" i="57"/>
  <c r="AF34" i="57" s="1"/>
  <c r="AD28" i="57"/>
  <c r="AD16" i="57"/>
  <c r="R14" i="57"/>
  <c r="AF14" i="57" s="1"/>
  <c r="AD26" i="57"/>
  <c r="AD15" i="57"/>
  <c r="AD33" i="57"/>
  <c r="AD29" i="57"/>
  <c r="AD34" i="57"/>
  <c r="AD22" i="57"/>
  <c r="AD19" i="57"/>
  <c r="R30" i="57"/>
  <c r="AF30" i="57" s="1"/>
  <c r="AD12" i="57"/>
  <c r="AD8" i="57"/>
  <c r="F4" i="53"/>
  <c r="L4" i="53" s="1"/>
  <c r="E4" i="57"/>
  <c r="E5" i="57" s="1"/>
  <c r="D25" i="53"/>
  <c r="D8" i="53"/>
  <c r="D24" i="53"/>
  <c r="D9" i="53"/>
  <c r="D26" i="53"/>
  <c r="D7" i="53"/>
  <c r="D10" i="53"/>
  <c r="D12" i="53"/>
  <c r="D31" i="53"/>
  <c r="D13" i="53"/>
  <c r="D15" i="53"/>
  <c r="D11" i="53"/>
  <c r="D17" i="53"/>
  <c r="D16" i="53"/>
  <c r="D14" i="53"/>
  <c r="D27" i="53"/>
  <c r="D32" i="53"/>
  <c r="D29" i="53"/>
  <c r="D28" i="53"/>
  <c r="D33" i="53"/>
  <c r="D21" i="53"/>
  <c r="D19" i="53"/>
  <c r="D20" i="53"/>
  <c r="D18" i="53"/>
  <c r="D35" i="53"/>
  <c r="D22" i="53"/>
  <c r="R9" i="57"/>
  <c r="AF9" i="57" s="1"/>
  <c r="R7" i="57"/>
  <c r="AF7" i="57" s="1"/>
  <c r="R8" i="57"/>
  <c r="AF8" i="57" s="1"/>
  <c r="R12" i="57"/>
  <c r="AF12" i="57" s="1"/>
  <c r="R11" i="57"/>
  <c r="AF11" i="57" s="1"/>
  <c r="R10" i="57"/>
  <c r="AF10" i="57" s="1"/>
  <c r="V5" i="55"/>
  <c r="V7" i="55" s="1"/>
  <c r="Q37" i="15"/>
  <c r="Q18" i="15"/>
  <c r="Q10" i="15"/>
  <c r="Q29" i="15"/>
  <c r="P39" i="15"/>
  <c r="P20" i="15"/>
  <c r="I14" i="17"/>
  <c r="F14" i="17"/>
  <c r="E14" i="17"/>
  <c r="D14" i="17"/>
  <c r="C14" i="17"/>
  <c r="G13" i="17"/>
  <c r="K13" i="17" s="1"/>
  <c r="G12" i="17"/>
  <c r="K12" i="17" s="1"/>
  <c r="K11" i="17"/>
  <c r="G11" i="17"/>
  <c r="G10" i="17"/>
  <c r="K10" i="17" s="1"/>
  <c r="G9" i="17"/>
  <c r="K9" i="17" s="1"/>
  <c r="G8" i="17"/>
  <c r="K8" i="17" s="1"/>
  <c r="G7" i="17"/>
  <c r="K7" i="17" s="1"/>
  <c r="G6" i="17"/>
  <c r="K6" i="17" s="1"/>
  <c r="G5" i="17"/>
  <c r="K5" i="17" s="1"/>
  <c r="G4" i="17"/>
  <c r="K4" i="17" s="1"/>
  <c r="I1" i="6"/>
  <c r="D7" i="16"/>
  <c r="AE27" i="57" l="1"/>
  <c r="AE32" i="57"/>
  <c r="AE34" i="57"/>
  <c r="AE22" i="57"/>
  <c r="AE19" i="57"/>
  <c r="AE28" i="57"/>
  <c r="AE33" i="57"/>
  <c r="AE15" i="57"/>
  <c r="AE26" i="57"/>
  <c r="AE29" i="57"/>
  <c r="AE12" i="57"/>
  <c r="AE8" i="57"/>
  <c r="G19" i="53"/>
  <c r="G25" i="53"/>
  <c r="G24" i="53"/>
  <c r="G9" i="53"/>
  <c r="G8" i="53"/>
  <c r="G26" i="53"/>
  <c r="G12" i="53"/>
  <c r="G11" i="53"/>
  <c r="G32" i="53"/>
  <c r="G28" i="53"/>
  <c r="G13" i="53"/>
  <c r="G15" i="53"/>
  <c r="G21" i="53"/>
  <c r="G27" i="53"/>
  <c r="G14" i="53"/>
  <c r="G7" i="53"/>
  <c r="G10" i="53"/>
  <c r="G29" i="53"/>
  <c r="G31" i="53"/>
  <c r="G33" i="53"/>
  <c r="Q39" i="15"/>
  <c r="Q20" i="15"/>
  <c r="K14" i="17"/>
  <c r="G14" i="17"/>
  <c r="E7" i="16" l="1"/>
  <c r="F7" i="16"/>
  <c r="G7" i="16"/>
  <c r="H7" i="16"/>
  <c r="I7" i="16"/>
  <c r="J7" i="16"/>
  <c r="K7" i="16"/>
  <c r="L7" i="16"/>
  <c r="M7" i="16"/>
  <c r="N7" i="16"/>
  <c r="O7" i="16"/>
  <c r="P7" i="16"/>
  <c r="C57" i="15" l="1"/>
  <c r="D57" i="15"/>
  <c r="E57" i="15"/>
  <c r="F57" i="15"/>
  <c r="G57" i="15"/>
  <c r="H57" i="15"/>
  <c r="I57" i="15"/>
  <c r="J57" i="15"/>
  <c r="K57" i="15"/>
  <c r="L57" i="15"/>
  <c r="M57" i="15"/>
  <c r="B57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M49" i="15"/>
  <c r="O58" i="87" s="1"/>
  <c r="L49" i="15"/>
  <c r="N58" i="87" s="1"/>
  <c r="K49" i="15"/>
  <c r="M58" i="87" s="1"/>
  <c r="J49" i="15"/>
  <c r="L58" i="87" s="1"/>
  <c r="I49" i="15"/>
  <c r="K58" i="87" s="1"/>
  <c r="H49" i="15"/>
  <c r="J58" i="87" s="1"/>
  <c r="G49" i="15"/>
  <c r="F49" i="15"/>
  <c r="E49" i="15"/>
  <c r="D49" i="15"/>
  <c r="C49" i="15"/>
  <c r="B49" i="15"/>
  <c r="B44" i="15"/>
  <c r="C44" i="15"/>
  <c r="D44" i="15"/>
  <c r="E44" i="15"/>
  <c r="F44" i="15"/>
  <c r="G44" i="15"/>
  <c r="H44" i="15"/>
  <c r="I44" i="15"/>
  <c r="J44" i="15"/>
  <c r="K44" i="15"/>
  <c r="L44" i="15"/>
  <c r="M44" i="15"/>
  <c r="B45" i="15"/>
  <c r="C45" i="15"/>
  <c r="D45" i="15"/>
  <c r="E45" i="15"/>
  <c r="F45" i="15"/>
  <c r="H45" i="15"/>
  <c r="I45" i="15"/>
  <c r="J45" i="15"/>
  <c r="K45" i="15"/>
  <c r="L45" i="15"/>
  <c r="M45" i="15"/>
  <c r="B46" i="15"/>
  <c r="C46" i="15"/>
  <c r="D46" i="15"/>
  <c r="E46" i="15"/>
  <c r="F46" i="15"/>
  <c r="G46" i="15"/>
  <c r="H46" i="15"/>
  <c r="I46" i="15"/>
  <c r="J46" i="15"/>
  <c r="K46" i="15"/>
  <c r="L46" i="15"/>
  <c r="M46" i="15"/>
  <c r="B47" i="15"/>
  <c r="C47" i="15"/>
  <c r="D47" i="15"/>
  <c r="E47" i="15"/>
  <c r="F47" i="15"/>
  <c r="J9" i="57" s="1"/>
  <c r="G47" i="15"/>
  <c r="H47" i="15"/>
  <c r="I47" i="15"/>
  <c r="J47" i="15"/>
  <c r="K47" i="15"/>
  <c r="L47" i="15"/>
  <c r="M47" i="15"/>
  <c r="C43" i="15"/>
  <c r="D43" i="15"/>
  <c r="E43" i="15"/>
  <c r="F43" i="15"/>
  <c r="G43" i="15"/>
  <c r="H43" i="15"/>
  <c r="I61" i="86" s="1"/>
  <c r="I64" i="86" s="1"/>
  <c r="I67" i="86" s="1"/>
  <c r="I43" i="15"/>
  <c r="J61" i="86" s="1"/>
  <c r="J64" i="86" s="1"/>
  <c r="J67" i="86" s="1"/>
  <c r="J43" i="15"/>
  <c r="K61" i="86" s="1"/>
  <c r="K64" i="86" s="1"/>
  <c r="K67" i="86" s="1"/>
  <c r="K43" i="15"/>
  <c r="L61" i="86" s="1"/>
  <c r="L67" i="86" s="1"/>
  <c r="L43" i="15"/>
  <c r="M61" i="86" s="1"/>
  <c r="M64" i="86" s="1"/>
  <c r="M67" i="86" s="1"/>
  <c r="M43" i="15"/>
  <c r="N61" i="86" s="1"/>
  <c r="N64" i="86" s="1"/>
  <c r="N67" i="86" s="1"/>
  <c r="B43" i="15"/>
  <c r="N30" i="15"/>
  <c r="N38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N36" i="15"/>
  <c r="N35" i="15"/>
  <c r="N34" i="15"/>
  <c r="N33" i="15"/>
  <c r="N32" i="15"/>
  <c r="N31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N28" i="15"/>
  <c r="N27" i="15"/>
  <c r="N26" i="15"/>
  <c r="N25" i="15"/>
  <c r="N24" i="15"/>
  <c r="N19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B20" i="15" s="1"/>
  <c r="N17" i="15"/>
  <c r="N16" i="15"/>
  <c r="N15" i="15"/>
  <c r="N14" i="15"/>
  <c r="N13" i="15"/>
  <c r="N12" i="15"/>
  <c r="N11" i="15"/>
  <c r="M10" i="15"/>
  <c r="L10" i="15"/>
  <c r="L20" i="15" s="1"/>
  <c r="K10" i="15"/>
  <c r="J10" i="15"/>
  <c r="I10" i="15"/>
  <c r="H10" i="15"/>
  <c r="G10" i="15"/>
  <c r="F10" i="15"/>
  <c r="E10" i="15"/>
  <c r="D10" i="15"/>
  <c r="C10" i="15"/>
  <c r="N9" i="15"/>
  <c r="N8" i="15"/>
  <c r="N7" i="15"/>
  <c r="N6" i="15"/>
  <c r="K1" i="6"/>
  <c r="J11" i="57" l="1"/>
  <c r="K11" i="57" s="1"/>
  <c r="J11" i="65"/>
  <c r="I58" i="87"/>
  <c r="J14" i="57"/>
  <c r="P14" i="57" s="1"/>
  <c r="J14" i="65"/>
  <c r="K59" i="87"/>
  <c r="K64" i="87" s="1"/>
  <c r="K61" i="87"/>
  <c r="L61" i="87"/>
  <c r="L59" i="87"/>
  <c r="L64" i="87" s="1"/>
  <c r="J13" i="57"/>
  <c r="P13" i="57" s="1"/>
  <c r="Y13" i="57" s="1"/>
  <c r="J13" i="65"/>
  <c r="J26" i="65"/>
  <c r="N59" i="87"/>
  <c r="N64" i="87" s="1"/>
  <c r="N61" i="87"/>
  <c r="J61" i="87"/>
  <c r="J59" i="87"/>
  <c r="J64" i="87"/>
  <c r="M59" i="87"/>
  <c r="M61" i="87"/>
  <c r="M64" i="87"/>
  <c r="O61" i="87"/>
  <c r="O59" i="87"/>
  <c r="J24" i="65"/>
  <c r="J7" i="57"/>
  <c r="J10" i="57" s="1"/>
  <c r="J7" i="65"/>
  <c r="H61" i="86"/>
  <c r="K20" i="15"/>
  <c r="J30" i="57"/>
  <c r="P25" i="57"/>
  <c r="S25" i="57"/>
  <c r="AD25" i="57"/>
  <c r="AE25" i="57" s="1"/>
  <c r="J39" i="15"/>
  <c r="P9" i="57"/>
  <c r="Y9" i="57" s="1"/>
  <c r="S9" i="57"/>
  <c r="AD9" i="57"/>
  <c r="AE9" i="57" s="1"/>
  <c r="F56" i="15"/>
  <c r="P49" i="15"/>
  <c r="Q49" i="15"/>
  <c r="P53" i="15"/>
  <c r="Q53" i="15"/>
  <c r="P57" i="15"/>
  <c r="Q57" i="15"/>
  <c r="P43" i="15"/>
  <c r="Q43" i="15"/>
  <c r="P50" i="15"/>
  <c r="Q50" i="15"/>
  <c r="P51" i="15"/>
  <c r="Q51" i="15"/>
  <c r="P52" i="15"/>
  <c r="Q52" i="15"/>
  <c r="P54" i="15"/>
  <c r="Q54" i="15"/>
  <c r="P55" i="15"/>
  <c r="Q55" i="15"/>
  <c r="P47" i="15"/>
  <c r="Q47" i="15"/>
  <c r="P46" i="15"/>
  <c r="Q46" i="15"/>
  <c r="P45" i="15"/>
  <c r="Q45" i="15"/>
  <c r="P44" i="15"/>
  <c r="Q44" i="15"/>
  <c r="E56" i="15"/>
  <c r="G56" i="15"/>
  <c r="I20" i="15"/>
  <c r="J20" i="15"/>
  <c r="C39" i="15"/>
  <c r="H20" i="15"/>
  <c r="M56" i="15"/>
  <c r="M39" i="15"/>
  <c r="L39" i="15"/>
  <c r="L48" i="15"/>
  <c r="K39" i="15"/>
  <c r="K56" i="15"/>
  <c r="J56" i="15"/>
  <c r="N57" i="15"/>
  <c r="C20" i="15"/>
  <c r="D20" i="15"/>
  <c r="E20" i="15"/>
  <c r="D39" i="15"/>
  <c r="F20" i="15"/>
  <c r="E39" i="15"/>
  <c r="M20" i="15"/>
  <c r="G20" i="15"/>
  <c r="I39" i="15"/>
  <c r="I56" i="15"/>
  <c r="H39" i="15"/>
  <c r="H56" i="15"/>
  <c r="H48" i="15"/>
  <c r="G39" i="15"/>
  <c r="F39" i="15"/>
  <c r="N55" i="15"/>
  <c r="N54" i="15"/>
  <c r="D56" i="15"/>
  <c r="N44" i="15"/>
  <c r="C56" i="15"/>
  <c r="B56" i="15"/>
  <c r="N45" i="15"/>
  <c r="B48" i="15"/>
  <c r="B39" i="15"/>
  <c r="L56" i="15"/>
  <c r="N50" i="15"/>
  <c r="N51" i="15"/>
  <c r="N52" i="15"/>
  <c r="N53" i="15"/>
  <c r="N47" i="15"/>
  <c r="E48" i="15"/>
  <c r="C48" i="15"/>
  <c r="J48" i="15"/>
  <c r="N46" i="15"/>
  <c r="G48" i="15"/>
  <c r="N43" i="15"/>
  <c r="M48" i="15"/>
  <c r="I48" i="15"/>
  <c r="C1" i="6"/>
  <c r="N49" i="15"/>
  <c r="K48" i="15"/>
  <c r="F48" i="15"/>
  <c r="D48" i="15"/>
  <c r="N37" i="15"/>
  <c r="N29" i="15"/>
  <c r="N18" i="15"/>
  <c r="N10" i="15"/>
  <c r="M1" i="6"/>
  <c r="J17" i="57" l="1"/>
  <c r="J18" i="57" s="1"/>
  <c r="AD13" i="57"/>
  <c r="AE13" i="57" s="1"/>
  <c r="S13" i="57"/>
  <c r="O64" i="87"/>
  <c r="K17" i="57"/>
  <c r="K18" i="57" s="1"/>
  <c r="K20" i="57" s="1"/>
  <c r="K23" i="57" s="1"/>
  <c r="K36" i="57" s="1"/>
  <c r="AD11" i="57"/>
  <c r="AE11" i="57" s="1"/>
  <c r="P11" i="57"/>
  <c r="Y11" i="57" s="1"/>
  <c r="S11" i="57"/>
  <c r="K14" i="65"/>
  <c r="P14" i="65" s="1"/>
  <c r="W14" i="66"/>
  <c r="K11" i="65" s="1"/>
  <c r="AD14" i="57"/>
  <c r="AE14" i="57" s="1"/>
  <c r="K26" i="65"/>
  <c r="P26" i="65" s="1"/>
  <c r="J17" i="65"/>
  <c r="I61" i="87"/>
  <c r="I59" i="87"/>
  <c r="I64" i="87" s="1"/>
  <c r="S14" i="57"/>
  <c r="K13" i="65"/>
  <c r="P13" i="65" s="1"/>
  <c r="AD7" i="57"/>
  <c r="AE7" i="57" s="1"/>
  <c r="S7" i="57"/>
  <c r="P7" i="57"/>
  <c r="P10" i="57" s="1"/>
  <c r="H64" i="86"/>
  <c r="W10" i="66" s="1"/>
  <c r="J10" i="65"/>
  <c r="K24" i="65"/>
  <c r="J29" i="65"/>
  <c r="Y25" i="57"/>
  <c r="P30" i="57"/>
  <c r="Y30" i="57" s="1"/>
  <c r="S30" i="57"/>
  <c r="AD30" i="57"/>
  <c r="AE30" i="57" s="1"/>
  <c r="E58" i="15"/>
  <c r="Y14" i="57"/>
  <c r="S10" i="57"/>
  <c r="AD10" i="57"/>
  <c r="AE10" i="57" s="1"/>
  <c r="F58" i="15"/>
  <c r="G58" i="15"/>
  <c r="B58" i="15"/>
  <c r="H58" i="15"/>
  <c r="J58" i="15"/>
  <c r="D58" i="15"/>
  <c r="K58" i="15"/>
  <c r="M58" i="15"/>
  <c r="L58" i="15"/>
  <c r="N20" i="15"/>
  <c r="V9" i="6"/>
  <c r="I58" i="15"/>
  <c r="N56" i="15"/>
  <c r="N39" i="15"/>
  <c r="Q48" i="15"/>
  <c r="P48" i="15"/>
  <c r="C58" i="15"/>
  <c r="P56" i="15"/>
  <c r="Q56" i="15"/>
  <c r="N48" i="15"/>
  <c r="P17" i="57" l="1"/>
  <c r="Y17" i="57" s="1"/>
  <c r="Y7" i="57"/>
  <c r="AD17" i="57"/>
  <c r="K17" i="65"/>
  <c r="J18" i="65"/>
  <c r="J20" i="65" s="1"/>
  <c r="J22" i="65" s="1"/>
  <c r="J35" i="65" s="1"/>
  <c r="W20" i="66"/>
  <c r="AA14" i="66"/>
  <c r="K29" i="65"/>
  <c r="P11" i="65"/>
  <c r="P17" i="65" s="1"/>
  <c r="P24" i="65"/>
  <c r="P29" i="65" s="1"/>
  <c r="H67" i="86"/>
  <c r="K7" i="65"/>
  <c r="AA10" i="66"/>
  <c r="W13" i="66"/>
  <c r="J20" i="57"/>
  <c r="AD18" i="57"/>
  <c r="Y10" i="57"/>
  <c r="N58" i="15"/>
  <c r="P58" i="15"/>
  <c r="Q58" i="15"/>
  <c r="P18" i="57" l="1"/>
  <c r="Y18" i="57" s="1"/>
  <c r="W21" i="66"/>
  <c r="W23" i="66" s="1"/>
  <c r="W25" i="66" s="1"/>
  <c r="W38" i="66" s="1"/>
  <c r="W41" i="66" s="1"/>
  <c r="W43" i="66" s="1"/>
  <c r="X43" i="66" s="1"/>
  <c r="X45" i="66" s="1"/>
  <c r="AA13" i="66"/>
  <c r="K10" i="65"/>
  <c r="K18" i="65" s="1"/>
  <c r="K20" i="65" s="1"/>
  <c r="K22" i="65" s="1"/>
  <c r="K35" i="65" s="1"/>
  <c r="P7" i="65"/>
  <c r="P10" i="65" s="1"/>
  <c r="P18" i="65" s="1"/>
  <c r="P20" i="65" s="1"/>
  <c r="P22" i="65" s="1"/>
  <c r="P35" i="65" s="1"/>
  <c r="J23" i="57"/>
  <c r="AD20" i="57"/>
  <c r="P20" i="57" l="1"/>
  <c r="Y20" i="57" s="1"/>
  <c r="J36" i="57"/>
  <c r="AD23" i="57"/>
  <c r="P23" i="57" l="1"/>
  <c r="P36" i="57" s="1"/>
  <c r="AD36" i="57"/>
  <c r="S22" i="6"/>
  <c r="S26" i="6"/>
  <c r="Y23" i="57" l="1"/>
  <c r="Y36" i="57"/>
  <c r="S27" i="6"/>
  <c r="H12" i="72"/>
  <c r="G126" i="5" s="1"/>
  <c r="O5" i="72"/>
  <c r="Q126" i="5" l="1"/>
  <c r="R126" i="5"/>
  <c r="O12" i="72"/>
  <c r="G127" i="5"/>
  <c r="G162" i="5"/>
  <c r="G16" i="67"/>
  <c r="N126" i="5"/>
  <c r="Q16" i="65" s="1"/>
  <c r="H132" i="72"/>
  <c r="H249" i="72" s="1"/>
  <c r="H345" i="72" s="1"/>
  <c r="R162" i="5" l="1"/>
  <c r="Q162" i="5"/>
  <c r="R127" i="5"/>
  <c r="Q127" i="5"/>
  <c r="M15" i="60"/>
  <c r="Q16" i="61"/>
  <c r="Q16" i="57"/>
  <c r="AB16" i="57" s="1"/>
  <c r="M15" i="6"/>
  <c r="O132" i="72"/>
  <c r="R16" i="65"/>
  <c r="Q17" i="65"/>
  <c r="G17" i="67"/>
  <c r="N16" i="67"/>
  <c r="U16" i="67"/>
  <c r="AE16" i="67" s="1"/>
  <c r="G163" i="5"/>
  <c r="N162" i="5"/>
  <c r="G19" i="66"/>
  <c r="G122" i="66" s="1"/>
  <c r="N127" i="5"/>
  <c r="G128" i="5"/>
  <c r="R128" i="5" l="1"/>
  <c r="Q128" i="5"/>
  <c r="Q15" i="6"/>
  <c r="O15" i="6"/>
  <c r="O16" i="6" s="1"/>
  <c r="M16" i="6"/>
  <c r="M17" i="6" s="1"/>
  <c r="V15" i="6"/>
  <c r="Q17" i="57"/>
  <c r="AB17" i="57" s="1"/>
  <c r="F16" i="53"/>
  <c r="T16" i="57"/>
  <c r="V16" i="57" s="1"/>
  <c r="S16" i="57"/>
  <c r="R16" i="57"/>
  <c r="AF16" i="57" s="1"/>
  <c r="AE16" i="57" s="1"/>
  <c r="R16" i="61"/>
  <c r="F16" i="73"/>
  <c r="Q17" i="61"/>
  <c r="S16" i="61"/>
  <c r="T16" i="61"/>
  <c r="V16" i="61" s="1"/>
  <c r="Q15" i="60"/>
  <c r="M16" i="60"/>
  <c r="O15" i="60"/>
  <c r="V15" i="60"/>
  <c r="R163" i="5"/>
  <c r="Q163" i="5"/>
  <c r="AB16" i="67"/>
  <c r="N17" i="67"/>
  <c r="R17" i="65"/>
  <c r="Q18" i="65"/>
  <c r="N163" i="5"/>
  <c r="N19" i="66"/>
  <c r="G20" i="66"/>
  <c r="G123" i="66" s="1"/>
  <c r="G164" i="5"/>
  <c r="U17" i="67"/>
  <c r="AE17" i="67" s="1"/>
  <c r="G18" i="67"/>
  <c r="O249" i="72"/>
  <c r="O345" i="72" s="1"/>
  <c r="G130" i="5"/>
  <c r="N128" i="5"/>
  <c r="Q130" i="5" l="1"/>
  <c r="R130" i="5"/>
  <c r="X15" i="60"/>
  <c r="X16" i="60" s="1"/>
  <c r="X17" i="60" s="1"/>
  <c r="X19" i="60" s="1"/>
  <c r="X21" i="60" s="1"/>
  <c r="X32" i="60" s="1"/>
  <c r="V16" i="60"/>
  <c r="V17" i="60" s="1"/>
  <c r="V19" i="60" s="1"/>
  <c r="V21" i="60" s="1"/>
  <c r="V32" i="60" s="1"/>
  <c r="L16" i="53"/>
  <c r="G16" i="53"/>
  <c r="Q18" i="57"/>
  <c r="AB18" i="57" s="1"/>
  <c r="F17" i="53"/>
  <c r="T17" i="57"/>
  <c r="V17" i="57" s="1"/>
  <c r="R17" i="57"/>
  <c r="AF17" i="57" s="1"/>
  <c r="AE17" i="57" s="1"/>
  <c r="S17" i="57"/>
  <c r="O16" i="60"/>
  <c r="M17" i="60"/>
  <c r="X15" i="6"/>
  <c r="X16" i="6" s="1"/>
  <c r="X17" i="6" s="1"/>
  <c r="X19" i="6" s="1"/>
  <c r="X21" i="6" s="1"/>
  <c r="X32" i="6" s="1"/>
  <c r="V16" i="6"/>
  <c r="V17" i="6" s="1"/>
  <c r="V19" i="6" s="1"/>
  <c r="V21" i="6" s="1"/>
  <c r="V32" i="6" s="1"/>
  <c r="M19" i="6"/>
  <c r="M21" i="6" s="1"/>
  <c r="O17" i="6"/>
  <c r="O19" i="6" s="1"/>
  <c r="Q16" i="6"/>
  <c r="S15" i="6"/>
  <c r="Q18" i="61"/>
  <c r="R17" i="61"/>
  <c r="F17" i="73"/>
  <c r="S17" i="61"/>
  <c r="T17" i="61"/>
  <c r="V17" i="61" s="1"/>
  <c r="Q16" i="60"/>
  <c r="S15" i="60"/>
  <c r="L16" i="73"/>
  <c r="G16" i="73"/>
  <c r="Q164" i="5"/>
  <c r="R164" i="5"/>
  <c r="V19" i="66"/>
  <c r="AA19" i="66" s="1"/>
  <c r="N122" i="66"/>
  <c r="W122" i="66" s="1"/>
  <c r="X122" i="66" s="1"/>
  <c r="X123" i="66" s="1"/>
  <c r="X124" i="66" s="1"/>
  <c r="X126" i="66" s="1"/>
  <c r="X128" i="66" s="1"/>
  <c r="X141" i="66" s="1"/>
  <c r="G166" i="5"/>
  <c r="G21" i="66"/>
  <c r="U18" i="67"/>
  <c r="AE18" i="67" s="1"/>
  <c r="G20" i="67"/>
  <c r="N20" i="66"/>
  <c r="N164" i="5"/>
  <c r="Q20" i="65"/>
  <c r="R18" i="65"/>
  <c r="G132" i="5"/>
  <c r="N130" i="5"/>
  <c r="N18" i="67"/>
  <c r="AB17" i="67"/>
  <c r="Q17" i="60" l="1"/>
  <c r="S16" i="60"/>
  <c r="M19" i="60"/>
  <c r="M21" i="60" s="1"/>
  <c r="O17" i="60"/>
  <c r="O19" i="60" s="1"/>
  <c r="L17" i="73"/>
  <c r="G17" i="73"/>
  <c r="Q20" i="61"/>
  <c r="F18" i="73"/>
  <c r="R18" i="61"/>
  <c r="T18" i="61"/>
  <c r="V18" i="61" s="1"/>
  <c r="S18" i="61"/>
  <c r="L17" i="53"/>
  <c r="G17" i="53"/>
  <c r="Q20" i="57"/>
  <c r="AB20" i="57" s="1"/>
  <c r="F18" i="53"/>
  <c r="T18" i="57"/>
  <c r="V18" i="57" s="1"/>
  <c r="R18" i="57"/>
  <c r="AF18" i="57" s="1"/>
  <c r="AE18" i="57" s="1"/>
  <c r="S18" i="57"/>
  <c r="Q17" i="6"/>
  <c r="S16" i="6"/>
  <c r="Q132" i="5"/>
  <c r="R132" i="5"/>
  <c r="M32" i="6"/>
  <c r="O32" i="6" s="1"/>
  <c r="O21" i="6"/>
  <c r="Q166" i="5"/>
  <c r="R166" i="5"/>
  <c r="G124" i="66"/>
  <c r="G25" i="66"/>
  <c r="G38" i="66" s="1"/>
  <c r="V20" i="66"/>
  <c r="AA20" i="66" s="1"/>
  <c r="N123" i="66"/>
  <c r="W123" i="66" s="1"/>
  <c r="AB123" i="66" s="1"/>
  <c r="G143" i="5"/>
  <c r="N132" i="5"/>
  <c r="Q22" i="65"/>
  <c r="R20" i="65"/>
  <c r="R35" i="65" s="1"/>
  <c r="N166" i="5"/>
  <c r="N21" i="66"/>
  <c r="N25" i="66" s="1"/>
  <c r="N38" i="66" s="1"/>
  <c r="U20" i="67"/>
  <c r="AE20" i="67" s="1"/>
  <c r="G22" i="67"/>
  <c r="G35" i="67" s="1"/>
  <c r="AB18" i="67"/>
  <c r="N20" i="67"/>
  <c r="G23" i="66"/>
  <c r="G126" i="66" s="1"/>
  <c r="G168" i="5"/>
  <c r="L18" i="53" l="1"/>
  <c r="G18" i="53"/>
  <c r="O21" i="60"/>
  <c r="M32" i="60"/>
  <c r="O32" i="60" s="1"/>
  <c r="Q23" i="57"/>
  <c r="AB23" i="57" s="1"/>
  <c r="F20" i="53"/>
  <c r="T20" i="57"/>
  <c r="V20" i="57" s="1"/>
  <c r="R20" i="57"/>
  <c r="AF20" i="57" s="1"/>
  <c r="AE20" i="57" s="1"/>
  <c r="S20" i="57"/>
  <c r="Q19" i="60"/>
  <c r="S17" i="60"/>
  <c r="R22" i="65"/>
  <c r="Q35" i="65"/>
  <c r="G18" i="73"/>
  <c r="L18" i="73"/>
  <c r="R143" i="5"/>
  <c r="Q143" i="5"/>
  <c r="Q19" i="6"/>
  <c r="S17" i="6"/>
  <c r="R20" i="61"/>
  <c r="Q23" i="61"/>
  <c r="F20" i="73"/>
  <c r="T20" i="61"/>
  <c r="V20" i="61" s="1"/>
  <c r="S20" i="61"/>
  <c r="R168" i="5"/>
  <c r="Q168" i="5"/>
  <c r="V21" i="66"/>
  <c r="AA21" i="66" s="1"/>
  <c r="N124" i="66"/>
  <c r="W124" i="66" s="1"/>
  <c r="AB124" i="66" s="1"/>
  <c r="U35" i="67"/>
  <c r="AE35" i="67" s="1"/>
  <c r="N168" i="5"/>
  <c r="N23" i="66"/>
  <c r="N126" i="66" s="1"/>
  <c r="W126" i="66" s="1"/>
  <c r="AB126" i="66" s="1"/>
  <c r="G179" i="5"/>
  <c r="G128" i="66"/>
  <c r="G141" i="66"/>
  <c r="AB20" i="67"/>
  <c r="N22" i="67"/>
  <c r="N35" i="67" s="1"/>
  <c r="AB35" i="67" s="1"/>
  <c r="N143" i="5"/>
  <c r="O346" i="72" s="1"/>
  <c r="H346" i="72"/>
  <c r="H348" i="72" s="1"/>
  <c r="Q36" i="57" l="1"/>
  <c r="AB36" i="57" s="1"/>
  <c r="T23" i="57"/>
  <c r="V23" i="57" s="1"/>
  <c r="R23" i="57"/>
  <c r="AF23" i="57" s="1"/>
  <c r="AE23" i="57" s="1"/>
  <c r="S23" i="57"/>
  <c r="F22" i="73"/>
  <c r="L20" i="73"/>
  <c r="G20" i="73"/>
  <c r="Q21" i="60"/>
  <c r="S19" i="60"/>
  <c r="R23" i="61"/>
  <c r="Q36" i="61"/>
  <c r="T23" i="61"/>
  <c r="V23" i="61" s="1"/>
  <c r="S23" i="61"/>
  <c r="Q21" i="6"/>
  <c r="S19" i="6"/>
  <c r="L20" i="53"/>
  <c r="F22" i="53"/>
  <c r="G20" i="53"/>
  <c r="Q179" i="5"/>
  <c r="R179" i="5"/>
  <c r="N141" i="66"/>
  <c r="V23" i="66"/>
  <c r="AA23" i="66" s="1"/>
  <c r="G50" i="66"/>
  <c r="G153" i="66" s="1"/>
  <c r="N179" i="5"/>
  <c r="Q32" i="60" l="1"/>
  <c r="S32" i="60" s="1"/>
  <c r="S21" i="60"/>
  <c r="L22" i="53"/>
  <c r="F35" i="53"/>
  <c r="G22" i="53"/>
  <c r="F35" i="73"/>
  <c r="L22" i="73"/>
  <c r="G22" i="73"/>
  <c r="T36" i="57"/>
  <c r="V36" i="57" s="1"/>
  <c r="R36" i="57"/>
  <c r="AF36" i="57" s="1"/>
  <c r="AE36" i="57" s="1"/>
  <c r="S36" i="57"/>
  <c r="R36" i="61"/>
  <c r="T36" i="61"/>
  <c r="V36" i="61" s="1"/>
  <c r="S36" i="61"/>
  <c r="Q32" i="6"/>
  <c r="S32" i="6" s="1"/>
  <c r="S21" i="6"/>
  <c r="V25" i="66"/>
  <c r="AA25" i="66" s="1"/>
  <c r="N128" i="66"/>
  <c r="W128" i="66" s="1"/>
  <c r="N50" i="66"/>
  <c r="N153" i="66" s="1"/>
  <c r="V38" i="66"/>
  <c r="AA38" i="66" s="1"/>
  <c r="F37" i="53" l="1"/>
  <c r="L35" i="53"/>
  <c r="G35" i="53"/>
  <c r="L35" i="73"/>
  <c r="G35" i="73"/>
  <c r="F37" i="73"/>
  <c r="AB128" i="66"/>
  <c r="W141" i="66"/>
  <c r="AB141" i="66" l="1"/>
  <c r="W142" i="66"/>
  <c r="W143" i="6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tc={F67D933E-9776-41FA-B6F5-8A6FC9522E91}</author>
    <author>tc={D6E96162-EB4B-40BD-BCC2-5F0862DC0C51}</author>
    <author>tc={C7614883-D251-449A-A75D-3C836C20976E}</author>
    <author>tc={0CE32984-E19C-4C11-8625-EF9FAAE008FB}</author>
  </authors>
  <commentList>
    <comment ref="F4" authorId="0" shapeId="0" xr:uid="{F67D933E-9776-41FA-B6F5-8A6FC9522E91}">
      <text>
        <t>[Threaded comment]
Your version of Excel allows you to read this threaded comment; however, any edits to it will get removed if the file is opened in a newer version of Excel. Learn more: https://go.microsoft.com/fwlink/?linkid=870924
Comment:
    70 ISKUR</t>
      </text>
    </comment>
    <comment ref="G4" authorId="1" shapeId="0" xr:uid="{D6E96162-EB4B-40BD-BCC2-5F0862DC0C51}">
      <text>
        <t>[Threaded comment]
Your version of Excel allows you to read this threaded comment; however, any edits to it will get removed if the file is opened in a newer version of Excel. Learn more: https://go.microsoft.com/fwlink/?linkid=870924
Comment:
    97 ISKUR</t>
      </text>
    </comment>
    <comment ref="F11" authorId="2" shapeId="0" xr:uid="{C7614883-D251-449A-A75D-3C836C20976E}">
      <text>
        <t>[Threaded comment]
Your version of Excel allows you to read this threaded comment; however, any edits to it will get removed if the file is opened in a newer version of Excel. Learn more: https://go.microsoft.com/fwlink/?linkid=870924
Comment:
    6 ISKUR</t>
      </text>
    </comment>
    <comment ref="G11" authorId="3" shapeId="0" xr:uid="{0CE32984-E19C-4C11-8625-EF9FAAE008FB}">
      <text>
        <t>[Threaded comment]
Your version of Excel allows you to read this threaded comment; however, any edits to it will get removed if the file is opened in a newer version of Excel. Learn more: https://go.microsoft.com/fwlink/?linkid=870924
Comment:
    5 ISKUR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tc={5DE39F22-14FD-4CF9-9B12-92294DA7B273}</author>
  </authors>
  <commentList>
    <comment ref="AE11" authorId="0" shapeId="0" xr:uid="{5DE39F22-14FD-4CF9-9B12-92294DA7B27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Provision Release</t>
      </text>
    </comment>
  </commentList>
</comments>
</file>

<file path=xl/sharedStrings.xml><?xml version="1.0" encoding="utf-8"?>
<sst xmlns="http://schemas.openxmlformats.org/spreadsheetml/2006/main" count="6706" uniqueCount="1072">
  <si>
    <t>Jan</t>
  </si>
  <si>
    <t>Feb</t>
  </si>
  <si>
    <t>March</t>
  </si>
  <si>
    <t>April</t>
  </si>
  <si>
    <t>May</t>
  </si>
  <si>
    <t>June</t>
  </si>
  <si>
    <t>July</t>
  </si>
  <si>
    <t>August</t>
  </si>
  <si>
    <t>Sept</t>
  </si>
  <si>
    <t>Oct</t>
  </si>
  <si>
    <t>Nov</t>
  </si>
  <si>
    <t>Dec</t>
  </si>
  <si>
    <t xml:space="preserve">Total </t>
  </si>
  <si>
    <t>TD</t>
  </si>
  <si>
    <t xml:space="preserve">Actual Reporting </t>
  </si>
  <si>
    <t>1.</t>
  </si>
  <si>
    <t xml:space="preserve">Please update copertura for the period / data entry - line 53 onwords </t>
  </si>
  <si>
    <t>2.</t>
  </si>
  <si>
    <t xml:space="preserve">Please update the actual cost for the period / data entry - line 75 onwords </t>
  </si>
  <si>
    <t xml:space="preserve">3. </t>
  </si>
  <si>
    <t>Update columns "Q" &amp; "R" in the data entry and budget assumption tab</t>
  </si>
  <si>
    <t xml:space="preserve">4. </t>
  </si>
  <si>
    <t xml:space="preserve">YTD and MTD variances, as well as the report is populated automatically </t>
  </si>
  <si>
    <t xml:space="preserve">5. </t>
  </si>
  <si>
    <t xml:space="preserve">Please provide the rootcauses for the variances YTD and MTD Report (column J-P) </t>
  </si>
  <si>
    <t>Checkline in column "U" needs to be zero in each line</t>
  </si>
  <si>
    <t>6.</t>
  </si>
  <si>
    <t xml:space="preserve">SAP extraction actual cost lines as separate sheet </t>
  </si>
  <si>
    <t xml:space="preserve">FCST Reporting </t>
  </si>
  <si>
    <t xml:space="preserve">1. </t>
  </si>
  <si>
    <t>Please fill in the copertura and actuals for the upcoming months _ data entry tab - lines 53-94</t>
  </si>
  <si>
    <t xml:space="preserve">2. </t>
  </si>
  <si>
    <t xml:space="preserve">FCST tab is populated automatically , please check the correctness </t>
  </si>
  <si>
    <t xml:space="preserve">Provide root cause split for the upcoming periods  variances </t>
  </si>
  <si>
    <t>4.</t>
  </si>
  <si>
    <t>Paste values previous submitted FCST in "FCST25" sheet lines 47-87</t>
  </si>
  <si>
    <t>5.</t>
  </si>
  <si>
    <t>Check variances vs last forecast  in "FCST25" sheet lines 91-131</t>
  </si>
  <si>
    <t>Update column AE &amp; AF in "FCST CPU"</t>
  </si>
  <si>
    <t>7.</t>
  </si>
  <si>
    <t xml:space="preserve">Update Material &amp; Freight In part in "FCST CPU" </t>
  </si>
  <si>
    <t xml:space="preserve">Budget Cost </t>
  </si>
  <si>
    <r>
      <t xml:space="preserve">Budgeted cost of the period </t>
    </r>
    <r>
      <rPr>
        <b/>
        <sz val="11"/>
        <color theme="1"/>
        <rFont val="Aptos Narrow"/>
        <family val="2"/>
        <scheme val="minor"/>
      </rPr>
      <t xml:space="preserve">@ Budget FX rate </t>
    </r>
  </si>
  <si>
    <t xml:space="preserve">ACE </t>
  </si>
  <si>
    <t xml:space="preserve">Permanent saving, linked to ACE projects. This line needs to give us the deviation versus the budgeted ACE improvements </t>
  </si>
  <si>
    <t xml:space="preserve">MFG Efficiency </t>
  </si>
  <si>
    <t xml:space="preserve">Saving / Cost in relation with current year standard production process not linked to price , one off or ACE ; e.g delay of hiring , not spending the budget for a specific line or additional consumption due to breakdown etc </t>
  </si>
  <si>
    <t>S&amp;OP</t>
  </si>
  <si>
    <t xml:space="preserve">Increase or decrease of cost due to volume fluctuations; Excess of Manpower, Additional / less vertical closure days impact, Incremental cost increase / decrease on the fixed cost due to volume change </t>
  </si>
  <si>
    <t>Price / Inflation</t>
  </si>
  <si>
    <t xml:space="preserve">Pure Price or Inflation impact </t>
  </si>
  <si>
    <t>fX translation</t>
  </si>
  <si>
    <t xml:space="preserve">fx impact act fx versus budget fx </t>
  </si>
  <si>
    <t xml:space="preserve">One off </t>
  </si>
  <si>
    <t>Extraordinary expense/income not linked to current year standard production process;  previous years income/ loss, write off and sale of assets , one time expenses like restructuring program, cost related to opening ceremony, extra ordinary donations etc</t>
  </si>
  <si>
    <t>Oth Functions</t>
  </si>
  <si>
    <t xml:space="preserve">Cost related to claims , which in the past was recharged to R&amp;D, Procurement , Logistics </t>
  </si>
  <si>
    <t>Actual Cost</t>
  </si>
  <si>
    <r>
      <t xml:space="preserve">Actual cost of the period converted  </t>
    </r>
    <r>
      <rPr>
        <b/>
        <sz val="11"/>
        <color theme="1"/>
        <rFont val="Aptos Narrow"/>
        <family val="2"/>
        <scheme val="minor"/>
      </rPr>
      <t xml:space="preserve">@ actual fx rate </t>
    </r>
  </si>
  <si>
    <t>Budget25</t>
  </si>
  <si>
    <t>Volume Variance</t>
  </si>
  <si>
    <t>Copertura</t>
  </si>
  <si>
    <t xml:space="preserve">HWTW&amp;ACE </t>
  </si>
  <si>
    <t>Budget FCA</t>
  </si>
  <si>
    <t>Budget Flex.</t>
  </si>
  <si>
    <t xml:space="preserve">VARIANCE </t>
  </si>
  <si>
    <t>FCA</t>
  </si>
  <si>
    <t>Total</t>
  </si>
  <si>
    <r>
      <t>- Gain</t>
    </r>
    <r>
      <rPr>
        <i/>
        <sz val="11"/>
        <color rgb="FF000000"/>
        <rFont val="Calibri"/>
        <family val="2"/>
        <charset val="162"/>
      </rPr>
      <t xml:space="preserve"> / </t>
    </r>
    <r>
      <rPr>
        <i/>
        <sz val="11"/>
        <color rgb="FFFF0000"/>
        <rFont val="Calibri"/>
        <family val="2"/>
      </rPr>
      <t>+Loss</t>
    </r>
  </si>
  <si>
    <t xml:space="preserve">checkline </t>
  </si>
  <si>
    <t>ACT</t>
  </si>
  <si>
    <t>EUR/000</t>
  </si>
  <si>
    <t>€/pc</t>
  </si>
  <si>
    <t>EUR/001</t>
  </si>
  <si>
    <t>Direct Labor</t>
  </si>
  <si>
    <t>Variable Utilities</t>
  </si>
  <si>
    <t>Scrap</t>
  </si>
  <si>
    <t>Scrap Reselling</t>
  </si>
  <si>
    <t>Other Variable (Production Consumable, Inventory ADJ)</t>
  </si>
  <si>
    <t>Variable Conv.</t>
  </si>
  <si>
    <t>Indirect Labour</t>
  </si>
  <si>
    <t>Fixed Labour</t>
  </si>
  <si>
    <t>Semifixed</t>
  </si>
  <si>
    <t>Fixed utilities</t>
  </si>
  <si>
    <t>Fixed Cost</t>
  </si>
  <si>
    <t>Obsolete</t>
  </si>
  <si>
    <t>Depreciation</t>
  </si>
  <si>
    <t>Fixed Conv.</t>
  </si>
  <si>
    <t>TOTAL MFG COST w/o SHARES</t>
  </si>
  <si>
    <t>TOTAL SHARES</t>
  </si>
  <si>
    <t>TOTAL MFG COST w/ SHARES</t>
  </si>
  <si>
    <t>Functional Currency Impact</t>
  </si>
  <si>
    <t>TOTAL Including FC</t>
  </si>
  <si>
    <t xml:space="preserve">Shares &amp; Out of Perimeter </t>
  </si>
  <si>
    <t xml:space="preserve">YTD </t>
  </si>
  <si>
    <t>YTD</t>
  </si>
  <si>
    <t xml:space="preserve">Budget Volume </t>
  </si>
  <si>
    <t xml:space="preserve">Delta Volume </t>
  </si>
  <si>
    <t xml:space="preserve">Seasonality </t>
  </si>
  <si>
    <t xml:space="preserve">Variance vs STD </t>
  </si>
  <si>
    <t xml:space="preserve">Direct HC </t>
  </si>
  <si>
    <t xml:space="preserve">Production </t>
  </si>
  <si>
    <t xml:space="preserve">Shared </t>
  </si>
  <si>
    <t xml:space="preserve">Assigned hours </t>
  </si>
  <si>
    <t xml:space="preserve">Indirect HC </t>
  </si>
  <si>
    <t>Lapro</t>
  </si>
  <si>
    <t xml:space="preserve">Fixed HC </t>
  </si>
  <si>
    <t>Aug</t>
  </si>
  <si>
    <t>Direct HC</t>
  </si>
  <si>
    <t>Indirect HC</t>
  </si>
  <si>
    <t>Total HC</t>
  </si>
  <si>
    <t>Temporary ratio</t>
  </si>
  <si>
    <t>RENTA</t>
  </si>
  <si>
    <t>EURASIA</t>
  </si>
  <si>
    <t>TOTAL</t>
  </si>
  <si>
    <t>DW</t>
  </si>
  <si>
    <t>CK</t>
  </si>
  <si>
    <t>INFRA</t>
  </si>
  <si>
    <t>Highlights;</t>
  </si>
  <si>
    <t xml:space="preserve">Association dues (MESS Payment) </t>
  </si>
  <si>
    <t xml:space="preserve">G&amp;A Recharge Eurosia - Renta </t>
  </si>
  <si>
    <t xml:space="preserve">IT Recharge Group </t>
  </si>
  <si>
    <t>Controlling Expenses</t>
  </si>
  <si>
    <t xml:space="preserve">Enterprice Property Insurance </t>
  </si>
  <si>
    <t xml:space="preserve">Profit on Asset Sale </t>
  </si>
  <si>
    <t>Loss on Asset Sale</t>
  </si>
  <si>
    <t xml:space="preserve">Litigation fee </t>
  </si>
  <si>
    <t xml:space="preserve">INFRA </t>
  </si>
  <si>
    <t xml:space="preserve"> …......</t>
  </si>
  <si>
    <t>G&amp;A  _ Out of Perimeter</t>
  </si>
  <si>
    <t>Mar</t>
  </si>
  <si>
    <t>TD
MTD Oct</t>
  </si>
  <si>
    <t>GP</t>
  </si>
  <si>
    <t>TC ALL</t>
  </si>
  <si>
    <t>TC WO GP</t>
  </si>
  <si>
    <t>GP TC</t>
  </si>
  <si>
    <t>HC</t>
  </si>
  <si>
    <t>Unit price TRY</t>
  </si>
  <si>
    <t>Working meal</t>
  </si>
  <si>
    <t>Transport</t>
  </si>
  <si>
    <t>MFG PERIMETER</t>
  </si>
  <si>
    <t>Other Variable (Production Consumable)</t>
  </si>
  <si>
    <t>CKD Impact</t>
  </si>
  <si>
    <t>OTHERS</t>
  </si>
  <si>
    <t>Other Variable (Inventory Adj)</t>
  </si>
  <si>
    <t>Asset Sales</t>
  </si>
  <si>
    <t>TOTAL OTHERS</t>
  </si>
  <si>
    <t>OVERHEAD</t>
  </si>
  <si>
    <t>IT GLOBAL</t>
  </si>
  <si>
    <t>G&amp;A(Insurance included)</t>
  </si>
  <si>
    <t>TOTAL OVERHEAD</t>
  </si>
  <si>
    <t>ALL</t>
  </si>
  <si>
    <t>TOTAL ALL</t>
  </si>
  <si>
    <t>Check</t>
  </si>
  <si>
    <t>Delta FCST vs ACT</t>
  </si>
  <si>
    <t xml:space="preserve">Total Variance </t>
  </si>
  <si>
    <t>Direct Labour</t>
  </si>
  <si>
    <t xml:space="preserve">Volume </t>
  </si>
  <si>
    <t xml:space="preserve">EFF </t>
  </si>
  <si>
    <t xml:space="preserve">variable cost </t>
  </si>
  <si>
    <t xml:space="preserve">Actual minus Copertura </t>
  </si>
  <si>
    <t xml:space="preserve">EUR </t>
  </si>
  <si>
    <t xml:space="preserve">Variances vs Budget </t>
  </si>
  <si>
    <t xml:space="preserve">Variances vs STD </t>
  </si>
  <si>
    <t xml:space="preserve">fixed cost </t>
  </si>
  <si>
    <t xml:space="preserve">Actual minus  Budget </t>
  </si>
  <si>
    <t>Cost Elements</t>
  </si>
  <si>
    <t>STD</t>
  </si>
  <si>
    <t>Plan Costs</t>
  </si>
  <si>
    <t>Budget VAR</t>
  </si>
  <si>
    <t xml:space="preserve">Copertura </t>
  </si>
  <si>
    <t>Act. Costs</t>
  </si>
  <si>
    <t xml:space="preserve">FCA </t>
  </si>
  <si>
    <t xml:space="preserve"> FCA </t>
  </si>
  <si>
    <t>TOTAL MFG COST w SHARES</t>
  </si>
  <si>
    <t>check</t>
  </si>
  <si>
    <t>MTD</t>
  </si>
  <si>
    <t>Month</t>
  </si>
  <si>
    <t xml:space="preserve">Budget 2025 </t>
  </si>
  <si>
    <t xml:space="preserve">MTD </t>
  </si>
  <si>
    <t xml:space="preserve">Budget Variances </t>
  </si>
  <si>
    <t>HWTW</t>
  </si>
  <si>
    <t xml:space="preserve">round 2 var </t>
  </si>
  <si>
    <t xml:space="preserve">ACT Cost </t>
  </si>
  <si>
    <t>Wo FC</t>
  </si>
  <si>
    <t xml:space="preserve">Variance vs Budget </t>
  </si>
  <si>
    <t xml:space="preserve">FCA vs Budget </t>
  </si>
  <si>
    <t>Budget</t>
  </si>
  <si>
    <t>IT LOCAL</t>
  </si>
  <si>
    <t>Security</t>
  </si>
  <si>
    <t>Mess Union Fee</t>
  </si>
  <si>
    <t>Inventory Adjustment</t>
  </si>
  <si>
    <t>Actual</t>
  </si>
  <si>
    <t>STD FX</t>
  </si>
  <si>
    <t>Total Units (incl. accessories)</t>
  </si>
  <si>
    <t>Variable Costs</t>
  </si>
  <si>
    <t>VARIABLE CONVERSION</t>
  </si>
  <si>
    <t>FIXED CONVERSION</t>
  </si>
  <si>
    <t>OVH AND OTHERS</t>
  </si>
  <si>
    <t xml:space="preserve">Total assigned hours Budget </t>
  </si>
  <si>
    <t xml:space="preserve">Volume Mix </t>
  </si>
  <si>
    <t xml:space="preserve">Tariffa 2025 adj by volume </t>
  </si>
  <si>
    <t>Grand Total</t>
  </si>
  <si>
    <t xml:space="preserve">pcs </t>
  </si>
  <si>
    <t xml:space="preserve">Budget FCA </t>
  </si>
  <si>
    <t>*** revise the formulas for previous month</t>
  </si>
  <si>
    <t>SUMMARY</t>
  </si>
  <si>
    <t>*   CS_Depreciation</t>
  </si>
  <si>
    <t>*   CS_Direct Labour</t>
  </si>
  <si>
    <t>*   CS_SCRAP_VARIABLE</t>
  </si>
  <si>
    <t>*   CS_Fix Cost</t>
  </si>
  <si>
    <t xml:space="preserve">    6666050312  Inventory count different- Semifinished</t>
  </si>
  <si>
    <t>*   CS_Variable Cost</t>
  </si>
  <si>
    <t>*   CS_Obsolescence</t>
  </si>
  <si>
    <t>*   CS_Reselling</t>
  </si>
  <si>
    <t>*   CS_Fix Utilities</t>
  </si>
  <si>
    <t>*   CS_Variable Utilities</t>
  </si>
  <si>
    <t>*   CS_Indirect Labour</t>
  </si>
  <si>
    <t>*   CS_Fixed Labour</t>
  </si>
  <si>
    <t>*   CS_Semifix</t>
  </si>
  <si>
    <t>*   CS_OVH_ADM</t>
  </si>
  <si>
    <t>Var.(Abs.)</t>
  </si>
  <si>
    <t>Var.(%)</t>
  </si>
  <si>
    <t>Actual Qty</t>
  </si>
  <si>
    <t>Plan Qty</t>
  </si>
  <si>
    <t xml:space="preserve">    6666110101  Depreciation of buildings</t>
  </si>
  <si>
    <t xml:space="preserve">    6666110106  Depreciation of R&amp;D facilities</t>
  </si>
  <si>
    <t xml:space="preserve">    6666110107  Depreciation of mold　</t>
  </si>
  <si>
    <t xml:space="preserve">    6666110110  Depreciation-Plant &amp; Machinery</t>
  </si>
  <si>
    <t xml:space="preserve">    6666110112  Depreciation of Furniture &amp; Fixture</t>
  </si>
  <si>
    <t xml:space="preserve">    6666110204  Amortization of license, trademarks and</t>
  </si>
  <si>
    <t xml:space="preserve">    6666110207  Amortization of Software</t>
  </si>
  <si>
    <t xml:space="preserve">    6666110506  Amortization-Leasehold Improvement</t>
  </si>
  <si>
    <t xml:space="preserve">    5001010205  Unemployment Insurance -blue collar-Dire</t>
  </si>
  <si>
    <t xml:space="preserve">    6666010380  Incentive</t>
  </si>
  <si>
    <t xml:space="preserve">    6666010019  Payroll Taxes - Blue Collar Direct</t>
  </si>
  <si>
    <t xml:space="preserve">    6666010183  Overtime-Blue Collar-Direct</t>
  </si>
  <si>
    <t xml:space="preserve">    6666010229  Staff Leaving Indemnity - Blue Collar Di</t>
  </si>
  <si>
    <t xml:space="preserve">    6666010188  Salary - Blue collar direct employees</t>
  </si>
  <si>
    <t xml:space="preserve">    5102040406  Other revenue-Service/Secondment agreeme</t>
  </si>
  <si>
    <t xml:space="preserve">    6666010115  Salary-Blue collar direct employees-Accr</t>
  </si>
  <si>
    <t xml:space="preserve">    8701530201  Scrap-Raw&amp;#160;Material - Managerial</t>
  </si>
  <si>
    <t xml:space="preserve">    6666050309  SFG scrap</t>
  </si>
  <si>
    <t xml:space="preserve">    6666050308  Raw material scrap</t>
  </si>
  <si>
    <t xml:space="preserve">    6666050306  Finished goods scrap</t>
  </si>
  <si>
    <t xml:space="preserve">    5207000021  Gain of intangible asset disposal</t>
  </si>
  <si>
    <t xml:space="preserve">    6666029996  Non-deductible expense-travel.</t>
  </si>
  <si>
    <t xml:space="preserve">    6666029700  Service fee recharge</t>
  </si>
  <si>
    <t xml:space="preserve">    6666010322  fuel allowance</t>
  </si>
  <si>
    <t xml:space="preserve">    6666020495  Non-deductible expense-travel.</t>
  </si>
  <si>
    <t xml:space="preserve">    5102010151  Other Rev.-Interco-Epidemic problem comp</t>
  </si>
  <si>
    <t xml:space="preserve">    5001010200  Cost of Manufacture - Raw Material</t>
  </si>
  <si>
    <t xml:space="preserve">    5001010201  Cost of Manufacture - Raw Material-Freig</t>
  </si>
  <si>
    <t xml:space="preserve">    5102040893  Other revenue-Charge out-Test Expense</t>
  </si>
  <si>
    <t xml:space="preserve">    5207000012  Loss of tangible asset sold</t>
  </si>
  <si>
    <t xml:space="preserve">    5207000022  Loss of intangible asset disposal</t>
  </si>
  <si>
    <t xml:space="preserve">    5301060000  Other Income-Subsidy income</t>
  </si>
  <si>
    <t xml:space="preserve">    5301999999  Non-operation revenue-Other</t>
  </si>
  <si>
    <t xml:space="preserve">    5405030000  Other cost-others</t>
  </si>
  <si>
    <t xml:space="preserve">    5601050000  Non-Operating Expense - Penalty</t>
  </si>
  <si>
    <t xml:space="preserve">    5601050100  Non-operation Expense-Others</t>
  </si>
  <si>
    <t xml:space="preserve">    6666020101  Entertainment</t>
  </si>
  <si>
    <t xml:space="preserve">    6666020201  Domestic business travel</t>
  </si>
  <si>
    <t xml:space="preserve">    6666020202  Overseas business travel</t>
  </si>
  <si>
    <t xml:space="preserve">    6666020204  Travel expense pay to agency</t>
  </si>
  <si>
    <t xml:space="preserve">    6666020205  Business travel-other</t>
  </si>
  <si>
    <t xml:space="preserve">    6666020301  Staff communication expense</t>
  </si>
  <si>
    <t xml:space="preserve">    6666021104  Consulting expense-Technical</t>
  </si>
  <si>
    <t xml:space="preserve">    6666020302  Communication Expenses</t>
  </si>
  <si>
    <t xml:space="preserve">    6666020403  Company car expense</t>
  </si>
  <si>
    <t xml:space="preserve">    6666020405  Company car expense - maintenance fees</t>
  </si>
  <si>
    <t xml:space="preserve">    6666020504  Newspaper and Periodicals expenditure</t>
  </si>
  <si>
    <t xml:space="preserve">    6666020508  Postage</t>
  </si>
  <si>
    <t xml:space="preserve">    6666020602  Training costs Outside the group</t>
  </si>
  <si>
    <t xml:space="preserve">    6666020701  Enterprise Property Insurance</t>
  </si>
  <si>
    <t xml:space="preserve">    6666020802  Equipment rental cost</t>
  </si>
  <si>
    <t xml:space="preserve">    6666020803  Car rental cost</t>
  </si>
  <si>
    <t xml:space="preserve">    6666021100  Consulting fees</t>
  </si>
  <si>
    <t xml:space="preserve">    6666021902  Cleaning fees</t>
  </si>
  <si>
    <t xml:space="preserve">    6666022100  Security</t>
  </si>
  <si>
    <t xml:space="preserve">    6666022300  Association dues</t>
  </si>
  <si>
    <t xml:space="preserve">    6666029900  Sundry Expenses</t>
  </si>
  <si>
    <t xml:space="preserve">    6666029997  restructure cost</t>
  </si>
  <si>
    <t xml:space="preserve">    6666030300  Design and development fees</t>
  </si>
  <si>
    <t xml:space="preserve">    6666030702  R&amp;D prototype purchased</t>
  </si>
  <si>
    <t xml:space="preserve">    6666031200  Instrument fee</t>
  </si>
  <si>
    <t xml:space="preserve">    6666050107  Special distribution costs</t>
  </si>
  <si>
    <t xml:space="preserve">    6666070100  Software purchase, development and imple</t>
  </si>
  <si>
    <t xml:space="preserve">    6666070300  Software maintenance fees</t>
  </si>
  <si>
    <t xml:space="preserve">    6666070400  IT maint. &amp; repairs hardware</t>
  </si>
  <si>
    <t xml:space="preserve">    5207000011  Gain of tangible asset disposal</t>
  </si>
  <si>
    <t xml:space="preserve">    5401050201  COGS-Freight out-Special and sporadic fr</t>
  </si>
  <si>
    <t xml:space="preserve">    6666110203  Low value consumables</t>
  </si>
  <si>
    <t xml:space="preserve">    5102040000  Other Revenue - Other</t>
  </si>
  <si>
    <t xml:space="preserve">    6666050307  Inventory count different-raw material</t>
  </si>
  <si>
    <t xml:space="preserve">    6666100203  Provision for inventory devaluation - RM</t>
  </si>
  <si>
    <t xml:space="preserve">    5301070000  Non-operation revenue-sales of scrapped</t>
  </si>
  <si>
    <t xml:space="preserve">    6666021602  Electricity</t>
  </si>
  <si>
    <t xml:space="preserve">    6666021600  Energy and power cost</t>
  </si>
  <si>
    <t xml:space="preserve">    6666021603  Water</t>
  </si>
  <si>
    <t xml:space="preserve">    6666021604  Oil &amp; Gas</t>
  </si>
  <si>
    <t xml:space="preserve">    5001010206  Unemployment Insurance -blue collar-Indi</t>
  </si>
  <si>
    <t xml:space="preserve">    6666010184  Salary&amp;Additional Incentive-Blue Collar-</t>
  </si>
  <si>
    <t xml:space="preserve">    6666010186  Overtime-Blue Collar-Indirect</t>
  </si>
  <si>
    <t xml:space="preserve">    6666010189  Salary - Blue collar indirect employees</t>
  </si>
  <si>
    <t xml:space="preserve">    6666010012  Payroll Taxes- Blue Collar Indirect</t>
  </si>
  <si>
    <t xml:space="preserve">    6666010226  Staff Leaving Indemnity - Blue Collar In</t>
  </si>
  <si>
    <t xml:space="preserve">    6666010102  Salary-Blue collar indirect employees- A</t>
  </si>
  <si>
    <t xml:space="preserve">    6666010196  Payroll Taxes-White Collar Employee</t>
  </si>
  <si>
    <t xml:space="preserve">    6666010101  Salary - White collar employees</t>
  </si>
  <si>
    <t xml:space="preserve">    6666010199  Salary-White collar employees -Accrued</t>
  </si>
  <si>
    <t xml:space="preserve">    6666010185  Salary&amp;Additional Incentive-White Collar</t>
  </si>
  <si>
    <t xml:space="preserve">    6666010207  Unemployment insurance companies to pay</t>
  </si>
  <si>
    <t xml:space="preserve">    6666010321  car allowance</t>
  </si>
  <si>
    <t xml:space="preserve">    6666010227  Staff Leaving Indemnity - White collar E</t>
  </si>
  <si>
    <t xml:space="preserve">    6666020903  Other materials</t>
  </si>
  <si>
    <t xml:space="preserve">    6666010302  Medical expenses</t>
  </si>
  <si>
    <t xml:space="preserve">    6666010314  Work uniforms</t>
  </si>
  <si>
    <t xml:space="preserve">    6666020401  local transportation - bus and taxi</t>
  </si>
  <si>
    <t xml:space="preserve">    6666020402  Local transportation-transport subsidies</t>
  </si>
  <si>
    <t xml:space="preserve">    6666020502  Working meals</t>
  </si>
  <si>
    <t xml:space="preserve">    6666020503  Office supplies</t>
  </si>
  <si>
    <t xml:space="preserve">    6666021500  Repairs cost</t>
  </si>
  <si>
    <t xml:space="preserve">    6666021502  Repair &amp; Maintain - Building&amp;office</t>
  </si>
  <si>
    <t xml:space="preserve">    6666021503  Repair &amp; Maintain - Tooling &amp; Equipments</t>
  </si>
  <si>
    <t xml:space="preserve">    6666021505  Repairs &amp; Maintenance - Vehicles</t>
  </si>
  <si>
    <t xml:space="preserve">    6666021506  Repairs &amp; Maintenance - Plant &amp; Machiner</t>
  </si>
  <si>
    <t xml:space="preserve">    6666091600  Garbage disposal charge</t>
  </si>
  <si>
    <t xml:space="preserve">    5401060201  COGS-Repair expense</t>
  </si>
  <si>
    <t xml:space="preserve">    600006      OVH Administrative</t>
  </si>
  <si>
    <t>**  Debit</t>
  </si>
  <si>
    <t>**  Credit</t>
  </si>
  <si>
    <t>*** Over/Underabsorption</t>
  </si>
  <si>
    <t>Gas</t>
  </si>
  <si>
    <t>Water</t>
  </si>
  <si>
    <t>Excess manpower</t>
  </si>
  <si>
    <t>Obsolute ML</t>
  </si>
  <si>
    <t xml:space="preserve">    5601080000  Non-operating expense-VAT non-deductible</t>
  </si>
  <si>
    <t xml:space="preserve">    6666020801  Housing rental cost</t>
  </si>
  <si>
    <t xml:space="preserve">    6666021102  Consulting expense-tax</t>
  </si>
  <si>
    <t xml:space="preserve">    6666021300  Legal fees</t>
  </si>
  <si>
    <t xml:space="preserve">    6666031100  Technical Documentation</t>
  </si>
  <si>
    <t xml:space="preserve">    6666079999  IT Expense-Internal Charge Out</t>
  </si>
  <si>
    <t xml:space="preserve">    6666093800  Other Taxes-CIT Deductible</t>
  </si>
  <si>
    <t xml:space="preserve">    6666090100  Stamp Duty</t>
  </si>
  <si>
    <t xml:space="preserve">  1SIP                          Cost Centers: Actual/Plan/Variance</t>
  </si>
  <si>
    <t xml:space="preserve">  Date:                         07.01.2026</t>
  </si>
  <si>
    <t xml:space="preserve">  Requested by:                 TR_240114837</t>
  </si>
  <si>
    <t xml:space="preserve">  Controlling Area              6000          Haier Europe</t>
  </si>
  <si>
    <t xml:space="preserve">  Fiscal Year                   2025</t>
  </si>
  <si>
    <t xml:space="preserve">  From Period                     1</t>
  </si>
  <si>
    <t xml:space="preserve">  To Period                      12</t>
  </si>
  <si>
    <t xml:space="preserve">  Plan Version                  0</t>
  </si>
  <si>
    <t xml:space="preserve">  Cost Center Group             PTK3M00WAB,PTK</t>
  </si>
  <si>
    <t xml:space="preserve">  Cost Element Group            CS_NEW        New Cost Splitting group</t>
  </si>
  <si>
    <t xml:space="preserve">    600008      Indirect Cost</t>
  </si>
  <si>
    <t xml:space="preserve">    600009      Quality Control</t>
  </si>
  <si>
    <t xml:space="preserve">    5601020000  Loss on disposal fixed asset</t>
  </si>
  <si>
    <t xml:space="preserve">    6666021200  Audit fee</t>
  </si>
  <si>
    <t xml:space="preserve">    6666050202  Custom clearance charge</t>
  </si>
  <si>
    <t xml:space="preserve">    600007      Maintenance</t>
  </si>
  <si>
    <t xml:space="preserve">    6666021504  Repair &amp; Maintain - Elect. Installation</t>
  </si>
  <si>
    <t xml:space="preserve">  From Period                    12</t>
  </si>
  <si>
    <t>CHECK</t>
  </si>
  <si>
    <t xml:space="preserve">ACE Budget </t>
  </si>
  <si>
    <t xml:space="preserve">F-Matrix Actual </t>
  </si>
  <si>
    <t>Over /Underabsorption</t>
  </si>
  <si>
    <t>!! Ay sonunda hurda satışları ve irsaliye raporu çekilip, departmanlarla teyitleşildikten sonra tablolar doldurulur. Bu raporları hazırlayabilmek için aylık hurda satış excellerini kontrol ediniz.</t>
  </si>
  <si>
    <t>1. Volume bilgisi data sayfasından otomatik gelir</t>
  </si>
  <si>
    <t>2. Dosyayı ilk yaparken B-E sütunları bütçe verileri ile doldurulmalıdır, price ve qty variance formülleri bütçe verilerine göre kontrol edilmelidir, actual'da başka code geliyorsa eklenmelidir.</t>
  </si>
  <si>
    <t>3. Aylık copertura verisi manuel girilir.</t>
  </si>
  <si>
    <t>4. Check kısmında tutar kalıyorsa price variance'ın dibine eklenir.</t>
  </si>
  <si>
    <t>5. Avg. unit price, act kg x pcs, price variance, qty variance ve YTD tablosu otomatik hesaplanır, formülleri değiştirmeyin ancak kontrol edin.</t>
  </si>
  <si>
    <t>6. Totaller HFM ile tutuyor mu kontrol edilmelidir.</t>
  </si>
  <si>
    <t>VOLUME</t>
  </si>
  <si>
    <t>JANUARY</t>
  </si>
  <si>
    <t>CAS Code</t>
  </si>
  <si>
    <t>SAP Code</t>
  </si>
  <si>
    <t>Desc.</t>
  </si>
  <si>
    <t>BDG Kg x pcs</t>
  </si>
  <si>
    <t>BDG TL/KG</t>
  </si>
  <si>
    <t>TOTAL QTY</t>
  </si>
  <si>
    <t>AVG UNIT PRICE</t>
  </si>
  <si>
    <t>TOTAL AMOUNT</t>
  </si>
  <si>
    <t>ACT Kg x pcs</t>
  </si>
  <si>
    <t>Price Variance</t>
  </si>
  <si>
    <t>Qty Variance</t>
  </si>
  <si>
    <t>S0000095</t>
  </si>
  <si>
    <t>SCRAP PLASTIC</t>
  </si>
  <si>
    <t>S0000096</t>
  </si>
  <si>
    <t>AHŞAP PALET HURDA</t>
  </si>
  <si>
    <t>S0000097</t>
  </si>
  <si>
    <t>AMBALAJ ATIĞI KARTON</t>
  </si>
  <si>
    <t>S0000101</t>
  </si>
  <si>
    <t>304 PASLANMAZ ÇELİK HURDA</t>
  </si>
  <si>
    <t>S0000094</t>
  </si>
  <si>
    <t>İÇ GÖVDE HURDA</t>
  </si>
  <si>
    <t>S0000098</t>
  </si>
  <si>
    <t>AMBALAJ ATIĞI NAYLON</t>
  </si>
  <si>
    <t>S0000091</t>
  </si>
  <si>
    <t>430 PASLANMZ ÇELİK HURDA</t>
  </si>
  <si>
    <t>S0000103</t>
  </si>
  <si>
    <t>KARIŞIK AMBALAJ</t>
  </si>
  <si>
    <t>S0000099</t>
  </si>
  <si>
    <t>GALVENİZ HURDA SAC</t>
  </si>
  <si>
    <t>FACTORY DISASSEMBLY SCRAP</t>
  </si>
  <si>
    <t>Scrap Contamined Packacing</t>
  </si>
  <si>
    <t>Scrap Oil</t>
  </si>
  <si>
    <t>VALUABLE SCRAP MATERIAL</t>
  </si>
  <si>
    <t>Adjustment</t>
  </si>
  <si>
    <t>Variance</t>
  </si>
  <si>
    <t>Variance EUR</t>
  </si>
  <si>
    <t>March Actual</t>
  </si>
  <si>
    <t>TL</t>
  </si>
  <si>
    <t>EUR 
Fx:45</t>
  </si>
  <si>
    <t>BDG</t>
  </si>
  <si>
    <t>Depreciation current assets</t>
  </si>
  <si>
    <t>Depreciation carry over Investments</t>
  </si>
  <si>
    <t>Carry over 2025</t>
  </si>
  <si>
    <t>New Projects 2024 Oct- Dec 24 (IMTEC)</t>
  </si>
  <si>
    <t xml:space="preserve">AUC </t>
  </si>
  <si>
    <t>Depreciaiton New Investment 2025 </t>
  </si>
  <si>
    <t>ACE</t>
  </si>
  <si>
    <t>Total with ACE</t>
  </si>
  <si>
    <t>Direct labor</t>
  </si>
  <si>
    <t>Production Consumable</t>
  </si>
  <si>
    <t>Indirect Labor</t>
  </si>
  <si>
    <t>DELTA</t>
  </si>
  <si>
    <t>Project description</t>
  </si>
  <si>
    <t>Project Year</t>
  </si>
  <si>
    <t>Description</t>
  </si>
  <si>
    <t>Cost driver</t>
  </si>
  <si>
    <t>January</t>
  </si>
  <si>
    <t>Row Labels</t>
  </si>
  <si>
    <t>Sum of January</t>
  </si>
  <si>
    <t>EOLO Assembly Lines 140pcs/hr + 1 Operator Improvement Project</t>
  </si>
  <si>
    <t>Capacity increase + HC Reduction</t>
  </si>
  <si>
    <t>Slim HP Line project ( 1 Operator - 60 sec x SKU)</t>
  </si>
  <si>
    <t>HC Reduction</t>
  </si>
  <si>
    <t>Efficiency improvement (1%)</t>
  </si>
  <si>
    <t>Efficiency</t>
  </si>
  <si>
    <t>Assembly Lines Rebalance/TC Reduction- Step1 145pcs/h</t>
  </si>
  <si>
    <t>Capacity increase</t>
  </si>
  <si>
    <t>Liquid Seal Machine</t>
  </si>
  <si>
    <t>Front Flange Automatic Part Feeding System</t>
  </si>
  <si>
    <t>Rear Flange Automatic Part Feeding System</t>
  </si>
  <si>
    <t>Recovering the hot air of compressor by transferring to pres area</t>
  </si>
  <si>
    <t>Energy</t>
  </si>
  <si>
    <t xml:space="preserve">Automisation of radiant heaters to prevent manual intervertion. </t>
  </si>
  <si>
    <t xml:space="preserve">Radiant layout change </t>
  </si>
  <si>
    <t>Security costs</t>
  </si>
  <si>
    <t>Ext HC Reduction</t>
  </si>
  <si>
    <t>Cleaning cost</t>
  </si>
  <si>
    <t>Fuel costs</t>
  </si>
  <si>
    <t>Supplier Change</t>
  </si>
  <si>
    <t>Uniforms costs</t>
  </si>
  <si>
    <t>Low Cost Fx Opportunty</t>
  </si>
  <si>
    <t>Commuting from 70% to 72%</t>
  </si>
  <si>
    <t>Efficiency Improvement</t>
  </si>
  <si>
    <t>Canteen overtime ratio optimization</t>
  </si>
  <si>
    <t>Paper towel elimination</t>
  </si>
  <si>
    <t>Electric Dyer Usage</t>
  </si>
  <si>
    <t>Edenred tax elimination</t>
  </si>
  <si>
    <t>Blue Collar Overhead Semifixed Gain</t>
  </si>
  <si>
    <t>Gain from HC reduction</t>
  </si>
  <si>
    <t>TD - Repacking for Bulky Parts- HC Decrease</t>
  </si>
  <si>
    <t>TD - A Class Material Feeding (Line-1)- HC Decrease</t>
  </si>
  <si>
    <t>TD - A Class Material Feeding (Line-2)- HC Decrease</t>
  </si>
  <si>
    <t>TD - Slim Line NVAA Decrease for all POU- HC Decrease</t>
  </si>
  <si>
    <t>Ramp up efficiency increase</t>
  </si>
  <si>
    <t>Ramp up optimization</t>
  </si>
  <si>
    <t>Maintenance spare parts optimization</t>
  </si>
  <si>
    <t>Maintenance</t>
  </si>
  <si>
    <t>Tariff</t>
  </si>
  <si>
    <t>hwtw</t>
  </si>
  <si>
    <t xml:space="preserve">STD 2026 _1st round </t>
  </si>
  <si>
    <t>STD 2026 _flex</t>
  </si>
  <si>
    <t xml:space="preserve">HWTW </t>
  </si>
  <si>
    <t xml:space="preserve">FX+Price Variances </t>
  </si>
  <si>
    <t xml:space="preserve">Price &amp; FX </t>
  </si>
  <si>
    <t xml:space="preserve">Upload One Plan </t>
  </si>
  <si>
    <t xml:space="preserve">VARIANCES </t>
  </si>
  <si>
    <t xml:space="preserve">HW / TW 
</t>
  </si>
  <si>
    <t xml:space="preserve">Price FX 
</t>
  </si>
  <si>
    <t xml:space="preserve">Mix </t>
  </si>
  <si>
    <t>seasonality 1</t>
  </si>
  <si>
    <t xml:space="preserve">mfg vs upload </t>
  </si>
  <si>
    <t xml:space="preserve">ACE + HWTW+ price +seasonality </t>
  </si>
  <si>
    <t xml:space="preserve">seasonlaity </t>
  </si>
  <si>
    <t>Headcount 2026 (ACT + FCST)</t>
  </si>
  <si>
    <t>Sep</t>
  </si>
  <si>
    <t>Funcitonal Currency</t>
  </si>
  <si>
    <t>Aylandırma detayı olmadığı için aylık üretim adetleri ile kırdım.</t>
  </si>
  <si>
    <t xml:space="preserve">FCST 2026 </t>
  </si>
  <si>
    <t xml:space="preserve">FCST Reporting _ VAR vs Budget </t>
  </si>
  <si>
    <t xml:space="preserve">K€ </t>
  </si>
  <si>
    <t xml:space="preserve">Efficiency </t>
  </si>
  <si>
    <t xml:space="preserve">Price </t>
  </si>
  <si>
    <t xml:space="preserve">FX </t>
  </si>
  <si>
    <t xml:space="preserve">Others </t>
  </si>
  <si>
    <t xml:space="preserve">Actual Volume </t>
  </si>
  <si>
    <t xml:space="preserve">Volume Variance </t>
  </si>
  <si>
    <t xml:space="preserve">Total Budget Variances </t>
  </si>
  <si>
    <t>FCST 2026</t>
  </si>
  <si>
    <t xml:space="preserve">YTG </t>
  </si>
  <si>
    <t>BUDGET</t>
  </si>
  <si>
    <t>1.5 hqd included</t>
  </si>
  <si>
    <t xml:space="preserve">MFG </t>
  </si>
  <si>
    <t>PTK4M00WAB</t>
  </si>
  <si>
    <t>PTK4M00WAC</t>
  </si>
  <si>
    <t>PTK4M00WAD</t>
  </si>
  <si>
    <t>PTK4M00WAE</t>
  </si>
  <si>
    <t>PTK4M00WAF</t>
  </si>
  <si>
    <t>PTK4M00WAG</t>
  </si>
  <si>
    <t>PTK4M00WAH</t>
  </si>
  <si>
    <t>PTK4M00WAI</t>
  </si>
  <si>
    <t>PTK4M00WAJ</t>
  </si>
  <si>
    <t>PTK4M00WAK</t>
  </si>
  <si>
    <t>PTK4M00WYD</t>
  </si>
  <si>
    <t xml:space="preserve">Overhead </t>
  </si>
  <si>
    <t>PTK4Y00WYE</t>
  </si>
  <si>
    <t>Apr</t>
  </si>
  <si>
    <t>Jun</t>
  </si>
  <si>
    <t>Jul</t>
  </si>
  <si>
    <t xml:space="preserve">STD Volume </t>
  </si>
  <si>
    <t>DW 2</t>
  </si>
  <si>
    <t>FS</t>
  </si>
  <si>
    <t>BI</t>
  </si>
  <si>
    <t>KIT</t>
  </si>
  <si>
    <t>DIR HOURLY COST</t>
  </si>
  <si>
    <t>MONTHLY COST</t>
  </si>
  <si>
    <t>Level of P&amp;L</t>
  </si>
  <si>
    <t>FY</t>
  </si>
  <si>
    <t>Line speed 130 to 135</t>
  </si>
  <si>
    <t>Line speed 135 to 140</t>
  </si>
  <si>
    <t>AIDA recycled oil usage in Erkekoğlu Press</t>
  </si>
  <si>
    <t>Factory air conditioning units working optimazation for energy saving</t>
  </si>
  <si>
    <t>Factory lightening optimization for energy saving</t>
  </si>
  <si>
    <t>AGV Replace Operator (Tub transportation)-Chinese Supplier</t>
  </si>
  <si>
    <t>Inner door Scrap reduction</t>
  </si>
  <si>
    <t>Sump Pre-Assy line NEW Semi Automatic Line - Chinese Supplier</t>
  </si>
  <si>
    <t>C/L-Pipe &amp; Heater Auto Assembly and Taping-Chinese Supplier</t>
  </si>
  <si>
    <t>Sump and Hub screwing automation-Chinese Supplier</t>
  </si>
  <si>
    <t>User manual pack automation</t>
  </si>
  <si>
    <t>Automatic EPS assembly</t>
  </si>
  <si>
    <t>ACTUAL</t>
  </si>
  <si>
    <t>PERIMETER</t>
  </si>
  <si>
    <t>HQD REPORTING -EXCLUDED COST ITEMS</t>
  </si>
  <si>
    <t>IN</t>
  </si>
  <si>
    <t>OUT</t>
  </si>
  <si>
    <t>X</t>
  </si>
  <si>
    <t>Production Consummables</t>
  </si>
  <si>
    <t>Should be under shares</t>
  </si>
  <si>
    <t>Target'tan çıkarılırken bütçe değerleri alınabilir.</t>
  </si>
  <si>
    <t xml:space="preserve">Jan </t>
  </si>
  <si>
    <t xml:space="preserve">FEB </t>
  </si>
  <si>
    <t>MAR</t>
  </si>
  <si>
    <t>APR</t>
  </si>
  <si>
    <t>MAY</t>
  </si>
  <si>
    <t>JUNE</t>
  </si>
  <si>
    <t>JULY</t>
  </si>
  <si>
    <t>AUG</t>
  </si>
  <si>
    <t>SEPT</t>
  </si>
  <si>
    <t>OCT</t>
  </si>
  <si>
    <t>NOV</t>
  </si>
  <si>
    <t>DEC</t>
  </si>
  <si>
    <t>1_Act. Costs</t>
  </si>
  <si>
    <t>2_Act. Costs</t>
  </si>
  <si>
    <t>3_Act. Costs</t>
  </si>
  <si>
    <t>4_Act. Costs</t>
  </si>
  <si>
    <t>5_Act. Costs</t>
  </si>
  <si>
    <t>6_Act. Costs</t>
  </si>
  <si>
    <t>7_Act. Costs</t>
  </si>
  <si>
    <t>8_Act. Costs</t>
  </si>
  <si>
    <t>9_Act. Costs</t>
  </si>
  <si>
    <t>10_Act. Costs</t>
  </si>
  <si>
    <t>11_Act. Costs</t>
  </si>
  <si>
    <t>12_Act. Costs</t>
  </si>
  <si>
    <t xml:space="preserve">    6666040215  Product sample fee</t>
  </si>
  <si>
    <t xml:space="preserve">    5401050201  COGS-Special a</t>
  </si>
  <si>
    <t xml:space="preserve">    5401020212  Local Transpor</t>
  </si>
  <si>
    <t xml:space="preserve">    6666010315  Other labor su</t>
  </si>
  <si>
    <t xml:space="preserve">    6666020901  Equipment spare parts</t>
  </si>
  <si>
    <t>Debit</t>
  </si>
  <si>
    <t>Credit</t>
  </si>
  <si>
    <t>Over/Under</t>
  </si>
  <si>
    <t>CS_Depreci</t>
  </si>
  <si>
    <t xml:space="preserve">CS_Direct </t>
  </si>
  <si>
    <t>CS_Fix Cos</t>
  </si>
  <si>
    <t>CS_Variabl</t>
  </si>
  <si>
    <t>CS_Indirec</t>
  </si>
  <si>
    <t>CS_Fixed L</t>
  </si>
  <si>
    <t>CS_Semifix</t>
  </si>
  <si>
    <t>TOTAL ACTUAL</t>
  </si>
  <si>
    <t>???</t>
  </si>
  <si>
    <t>Mess, Local IT, Security</t>
  </si>
  <si>
    <t>BDG FX</t>
  </si>
  <si>
    <t>ACT FX</t>
  </si>
  <si>
    <t xml:space="preserve">Highlights; </t>
  </si>
  <si>
    <t>MFG</t>
  </si>
  <si>
    <t>Price</t>
  </si>
  <si>
    <t>1+11Forecast</t>
  </si>
  <si>
    <t>Ongoing</t>
  </si>
  <si>
    <t>IKEA cartoon bendin&amp;feeding</t>
  </si>
  <si>
    <t>Injection parts TC improvement(3 sec)</t>
  </si>
  <si>
    <t>ADDITION</t>
  </si>
  <si>
    <t xml:space="preserve">Packing line speed </t>
  </si>
  <si>
    <t>Temporary Worker Effect</t>
  </si>
  <si>
    <t>Forecaste koyma</t>
  </si>
  <si>
    <t>Asset Life Extension (Tools &amp; Macine)</t>
  </si>
  <si>
    <t>SEMIFIXED BENEFIT</t>
  </si>
  <si>
    <t>Semifixed Costs</t>
  </si>
  <si>
    <t>Canteen(Yearly)</t>
  </si>
  <si>
    <t>Uniforms (Yearly)</t>
  </si>
  <si>
    <t>Service (Yearly)</t>
  </si>
  <si>
    <t>Semifixed costs</t>
  </si>
  <si>
    <t>CANCELED</t>
  </si>
  <si>
    <t>Fixed Utiliites</t>
  </si>
  <si>
    <t xml:space="preserve">Semifixed </t>
  </si>
  <si>
    <t>Ace</t>
  </si>
  <si>
    <t>GROSS</t>
  </si>
  <si>
    <t>PRICE&amp;FX</t>
  </si>
  <si>
    <t>Low cost effect std vs act bdg</t>
  </si>
  <si>
    <t>Budget26</t>
  </si>
  <si>
    <t>Δ vs Flex.</t>
  </si>
  <si>
    <t>Total Variance</t>
  </si>
  <si>
    <t>6666021602</t>
  </si>
  <si>
    <t>CS_Fix UT</t>
  </si>
  <si>
    <t xml:space="preserve">    6666010315  Other labor supplies</t>
  </si>
  <si>
    <t>S&amp;op</t>
  </si>
  <si>
    <t>G&amp;A difference</t>
  </si>
  <si>
    <t>DIFF</t>
  </si>
  <si>
    <t>Yend Accrual</t>
  </si>
  <si>
    <t>Aging Report</t>
  </si>
  <si>
    <t>NET DIFF</t>
  </si>
  <si>
    <t>Reversal Accrual</t>
  </si>
  <si>
    <t>ACT COST</t>
  </si>
  <si>
    <t>6 K€ loss ( Direct HC worked as Indirect because of volume cut--&gt;excess manpower)</t>
  </si>
  <si>
    <t>35 K€ loss unefficiency due to volume cut</t>
  </si>
  <si>
    <t xml:space="preserve">    5001010204  Cost of Manufa</t>
  </si>
  <si>
    <t xml:space="preserve">    6666021103  Consulting expense-finance</t>
  </si>
  <si>
    <t xml:space="preserve">    5001010204  Cost of Manufacture - Finished Good</t>
  </si>
  <si>
    <t xml:space="preserve">18 K€ loss uniforms winter&amp;summer shoe, trouser, shirt purchase (Bdg HC 380 vs Act HC 515), 20.2 K€ loss uniforms seasonality effect
</t>
  </si>
  <si>
    <t>Obsolete Movement</t>
  </si>
  <si>
    <t>3 Months</t>
  </si>
  <si>
    <t>AGV Replace Operators-( Logistic operators)</t>
  </si>
  <si>
    <t>İnternal logistic headcound reduction - 1 operator -New- hinge handling elimination</t>
  </si>
  <si>
    <t>İnternal logistic headcound reduction - 1 operator - New- hinge handling elimination</t>
  </si>
  <si>
    <t>Internal logistic headcound reduction - 1 operator - New-internal logistic optimizaiton</t>
  </si>
  <si>
    <t xml:space="preserve">    6666020406  Company car expense - fuel costs</t>
  </si>
  <si>
    <t>YTD_3Volume</t>
  </si>
  <si>
    <t>Code</t>
  </si>
  <si>
    <t>Toplam Qty</t>
  </si>
  <si>
    <t>Ortalama Unit price</t>
  </si>
  <si>
    <t>Toplam Total amount</t>
  </si>
  <si>
    <t>Others</t>
  </si>
  <si>
    <t>Genel Toplam</t>
  </si>
  <si>
    <t>BÜTÇE</t>
  </si>
  <si>
    <t>304 PASLANMZ ÇELİK HURDA</t>
  </si>
  <si>
    <t>Volume</t>
  </si>
  <si>
    <t>PRICE LOSS TL</t>
  </si>
  <si>
    <t>MFG LOSS TL</t>
  </si>
  <si>
    <t>PRICE LOSS EUR</t>
  </si>
  <si>
    <t>MFG LOSS EUR</t>
  </si>
  <si>
    <t>KG</t>
  </si>
  <si>
    <t>x</t>
  </si>
  <si>
    <t>Apr-DEC QTY</t>
  </si>
  <si>
    <t>DEĞERLİ HURDA MALZEME</t>
  </si>
  <si>
    <t>FABRİKA DEMONTAJ HURDA</t>
  </si>
  <si>
    <t>Causal ID</t>
  </si>
  <si>
    <t>Causal Description</t>
  </si>
  <si>
    <t>STAMPING</t>
  </si>
  <si>
    <t>UoM</t>
  </si>
  <si>
    <t>100</t>
  </si>
  <si>
    <t>PERSONNEL LOSSES</t>
  </si>
  <si>
    <t>101</t>
  </si>
  <si>
    <t>TRAINING ON THE JOB</t>
  </si>
  <si>
    <t>102</t>
  </si>
  <si>
    <t>EXTRA-CYCLE</t>
  </si>
  <si>
    <t>103</t>
  </si>
  <si>
    <t>EQUIPMENT MATERIAL HANDLING</t>
  </si>
  <si>
    <t>104</t>
  </si>
  <si>
    <t>EQUIPMENT CHANGE OVER</t>
  </si>
  <si>
    <t>105</t>
  </si>
  <si>
    <t>MATERIAL HANDLING</t>
  </si>
  <si>
    <t>106</t>
  </si>
  <si>
    <t>MATERIAL SHORTAGE</t>
  </si>
  <si>
    <t>107</t>
  </si>
  <si>
    <t>REWORKS</t>
  </si>
  <si>
    <t>108</t>
  </si>
  <si>
    <t>AUTONOMOUS MAINTENANCE</t>
  </si>
  <si>
    <t>109</t>
  </si>
  <si>
    <t>EQUIPMENT BREAKDOWN</t>
  </si>
  <si>
    <t>110</t>
  </si>
  <si>
    <t>FIRST AID</t>
  </si>
  <si>
    <t>111</t>
  </si>
  <si>
    <t>BREAKS</t>
  </si>
  <si>
    <t>112</t>
  </si>
  <si>
    <t>POWER OUTAGES, WEATHER DAMAGE</t>
  </si>
  <si>
    <t>113</t>
  </si>
  <si>
    <t>TRANSFERRED HOURS</t>
  </si>
  <si>
    <t>114</t>
  </si>
  <si>
    <t>OPERATORS UNAVAILABILITY</t>
  </si>
  <si>
    <t>115</t>
  </si>
  <si>
    <t>REGULATION &amp; ADJUSTMENTS</t>
  </si>
  <si>
    <t>116</t>
  </si>
  <si>
    <t>START-UP / SHUT-DOWN</t>
  </si>
  <si>
    <t>117</t>
  </si>
  <si>
    <t>UPSTREAM/DOWNSTREAM LOSSES</t>
  </si>
  <si>
    <t>118</t>
  </si>
  <si>
    <t>MICROSTOPPAGES</t>
  </si>
  <si>
    <t>119</t>
  </si>
  <si>
    <t>SPEED REDUCTION</t>
  </si>
  <si>
    <t>120</t>
  </si>
  <si>
    <t>TH R&amp;D</t>
  </si>
  <si>
    <t>121</t>
  </si>
  <si>
    <t>TH SUPPLIER</t>
  </si>
  <si>
    <t>122</t>
  </si>
  <si>
    <t>TH PROCUREMENT</t>
  </si>
  <si>
    <t>123</t>
  </si>
  <si>
    <t>TH CUSTOMER SERVICE</t>
  </si>
  <si>
    <t>124</t>
  </si>
  <si>
    <t>TH MARKETS</t>
  </si>
  <si>
    <t>125</t>
  </si>
  <si>
    <t>TH MANUFACTURING</t>
  </si>
  <si>
    <t>A</t>
  </si>
  <si>
    <t>TOTAL WORKED TIME</t>
  </si>
  <si>
    <t>H</t>
  </si>
  <si>
    <t>B</t>
  </si>
  <si>
    <t>TOTAL ASSIGNED TIME (EFFECTIVE TIME)</t>
  </si>
  <si>
    <t>TOTAL PLANNED TIME</t>
  </si>
  <si>
    <t>I</t>
  </si>
  <si>
    <t>STANDART TIME/COSTING ROUTINGS</t>
  </si>
  <si>
    <t>L</t>
  </si>
  <si>
    <t>PRODUCTIVITY INDEX</t>
  </si>
  <si>
    <t>Q</t>
  </si>
  <si>
    <t>TOTAL SPENT TIME</t>
  </si>
  <si>
    <t>R</t>
  </si>
  <si>
    <t>PRODUCTION EFFICIENCY</t>
  </si>
  <si>
    <t>Supplier</t>
  </si>
  <si>
    <t>R&amp;D</t>
  </si>
  <si>
    <t>Marketing</t>
  </si>
  <si>
    <t xml:space="preserve">Assigned time / Spent time </t>
  </si>
  <si>
    <t xml:space="preserve">Targeted Assigned time </t>
  </si>
  <si>
    <t xml:space="preserve">Targeted Efficiency </t>
  </si>
  <si>
    <t>Inefficiency Eur</t>
  </si>
  <si>
    <t>Inefficiency TL</t>
  </si>
  <si>
    <t>Labour efficiency</t>
  </si>
  <si>
    <t>cycle time ı etkilemez.</t>
  </si>
  <si>
    <t>Act</t>
  </si>
  <si>
    <t>Bud</t>
  </si>
  <si>
    <t xml:space="preserve">delta price </t>
  </si>
  <si>
    <t>delta price €</t>
  </si>
  <si>
    <t>Yemek birim fiyat</t>
  </si>
  <si>
    <t xml:space="preserve">    6666020302 Communication Expenses</t>
  </si>
  <si>
    <t>%</t>
  </si>
  <si>
    <t>PTK4</t>
  </si>
  <si>
    <t>LINE</t>
  </si>
  <si>
    <t>PAINTSHOP</t>
  </si>
  <si>
    <t>PLASTIC INJ</t>
  </si>
  <si>
    <t>TAMPOGRAPHY</t>
  </si>
  <si>
    <t>Quarantine stock trend 2026 week 16</t>
  </si>
  <si>
    <t>ITCY</t>
  </si>
  <si>
    <t xml:space="preserve">User Manual IS Update </t>
  </si>
  <si>
    <t>VDE customer identification number on Product Labels IKEA.</t>
  </si>
  <si>
    <t>MEFA</t>
  </si>
  <si>
    <t>ck</t>
  </si>
  <si>
    <t>COIL</t>
  </si>
  <si>
    <t>ISKUR</t>
  </si>
  <si>
    <t>ok</t>
  </si>
  <si>
    <t>OK</t>
  </si>
  <si>
    <t>TEK</t>
  </si>
  <si>
    <t>VARDİYA</t>
  </si>
  <si>
    <t>TEK/MALİYET</t>
  </si>
  <si>
    <t>VARDİYA/MALİYET</t>
  </si>
  <si>
    <t xml:space="preserve">tek </t>
  </si>
  <si>
    <t>vardiya</t>
  </si>
  <si>
    <t>MİNİ</t>
  </si>
  <si>
    <t>MİDİ</t>
  </si>
  <si>
    <t>OTOBÜS</t>
  </si>
  <si>
    <t xml:space="preserve">actual ortalama </t>
  </si>
  <si>
    <t xml:space="preserve">bütce ortalama </t>
  </si>
  <si>
    <t xml:space="preserve">price impact </t>
  </si>
  <si>
    <t>Unit Price For Washing</t>
  </si>
  <si>
    <t>February</t>
  </si>
  <si>
    <t>September</t>
  </si>
  <si>
    <t>October</t>
  </si>
  <si>
    <t>November</t>
  </si>
  <si>
    <t>December</t>
  </si>
  <si>
    <t>Capacity</t>
  </si>
  <si>
    <t>Target Saturation rate</t>
  </si>
  <si>
    <t>Minibus Target Capacity</t>
  </si>
  <si>
    <t>Unit price per HC</t>
  </si>
  <si>
    <t>-1 K€ gain meal price, 5 k€loss on shuttle</t>
  </si>
  <si>
    <t>-23 K€ gain due to 10 HC less, -197k€ gain due to ISKUR, 35 k€ loss related ovt  -2.45 K€ loss annual leave,  -29 K€ gain festivity payment due to 113 HC less than bdg</t>
  </si>
  <si>
    <t>77 K€ loss salary,25 K€ loss overtime, -7 K€ gain TIS Accrual social aid reverse, -2 K€ gain indemnity, -63K€ salary mix gain . 72 K€ loss seasonality effect, -9.4 K€ gain festivity payment accrual, -3.72 K€ gain others 30 k€ ISKUr bayram payment</t>
  </si>
  <si>
    <t>-7 K€ gain salary, 22K€ loss salary mix,-0.29 K€ gain indemnity,-18 K€ MBO, 5.6 K€ loss other</t>
  </si>
  <si>
    <t>5 K€ loss accrual for suitcase, -20k€ entertainment, -2 K€ gain car rent, -2 K€ gain equipment rent, -1.4 K€ gain forklift rent, -5.5 K€ gain training, -5 K€ gain travel,-2.9 K€ gain cleaning, -1 K€ gain fuel</t>
  </si>
  <si>
    <t>-135 k€useful life extention project impact</t>
  </si>
  <si>
    <t>YTG</t>
  </si>
  <si>
    <t>VAR VS PREV FORECAST</t>
  </si>
  <si>
    <t>VOL</t>
  </si>
  <si>
    <t xml:space="preserve">hesaplar </t>
  </si>
  <si>
    <t>Ocak</t>
  </si>
  <si>
    <t>Şubat</t>
  </si>
  <si>
    <t>Mart</t>
  </si>
  <si>
    <t>Nisan</t>
  </si>
  <si>
    <t>Mayıs</t>
  </si>
  <si>
    <t>Haziran</t>
  </si>
  <si>
    <t>Temmuz</t>
  </si>
  <si>
    <t>Ağustos</t>
  </si>
  <si>
    <t>Eylül</t>
  </si>
  <si>
    <t>Ekim</t>
  </si>
  <si>
    <t>Kasım</t>
  </si>
  <si>
    <t>Aralık</t>
  </si>
  <si>
    <t>Price Impact</t>
  </si>
  <si>
    <t>STD PRICE</t>
  </si>
  <si>
    <t>BUDGET JAN</t>
  </si>
  <si>
    <t>BUDGET FEB</t>
  </si>
  <si>
    <t>BUDGET MARCH</t>
  </si>
  <si>
    <t>BUDGET APRIL</t>
  </si>
  <si>
    <t>BUDGET MAY</t>
  </si>
  <si>
    <t>BUDGET JUNE</t>
  </si>
  <si>
    <t>BUDGET JULY</t>
  </si>
  <si>
    <t>BUDGET AUGUST</t>
  </si>
  <si>
    <t>BUDGET SEPTEMBER</t>
  </si>
  <si>
    <t>BUDGET OCTOBER</t>
  </si>
  <si>
    <t>BUDGET NOVEMBER</t>
  </si>
  <si>
    <t>BUDGET DECEMBER</t>
  </si>
  <si>
    <t>JAN</t>
  </si>
  <si>
    <t>FEB</t>
  </si>
  <si>
    <t>MARCH</t>
  </si>
  <si>
    <t>APRIL</t>
  </si>
  <si>
    <t>AUGUST</t>
  </si>
  <si>
    <t>SEPTEMBER</t>
  </si>
  <si>
    <t>OCTOBER</t>
  </si>
  <si>
    <t>NOVEMBER</t>
  </si>
  <si>
    <t>DECEMBER</t>
  </si>
  <si>
    <t>COPERTURA</t>
  </si>
  <si>
    <t>Variance TRY</t>
  </si>
  <si>
    <t>Variance €</t>
  </si>
  <si>
    <t>VAR ACT VS COP</t>
  </si>
  <si>
    <t xml:space="preserve">TC </t>
  </si>
  <si>
    <t>Wages</t>
  </si>
  <si>
    <t>unemployment</t>
  </si>
  <si>
    <t>FM</t>
  </si>
  <si>
    <t>Overtime</t>
  </si>
  <si>
    <t>payroll taxes</t>
  </si>
  <si>
    <t>Salary - Blue collar direct employees</t>
  </si>
  <si>
    <t>Labour Efficiency</t>
  </si>
  <si>
    <t>Bonus</t>
  </si>
  <si>
    <t>Salary accrued</t>
  </si>
  <si>
    <t>Overtime-Blue Collar-Direct</t>
  </si>
  <si>
    <t>Aid In Cash</t>
  </si>
  <si>
    <t>overtime</t>
  </si>
  <si>
    <t>Payroll Taxes - Blue Collar Direct</t>
  </si>
  <si>
    <t>Social. Sec.</t>
  </si>
  <si>
    <t>Unemployment Insurance -blue collar-Dire</t>
  </si>
  <si>
    <t>Unemployment</t>
  </si>
  <si>
    <t>indemnity</t>
  </si>
  <si>
    <t>Incentive</t>
  </si>
  <si>
    <t xml:space="preserve">Tariff </t>
  </si>
  <si>
    <t>R&amp;D Incentive</t>
  </si>
  <si>
    <t>incentive</t>
  </si>
  <si>
    <t xml:space="preserve">Bordro Ücret </t>
  </si>
  <si>
    <t xml:space="preserve">Salary Salary Increase </t>
  </si>
  <si>
    <t xml:space="preserve">Bordro Indemnity </t>
  </si>
  <si>
    <t>Indemnity</t>
  </si>
  <si>
    <t xml:space="preserve">Indemnity karsılık </t>
  </si>
  <si>
    <t xml:space="preserve">ındemnity </t>
  </si>
  <si>
    <t>GT</t>
  </si>
  <si>
    <t>STRECH</t>
  </si>
  <si>
    <t xml:space="preserve">vacation </t>
  </si>
  <si>
    <t xml:space="preserve">Kıdem düzeltme </t>
  </si>
  <si>
    <t>TD_BDG NET COST</t>
  </si>
  <si>
    <t xml:space="preserve">Vacation </t>
  </si>
  <si>
    <t>Toolshop</t>
  </si>
  <si>
    <t>Transferred Cost</t>
  </si>
  <si>
    <t>Aid in Cash Provision</t>
  </si>
  <si>
    <t>SGK destek</t>
  </si>
  <si>
    <t>COILTECH</t>
  </si>
  <si>
    <t>FX IMPACT</t>
  </si>
  <si>
    <t>Ck1 den Ck2 ye emaye  ve sac transferi</t>
  </si>
  <si>
    <t>EDENRED</t>
  </si>
  <si>
    <t>RESTRUCTURE</t>
  </si>
  <si>
    <t>tazminat</t>
  </si>
  <si>
    <t>TIS</t>
  </si>
  <si>
    <t>shared</t>
  </si>
  <si>
    <t>Sayım+union Dir-İnd transfer</t>
  </si>
  <si>
    <t>Union Stoppage Transfer</t>
  </si>
  <si>
    <t>Dwden Ckya transfer</t>
  </si>
  <si>
    <t>HW/TW</t>
  </si>
  <si>
    <t>Strech</t>
  </si>
  <si>
    <t>act fx</t>
  </si>
  <si>
    <t>HC BUDGET</t>
  </si>
  <si>
    <t>HC ACTUAL</t>
  </si>
  <si>
    <t>COST PER HDC BUDGET</t>
  </si>
  <si>
    <t>inefficiency effect</t>
  </si>
  <si>
    <t>COST PER HDC ACT</t>
  </si>
  <si>
    <t>Salary impact</t>
  </si>
  <si>
    <t>Salary impact Euro</t>
  </si>
  <si>
    <t>Eff</t>
  </si>
  <si>
    <t>Ramp Up virmanı</t>
  </si>
  <si>
    <t>TOTAL DIF</t>
  </si>
  <si>
    <t>REPORTED DIF</t>
  </si>
  <si>
    <t>?</t>
  </si>
  <si>
    <t>FX</t>
  </si>
  <si>
    <t>Dif</t>
  </si>
  <si>
    <t>ACT VOL</t>
  </si>
  <si>
    <t>BUD VOL</t>
  </si>
  <si>
    <t>5001010206</t>
  </si>
  <si>
    <t>6666010184</t>
  </si>
  <si>
    <t>BUDGET january</t>
  </si>
  <si>
    <t>BUDGET february</t>
  </si>
  <si>
    <t>JAN ACT</t>
  </si>
  <si>
    <t>FEB ACT</t>
  </si>
  <si>
    <t>MARCH ACT</t>
  </si>
  <si>
    <t>APRIL ACT</t>
  </si>
  <si>
    <t>MAY ACT</t>
  </si>
  <si>
    <t>JUNE ACT</t>
  </si>
  <si>
    <t>JULY ACT</t>
  </si>
  <si>
    <t>AUG ACT</t>
  </si>
  <si>
    <t>SEP ACT</t>
  </si>
  <si>
    <t>OCT ACT</t>
  </si>
  <si>
    <t>NOV ACT</t>
  </si>
  <si>
    <t>DEC ACT</t>
  </si>
  <si>
    <t xml:space="preserve">Indirect </t>
  </si>
  <si>
    <t>6666010186</t>
  </si>
  <si>
    <t>Salary+vacation</t>
  </si>
  <si>
    <t xml:space="preserve">Salaries </t>
  </si>
  <si>
    <t xml:space="preserve">Delta HC </t>
  </si>
  <si>
    <t>6666010189</t>
  </si>
  <si>
    <t xml:space="preserve">Overtime </t>
  </si>
  <si>
    <t xml:space="preserve">Transferred hours </t>
  </si>
  <si>
    <t>6666010012</t>
  </si>
  <si>
    <t>Payroll Taxes</t>
  </si>
  <si>
    <t>ovt</t>
  </si>
  <si>
    <t>6666010226</t>
  </si>
  <si>
    <t>salary</t>
  </si>
  <si>
    <t xml:space="preserve">Incentive </t>
  </si>
  <si>
    <t>6666010102</t>
  </si>
  <si>
    <t xml:space="preserve">Unemployment Insurance </t>
  </si>
  <si>
    <t xml:space="preserve">Salary </t>
  </si>
  <si>
    <t>Vacation</t>
  </si>
  <si>
    <t>DW-CK</t>
  </si>
  <si>
    <t>Sayım</t>
  </si>
  <si>
    <t>union</t>
  </si>
  <si>
    <t>EDENRED+SAĞLIK SİG</t>
  </si>
  <si>
    <t>transfer cost</t>
  </si>
  <si>
    <t xml:space="preserve">Other </t>
  </si>
  <si>
    <t>Tazminat</t>
  </si>
  <si>
    <t>Aid Provision</t>
  </si>
  <si>
    <t>Fx impact</t>
  </si>
  <si>
    <t>DW transfer</t>
  </si>
  <si>
    <t xml:space="preserve">IMTECH </t>
  </si>
  <si>
    <t xml:space="preserve">IND OPER </t>
  </si>
  <si>
    <t>SHARED BC</t>
  </si>
  <si>
    <t>İlaveler+bordro dısı ödeme+Edenred</t>
  </si>
  <si>
    <t>sgk destek</t>
  </si>
  <si>
    <t>Indemnity Düzeltme</t>
  </si>
  <si>
    <t>union stoppage+ counting+transfer</t>
  </si>
  <si>
    <t>CK2</t>
  </si>
  <si>
    <t>HC Actual</t>
  </si>
  <si>
    <t>HC Budget</t>
  </si>
  <si>
    <t>Delta HDC</t>
  </si>
  <si>
    <t>Delta HDC Euro</t>
  </si>
  <si>
    <t>adjust</t>
  </si>
  <si>
    <t>Inventory counting</t>
  </si>
  <si>
    <t xml:space="preserve">Ocak </t>
  </si>
  <si>
    <t xml:space="preserve">Şubat </t>
  </si>
  <si>
    <t xml:space="preserve">MART </t>
  </si>
  <si>
    <t xml:space="preserve">Nisan </t>
  </si>
  <si>
    <t xml:space="preserve">JULY </t>
  </si>
  <si>
    <t xml:space="preserve">August </t>
  </si>
  <si>
    <t xml:space="preserve">September </t>
  </si>
  <si>
    <t xml:space="preserve">OCT </t>
  </si>
  <si>
    <t xml:space="preserve">DEC </t>
  </si>
  <si>
    <t>VARIANCE</t>
  </si>
  <si>
    <t>+</t>
  </si>
  <si>
    <t>Salary</t>
  </si>
  <si>
    <t>BUDGET January</t>
  </si>
  <si>
    <t>BUDGET February</t>
  </si>
  <si>
    <t>BUDGET March</t>
  </si>
  <si>
    <t>payrol ltaxes</t>
  </si>
  <si>
    <t xml:space="preserve">unemployment </t>
  </si>
  <si>
    <t xml:space="preserve">Bonus </t>
  </si>
  <si>
    <t>Salary+unused vacation</t>
  </si>
  <si>
    <t xml:space="preserve">Aıd in Cash </t>
  </si>
  <si>
    <t xml:space="preserve">Taxes </t>
  </si>
  <si>
    <t xml:space="preserve">Bordro Imtech </t>
  </si>
  <si>
    <t xml:space="preserve">MBO Accrual </t>
  </si>
  <si>
    <t xml:space="preserve">MBO </t>
  </si>
  <si>
    <t xml:space="preserve">shared </t>
  </si>
  <si>
    <t>HS DAĞITIM</t>
  </si>
  <si>
    <t>HQD</t>
  </si>
  <si>
    <t>IMPORT Dağıtım</t>
  </si>
  <si>
    <t>IMTEC Dağıtım</t>
  </si>
  <si>
    <t>IND OPERS DAĞITIM</t>
  </si>
  <si>
    <t>EDENRD+SAĞLIK</t>
  </si>
  <si>
    <t>Rump up</t>
  </si>
  <si>
    <t>aid provision</t>
  </si>
  <si>
    <t>Cooking Imtech virmanı Ocak - Nisan</t>
  </si>
  <si>
    <t xml:space="preserve">IND OP </t>
  </si>
  <si>
    <t>edenred</t>
  </si>
  <si>
    <t>China crosscharge</t>
  </si>
  <si>
    <t>Fx  impact</t>
  </si>
  <si>
    <t xml:space="preserve">Toplam Maliyet </t>
  </si>
  <si>
    <t>Indemnity Transfer</t>
  </si>
  <si>
    <t xml:space="preserve">report </t>
  </si>
  <si>
    <t>Shared</t>
  </si>
  <si>
    <t>Adjust</t>
  </si>
  <si>
    <t>JUN-DEC</t>
  </si>
  <si>
    <t>MFG:'-17 k€ 1 HDC less than budget for 7 months.
Price: 65 k€salary  increase impact, -85 k€low salary mix impact</t>
  </si>
  <si>
    <t>MFG: -23 k€,1 HDC less than budget for 7 months.</t>
  </si>
  <si>
    <t>Eff : -231K€ 30 HC low cost effect 7 months, -123K€ gain mix, HC&amp;Efficiency, -78K€ gain MRP project, -250K€ gain İSKUR
Price :90 K€ loss Budget 25% vs Act 30 % &amp; March increase 13.8 vs forecast 16.29 %, 70 k€ ISKUR payment in October</t>
  </si>
  <si>
    <t>-0,95 M€useful life extension impact on YTG, including FC</t>
  </si>
  <si>
    <t>45 k€ salary mix impact, recalculated different than previous forecast.</t>
  </si>
  <si>
    <t>Aging risk recalculated with May prices.</t>
  </si>
  <si>
    <t>Deprecation forecast is updated, totally 1,6 m€ saving for 1 year due to useful lifetime extension impact.</t>
  </si>
  <si>
    <t>Copertura is calculated seperate for FS and BI, different than prev. FCST</t>
  </si>
  <si>
    <t>FLAT</t>
  </si>
  <si>
    <t>DW
MTD May</t>
  </si>
  <si>
    <t>GRAND TOTAL</t>
  </si>
  <si>
    <t>DW
YTD MAY</t>
  </si>
  <si>
    <t>DW
MTD MAY</t>
  </si>
  <si>
    <t>FOR YTG 100 ISKUR HDC untl October</t>
  </si>
  <si>
    <t>2025 Yend</t>
  </si>
  <si>
    <t>FCA Impact</t>
  </si>
  <si>
    <t>Price&amp;FX</t>
  </si>
  <si>
    <t>Budget 26</t>
  </si>
  <si>
    <t>Productivity</t>
  </si>
  <si>
    <t>Price &amp; FX</t>
  </si>
  <si>
    <t>FCST 5+7</t>
  </si>
  <si>
    <t>FCA&amp;Volume Variance</t>
  </si>
  <si>
    <t>Depreciation
(Useful Life Impact)</t>
  </si>
  <si>
    <t xml:space="preserve">    6666100500  Impairment of fixed assets</t>
  </si>
  <si>
    <t xml:space="preserve">    5601040000 Loss from asset sale</t>
  </si>
  <si>
    <t xml:space="preserve">    6666021400 Recruitment expense</t>
  </si>
  <si>
    <t>HURDA PLASTİK</t>
  </si>
  <si>
    <t>-50 k€ gain related with Insurance policy.</t>
  </si>
  <si>
    <t>June Closure</t>
  </si>
  <si>
    <t>Act 100 % eff vs Bdg 98 %--&gt; -150k€ gain due to ISKUR project. 7 k€loss related with ovt</t>
  </si>
  <si>
    <t>16 K€ loss salary increase, -20 K€ social allowace gain</t>
  </si>
  <si>
    <t>-6 K€ gain 3 HC less than bdg, 5 K€ loss overtime hours</t>
  </si>
  <si>
    <t>8 K€ loss salary,-9 k€ low salary mix impact</t>
  </si>
  <si>
    <t>-4K€ gain salary, 4 K€ loss salary mix, 1k€ loss on annual leave days accrual.</t>
  </si>
  <si>
    <t>-3 K€ shared gain</t>
  </si>
  <si>
    <t>-58k€gain on maintenace expenses -10 K€ gain social aids, -5k€ related with work uniforms, 11 k€gain related with shuttles.</t>
  </si>
  <si>
    <t>5+7</t>
  </si>
  <si>
    <t>COST</t>
  </si>
  <si>
    <t>56 k€ less expense on mnt</t>
  </si>
  <si>
    <t>MFG:-16 k€recharges to suppliers&amp;ITCY, -13 k€more efficient than forecast, 
Price:-10 k€ salary mix impact, -3 k€annual leave day accrual gain</t>
  </si>
  <si>
    <t>Aging risk is decreased especially for active materials</t>
  </si>
  <si>
    <t>-28 K€ gain --&gt; -21 K€ gain due to 30 HC low salary &amp; -7 K€ gain Line speed 130 to 135 &amp; Injection parts TC improvement(3 sec), 18 k€loss due to ongoing,cancelled ACE projects(related Chinese supplier&amp;EPS&amp;User manual)</t>
  </si>
  <si>
    <t>Aging risk is decreased especially for active materials compared to prev. Month</t>
  </si>
  <si>
    <t>4 k€ more scrap sales vs budget</t>
  </si>
  <si>
    <t>-1 9 K€ price gain mainly related 430 Steel and galvanize, 10 k€price difference invoice issued this month.</t>
  </si>
  <si>
    <t>Act 0,55€/box, tgt 0.48 €/box. 1k€ML posting</t>
  </si>
  <si>
    <t>-28 k€ ISKUR impact(more efficient than FCST), -16 k€recharges to suppliers&amp;ITCY, -13 k€ more efficienct than FCST, -5 k€ salary mix impact, -5 k€ less ovt than FCST -2k€ annual leave days accrual gain</t>
  </si>
  <si>
    <t>-145 K€ gain --&gt; -133K€ gain due to 30 HC low salary &amp; -12K€ gain Line speed 130 to 135 &amp; Injection parts TC improvement(3 sec)</t>
  </si>
  <si>
    <t>-8 K€ grid price electiricity gain &amp; -2 k€ solar electricity gain, -6 K€ gain seasonality effect</t>
  </si>
  <si>
    <t>-86 K€ gain  less than bdg, 1,5 K€ loss annual leave, 9 K€ loss CK to DW transfer, 26 K€ loss DIR to IND transfer (Union Protest&amp; Inventory Hours),22 K€ loss overtime hours,3 K€ loss trainee, -4 K€ gain gain festivity payment due to 16 HC less than bdg, -12 k€ ISKUR gain</t>
  </si>
  <si>
    <t xml:space="preserve"> 10 K€ loss overtime salary, 41K€ loss salary, -3 K€ gain TIS Accrual social aid reverse,4.44 k€ loss indemnity, '-5 K€ gain festivity payment accrual, -4.5 K€ gain TIS payment, 12 K€ loss others</t>
  </si>
  <si>
    <t>-29 K€ shared gain, -4,5 delta HDC gain 7K€ loss annual leave</t>
  </si>
  <si>
    <t>10K€ loss social aids(seasonality), -7 K€ gain meal, -176 K€ gain maintenance,-4 K€ gain stationery, -8 K€ gain quality, -5 k€ medical expenses</t>
  </si>
  <si>
    <t xml:space="preserve"> 13.2 K€ loss social aid price (10 KTL vs 8 KTL)+ 2 K€ tax impact due to amount diff,-4 K€ gain meal,+10 k€loss on shuttle</t>
  </si>
  <si>
    <t>-10 k€ consumption gain</t>
  </si>
  <si>
    <t>-6 K€ price gain</t>
  </si>
  <si>
    <t>-865 k€ useful life extention project impact</t>
  </si>
  <si>
    <t>-63 k€scrap sales unit price higher than budget especially on steel and galvanize</t>
  </si>
  <si>
    <t>5+7Forecast</t>
  </si>
  <si>
    <t>5+7 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</si>
</sst>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6">
    <numFmt numFmtId="8" formatCode="&quot;₺&quot;#,##0.00;[Red]\-&quot;₺&quot;#,##0.00"/>
    <numFmt numFmtId="44" formatCode="_-&quot;₺&quot;* #,##0.00_-;\-&quot;₺&quot;* #,##0.00_-;_-&quot;₺&quot;* &quot;-&quot;??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* #,##0.00\ &quot;€&quot;_-;\-* #,##0.00\ &quot;€&quot;_-;_-* &quot;-&quot;??\ &quot;€&quot;_-;_-@_-"/>
    <numFmt numFmtId="167" formatCode="#,##0.0"/>
    <numFmt numFmtId="168" formatCode="_ * #,##0.00_ ;_ * \-#,##0.00_ ;_ * &quot;-&quot;??_ ;_ @_ "/>
    <numFmt numFmtId="169" formatCode="_(* #,##0_);_(* \(#,##0\);_(* &quot;-&quot;??_);_(@_)"/>
    <numFmt numFmtId="170" formatCode="#,##0;\(#,##0\);&quot;-&quot;"/>
    <numFmt numFmtId="171" formatCode="_-* #,##0_-;\-* #,##0_-;_-* &quot;-&quot;??_-;_-@_-"/>
    <numFmt numFmtId="172" formatCode="_(* #,##0.0_);_(* \(#,##0.0\);_(* &quot;-&quot;??_);_(@_)"/>
    <numFmt numFmtId="173" formatCode="#,##0.00_-;#,##0.00\-;&quot; &quot;"/>
    <numFmt numFmtId="174" formatCode="#,##0_-\ &quot;   &quot;;#,##0\-\ &quot;   &quot;;&quot; &quot;"/>
    <numFmt numFmtId="175" formatCode="#,##0.00_-\ &quot;   &quot;;#,##0.00\-\ &quot;   &quot;;&quot; &quot;"/>
    <numFmt numFmtId="176" formatCode="#,##0_-;#,##0\-;&quot; &quot;"/>
    <numFmt numFmtId="177" formatCode="#,##0\ [$€-1]"/>
    <numFmt numFmtId="178" formatCode="_-&quot;₺&quot;* #,##0_-;\-&quot;₺&quot;* #,##0_-;_-&quot;₺&quot;* &quot;-&quot;??_-;_-@_-"/>
    <numFmt numFmtId="179" formatCode="_-[$€-2]\ * #,##0_-;\-[$€-2]\ * #,##0_-;_-[$€-2]\ * &quot;-&quot;??_-;_-@_-"/>
    <numFmt numFmtId="180" formatCode="#,##0.00_ ;\-#,##0.00\ "/>
    <numFmt numFmtId="181" formatCode="_-* #,##0.00\ &quot;₺&quot;_-;\-* #,##0.00\ &quot;₺&quot;_-;_-* &quot;-&quot;??\ &quot;₺&quot;_-;_-@_-"/>
    <numFmt numFmtId="182" formatCode="_-* #,##0.00\ _€_-;\-* #,##0.00\ _€_-;_-* &quot;-&quot;??\ _€_-;_-@_-"/>
    <numFmt numFmtId="183" formatCode="_([$€-2]\ * #,##0.00_);_([$€-2]\ * \(#,##0.00\);_([$€-2]\ * &quot;-&quot;??_);_(@_)"/>
    <numFmt numFmtId="184" formatCode="_([$€-2]\ * #,##0_);_([$€-2]\ * \(#,##0\);_([$€-2]\ * &quot;-&quot;??_);_(@_)"/>
    <numFmt numFmtId="185" formatCode="_([$€-2]\ * #,##0.0000_);_([$€-2]\ * \(#,##0.0000\);_([$€-2]\ * &quot;-&quot;??_);_(@_)"/>
    <numFmt numFmtId="186" formatCode="_(* #,##0.000_);_(* \(#,##0.000\);_(* &quot;-&quot;??_);_(@_)"/>
    <numFmt numFmtId="187" formatCode="_(* #,##0.0000_);_(* \(#,##0.0000\);_(* &quot;-&quot;??_);_(@_)"/>
    <numFmt numFmtId="188" formatCode="#,##0.0000"/>
    <numFmt numFmtId="189" formatCode="_-* #,##0.0000_-;\-* #,##0.0000_-;_-* &quot;-&quot;????_-;_-@_-"/>
    <numFmt numFmtId="190" formatCode="0.0%"/>
    <numFmt numFmtId="191" formatCode="&quot;₺&quot;#,##0.00"/>
    <numFmt numFmtId="192" formatCode="[$₺-41F]#,##0.00;\-[$₺-41F]#,##0.00"/>
    <numFmt numFmtId="193" formatCode="&quot;₺&quot;#,##0"/>
    <numFmt numFmtId="194" formatCode="_-* #,##0.0_-;\-* #,##0.0_-;_-* &quot;-&quot;??_-;_-@_-"/>
    <numFmt numFmtId="195" formatCode="_-* #,##0.0_-;\-* #,##0.0_-;_-* &quot;-&quot;?_-;_-@_-"/>
    <numFmt numFmtId="196" formatCode="#,##0.00\ [$€-1];[Red]\-#,##0.00\ [$€-1]"/>
  </numFmts>
  <fonts count="16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6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Calibri"/>
      <family val="2"/>
      <charset val="162"/>
    </font>
    <font>
      <b/>
      <sz val="11"/>
      <color rgb="FF000000"/>
      <name val="Calibri"/>
      <family val="2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8"/>
      <color rgb="FFFFFFFF"/>
      <name val="Calibri"/>
      <family val="2"/>
    </font>
    <font>
      <sz val="9"/>
      <color rgb="FFFFFFFF"/>
      <name val="Calibri"/>
      <family val="2"/>
    </font>
    <font>
      <sz val="9"/>
      <color rgb="FF000000"/>
      <name val="Calibri"/>
      <family val="2"/>
    </font>
    <font>
      <sz val="11"/>
      <color theme="1"/>
      <name val="Aptos Narrow"/>
      <family val="2"/>
      <charset val="134"/>
      <scheme val="minor"/>
    </font>
    <font>
      <sz val="10"/>
      <color rgb="FF000000"/>
      <name val="Calibri"/>
      <family val="2"/>
    </font>
    <font>
      <b/>
      <sz val="10"/>
      <color theme="1"/>
      <name val="Calibri"/>
      <family val="2"/>
    </font>
    <font>
      <sz val="11"/>
      <color rgb="FF000000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b/>
      <sz val="18"/>
      <color theme="0"/>
      <name val="Calibri"/>
      <family val="2"/>
    </font>
    <font>
      <sz val="9"/>
      <color theme="0"/>
      <name val="Calibri"/>
      <family val="2"/>
    </font>
    <font>
      <b/>
      <sz val="1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6"/>
      <color theme="0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0"/>
      <color rgb="FF000000"/>
      <name val="等线"/>
      <family val="3"/>
      <charset val="134"/>
    </font>
    <font>
      <b/>
      <sz val="10"/>
      <name val="等线"/>
      <family val="3"/>
      <charset val="134"/>
    </font>
    <font>
      <b/>
      <sz val="10"/>
      <color rgb="FFFFFFFF"/>
      <name val="等线"/>
      <family val="3"/>
      <charset val="134"/>
    </font>
    <font>
      <sz val="10"/>
      <color rgb="FFFFFFFF"/>
      <name val="等线"/>
      <family val="3"/>
      <charset val="134"/>
    </font>
    <font>
      <sz val="10"/>
      <name val="等线"/>
      <family val="3"/>
      <charset val="134"/>
    </font>
    <font>
      <sz val="11"/>
      <name val="Aptos Narrow"/>
      <family val="2"/>
      <scheme val="minor"/>
    </font>
    <font>
      <sz val="11"/>
      <name val="Calibri"/>
      <family val="2"/>
      <charset val="162"/>
    </font>
    <font>
      <sz val="11"/>
      <color rgb="FFFFFFFF"/>
      <name val="Calibri"/>
      <family val="2"/>
      <charset val="162"/>
    </font>
    <font>
      <b/>
      <sz val="11"/>
      <name val="Calibri"/>
      <family val="2"/>
      <charset val="162"/>
    </font>
    <font>
      <b/>
      <sz val="11"/>
      <name val="Aptos Narrow"/>
      <family val="2"/>
      <scheme val="minor"/>
    </font>
    <font>
      <i/>
      <sz val="11"/>
      <name val="Aptos Narrow"/>
      <family val="2"/>
      <scheme val="minor"/>
    </font>
    <font>
      <b/>
      <i/>
      <sz val="11"/>
      <color rgb="FF000000"/>
      <name val="Calibri"/>
      <family val="2"/>
    </font>
    <font>
      <i/>
      <sz val="11"/>
      <name val="Calibri"/>
      <family val="2"/>
    </font>
    <font>
      <i/>
      <sz val="11"/>
      <color rgb="FF000000"/>
      <name val="Calibri"/>
      <family val="2"/>
      <charset val="162"/>
    </font>
    <font>
      <i/>
      <sz val="11"/>
      <color rgb="FF00B050"/>
      <name val="Calibri"/>
      <family val="2"/>
    </font>
    <font>
      <i/>
      <sz val="11"/>
      <color rgb="FFFF0000"/>
      <name val="Calibri"/>
      <family val="2"/>
    </font>
    <font>
      <b/>
      <i/>
      <sz val="11"/>
      <name val="Calibri"/>
      <family val="2"/>
    </font>
    <font>
      <i/>
      <sz val="11"/>
      <color rgb="FF000000"/>
      <name val="Calibri"/>
      <family val="2"/>
    </font>
    <font>
      <b/>
      <i/>
      <sz val="11"/>
      <color rgb="FFFFFFFF"/>
      <name val="Aptos Narrow"/>
      <family val="2"/>
      <scheme val="minor"/>
    </font>
    <font>
      <sz val="10"/>
      <color theme="0"/>
      <name val="等线"/>
      <family val="3"/>
      <charset val="134"/>
    </font>
    <font>
      <sz val="8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i/>
      <u/>
      <sz val="16"/>
      <name val="Calibri"/>
      <family val="2"/>
    </font>
    <font>
      <b/>
      <sz val="10"/>
      <color theme="0"/>
      <name val="Calibri"/>
      <family val="2"/>
    </font>
    <font>
      <b/>
      <i/>
      <u/>
      <sz val="11"/>
      <color theme="1"/>
      <name val="Aptos Narrow"/>
      <family val="2"/>
      <scheme val="minor"/>
    </font>
    <font>
      <sz val="10"/>
      <name val="Calibri"/>
      <family val="2"/>
    </font>
    <font>
      <sz val="10"/>
      <color rgb="FF000000"/>
      <name val="Arial"/>
      <family val="2"/>
    </font>
    <font>
      <b/>
      <sz val="9"/>
      <color rgb="FF000000"/>
      <name val="Calibri"/>
      <family val="2"/>
    </font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0"/>
      <name val="Courier"/>
    </font>
    <font>
      <sz val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b/>
      <sz val="20"/>
      <color theme="1"/>
      <name val="Calibri"/>
      <family val="2"/>
    </font>
    <font>
      <b/>
      <sz val="24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0"/>
      <color rgb="FFFFFFFF"/>
      <name val="Roboto"/>
    </font>
    <font>
      <sz val="10"/>
      <color rgb="FF000000"/>
      <name val="Aptos Narrow"/>
      <family val="2"/>
      <charset val="162"/>
    </font>
    <font>
      <sz val="10"/>
      <color rgb="FF000000"/>
      <name val="Aptos Narrow"/>
      <family val="2"/>
    </font>
    <font>
      <sz val="11"/>
      <color theme="1"/>
      <name val="Aptos Narrow"/>
      <family val="2"/>
      <charset val="162"/>
    </font>
    <font>
      <sz val="10"/>
      <color rgb="FFFF0000"/>
      <name val="Aptos Narrow"/>
      <family val="2"/>
      <charset val="162"/>
    </font>
    <font>
      <sz val="10"/>
      <color rgb="FF00B050"/>
      <name val="Aptos Narrow"/>
      <family val="2"/>
      <charset val="162"/>
    </font>
    <font>
      <b/>
      <i/>
      <sz val="11"/>
      <color theme="7"/>
      <name val="Calibri"/>
      <family val="2"/>
    </font>
    <font>
      <b/>
      <i/>
      <sz val="14"/>
      <color theme="7"/>
      <name val="Calibri"/>
      <family val="2"/>
    </font>
    <font>
      <sz val="11"/>
      <color theme="1"/>
      <name val="Calibri"/>
      <family val="2"/>
      <charset val="162"/>
    </font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name val="Aptos Narrow"/>
      <family val="2"/>
      <charset val="162"/>
      <scheme val="minor"/>
    </font>
    <font>
      <b/>
      <sz val="11"/>
      <color rgb="FFFF0000"/>
      <name val="Aptos Narrow"/>
      <family val="2"/>
      <charset val="162"/>
      <scheme val="minor"/>
    </font>
    <font>
      <i/>
      <sz val="10"/>
      <color theme="1"/>
      <name val="Aptos Narrow"/>
      <family val="2"/>
      <charset val="162"/>
      <scheme val="minor"/>
    </font>
    <font>
      <b/>
      <sz val="11"/>
      <name val="Aptos Narrow"/>
      <family val="2"/>
      <charset val="162"/>
      <scheme val="minor"/>
    </font>
    <font>
      <sz val="11"/>
      <color theme="1"/>
      <name val="Aptos Narrow"/>
      <family val="2"/>
    </font>
    <font>
      <i/>
      <sz val="10"/>
      <color rgb="FF0070C0"/>
      <name val="Aptos Narrow"/>
      <family val="2"/>
      <scheme val="minor"/>
    </font>
    <font>
      <b/>
      <sz val="11"/>
      <color rgb="FF000000"/>
      <name val="Aptos Narrow"/>
      <family val="2"/>
    </font>
    <font>
      <b/>
      <sz val="11"/>
      <color theme="1"/>
      <name val="Aptos Narrow"/>
      <family val="2"/>
    </font>
    <font>
      <sz val="11"/>
      <color theme="0"/>
      <name val="Calibri"/>
      <family val="2"/>
    </font>
    <font>
      <b/>
      <i/>
      <sz val="11"/>
      <color theme="0"/>
      <name val="Aptos Narrow"/>
      <family val="2"/>
      <scheme val="minor"/>
    </font>
    <font>
      <b/>
      <sz val="11"/>
      <color rgb="FFFFFFFF"/>
      <name val="Aptos Narrow"/>
      <family val="2"/>
    </font>
    <font>
      <sz val="11"/>
      <color rgb="FFFF0000"/>
      <name val="Aptos Narrow"/>
      <family val="2"/>
      <scheme val="minor"/>
    </font>
    <font>
      <b/>
      <sz val="8"/>
      <color rgb="FFFFFFFF"/>
      <name val="Aptos Narrow"/>
      <family val="2"/>
      <scheme val="minor"/>
    </font>
    <font>
      <b/>
      <sz val="11"/>
      <color rgb="FFFFFFFF"/>
      <name val="Calibri"/>
      <family val="2"/>
      <charset val="162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0"/>
      <name val="Arial"/>
      <family val="2"/>
      <charset val="162"/>
    </font>
    <font>
      <sz val="11"/>
      <color rgb="FFFF0000"/>
      <name val="Calibri"/>
      <family val="2"/>
      <charset val="162"/>
    </font>
    <font>
      <sz val="10"/>
      <color rgb="FF000000"/>
      <name val="Aptos Narrow"/>
      <family val="2"/>
      <scheme val="minor"/>
    </font>
    <font>
      <sz val="9"/>
      <color theme="1"/>
      <name val="Calibri"/>
      <family val="2"/>
    </font>
    <font>
      <b/>
      <sz val="12"/>
      <color rgb="FFFF0000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rgb="FF000000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9"/>
      <color theme="0"/>
      <name val="Aptos Narrow"/>
      <family val="2"/>
      <scheme val="minor"/>
    </font>
    <font>
      <sz val="9"/>
      <color theme="0" tint="-0.14999847407452621"/>
      <name val="Aptos Narrow"/>
      <family val="2"/>
      <scheme val="minor"/>
    </font>
    <font>
      <sz val="9"/>
      <name val="Aptos Narrow"/>
      <family val="2"/>
      <scheme val="minor"/>
    </font>
    <font>
      <b/>
      <sz val="10.5"/>
      <color rgb="FF000000"/>
      <name val="Aptos"/>
      <family val="2"/>
    </font>
    <font>
      <sz val="10.5"/>
      <color rgb="FF000000"/>
      <name val="Aptos"/>
      <family val="2"/>
    </font>
    <font>
      <b/>
      <sz val="10.5"/>
      <color rgb="FFFFFFFF"/>
      <name val="Aptos"/>
      <family val="2"/>
    </font>
    <font>
      <b/>
      <sz val="10.5"/>
      <name val="Aptos"/>
      <family val="2"/>
    </font>
    <font>
      <sz val="10.5"/>
      <color rgb="FFFFFFFF"/>
      <name val="Aptos"/>
      <family val="2"/>
    </font>
    <font>
      <b/>
      <sz val="11"/>
      <color rgb="FF000000"/>
      <name val="Calibri"/>
      <family val="2"/>
      <charset val="162"/>
    </font>
    <font>
      <b/>
      <sz val="11"/>
      <color rgb="FF000000"/>
      <name val="等线"/>
      <family val="2"/>
    </font>
    <font>
      <sz val="11"/>
      <color rgb="FF000000"/>
      <name val="等线"/>
      <family val="2"/>
    </font>
    <font>
      <sz val="9"/>
      <color rgb="FF000000"/>
      <name val="等线"/>
      <family val="2"/>
    </font>
    <font>
      <b/>
      <sz val="9"/>
      <color rgb="FFFFFFFF"/>
      <name val="Calibri"/>
      <family val="2"/>
    </font>
    <font>
      <b/>
      <sz val="11"/>
      <color rgb="FFFFFFFF"/>
      <name val="等线"/>
      <family val="2"/>
    </font>
    <font>
      <b/>
      <sz val="8"/>
      <name val="等线"/>
      <family val="2"/>
    </font>
    <font>
      <b/>
      <i/>
      <sz val="8"/>
      <name val="Calibri"/>
      <family val="2"/>
    </font>
    <font>
      <sz val="8"/>
      <color rgb="FF000000"/>
      <name val="等线"/>
      <family val="2"/>
    </font>
    <font>
      <b/>
      <sz val="10"/>
      <color rgb="FF000000"/>
      <name val="等线"/>
      <family val="3"/>
      <charset val="134"/>
    </font>
    <font>
      <b/>
      <sz val="10"/>
      <name val="Segoe UI"/>
      <family val="2"/>
    </font>
    <font>
      <b/>
      <sz val="9"/>
      <name val="Arial"/>
      <family val="2"/>
    </font>
    <font>
      <sz val="10"/>
      <color theme="1"/>
      <name val="Arial"/>
      <family val="2"/>
      <charset val="1"/>
    </font>
    <font>
      <sz val="10"/>
      <name val="Aptos Narrow"/>
      <family val="2"/>
      <scheme val="minor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11"/>
      <color rgb="FF0070C0"/>
      <name val="Calibri"/>
      <family val="2"/>
    </font>
    <font>
      <sz val="9"/>
      <color rgb="FFFF0000"/>
      <name val="Aptos Narrow"/>
      <family val="2"/>
      <scheme val="minor"/>
    </font>
    <font>
      <sz val="8"/>
      <color theme="1"/>
      <name val="Calibri"/>
      <family val="2"/>
    </font>
    <font>
      <b/>
      <sz val="8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color rgb="FFFF0000"/>
      <name val="Aptos Narrow"/>
      <family val="2"/>
      <scheme val="minor"/>
    </font>
    <font>
      <b/>
      <sz val="8"/>
      <name val="Aptos Narrow"/>
      <family val="2"/>
      <scheme val="minor"/>
    </font>
    <font>
      <sz val="10"/>
      <color indexed="8"/>
      <name val="Arial"/>
      <family val="2"/>
    </font>
    <font>
      <b/>
      <sz val="10"/>
      <color rgb="FFFF0000"/>
      <name val="Calibri"/>
      <family val="2"/>
    </font>
    <font>
      <sz val="8"/>
      <color rgb="FF000000"/>
      <name val="Calibri"/>
      <family val="2"/>
      <charset val="162"/>
    </font>
    <font>
      <b/>
      <sz val="8"/>
      <color rgb="FF000000"/>
      <name val="Calibri"/>
      <family val="2"/>
    </font>
    <font>
      <sz val="8"/>
      <name val="Calibri"/>
      <family val="2"/>
    </font>
    <font>
      <sz val="8"/>
      <color theme="0"/>
      <name val="Calibri"/>
      <family val="2"/>
    </font>
    <font>
      <sz val="8"/>
      <name val="Calibri"/>
      <family val="2"/>
      <charset val="162"/>
    </font>
    <font>
      <b/>
      <sz val="11"/>
      <color rgb="FFFF0000"/>
      <name val="Aptos Narrow"/>
      <family val="2"/>
      <scheme val="minor"/>
    </font>
    <font>
      <sz val="9"/>
      <color rgb="FFFF0000"/>
      <name val="Calibri"/>
      <family val="2"/>
    </font>
    <font>
      <sz val="16"/>
      <color theme="1"/>
      <name val="Aptos Narrow"/>
      <family val="2"/>
      <scheme val="minor"/>
    </font>
    <font>
      <sz val="11"/>
      <color rgb="FF000000"/>
      <name val="Aptos Narrow"/>
      <family val="2"/>
      <charset val="162"/>
      <scheme val="minor"/>
    </font>
    <font>
      <sz val="14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FF0000"/>
      <name val="Calibri"/>
      <family val="2"/>
    </font>
    <font>
      <sz val="10.5"/>
      <color theme="1"/>
      <name val="Aptos"/>
      <family val="2"/>
    </font>
    <font>
      <i/>
      <sz val="11"/>
      <color theme="1"/>
      <name val="Aptos Narrow"/>
      <family val="2"/>
      <scheme val="minor"/>
    </font>
  </fonts>
  <fills count="12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rgb="FF104861"/>
        <bgColor rgb="FF000000"/>
      </patternFill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333399"/>
        <bgColor rgb="FF073763"/>
      </patternFill>
    </fill>
    <fill>
      <patternFill patternType="solid">
        <fgColor rgb="FFFFFFFF"/>
        <bgColor rgb="FF000000"/>
      </patternFill>
    </fill>
    <fill>
      <patternFill patternType="solid">
        <fgColor rgb="FFA6A6A6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8EA9DB"/>
        <bgColor rgb="FF073763"/>
      </patternFill>
    </fill>
    <fill>
      <patternFill patternType="solid">
        <fgColor rgb="FF757171"/>
        <bgColor rgb="FF000000"/>
      </patternFill>
    </fill>
    <fill>
      <patternFill patternType="solid">
        <fgColor rgb="FFFFFF00"/>
        <bgColor rgb="FF9FC5E8"/>
      </patternFill>
    </fill>
    <fill>
      <patternFill patternType="solid">
        <fgColor rgb="FF002060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1F4E78"/>
        <bgColor rgb="FF000000"/>
      </patternFill>
    </fill>
    <fill>
      <patternFill patternType="solid">
        <fgColor rgb="FF305496"/>
        <bgColor rgb="FF000000"/>
      </patternFill>
    </fill>
    <fill>
      <patternFill patternType="solid">
        <fgColor rgb="FF2F75B5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499984740745262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499984740745262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08080"/>
        <bgColor rgb="FF000000"/>
      </patternFill>
    </fill>
    <fill>
      <patternFill patternType="solid">
        <fgColor rgb="FFAEAAAA"/>
        <bgColor indexed="64"/>
      </patternFill>
    </fill>
    <fill>
      <patternFill patternType="solid">
        <fgColor theme="4" tint="-0.249977111117893"/>
        <bgColor rgb="FF9FC5E8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AF1F6"/>
        <bgColor rgb="FF000000"/>
      </patternFill>
    </fill>
    <fill>
      <patternFill patternType="solid">
        <fgColor rgb="FFA6E5F4"/>
        <bgColor rgb="FF000000"/>
      </patternFill>
    </fill>
    <fill>
      <patternFill patternType="solid">
        <fgColor rgb="FFA2C3EA"/>
        <bgColor rgb="FF000000"/>
      </patternFill>
    </fill>
    <fill>
      <patternFill patternType="solid">
        <fgColor rgb="FFFFFDBF"/>
        <bgColor rgb="FF000000"/>
      </patternFill>
    </fill>
    <fill>
      <patternFill patternType="solid">
        <fgColor rgb="FFFFF843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B5E6A2"/>
        <bgColor rgb="FF000000"/>
      </patternFill>
    </fill>
    <fill>
      <patternFill patternType="solid">
        <fgColor rgb="FFC000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8" tint="0.39997558519241921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67035B"/>
        <bgColor rgb="FF073763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8F71FD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rgb="FFFFFFCC"/>
      </patternFill>
    </fill>
    <fill>
      <patternFill patternType="solid">
        <fgColor indexed="17"/>
        <bgColor indexed="64"/>
      </patternFill>
    </fill>
    <fill>
      <patternFill patternType="solid">
        <fgColor rgb="FF008000"/>
        <bgColor rgb="FF000000"/>
      </patternFill>
    </fill>
    <fill>
      <patternFill patternType="solid">
        <fgColor rgb="FF00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4FF22E"/>
        <bgColor rgb="FFFFFFCC"/>
      </patternFill>
    </fill>
    <fill>
      <patternFill patternType="solid">
        <fgColor rgb="FF99CCFF"/>
        <bgColor indexed="64"/>
      </patternFill>
    </fill>
    <fill>
      <patternFill patternType="solid">
        <fgColor rgb="FF4FF22E"/>
        <bgColor indexed="64"/>
      </patternFill>
    </fill>
    <fill>
      <patternFill patternType="solid">
        <fgColor rgb="FF4FF22E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203764"/>
        <bgColor rgb="FF000000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8497B0"/>
        <bgColor rgb="FF000000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BF8F00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theme="4" tint="0.39997558519241921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1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medium">
        <color rgb="FFBFBFBF"/>
      </left>
      <right/>
      <top style="hair">
        <color rgb="FFBFBFBF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rgb="FFBFBFBF"/>
      </left>
      <right style="hair">
        <color indexed="64"/>
      </right>
      <top/>
      <bottom style="hair">
        <color indexed="64"/>
      </bottom>
      <diagonal/>
    </border>
    <border>
      <left style="medium">
        <color rgb="FFBFBFBF"/>
      </left>
      <right style="hair">
        <color indexed="64"/>
      </right>
      <top/>
      <bottom style="medium">
        <color rgb="FFBFBFBF"/>
      </bottom>
      <diagonal/>
    </border>
    <border>
      <left style="medium">
        <color rgb="FFBFBFBF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rgb="FFBFBFBF"/>
      </left>
      <right style="hair">
        <color indexed="64"/>
      </right>
      <top style="hair">
        <color indexed="64"/>
      </top>
      <bottom style="medium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medium">
        <color rgb="FFBFBFBF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FFFFFF"/>
      </left>
      <right style="thin">
        <color indexed="64"/>
      </right>
      <top style="thin">
        <color indexed="64"/>
      </top>
      <bottom style="thin">
        <color rgb="FFFFFFFF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rgb="FFBFBFBF"/>
      </right>
      <top style="medium">
        <color indexed="64"/>
      </top>
      <bottom style="medium">
        <color rgb="FFBFBFBF"/>
      </bottom>
      <diagonal/>
    </border>
    <border>
      <left/>
      <right style="medium">
        <color indexed="64"/>
      </right>
      <top style="medium">
        <color indexed="64"/>
      </top>
      <bottom style="medium">
        <color rgb="FFBFBFBF"/>
      </bottom>
      <diagonal/>
    </border>
    <border>
      <left style="medium">
        <color indexed="64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indexed="64"/>
      </right>
      <top/>
      <bottom style="medium">
        <color rgb="FFBFBFBF"/>
      </bottom>
      <diagonal/>
    </border>
    <border>
      <left style="medium">
        <color indexed="64"/>
      </left>
      <right style="medium">
        <color rgb="FFBFBFBF"/>
      </right>
      <top/>
      <bottom style="medium">
        <color indexed="64"/>
      </bottom>
      <diagonal/>
    </border>
  </borders>
  <cellStyleXfs count="89">
    <xf numFmtId="0" fontId="0" fillId="0" borderId="0"/>
    <xf numFmtId="0" fontId="14" fillId="0" borderId="0">
      <alignment vertical="center"/>
    </xf>
    <xf numFmtId="168" fontId="14" fillId="0" borderId="0" applyFont="0" applyFill="0" applyBorder="0" applyAlignment="0" applyProtection="0">
      <alignment vertical="center"/>
    </xf>
    <xf numFmtId="165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0" fontId="59" fillId="0" borderId="0"/>
    <xf numFmtId="0" fontId="75" fillId="0" borderId="0"/>
    <xf numFmtId="43" fontId="75" fillId="0" borderId="0" applyFont="0" applyFill="0" applyBorder="0" applyAlignment="0" applyProtection="0"/>
    <xf numFmtId="44" fontId="75" fillId="0" borderId="0" applyFont="0" applyFill="0" applyBorder="0" applyAlignment="0" applyProtection="0"/>
    <xf numFmtId="0" fontId="76" fillId="0" borderId="0"/>
    <xf numFmtId="43" fontId="56" fillId="0" borderId="0" applyFont="0" applyFill="0" applyBorder="0" applyAlignment="0" applyProtection="0"/>
    <xf numFmtId="9" fontId="76" fillId="0" borderId="0" applyFont="0" applyFill="0" applyBorder="0" applyAlignment="0" applyProtection="0"/>
    <xf numFmtId="0" fontId="93" fillId="0" borderId="0" applyNumberFormat="0" applyFill="0" applyBorder="0" applyAlignment="0" applyProtection="0"/>
    <xf numFmtId="0" fontId="94" fillId="0" borderId="83" applyNumberFormat="0" applyFill="0" applyAlignment="0" applyProtection="0"/>
    <xf numFmtId="0" fontId="95" fillId="0" borderId="84" applyNumberFormat="0" applyFill="0" applyAlignment="0" applyProtection="0"/>
    <xf numFmtId="0" fontId="96" fillId="0" borderId="85" applyNumberFormat="0" applyFill="0" applyAlignment="0" applyProtection="0"/>
    <xf numFmtId="0" fontId="96" fillId="0" borderId="0" applyNumberFormat="0" applyFill="0" applyBorder="0" applyAlignment="0" applyProtection="0"/>
    <xf numFmtId="0" fontId="97" fillId="53" borderId="0" applyNumberFormat="0" applyBorder="0" applyAlignment="0" applyProtection="0"/>
    <xf numFmtId="0" fontId="98" fillId="54" borderId="0" applyNumberFormat="0" applyBorder="0" applyAlignment="0" applyProtection="0"/>
    <xf numFmtId="0" fontId="99" fillId="55" borderId="0" applyNumberFormat="0" applyBorder="0" applyAlignment="0" applyProtection="0"/>
    <xf numFmtId="0" fontId="100" fillId="56" borderId="86" applyNumberFormat="0" applyAlignment="0" applyProtection="0"/>
    <xf numFmtId="0" fontId="101" fillId="57" borderId="87" applyNumberFormat="0" applyAlignment="0" applyProtection="0"/>
    <xf numFmtId="0" fontId="102" fillId="57" borderId="86" applyNumberFormat="0" applyAlignment="0" applyProtection="0"/>
    <xf numFmtId="0" fontId="103" fillId="0" borderId="88" applyNumberFormat="0" applyFill="0" applyAlignment="0" applyProtection="0"/>
    <xf numFmtId="0" fontId="2" fillId="58" borderId="89" applyNumberFormat="0" applyAlignment="0" applyProtection="0"/>
    <xf numFmtId="0" fontId="90" fillId="0" borderId="0" applyNumberFormat="0" applyFill="0" applyBorder="0" applyAlignment="0" applyProtection="0"/>
    <xf numFmtId="0" fontId="56" fillId="59" borderId="90" applyNumberFormat="0" applyFont="0" applyAlignment="0" applyProtection="0"/>
    <xf numFmtId="0" fontId="104" fillId="0" borderId="0" applyNumberFormat="0" applyFill="0" applyBorder="0" applyAlignment="0" applyProtection="0"/>
    <xf numFmtId="0" fontId="3" fillId="0" borderId="91" applyNumberFormat="0" applyFill="0" applyAlignment="0" applyProtection="0"/>
    <xf numFmtId="0" fontId="4" fillId="60" borderId="0" applyNumberFormat="0" applyBorder="0" applyAlignment="0" applyProtection="0"/>
    <xf numFmtId="0" fontId="56" fillId="61" borderId="0" applyNumberFormat="0" applyBorder="0" applyAlignment="0" applyProtection="0"/>
    <xf numFmtId="0" fontId="56" fillId="62" borderId="0" applyNumberFormat="0" applyBorder="0" applyAlignment="0" applyProtection="0"/>
    <xf numFmtId="0" fontId="56" fillId="63" borderId="0" applyNumberFormat="0" applyBorder="0" applyAlignment="0" applyProtection="0"/>
    <xf numFmtId="0" fontId="4" fillId="64" borderId="0" applyNumberFormat="0" applyBorder="0" applyAlignment="0" applyProtection="0"/>
    <xf numFmtId="0" fontId="56" fillId="65" borderId="0" applyNumberFormat="0" applyBorder="0" applyAlignment="0" applyProtection="0"/>
    <xf numFmtId="0" fontId="56" fillId="66" borderId="0" applyNumberFormat="0" applyBorder="0" applyAlignment="0" applyProtection="0"/>
    <xf numFmtId="0" fontId="56" fillId="67" borderId="0" applyNumberFormat="0" applyBorder="0" applyAlignment="0" applyProtection="0"/>
    <xf numFmtId="0" fontId="4" fillId="68" borderId="0" applyNumberFormat="0" applyBorder="0" applyAlignment="0" applyProtection="0"/>
    <xf numFmtId="0" fontId="56" fillId="69" borderId="0" applyNumberFormat="0" applyBorder="0" applyAlignment="0" applyProtection="0"/>
    <xf numFmtId="0" fontId="56" fillId="70" borderId="0" applyNumberFormat="0" applyBorder="0" applyAlignment="0" applyProtection="0"/>
    <xf numFmtId="0" fontId="56" fillId="71" borderId="0" applyNumberFormat="0" applyBorder="0" applyAlignment="0" applyProtection="0"/>
    <xf numFmtId="0" fontId="4" fillId="72" borderId="0" applyNumberFormat="0" applyBorder="0" applyAlignment="0" applyProtection="0"/>
    <xf numFmtId="0" fontId="56" fillId="73" borderId="0" applyNumberFormat="0" applyBorder="0" applyAlignment="0" applyProtection="0"/>
    <xf numFmtId="0" fontId="56" fillId="74" borderId="0" applyNumberFormat="0" applyBorder="0" applyAlignment="0" applyProtection="0"/>
    <xf numFmtId="0" fontId="56" fillId="75" borderId="0" applyNumberFormat="0" applyBorder="0" applyAlignment="0" applyProtection="0"/>
    <xf numFmtId="0" fontId="4" fillId="76" borderId="0" applyNumberFormat="0" applyBorder="0" applyAlignment="0" applyProtection="0"/>
    <xf numFmtId="0" fontId="56" fillId="77" borderId="0" applyNumberFormat="0" applyBorder="0" applyAlignment="0" applyProtection="0"/>
    <xf numFmtId="0" fontId="56" fillId="78" borderId="0" applyNumberFormat="0" applyBorder="0" applyAlignment="0" applyProtection="0"/>
    <xf numFmtId="0" fontId="56" fillId="79" borderId="0" applyNumberFormat="0" applyBorder="0" applyAlignment="0" applyProtection="0"/>
    <xf numFmtId="0" fontId="4" fillId="80" borderId="0" applyNumberFormat="0" applyBorder="0" applyAlignment="0" applyProtection="0"/>
    <xf numFmtId="0" fontId="56" fillId="81" borderId="0" applyNumberFormat="0" applyBorder="0" applyAlignment="0" applyProtection="0"/>
    <xf numFmtId="0" fontId="56" fillId="82" borderId="0" applyNumberFormat="0" applyBorder="0" applyAlignment="0" applyProtection="0"/>
    <xf numFmtId="0" fontId="56" fillId="83" borderId="0" applyNumberFormat="0" applyBorder="0" applyAlignment="0" applyProtection="0"/>
    <xf numFmtId="43" fontId="56" fillId="0" borderId="0" applyFont="0" applyFill="0" applyBorder="0" applyAlignment="0" applyProtection="0"/>
    <xf numFmtId="0" fontId="59" fillId="0" borderId="0"/>
    <xf numFmtId="166" fontId="56" fillId="0" borderId="0" applyFont="0" applyFill="0" applyBorder="0" applyAlignment="0" applyProtection="0"/>
    <xf numFmtId="181" fontId="76" fillId="0" borderId="0" applyFont="0" applyFill="0" applyBorder="0" applyAlignment="0" applyProtection="0"/>
    <xf numFmtId="0" fontId="105" fillId="0" borderId="0"/>
    <xf numFmtId="0" fontId="56" fillId="0" borderId="0"/>
    <xf numFmtId="0" fontId="76" fillId="0" borderId="0"/>
    <xf numFmtId="165" fontId="76" fillId="0" borderId="0" applyFont="0" applyFill="0" applyBorder="0" applyAlignment="0" applyProtection="0"/>
    <xf numFmtId="0" fontId="59" fillId="0" borderId="0"/>
    <xf numFmtId="9" fontId="56" fillId="0" borderId="0" applyFont="0" applyFill="0" applyBorder="0" applyAlignment="0" applyProtection="0"/>
    <xf numFmtId="165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0" fontId="76" fillId="0" borderId="0"/>
    <xf numFmtId="0" fontId="76" fillId="0" borderId="0"/>
    <xf numFmtId="43" fontId="76" fillId="0" borderId="0" applyFont="0" applyFill="0" applyBorder="0" applyAlignment="0" applyProtection="0"/>
    <xf numFmtId="0" fontId="14" fillId="0" borderId="0">
      <alignment vertical="center"/>
    </xf>
    <xf numFmtId="0" fontId="76" fillId="0" borderId="0"/>
    <xf numFmtId="165" fontId="76" fillId="0" borderId="0" applyFont="0" applyFill="0" applyBorder="0" applyAlignment="0" applyProtection="0"/>
    <xf numFmtId="0" fontId="59" fillId="0" borderId="0"/>
    <xf numFmtId="182" fontId="56" fillId="0" borderId="0" applyFont="0" applyFill="0" applyBorder="0" applyAlignment="0" applyProtection="0"/>
    <xf numFmtId="9" fontId="76" fillId="0" borderId="0" applyFont="0" applyFill="0" applyBorder="0" applyAlignment="0" applyProtection="0"/>
    <xf numFmtId="0" fontId="75" fillId="0" borderId="0"/>
    <xf numFmtId="0" fontId="56" fillId="0" borderId="0"/>
    <xf numFmtId="9" fontId="56" fillId="0" borderId="0" applyFont="0" applyFill="0" applyBorder="0" applyAlignment="0" applyProtection="0"/>
    <xf numFmtId="9" fontId="76" fillId="0" borderId="0" applyFont="0" applyFill="0" applyBorder="0" applyAlignment="0" applyProtection="0"/>
    <xf numFmtId="0" fontId="107" fillId="0" borderId="0"/>
    <xf numFmtId="0" fontId="107" fillId="0" borderId="0"/>
    <xf numFmtId="9" fontId="107" fillId="0" borderId="0" applyFont="0" applyFill="0" applyBorder="0" applyAlignment="0" applyProtection="0"/>
    <xf numFmtId="164" fontId="107" fillId="0" borderId="0" applyFont="0" applyFill="0" applyBorder="0" applyAlignment="0" applyProtection="0"/>
    <xf numFmtId="43" fontId="75" fillId="0" borderId="0" applyFont="0" applyFill="0" applyBorder="0" applyAlignment="0" applyProtection="0"/>
    <xf numFmtId="44" fontId="75" fillId="0" borderId="0" applyFont="0" applyFill="0" applyBorder="0" applyAlignment="0" applyProtection="0"/>
    <xf numFmtId="43" fontId="56" fillId="0" borderId="0" applyFont="0" applyFill="0" applyBorder="0" applyAlignment="0" applyProtection="0"/>
    <xf numFmtId="181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43" fontId="56" fillId="0" borderId="0" applyFont="0" applyFill="0" applyBorder="0" applyAlignment="0" applyProtection="0"/>
  </cellStyleXfs>
  <cellXfs count="1272">
    <xf numFmtId="0" fontId="0" fillId="0" borderId="0" xfId="0"/>
    <xf numFmtId="0" fontId="2" fillId="2" borderId="0" xfId="0" applyFont="1" applyFill="1" applyAlignment="1">
      <alignment horizontal="center"/>
    </xf>
    <xf numFmtId="0" fontId="5" fillId="0" borderId="1" xfId="0" applyFont="1" applyBorder="1"/>
    <xf numFmtId="0" fontId="5" fillId="0" borderId="2" xfId="0" applyFont="1" applyBorder="1"/>
    <xf numFmtId="0" fontId="6" fillId="3" borderId="2" xfId="0" applyFont="1" applyFill="1" applyBorder="1"/>
    <xf numFmtId="0" fontId="7" fillId="4" borderId="3" xfId="0" applyFont="1" applyFill="1" applyBorder="1" applyAlignment="1">
      <alignment horizontal="center" vertical="center" wrapText="1"/>
    </xf>
    <xf numFmtId="0" fontId="8" fillId="0" borderId="0" xfId="0" applyFont="1"/>
    <xf numFmtId="0" fontId="9" fillId="5" borderId="4" xfId="0" applyFont="1" applyFill="1" applyBorder="1"/>
    <xf numFmtId="3" fontId="0" fillId="0" borderId="0" xfId="0" applyNumberFormat="1"/>
    <xf numFmtId="3" fontId="10" fillId="6" borderId="5" xfId="0" applyNumberFormat="1" applyFont="1" applyFill="1" applyBorder="1" applyAlignment="1">
      <alignment horizontal="right"/>
    </xf>
    <xf numFmtId="0" fontId="12" fillId="7" borderId="7" xfId="0" applyFont="1" applyFill="1" applyBorder="1"/>
    <xf numFmtId="0" fontId="13" fillId="0" borderId="8" xfId="0" applyFont="1" applyBorder="1"/>
    <xf numFmtId="3" fontId="13" fillId="8" borderId="8" xfId="0" applyNumberFormat="1" applyFont="1" applyFill="1" applyBorder="1"/>
    <xf numFmtId="3" fontId="13" fillId="3" borderId="8" xfId="0" applyNumberFormat="1" applyFont="1" applyFill="1" applyBorder="1"/>
    <xf numFmtId="0" fontId="12" fillId="7" borderId="9" xfId="0" applyFont="1" applyFill="1" applyBorder="1"/>
    <xf numFmtId="0" fontId="12" fillId="9" borderId="10" xfId="0" applyFont="1" applyFill="1" applyBorder="1"/>
    <xf numFmtId="3" fontId="13" fillId="10" borderId="8" xfId="0" applyNumberFormat="1" applyFont="1" applyFill="1" applyBorder="1"/>
    <xf numFmtId="0" fontId="12" fillId="7" borderId="11" xfId="0" applyFont="1" applyFill="1" applyBorder="1"/>
    <xf numFmtId="0" fontId="12" fillId="11" borderId="9" xfId="0" applyFont="1" applyFill="1" applyBorder="1"/>
    <xf numFmtId="0" fontId="12" fillId="12" borderId="12" xfId="0" applyFont="1" applyFill="1" applyBorder="1"/>
    <xf numFmtId="3" fontId="12" fillId="12" borderId="8" xfId="0" applyNumberFormat="1" applyFont="1" applyFill="1" applyBorder="1"/>
    <xf numFmtId="4" fontId="13" fillId="3" borderId="8" xfId="0" applyNumberFormat="1" applyFont="1" applyFill="1" applyBorder="1"/>
    <xf numFmtId="0" fontId="9" fillId="5" borderId="6" xfId="0" applyFont="1" applyFill="1" applyBorder="1" applyAlignment="1">
      <alignment horizontal="center"/>
    </xf>
    <xf numFmtId="165" fontId="0" fillId="0" borderId="0" xfId="0" applyNumberFormat="1"/>
    <xf numFmtId="169" fontId="16" fillId="6" borderId="13" xfId="1" applyNumberFormat="1" applyFont="1" applyFill="1" applyBorder="1" applyAlignment="1">
      <alignment horizontal="right"/>
    </xf>
    <xf numFmtId="3" fontId="9" fillId="5" borderId="13" xfId="1" applyNumberFormat="1" applyFont="1" applyFill="1" applyBorder="1" applyAlignment="1"/>
    <xf numFmtId="169" fontId="16" fillId="13" borderId="13" xfId="1" applyNumberFormat="1" applyFont="1" applyFill="1" applyBorder="1" applyAlignment="1">
      <alignment horizontal="right"/>
    </xf>
    <xf numFmtId="0" fontId="12" fillId="0" borderId="0" xfId="0" applyFont="1"/>
    <xf numFmtId="0" fontId="12" fillId="0" borderId="12" xfId="0" applyFont="1" applyBorder="1"/>
    <xf numFmtId="3" fontId="12" fillId="0" borderId="8" xfId="0" applyNumberFormat="1" applyFont="1" applyBorder="1"/>
    <xf numFmtId="3" fontId="13" fillId="0" borderId="8" xfId="0" applyNumberFormat="1" applyFont="1" applyBorder="1"/>
    <xf numFmtId="0" fontId="20" fillId="2" borderId="0" xfId="0" applyFont="1" applyFill="1"/>
    <xf numFmtId="0" fontId="3" fillId="0" borderId="0" xfId="0" applyFont="1"/>
    <xf numFmtId="0" fontId="23" fillId="0" borderId="2" xfId="0" applyFont="1" applyBorder="1"/>
    <xf numFmtId="1" fontId="0" fillId="0" borderId="0" xfId="0" applyNumberFormat="1"/>
    <xf numFmtId="4" fontId="0" fillId="0" borderId="0" xfId="0" applyNumberFormat="1"/>
    <xf numFmtId="0" fontId="25" fillId="2" borderId="0" xfId="0" applyFont="1" applyFill="1"/>
    <xf numFmtId="4" fontId="0" fillId="15" borderId="0" xfId="0" applyNumberFormat="1" applyFill="1"/>
    <xf numFmtId="0" fontId="0" fillId="15" borderId="0" xfId="0" applyFill="1"/>
    <xf numFmtId="0" fontId="27" fillId="0" borderId="0" xfId="0" applyFont="1"/>
    <xf numFmtId="0" fontId="28" fillId="0" borderId="0" xfId="0" applyFont="1"/>
    <xf numFmtId="3" fontId="29" fillId="16" borderId="0" xfId="0" applyNumberFormat="1" applyFont="1" applyFill="1" applyAlignment="1">
      <alignment horizontal="center"/>
    </xf>
    <xf numFmtId="0" fontId="27" fillId="0" borderId="0" xfId="0" applyFont="1" applyAlignment="1">
      <alignment horizontal="center"/>
    </xf>
    <xf numFmtId="0" fontId="29" fillId="16" borderId="0" xfId="0" applyFont="1" applyFill="1" applyAlignment="1">
      <alignment horizontal="center"/>
    </xf>
    <xf numFmtId="3" fontId="27" fillId="0" borderId="0" xfId="0" applyNumberFormat="1" applyFont="1"/>
    <xf numFmtId="0" fontId="0" fillId="0" borderId="0" xfId="0" applyAlignment="1">
      <alignment horizontal="center"/>
    </xf>
    <xf numFmtId="0" fontId="30" fillId="0" borderId="0" xfId="0" applyFont="1" applyAlignment="1">
      <alignment horizontal="center"/>
    </xf>
    <xf numFmtId="0" fontId="29" fillId="18" borderId="1" xfId="0" applyFont="1" applyFill="1" applyBorder="1" applyAlignment="1">
      <alignment horizontal="center" wrapText="1"/>
    </xf>
    <xf numFmtId="0" fontId="29" fillId="18" borderId="2" xfId="0" applyFont="1" applyFill="1" applyBorder="1" applyAlignment="1">
      <alignment horizontal="center" wrapText="1"/>
    </xf>
    <xf numFmtId="3" fontId="12" fillId="12" borderId="0" xfId="0" applyNumberFormat="1" applyFont="1" applyFill="1"/>
    <xf numFmtId="0" fontId="32" fillId="0" borderId="0" xfId="0" applyFont="1"/>
    <xf numFmtId="0" fontId="33" fillId="0" borderId="0" xfId="0" applyFont="1"/>
    <xf numFmtId="0" fontId="34" fillId="0" borderId="0" xfId="0" applyFont="1" applyAlignment="1">
      <alignment horizontal="center"/>
    </xf>
    <xf numFmtId="0" fontId="35" fillId="0" borderId="0" xfId="0" applyFont="1"/>
    <xf numFmtId="0" fontId="33" fillId="0" borderId="20" xfId="0" applyFont="1" applyBorder="1"/>
    <xf numFmtId="0" fontId="41" fillId="0" borderId="0" xfId="0" applyFont="1" applyAlignment="1">
      <alignment horizontal="center" vertical="center"/>
    </xf>
    <xf numFmtId="3" fontId="5" fillId="0" borderId="2" xfId="0" applyNumberFormat="1" applyFont="1" applyBorder="1" applyAlignment="1">
      <alignment horizontal="center"/>
    </xf>
    <xf numFmtId="3" fontId="6" fillId="3" borderId="2" xfId="0" applyNumberFormat="1" applyFont="1" applyFill="1" applyBorder="1" applyAlignment="1">
      <alignment horizontal="center"/>
    </xf>
    <xf numFmtId="3" fontId="7" fillId="4" borderId="3" xfId="0" applyNumberFormat="1" applyFont="1" applyFill="1" applyBorder="1" applyAlignment="1">
      <alignment horizontal="center" vertical="center" wrapText="1"/>
    </xf>
    <xf numFmtId="3" fontId="39" fillId="3" borderId="23" xfId="0" applyNumberFormat="1" applyFont="1" applyFill="1" applyBorder="1" applyAlignment="1">
      <alignment horizontal="center" vertical="center"/>
    </xf>
    <xf numFmtId="0" fontId="36" fillId="0" borderId="0" xfId="0" applyFont="1" applyAlignment="1">
      <alignment horizontal="center"/>
    </xf>
    <xf numFmtId="3" fontId="22" fillId="0" borderId="0" xfId="0" applyNumberFormat="1" applyFont="1" applyAlignment="1">
      <alignment horizontal="center"/>
    </xf>
    <xf numFmtId="0" fontId="37" fillId="0" borderId="0" xfId="0" applyFont="1"/>
    <xf numFmtId="2" fontId="18" fillId="0" borderId="0" xfId="0" applyNumberFormat="1" applyFont="1" applyAlignment="1">
      <alignment horizontal="center"/>
    </xf>
    <xf numFmtId="3" fontId="13" fillId="3" borderId="8" xfId="0" applyNumberFormat="1" applyFont="1" applyFill="1" applyBorder="1" applyAlignment="1">
      <alignment horizontal="center"/>
    </xf>
    <xf numFmtId="4" fontId="44" fillId="0" borderId="2" xfId="0" applyNumberFormat="1" applyFont="1" applyBorder="1" applyAlignment="1">
      <alignment horizontal="center"/>
    </xf>
    <xf numFmtId="4" fontId="38" fillId="3" borderId="2" xfId="0" applyNumberFormat="1" applyFont="1" applyFill="1" applyBorder="1" applyAlignment="1">
      <alignment horizontal="center"/>
    </xf>
    <xf numFmtId="4" fontId="45" fillId="4" borderId="3" xfId="0" applyNumberFormat="1" applyFont="1" applyFill="1" applyBorder="1" applyAlignment="1">
      <alignment horizontal="center" vertical="center" wrapText="1"/>
    </xf>
    <xf numFmtId="0" fontId="31" fillId="0" borderId="0" xfId="0" applyFont="1" applyAlignment="1">
      <alignment horizontal="center"/>
    </xf>
    <xf numFmtId="0" fontId="31" fillId="0" borderId="0" xfId="0" applyFont="1"/>
    <xf numFmtId="0" fontId="0" fillId="0" borderId="13" xfId="0" applyBorder="1"/>
    <xf numFmtId="0" fontId="48" fillId="0" borderId="0" xfId="0" applyFont="1"/>
    <xf numFmtId="0" fontId="49" fillId="0" borderId="0" xfId="0" applyFont="1"/>
    <xf numFmtId="0" fontId="0" fillId="26" borderId="0" xfId="0" applyFill="1"/>
    <xf numFmtId="0" fontId="50" fillId="0" borderId="0" xfId="0" applyFont="1"/>
    <xf numFmtId="0" fontId="0" fillId="0" borderId="29" xfId="0" applyBorder="1"/>
    <xf numFmtId="0" fontId="0" fillId="0" borderId="33" xfId="0" applyBorder="1"/>
    <xf numFmtId="0" fontId="32" fillId="0" borderId="13" xfId="0" applyFont="1" applyBorder="1" applyAlignment="1">
      <alignment horizontal="center"/>
    </xf>
    <xf numFmtId="0" fontId="3" fillId="0" borderId="30" xfId="0" applyFont="1" applyBorder="1"/>
    <xf numFmtId="0" fontId="2" fillId="2" borderId="0" xfId="0" applyFont="1" applyFill="1"/>
    <xf numFmtId="0" fontId="3" fillId="0" borderId="29" xfId="0" applyFont="1" applyBorder="1"/>
    <xf numFmtId="0" fontId="52" fillId="0" borderId="0" xfId="0" applyFont="1"/>
    <xf numFmtId="2" fontId="0" fillId="0" borderId="0" xfId="0" applyNumberFormat="1"/>
    <xf numFmtId="3" fontId="13" fillId="28" borderId="8" xfId="0" applyNumberFormat="1" applyFont="1" applyFill="1" applyBorder="1"/>
    <xf numFmtId="170" fontId="53" fillId="29" borderId="37" xfId="0" applyNumberFormat="1" applyFont="1" applyFill="1" applyBorder="1"/>
    <xf numFmtId="170" fontId="10" fillId="30" borderId="5" xfId="0" applyNumberFormat="1" applyFont="1" applyFill="1" applyBorder="1"/>
    <xf numFmtId="171" fontId="3" fillId="31" borderId="0" xfId="0" applyNumberFormat="1" applyFont="1" applyFill="1"/>
    <xf numFmtId="171" fontId="0" fillId="0" borderId="0" xfId="0" applyNumberFormat="1"/>
    <xf numFmtId="3" fontId="8" fillId="0" borderId="0" xfId="0" applyNumberFormat="1" applyFont="1"/>
    <xf numFmtId="4" fontId="27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55" fillId="0" borderId="29" xfId="0" applyFont="1" applyBorder="1" applyAlignment="1">
      <alignment horizontal="left"/>
    </xf>
    <xf numFmtId="0" fontId="4" fillId="2" borderId="29" xfId="0" applyFont="1" applyFill="1" applyBorder="1"/>
    <xf numFmtId="0" fontId="2" fillId="2" borderId="29" xfId="0" applyFont="1" applyFill="1" applyBorder="1"/>
    <xf numFmtId="0" fontId="0" fillId="0" borderId="38" xfId="0" applyBorder="1"/>
    <xf numFmtId="0" fontId="7" fillId="4" borderId="3" xfId="0" applyFont="1" applyFill="1" applyBorder="1"/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3" fillId="33" borderId="40" xfId="0" applyFont="1" applyFill="1" applyBorder="1"/>
    <xf numFmtId="0" fontId="3" fillId="33" borderId="41" xfId="0" applyFont="1" applyFill="1" applyBorder="1"/>
    <xf numFmtId="0" fontId="0" fillId="33" borderId="0" xfId="0" applyFill="1"/>
    <xf numFmtId="0" fontId="3" fillId="33" borderId="0" xfId="0" applyFont="1" applyFill="1"/>
    <xf numFmtId="165" fontId="0" fillId="0" borderId="0" xfId="3" applyFont="1"/>
    <xf numFmtId="169" fontId="2" fillId="2" borderId="0" xfId="3" applyNumberFormat="1" applyFont="1" applyFill="1" applyAlignment="1">
      <alignment horizontal="center"/>
    </xf>
    <xf numFmtId="169" fontId="0" fillId="0" borderId="0" xfId="3" applyNumberFormat="1" applyFont="1"/>
    <xf numFmtId="169" fontId="8" fillId="0" borderId="0" xfId="3" applyNumberFormat="1" applyFont="1"/>
    <xf numFmtId="169" fontId="0" fillId="0" borderId="0" xfId="0" applyNumberFormat="1"/>
    <xf numFmtId="0" fontId="58" fillId="34" borderId="0" xfId="0" applyFont="1" applyFill="1"/>
    <xf numFmtId="0" fontId="59" fillId="34" borderId="0" xfId="0" applyFont="1" applyFill="1"/>
    <xf numFmtId="49" fontId="60" fillId="35" borderId="13" xfId="0" applyNumberFormat="1" applyFont="1" applyFill="1" applyBorder="1" applyAlignment="1">
      <alignment horizontal="left"/>
    </xf>
    <xf numFmtId="49" fontId="60" fillId="35" borderId="13" xfId="0" applyNumberFormat="1" applyFont="1" applyFill="1" applyBorder="1" applyAlignment="1">
      <alignment horizontal="center"/>
    </xf>
    <xf numFmtId="49" fontId="59" fillId="36" borderId="2" xfId="0" applyNumberFormat="1" applyFont="1" applyFill="1" applyBorder="1" applyAlignment="1">
      <alignment horizontal="left"/>
    </xf>
    <xf numFmtId="173" fontId="59" fillId="8" borderId="2" xfId="0" applyNumberFormat="1" applyFont="1" applyFill="1" applyBorder="1"/>
    <xf numFmtId="174" fontId="59" fillId="8" borderId="2" xfId="0" applyNumberFormat="1" applyFont="1" applyFill="1" applyBorder="1"/>
    <xf numFmtId="175" fontId="59" fillId="8" borderId="2" xfId="0" applyNumberFormat="1" applyFont="1" applyFill="1" applyBorder="1"/>
    <xf numFmtId="176" fontId="59" fillId="8" borderId="2" xfId="0" applyNumberFormat="1" applyFont="1" applyFill="1" applyBorder="1"/>
    <xf numFmtId="49" fontId="59" fillId="37" borderId="2" xfId="0" applyNumberFormat="1" applyFont="1" applyFill="1" applyBorder="1" applyAlignment="1">
      <alignment horizontal="left"/>
    </xf>
    <xf numFmtId="173" fontId="59" fillId="37" borderId="2" xfId="0" applyNumberFormat="1" applyFont="1" applyFill="1" applyBorder="1"/>
    <xf numFmtId="174" fontId="59" fillId="37" borderId="2" xfId="0" applyNumberFormat="1" applyFont="1" applyFill="1" applyBorder="1"/>
    <xf numFmtId="175" fontId="59" fillId="37" borderId="2" xfId="0" applyNumberFormat="1" applyFont="1" applyFill="1" applyBorder="1"/>
    <xf numFmtId="49" fontId="59" fillId="37" borderId="3" xfId="0" applyNumberFormat="1" applyFont="1" applyFill="1" applyBorder="1" applyAlignment="1">
      <alignment horizontal="left"/>
    </xf>
    <xf numFmtId="173" fontId="59" fillId="37" borderId="3" xfId="0" applyNumberFormat="1" applyFont="1" applyFill="1" applyBorder="1"/>
    <xf numFmtId="174" fontId="59" fillId="37" borderId="3" xfId="0" applyNumberFormat="1" applyFont="1" applyFill="1" applyBorder="1"/>
    <xf numFmtId="175" fontId="59" fillId="37" borderId="3" xfId="0" applyNumberFormat="1" applyFont="1" applyFill="1" applyBorder="1"/>
    <xf numFmtId="176" fontId="59" fillId="37" borderId="2" xfId="0" applyNumberFormat="1" applyFont="1" applyFill="1" applyBorder="1"/>
    <xf numFmtId="49" fontId="61" fillId="38" borderId="13" xfId="0" applyNumberFormat="1" applyFont="1" applyFill="1" applyBorder="1" applyAlignment="1">
      <alignment horizontal="left"/>
    </xf>
    <xf numFmtId="173" fontId="61" fillId="38" borderId="13" xfId="0" applyNumberFormat="1" applyFont="1" applyFill="1" applyBorder="1"/>
    <xf numFmtId="175" fontId="61" fillId="38" borderId="13" xfId="0" applyNumberFormat="1" applyFont="1" applyFill="1" applyBorder="1"/>
    <xf numFmtId="0" fontId="3" fillId="0" borderId="13" xfId="0" applyFont="1" applyBorder="1"/>
    <xf numFmtId="0" fontId="63" fillId="0" borderId="0" xfId="0" applyFont="1"/>
    <xf numFmtId="0" fontId="62" fillId="0" borderId="13" xfId="0" applyFont="1" applyBorder="1" applyAlignment="1">
      <alignment vertical="center"/>
    </xf>
    <xf numFmtId="0" fontId="64" fillId="0" borderId="0" xfId="0" applyFont="1"/>
    <xf numFmtId="169" fontId="63" fillId="0" borderId="13" xfId="3" applyNumberFormat="1" applyFont="1" applyBorder="1" applyAlignment="1">
      <alignment vertical="center"/>
    </xf>
    <xf numFmtId="0" fontId="62" fillId="39" borderId="13" xfId="0" applyFont="1" applyFill="1" applyBorder="1" applyAlignment="1">
      <alignment vertical="center"/>
    </xf>
    <xf numFmtId="169" fontId="63" fillId="39" borderId="13" xfId="3" applyNumberFormat="1" applyFont="1" applyFill="1" applyBorder="1" applyAlignment="1">
      <alignment vertical="center"/>
    </xf>
    <xf numFmtId="165" fontId="3" fillId="0" borderId="0" xfId="0" applyNumberFormat="1" applyFont="1" applyAlignment="1">
      <alignment vertical="center"/>
    </xf>
    <xf numFmtId="0" fontId="62" fillId="0" borderId="0" xfId="0" applyFont="1" applyAlignment="1">
      <alignment horizontal="right" vertical="center"/>
    </xf>
    <xf numFmtId="49" fontId="59" fillId="40" borderId="2" xfId="0" applyNumberFormat="1" applyFont="1" applyFill="1" applyBorder="1" applyAlignment="1">
      <alignment horizontal="left"/>
    </xf>
    <xf numFmtId="0" fontId="0" fillId="33" borderId="0" xfId="0" applyFill="1" applyAlignment="1">
      <alignment vertical="center"/>
    </xf>
    <xf numFmtId="0" fontId="63" fillId="33" borderId="0" xfId="0" applyFont="1" applyFill="1" applyAlignment="1">
      <alignment vertical="center"/>
    </xf>
    <xf numFmtId="0" fontId="62" fillId="41" borderId="13" xfId="0" applyFont="1" applyFill="1" applyBorder="1" applyAlignment="1">
      <alignment vertical="center"/>
    </xf>
    <xf numFmtId="169" fontId="63" fillId="41" borderId="13" xfId="3" applyNumberFormat="1" applyFont="1" applyFill="1" applyBorder="1" applyAlignment="1">
      <alignment vertical="center"/>
    </xf>
    <xf numFmtId="0" fontId="62" fillId="0" borderId="0" xfId="0" applyFont="1" applyAlignment="1">
      <alignment horizontal="center"/>
    </xf>
    <xf numFmtId="169" fontId="0" fillId="0" borderId="0" xfId="0" applyNumberFormat="1" applyAlignment="1">
      <alignment vertical="center"/>
    </xf>
    <xf numFmtId="0" fontId="65" fillId="0" borderId="0" xfId="0" applyFont="1"/>
    <xf numFmtId="172" fontId="0" fillId="42" borderId="0" xfId="3" applyNumberFormat="1" applyFont="1" applyFill="1"/>
    <xf numFmtId="49" fontId="0" fillId="42" borderId="15" xfId="0" applyNumberFormat="1" applyFill="1" applyBorder="1" applyAlignment="1">
      <alignment horizontal="left"/>
    </xf>
    <xf numFmtId="0" fontId="0" fillId="42" borderId="0" xfId="0" applyFill="1"/>
    <xf numFmtId="0" fontId="62" fillId="0" borderId="0" xfId="0" applyFont="1" applyAlignment="1">
      <alignment horizontal="center" vertical="center"/>
    </xf>
    <xf numFmtId="169" fontId="0" fillId="0" borderId="13" xfId="3" applyNumberFormat="1" applyFont="1" applyBorder="1"/>
    <xf numFmtId="170" fontId="0" fillId="0" borderId="0" xfId="0" applyNumberFormat="1"/>
    <xf numFmtId="169" fontId="8" fillId="20" borderId="0" xfId="3" applyNumberFormat="1" applyFont="1" applyFill="1"/>
    <xf numFmtId="0" fontId="8" fillId="44" borderId="0" xfId="0" applyFont="1" applyFill="1"/>
    <xf numFmtId="0" fontId="59" fillId="40" borderId="0" xfId="0" applyFont="1" applyFill="1"/>
    <xf numFmtId="0" fontId="61" fillId="40" borderId="0" xfId="0" applyFont="1" applyFill="1"/>
    <xf numFmtId="49" fontId="60" fillId="40" borderId="2" xfId="0" applyNumberFormat="1" applyFont="1" applyFill="1" applyBorder="1" applyAlignment="1">
      <alignment horizontal="center"/>
    </xf>
    <xf numFmtId="49" fontId="60" fillId="40" borderId="13" xfId="0" applyNumberFormat="1" applyFont="1" applyFill="1" applyBorder="1" applyAlignment="1">
      <alignment horizontal="center"/>
    </xf>
    <xf numFmtId="0" fontId="0" fillId="45" borderId="0" xfId="0" applyFill="1"/>
    <xf numFmtId="0" fontId="0" fillId="0" borderId="0" xfId="0" applyAlignment="1">
      <alignment horizontal="center" vertical="center"/>
    </xf>
    <xf numFmtId="165" fontId="0" fillId="42" borderId="0" xfId="3" applyFont="1" applyFill="1"/>
    <xf numFmtId="0" fontId="0" fillId="0" borderId="0" xfId="0" pivotButton="1"/>
    <xf numFmtId="0" fontId="0" fillId="46" borderId="0" xfId="0" applyFill="1"/>
    <xf numFmtId="9" fontId="0" fillId="0" borderId="0" xfId="4" applyFont="1"/>
    <xf numFmtId="172" fontId="0" fillId="0" borderId="0" xfId="3" applyNumberFormat="1" applyFont="1"/>
    <xf numFmtId="172" fontId="0" fillId="0" borderId="0" xfId="0" applyNumberFormat="1"/>
    <xf numFmtId="169" fontId="6" fillId="3" borderId="15" xfId="3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169" fontId="63" fillId="45" borderId="13" xfId="3" applyNumberFormat="1" applyFont="1" applyFill="1" applyBorder="1" applyAlignment="1">
      <alignment vertical="center"/>
    </xf>
    <xf numFmtId="3" fontId="31" fillId="0" borderId="28" xfId="0" applyNumberFormat="1" applyFont="1" applyBorder="1"/>
    <xf numFmtId="0" fontId="67" fillId="47" borderId="13" xfId="0" applyFont="1" applyFill="1" applyBorder="1" applyAlignment="1">
      <alignment horizontal="center" vertical="center" wrapText="1"/>
    </xf>
    <xf numFmtId="0" fontId="68" fillId="48" borderId="13" xfId="0" applyFont="1" applyFill="1" applyBorder="1" applyAlignment="1">
      <alignment horizontal="left"/>
    </xf>
    <xf numFmtId="0" fontId="69" fillId="0" borderId="13" xfId="0" applyFont="1" applyBorder="1" applyAlignment="1">
      <alignment horizontal="center" vertical="center"/>
    </xf>
    <xf numFmtId="177" fontId="70" fillId="0" borderId="13" xfId="0" applyNumberFormat="1" applyFont="1" applyBorder="1"/>
    <xf numFmtId="0" fontId="71" fillId="48" borderId="13" xfId="0" applyFont="1" applyFill="1" applyBorder="1" applyAlignment="1">
      <alignment horizontal="left"/>
    </xf>
    <xf numFmtId="0" fontId="72" fillId="48" borderId="13" xfId="0" applyFont="1" applyFill="1" applyBorder="1" applyAlignment="1">
      <alignment horizontal="left"/>
    </xf>
    <xf numFmtId="0" fontId="0" fillId="0" borderId="0" xfId="0" applyAlignment="1">
      <alignment horizontal="left"/>
    </xf>
    <xf numFmtId="177" fontId="0" fillId="0" borderId="0" xfId="0" applyNumberFormat="1"/>
    <xf numFmtId="165" fontId="6" fillId="3" borderId="15" xfId="3" applyFont="1" applyFill="1" applyBorder="1" applyAlignment="1">
      <alignment horizontal="center"/>
    </xf>
    <xf numFmtId="165" fontId="7" fillId="4" borderId="3" xfId="3" applyFont="1" applyFill="1" applyBorder="1" applyAlignment="1">
      <alignment horizontal="center" vertical="center" wrapText="1"/>
    </xf>
    <xf numFmtId="0" fontId="0" fillId="0" borderId="46" xfId="0" applyBorder="1"/>
    <xf numFmtId="169" fontId="0" fillId="0" borderId="46" xfId="3" applyNumberFormat="1" applyFont="1" applyBorder="1"/>
    <xf numFmtId="169" fontId="3" fillId="0" borderId="47" xfId="3" applyNumberFormat="1" applyFont="1" applyBorder="1"/>
    <xf numFmtId="169" fontId="3" fillId="0" borderId="49" xfId="3" applyNumberFormat="1" applyFont="1" applyBorder="1"/>
    <xf numFmtId="0" fontId="0" fillId="0" borderId="51" xfId="0" applyBorder="1"/>
    <xf numFmtId="169" fontId="0" fillId="0" borderId="51" xfId="3" applyNumberFormat="1" applyFont="1" applyBorder="1"/>
    <xf numFmtId="169" fontId="3" fillId="0" borderId="52" xfId="3" applyNumberFormat="1" applyFont="1" applyBorder="1"/>
    <xf numFmtId="169" fontId="0" fillId="42" borderId="0" xfId="3" applyNumberFormat="1" applyFont="1" applyFill="1"/>
    <xf numFmtId="39" fontId="59" fillId="34" borderId="0" xfId="0" applyNumberFormat="1" applyFont="1" applyFill="1"/>
    <xf numFmtId="2" fontId="33" fillId="0" borderId="0" xfId="0" applyNumberFormat="1" applyFont="1"/>
    <xf numFmtId="165" fontId="33" fillId="0" borderId="0" xfId="0" applyNumberFormat="1" applyFont="1"/>
    <xf numFmtId="165" fontId="35" fillId="0" borderId="0" xfId="3" applyFont="1"/>
    <xf numFmtId="0" fontId="75" fillId="0" borderId="0" xfId="7"/>
    <xf numFmtId="0" fontId="76" fillId="0" borderId="0" xfId="7" applyFont="1"/>
    <xf numFmtId="0" fontId="77" fillId="0" borderId="44" xfId="7" applyFont="1" applyBorder="1"/>
    <xf numFmtId="4" fontId="76" fillId="0" borderId="44" xfId="7" applyNumberFormat="1" applyFont="1" applyBorder="1"/>
    <xf numFmtId="4" fontId="76" fillId="0" borderId="0" xfId="7" applyNumberFormat="1" applyFont="1"/>
    <xf numFmtId="0" fontId="77" fillId="32" borderId="39" xfId="7" applyFont="1" applyFill="1" applyBorder="1"/>
    <xf numFmtId="0" fontId="77" fillId="32" borderId="40" xfId="7" applyFont="1" applyFill="1" applyBorder="1"/>
    <xf numFmtId="0" fontId="77" fillId="32" borderId="40" xfId="7" applyFont="1" applyFill="1" applyBorder="1" applyAlignment="1">
      <alignment horizontal="center"/>
    </xf>
    <xf numFmtId="0" fontId="77" fillId="32" borderId="41" xfId="7" applyFont="1" applyFill="1" applyBorder="1"/>
    <xf numFmtId="0" fontId="77" fillId="32" borderId="40" xfId="7" applyFont="1" applyFill="1" applyBorder="1" applyAlignment="1">
      <alignment horizontal="right"/>
    </xf>
    <xf numFmtId="0" fontId="78" fillId="2" borderId="39" xfId="7" applyFont="1" applyFill="1" applyBorder="1" applyAlignment="1">
      <alignment vertical="center"/>
    </xf>
    <xf numFmtId="0" fontId="78" fillId="2" borderId="44" xfId="7" applyFont="1" applyFill="1" applyBorder="1" applyAlignment="1">
      <alignment vertical="center"/>
    </xf>
    <xf numFmtId="0" fontId="78" fillId="49" borderId="42" xfId="7" applyFont="1" applyFill="1" applyBorder="1" applyAlignment="1">
      <alignment horizontal="center" vertical="center" wrapText="1"/>
    </xf>
    <xf numFmtId="0" fontId="78" fillId="2" borderId="42" xfId="7" applyFont="1" applyFill="1" applyBorder="1" applyAlignment="1">
      <alignment horizontal="center" vertical="center" wrapText="1"/>
    </xf>
    <xf numFmtId="0" fontId="78" fillId="2" borderId="43" xfId="7" applyFont="1" applyFill="1" applyBorder="1" applyAlignment="1">
      <alignment horizontal="center" vertical="center" wrapText="1"/>
    </xf>
    <xf numFmtId="0" fontId="78" fillId="50" borderId="42" xfId="7" applyFont="1" applyFill="1" applyBorder="1" applyAlignment="1">
      <alignment horizontal="center" vertical="center" wrapText="1"/>
    </xf>
    <xf numFmtId="0" fontId="76" fillId="0" borderId="54" xfId="7" applyFont="1" applyBorder="1"/>
    <xf numFmtId="0" fontId="76" fillId="0" borderId="38" xfId="7" applyFont="1" applyBorder="1"/>
    <xf numFmtId="0" fontId="76" fillId="0" borderId="55" xfId="7" applyFont="1" applyBorder="1"/>
    <xf numFmtId="43" fontId="76" fillId="0" borderId="54" xfId="8" applyFont="1" applyBorder="1"/>
    <xf numFmtId="44" fontId="76" fillId="0" borderId="55" xfId="7" applyNumberFormat="1" applyFont="1" applyBorder="1"/>
    <xf numFmtId="171" fontId="76" fillId="46" borderId="54" xfId="8" applyNumberFormat="1" applyFont="1" applyFill="1" applyBorder="1"/>
    <xf numFmtId="44" fontId="76" fillId="0" borderId="56" xfId="9" applyFont="1" applyBorder="1"/>
    <xf numFmtId="178" fontId="76" fillId="46" borderId="57" xfId="9" applyNumberFormat="1" applyFont="1" applyFill="1" applyBorder="1"/>
    <xf numFmtId="43" fontId="76" fillId="0" borderId="55" xfId="8" applyFont="1" applyBorder="1"/>
    <xf numFmtId="178" fontId="76" fillId="0" borderId="54" xfId="7" applyNumberFormat="1" applyFont="1" applyBorder="1"/>
    <xf numFmtId="178" fontId="76" fillId="0" borderId="55" xfId="7" applyNumberFormat="1" applyFont="1" applyBorder="1"/>
    <xf numFmtId="171" fontId="76" fillId="0" borderId="54" xfId="8" applyNumberFormat="1" applyFont="1" applyBorder="1"/>
    <xf numFmtId="178" fontId="76" fillId="0" borderId="57" xfId="9" applyNumberFormat="1" applyFont="1" applyBorder="1"/>
    <xf numFmtId="171" fontId="76" fillId="0" borderId="57" xfId="9" applyNumberFormat="1" applyFont="1" applyBorder="1"/>
    <xf numFmtId="171" fontId="76" fillId="0" borderId="57" xfId="9" applyNumberFormat="1" applyFont="1" applyFill="1" applyBorder="1"/>
    <xf numFmtId="171" fontId="79" fillId="0" borderId="54" xfId="8" applyNumberFormat="1" applyFont="1" applyBorder="1"/>
    <xf numFmtId="44" fontId="79" fillId="0" borderId="56" xfId="9" applyFont="1" applyBorder="1"/>
    <xf numFmtId="171" fontId="79" fillId="0" borderId="57" xfId="9" applyNumberFormat="1" applyFont="1" applyBorder="1"/>
    <xf numFmtId="43" fontId="79" fillId="0" borderId="55" xfId="8" applyFont="1" applyBorder="1"/>
    <xf numFmtId="171" fontId="79" fillId="0" borderId="57" xfId="9" applyNumberFormat="1" applyFont="1" applyFill="1" applyBorder="1"/>
    <xf numFmtId="43" fontId="76" fillId="0" borderId="0" xfId="7" applyNumberFormat="1" applyFont="1"/>
    <xf numFmtId="43" fontId="76" fillId="0" borderId="54" xfId="8" applyFont="1" applyFill="1" applyBorder="1"/>
    <xf numFmtId="178" fontId="76" fillId="0" borderId="54" xfId="8" applyNumberFormat="1" applyFont="1" applyBorder="1"/>
    <xf numFmtId="0" fontId="76" fillId="0" borderId="58" xfId="7" applyFont="1" applyBorder="1"/>
    <xf numFmtId="0" fontId="76" fillId="0" borderId="59" xfId="7" applyFont="1" applyBorder="1"/>
    <xf numFmtId="0" fontId="76" fillId="0" borderId="60" xfId="7" applyFont="1" applyBorder="1"/>
    <xf numFmtId="43" fontId="76" fillId="0" borderId="58" xfId="8" applyFont="1" applyBorder="1"/>
    <xf numFmtId="44" fontId="76" fillId="0" borderId="60" xfId="7" applyNumberFormat="1" applyFont="1" applyBorder="1"/>
    <xf numFmtId="178" fontId="76" fillId="0" borderId="58" xfId="8" applyNumberFormat="1" applyFont="1" applyBorder="1"/>
    <xf numFmtId="44" fontId="76" fillId="0" borderId="61" xfId="9" applyFont="1" applyBorder="1"/>
    <xf numFmtId="178" fontId="76" fillId="0" borderId="62" xfId="9" applyNumberFormat="1" applyFont="1" applyBorder="1"/>
    <xf numFmtId="43" fontId="76" fillId="0" borderId="60" xfId="8" applyFont="1" applyBorder="1"/>
    <xf numFmtId="178" fontId="76" fillId="0" borderId="58" xfId="7" applyNumberFormat="1" applyFont="1" applyBorder="1"/>
    <xf numFmtId="178" fontId="76" fillId="0" borderId="60" xfId="7" applyNumberFormat="1" applyFont="1" applyBorder="1"/>
    <xf numFmtId="178" fontId="76" fillId="0" borderId="56" xfId="7" applyNumberFormat="1" applyFont="1" applyBorder="1"/>
    <xf numFmtId="3" fontId="77" fillId="0" borderId="63" xfId="8" applyNumberFormat="1" applyFont="1" applyBorder="1"/>
    <xf numFmtId="44" fontId="77" fillId="0" borderId="64" xfId="9" applyFont="1" applyBorder="1"/>
    <xf numFmtId="178" fontId="80" fillId="0" borderId="64" xfId="8" applyNumberFormat="1" applyFont="1" applyBorder="1"/>
    <xf numFmtId="44" fontId="76" fillId="0" borderId="65" xfId="7" applyNumberFormat="1" applyFont="1" applyBorder="1"/>
    <xf numFmtId="44" fontId="76" fillId="0" borderId="66" xfId="7" applyNumberFormat="1" applyFont="1" applyBorder="1"/>
    <xf numFmtId="44" fontId="76" fillId="0" borderId="63" xfId="7" applyNumberFormat="1" applyFont="1" applyBorder="1"/>
    <xf numFmtId="0" fontId="77" fillId="0" borderId="58" xfId="7" applyFont="1" applyBorder="1"/>
    <xf numFmtId="0" fontId="77" fillId="0" borderId="61" xfId="7" applyFont="1" applyBorder="1"/>
    <xf numFmtId="178" fontId="77" fillId="0" borderId="61" xfId="7" applyNumberFormat="1" applyFont="1" applyBorder="1"/>
    <xf numFmtId="0" fontId="76" fillId="0" borderId="67" xfId="7" applyFont="1" applyBorder="1"/>
    <xf numFmtId="4" fontId="76" fillId="0" borderId="67" xfId="7" applyNumberFormat="1" applyFont="1" applyBorder="1"/>
    <xf numFmtId="178" fontId="76" fillId="0" borderId="0" xfId="7" applyNumberFormat="1" applyFont="1"/>
    <xf numFmtId="0" fontId="80" fillId="32" borderId="44" xfId="7" applyFont="1" applyFill="1" applyBorder="1"/>
    <xf numFmtId="0" fontId="80" fillId="32" borderId="68" xfId="7" applyFont="1" applyFill="1" applyBorder="1"/>
    <xf numFmtId="0" fontId="80" fillId="32" borderId="69" xfId="7" applyFont="1" applyFill="1" applyBorder="1"/>
    <xf numFmtId="178" fontId="80" fillId="32" borderId="70" xfId="7" applyNumberFormat="1" applyFont="1" applyFill="1" applyBorder="1"/>
    <xf numFmtId="178" fontId="80" fillId="32" borderId="68" xfId="7" applyNumberFormat="1" applyFont="1" applyFill="1" applyBorder="1"/>
    <xf numFmtId="0" fontId="81" fillId="0" borderId="0" xfId="7" applyFont="1"/>
    <xf numFmtId="44" fontId="76" fillId="0" borderId="0" xfId="7" applyNumberFormat="1" applyFont="1"/>
    <xf numFmtId="0" fontId="82" fillId="39" borderId="44" xfId="7" applyFont="1" applyFill="1" applyBorder="1"/>
    <xf numFmtId="0" fontId="79" fillId="39" borderId="71" xfId="7" applyFont="1" applyFill="1" applyBorder="1"/>
    <xf numFmtId="0" fontId="79" fillId="39" borderId="72" xfId="7" applyFont="1" applyFill="1" applyBorder="1"/>
    <xf numFmtId="179" fontId="79" fillId="39" borderId="73" xfId="7" applyNumberFormat="1" applyFont="1" applyFill="1" applyBorder="1"/>
    <xf numFmtId="178" fontId="79" fillId="39" borderId="73" xfId="7" applyNumberFormat="1" applyFont="1" applyFill="1" applyBorder="1"/>
    <xf numFmtId="169" fontId="7" fillId="4" borderId="3" xfId="3" applyNumberFormat="1" applyFont="1" applyFill="1" applyBorder="1" applyAlignment="1">
      <alignment horizontal="center" vertical="center" wrapText="1"/>
    </xf>
    <xf numFmtId="9" fontId="33" fillId="0" borderId="0" xfId="4" applyFont="1" applyAlignment="1">
      <alignment vertical="center"/>
    </xf>
    <xf numFmtId="169" fontId="33" fillId="0" borderId="0" xfId="3" applyNumberFormat="1" applyFont="1"/>
    <xf numFmtId="169" fontId="33" fillId="0" borderId="0" xfId="0" applyNumberFormat="1" applyFont="1"/>
    <xf numFmtId="169" fontId="0" fillId="0" borderId="29" xfId="3" applyNumberFormat="1" applyFont="1" applyBorder="1"/>
    <xf numFmtId="0" fontId="5" fillId="0" borderId="13" xfId="0" applyFont="1" applyBorder="1"/>
    <xf numFmtId="3" fontId="5" fillId="0" borderId="13" xfId="0" applyNumberFormat="1" applyFont="1" applyBorder="1" applyAlignment="1">
      <alignment horizontal="center"/>
    </xf>
    <xf numFmtId="0" fontId="7" fillId="25" borderId="3" xfId="0" applyFont="1" applyFill="1" applyBorder="1" applyAlignment="1">
      <alignment horizontal="center" vertical="center" wrapText="1"/>
    </xf>
    <xf numFmtId="3" fontId="7" fillId="25" borderId="3" xfId="0" applyNumberFormat="1" applyFont="1" applyFill="1" applyBorder="1" applyAlignment="1">
      <alignment horizontal="center" vertical="center" wrapText="1"/>
    </xf>
    <xf numFmtId="9" fontId="33" fillId="0" borderId="0" xfId="4" applyFont="1"/>
    <xf numFmtId="3" fontId="33" fillId="0" borderId="0" xfId="0" applyNumberFormat="1" applyFont="1"/>
    <xf numFmtId="165" fontId="33" fillId="0" borderId="0" xfId="3" applyFont="1"/>
    <xf numFmtId="169" fontId="59" fillId="36" borderId="2" xfId="3" applyNumberFormat="1" applyFont="1" applyFill="1" applyBorder="1" applyAlignment="1">
      <alignment horizontal="left"/>
    </xf>
    <xf numFmtId="169" fontId="59" fillId="37" borderId="2" xfId="3" applyNumberFormat="1" applyFont="1" applyFill="1" applyBorder="1" applyAlignment="1">
      <alignment horizontal="left"/>
    </xf>
    <xf numFmtId="169" fontId="59" fillId="37" borderId="3" xfId="3" applyNumberFormat="1" applyFont="1" applyFill="1" applyBorder="1" applyAlignment="1">
      <alignment horizontal="left"/>
    </xf>
    <xf numFmtId="169" fontId="61" fillId="38" borderId="13" xfId="3" applyNumberFormat="1" applyFont="1" applyFill="1" applyBorder="1" applyAlignment="1">
      <alignment horizontal="left"/>
    </xf>
    <xf numFmtId="3" fontId="13" fillId="51" borderId="8" xfId="0" applyNumberFormat="1" applyFont="1" applyFill="1" applyBorder="1"/>
    <xf numFmtId="0" fontId="74" fillId="0" borderId="0" xfId="0" applyFont="1"/>
    <xf numFmtId="169" fontId="63" fillId="0" borderId="13" xfId="3" applyNumberFormat="1" applyFont="1" applyFill="1" applyBorder="1" applyAlignment="1">
      <alignment vertical="center"/>
    </xf>
    <xf numFmtId="169" fontId="0" fillId="0" borderId="13" xfId="3" applyNumberFormat="1" applyFont="1" applyFill="1" applyBorder="1" applyAlignment="1">
      <alignment horizontal="center"/>
    </xf>
    <xf numFmtId="169" fontId="0" fillId="0" borderId="13" xfId="3" applyNumberFormat="1" applyFont="1" applyBorder="1" applyAlignment="1">
      <alignment horizontal="center"/>
    </xf>
    <xf numFmtId="169" fontId="59" fillId="0" borderId="13" xfId="3" applyNumberFormat="1" applyFont="1" applyFill="1" applyBorder="1" applyAlignment="1">
      <alignment horizontal="center"/>
    </xf>
    <xf numFmtId="169" fontId="3" fillId="0" borderId="13" xfId="3" applyNumberFormat="1" applyFont="1" applyBorder="1" applyAlignment="1">
      <alignment horizontal="center"/>
    </xf>
    <xf numFmtId="0" fontId="3" fillId="0" borderId="13" xfId="0" applyFont="1" applyBorder="1" applyAlignment="1">
      <alignment horizontal="right" vertical="center"/>
    </xf>
    <xf numFmtId="169" fontId="0" fillId="0" borderId="13" xfId="3" applyNumberFormat="1" applyFon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83" fillId="0" borderId="75" xfId="0" applyFont="1" applyBorder="1"/>
    <xf numFmtId="37" fontId="9" fillId="5" borderId="76" xfId="0" applyNumberFormat="1" applyFont="1" applyFill="1" applyBorder="1" applyAlignment="1">
      <alignment horizontal="center"/>
    </xf>
    <xf numFmtId="0" fontId="3" fillId="0" borderId="74" xfId="0" applyFont="1" applyBorder="1" applyAlignment="1">
      <alignment vertical="center" wrapText="1"/>
    </xf>
    <xf numFmtId="171" fontId="0" fillId="46" borderId="77" xfId="11" applyNumberFormat="1" applyFont="1" applyFill="1" applyBorder="1" applyAlignment="1">
      <alignment horizontal="center" vertical="center"/>
    </xf>
    <xf numFmtId="0" fontId="84" fillId="0" borderId="74" xfId="0" applyFont="1" applyBorder="1" applyAlignment="1">
      <alignment horizontal="right" vertical="center" wrapText="1"/>
    </xf>
    <xf numFmtId="171" fontId="84" fillId="0" borderId="77" xfId="11" applyNumberFormat="1" applyFont="1" applyBorder="1" applyAlignment="1">
      <alignment horizontal="center" vertical="center"/>
    </xf>
    <xf numFmtId="171" fontId="84" fillId="0" borderId="77" xfId="11" applyNumberFormat="1" applyFont="1" applyFill="1" applyBorder="1" applyAlignment="1">
      <alignment horizontal="center" vertical="center"/>
    </xf>
    <xf numFmtId="0" fontId="83" fillId="0" borderId="74" xfId="0" applyFont="1" applyBorder="1"/>
    <xf numFmtId="43" fontId="83" fillId="0" borderId="19" xfId="3" applyNumberFormat="1" applyFont="1" applyFill="1" applyBorder="1"/>
    <xf numFmtId="0" fontId="85" fillId="0" borderId="13" xfId="0" applyFont="1" applyBorder="1" applyAlignment="1">
      <alignment horizontal="right" vertical="center" wrapText="1"/>
    </xf>
    <xf numFmtId="0" fontId="3" fillId="0" borderId="13" xfId="0" applyFont="1" applyBorder="1" applyAlignment="1">
      <alignment horizontal="right"/>
    </xf>
    <xf numFmtId="169" fontId="3" fillId="0" borderId="13" xfId="3" applyNumberFormat="1" applyFont="1" applyBorder="1"/>
    <xf numFmtId="171" fontId="3" fillId="0" borderId="13" xfId="0" applyNumberFormat="1" applyFont="1" applyBorder="1"/>
    <xf numFmtId="171" fontId="86" fillId="0" borderId="13" xfId="3" applyNumberFormat="1" applyFont="1" applyFill="1" applyBorder="1"/>
    <xf numFmtId="169" fontId="5" fillId="0" borderId="0" xfId="3" applyNumberFormat="1" applyFont="1" applyFill="1" applyAlignment="1">
      <alignment horizontal="center"/>
    </xf>
    <xf numFmtId="180" fontId="0" fillId="0" borderId="0" xfId="0" applyNumberFormat="1"/>
    <xf numFmtId="173" fontId="59" fillId="0" borderId="2" xfId="0" applyNumberFormat="1" applyFont="1" applyBorder="1"/>
    <xf numFmtId="169" fontId="35" fillId="0" borderId="0" xfId="0" applyNumberFormat="1" applyFont="1"/>
    <xf numFmtId="165" fontId="59" fillId="8" borderId="2" xfId="0" applyNumberFormat="1" applyFont="1" applyFill="1" applyBorder="1"/>
    <xf numFmtId="165" fontId="7" fillId="25" borderId="3" xfId="3" applyFont="1" applyFill="1" applyBorder="1" applyAlignment="1">
      <alignment horizontal="center" vertical="center" wrapText="1"/>
    </xf>
    <xf numFmtId="0" fontId="36" fillId="0" borderId="13" xfId="0" applyFont="1" applyBorder="1" applyAlignment="1">
      <alignment horizontal="center"/>
    </xf>
    <xf numFmtId="9" fontId="0" fillId="0" borderId="13" xfId="0" applyNumberFormat="1" applyBorder="1"/>
    <xf numFmtId="0" fontId="43" fillId="10" borderId="13" xfId="0" applyFont="1" applyFill="1" applyBorder="1" applyAlignment="1">
      <alignment horizontal="center" vertical="center"/>
    </xf>
    <xf numFmtId="169" fontId="4" fillId="2" borderId="13" xfId="0" applyNumberFormat="1" applyFont="1" applyFill="1" applyBorder="1" applyAlignment="1">
      <alignment horizontal="center"/>
    </xf>
    <xf numFmtId="0" fontId="43" fillId="10" borderId="23" xfId="0" applyFont="1" applyFill="1" applyBorder="1" applyAlignment="1">
      <alignment horizontal="center" vertical="center"/>
    </xf>
    <xf numFmtId="0" fontId="43" fillId="10" borderId="25" xfId="0" applyFont="1" applyFill="1" applyBorder="1" applyAlignment="1">
      <alignment horizontal="center" vertical="center"/>
    </xf>
    <xf numFmtId="165" fontId="4" fillId="2" borderId="13" xfId="3" applyFont="1" applyFill="1" applyBorder="1" applyAlignment="1">
      <alignment horizontal="center"/>
    </xf>
    <xf numFmtId="165" fontId="43" fillId="3" borderId="2" xfId="3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169" fontId="87" fillId="0" borderId="0" xfId="0" applyNumberFormat="1" applyFont="1"/>
    <xf numFmtId="165" fontId="87" fillId="0" borderId="26" xfId="0" applyNumberFormat="1" applyFont="1" applyBorder="1"/>
    <xf numFmtId="3" fontId="51" fillId="0" borderId="0" xfId="0" applyNumberFormat="1" applyFont="1" applyAlignment="1">
      <alignment horizontal="center"/>
    </xf>
    <xf numFmtId="0" fontId="87" fillId="0" borderId="0" xfId="0" applyFont="1"/>
    <xf numFmtId="165" fontId="88" fillId="4" borderId="3" xfId="3" applyFont="1" applyFill="1" applyBorder="1" applyAlignment="1">
      <alignment horizontal="center" vertical="center" wrapText="1"/>
    </xf>
    <xf numFmtId="4" fontId="2" fillId="25" borderId="3" xfId="0" applyNumberFormat="1" applyFont="1" applyFill="1" applyBorder="1" applyAlignment="1">
      <alignment horizontal="center" vertical="center" wrapText="1"/>
    </xf>
    <xf numFmtId="169" fontId="7" fillId="25" borderId="3" xfId="3" applyNumberFormat="1" applyFont="1" applyFill="1" applyBorder="1" applyAlignment="1">
      <alignment horizontal="center" vertical="center" wrapText="1"/>
    </xf>
    <xf numFmtId="169" fontId="37" fillId="0" borderId="0" xfId="0" applyNumberFormat="1" applyFont="1"/>
    <xf numFmtId="169" fontId="5" fillId="0" borderId="15" xfId="3" applyNumberFormat="1" applyFont="1" applyFill="1" applyBorder="1" applyAlignment="1">
      <alignment horizontal="center"/>
    </xf>
    <xf numFmtId="165" fontId="39" fillId="0" borderId="2" xfId="3" applyFont="1" applyFill="1" applyBorder="1" applyAlignment="1">
      <alignment horizontal="center"/>
    </xf>
    <xf numFmtId="169" fontId="59" fillId="36" borderId="2" xfId="3" applyNumberFormat="1" applyFont="1" applyFill="1" applyBorder="1" applyAlignment="1"/>
    <xf numFmtId="3" fontId="5" fillId="27" borderId="2" xfId="0" applyNumberFormat="1" applyFont="1" applyFill="1" applyBorder="1" applyAlignment="1">
      <alignment horizontal="center"/>
    </xf>
    <xf numFmtId="4" fontId="44" fillId="27" borderId="2" xfId="0" applyNumberFormat="1" applyFont="1" applyFill="1" applyBorder="1" applyAlignment="1">
      <alignment horizontal="center"/>
    </xf>
    <xf numFmtId="0" fontId="34" fillId="27" borderId="0" xfId="0" applyFont="1" applyFill="1" applyAlignment="1">
      <alignment horizontal="center"/>
    </xf>
    <xf numFmtId="1" fontId="5" fillId="27" borderId="15" xfId="0" applyNumberFormat="1" applyFont="1" applyFill="1" applyBorder="1" applyAlignment="1">
      <alignment horizontal="center"/>
    </xf>
    <xf numFmtId="169" fontId="5" fillId="27" borderId="15" xfId="3" applyNumberFormat="1" applyFont="1" applyFill="1" applyBorder="1" applyAlignment="1">
      <alignment horizontal="center"/>
    </xf>
    <xf numFmtId="169" fontId="5" fillId="27" borderId="2" xfId="3" applyNumberFormat="1" applyFont="1" applyFill="1" applyBorder="1" applyAlignment="1">
      <alignment horizontal="center"/>
    </xf>
    <xf numFmtId="165" fontId="39" fillId="27" borderId="2" xfId="3" applyFont="1" applyFill="1" applyBorder="1" applyAlignment="1">
      <alignment horizontal="center"/>
    </xf>
    <xf numFmtId="167" fontId="5" fillId="27" borderId="2" xfId="0" applyNumberFormat="1" applyFont="1" applyFill="1" applyBorder="1" applyAlignment="1">
      <alignment horizontal="center"/>
    </xf>
    <xf numFmtId="3" fontId="5" fillId="27" borderId="13" xfId="0" applyNumberFormat="1" applyFont="1" applyFill="1" applyBorder="1" applyAlignment="1">
      <alignment horizontal="center"/>
    </xf>
    <xf numFmtId="169" fontId="22" fillId="27" borderId="13" xfId="3" applyNumberFormat="1" applyFont="1" applyFill="1" applyBorder="1" applyAlignment="1">
      <alignment horizontal="center"/>
    </xf>
    <xf numFmtId="1" fontId="5" fillId="27" borderId="13" xfId="0" applyNumberFormat="1" applyFont="1" applyFill="1" applyBorder="1" applyAlignment="1">
      <alignment horizontal="center"/>
    </xf>
    <xf numFmtId="169" fontId="5" fillId="27" borderId="13" xfId="3" applyNumberFormat="1" applyFont="1" applyFill="1" applyBorder="1" applyAlignment="1">
      <alignment horizontal="center"/>
    </xf>
    <xf numFmtId="165" fontId="39" fillId="27" borderId="13" xfId="3" applyFont="1" applyFill="1" applyBorder="1" applyAlignment="1">
      <alignment horizontal="center"/>
    </xf>
    <xf numFmtId="169" fontId="19" fillId="27" borderId="17" xfId="3" applyNumberFormat="1" applyFont="1" applyFill="1" applyBorder="1" applyAlignment="1">
      <alignment horizontal="center"/>
    </xf>
    <xf numFmtId="165" fontId="5" fillId="0" borderId="15" xfId="3" applyFont="1" applyFill="1" applyBorder="1" applyAlignment="1">
      <alignment horizontal="center"/>
    </xf>
    <xf numFmtId="0" fontId="0" fillId="27" borderId="0" xfId="0" applyFill="1"/>
    <xf numFmtId="0" fontId="74" fillId="27" borderId="0" xfId="0" applyFont="1" applyFill="1"/>
    <xf numFmtId="0" fontId="75" fillId="27" borderId="0" xfId="0" quotePrefix="1" applyFont="1" applyFill="1" applyAlignment="1">
      <alignment vertical="top" wrapText="1"/>
    </xf>
    <xf numFmtId="0" fontId="33" fillId="27" borderId="0" xfId="0" applyFont="1" applyFill="1"/>
    <xf numFmtId="0" fontId="32" fillId="27" borderId="0" xfId="0" applyFont="1" applyFill="1" applyAlignment="1">
      <alignment vertical="top" wrapText="1"/>
    </xf>
    <xf numFmtId="0" fontId="0" fillId="27" borderId="0" xfId="0" applyFill="1" applyAlignment="1">
      <alignment vertical="top" wrapText="1"/>
    </xf>
    <xf numFmtId="0" fontId="32" fillId="27" borderId="0" xfId="0" quotePrefix="1" applyFont="1" applyFill="1" applyAlignment="1">
      <alignment vertical="top" wrapText="1"/>
    </xf>
    <xf numFmtId="0" fontId="0" fillId="27" borderId="0" xfId="0" quotePrefix="1" applyFill="1"/>
    <xf numFmtId="0" fontId="32" fillId="27" borderId="0" xfId="0" quotePrefix="1" applyFont="1" applyFill="1" applyAlignment="1">
      <alignment wrapText="1"/>
    </xf>
    <xf numFmtId="0" fontId="0" fillId="27" borderId="0" xfId="0" applyFill="1" applyAlignment="1">
      <alignment wrapText="1"/>
    </xf>
    <xf numFmtId="0" fontId="73" fillId="27" borderId="0" xfId="0" applyFont="1" applyFill="1"/>
    <xf numFmtId="0" fontId="0" fillId="27" borderId="0" xfId="0" quotePrefix="1" applyFill="1" applyAlignment="1">
      <alignment wrapText="1"/>
    </xf>
    <xf numFmtId="169" fontId="0" fillId="27" borderId="0" xfId="3" applyNumberFormat="1" applyFont="1" applyFill="1"/>
    <xf numFmtId="3" fontId="5" fillId="0" borderId="1" xfId="0" applyNumberFormat="1" applyFont="1" applyBorder="1" applyAlignment="1">
      <alignment horizontal="center"/>
    </xf>
    <xf numFmtId="0" fontId="5" fillId="0" borderId="3" xfId="0" applyFont="1" applyBorder="1"/>
    <xf numFmtId="3" fontId="5" fillId="27" borderId="1" xfId="0" applyNumberFormat="1" applyFont="1" applyFill="1" applyBorder="1" applyAlignment="1">
      <alignment horizontal="center"/>
    </xf>
    <xf numFmtId="169" fontId="5" fillId="27" borderId="1" xfId="3" applyNumberFormat="1" applyFont="1" applyFill="1" applyBorder="1" applyAlignment="1">
      <alignment horizontal="center"/>
    </xf>
    <xf numFmtId="165" fontId="39" fillId="27" borderId="1" xfId="3" applyFont="1" applyFill="1" applyBorder="1" applyAlignment="1">
      <alignment horizontal="center"/>
    </xf>
    <xf numFmtId="3" fontId="5" fillId="27" borderId="3" xfId="0" applyNumberFormat="1" applyFont="1" applyFill="1" applyBorder="1" applyAlignment="1">
      <alignment horizontal="center"/>
    </xf>
    <xf numFmtId="169" fontId="5" fillId="27" borderId="3" xfId="3" applyNumberFormat="1" applyFont="1" applyFill="1" applyBorder="1" applyAlignment="1">
      <alignment horizontal="center"/>
    </xf>
    <xf numFmtId="165" fontId="39" fillId="27" borderId="3" xfId="3" applyFont="1" applyFill="1" applyBorder="1" applyAlignment="1">
      <alignment horizontal="center"/>
    </xf>
    <xf numFmtId="0" fontId="3" fillId="43" borderId="0" xfId="0" applyFont="1" applyFill="1"/>
    <xf numFmtId="0" fontId="35" fillId="43" borderId="0" xfId="0" applyFont="1" applyFill="1"/>
    <xf numFmtId="169" fontId="35" fillId="43" borderId="0" xfId="3" applyNumberFormat="1" applyFont="1" applyFill="1"/>
    <xf numFmtId="0" fontId="92" fillId="43" borderId="0" xfId="0" applyFont="1" applyFill="1" applyAlignment="1">
      <alignment horizontal="center"/>
    </xf>
    <xf numFmtId="165" fontId="35" fillId="43" borderId="0" xfId="3" applyFont="1" applyFill="1"/>
    <xf numFmtId="165" fontId="5" fillId="27" borderId="15" xfId="3" applyFont="1" applyFill="1" applyBorder="1" applyAlignment="1">
      <alignment horizontal="center"/>
    </xf>
    <xf numFmtId="165" fontId="5" fillId="27" borderId="1" xfId="3" applyFont="1" applyFill="1" applyBorder="1" applyAlignment="1">
      <alignment horizontal="center"/>
    </xf>
    <xf numFmtId="165" fontId="5" fillId="27" borderId="2" xfId="3" applyFont="1" applyFill="1" applyBorder="1" applyAlignment="1">
      <alignment horizontal="center"/>
    </xf>
    <xf numFmtId="165" fontId="5" fillId="27" borderId="3" xfId="3" applyFont="1" applyFill="1" applyBorder="1" applyAlignment="1">
      <alignment horizontal="center"/>
    </xf>
    <xf numFmtId="3" fontId="39" fillId="3" borderId="13" xfId="0" applyNumberFormat="1" applyFont="1" applyFill="1" applyBorder="1" applyAlignment="1">
      <alignment vertical="center"/>
    </xf>
    <xf numFmtId="0" fontId="91" fillId="4" borderId="3" xfId="0" applyFont="1" applyFill="1" applyBorder="1" applyAlignment="1">
      <alignment horizontal="center" vertical="center"/>
    </xf>
    <xf numFmtId="0" fontId="0" fillId="32" borderId="13" xfId="0" applyFill="1" applyBorder="1"/>
    <xf numFmtId="0" fontId="5" fillId="27" borderId="1" xfId="0" applyFont="1" applyFill="1" applyBorder="1"/>
    <xf numFmtId="0" fontId="5" fillId="27" borderId="2" xfId="0" applyFont="1" applyFill="1" applyBorder="1"/>
    <xf numFmtId="169" fontId="22" fillId="27" borderId="53" xfId="3" applyNumberFormat="1" applyFont="1" applyFill="1" applyBorder="1" applyAlignment="1">
      <alignment horizontal="center"/>
    </xf>
    <xf numFmtId="0" fontId="5" fillId="27" borderId="13" xfId="0" applyFont="1" applyFill="1" applyBorder="1"/>
    <xf numFmtId="165" fontId="22" fillId="0" borderId="0" xfId="3" applyFont="1" applyAlignment="1">
      <alignment horizontal="center"/>
    </xf>
    <xf numFmtId="0" fontId="75" fillId="27" borderId="0" xfId="0" quotePrefix="1" applyFont="1" applyFill="1" applyAlignment="1">
      <alignment horizontal="left" vertical="top" wrapText="1"/>
    </xf>
    <xf numFmtId="0" fontId="32" fillId="27" borderId="0" xfId="0" applyFont="1" applyFill="1" applyAlignment="1">
      <alignment horizontal="left" vertical="top" wrapText="1"/>
    </xf>
    <xf numFmtId="0" fontId="66" fillId="27" borderId="0" xfId="0" quotePrefix="1" applyFont="1" applyFill="1" applyAlignment="1">
      <alignment horizontal="left" vertical="top" wrapText="1"/>
    </xf>
    <xf numFmtId="169" fontId="5" fillId="32" borderId="13" xfId="3" applyNumberFormat="1" applyFont="1" applyFill="1" applyBorder="1" applyAlignment="1">
      <alignment horizontal="center"/>
    </xf>
    <xf numFmtId="165" fontId="39" fillId="32" borderId="13" xfId="3" applyFont="1" applyFill="1" applyBorder="1" applyAlignment="1">
      <alignment horizontal="center"/>
    </xf>
    <xf numFmtId="165" fontId="5" fillId="41" borderId="15" xfId="3" applyFont="1" applyFill="1" applyBorder="1" applyAlignment="1">
      <alignment horizontal="center"/>
    </xf>
    <xf numFmtId="165" fontId="39" fillId="41" borderId="2" xfId="3" applyFont="1" applyFill="1" applyBorder="1" applyAlignment="1">
      <alignment horizontal="center"/>
    </xf>
    <xf numFmtId="1" fontId="5" fillId="27" borderId="17" xfId="0" applyNumberFormat="1" applyFont="1" applyFill="1" applyBorder="1" applyAlignment="1">
      <alignment horizontal="center"/>
    </xf>
    <xf numFmtId="169" fontId="5" fillId="0" borderId="17" xfId="3" applyNumberFormat="1" applyFont="1" applyFill="1" applyBorder="1" applyAlignment="1">
      <alignment horizontal="center"/>
    </xf>
    <xf numFmtId="169" fontId="5" fillId="0" borderId="1" xfId="3" applyNumberFormat="1" applyFont="1" applyFill="1" applyBorder="1" applyAlignment="1">
      <alignment horizontal="center"/>
    </xf>
    <xf numFmtId="0" fontId="5" fillId="27" borderId="3" xfId="0" applyFont="1" applyFill="1" applyBorder="1"/>
    <xf numFmtId="165" fontId="106" fillId="27" borderId="0" xfId="3" applyFont="1" applyFill="1" applyAlignment="1">
      <alignment horizontal="center"/>
    </xf>
    <xf numFmtId="165" fontId="106" fillId="0" borderId="0" xfId="3" applyFont="1" applyAlignment="1">
      <alignment horizontal="center"/>
    </xf>
    <xf numFmtId="169" fontId="5" fillId="0" borderId="2" xfId="3" applyNumberFormat="1" applyFont="1" applyFill="1" applyBorder="1" applyAlignment="1">
      <alignment horizontal="center"/>
    </xf>
    <xf numFmtId="169" fontId="33" fillId="0" borderId="15" xfId="3" applyNumberFormat="1" applyFont="1" applyFill="1" applyBorder="1" applyAlignment="1">
      <alignment horizontal="center"/>
    </xf>
    <xf numFmtId="169" fontId="17" fillId="0" borderId="15" xfId="3" applyNumberFormat="1" applyFont="1" applyFill="1" applyBorder="1" applyAlignment="1">
      <alignment horizontal="center"/>
    </xf>
    <xf numFmtId="165" fontId="17" fillId="0" borderId="15" xfId="3" applyFont="1" applyFill="1" applyBorder="1" applyAlignment="1">
      <alignment horizontal="center"/>
    </xf>
    <xf numFmtId="169" fontId="5" fillId="0" borderId="13" xfId="3" applyNumberFormat="1" applyFont="1" applyFill="1" applyBorder="1" applyAlignment="1">
      <alignment horizontal="center"/>
    </xf>
    <xf numFmtId="165" fontId="5" fillId="0" borderId="13" xfId="3" applyFont="1" applyFill="1" applyBorder="1" applyAlignment="1">
      <alignment horizontal="center"/>
    </xf>
    <xf numFmtId="165" fontId="39" fillId="0" borderId="13" xfId="3" applyFont="1" applyFill="1" applyBorder="1" applyAlignment="1">
      <alignment horizontal="center"/>
    </xf>
    <xf numFmtId="169" fontId="23" fillId="0" borderId="15" xfId="3" applyNumberFormat="1" applyFont="1" applyFill="1" applyBorder="1" applyAlignment="1">
      <alignment horizontal="center"/>
    </xf>
    <xf numFmtId="169" fontId="33" fillId="0" borderId="17" xfId="3" applyNumberFormat="1" applyFont="1" applyFill="1" applyBorder="1" applyAlignment="1">
      <alignment horizontal="center"/>
    </xf>
    <xf numFmtId="169" fontId="23" fillId="0" borderId="17" xfId="3" applyNumberFormat="1" applyFont="1" applyFill="1" applyBorder="1" applyAlignment="1">
      <alignment horizontal="center"/>
    </xf>
    <xf numFmtId="1" fontId="5" fillId="27" borderId="1" xfId="0" applyNumberFormat="1" applyFont="1" applyFill="1" applyBorder="1" applyAlignment="1">
      <alignment horizontal="center"/>
    </xf>
    <xf numFmtId="1" fontId="5" fillId="27" borderId="2" xfId="0" applyNumberFormat="1" applyFont="1" applyFill="1" applyBorder="1" applyAlignment="1">
      <alignment horizontal="center"/>
    </xf>
    <xf numFmtId="165" fontId="44" fillId="0" borderId="1" xfId="3" applyFont="1" applyFill="1" applyBorder="1" applyAlignment="1">
      <alignment vertical="center"/>
    </xf>
    <xf numFmtId="165" fontId="44" fillId="0" borderId="2" xfId="3" applyFont="1" applyFill="1" applyBorder="1" applyAlignment="1">
      <alignment vertical="center"/>
    </xf>
    <xf numFmtId="3" fontId="5" fillId="0" borderId="3" xfId="0" applyNumberFormat="1" applyFont="1" applyBorder="1" applyAlignment="1">
      <alignment horizontal="center"/>
    </xf>
    <xf numFmtId="165" fontId="44" fillId="0" borderId="3" xfId="3" applyFont="1" applyFill="1" applyBorder="1" applyAlignment="1">
      <alignment vertical="center"/>
    </xf>
    <xf numFmtId="3" fontId="0" fillId="0" borderId="92" xfId="0" applyNumberFormat="1" applyBorder="1"/>
    <xf numFmtId="3" fontId="0" fillId="0" borderId="14" xfId="0" applyNumberFormat="1" applyBorder="1"/>
    <xf numFmtId="169" fontId="39" fillId="27" borderId="1" xfId="3" applyNumberFormat="1" applyFont="1" applyFill="1" applyBorder="1" applyAlignment="1">
      <alignment horizontal="center"/>
    </xf>
    <xf numFmtId="169" fontId="39" fillId="27" borderId="2" xfId="3" applyNumberFormat="1" applyFont="1" applyFill="1" applyBorder="1" applyAlignment="1">
      <alignment horizontal="center"/>
    </xf>
    <xf numFmtId="169" fontId="43" fillId="3" borderId="2" xfId="3" applyNumberFormat="1" applyFont="1" applyFill="1" applyBorder="1" applyAlignment="1">
      <alignment horizontal="center"/>
    </xf>
    <xf numFmtId="169" fontId="39" fillId="0" borderId="2" xfId="3" applyNumberFormat="1" applyFont="1" applyFill="1" applyBorder="1" applyAlignment="1">
      <alignment horizontal="center"/>
    </xf>
    <xf numFmtId="169" fontId="88" fillId="4" borderId="3" xfId="3" applyNumberFormat="1" applyFont="1" applyFill="1" applyBorder="1" applyAlignment="1">
      <alignment horizontal="center" vertical="center" wrapText="1"/>
    </xf>
    <xf numFmtId="169" fontId="39" fillId="27" borderId="13" xfId="3" applyNumberFormat="1" applyFont="1" applyFill="1" applyBorder="1" applyAlignment="1">
      <alignment horizontal="center"/>
    </xf>
    <xf numFmtId="169" fontId="39" fillId="27" borderId="3" xfId="3" applyNumberFormat="1" applyFont="1" applyFill="1" applyBorder="1" applyAlignment="1">
      <alignment horizontal="center"/>
    </xf>
    <xf numFmtId="165" fontId="59" fillId="37" borderId="3" xfId="3" applyFont="1" applyFill="1" applyBorder="1" applyAlignment="1">
      <alignment horizontal="left"/>
    </xf>
    <xf numFmtId="165" fontId="59" fillId="36" borderId="2" xfId="3" applyFont="1" applyFill="1" applyBorder="1" applyAlignment="1">
      <alignment horizontal="left"/>
    </xf>
    <xf numFmtId="165" fontId="59" fillId="37" borderId="2" xfId="3" applyFont="1" applyFill="1" applyBorder="1" applyAlignment="1">
      <alignment horizontal="left"/>
    </xf>
    <xf numFmtId="165" fontId="61" fillId="38" borderId="13" xfId="3" applyFont="1" applyFill="1" applyBorder="1" applyAlignment="1">
      <alignment horizontal="left"/>
    </xf>
    <xf numFmtId="3" fontId="13" fillId="8" borderId="8" xfId="66" applyNumberFormat="1" applyFont="1" applyFill="1" applyBorder="1"/>
    <xf numFmtId="3" fontId="13" fillId="8" borderId="31" xfId="0" applyNumberFormat="1" applyFont="1" applyFill="1" applyBorder="1"/>
    <xf numFmtId="165" fontId="0" fillId="0" borderId="29" xfId="3" applyFont="1" applyBorder="1"/>
    <xf numFmtId="0" fontId="18" fillId="0" borderId="7" xfId="0" applyFont="1" applyBorder="1"/>
    <xf numFmtId="0" fontId="18" fillId="0" borderId="9" xfId="0" applyFont="1" applyBorder="1"/>
    <xf numFmtId="0" fontId="18" fillId="0" borderId="11" xfId="0" applyFont="1" applyBorder="1"/>
    <xf numFmtId="0" fontId="12" fillId="84" borderId="10" xfId="0" applyFont="1" applyFill="1" applyBorder="1"/>
    <xf numFmtId="0" fontId="21" fillId="14" borderId="32" xfId="0" applyFont="1" applyFill="1" applyBorder="1"/>
    <xf numFmtId="4" fontId="13" fillId="84" borderId="8" xfId="3" applyNumberFormat="1" applyFont="1" applyFill="1" applyBorder="1"/>
    <xf numFmtId="4" fontId="21" fillId="14" borderId="8" xfId="3" applyNumberFormat="1" applyFont="1" applyFill="1" applyBorder="1"/>
    <xf numFmtId="4" fontId="13" fillId="3" borderId="8" xfId="3" applyNumberFormat="1" applyFont="1" applyFill="1" applyBorder="1"/>
    <xf numFmtId="4" fontId="12" fillId="0" borderId="8" xfId="3" applyNumberFormat="1" applyFont="1" applyFill="1" applyBorder="1"/>
    <xf numFmtId="169" fontId="12" fillId="0" borderId="0" xfId="3" applyNumberFormat="1" applyFont="1" applyFill="1" applyBorder="1"/>
    <xf numFmtId="169" fontId="0" fillId="0" borderId="0" xfId="3" applyNumberFormat="1" applyFont="1" applyFill="1"/>
    <xf numFmtId="3" fontId="12" fillId="0" borderId="0" xfId="0" applyNumberFormat="1" applyFont="1"/>
    <xf numFmtId="3" fontId="13" fillId="84" borderId="8" xfId="3" applyNumberFormat="1" applyFont="1" applyFill="1" applyBorder="1"/>
    <xf numFmtId="3" fontId="21" fillId="14" borderId="8" xfId="3" applyNumberFormat="1" applyFont="1" applyFill="1" applyBorder="1"/>
    <xf numFmtId="3" fontId="13" fillId="0" borderId="8" xfId="3" applyNumberFormat="1" applyFont="1" applyBorder="1"/>
    <xf numFmtId="3" fontId="13" fillId="3" borderId="8" xfId="3" applyNumberFormat="1" applyFont="1" applyFill="1" applyBorder="1"/>
    <xf numFmtId="3" fontId="12" fillId="0" borderId="8" xfId="3" applyNumberFormat="1" applyFont="1" applyFill="1" applyBorder="1"/>
    <xf numFmtId="0" fontId="12" fillId="14" borderId="10" xfId="0" applyFont="1" applyFill="1" applyBorder="1"/>
    <xf numFmtId="0" fontId="15" fillId="0" borderId="93" xfId="0" applyFont="1" applyBorder="1" applyAlignment="1">
      <alignment horizontal="right"/>
    </xf>
    <xf numFmtId="3" fontId="21" fillId="85" borderId="8" xfId="3" applyNumberFormat="1" applyFont="1" applyFill="1" applyBorder="1"/>
    <xf numFmtId="0" fontId="54" fillId="0" borderId="0" xfId="0" applyFont="1"/>
    <xf numFmtId="0" fontId="21" fillId="0" borderId="0" xfId="0" applyFont="1"/>
    <xf numFmtId="3" fontId="21" fillId="0" borderId="0" xfId="3" applyNumberFormat="1" applyFont="1" applyFill="1" applyBorder="1"/>
    <xf numFmtId="1" fontId="0" fillId="0" borderId="0" xfId="3" applyNumberFormat="1" applyFont="1"/>
    <xf numFmtId="0" fontId="0" fillId="87" borderId="0" xfId="0" applyFill="1"/>
    <xf numFmtId="169" fontId="0" fillId="87" borderId="0" xfId="0" applyNumberFormat="1" applyFill="1"/>
    <xf numFmtId="165" fontId="0" fillId="87" borderId="0" xfId="0" applyNumberFormat="1" applyFill="1"/>
    <xf numFmtId="169" fontId="0" fillId="87" borderId="0" xfId="3" applyNumberFormat="1" applyFont="1" applyFill="1"/>
    <xf numFmtId="0" fontId="12" fillId="87" borderId="0" xfId="0" applyFont="1" applyFill="1"/>
    <xf numFmtId="169" fontId="12" fillId="87" borderId="0" xfId="3" applyNumberFormat="1" applyFont="1" applyFill="1" applyBorder="1"/>
    <xf numFmtId="3" fontId="12" fillId="87" borderId="0" xfId="0" applyNumberFormat="1" applyFont="1" applyFill="1"/>
    <xf numFmtId="4" fontId="0" fillId="87" borderId="0" xfId="0" applyNumberFormat="1" applyFill="1"/>
    <xf numFmtId="2" fontId="0" fillId="87" borderId="0" xfId="0" applyNumberFormat="1" applyFill="1"/>
    <xf numFmtId="171" fontId="0" fillId="87" borderId="0" xfId="0" applyNumberFormat="1" applyFill="1"/>
    <xf numFmtId="3" fontId="0" fillId="87" borderId="0" xfId="0" applyNumberFormat="1" applyFill="1"/>
    <xf numFmtId="0" fontId="21" fillId="88" borderId="0" xfId="0" applyFont="1" applyFill="1"/>
    <xf numFmtId="3" fontId="21" fillId="88" borderId="0" xfId="3" applyNumberFormat="1" applyFont="1" applyFill="1" applyBorder="1"/>
    <xf numFmtId="169" fontId="0" fillId="88" borderId="0" xfId="3" applyNumberFormat="1" applyFont="1" applyFill="1"/>
    <xf numFmtId="0" fontId="0" fillId="88" borderId="0" xfId="0" applyFill="1"/>
    <xf numFmtId="0" fontId="0" fillId="0" borderId="94" xfId="0" applyBorder="1"/>
    <xf numFmtId="0" fontId="2" fillId="2" borderId="95" xfId="0" applyFont="1" applyFill="1" applyBorder="1" applyAlignment="1">
      <alignment horizontal="center"/>
    </xf>
    <xf numFmtId="0" fontId="2" fillId="2" borderId="43" xfId="0" applyFont="1" applyFill="1" applyBorder="1" applyAlignment="1">
      <alignment horizontal="center"/>
    </xf>
    <xf numFmtId="0" fontId="0" fillId="0" borderId="20" xfId="0" applyBorder="1"/>
    <xf numFmtId="169" fontId="0" fillId="0" borderId="0" xfId="3" applyNumberFormat="1" applyFont="1" applyBorder="1"/>
    <xf numFmtId="169" fontId="0" fillId="0" borderId="26" xfId="3" applyNumberFormat="1" applyFont="1" applyBorder="1"/>
    <xf numFmtId="169" fontId="0" fillId="0" borderId="26" xfId="3" applyNumberFormat="1" applyFont="1" applyFill="1" applyBorder="1"/>
    <xf numFmtId="0" fontId="0" fillId="15" borderId="20" xfId="0" applyFill="1" applyBorder="1"/>
    <xf numFmtId="169" fontId="0" fillId="15" borderId="0" xfId="3" applyNumberFormat="1" applyFont="1" applyFill="1" applyBorder="1"/>
    <xf numFmtId="169" fontId="0" fillId="15" borderId="26" xfId="3" applyNumberFormat="1" applyFont="1" applyFill="1" applyBorder="1"/>
    <xf numFmtId="0" fontId="26" fillId="86" borderId="20" xfId="0" applyFont="1" applyFill="1" applyBorder="1"/>
    <xf numFmtId="0" fontId="0" fillId="15" borderId="96" xfId="0" applyFill="1" applyBorder="1"/>
    <xf numFmtId="169" fontId="0" fillId="15" borderId="97" xfId="3" applyNumberFormat="1" applyFont="1" applyFill="1" applyBorder="1"/>
    <xf numFmtId="169" fontId="0" fillId="15" borderId="98" xfId="3" applyNumberFormat="1" applyFont="1" applyFill="1" applyBorder="1"/>
    <xf numFmtId="0" fontId="11" fillId="89" borderId="4" xfId="0" applyFont="1" applyFill="1" applyBorder="1"/>
    <xf numFmtId="3" fontId="31" fillId="90" borderId="28" xfId="0" applyNumberFormat="1" applyFont="1" applyFill="1" applyBorder="1"/>
    <xf numFmtId="3" fontId="46" fillId="2" borderId="28" xfId="0" applyNumberFormat="1" applyFont="1" applyFill="1" applyBorder="1"/>
    <xf numFmtId="3" fontId="31" fillId="23" borderId="28" xfId="0" applyNumberFormat="1" applyFont="1" applyFill="1" applyBorder="1"/>
    <xf numFmtId="4" fontId="27" fillId="0" borderId="0" xfId="0" applyNumberFormat="1" applyFont="1"/>
    <xf numFmtId="165" fontId="27" fillId="0" borderId="0" xfId="0" applyNumberFormat="1" applyFont="1"/>
    <xf numFmtId="3" fontId="108" fillId="0" borderId="0" xfId="3" applyNumberFormat="1" applyFont="1" applyFill="1" applyBorder="1"/>
    <xf numFmtId="169" fontId="19" fillId="27" borderId="17" xfId="3" applyNumberFormat="1" applyFont="1" applyFill="1" applyBorder="1" applyAlignment="1">
      <alignment horizontal="center" vertical="center"/>
    </xf>
    <xf numFmtId="169" fontId="22" fillId="27" borderId="53" xfId="3" applyNumberFormat="1" applyFont="1" applyFill="1" applyBorder="1" applyAlignment="1">
      <alignment horizontal="center" vertical="center"/>
    </xf>
    <xf numFmtId="169" fontId="22" fillId="27" borderId="13" xfId="3" applyNumberFormat="1" applyFont="1" applyFill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165" fontId="39" fillId="0" borderId="18" xfId="3" applyFont="1" applyFill="1" applyBorder="1" applyAlignment="1">
      <alignment horizontal="center"/>
    </xf>
    <xf numFmtId="165" fontId="39" fillId="0" borderId="19" xfId="3" applyFont="1" applyFill="1" applyBorder="1" applyAlignment="1">
      <alignment horizontal="center"/>
    </xf>
    <xf numFmtId="169" fontId="5" fillId="0" borderId="3" xfId="3" applyNumberFormat="1" applyFont="1" applyFill="1" applyBorder="1" applyAlignment="1">
      <alignment horizontal="center"/>
    </xf>
    <xf numFmtId="169" fontId="32" fillId="0" borderId="13" xfId="0" applyNumberFormat="1" applyFont="1" applyBorder="1" applyAlignment="1">
      <alignment horizontal="center"/>
    </xf>
    <xf numFmtId="169" fontId="36" fillId="0" borderId="13" xfId="0" applyNumberFormat="1" applyFont="1" applyBorder="1" applyAlignment="1">
      <alignment horizontal="center"/>
    </xf>
    <xf numFmtId="3" fontId="3" fillId="0" borderId="0" xfId="0" applyNumberFormat="1" applyFont="1" applyAlignment="1">
      <alignment vertical="center" wrapText="1"/>
    </xf>
    <xf numFmtId="1" fontId="13" fillId="0" borderId="8" xfId="0" applyNumberFormat="1" applyFont="1" applyBorder="1"/>
    <xf numFmtId="0" fontId="53" fillId="0" borderId="37" xfId="0" applyFont="1" applyBorder="1"/>
    <xf numFmtId="3" fontId="13" fillId="45" borderId="8" xfId="0" applyNumberFormat="1" applyFont="1" applyFill="1" applyBorder="1"/>
    <xf numFmtId="3" fontId="8" fillId="91" borderId="0" xfId="0" applyNumberFormat="1" applyFont="1" applyFill="1"/>
    <xf numFmtId="3" fontId="13" fillId="45" borderId="8" xfId="3" applyNumberFormat="1" applyFont="1" applyFill="1" applyBorder="1"/>
    <xf numFmtId="169" fontId="13" fillId="0" borderId="8" xfId="3" applyNumberFormat="1" applyFont="1" applyBorder="1"/>
    <xf numFmtId="169" fontId="13" fillId="45" borderId="8" xfId="3" applyNumberFormat="1" applyFont="1" applyFill="1" applyBorder="1"/>
    <xf numFmtId="0" fontId="18" fillId="0" borderId="12" xfId="0" applyFont="1" applyBorder="1"/>
    <xf numFmtId="3" fontId="18" fillId="0" borderId="8" xfId="3" applyNumberFormat="1" applyFont="1" applyFill="1" applyBorder="1"/>
    <xf numFmtId="0" fontId="109" fillId="0" borderId="0" xfId="0" applyFont="1"/>
    <xf numFmtId="0" fontId="110" fillId="0" borderId="0" xfId="0" applyFont="1"/>
    <xf numFmtId="169" fontId="18" fillId="0" borderId="7" xfId="3" applyNumberFormat="1" applyFont="1" applyBorder="1"/>
    <xf numFmtId="169" fontId="18" fillId="0" borderId="9" xfId="3" applyNumberFormat="1" applyFont="1" applyBorder="1"/>
    <xf numFmtId="169" fontId="12" fillId="84" borderId="10" xfId="3" applyNumberFormat="1" applyFont="1" applyFill="1" applyBorder="1"/>
    <xf numFmtId="169" fontId="18" fillId="0" borderId="11" xfId="3" applyNumberFormat="1" applyFont="1" applyBorder="1"/>
    <xf numFmtId="169" fontId="21" fillId="14" borderId="32" xfId="3" applyNumberFormat="1" applyFont="1" applyFill="1" applyBorder="1"/>
    <xf numFmtId="169" fontId="12" fillId="0" borderId="31" xfId="3" applyNumberFormat="1" applyFont="1" applyBorder="1"/>
    <xf numFmtId="169" fontId="12" fillId="0" borderId="0" xfId="3" applyNumberFormat="1" applyFont="1"/>
    <xf numFmtId="169" fontId="12" fillId="0" borderId="12" xfId="3" applyNumberFormat="1" applyFont="1" applyBorder="1"/>
    <xf numFmtId="169" fontId="12" fillId="7" borderId="11" xfId="3" applyNumberFormat="1" applyFont="1" applyFill="1" applyBorder="1"/>
    <xf numFmtId="169" fontId="13" fillId="51" borderId="8" xfId="3" applyNumberFormat="1" applyFont="1" applyFill="1" applyBorder="1"/>
    <xf numFmtId="169" fontId="13" fillId="3" borderId="8" xfId="3" applyNumberFormat="1" applyFont="1" applyFill="1" applyBorder="1"/>
    <xf numFmtId="169" fontId="12" fillId="7" borderId="0" xfId="3" applyNumberFormat="1" applyFont="1" applyFill="1"/>
    <xf numFmtId="169" fontId="13" fillId="52" borderId="8" xfId="3" applyNumberFormat="1" applyFont="1" applyFill="1" applyBorder="1"/>
    <xf numFmtId="169" fontId="13" fillId="8" borderId="8" xfId="3" applyNumberFormat="1" applyFont="1" applyFill="1" applyBorder="1"/>
    <xf numFmtId="169" fontId="13" fillId="10" borderId="8" xfId="3" applyNumberFormat="1" applyFont="1" applyFill="1" applyBorder="1"/>
    <xf numFmtId="169" fontId="12" fillId="12" borderId="8" xfId="3" applyNumberFormat="1" applyFont="1" applyFill="1" applyBorder="1"/>
    <xf numFmtId="0" fontId="57" fillId="33" borderId="39" xfId="0" applyFont="1" applyFill="1" applyBorder="1" applyAlignment="1">
      <alignment horizontal="center" vertical="center"/>
    </xf>
    <xf numFmtId="0" fontId="57" fillId="33" borderId="40" xfId="0" applyFont="1" applyFill="1" applyBorder="1" applyAlignment="1">
      <alignment horizontal="center" vertical="center"/>
    </xf>
    <xf numFmtId="169" fontId="111" fillId="33" borderId="0" xfId="3" applyNumberFormat="1" applyFont="1" applyFill="1"/>
    <xf numFmtId="169" fontId="112" fillId="33" borderId="0" xfId="3" applyNumberFormat="1" applyFont="1" applyFill="1"/>
    <xf numFmtId="169" fontId="112" fillId="0" borderId="0" xfId="3" applyNumberFormat="1" applyFont="1"/>
    <xf numFmtId="169" fontId="113" fillId="0" borderId="0" xfId="3" applyNumberFormat="1" applyFont="1"/>
    <xf numFmtId="169" fontId="55" fillId="6" borderId="5" xfId="3" applyNumberFormat="1" applyFont="1" applyFill="1" applyBorder="1" applyAlignment="1">
      <alignment horizontal="center" vertical="center"/>
    </xf>
    <xf numFmtId="169" fontId="112" fillId="0" borderId="0" xfId="3" applyNumberFormat="1" applyFont="1" applyAlignment="1">
      <alignment horizontal="center" vertical="center"/>
    </xf>
    <xf numFmtId="169" fontId="111" fillId="33" borderId="39" xfId="3" applyNumberFormat="1" applyFont="1" applyFill="1" applyBorder="1"/>
    <xf numFmtId="169" fontId="111" fillId="33" borderId="40" xfId="3" applyNumberFormat="1" applyFont="1" applyFill="1" applyBorder="1"/>
    <xf numFmtId="169" fontId="114" fillId="2" borderId="0" xfId="3" applyNumberFormat="1" applyFont="1" applyFill="1"/>
    <xf numFmtId="169" fontId="114" fillId="2" borderId="0" xfId="3" applyNumberFormat="1" applyFont="1" applyFill="1" applyAlignment="1">
      <alignment horizontal="center"/>
    </xf>
    <xf numFmtId="169" fontId="115" fillId="2" borderId="0" xfId="3" applyNumberFormat="1" applyFont="1" applyFill="1"/>
    <xf numFmtId="169" fontId="112" fillId="15" borderId="0" xfId="3" applyNumberFormat="1" applyFont="1" applyFill="1"/>
    <xf numFmtId="169" fontId="116" fillId="0" borderId="0" xfId="3" applyNumberFormat="1" applyFont="1" applyAlignment="1">
      <alignment horizontal="center"/>
    </xf>
    <xf numFmtId="169" fontId="112" fillId="0" borderId="13" xfId="3" applyNumberFormat="1" applyFont="1" applyBorder="1"/>
    <xf numFmtId="169" fontId="55" fillId="6" borderId="5" xfId="3" applyNumberFormat="1" applyFont="1" applyFill="1" applyBorder="1" applyAlignment="1">
      <alignment horizontal="right"/>
    </xf>
    <xf numFmtId="169" fontId="114" fillId="19" borderId="0" xfId="3" applyNumberFormat="1" applyFont="1" applyFill="1"/>
    <xf numFmtId="169" fontId="114" fillId="19" borderId="0" xfId="3" applyNumberFormat="1" applyFont="1" applyFill="1" applyAlignment="1">
      <alignment horizontal="center"/>
    </xf>
    <xf numFmtId="169" fontId="117" fillId="0" borderId="0" xfId="3" applyNumberFormat="1" applyFont="1"/>
    <xf numFmtId="169" fontId="112" fillId="0" borderId="0" xfId="3" applyNumberFormat="1" applyFont="1" applyAlignment="1">
      <alignment horizontal="right"/>
    </xf>
    <xf numFmtId="169" fontId="112" fillId="0" borderId="0" xfId="3" applyNumberFormat="1" applyFont="1" applyAlignment="1">
      <alignment horizontal="center"/>
    </xf>
    <xf numFmtId="169" fontId="111" fillId="0" borderId="13" xfId="3" applyNumberFormat="1" applyFont="1" applyBorder="1"/>
    <xf numFmtId="169" fontId="112" fillId="24" borderId="0" xfId="3" applyNumberFormat="1" applyFont="1" applyFill="1"/>
    <xf numFmtId="169" fontId="112" fillId="46" borderId="79" xfId="3" applyNumberFormat="1" applyFont="1" applyFill="1" applyBorder="1"/>
    <xf numFmtId="169" fontId="112" fillId="46" borderId="36" xfId="3" applyNumberFormat="1" applyFont="1" applyFill="1" applyBorder="1"/>
    <xf numFmtId="169" fontId="112" fillId="46" borderId="29" xfId="3" applyNumberFormat="1" applyFont="1" applyFill="1" applyBorder="1"/>
    <xf numFmtId="169" fontId="112" fillId="46" borderId="80" xfId="3" applyNumberFormat="1" applyFont="1" applyFill="1" applyBorder="1"/>
    <xf numFmtId="169" fontId="112" fillId="41" borderId="27" xfId="3" applyNumberFormat="1" applyFont="1" applyFill="1" applyBorder="1"/>
    <xf numFmtId="169" fontId="112" fillId="41" borderId="29" xfId="3" applyNumberFormat="1" applyFont="1" applyFill="1" applyBorder="1"/>
    <xf numFmtId="169" fontId="112" fillId="46" borderId="81" xfId="3" applyNumberFormat="1" applyFont="1" applyFill="1" applyBorder="1"/>
    <xf numFmtId="169" fontId="112" fillId="46" borderId="82" xfId="3" applyNumberFormat="1" applyFont="1" applyFill="1" applyBorder="1"/>
    <xf numFmtId="0" fontId="18" fillId="0" borderId="7" xfId="3" applyNumberFormat="1" applyFont="1" applyBorder="1"/>
    <xf numFmtId="0" fontId="7" fillId="4" borderId="0" xfId="0" applyFont="1" applyFill="1" applyAlignment="1">
      <alignment horizontal="center" vertical="center" wrapText="1"/>
    </xf>
    <xf numFmtId="0" fontId="0" fillId="92" borderId="0" xfId="0" applyFill="1"/>
    <xf numFmtId="165" fontId="35" fillId="0" borderId="0" xfId="3" applyFont="1" applyAlignment="1">
      <alignment horizontal="center" vertical="center"/>
    </xf>
    <xf numFmtId="0" fontId="39" fillId="0" borderId="2" xfId="3" applyNumberFormat="1" applyFont="1" applyFill="1" applyBorder="1" applyAlignment="1">
      <alignment horizontal="center"/>
    </xf>
    <xf numFmtId="3" fontId="6" fillId="3" borderId="2" xfId="0" applyNumberFormat="1" applyFont="1" applyFill="1" applyBorder="1" applyAlignment="1">
      <alignment horizontal="center" vertical="center"/>
    </xf>
    <xf numFmtId="0" fontId="118" fillId="0" borderId="0" xfId="0" applyFont="1"/>
    <xf numFmtId="0" fontId="119" fillId="0" borderId="0" xfId="0" applyFont="1"/>
    <xf numFmtId="0" fontId="120" fillId="14" borderId="0" xfId="0" applyFont="1" applyFill="1" applyAlignment="1">
      <alignment horizontal="center"/>
    </xf>
    <xf numFmtId="0" fontId="121" fillId="93" borderId="0" xfId="0" applyFont="1" applyFill="1" applyAlignment="1">
      <alignment horizontal="center"/>
    </xf>
    <xf numFmtId="0" fontId="122" fillId="7" borderId="7" xfId="0" applyFont="1" applyFill="1" applyBorder="1"/>
    <xf numFmtId="3" fontId="119" fillId="0" borderId="29" xfId="0" applyNumberFormat="1" applyFont="1" applyBorder="1"/>
    <xf numFmtId="3" fontId="118" fillId="0" borderId="29" xfId="0" applyNumberFormat="1" applyFont="1" applyBorder="1"/>
    <xf numFmtId="3" fontId="119" fillId="0" borderId="0" xfId="0" applyNumberFormat="1" applyFont="1"/>
    <xf numFmtId="0" fontId="122" fillId="10" borderId="10" xfId="0" applyFont="1" applyFill="1" applyBorder="1"/>
    <xf numFmtId="3" fontId="119" fillId="93" borderId="0" xfId="0" applyNumberFormat="1" applyFont="1" applyFill="1"/>
    <xf numFmtId="3" fontId="118" fillId="93" borderId="0" xfId="0" applyNumberFormat="1" applyFont="1" applyFill="1"/>
    <xf numFmtId="0" fontId="121" fillId="0" borderId="0" xfId="0" applyFont="1"/>
    <xf numFmtId="3" fontId="118" fillId="0" borderId="0" xfId="0" applyNumberFormat="1" applyFont="1"/>
    <xf numFmtId="0" fontId="122" fillId="9" borderId="10" xfId="0" applyFont="1" applyFill="1" applyBorder="1"/>
    <xf numFmtId="3" fontId="119" fillId="10" borderId="0" xfId="0" applyNumberFormat="1" applyFont="1" applyFill="1"/>
    <xf numFmtId="3" fontId="118" fillId="10" borderId="0" xfId="0" applyNumberFormat="1" applyFont="1" applyFill="1"/>
    <xf numFmtId="0" fontId="120" fillId="0" borderId="0" xfId="0" applyFont="1"/>
    <xf numFmtId="3" fontId="5" fillId="27" borderId="1" xfId="0" applyNumberFormat="1" applyFont="1" applyFill="1" applyBorder="1"/>
    <xf numFmtId="3" fontId="123" fillId="27" borderId="1" xfId="0" applyNumberFormat="1" applyFont="1" applyFill="1" applyBorder="1"/>
    <xf numFmtId="3" fontId="5" fillId="27" borderId="2" xfId="0" applyNumberFormat="1" applyFont="1" applyFill="1" applyBorder="1"/>
    <xf numFmtId="3" fontId="123" fillId="27" borderId="2" xfId="0" applyNumberFormat="1" applyFont="1" applyFill="1" applyBorder="1"/>
    <xf numFmtId="3" fontId="6" fillId="3" borderId="2" xfId="0" applyNumberFormat="1" applyFont="1" applyFill="1" applyBorder="1"/>
    <xf numFmtId="3" fontId="35" fillId="0" borderId="0" xfId="0" applyNumberFormat="1" applyFont="1"/>
    <xf numFmtId="3" fontId="5" fillId="27" borderId="3" xfId="0" applyNumberFormat="1" applyFont="1" applyFill="1" applyBorder="1"/>
    <xf numFmtId="3" fontId="123" fillId="27" borderId="3" xfId="0" applyNumberFormat="1" applyFont="1" applyFill="1" applyBorder="1"/>
    <xf numFmtId="3" fontId="5" fillId="0" borderId="1" xfId="0" applyNumberFormat="1" applyFont="1" applyBorder="1"/>
    <xf numFmtId="3" fontId="123" fillId="0" borderId="1" xfId="0" applyNumberFormat="1" applyFont="1" applyBorder="1"/>
    <xf numFmtId="0" fontId="122" fillId="14" borderId="0" xfId="0" applyFont="1" applyFill="1"/>
    <xf numFmtId="3" fontId="122" fillId="14" borderId="0" xfId="0" applyNumberFormat="1" applyFont="1" applyFill="1"/>
    <xf numFmtId="0" fontId="120" fillId="14" borderId="23" xfId="0" applyFont="1" applyFill="1" applyBorder="1" applyAlignment="1">
      <alignment horizontal="left"/>
    </xf>
    <xf numFmtId="3" fontId="120" fillId="14" borderId="23" xfId="0" applyNumberFormat="1" applyFont="1" applyFill="1" applyBorder="1" applyAlignment="1">
      <alignment horizontal="left"/>
    </xf>
    <xf numFmtId="0" fontId="120" fillId="0" borderId="0" xfId="0" applyFont="1" applyAlignment="1">
      <alignment horizontal="left"/>
    </xf>
    <xf numFmtId="0" fontId="122" fillId="0" borderId="0" xfId="0" applyFont="1"/>
    <xf numFmtId="0" fontId="119" fillId="0" borderId="0" xfId="0" applyFont="1" applyAlignment="1">
      <alignment horizontal="center"/>
    </xf>
    <xf numFmtId="0" fontId="125" fillId="0" borderId="0" xfId="0" applyFont="1" applyAlignment="1">
      <alignment horizontal="center"/>
    </xf>
    <xf numFmtId="0" fontId="124" fillId="0" borderId="0" xfId="0" applyFont="1" applyAlignment="1">
      <alignment horizontal="center"/>
    </xf>
    <xf numFmtId="0" fontId="125" fillId="0" borderId="0" xfId="0" applyFont="1"/>
    <xf numFmtId="3" fontId="126" fillId="0" borderId="29" xfId="0" applyNumberFormat="1" applyFont="1" applyBorder="1" applyAlignment="1">
      <alignment horizontal="center"/>
    </xf>
    <xf numFmtId="3" fontId="126" fillId="0" borderId="29" xfId="0" applyNumberFormat="1" applyFont="1" applyBorder="1"/>
    <xf numFmtId="0" fontId="126" fillId="0" borderId="0" xfId="0" applyFont="1" applyAlignment="1">
      <alignment horizontal="center"/>
    </xf>
    <xf numFmtId="0" fontId="127" fillId="0" borderId="0" xfId="0" applyFont="1" applyAlignment="1">
      <alignment horizontal="center"/>
    </xf>
    <xf numFmtId="0" fontId="126" fillId="0" borderId="0" xfId="0" applyFont="1"/>
    <xf numFmtId="0" fontId="128" fillId="14" borderId="0" xfId="0" applyFont="1" applyFill="1" applyAlignment="1">
      <alignment horizontal="center"/>
    </xf>
    <xf numFmtId="0" fontId="129" fillId="0" borderId="0" xfId="0" applyFont="1"/>
    <xf numFmtId="0" fontId="130" fillId="10" borderId="23" xfId="0" applyFont="1" applyFill="1" applyBorder="1" applyAlignment="1">
      <alignment horizontal="center"/>
    </xf>
    <xf numFmtId="0" fontId="131" fillId="0" borderId="0" xfId="0" applyFont="1"/>
    <xf numFmtId="0" fontId="129" fillId="0" borderId="0" xfId="0" applyFont="1" applyAlignment="1">
      <alignment horizontal="center"/>
    </xf>
    <xf numFmtId="0" fontId="129" fillId="0" borderId="15" xfId="0" applyFont="1" applyBorder="1"/>
    <xf numFmtId="0" fontId="5" fillId="27" borderId="0" xfId="0" applyFont="1" applyFill="1"/>
    <xf numFmtId="1" fontId="8" fillId="91" borderId="0" xfId="0" applyNumberFormat="1" applyFont="1" applyFill="1"/>
    <xf numFmtId="3" fontId="7" fillId="4" borderId="0" xfId="0" applyNumberFormat="1" applyFont="1" applyFill="1" applyAlignment="1">
      <alignment horizontal="center" vertical="center" wrapText="1"/>
    </xf>
    <xf numFmtId="3" fontId="7" fillId="0" borderId="0" xfId="0" applyNumberFormat="1" applyFont="1" applyAlignment="1">
      <alignment horizontal="center" vertical="center" wrapText="1"/>
    </xf>
    <xf numFmtId="3" fontId="123" fillId="0" borderId="2" xfId="0" applyNumberFormat="1" applyFont="1" applyBorder="1"/>
    <xf numFmtId="165" fontId="88" fillId="0" borderId="0" xfId="3" applyFont="1" applyFill="1" applyBorder="1" applyAlignment="1">
      <alignment horizontal="center" vertical="center" wrapText="1"/>
    </xf>
    <xf numFmtId="0" fontId="3" fillId="32" borderId="0" xfId="0" applyFont="1" applyFill="1"/>
    <xf numFmtId="43" fontId="49" fillId="0" borderId="13" xfId="0" applyNumberFormat="1" applyFont="1" applyBorder="1"/>
    <xf numFmtId="165" fontId="32" fillId="0" borderId="13" xfId="0" applyNumberFormat="1" applyFont="1" applyBorder="1" applyAlignment="1">
      <alignment horizontal="center"/>
    </xf>
    <xf numFmtId="0" fontId="8" fillId="32" borderId="0" xfId="0" applyFont="1" applyFill="1"/>
    <xf numFmtId="0" fontId="132" fillId="0" borderId="0" xfId="0" applyFont="1" applyAlignment="1">
      <alignment horizontal="center" vertical="center"/>
    </xf>
    <xf numFmtId="0" fontId="59" fillId="0" borderId="13" xfId="0" applyFont="1" applyBorder="1"/>
    <xf numFmtId="3" fontId="59" fillId="0" borderId="13" xfId="0" applyNumberFormat="1" applyFont="1" applyBorder="1"/>
    <xf numFmtId="3" fontId="61" fillId="0" borderId="13" xfId="0" applyNumberFormat="1" applyFont="1" applyBorder="1"/>
    <xf numFmtId="0" fontId="8" fillId="0" borderId="13" xfId="0" applyFont="1" applyBorder="1"/>
    <xf numFmtId="3" fontId="8" fillId="0" borderId="13" xfId="0" applyNumberFormat="1" applyFont="1" applyBorder="1"/>
    <xf numFmtId="3" fontId="0" fillId="94" borderId="13" xfId="0" applyNumberFormat="1" applyFill="1" applyBorder="1"/>
    <xf numFmtId="3" fontId="0" fillId="0" borderId="13" xfId="0" applyNumberFormat="1" applyBorder="1"/>
    <xf numFmtId="0" fontId="3" fillId="95" borderId="0" xfId="0" applyFont="1" applyFill="1"/>
    <xf numFmtId="3" fontId="133" fillId="95" borderId="0" xfId="0" applyNumberFormat="1" applyFont="1" applyFill="1" applyAlignment="1">
      <alignment horizontal="right" vertical="center"/>
    </xf>
    <xf numFmtId="3" fontId="134" fillId="0" borderId="13" xfId="55" applyNumberFormat="1" applyFont="1" applyBorder="1" applyAlignment="1">
      <alignment horizontal="left"/>
    </xf>
    <xf numFmtId="3" fontId="135" fillId="0" borderId="13" xfId="0" applyNumberFormat="1" applyFont="1" applyBorder="1"/>
    <xf numFmtId="3" fontId="136" fillId="0" borderId="13" xfId="0" applyNumberFormat="1" applyFont="1" applyBorder="1"/>
    <xf numFmtId="0" fontId="112" fillId="0" borderId="0" xfId="0" applyFont="1"/>
    <xf numFmtId="0" fontId="111" fillId="0" borderId="0" xfId="0" applyFont="1"/>
    <xf numFmtId="183" fontId="112" fillId="0" borderId="0" xfId="3" applyNumberFormat="1" applyFont="1"/>
    <xf numFmtId="184" fontId="112" fillId="0" borderId="0" xfId="0" applyNumberFormat="1" applyFont="1"/>
    <xf numFmtId="169" fontId="111" fillId="0" borderId="0" xfId="3" applyNumberFormat="1" applyFont="1"/>
    <xf numFmtId="0" fontId="111" fillId="96" borderId="13" xfId="0" applyFont="1" applyFill="1" applyBorder="1" applyAlignment="1">
      <alignment horizontal="center" vertical="center"/>
    </xf>
    <xf numFmtId="37" fontId="127" fillId="5" borderId="13" xfId="0" applyNumberFormat="1" applyFont="1" applyFill="1" applyBorder="1" applyAlignment="1">
      <alignment horizontal="left"/>
    </xf>
    <xf numFmtId="37" fontId="127" fillId="5" borderId="13" xfId="0" applyNumberFormat="1" applyFont="1" applyFill="1" applyBorder="1" applyAlignment="1">
      <alignment horizontal="center"/>
    </xf>
    <xf numFmtId="0" fontId="127" fillId="5" borderId="13" xfId="0" applyFont="1" applyFill="1" applyBorder="1" applyAlignment="1">
      <alignment horizontal="center"/>
    </xf>
    <xf numFmtId="0" fontId="112" fillId="96" borderId="13" xfId="0" applyFont="1" applyFill="1" applyBorder="1"/>
    <xf numFmtId="0" fontId="13" fillId="97" borderId="13" xfId="0" applyFont="1" applyFill="1" applyBorder="1" applyAlignment="1">
      <alignment horizontal="left"/>
    </xf>
    <xf numFmtId="0" fontId="112" fillId="0" borderId="13" xfId="0" applyFont="1" applyBorder="1"/>
    <xf numFmtId="169" fontId="112" fillId="0" borderId="13" xfId="0" applyNumberFormat="1" applyFont="1" applyBorder="1"/>
    <xf numFmtId="169" fontId="111" fillId="96" borderId="13" xfId="0" applyNumberFormat="1" applyFont="1" applyFill="1" applyBorder="1"/>
    <xf numFmtId="169" fontId="111" fillId="20" borderId="0" xfId="3" applyNumberFormat="1" applyFont="1" applyFill="1"/>
    <xf numFmtId="169" fontId="111" fillId="32" borderId="0" xfId="3" applyNumberFormat="1" applyFont="1" applyFill="1"/>
    <xf numFmtId="0" fontId="112" fillId="20" borderId="0" xfId="0" applyFont="1" applyFill="1"/>
    <xf numFmtId="169" fontId="112" fillId="20" borderId="0" xfId="0" applyNumberFormat="1" applyFont="1" applyFill="1"/>
    <xf numFmtId="169" fontId="112" fillId="32" borderId="0" xfId="0" applyNumberFormat="1" applyFont="1" applyFill="1"/>
    <xf numFmtId="0" fontId="66" fillId="0" borderId="0" xfId="0" applyFont="1"/>
    <xf numFmtId="169" fontId="66" fillId="0" borderId="0" xfId="3" applyNumberFormat="1" applyFont="1" applyAlignment="1">
      <alignment horizontal="center"/>
    </xf>
    <xf numFmtId="165" fontId="66" fillId="0" borderId="0" xfId="3" applyFont="1" applyAlignment="1">
      <alignment horizontal="center"/>
    </xf>
    <xf numFmtId="169" fontId="66" fillId="0" borderId="0" xfId="3" applyNumberFormat="1" applyFont="1"/>
    <xf numFmtId="165" fontId="66" fillId="0" borderId="0" xfId="3" applyFont="1"/>
    <xf numFmtId="49" fontId="24" fillId="98" borderId="13" xfId="0" applyNumberFormat="1" applyFont="1" applyFill="1" applyBorder="1" applyAlignment="1">
      <alignment horizontal="left"/>
    </xf>
    <xf numFmtId="169" fontId="137" fillId="99" borderId="13" xfId="3" applyNumberFormat="1" applyFont="1" applyFill="1" applyBorder="1" applyAlignment="1">
      <alignment horizontal="center"/>
    </xf>
    <xf numFmtId="169" fontId="24" fillId="98" borderId="13" xfId="3" applyNumberFormat="1" applyFont="1" applyFill="1" applyBorder="1" applyAlignment="1">
      <alignment horizontal="center"/>
    </xf>
    <xf numFmtId="49" fontId="66" fillId="0" borderId="2" xfId="1" applyNumberFormat="1" applyFont="1" applyBorder="1" applyAlignment="1">
      <alignment horizontal="left"/>
    </xf>
    <xf numFmtId="173" fontId="14" fillId="0" borderId="2" xfId="1" applyNumberFormat="1" applyBorder="1" applyAlignment="1"/>
    <xf numFmtId="173" fontId="0" fillId="0" borderId="2" xfId="0" applyNumberFormat="1" applyBorder="1"/>
    <xf numFmtId="169" fontId="0" fillId="0" borderId="2" xfId="3" applyNumberFormat="1" applyFont="1" applyBorder="1"/>
    <xf numFmtId="173" fontId="66" fillId="0" borderId="2" xfId="1" applyNumberFormat="1" applyFont="1" applyBorder="1" applyAlignment="1"/>
    <xf numFmtId="49" fontId="66" fillId="0" borderId="0" xfId="0" applyNumberFormat="1" applyFont="1"/>
    <xf numFmtId="49" fontId="138" fillId="100" borderId="2" xfId="1" applyNumberFormat="1" applyFont="1" applyFill="1" applyBorder="1" applyAlignment="1">
      <alignment horizontal="left"/>
    </xf>
    <xf numFmtId="173" fontId="138" fillId="100" borderId="2" xfId="1" applyNumberFormat="1" applyFont="1" applyFill="1" applyBorder="1" applyAlignment="1"/>
    <xf numFmtId="176" fontId="66" fillId="0" borderId="2" xfId="1" applyNumberFormat="1" applyFont="1" applyBorder="1" applyAlignment="1"/>
    <xf numFmtId="49" fontId="0" fillId="0" borderId="2" xfId="0" applyNumberFormat="1" applyBorder="1" applyAlignment="1">
      <alignment horizontal="left"/>
    </xf>
    <xf numFmtId="176" fontId="0" fillId="0" borderId="2" xfId="0" applyNumberFormat="1" applyBorder="1"/>
    <xf numFmtId="0" fontId="0" fillId="101" borderId="0" xfId="0" applyFill="1"/>
    <xf numFmtId="49" fontId="66" fillId="101" borderId="2" xfId="1" applyNumberFormat="1" applyFont="1" applyFill="1" applyBorder="1" applyAlignment="1">
      <alignment horizontal="left"/>
    </xf>
    <xf numFmtId="173" fontId="14" fillId="101" borderId="2" xfId="1" applyNumberFormat="1" applyFill="1" applyBorder="1" applyAlignment="1"/>
    <xf numFmtId="173" fontId="66" fillId="101" borderId="2" xfId="1" applyNumberFormat="1" applyFont="1" applyFill="1" applyBorder="1" applyAlignment="1"/>
    <xf numFmtId="173" fontId="66" fillId="101" borderId="15" xfId="1" applyNumberFormat="1" applyFont="1" applyFill="1" applyBorder="1" applyAlignment="1"/>
    <xf numFmtId="176" fontId="14" fillId="0" borderId="2" xfId="1" applyNumberFormat="1" applyBorder="1" applyAlignment="1"/>
    <xf numFmtId="0" fontId="66" fillId="101" borderId="0" xfId="0" applyFont="1" applyFill="1"/>
    <xf numFmtId="49" fontId="138" fillId="33" borderId="3" xfId="1" applyNumberFormat="1" applyFont="1" applyFill="1" applyBorder="1" applyAlignment="1">
      <alignment horizontal="left"/>
    </xf>
    <xf numFmtId="173" fontId="138" fillId="33" borderId="3" xfId="1" applyNumberFormat="1" applyFont="1" applyFill="1" applyBorder="1" applyAlignment="1"/>
    <xf numFmtId="173" fontId="66" fillId="0" borderId="0" xfId="0" applyNumberFormat="1" applyFont="1"/>
    <xf numFmtId="176" fontId="138" fillId="100" borderId="2" xfId="1" applyNumberFormat="1" applyFont="1" applyFill="1" applyBorder="1" applyAlignment="1"/>
    <xf numFmtId="49" fontId="24" fillId="33" borderId="3" xfId="1" applyNumberFormat="1" applyFont="1" applyFill="1" applyBorder="1" applyAlignment="1">
      <alignment horizontal="left"/>
    </xf>
    <xf numFmtId="173" fontId="24" fillId="33" borderId="3" xfId="1" applyNumberFormat="1" applyFont="1" applyFill="1" applyBorder="1" applyAlignment="1"/>
    <xf numFmtId="49" fontId="24" fillId="33" borderId="13" xfId="1" applyNumberFormat="1" applyFont="1" applyFill="1" applyBorder="1" applyAlignment="1">
      <alignment horizontal="left"/>
    </xf>
    <xf numFmtId="173" fontId="24" fillId="33" borderId="13" xfId="1" applyNumberFormat="1" applyFont="1" applyFill="1" applyBorder="1" applyAlignment="1"/>
    <xf numFmtId="180" fontId="66" fillId="0" borderId="0" xfId="0" applyNumberFormat="1" applyFont="1"/>
    <xf numFmtId="4" fontId="66" fillId="0" borderId="0" xfId="0" applyNumberFormat="1" applyFont="1"/>
    <xf numFmtId="49" fontId="66" fillId="0" borderId="1" xfId="1" applyNumberFormat="1" applyFont="1" applyBorder="1" applyAlignment="1">
      <alignment horizontal="left"/>
    </xf>
    <xf numFmtId="173" fontId="66" fillId="0" borderId="1" xfId="1" applyNumberFormat="1" applyFont="1" applyBorder="1" applyAlignment="1"/>
    <xf numFmtId="0" fontId="66" fillId="32" borderId="0" xfId="0" applyFont="1" applyFill="1"/>
    <xf numFmtId="49" fontId="66" fillId="32" borderId="2" xfId="1" applyNumberFormat="1" applyFont="1" applyFill="1" applyBorder="1" applyAlignment="1">
      <alignment horizontal="left"/>
    </xf>
    <xf numFmtId="173" fontId="14" fillId="32" borderId="2" xfId="1" applyNumberFormat="1" applyFill="1" applyBorder="1" applyAlignment="1"/>
    <xf numFmtId="173" fontId="66" fillId="32" borderId="2" xfId="1" applyNumberFormat="1" applyFont="1" applyFill="1" applyBorder="1" applyAlignment="1"/>
    <xf numFmtId="49" fontId="14" fillId="0" borderId="2" xfId="1" applyNumberFormat="1" applyBorder="1" applyAlignment="1">
      <alignment horizontal="left"/>
    </xf>
    <xf numFmtId="173" fontId="14" fillId="0" borderId="3" xfId="1" applyNumberFormat="1" applyBorder="1" applyAlignment="1"/>
    <xf numFmtId="49" fontId="66" fillId="0" borderId="3" xfId="1" applyNumberFormat="1" applyFont="1" applyBorder="1" applyAlignment="1">
      <alignment horizontal="left"/>
    </xf>
    <xf numFmtId="173" fontId="66" fillId="0" borderId="3" xfId="1" applyNumberFormat="1" applyFont="1" applyBorder="1" applyAlignment="1"/>
    <xf numFmtId="49" fontId="138" fillId="0" borderId="0" xfId="0" applyNumberFormat="1" applyFont="1"/>
    <xf numFmtId="49" fontId="138" fillId="100" borderId="23" xfId="1" applyNumberFormat="1" applyFont="1" applyFill="1" applyBorder="1" applyAlignment="1">
      <alignment horizontal="left"/>
    </xf>
    <xf numFmtId="173" fontId="138" fillId="100" borderId="22" xfId="0" applyNumberFormat="1" applyFont="1" applyFill="1" applyBorder="1"/>
    <xf numFmtId="49" fontId="0" fillId="101" borderId="0" xfId="0" applyNumberFormat="1" applyFill="1"/>
    <xf numFmtId="49" fontId="0" fillId="101" borderId="2" xfId="0" applyNumberFormat="1" applyFill="1" applyBorder="1" applyAlignment="1">
      <alignment horizontal="left"/>
    </xf>
    <xf numFmtId="39" fontId="66" fillId="0" borderId="0" xfId="0" applyNumberFormat="1" applyFont="1"/>
    <xf numFmtId="0" fontId="138" fillId="0" borderId="0" xfId="0" applyFont="1"/>
    <xf numFmtId="180" fontId="138" fillId="0" borderId="0" xfId="0" applyNumberFormat="1" applyFont="1"/>
    <xf numFmtId="165" fontId="138" fillId="0" borderId="0" xfId="3" applyFont="1"/>
    <xf numFmtId="169" fontId="66" fillId="0" borderId="0" xfId="0" applyNumberFormat="1" applyFont="1"/>
    <xf numFmtId="169" fontId="76" fillId="0" borderId="0" xfId="61" applyNumberFormat="1" applyFont="1" applyFill="1"/>
    <xf numFmtId="165" fontId="66" fillId="0" borderId="0" xfId="0" applyNumberFormat="1" applyFont="1"/>
    <xf numFmtId="0" fontId="111" fillId="33" borderId="0" xfId="0" applyFont="1" applyFill="1"/>
    <xf numFmtId="3" fontId="13" fillId="0" borderId="8" xfId="3" applyNumberFormat="1" applyFont="1" applyFill="1" applyBorder="1"/>
    <xf numFmtId="165" fontId="111" fillId="33" borderId="0" xfId="3" applyFont="1" applyFill="1"/>
    <xf numFmtId="165" fontId="112" fillId="33" borderId="0" xfId="3" applyFont="1" applyFill="1"/>
    <xf numFmtId="165" fontId="13" fillId="0" borderId="8" xfId="3" applyFont="1" applyBorder="1"/>
    <xf numFmtId="169" fontId="15" fillId="0" borderId="93" xfId="3" applyNumberFormat="1" applyFont="1" applyBorder="1" applyAlignment="1">
      <alignment horizontal="right"/>
    </xf>
    <xf numFmtId="169" fontId="54" fillId="0" borderId="0" xfId="3" applyNumberFormat="1" applyFont="1"/>
    <xf numFmtId="3" fontId="13" fillId="102" borderId="8" xfId="0" applyNumberFormat="1" applyFont="1" applyFill="1" applyBorder="1"/>
    <xf numFmtId="3" fontId="18" fillId="102" borderId="8" xfId="0" applyNumberFormat="1" applyFont="1" applyFill="1" applyBorder="1"/>
    <xf numFmtId="0" fontId="0" fillId="0" borderId="0" xfId="0" quotePrefix="1"/>
    <xf numFmtId="4" fontId="35" fillId="0" borderId="0" xfId="0" applyNumberFormat="1" applyFont="1"/>
    <xf numFmtId="165" fontId="112" fillId="0" borderId="0" xfId="3" applyFont="1"/>
    <xf numFmtId="0" fontId="13" fillId="103" borderId="13" xfId="0" applyFont="1" applyFill="1" applyBorder="1" applyAlignment="1">
      <alignment horizontal="left"/>
    </xf>
    <xf numFmtId="169" fontId="112" fillId="33" borderId="13" xfId="3" applyNumberFormat="1" applyFont="1" applyFill="1" applyBorder="1"/>
    <xf numFmtId="169" fontId="112" fillId="0" borderId="13" xfId="3" applyNumberFormat="1" applyFont="1" applyFill="1" applyBorder="1"/>
    <xf numFmtId="0" fontId="17" fillId="8" borderId="13" xfId="0" applyFont="1" applyFill="1" applyBorder="1" applyAlignment="1">
      <alignment vertical="center"/>
    </xf>
    <xf numFmtId="0" fontId="112" fillId="104" borderId="0" xfId="0" applyFont="1" applyFill="1"/>
    <xf numFmtId="169" fontId="112" fillId="96" borderId="13" xfId="3" applyNumberFormat="1" applyFont="1" applyFill="1" applyBorder="1"/>
    <xf numFmtId="185" fontId="112" fillId="0" borderId="0" xfId="0" applyNumberFormat="1" applyFont="1"/>
    <xf numFmtId="0" fontId="112" fillId="26" borderId="13" xfId="0" applyFont="1" applyFill="1" applyBorder="1"/>
    <xf numFmtId="0" fontId="111" fillId="0" borderId="13" xfId="0" applyFont="1" applyBorder="1"/>
    <xf numFmtId="169" fontId="111" fillId="0" borderId="13" xfId="3" applyNumberFormat="1" applyFont="1" applyFill="1" applyBorder="1"/>
    <xf numFmtId="0" fontId="115" fillId="44" borderId="0" xfId="0" applyFont="1" applyFill="1"/>
    <xf numFmtId="0" fontId="17" fillId="0" borderId="1" xfId="0" applyFont="1" applyBorder="1" applyAlignment="1">
      <alignment vertical="center"/>
    </xf>
    <xf numFmtId="0" fontId="17" fillId="8" borderId="3" xfId="0" applyFont="1" applyFill="1" applyBorder="1" applyAlignment="1">
      <alignment vertical="center"/>
    </xf>
    <xf numFmtId="169" fontId="112" fillId="0" borderId="3" xfId="3" applyNumberFormat="1" applyFont="1" applyFill="1" applyBorder="1"/>
    <xf numFmtId="169" fontId="112" fillId="0" borderId="3" xfId="0" applyNumberFormat="1" applyFont="1" applyBorder="1"/>
    <xf numFmtId="0" fontId="17" fillId="0" borderId="0" xfId="0" applyFont="1" applyAlignment="1">
      <alignment vertical="center"/>
    </xf>
    <xf numFmtId="169" fontId="112" fillId="0" borderId="0" xfId="3" applyNumberFormat="1" applyFont="1" applyFill="1" applyBorder="1"/>
    <xf numFmtId="169" fontId="112" fillId="0" borderId="0" xfId="0" applyNumberFormat="1" applyFont="1"/>
    <xf numFmtId="0" fontId="112" fillId="0" borderId="3" xfId="0" applyFont="1" applyBorder="1"/>
    <xf numFmtId="169" fontId="13" fillId="33" borderId="8" xfId="3" applyNumberFormat="1" applyFont="1" applyFill="1" applyBorder="1"/>
    <xf numFmtId="1" fontId="13" fillId="33" borderId="8" xfId="0" applyNumberFormat="1" applyFont="1" applyFill="1" applyBorder="1"/>
    <xf numFmtId="3" fontId="13" fillId="33" borderId="8" xfId="0" applyNumberFormat="1" applyFont="1" applyFill="1" applyBorder="1"/>
    <xf numFmtId="169" fontId="32" fillId="0" borderId="0" xfId="3" applyNumberFormat="1" applyFont="1"/>
    <xf numFmtId="4" fontId="33" fillId="0" borderId="0" xfId="0" applyNumberFormat="1" applyFont="1"/>
    <xf numFmtId="165" fontId="125" fillId="0" borderId="0" xfId="3" applyFont="1"/>
    <xf numFmtId="165" fontId="5" fillId="27" borderId="0" xfId="3" applyFont="1" applyFill="1"/>
    <xf numFmtId="0" fontId="13" fillId="97" borderId="1" xfId="0" applyFont="1" applyFill="1" applyBorder="1" applyAlignment="1">
      <alignment horizontal="left"/>
    </xf>
    <xf numFmtId="0" fontId="7" fillId="18" borderId="16" xfId="0" applyFont="1" applyFill="1" applyBorder="1" applyAlignment="1">
      <alignment horizontal="centerContinuous" vertical="center" wrapText="1"/>
    </xf>
    <xf numFmtId="0" fontId="7" fillId="18" borderId="13" xfId="0" applyFont="1" applyFill="1" applyBorder="1" applyAlignment="1">
      <alignment horizontal="centerContinuous" vertical="center" wrapText="1"/>
    </xf>
    <xf numFmtId="0" fontId="43" fillId="10" borderId="23" xfId="0" applyFont="1" applyFill="1" applyBorder="1" applyAlignment="1">
      <alignment horizontal="center"/>
    </xf>
    <xf numFmtId="0" fontId="43" fillId="10" borderId="13" xfId="0" applyFont="1" applyFill="1" applyBorder="1" applyAlignment="1">
      <alignment horizontal="center"/>
    </xf>
    <xf numFmtId="169" fontId="5" fillId="94" borderId="1" xfId="3" applyNumberFormat="1" applyFont="1" applyFill="1" applyBorder="1" applyAlignment="1">
      <alignment horizontal="center"/>
    </xf>
    <xf numFmtId="169" fontId="5" fillId="94" borderId="2" xfId="3" applyNumberFormat="1" applyFont="1" applyFill="1" applyBorder="1" applyAlignment="1">
      <alignment horizontal="center"/>
    </xf>
    <xf numFmtId="169" fontId="5" fillId="94" borderId="13" xfId="3" applyNumberFormat="1" applyFont="1" applyFill="1" applyBorder="1" applyAlignment="1">
      <alignment horizontal="center"/>
    </xf>
    <xf numFmtId="169" fontId="5" fillId="94" borderId="3" xfId="3" applyNumberFormat="1" applyFont="1" applyFill="1" applyBorder="1" applyAlignment="1">
      <alignment horizontal="center"/>
    </xf>
    <xf numFmtId="169" fontId="5" fillId="92" borderId="13" xfId="3" applyNumberFormat="1" applyFont="1" applyFill="1" applyBorder="1" applyAlignment="1">
      <alignment horizontal="center"/>
    </xf>
    <xf numFmtId="169" fontId="5" fillId="92" borderId="1" xfId="3" applyNumberFormat="1" applyFont="1" applyFill="1" applyBorder="1" applyAlignment="1">
      <alignment horizontal="center"/>
    </xf>
    <xf numFmtId="169" fontId="5" fillId="92" borderId="2" xfId="3" applyNumberFormat="1" applyFont="1" applyFill="1" applyBorder="1" applyAlignment="1">
      <alignment horizontal="center"/>
    </xf>
    <xf numFmtId="169" fontId="5" fillId="92" borderId="3" xfId="3" applyNumberFormat="1" applyFont="1" applyFill="1" applyBorder="1" applyAlignment="1">
      <alignment horizontal="center"/>
    </xf>
    <xf numFmtId="0" fontId="139" fillId="105" borderId="44" xfId="0" applyFont="1" applyFill="1" applyBorder="1" applyAlignment="1">
      <alignment horizontal="center"/>
    </xf>
    <xf numFmtId="0" fontId="139" fillId="0" borderId="0" xfId="0" applyFont="1" applyAlignment="1">
      <alignment horizontal="center"/>
    </xf>
    <xf numFmtId="165" fontId="140" fillId="0" borderId="0" xfId="3" applyFont="1" applyAlignment="1">
      <alignment horizontal="center"/>
    </xf>
    <xf numFmtId="165" fontId="32" fillId="0" borderId="13" xfId="3" applyFont="1" applyBorder="1" applyAlignment="1">
      <alignment horizontal="center"/>
    </xf>
    <xf numFmtId="169" fontId="18" fillId="32" borderId="9" xfId="3" applyNumberFormat="1" applyFont="1" applyFill="1" applyBorder="1"/>
    <xf numFmtId="165" fontId="0" fillId="0" borderId="0" xfId="3" applyFont="1" applyFill="1"/>
    <xf numFmtId="169" fontId="43" fillId="10" borderId="13" xfId="3" applyNumberFormat="1" applyFont="1" applyFill="1" applyBorder="1" applyAlignment="1">
      <alignment horizontal="center" vertical="center"/>
    </xf>
    <xf numFmtId="169" fontId="39" fillId="0" borderId="13" xfId="3" applyNumberFormat="1" applyFont="1" applyFill="1" applyBorder="1" applyAlignment="1">
      <alignment horizontal="center"/>
    </xf>
    <xf numFmtId="169" fontId="2" fillId="25" borderId="3" xfId="3" applyNumberFormat="1" applyFont="1" applyFill="1" applyBorder="1" applyAlignment="1">
      <alignment horizontal="center" vertical="center" wrapText="1"/>
    </xf>
    <xf numFmtId="169" fontId="39" fillId="0" borderId="18" xfId="3" applyNumberFormat="1" applyFont="1" applyFill="1" applyBorder="1" applyAlignment="1">
      <alignment horizontal="center"/>
    </xf>
    <xf numFmtId="169" fontId="39" fillId="0" borderId="19" xfId="3" applyNumberFormat="1" applyFont="1" applyFill="1" applyBorder="1" applyAlignment="1">
      <alignment horizontal="center"/>
    </xf>
    <xf numFmtId="169" fontId="39" fillId="0" borderId="1" xfId="3" applyNumberFormat="1" applyFont="1" applyFill="1" applyBorder="1" applyAlignment="1">
      <alignment horizontal="center"/>
    </xf>
    <xf numFmtId="183" fontId="0" fillId="0" borderId="0" xfId="0" applyNumberFormat="1"/>
    <xf numFmtId="184" fontId="90" fillId="0" borderId="0" xfId="0" applyNumberFormat="1" applyFont="1" applyAlignment="1">
      <alignment horizontal="center"/>
    </xf>
    <xf numFmtId="184" fontId="0" fillId="0" borderId="0" xfId="0" applyNumberFormat="1"/>
    <xf numFmtId="0" fontId="139" fillId="0" borderId="44" xfId="0" applyFont="1" applyBorder="1" applyAlignment="1">
      <alignment horizontal="center"/>
    </xf>
    <xf numFmtId="3" fontId="12" fillId="106" borderId="8" xfId="0" applyNumberFormat="1" applyFont="1" applyFill="1" applyBorder="1"/>
    <xf numFmtId="0" fontId="0" fillId="0" borderId="0" xfId="0" applyAlignment="1">
      <alignment wrapText="1"/>
    </xf>
    <xf numFmtId="43" fontId="3" fillId="0" borderId="0" xfId="65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1" fontId="0" fillId="0" borderId="0" xfId="65" applyNumberFormat="1" applyFont="1"/>
    <xf numFmtId="171" fontId="3" fillId="0" borderId="0" xfId="65" applyNumberFormat="1" applyFont="1"/>
    <xf numFmtId="43" fontId="0" fillId="0" borderId="0" xfId="65" applyFont="1"/>
    <xf numFmtId="0" fontId="141" fillId="0" borderId="0" xfId="75" applyFont="1"/>
    <xf numFmtId="4" fontId="141" fillId="0" borderId="0" xfId="75" applyNumberFormat="1" applyFont="1"/>
    <xf numFmtId="0" fontId="142" fillId="0" borderId="44" xfId="75" applyFont="1" applyBorder="1"/>
    <xf numFmtId="4" fontId="49" fillId="0" borderId="44" xfId="75" applyNumberFormat="1" applyFont="1" applyBorder="1"/>
    <xf numFmtId="0" fontId="49" fillId="0" borderId="0" xfId="75" applyFont="1"/>
    <xf numFmtId="0" fontId="143" fillId="2" borderId="39" xfId="75" applyFont="1" applyFill="1" applyBorder="1" applyAlignment="1">
      <alignment vertical="center"/>
    </xf>
    <xf numFmtId="0" fontId="143" fillId="2" borderId="44" xfId="75" applyFont="1" applyFill="1" applyBorder="1" applyAlignment="1">
      <alignment vertical="center"/>
    </xf>
    <xf numFmtId="0" fontId="143" fillId="2" borderId="42" xfId="75" applyFont="1" applyFill="1" applyBorder="1" applyAlignment="1">
      <alignment horizontal="center" vertical="center" wrapText="1"/>
    </xf>
    <xf numFmtId="0" fontId="143" fillId="2" borderId="43" xfId="75" applyFont="1" applyFill="1" applyBorder="1" applyAlignment="1">
      <alignment horizontal="center" vertical="center" wrapText="1"/>
    </xf>
    <xf numFmtId="0" fontId="49" fillId="0" borderId="0" xfId="75" applyFont="1" applyAlignment="1">
      <alignment horizontal="center" wrapText="1"/>
    </xf>
    <xf numFmtId="0" fontId="49" fillId="0" borderId="0" xfId="75" applyFont="1" applyAlignment="1">
      <alignment vertical="center"/>
    </xf>
    <xf numFmtId="0" fontId="143" fillId="50" borderId="42" xfId="75" applyFont="1" applyFill="1" applyBorder="1" applyAlignment="1">
      <alignment horizontal="center" vertical="center" wrapText="1"/>
    </xf>
    <xf numFmtId="0" fontId="49" fillId="0" borderId="63" xfId="75" applyFont="1" applyBorder="1"/>
    <xf numFmtId="0" fontId="49" fillId="0" borderId="65" xfId="75" applyFont="1" applyBorder="1"/>
    <xf numFmtId="43" fontId="49" fillId="0" borderId="63" xfId="83" applyFont="1" applyBorder="1"/>
    <xf numFmtId="44" fontId="49" fillId="0" borderId="64" xfId="84" applyFont="1" applyBorder="1"/>
    <xf numFmtId="43" fontId="49" fillId="0" borderId="65" xfId="83" applyFont="1" applyBorder="1"/>
    <xf numFmtId="4" fontId="49" fillId="0" borderId="63" xfId="75" applyNumberFormat="1" applyFont="1" applyBorder="1"/>
    <xf numFmtId="44" fontId="49" fillId="44" borderId="65" xfId="75" applyNumberFormat="1" applyFont="1" applyFill="1" applyBorder="1"/>
    <xf numFmtId="178" fontId="49" fillId="0" borderId="63" xfId="75" applyNumberFormat="1" applyFont="1" applyBorder="1"/>
    <xf numFmtId="178" fontId="49" fillId="0" borderId="64" xfId="75" applyNumberFormat="1" applyFont="1" applyBorder="1"/>
    <xf numFmtId="0" fontId="49" fillId="0" borderId="54" xfId="75" applyFont="1" applyBorder="1"/>
    <xf numFmtId="0" fontId="49" fillId="0" borderId="55" xfId="75" applyFont="1" applyBorder="1"/>
    <xf numFmtId="43" fontId="49" fillId="0" borderId="54" xfId="83" applyFont="1" applyBorder="1"/>
    <xf numFmtId="44" fontId="47" fillId="0" borderId="56" xfId="84" applyFont="1" applyBorder="1"/>
    <xf numFmtId="44" fontId="49" fillId="0" borderId="56" xfId="84" applyFont="1" applyBorder="1"/>
    <xf numFmtId="43" fontId="49" fillId="0" borderId="55" xfId="83" applyFont="1" applyBorder="1"/>
    <xf numFmtId="4" fontId="49" fillId="0" borderId="54" xfId="75" applyNumberFormat="1" applyFont="1" applyBorder="1"/>
    <xf numFmtId="44" fontId="49" fillId="44" borderId="55" xfId="75" applyNumberFormat="1" applyFont="1" applyFill="1" applyBorder="1"/>
    <xf numFmtId="178" fontId="49" fillId="0" borderId="54" xfId="75" applyNumberFormat="1" applyFont="1" applyBorder="1"/>
    <xf numFmtId="178" fontId="49" fillId="0" borderId="56" xfId="75" applyNumberFormat="1" applyFont="1" applyBorder="1"/>
    <xf numFmtId="44" fontId="47" fillId="108" borderId="56" xfId="84" applyFont="1" applyFill="1" applyBorder="1"/>
    <xf numFmtId="44" fontId="49" fillId="108" borderId="56" xfId="84" applyFont="1" applyFill="1" applyBorder="1"/>
    <xf numFmtId="0" fontId="49" fillId="0" borderId="58" xfId="75" applyFont="1" applyBorder="1"/>
    <xf numFmtId="0" fontId="49" fillId="0" borderId="60" xfId="75" applyFont="1" applyBorder="1"/>
    <xf numFmtId="43" fontId="49" fillId="0" borderId="58" xfId="83" applyFont="1" applyBorder="1"/>
    <xf numFmtId="44" fontId="49" fillId="108" borderId="61" xfId="84" applyFont="1" applyFill="1" applyBorder="1"/>
    <xf numFmtId="44" fontId="49" fillId="0" borderId="61" xfId="84" applyFont="1" applyBorder="1"/>
    <xf numFmtId="43" fontId="49" fillId="0" borderId="60" xfId="83" applyFont="1" applyBorder="1"/>
    <xf numFmtId="44" fontId="49" fillId="44" borderId="60" xfId="75" applyNumberFormat="1" applyFont="1" applyFill="1" applyBorder="1"/>
    <xf numFmtId="0" fontId="142" fillId="0" borderId="39" xfId="75" applyFont="1" applyBorder="1"/>
    <xf numFmtId="0" fontId="142" fillId="0" borderId="102" xfId="75" applyFont="1" applyBorder="1"/>
    <xf numFmtId="43" fontId="142" fillId="0" borderId="69" xfId="83" applyFont="1" applyBorder="1"/>
    <xf numFmtId="44" fontId="142" fillId="0" borderId="69" xfId="84" applyFont="1" applyBorder="1"/>
    <xf numFmtId="44" fontId="144" fillId="0" borderId="70" xfId="83" applyNumberFormat="1" applyFont="1" applyBorder="1"/>
    <xf numFmtId="44" fontId="49" fillId="0" borderId="0" xfId="75" applyNumberFormat="1" applyFont="1"/>
    <xf numFmtId="0" fontId="49" fillId="0" borderId="61" xfId="75" applyFont="1" applyBorder="1"/>
    <xf numFmtId="178" fontId="49" fillId="0" borderId="60" xfId="75" applyNumberFormat="1" applyFont="1" applyBorder="1"/>
    <xf numFmtId="0" fontId="142" fillId="0" borderId="72" xfId="75" applyFont="1" applyBorder="1"/>
    <xf numFmtId="44" fontId="142" fillId="0" borderId="73" xfId="75" applyNumberFormat="1" applyFont="1" applyBorder="1"/>
    <xf numFmtId="0" fontId="144" fillId="32" borderId="96" xfId="75" applyFont="1" applyFill="1" applyBorder="1"/>
    <xf numFmtId="0" fontId="144" fillId="32" borderId="103" xfId="75" applyFont="1" applyFill="1" applyBorder="1"/>
    <xf numFmtId="0" fontId="144" fillId="32" borderId="69" xfId="75" applyFont="1" applyFill="1" applyBorder="1"/>
    <xf numFmtId="44" fontId="144" fillId="32" borderId="70" xfId="75" applyNumberFormat="1" applyFont="1" applyFill="1" applyBorder="1"/>
    <xf numFmtId="4" fontId="49" fillId="0" borderId="0" xfId="75" applyNumberFormat="1" applyFont="1"/>
    <xf numFmtId="178" fontId="144" fillId="32" borderId="71" xfId="75" applyNumberFormat="1" applyFont="1" applyFill="1" applyBorder="1"/>
    <xf numFmtId="178" fontId="144" fillId="32" borderId="72" xfId="75" applyNumberFormat="1" applyFont="1" applyFill="1" applyBorder="1"/>
    <xf numFmtId="178" fontId="144" fillId="32" borderId="73" xfId="75" applyNumberFormat="1" applyFont="1" applyFill="1" applyBorder="1"/>
    <xf numFmtId="44" fontId="141" fillId="0" borderId="0" xfId="75" applyNumberFormat="1" applyFont="1"/>
    <xf numFmtId="43" fontId="49" fillId="0" borderId="0" xfId="83" applyFont="1"/>
    <xf numFmtId="43" fontId="49" fillId="32" borderId="0" xfId="83" applyFont="1" applyFill="1"/>
    <xf numFmtId="43" fontId="49" fillId="0" borderId="0" xfId="83" applyFont="1" applyFill="1"/>
    <xf numFmtId="4" fontId="49" fillId="0" borderId="0" xfId="83" applyNumberFormat="1" applyFont="1"/>
    <xf numFmtId="165" fontId="49" fillId="0" borderId="0" xfId="3" applyFont="1"/>
    <xf numFmtId="165" fontId="141" fillId="0" borderId="0" xfId="3" applyFont="1"/>
    <xf numFmtId="165" fontId="141" fillId="0" borderId="0" xfId="75" applyNumberFormat="1" applyFont="1"/>
    <xf numFmtId="0" fontId="145" fillId="0" borderId="1" xfId="58" applyFont="1" applyBorder="1" applyAlignment="1">
      <alignment horizontal="center"/>
    </xf>
    <xf numFmtId="0" fontId="141" fillId="0" borderId="13" xfId="75" applyFont="1" applyBorder="1"/>
    <xf numFmtId="169" fontId="141" fillId="20" borderId="13" xfId="3" applyNumberFormat="1" applyFont="1" applyFill="1" applyBorder="1"/>
    <xf numFmtId="169" fontId="141" fillId="0" borderId="13" xfId="3" applyNumberFormat="1" applyFont="1" applyFill="1" applyBorder="1"/>
    <xf numFmtId="169" fontId="141" fillId="0" borderId="13" xfId="3" applyNumberFormat="1" applyFont="1" applyBorder="1"/>
    <xf numFmtId="169" fontId="141" fillId="20" borderId="0" xfId="3" applyNumberFormat="1" applyFont="1" applyFill="1"/>
    <xf numFmtId="169" fontId="141" fillId="0" borderId="0" xfId="3" applyNumberFormat="1" applyFont="1" applyFill="1"/>
    <xf numFmtId="169" fontId="141" fillId="0" borderId="0" xfId="3" applyNumberFormat="1" applyFont="1"/>
    <xf numFmtId="4" fontId="141" fillId="20" borderId="0" xfId="75" applyNumberFormat="1" applyFont="1" applyFill="1"/>
    <xf numFmtId="43" fontId="141" fillId="0" borderId="0" xfId="85" applyFont="1" applyFill="1" applyBorder="1"/>
    <xf numFmtId="3" fontId="141" fillId="0" borderId="0" xfId="75" applyNumberFormat="1" applyFont="1"/>
    <xf numFmtId="3" fontId="141" fillId="20" borderId="0" xfId="75" applyNumberFormat="1" applyFont="1" applyFill="1"/>
    <xf numFmtId="0" fontId="49" fillId="0" borderId="104" xfId="75" applyFont="1" applyBorder="1"/>
    <xf numFmtId="165" fontId="49" fillId="0" borderId="13" xfId="3" applyFont="1" applyBorder="1"/>
    <xf numFmtId="0" fontId="49" fillId="0" borderId="57" xfId="75" applyFont="1" applyBorder="1"/>
    <xf numFmtId="0" fontId="49" fillId="39" borderId="58" xfId="75" applyFont="1" applyFill="1" applyBorder="1"/>
    <xf numFmtId="0" fontId="49" fillId="39" borderId="62" xfId="75" applyFont="1" applyFill="1" applyBorder="1"/>
    <xf numFmtId="0" fontId="142" fillId="0" borderId="40" xfId="75" applyFont="1" applyBorder="1"/>
    <xf numFmtId="43" fontId="142" fillId="0" borderId="13" xfId="83" applyFont="1" applyBorder="1"/>
    <xf numFmtId="165" fontId="142" fillId="0" borderId="13" xfId="3" applyFont="1" applyBorder="1"/>
    <xf numFmtId="165" fontId="145" fillId="0" borderId="1" xfId="3" applyFont="1" applyBorder="1" applyAlignment="1">
      <alignment horizontal="center"/>
    </xf>
    <xf numFmtId="165" fontId="49" fillId="0" borderId="13" xfId="3" applyFont="1" applyFill="1" applyBorder="1"/>
    <xf numFmtId="43" fontId="142" fillId="0" borderId="13" xfId="83" applyFont="1" applyFill="1" applyBorder="1"/>
    <xf numFmtId="165" fontId="142" fillId="0" borderId="13" xfId="3" applyFont="1" applyFill="1" applyBorder="1"/>
    <xf numFmtId="0" fontId="49" fillId="39" borderId="60" xfId="75" applyFont="1" applyFill="1" applyBorder="1"/>
    <xf numFmtId="43" fontId="49" fillId="0" borderId="0" xfId="85" applyFont="1"/>
    <xf numFmtId="43" fontId="141" fillId="0" borderId="0" xfId="75" applyNumberFormat="1" applyFont="1"/>
    <xf numFmtId="178" fontId="141" fillId="0" borderId="0" xfId="75" applyNumberFormat="1" applyFont="1"/>
    <xf numFmtId="0" fontId="0" fillId="109" borderId="13" xfId="0" applyFill="1" applyBorder="1" applyAlignment="1">
      <alignment vertical="top"/>
    </xf>
    <xf numFmtId="49" fontId="146" fillId="110" borderId="105" xfId="0" applyNumberFormat="1" applyFont="1" applyFill="1" applyBorder="1"/>
    <xf numFmtId="0" fontId="146" fillId="110" borderId="105" xfId="0" applyFont="1" applyFill="1" applyBorder="1"/>
    <xf numFmtId="169" fontId="146" fillId="110" borderId="105" xfId="3" applyNumberFormat="1" applyFont="1" applyFill="1" applyBorder="1"/>
    <xf numFmtId="49" fontId="146" fillId="110" borderId="106" xfId="0" applyNumberFormat="1" applyFont="1" applyFill="1" applyBorder="1"/>
    <xf numFmtId="0" fontId="146" fillId="110" borderId="106" xfId="0" applyFont="1" applyFill="1" applyBorder="1"/>
    <xf numFmtId="169" fontId="146" fillId="110" borderId="106" xfId="3" applyNumberFormat="1" applyFont="1" applyFill="1" applyBorder="1"/>
    <xf numFmtId="4" fontId="146" fillId="110" borderId="106" xfId="0" applyNumberFormat="1" applyFont="1" applyFill="1" applyBorder="1"/>
    <xf numFmtId="0" fontId="146" fillId="110" borderId="106" xfId="3" applyNumberFormat="1" applyFont="1" applyFill="1" applyBorder="1"/>
    <xf numFmtId="4" fontId="146" fillId="110" borderId="106" xfId="3" applyNumberFormat="1" applyFont="1" applyFill="1" applyBorder="1"/>
    <xf numFmtId="3" fontId="146" fillId="110" borderId="106" xfId="0" applyNumberFormat="1" applyFont="1" applyFill="1" applyBorder="1"/>
    <xf numFmtId="187" fontId="146" fillId="45" borderId="106" xfId="3" applyNumberFormat="1" applyFont="1" applyFill="1" applyBorder="1"/>
    <xf numFmtId="165" fontId="146" fillId="110" borderId="106" xfId="3" applyFont="1" applyFill="1" applyBorder="1"/>
    <xf numFmtId="0" fontId="0" fillId="0" borderId="0" xfId="0" applyAlignment="1">
      <alignment vertical="top"/>
    </xf>
    <xf numFmtId="169" fontId="0" fillId="0" borderId="0" xfId="0" applyNumberFormat="1" applyAlignment="1">
      <alignment vertical="top"/>
    </xf>
    <xf numFmtId="169" fontId="0" fillId="0" borderId="0" xfId="3" applyNumberFormat="1" applyFont="1" applyAlignment="1">
      <alignment vertical="top"/>
    </xf>
    <xf numFmtId="3" fontId="0" fillId="39" borderId="0" xfId="0" applyNumberFormat="1" applyFill="1" applyAlignment="1">
      <alignment horizontal="right" vertical="top"/>
    </xf>
    <xf numFmtId="3" fontId="0" fillId="0" borderId="0" xfId="0" applyNumberFormat="1" applyAlignment="1">
      <alignment horizontal="right" vertical="top"/>
    </xf>
    <xf numFmtId="188" fontId="0" fillId="0" borderId="0" xfId="0" applyNumberFormat="1" applyAlignment="1">
      <alignment horizontal="right" vertical="top"/>
    </xf>
    <xf numFmtId="169" fontId="0" fillId="0" borderId="0" xfId="3" applyNumberFormat="1" applyFont="1" applyAlignment="1">
      <alignment horizontal="right" vertical="top"/>
    </xf>
    <xf numFmtId="188" fontId="0" fillId="111" borderId="0" xfId="0" applyNumberFormat="1" applyFill="1" applyAlignment="1">
      <alignment horizontal="right" vertical="top"/>
    </xf>
    <xf numFmtId="169" fontId="0" fillId="111" borderId="0" xfId="3" applyNumberFormat="1" applyFont="1" applyFill="1" applyAlignment="1">
      <alignment horizontal="right" vertical="top"/>
    </xf>
    <xf numFmtId="165" fontId="0" fillId="111" borderId="0" xfId="3" applyFont="1" applyFill="1" applyAlignment="1">
      <alignment horizontal="right" vertical="top"/>
    </xf>
    <xf numFmtId="172" fontId="0" fillId="0" borderId="0" xfId="3" applyNumberFormat="1" applyFont="1" applyAlignment="1">
      <alignment horizontal="right" vertical="top"/>
    </xf>
    <xf numFmtId="3" fontId="0" fillId="0" borderId="0" xfId="3" applyNumberFormat="1" applyFont="1" applyAlignment="1">
      <alignment horizontal="right" vertical="top"/>
    </xf>
    <xf numFmtId="3" fontId="0" fillId="112" borderId="0" xfId="3" applyNumberFormat="1" applyFont="1" applyFill="1" applyAlignment="1">
      <alignment horizontal="right" vertical="top"/>
    </xf>
    <xf numFmtId="10" fontId="0" fillId="107" borderId="0" xfId="4" applyNumberFormat="1" applyFont="1" applyFill="1" applyAlignment="1">
      <alignment vertical="top"/>
    </xf>
    <xf numFmtId="10" fontId="0" fillId="45" borderId="0" xfId="4" applyNumberFormat="1" applyFont="1" applyFill="1" applyAlignment="1">
      <alignment vertical="top"/>
    </xf>
    <xf numFmtId="0" fontId="0" fillId="111" borderId="0" xfId="0" applyFill="1" applyAlignment="1">
      <alignment vertical="top"/>
    </xf>
    <xf numFmtId="165" fontId="0" fillId="39" borderId="0" xfId="3" applyFont="1" applyFill="1" applyAlignment="1">
      <alignment horizontal="right" vertical="top"/>
    </xf>
    <xf numFmtId="188" fontId="0" fillId="0" borderId="0" xfId="0" applyNumberFormat="1" applyAlignment="1">
      <alignment vertical="top"/>
    </xf>
    <xf numFmtId="9" fontId="0" fillId="0" borderId="0" xfId="4" applyFont="1" applyAlignment="1">
      <alignment vertical="top"/>
    </xf>
    <xf numFmtId="0" fontId="0" fillId="39" borderId="0" xfId="0" applyFill="1" applyAlignment="1">
      <alignment vertical="top"/>
    </xf>
    <xf numFmtId="0" fontId="17" fillId="0" borderId="0" xfId="0" applyFont="1"/>
    <xf numFmtId="3" fontId="17" fillId="0" borderId="0" xfId="0" applyNumberFormat="1" applyFont="1" applyAlignment="1">
      <alignment vertical="top"/>
    </xf>
    <xf numFmtId="10" fontId="17" fillId="0" borderId="0" xfId="0" applyNumberFormat="1" applyFont="1" applyAlignment="1">
      <alignment vertical="top"/>
    </xf>
    <xf numFmtId="43" fontId="17" fillId="0" borderId="0" xfId="0" applyNumberFormat="1" applyFont="1"/>
    <xf numFmtId="171" fontId="0" fillId="0" borderId="0" xfId="3" applyNumberFormat="1" applyFont="1" applyAlignment="1">
      <alignment vertical="top"/>
    </xf>
    <xf numFmtId="43" fontId="0" fillId="0" borderId="0" xfId="0" applyNumberFormat="1"/>
    <xf numFmtId="189" fontId="0" fillId="0" borderId="0" xfId="0" applyNumberFormat="1"/>
    <xf numFmtId="190" fontId="0" fillId="0" borderId="0" xfId="4" applyNumberFormat="1" applyFont="1"/>
    <xf numFmtId="10" fontId="0" fillId="0" borderId="0" xfId="4" applyNumberFormat="1" applyFont="1"/>
    <xf numFmtId="165" fontId="3" fillId="32" borderId="0" xfId="0" applyNumberFormat="1" applyFont="1" applyFill="1"/>
    <xf numFmtId="3" fontId="0" fillId="0" borderId="0" xfId="0" applyNumberFormat="1" applyAlignment="1">
      <alignment horizontal="center"/>
    </xf>
    <xf numFmtId="8" fontId="0" fillId="0" borderId="0" xfId="0" applyNumberFormat="1"/>
    <xf numFmtId="191" fontId="0" fillId="0" borderId="0" xfId="0" applyNumberFormat="1"/>
    <xf numFmtId="169" fontId="22" fillId="0" borderId="0" xfId="3" applyNumberFormat="1" applyFont="1" applyAlignment="1">
      <alignment horizontal="center"/>
    </xf>
    <xf numFmtId="4" fontId="147" fillId="0" borderId="0" xfId="0" applyNumberFormat="1" applyFont="1" applyAlignment="1">
      <alignment horizontal="center"/>
    </xf>
    <xf numFmtId="3" fontId="32" fillId="0" borderId="0" xfId="0" applyNumberFormat="1" applyFont="1"/>
    <xf numFmtId="43" fontId="32" fillId="0" borderId="0" xfId="0" applyNumberFormat="1" applyFont="1"/>
    <xf numFmtId="9" fontId="32" fillId="0" borderId="0" xfId="4" applyFont="1"/>
    <xf numFmtId="43" fontId="49" fillId="0" borderId="0" xfId="75" applyNumberFormat="1" applyFont="1"/>
    <xf numFmtId="43" fontId="144" fillId="0" borderId="0" xfId="75" applyNumberFormat="1" applyFont="1" applyAlignment="1">
      <alignment horizontal="center"/>
    </xf>
    <xf numFmtId="3" fontId="119" fillId="0" borderId="99" xfId="0" applyNumberFormat="1" applyFont="1" applyBorder="1" applyAlignment="1">
      <alignment horizontal="center"/>
    </xf>
    <xf numFmtId="3" fontId="119" fillId="0" borderId="100" xfId="0" applyNumberFormat="1" applyFont="1" applyBorder="1" applyAlignment="1">
      <alignment horizontal="center"/>
    </xf>
    <xf numFmtId="3" fontId="119" fillId="0" borderId="101" xfId="0" applyNumberFormat="1" applyFont="1" applyBorder="1" applyAlignment="1">
      <alignment horizontal="center"/>
    </xf>
    <xf numFmtId="3" fontId="119" fillId="0" borderId="0" xfId="0" applyNumberFormat="1" applyFont="1" applyAlignment="1">
      <alignment horizontal="center"/>
    </xf>
    <xf numFmtId="0" fontId="144" fillId="0" borderId="0" xfId="75" applyFont="1" applyAlignment="1">
      <alignment horizontal="center"/>
    </xf>
    <xf numFmtId="179" fontId="49" fillId="0" borderId="0" xfId="75" applyNumberFormat="1" applyFont="1"/>
    <xf numFmtId="179" fontId="141" fillId="0" borderId="0" xfId="75" applyNumberFormat="1" applyFont="1"/>
    <xf numFmtId="3" fontId="112" fillId="0" borderId="0" xfId="0" applyNumberFormat="1" applyFont="1"/>
    <xf numFmtId="4" fontId="112" fillId="0" borderId="13" xfId="3" applyNumberFormat="1" applyFont="1" applyFill="1" applyBorder="1"/>
    <xf numFmtId="169" fontId="112" fillId="33" borderId="13" xfId="0" applyNumberFormat="1" applyFont="1" applyFill="1" applyBorder="1"/>
    <xf numFmtId="0" fontId="3" fillId="32" borderId="13" xfId="0" applyFont="1" applyFill="1" applyBorder="1"/>
    <xf numFmtId="0" fontId="0" fillId="32" borderId="0" xfId="0" applyFill="1"/>
    <xf numFmtId="165" fontId="0" fillId="32" borderId="13" xfId="0" applyNumberFormat="1" applyFill="1" applyBorder="1"/>
    <xf numFmtId="192" fontId="0" fillId="32" borderId="13" xfId="0" applyNumberFormat="1" applyFill="1" applyBorder="1"/>
    <xf numFmtId="181" fontId="1" fillId="113" borderId="13" xfId="86" applyFont="1" applyFill="1" applyBorder="1"/>
    <xf numFmtId="192" fontId="0" fillId="0" borderId="0" xfId="0" applyNumberFormat="1"/>
    <xf numFmtId="192" fontId="0" fillId="0" borderId="0" xfId="0" applyNumberFormat="1" applyAlignment="1">
      <alignment vertical="top"/>
    </xf>
    <xf numFmtId="0" fontId="59" fillId="0" borderId="0" xfId="0" applyFont="1" applyAlignment="1">
      <alignment vertical="top"/>
    </xf>
    <xf numFmtId="2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  <xf numFmtId="0" fontId="2" fillId="2" borderId="13" xfId="0" applyFont="1" applyFill="1" applyBorder="1"/>
    <xf numFmtId="193" fontId="0" fillId="0" borderId="13" xfId="0" applyNumberFormat="1" applyBorder="1"/>
    <xf numFmtId="43" fontId="0" fillId="0" borderId="0" xfId="0" applyNumberFormat="1" applyAlignment="1">
      <alignment vertical="top"/>
    </xf>
    <xf numFmtId="169" fontId="6" fillId="3" borderId="2" xfId="3" applyNumberFormat="1" applyFont="1" applyFill="1" applyBorder="1" applyAlignment="1">
      <alignment horizontal="center"/>
    </xf>
    <xf numFmtId="3" fontId="3" fillId="27" borderId="0" xfId="0" applyNumberFormat="1" applyFont="1" applyFill="1" applyAlignment="1">
      <alignment horizontal="center" vertical="center" wrapText="1"/>
    </xf>
    <xf numFmtId="0" fontId="148" fillId="27" borderId="1" xfId="0" applyFont="1" applyFill="1" applyBorder="1"/>
    <xf numFmtId="169" fontId="5" fillId="27" borderId="1" xfId="3" applyNumberFormat="1" applyFont="1" applyFill="1" applyBorder="1"/>
    <xf numFmtId="169" fontId="0" fillId="107" borderId="0" xfId="0" applyNumberFormat="1" applyFill="1"/>
    <xf numFmtId="0" fontId="148" fillId="27" borderId="2" xfId="0" applyFont="1" applyFill="1" applyBorder="1"/>
    <xf numFmtId="169" fontId="5" fillId="27" borderId="2" xfId="3" applyNumberFormat="1" applyFont="1" applyFill="1" applyBorder="1"/>
    <xf numFmtId="0" fontId="149" fillId="3" borderId="2" xfId="0" applyFont="1" applyFill="1" applyBorder="1"/>
    <xf numFmtId="169" fontId="6" fillId="3" borderId="2" xfId="3" applyNumberFormat="1" applyFont="1" applyFill="1" applyBorder="1"/>
    <xf numFmtId="0" fontId="91" fillId="4" borderId="3" xfId="0" applyFont="1" applyFill="1" applyBorder="1" applyAlignment="1">
      <alignment horizontal="center" vertical="center" wrapText="1"/>
    </xf>
    <xf numFmtId="169" fontId="150" fillId="0" borderId="9" xfId="3" applyNumberFormat="1" applyFont="1" applyBorder="1"/>
    <xf numFmtId="169" fontId="23" fillId="0" borderId="9" xfId="3" applyNumberFormat="1" applyFont="1" applyBorder="1"/>
    <xf numFmtId="169" fontId="151" fillId="14" borderId="32" xfId="3" applyNumberFormat="1" applyFont="1" applyFill="1" applyBorder="1"/>
    <xf numFmtId="169" fontId="87" fillId="14" borderId="32" xfId="3" applyNumberFormat="1" applyFont="1" applyFill="1" applyBorder="1"/>
    <xf numFmtId="0" fontId="152" fillId="0" borderId="0" xfId="0" applyFont="1"/>
    <xf numFmtId="0" fontId="148" fillId="27" borderId="3" xfId="0" applyFont="1" applyFill="1" applyBorder="1"/>
    <xf numFmtId="169" fontId="5" fillId="27" borderId="3" xfId="3" applyNumberFormat="1" applyFont="1" applyFill="1" applyBorder="1"/>
    <xf numFmtId="0" fontId="91" fillId="25" borderId="3" xfId="0" applyFont="1" applyFill="1" applyBorder="1" applyAlignment="1">
      <alignment horizontal="center" vertical="center" wrapText="1"/>
    </xf>
    <xf numFmtId="0" fontId="148" fillId="0" borderId="1" xfId="0" applyFont="1" applyBorder="1"/>
    <xf numFmtId="169" fontId="5" fillId="0" borderId="1" xfId="3" applyNumberFormat="1" applyFont="1" applyBorder="1"/>
    <xf numFmtId="0" fontId="148" fillId="0" borderId="3" xfId="0" applyFont="1" applyBorder="1"/>
    <xf numFmtId="169" fontId="5" fillId="0" borderId="3" xfId="3" applyNumberFormat="1" applyFont="1" applyBorder="1"/>
    <xf numFmtId="169" fontId="7" fillId="40" borderId="3" xfId="3" applyNumberFormat="1" applyFont="1" applyFill="1" applyBorder="1" applyAlignment="1">
      <alignment horizontal="center" vertical="center" wrapText="1"/>
    </xf>
    <xf numFmtId="4" fontId="119" fillId="0" borderId="0" xfId="0" applyNumberFormat="1" applyFont="1"/>
    <xf numFmtId="169" fontId="119" fillId="0" borderId="0" xfId="3" applyNumberFormat="1" applyFont="1"/>
    <xf numFmtId="3" fontId="36" fillId="0" borderId="0" xfId="0" applyNumberFormat="1" applyFont="1" applyAlignment="1">
      <alignment horizontal="center" vertical="center" wrapText="1"/>
    </xf>
    <xf numFmtId="3" fontId="123" fillId="0" borderId="13" xfId="0" applyNumberFormat="1" applyFont="1" applyBorder="1"/>
    <xf numFmtId="3" fontId="5" fillId="0" borderId="13" xfId="0" applyNumberFormat="1" applyFont="1" applyBorder="1"/>
    <xf numFmtId="3" fontId="123" fillId="27" borderId="13" xfId="0" applyNumberFormat="1" applyFont="1" applyFill="1" applyBorder="1"/>
    <xf numFmtId="0" fontId="118" fillId="32" borderId="0" xfId="0" applyFont="1" applyFill="1"/>
    <xf numFmtId="0" fontId="119" fillId="32" borderId="0" xfId="0" applyFont="1" applyFill="1"/>
    <xf numFmtId="3" fontId="120" fillId="14" borderId="23" xfId="0" applyNumberFormat="1" applyFont="1" applyFill="1" applyBorder="1" applyAlignment="1">
      <alignment horizontal="center"/>
    </xf>
    <xf numFmtId="0" fontId="153" fillId="0" borderId="0" xfId="0" applyFont="1"/>
    <xf numFmtId="169" fontId="123" fillId="27" borderId="1" xfId="3" applyNumberFormat="1" applyFont="1" applyFill="1" applyBorder="1" applyAlignment="1">
      <alignment horizontal="center"/>
    </xf>
    <xf numFmtId="169" fontId="123" fillId="27" borderId="2" xfId="3" applyNumberFormat="1" applyFont="1" applyFill="1" applyBorder="1" applyAlignment="1">
      <alignment horizontal="center"/>
    </xf>
    <xf numFmtId="169" fontId="7" fillId="4" borderId="0" xfId="3" applyNumberFormat="1" applyFont="1" applyFill="1" applyAlignment="1">
      <alignment horizontal="center" vertical="center" wrapText="1"/>
    </xf>
    <xf numFmtId="169" fontId="33" fillId="0" borderId="0" xfId="3" applyNumberFormat="1" applyFont="1" applyAlignment="1">
      <alignment horizontal="center"/>
    </xf>
    <xf numFmtId="169" fontId="35" fillId="0" borderId="0" xfId="3" applyNumberFormat="1" applyFont="1" applyAlignment="1">
      <alignment horizontal="center"/>
    </xf>
    <xf numFmtId="169" fontId="5" fillId="0" borderId="1" xfId="3" applyNumberFormat="1" applyFont="1" applyBorder="1" applyAlignment="1">
      <alignment horizontal="center"/>
    </xf>
    <xf numFmtId="169" fontId="5" fillId="0" borderId="3" xfId="3" applyNumberFormat="1" applyFont="1" applyBorder="1" applyAlignment="1">
      <alignment horizontal="center"/>
    </xf>
    <xf numFmtId="169" fontId="154" fillId="0" borderId="0" xfId="3" applyNumberFormat="1" applyFont="1"/>
    <xf numFmtId="172" fontId="3" fillId="0" borderId="0" xfId="3" applyNumberFormat="1" applyFont="1"/>
    <xf numFmtId="10" fontId="0" fillId="0" borderId="0" xfId="0" applyNumberFormat="1"/>
    <xf numFmtId="0" fontId="0" fillId="20" borderId="0" xfId="0" applyFill="1"/>
    <xf numFmtId="0" fontId="156" fillId="0" borderId="0" xfId="0" applyFont="1" applyAlignment="1">
      <alignment horizontal="center"/>
    </xf>
    <xf numFmtId="0" fontId="155" fillId="114" borderId="1" xfId="0" applyFont="1" applyFill="1" applyBorder="1" applyAlignment="1">
      <alignment horizontal="center" vertical="center"/>
    </xf>
    <xf numFmtId="0" fontId="155" fillId="107" borderId="1" xfId="0" applyFont="1" applyFill="1" applyBorder="1" applyAlignment="1">
      <alignment horizontal="center" vertical="center"/>
    </xf>
    <xf numFmtId="0" fontId="17" fillId="0" borderId="107" xfId="0" applyFont="1" applyBorder="1" applyAlignment="1">
      <alignment vertical="center"/>
    </xf>
    <xf numFmtId="2" fontId="17" fillId="0" borderId="108" xfId="0" applyNumberFormat="1" applyFont="1" applyBorder="1" applyAlignment="1">
      <alignment horizontal="right" vertical="center"/>
    </xf>
    <xf numFmtId="0" fontId="157" fillId="0" borderId="0" xfId="0" applyFont="1"/>
    <xf numFmtId="0" fontId="156" fillId="0" borderId="0" xfId="0" applyFont="1"/>
    <xf numFmtId="8" fontId="156" fillId="0" borderId="0" xfId="0" applyNumberFormat="1" applyFont="1" applyAlignment="1">
      <alignment horizontal="center"/>
    </xf>
    <xf numFmtId="0" fontId="158" fillId="0" borderId="0" xfId="0" applyFont="1" applyAlignment="1">
      <alignment horizontal="center"/>
    </xf>
    <xf numFmtId="0" fontId="158" fillId="0" borderId="0" xfId="0" applyFont="1"/>
    <xf numFmtId="169" fontId="156" fillId="0" borderId="0" xfId="0" applyNumberFormat="1" applyFont="1"/>
    <xf numFmtId="169" fontId="0" fillId="115" borderId="13" xfId="3" applyNumberFormat="1" applyFont="1" applyFill="1" applyBorder="1"/>
    <xf numFmtId="169" fontId="0" fillId="0" borderId="13" xfId="3" applyNumberFormat="1" applyFont="1" applyFill="1" applyBorder="1"/>
    <xf numFmtId="0" fontId="17" fillId="116" borderId="109" xfId="0" applyFont="1" applyFill="1" applyBorder="1" applyAlignment="1">
      <alignment vertical="center"/>
    </xf>
    <xf numFmtId="4" fontId="17" fillId="116" borderId="110" xfId="0" applyNumberFormat="1" applyFont="1" applyFill="1" applyBorder="1" applyAlignment="1">
      <alignment horizontal="right" vertical="center"/>
    </xf>
    <xf numFmtId="0" fontId="156" fillId="0" borderId="63" xfId="0" applyFont="1" applyBorder="1" applyAlignment="1">
      <alignment horizontal="left"/>
    </xf>
    <xf numFmtId="169" fontId="157" fillId="0" borderId="0" xfId="3" applyNumberFormat="1" applyFont="1"/>
    <xf numFmtId="8" fontId="156" fillId="0" borderId="0" xfId="0" applyNumberFormat="1" applyFont="1"/>
    <xf numFmtId="0" fontId="156" fillId="0" borderId="13" xfId="0" applyFont="1" applyBorder="1"/>
    <xf numFmtId="0" fontId="156" fillId="0" borderId="54" xfId="0" applyFont="1" applyBorder="1" applyAlignment="1">
      <alignment horizontal="left"/>
    </xf>
    <xf numFmtId="0" fontId="156" fillId="32" borderId="0" xfId="0" applyFont="1" applyFill="1"/>
    <xf numFmtId="3" fontId="158" fillId="20" borderId="0" xfId="0" applyNumberFormat="1" applyFont="1" applyFill="1"/>
    <xf numFmtId="3" fontId="158" fillId="114" borderId="0" xfId="0" applyNumberFormat="1" applyFont="1" applyFill="1"/>
    <xf numFmtId="169" fontId="158" fillId="20" borderId="0" xfId="3" applyNumberFormat="1" applyFont="1" applyFill="1"/>
    <xf numFmtId="3" fontId="156" fillId="0" borderId="0" xfId="0" applyNumberFormat="1" applyFont="1"/>
    <xf numFmtId="0" fontId="159" fillId="116" borderId="109" xfId="0" applyFont="1" applyFill="1" applyBorder="1" applyAlignment="1">
      <alignment vertical="center"/>
    </xf>
    <xf numFmtId="4" fontId="159" fillId="116" borderId="110" xfId="0" applyNumberFormat="1" applyFont="1" applyFill="1" applyBorder="1" applyAlignment="1">
      <alignment horizontal="right" vertical="center"/>
    </xf>
    <xf numFmtId="0" fontId="17" fillId="0" borderId="109" xfId="0" applyFont="1" applyBorder="1" applyAlignment="1">
      <alignment vertical="center"/>
    </xf>
    <xf numFmtId="4" fontId="17" fillId="0" borderId="110" xfId="0" applyNumberFormat="1" applyFont="1" applyBorder="1" applyAlignment="1">
      <alignment horizontal="right" vertical="center"/>
    </xf>
    <xf numFmtId="0" fontId="4" fillId="117" borderId="0" xfId="0" applyFont="1" applyFill="1"/>
    <xf numFmtId="169" fontId="4" fillId="117" borderId="0" xfId="3" applyNumberFormat="1" applyFont="1" applyFill="1"/>
    <xf numFmtId="169" fontId="0" fillId="117" borderId="0" xfId="3" applyNumberFormat="1" applyFont="1" applyFill="1"/>
    <xf numFmtId="0" fontId="156" fillId="0" borderId="58" xfId="0" applyFont="1" applyBorder="1" applyAlignment="1">
      <alignment horizontal="left"/>
    </xf>
    <xf numFmtId="0" fontId="7" fillId="118" borderId="0" xfId="0" applyFont="1" applyFill="1"/>
    <xf numFmtId="3" fontId="7" fillId="118" borderId="0" xfId="0" applyNumberFormat="1" applyFont="1" applyFill="1"/>
    <xf numFmtId="169" fontId="32" fillId="119" borderId="13" xfId="3" applyNumberFormat="1" applyFont="1" applyFill="1" applyBorder="1"/>
    <xf numFmtId="169" fontId="0" fillId="20" borderId="13" xfId="3" applyNumberFormat="1" applyFont="1" applyFill="1" applyBorder="1"/>
    <xf numFmtId="0" fontId="159" fillId="0" borderId="109" xfId="0" applyFont="1" applyBorder="1" applyAlignment="1">
      <alignment vertical="center"/>
    </xf>
    <xf numFmtId="4" fontId="159" fillId="0" borderId="110" xfId="0" applyNumberFormat="1" applyFont="1" applyBorder="1" applyAlignment="1">
      <alignment horizontal="right" vertical="center"/>
    </xf>
    <xf numFmtId="0" fontId="156" fillId="102" borderId="0" xfId="0" applyFont="1" applyFill="1"/>
    <xf numFmtId="169" fontId="156" fillId="0" borderId="0" xfId="3" applyNumberFormat="1" applyFont="1"/>
    <xf numFmtId="0" fontId="159" fillId="116" borderId="111" xfId="0" applyFont="1" applyFill="1" applyBorder="1" applyAlignment="1">
      <alignment vertical="center"/>
    </xf>
    <xf numFmtId="4" fontId="159" fillId="116" borderId="98" xfId="0" applyNumberFormat="1" applyFont="1" applyFill="1" applyBorder="1" applyAlignment="1">
      <alignment horizontal="right" vertical="center"/>
    </xf>
    <xf numFmtId="3" fontId="36" fillId="20" borderId="0" xfId="0" applyNumberFormat="1" applyFont="1" applyFill="1"/>
    <xf numFmtId="4" fontId="156" fillId="0" borderId="0" xfId="0" applyNumberFormat="1" applyFont="1"/>
    <xf numFmtId="169" fontId="0" fillId="119" borderId="13" xfId="3" applyNumberFormat="1" applyFont="1" applyFill="1" applyBorder="1"/>
    <xf numFmtId="0" fontId="0" fillId="0" borderId="39" xfId="0" applyBorder="1"/>
    <xf numFmtId="4" fontId="0" fillId="0" borderId="41" xfId="0" applyNumberFormat="1" applyBorder="1"/>
    <xf numFmtId="0" fontId="158" fillId="102" borderId="0" xfId="0" applyFont="1" applyFill="1"/>
    <xf numFmtId="0" fontId="156" fillId="120" borderId="0" xfId="0" applyFont="1" applyFill="1"/>
    <xf numFmtId="0" fontId="156" fillId="20" borderId="0" xfId="0" applyFont="1" applyFill="1"/>
    <xf numFmtId="3" fontId="32" fillId="20" borderId="0" xfId="0" applyNumberFormat="1" applyFont="1" applyFill="1"/>
    <xf numFmtId="0" fontId="32" fillId="20" borderId="0" xfId="0" applyFont="1" applyFill="1"/>
    <xf numFmtId="169" fontId="156" fillId="119" borderId="13" xfId="3" applyNumberFormat="1" applyFont="1" applyFill="1" applyBorder="1"/>
    <xf numFmtId="3" fontId="158" fillId="20" borderId="0" xfId="0" applyNumberFormat="1" applyFont="1" applyFill="1" applyAlignment="1">
      <alignment horizontal="center"/>
    </xf>
    <xf numFmtId="4" fontId="156" fillId="0" borderId="13" xfId="0" applyNumberFormat="1" applyFont="1" applyBorder="1"/>
    <xf numFmtId="0" fontId="156" fillId="32" borderId="13" xfId="0" applyFont="1" applyFill="1" applyBorder="1"/>
    <xf numFmtId="3" fontId="156" fillId="32" borderId="13" xfId="0" applyNumberFormat="1" applyFont="1" applyFill="1" applyBorder="1"/>
    <xf numFmtId="169" fontId="156" fillId="32" borderId="0" xfId="0" applyNumberFormat="1" applyFont="1" applyFill="1"/>
    <xf numFmtId="3" fontId="156" fillId="115" borderId="0" xfId="0" applyNumberFormat="1" applyFont="1" applyFill="1"/>
    <xf numFmtId="169" fontId="3" fillId="0" borderId="0" xfId="3" applyNumberFormat="1" applyFont="1"/>
    <xf numFmtId="3" fontId="8" fillId="115" borderId="0" xfId="0" applyNumberFormat="1" applyFont="1" applyFill="1"/>
    <xf numFmtId="3" fontId="158" fillId="32" borderId="0" xfId="0" applyNumberFormat="1" applyFont="1" applyFill="1"/>
    <xf numFmtId="0" fontId="4" fillId="15" borderId="0" xfId="0" applyFont="1" applyFill="1"/>
    <xf numFmtId="3" fontId="2" fillId="15" borderId="0" xfId="0" applyNumberFormat="1" applyFont="1" applyFill="1"/>
    <xf numFmtId="4" fontId="2" fillId="15" borderId="0" xfId="0" applyNumberFormat="1" applyFont="1" applyFill="1"/>
    <xf numFmtId="169" fontId="2" fillId="15" borderId="0" xfId="3" applyNumberFormat="1" applyFont="1" applyFill="1"/>
    <xf numFmtId="165" fontId="156" fillId="0" borderId="0" xfId="3" applyFont="1"/>
    <xf numFmtId="169" fontId="156" fillId="0" borderId="0" xfId="87" applyNumberFormat="1" applyFont="1"/>
    <xf numFmtId="0" fontId="0" fillId="0" borderId="17" xfId="0" applyBorder="1"/>
    <xf numFmtId="0" fontId="3" fillId="0" borderId="92" xfId="0" applyFont="1" applyBorder="1"/>
    <xf numFmtId="0" fontId="3" fillId="0" borderId="18" xfId="0" applyFont="1" applyBorder="1"/>
    <xf numFmtId="0" fontId="3" fillId="0" borderId="15" xfId="0" applyFont="1" applyBorder="1"/>
    <xf numFmtId="169" fontId="0" fillId="0" borderId="0" xfId="3" applyNumberFormat="1" applyFont="1" applyFill="1" applyBorder="1"/>
    <xf numFmtId="171" fontId="0" fillId="0" borderId="0" xfId="88" applyNumberFormat="1" applyFont="1" applyFill="1" applyBorder="1"/>
    <xf numFmtId="171" fontId="0" fillId="0" borderId="19" xfId="88" applyNumberFormat="1" applyFont="1" applyFill="1" applyBorder="1"/>
    <xf numFmtId="0" fontId="0" fillId="0" borderId="15" xfId="0" applyBorder="1"/>
    <xf numFmtId="171" fontId="0" fillId="0" borderId="19" xfId="0" applyNumberFormat="1" applyBorder="1"/>
    <xf numFmtId="169" fontId="0" fillId="33" borderId="0" xfId="3" applyNumberFormat="1" applyFont="1" applyFill="1"/>
    <xf numFmtId="194" fontId="0" fillId="0" borderId="0" xfId="88" applyNumberFormat="1" applyFont="1" applyBorder="1"/>
    <xf numFmtId="194" fontId="0" fillId="0" borderId="19" xfId="88" applyNumberFormat="1" applyFont="1" applyBorder="1"/>
    <xf numFmtId="195" fontId="0" fillId="0" borderId="0" xfId="0" applyNumberFormat="1"/>
    <xf numFmtId="195" fontId="0" fillId="0" borderId="19" xfId="0" applyNumberFormat="1" applyBorder="1"/>
    <xf numFmtId="0" fontId="0" fillId="0" borderId="19" xfId="0" applyBorder="1"/>
    <xf numFmtId="169" fontId="0" fillId="0" borderId="19" xfId="3" applyNumberFormat="1" applyFont="1" applyBorder="1"/>
    <xf numFmtId="0" fontId="0" fillId="0" borderId="16" xfId="0" applyBorder="1"/>
    <xf numFmtId="169" fontId="0" fillId="0" borderId="14" xfId="3" applyNumberFormat="1" applyFont="1" applyFill="1" applyBorder="1"/>
    <xf numFmtId="0" fontId="0" fillId="0" borderId="14" xfId="0" applyBorder="1"/>
    <xf numFmtId="0" fontId="0" fillId="0" borderId="22" xfId="0" applyBorder="1"/>
    <xf numFmtId="194" fontId="0" fillId="0" borderId="0" xfId="0" applyNumberFormat="1"/>
    <xf numFmtId="169" fontId="0" fillId="0" borderId="13" xfId="0" applyNumberFormat="1" applyBorder="1"/>
    <xf numFmtId="169" fontId="0" fillId="0" borderId="15" xfId="0" applyNumberFormat="1" applyBorder="1"/>
    <xf numFmtId="0" fontId="155" fillId="114" borderId="13" xfId="0" applyFont="1" applyFill="1" applyBorder="1" applyAlignment="1">
      <alignment horizontal="center" vertical="center"/>
    </xf>
    <xf numFmtId="0" fontId="155" fillId="107" borderId="13" xfId="0" applyFont="1" applyFill="1" applyBorder="1" applyAlignment="1">
      <alignment horizontal="center" vertical="center"/>
    </xf>
    <xf numFmtId="169" fontId="4" fillId="117" borderId="0" xfId="0" applyNumberFormat="1" applyFont="1" applyFill="1"/>
    <xf numFmtId="169" fontId="0" fillId="15" borderId="0" xfId="3" applyNumberFormat="1" applyFont="1" applyFill="1"/>
    <xf numFmtId="169" fontId="158" fillId="114" borderId="0" xfId="3" applyNumberFormat="1" applyFont="1" applyFill="1"/>
    <xf numFmtId="169" fontId="0" fillId="121" borderId="0" xfId="3" applyNumberFormat="1" applyFont="1" applyFill="1"/>
    <xf numFmtId="3" fontId="0" fillId="32" borderId="0" xfId="0" applyNumberFormat="1" applyFill="1"/>
    <xf numFmtId="0" fontId="156" fillId="122" borderId="0" xfId="0" applyFont="1" applyFill="1"/>
    <xf numFmtId="4" fontId="61" fillId="0" borderId="0" xfId="0" applyNumberFormat="1" applyFont="1" applyAlignment="1">
      <alignment vertical="top"/>
    </xf>
    <xf numFmtId="165" fontId="2" fillId="15" borderId="0" xfId="3" applyFont="1" applyFill="1"/>
    <xf numFmtId="0" fontId="158" fillId="0" borderId="13" xfId="0" applyFont="1" applyBorder="1"/>
    <xf numFmtId="0" fontId="0" fillId="0" borderId="2" xfId="0" applyBorder="1"/>
    <xf numFmtId="0" fontId="156" fillId="0" borderId="2" xfId="0" applyFont="1" applyBorder="1"/>
    <xf numFmtId="169" fontId="156" fillId="0" borderId="13" xfId="3" applyNumberFormat="1" applyFont="1" applyBorder="1"/>
    <xf numFmtId="169" fontId="156" fillId="0" borderId="13" xfId="0" applyNumberFormat="1" applyFont="1" applyBorder="1"/>
    <xf numFmtId="0" fontId="156" fillId="123" borderId="13" xfId="0" applyFont="1" applyFill="1" applyBorder="1" applyAlignment="1">
      <alignment horizontal="left"/>
    </xf>
    <xf numFmtId="0" fontId="156" fillId="123" borderId="56" xfId="0" applyFont="1" applyFill="1" applyBorder="1" applyAlignment="1">
      <alignment horizontal="left"/>
    </xf>
    <xf numFmtId="0" fontId="156" fillId="0" borderId="56" xfId="0" applyFont="1" applyBorder="1" applyAlignment="1">
      <alignment horizontal="left"/>
    </xf>
    <xf numFmtId="3" fontId="156" fillId="120" borderId="0" xfId="0" applyNumberFormat="1" applyFont="1" applyFill="1"/>
    <xf numFmtId="4" fontId="7" fillId="118" borderId="0" xfId="0" applyNumberFormat="1" applyFont="1" applyFill="1"/>
    <xf numFmtId="3" fontId="156" fillId="124" borderId="0" xfId="0" applyNumberFormat="1" applyFont="1" applyFill="1"/>
    <xf numFmtId="4" fontId="158" fillId="20" borderId="0" xfId="0" applyNumberFormat="1" applyFont="1" applyFill="1"/>
    <xf numFmtId="0" fontId="0" fillId="117" borderId="0" xfId="0" applyFill="1"/>
    <xf numFmtId="3" fontId="156" fillId="15" borderId="0" xfId="0" applyNumberFormat="1" applyFont="1" applyFill="1"/>
    <xf numFmtId="9" fontId="156" fillId="0" borderId="0" xfId="4" applyFont="1"/>
    <xf numFmtId="3" fontId="156" fillId="44" borderId="0" xfId="0" applyNumberFormat="1" applyFont="1" applyFill="1"/>
    <xf numFmtId="0" fontId="156" fillId="125" borderId="0" xfId="0" applyFont="1" applyFill="1"/>
    <xf numFmtId="4" fontId="158" fillId="32" borderId="0" xfId="0" applyNumberFormat="1" applyFont="1" applyFill="1"/>
    <xf numFmtId="3" fontId="156" fillId="32" borderId="0" xfId="0" applyNumberFormat="1" applyFont="1" applyFill="1"/>
    <xf numFmtId="4" fontId="59" fillId="0" borderId="0" xfId="0" applyNumberFormat="1" applyFont="1" applyAlignment="1">
      <alignment horizontal="right" vertical="top"/>
    </xf>
    <xf numFmtId="0" fontId="156" fillId="0" borderId="0" xfId="0" applyFont="1" applyAlignment="1">
      <alignment vertical="top"/>
    </xf>
    <xf numFmtId="3" fontId="156" fillId="122" borderId="0" xfId="0" applyNumberFormat="1" applyFont="1" applyFill="1"/>
    <xf numFmtId="196" fontId="156" fillId="0" borderId="0" xfId="0" applyNumberFormat="1" applyFont="1"/>
    <xf numFmtId="3" fontId="156" fillId="126" borderId="0" xfId="0" applyNumberFormat="1" applyFont="1" applyFill="1"/>
    <xf numFmtId="165" fontId="156" fillId="126" borderId="0" xfId="3" applyFont="1" applyFill="1"/>
    <xf numFmtId="169" fontId="0" fillId="32" borderId="13" xfId="0" applyNumberFormat="1" applyFill="1" applyBorder="1"/>
    <xf numFmtId="3" fontId="0" fillId="32" borderId="13" xfId="0" applyNumberFormat="1" applyFill="1" applyBorder="1"/>
    <xf numFmtId="43" fontId="156" fillId="0" borderId="13" xfId="0" applyNumberFormat="1" applyFont="1" applyBorder="1"/>
    <xf numFmtId="0" fontId="0" fillId="0" borderId="0" xfId="0" quotePrefix="1" applyAlignment="1">
      <alignment wrapText="1"/>
    </xf>
    <xf numFmtId="186" fontId="18" fillId="0" borderId="9" xfId="3" applyNumberFormat="1" applyFont="1" applyBorder="1"/>
    <xf numFmtId="186" fontId="18" fillId="32" borderId="9" xfId="3" applyNumberFormat="1" applyFont="1" applyFill="1" applyBorder="1"/>
    <xf numFmtId="3" fontId="160" fillId="0" borderId="29" xfId="0" applyNumberFormat="1" applyFont="1" applyBorder="1"/>
    <xf numFmtId="3" fontId="160" fillId="0" borderId="0" xfId="0" applyNumberFormat="1" applyFont="1"/>
    <xf numFmtId="3" fontId="75" fillId="27" borderId="1" xfId="0" applyNumberFormat="1" applyFont="1" applyFill="1" applyBorder="1"/>
    <xf numFmtId="3" fontId="75" fillId="27" borderId="2" xfId="0" applyNumberFormat="1" applyFont="1" applyFill="1" applyBorder="1"/>
    <xf numFmtId="3" fontId="75" fillId="27" borderId="0" xfId="0" applyNumberFormat="1" applyFont="1" applyFill="1"/>
    <xf numFmtId="3" fontId="75" fillId="27" borderId="3" xfId="0" applyNumberFormat="1" applyFont="1" applyFill="1" applyBorder="1"/>
    <xf numFmtId="3" fontId="160" fillId="27" borderId="0" xfId="0" applyNumberFormat="1" applyFont="1" applyFill="1"/>
    <xf numFmtId="3" fontId="3" fillId="0" borderId="0" xfId="0" applyNumberFormat="1" applyFont="1"/>
    <xf numFmtId="172" fontId="7" fillId="4" borderId="3" xfId="3" applyNumberFormat="1" applyFont="1" applyFill="1" applyBorder="1" applyAlignment="1">
      <alignment horizontal="center" vertical="center" wrapText="1"/>
    </xf>
    <xf numFmtId="172" fontId="7" fillId="4" borderId="0" xfId="3" applyNumberFormat="1" applyFont="1" applyFill="1" applyAlignment="1">
      <alignment horizontal="center" vertical="center" wrapText="1"/>
    </xf>
    <xf numFmtId="172" fontId="7" fillId="25" borderId="3" xfId="3" applyNumberFormat="1" applyFont="1" applyFill="1" applyBorder="1" applyAlignment="1">
      <alignment horizontal="center" vertical="center" wrapText="1"/>
    </xf>
    <xf numFmtId="169" fontId="7" fillId="0" borderId="0" xfId="3" applyNumberFormat="1" applyFont="1" applyAlignment="1">
      <alignment horizontal="center" vertical="center" wrapText="1"/>
    </xf>
    <xf numFmtId="172" fontId="5" fillId="27" borderId="1" xfId="3" applyNumberFormat="1" applyFont="1" applyFill="1" applyBorder="1"/>
    <xf numFmtId="172" fontId="5" fillId="27" borderId="2" xfId="3" applyNumberFormat="1" applyFont="1" applyFill="1" applyBorder="1"/>
    <xf numFmtId="172" fontId="6" fillId="3" borderId="2" xfId="3" applyNumberFormat="1" applyFont="1" applyFill="1" applyBorder="1"/>
    <xf numFmtId="172" fontId="125" fillId="0" borderId="0" xfId="3" applyNumberFormat="1" applyFont="1"/>
    <xf numFmtId="172" fontId="5" fillId="27" borderId="3" xfId="3" applyNumberFormat="1" applyFont="1" applyFill="1" applyBorder="1"/>
    <xf numFmtId="172" fontId="33" fillId="0" borderId="0" xfId="3" applyNumberFormat="1" applyFont="1"/>
    <xf numFmtId="172" fontId="5" fillId="0" borderId="1" xfId="3" applyNumberFormat="1" applyFont="1" applyBorder="1"/>
    <xf numFmtId="172" fontId="5" fillId="0" borderId="3" xfId="3" applyNumberFormat="1" applyFont="1" applyBorder="1"/>
    <xf numFmtId="3" fontId="5" fillId="0" borderId="2" xfId="0" applyNumberFormat="1" applyFont="1" applyBorder="1"/>
    <xf numFmtId="3" fontId="3" fillId="0" borderId="0" xfId="0" applyNumberFormat="1" applyFont="1" applyAlignment="1">
      <alignment horizontal="center" vertical="center" wrapText="1"/>
    </xf>
    <xf numFmtId="167" fontId="7" fillId="25" borderId="3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161" fillId="0" borderId="0" xfId="0" applyFont="1" applyAlignment="1">
      <alignment wrapText="1"/>
    </xf>
    <xf numFmtId="172" fontId="39" fillId="27" borderId="2" xfId="3" applyNumberFormat="1" applyFont="1" applyFill="1" applyBorder="1" applyAlignment="1">
      <alignment horizontal="center"/>
    </xf>
    <xf numFmtId="172" fontId="43" fillId="3" borderId="2" xfId="3" applyNumberFormat="1" applyFont="1" applyFill="1" applyBorder="1" applyAlignment="1">
      <alignment horizontal="center"/>
    </xf>
    <xf numFmtId="172" fontId="39" fillId="0" borderId="2" xfId="3" applyNumberFormat="1" applyFont="1" applyFill="1" applyBorder="1" applyAlignment="1">
      <alignment horizontal="center"/>
    </xf>
    <xf numFmtId="172" fontId="88" fillId="4" borderId="3" xfId="3" applyNumberFormat="1" applyFont="1" applyFill="1" applyBorder="1" applyAlignment="1">
      <alignment horizontal="center" vertical="center" wrapText="1"/>
    </xf>
    <xf numFmtId="172" fontId="39" fillId="27" borderId="13" xfId="3" applyNumberFormat="1" applyFont="1" applyFill="1" applyBorder="1" applyAlignment="1">
      <alignment horizontal="center"/>
    </xf>
    <xf numFmtId="172" fontId="2" fillId="25" borderId="3" xfId="3" applyNumberFormat="1" applyFont="1" applyFill="1" applyBorder="1" applyAlignment="1">
      <alignment horizontal="center" vertical="center" wrapText="1"/>
    </xf>
    <xf numFmtId="172" fontId="39" fillId="27" borderId="1" xfId="3" applyNumberFormat="1" applyFont="1" applyFill="1" applyBorder="1" applyAlignment="1">
      <alignment horizontal="center"/>
    </xf>
    <xf numFmtId="172" fontId="39" fillId="27" borderId="3" xfId="3" applyNumberFormat="1" applyFont="1" applyFill="1" applyBorder="1" applyAlignment="1">
      <alignment horizontal="center"/>
    </xf>
    <xf numFmtId="172" fontId="44" fillId="27" borderId="2" xfId="3" applyNumberFormat="1" applyFont="1" applyFill="1" applyBorder="1" applyAlignment="1"/>
    <xf numFmtId="172" fontId="38" fillId="3" borderId="2" xfId="3" applyNumberFormat="1" applyFont="1" applyFill="1" applyBorder="1" applyAlignment="1">
      <alignment horizontal="center"/>
    </xf>
    <xf numFmtId="172" fontId="44" fillId="0" borderId="2" xfId="3" applyNumberFormat="1" applyFont="1" applyBorder="1" applyAlignment="1">
      <alignment horizontal="center"/>
    </xf>
    <xf numFmtId="172" fontId="44" fillId="27" borderId="2" xfId="3" applyNumberFormat="1" applyFont="1" applyFill="1" applyBorder="1" applyAlignment="1">
      <alignment horizontal="center"/>
    </xf>
    <xf numFmtId="172" fontId="45" fillId="4" borderId="3" xfId="3" applyNumberFormat="1" applyFont="1" applyFill="1" applyBorder="1" applyAlignment="1">
      <alignment horizontal="center" vertical="center" wrapText="1"/>
    </xf>
    <xf numFmtId="172" fontId="44" fillId="27" borderId="13" xfId="3" applyNumberFormat="1" applyFont="1" applyFill="1" applyBorder="1" applyAlignment="1">
      <alignment horizontal="center"/>
    </xf>
    <xf numFmtId="172" fontId="44" fillId="27" borderId="1" xfId="3" applyNumberFormat="1" applyFont="1" applyFill="1" applyBorder="1" applyAlignment="1">
      <alignment horizontal="center"/>
    </xf>
    <xf numFmtId="172" fontId="44" fillId="27" borderId="3" xfId="3" applyNumberFormat="1" applyFont="1" applyFill="1" applyBorder="1" applyAlignment="1">
      <alignment horizontal="center"/>
    </xf>
    <xf numFmtId="172" fontId="44" fillId="27" borderId="2" xfId="3" applyNumberFormat="1" applyFont="1" applyFill="1" applyBorder="1" applyAlignment="1">
      <alignment vertical="center"/>
    </xf>
    <xf numFmtId="172" fontId="44" fillId="0" borderId="2" xfId="3" applyNumberFormat="1" applyFont="1" applyFill="1" applyBorder="1" applyAlignment="1">
      <alignment vertical="center"/>
    </xf>
    <xf numFmtId="172" fontId="44" fillId="0" borderId="13" xfId="3" applyNumberFormat="1" applyFont="1" applyBorder="1" applyAlignment="1">
      <alignment horizontal="center"/>
    </xf>
    <xf numFmtId="172" fontId="44" fillId="0" borderId="1" xfId="3" applyNumberFormat="1" applyFont="1" applyFill="1" applyBorder="1" applyAlignment="1">
      <alignment vertical="center"/>
    </xf>
    <xf numFmtId="172" fontId="44" fillId="0" borderId="3" xfId="3" applyNumberFormat="1" applyFont="1" applyFill="1" applyBorder="1" applyAlignment="1">
      <alignment vertical="center"/>
    </xf>
    <xf numFmtId="172" fontId="39" fillId="0" borderId="13" xfId="3" applyNumberFormat="1" applyFont="1" applyFill="1" applyBorder="1" applyAlignment="1">
      <alignment horizontal="center"/>
    </xf>
    <xf numFmtId="172" fontId="39" fillId="0" borderId="18" xfId="3" applyNumberFormat="1" applyFont="1" applyFill="1" applyBorder="1" applyAlignment="1">
      <alignment horizontal="center"/>
    </xf>
    <xf numFmtId="172" fontId="39" fillId="0" borderId="19" xfId="3" applyNumberFormat="1" applyFont="1" applyFill="1" applyBorder="1" applyAlignment="1">
      <alignment horizontal="center"/>
    </xf>
    <xf numFmtId="172" fontId="32" fillId="0" borderId="0" xfId="3" applyNumberFormat="1" applyFont="1"/>
    <xf numFmtId="172" fontId="125" fillId="0" borderId="0" xfId="0" applyNumberFormat="1" applyFont="1"/>
    <xf numFmtId="172" fontId="131" fillId="0" borderId="0" xfId="0" applyNumberFormat="1" applyFont="1" applyAlignment="1">
      <alignment horizontal="center"/>
    </xf>
    <xf numFmtId="172" fontId="131" fillId="0" borderId="0" xfId="0" applyNumberFormat="1" applyFont="1"/>
    <xf numFmtId="43" fontId="37" fillId="0" borderId="0" xfId="0" applyNumberFormat="1" applyFont="1"/>
    <xf numFmtId="43" fontId="66" fillId="0" borderId="0" xfId="0" applyNumberFormat="1" applyFont="1"/>
    <xf numFmtId="188" fontId="0" fillId="32" borderId="0" xfId="0" applyNumberFormat="1" applyFill="1" applyAlignment="1">
      <alignment horizontal="right" vertical="top"/>
    </xf>
    <xf numFmtId="169" fontId="0" fillId="32" borderId="0" xfId="3" applyNumberFormat="1" applyFont="1" applyFill="1" applyAlignment="1">
      <alignment horizontal="right" vertical="top"/>
    </xf>
    <xf numFmtId="186" fontId="21" fillId="14" borderId="32" xfId="3" applyNumberFormat="1" applyFont="1" applyFill="1" applyBorder="1"/>
    <xf numFmtId="176" fontId="66" fillId="32" borderId="2" xfId="1" applyNumberFormat="1" applyFont="1" applyFill="1" applyBorder="1" applyAlignment="1"/>
    <xf numFmtId="4" fontId="0" fillId="0" borderId="0" xfId="0" quotePrefix="1" applyNumberFormat="1"/>
    <xf numFmtId="3" fontId="22" fillId="0" borderId="0" xfId="0" applyNumberFormat="1" applyFont="1" applyAlignment="1">
      <alignment horizontal="center"/>
    </xf>
    <xf numFmtId="0" fontId="22" fillId="0" borderId="18" xfId="0" applyFont="1" applyBorder="1" applyAlignment="1">
      <alignment horizontal="center"/>
    </xf>
    <xf numFmtId="0" fontId="22" fillId="0" borderId="22" xfId="0" applyFont="1" applyBorder="1" applyAlignment="1">
      <alignment horizontal="center"/>
    </xf>
    <xf numFmtId="0" fontId="7" fillId="4" borderId="1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19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0" fontId="7" fillId="4" borderId="22" xfId="0" applyFont="1" applyFill="1" applyBorder="1" applyAlignment="1">
      <alignment horizontal="center" vertical="center" wrapText="1"/>
    </xf>
    <xf numFmtId="0" fontId="34" fillId="0" borderId="2" xfId="0" applyFont="1" applyBorder="1" applyAlignment="1">
      <alignment horizontal="center"/>
    </xf>
    <xf numFmtId="3" fontId="39" fillId="3" borderId="17" xfId="0" applyNumberFormat="1" applyFont="1" applyFill="1" applyBorder="1" applyAlignment="1">
      <alignment horizontal="center" vertical="center"/>
    </xf>
    <xf numFmtId="3" fontId="39" fillId="3" borderId="16" xfId="0" applyNumberFormat="1" applyFont="1" applyFill="1" applyBorder="1" applyAlignment="1">
      <alignment horizontal="center" vertical="center"/>
    </xf>
    <xf numFmtId="0" fontId="7" fillId="22" borderId="1" xfId="0" applyFont="1" applyFill="1" applyBorder="1" applyAlignment="1">
      <alignment horizontal="center" vertical="center" wrapText="1"/>
    </xf>
    <xf numFmtId="0" fontId="7" fillId="22" borderId="3" xfId="0" applyFont="1" applyFill="1" applyBorder="1" applyAlignment="1">
      <alignment horizontal="center" vertical="center" wrapText="1"/>
    </xf>
    <xf numFmtId="0" fontId="7" fillId="21" borderId="1" xfId="0" applyFont="1" applyFill="1" applyBorder="1" applyAlignment="1">
      <alignment horizontal="center" vertical="center" wrapText="1"/>
    </xf>
    <xf numFmtId="0" fontId="7" fillId="21" borderId="3" xfId="0" applyFont="1" applyFill="1" applyBorder="1" applyAlignment="1">
      <alignment horizontal="center" vertical="center" wrapText="1"/>
    </xf>
    <xf numFmtId="0" fontId="7" fillId="4" borderId="15" xfId="0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7" fillId="4" borderId="16" xfId="0" applyFont="1" applyFill="1" applyBorder="1" applyAlignment="1">
      <alignment horizontal="center" vertical="center" wrapText="1"/>
    </xf>
    <xf numFmtId="0" fontId="7" fillId="4" borderId="14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/>
    </xf>
    <xf numFmtId="0" fontId="22" fillId="0" borderId="3" xfId="0" applyFont="1" applyBorder="1" applyAlignment="1">
      <alignment horizontal="center"/>
    </xf>
    <xf numFmtId="0" fontId="139" fillId="105" borderId="95" xfId="0" applyFont="1" applyFill="1" applyBorder="1" applyAlignment="1">
      <alignment horizontal="center" vertical="center"/>
    </xf>
    <xf numFmtId="0" fontId="139" fillId="105" borderId="0" xfId="0" applyFont="1" applyFill="1" applyAlignment="1">
      <alignment horizontal="center" vertical="center"/>
    </xf>
    <xf numFmtId="0" fontId="3" fillId="107" borderId="0" xfId="0" applyFont="1" applyFill="1" applyAlignment="1">
      <alignment horizontal="center" vertical="center" wrapText="1"/>
    </xf>
    <xf numFmtId="3" fontId="39" fillId="3" borderId="23" xfId="0" applyNumberFormat="1" applyFont="1" applyFill="1" applyBorder="1" applyAlignment="1">
      <alignment horizontal="center" vertical="center"/>
    </xf>
    <xf numFmtId="3" fontId="39" fillId="3" borderId="24" xfId="0" applyNumberFormat="1" applyFont="1" applyFill="1" applyBorder="1" applyAlignment="1">
      <alignment horizontal="center" vertical="center"/>
    </xf>
    <xf numFmtId="0" fontId="36" fillId="27" borderId="34" xfId="0" applyFont="1" applyFill="1" applyBorder="1" applyAlignment="1">
      <alignment horizontal="center" vertical="center"/>
    </xf>
    <xf numFmtId="0" fontId="36" fillId="27" borderId="35" xfId="0" applyFont="1" applyFill="1" applyBorder="1" applyAlignment="1">
      <alignment horizontal="center" vertical="center"/>
    </xf>
    <xf numFmtId="0" fontId="36" fillId="27" borderId="36" xfId="0" applyFont="1" applyFill="1" applyBorder="1" applyAlignment="1">
      <alignment horizontal="center" vertical="center"/>
    </xf>
    <xf numFmtId="0" fontId="36" fillId="27" borderId="78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89" fillId="4" borderId="20" xfId="0" applyFont="1" applyFill="1" applyBorder="1" applyAlignment="1">
      <alignment horizontal="center" vertical="center" wrapText="1"/>
    </xf>
    <xf numFmtId="0" fontId="89" fillId="4" borderId="21" xfId="0" applyFont="1" applyFill="1" applyBorder="1" applyAlignment="1">
      <alignment horizontal="center" vertical="center" wrapText="1"/>
    </xf>
    <xf numFmtId="0" fontId="75" fillId="27" borderId="0" xfId="0" quotePrefix="1" applyFont="1" applyFill="1" applyAlignment="1">
      <alignment horizontal="left" vertical="top" wrapText="1"/>
    </xf>
    <xf numFmtId="0" fontId="32" fillId="27" borderId="0" xfId="0" applyFont="1" applyFill="1" applyAlignment="1">
      <alignment horizontal="left" vertical="top" wrapText="1"/>
    </xf>
    <xf numFmtId="0" fontId="66" fillId="27" borderId="0" xfId="0" quotePrefix="1" applyFont="1" applyFill="1" applyAlignment="1">
      <alignment horizontal="left" vertical="top" wrapText="1"/>
    </xf>
    <xf numFmtId="0" fontId="66" fillId="27" borderId="0" xfId="0" applyFont="1" applyFill="1" applyAlignment="1">
      <alignment horizontal="left" vertical="top" wrapText="1"/>
    </xf>
    <xf numFmtId="0" fontId="27" fillId="0" borderId="0" xfId="0" applyFont="1"/>
    <xf numFmtId="0" fontId="29" fillId="16" borderId="1" xfId="0" applyFont="1" applyFill="1" applyBorder="1" applyAlignment="1">
      <alignment horizontal="center"/>
    </xf>
    <xf numFmtId="0" fontId="29" fillId="16" borderId="2" xfId="0" applyFont="1" applyFill="1" applyBorder="1" applyAlignment="1">
      <alignment horizontal="center"/>
    </xf>
    <xf numFmtId="0" fontId="29" fillId="16" borderId="3" xfId="0" applyFont="1" applyFill="1" applyBorder="1" applyAlignment="1">
      <alignment horizontal="center"/>
    </xf>
    <xf numFmtId="0" fontId="27" fillId="0" borderId="15" xfId="0" applyFont="1" applyBorder="1"/>
    <xf numFmtId="0" fontId="27" fillId="0" borderId="19" xfId="0" applyFont="1" applyBorder="1"/>
    <xf numFmtId="0" fontId="30" fillId="17" borderId="0" xfId="0" applyFont="1" applyFill="1" applyAlignment="1">
      <alignment horizontal="center" vertical="center"/>
    </xf>
    <xf numFmtId="0" fontId="27" fillId="0" borderId="14" xfId="0" applyFont="1" applyBorder="1" applyAlignment="1">
      <alignment horizontal="center"/>
    </xf>
    <xf numFmtId="0" fontId="27" fillId="0" borderId="2" xfId="0" applyFont="1" applyBorder="1" applyAlignment="1">
      <alignment horizontal="center"/>
    </xf>
    <xf numFmtId="0" fontId="29" fillId="18" borderId="1" xfId="0" applyFont="1" applyFill="1" applyBorder="1" applyAlignment="1">
      <alignment horizontal="center"/>
    </xf>
    <xf numFmtId="0" fontId="29" fillId="18" borderId="2" xfId="0" applyFont="1" applyFill="1" applyBorder="1" applyAlignment="1">
      <alignment horizontal="center"/>
    </xf>
    <xf numFmtId="0" fontId="27" fillId="0" borderId="2" xfId="0" applyFont="1" applyBorder="1"/>
    <xf numFmtId="0" fontId="29" fillId="18" borderId="17" xfId="0" applyFont="1" applyFill="1" applyBorder="1" applyAlignment="1">
      <alignment horizontal="left"/>
    </xf>
    <xf numFmtId="0" fontId="29" fillId="18" borderId="15" xfId="0" applyFont="1" applyFill="1" applyBorder="1" applyAlignment="1">
      <alignment horizontal="left"/>
    </xf>
    <xf numFmtId="0" fontId="29" fillId="18" borderId="16" xfId="0" applyFont="1" applyFill="1" applyBorder="1" applyAlignment="1">
      <alignment horizontal="left"/>
    </xf>
    <xf numFmtId="0" fontId="29" fillId="18" borderId="1" xfId="0" applyFont="1" applyFill="1" applyBorder="1" applyAlignment="1">
      <alignment horizontal="center" wrapText="1"/>
    </xf>
    <xf numFmtId="0" fontId="29" fillId="18" borderId="2" xfId="0" applyFont="1" applyFill="1" applyBorder="1" applyAlignment="1">
      <alignment horizontal="center" wrapText="1"/>
    </xf>
    <xf numFmtId="0" fontId="29" fillId="18" borderId="0" xfId="0" applyFont="1" applyFill="1" applyAlignment="1">
      <alignment horizontal="center" wrapText="1"/>
    </xf>
    <xf numFmtId="0" fontId="27" fillId="0" borderId="19" xfId="0" applyFont="1" applyBorder="1" applyAlignment="1">
      <alignment horizontal="center"/>
    </xf>
    <xf numFmtId="0" fontId="29" fillId="18" borderId="0" xfId="0" applyFont="1" applyFill="1" applyAlignment="1">
      <alignment horizontal="center" vertical="center" wrapText="1"/>
    </xf>
    <xf numFmtId="3" fontId="119" fillId="0" borderId="99" xfId="0" applyNumberFormat="1" applyFont="1" applyBorder="1" applyAlignment="1">
      <alignment horizontal="center"/>
    </xf>
    <xf numFmtId="3" fontId="119" fillId="0" borderId="100" xfId="0" applyNumberFormat="1" applyFont="1" applyBorder="1" applyAlignment="1">
      <alignment horizontal="center"/>
    </xf>
    <xf numFmtId="3" fontId="119" fillId="0" borderId="101" xfId="0" applyNumberFormat="1" applyFont="1" applyBorder="1" applyAlignment="1">
      <alignment horizontal="center"/>
    </xf>
    <xf numFmtId="3" fontId="119" fillId="0" borderId="0" xfId="0" applyNumberFormat="1" applyFont="1" applyAlignment="1">
      <alignment horizontal="center"/>
    </xf>
    <xf numFmtId="0" fontId="124" fillId="0" borderId="0" xfId="0" applyFont="1" applyAlignment="1">
      <alignment horizontal="left" vertical="top"/>
    </xf>
    <xf numFmtId="0" fontId="125" fillId="0" borderId="0" xfId="0" applyFont="1"/>
    <xf numFmtId="0" fontId="2" fillId="2" borderId="16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155" fillId="114" borderId="17" xfId="0" applyFont="1" applyFill="1" applyBorder="1" applyAlignment="1">
      <alignment horizontal="center"/>
    </xf>
    <xf numFmtId="0" fontId="155" fillId="114" borderId="92" xfId="0" applyFont="1" applyFill="1" applyBorder="1" applyAlignment="1">
      <alignment horizontal="center"/>
    </xf>
    <xf numFmtId="169" fontId="3" fillId="0" borderId="13" xfId="3" applyNumberFormat="1" applyFont="1" applyFill="1" applyBorder="1" applyAlignment="1">
      <alignment horizontal="center"/>
    </xf>
    <xf numFmtId="0" fontId="3" fillId="0" borderId="45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</cellXfs>
  <cellStyles count="89">
    <cellStyle name="20% - Accent1" xfId="31" builtinId="30" customBuiltin="1"/>
    <cellStyle name="20% - Accent2" xfId="35" builtinId="34" customBuiltin="1"/>
    <cellStyle name="20% - Accent3" xfId="39" builtinId="38" customBuiltin="1"/>
    <cellStyle name="20% - Accent4" xfId="43" builtinId="42" customBuiltin="1"/>
    <cellStyle name="20% - Accent5" xfId="47" builtinId="46" customBuiltin="1"/>
    <cellStyle name="20% - Accent6" xfId="51" builtinId="50" customBuiltin="1"/>
    <cellStyle name="40% - Accent1" xfId="32" builtinId="31" customBuiltin="1"/>
    <cellStyle name="40% - Accent2" xfId="36" builtinId="35" customBuiltin="1"/>
    <cellStyle name="40% - Accent3" xfId="40" builtinId="39" customBuiltin="1"/>
    <cellStyle name="40% - Accent4" xfId="44" builtinId="43" customBuiltin="1"/>
    <cellStyle name="40% - Accent5" xfId="48" builtinId="47" customBuiltin="1"/>
    <cellStyle name="40% - Accent6" xfId="52" builtinId="51" customBuiltin="1"/>
    <cellStyle name="60% - Accent1" xfId="33" builtinId="32" customBuiltin="1"/>
    <cellStyle name="60% - Accent2" xfId="37" builtinId="36" customBuiltin="1"/>
    <cellStyle name="60% - Accent3" xfId="41" builtinId="40" customBuiltin="1"/>
    <cellStyle name="60% - Accent4" xfId="45" builtinId="44" customBuiltin="1"/>
    <cellStyle name="60% - Accent5" xfId="49" builtinId="48" customBuiltin="1"/>
    <cellStyle name="60% - Accent6" xfId="53" builtinId="52" customBuiltin="1"/>
    <cellStyle name="Accent1" xfId="30" builtinId="29" customBuiltin="1"/>
    <cellStyle name="Accent2" xfId="34" builtinId="33" customBuiltin="1"/>
    <cellStyle name="Accent3" xfId="38" builtinId="37" customBuiltin="1"/>
    <cellStyle name="Accent4" xfId="42" builtinId="41" customBuiltin="1"/>
    <cellStyle name="Accent5" xfId="46" builtinId="45" customBuiltin="1"/>
    <cellStyle name="Accent6" xfId="50" builtinId="49" customBuiltin="1"/>
    <cellStyle name="Bad" xfId="19" builtinId="27" customBuiltin="1"/>
    <cellStyle name="Calculation" xfId="23" builtinId="22" customBuiltin="1"/>
    <cellStyle name="Check Cell" xfId="25" builtinId="23" customBuiltin="1"/>
    <cellStyle name="Comma" xfId="3" builtinId="3"/>
    <cellStyle name="Comma 2" xfId="2" xr:uid="{8F8FC6A2-2D66-4644-B12F-37047D9D35F6}"/>
    <cellStyle name="Comma 2 2" xfId="5" xr:uid="{5932CA5D-816A-4CCF-A569-F6DDBE754D40}"/>
    <cellStyle name="Comma 2 2 2" xfId="73" xr:uid="{61C1C452-6074-43FB-9346-B350D0D71BF1}"/>
    <cellStyle name="Comma 2 2 2 3" xfId="87" xr:uid="{82533F66-F3F0-411B-A145-2CAD3E209E36}"/>
    <cellStyle name="Comma 2 2 3" xfId="85" xr:uid="{0B256955-723E-4C66-A533-D8DABA01A888}"/>
    <cellStyle name="Comma 2 3" xfId="71" xr:uid="{F9845129-1B21-4D34-884E-74585673C1FB}"/>
    <cellStyle name="Comma 2 4" xfId="54" xr:uid="{EDC37386-5C87-45B7-BF79-C7E4BB6C06A1}"/>
    <cellStyle name="Comma 3" xfId="8" xr:uid="{ED22C08F-490F-4F38-AAB8-7150B042178A}"/>
    <cellStyle name="Comma 3 2" xfId="11" xr:uid="{87016541-39C1-481B-8A64-33AFF627B222}"/>
    <cellStyle name="Comma 3 3" xfId="61" xr:uid="{FC479AD2-08E6-4AAE-B104-C046CEC1F95A}"/>
    <cellStyle name="Comma 4" xfId="65" xr:uid="{0F9E5E88-BF74-4525-B433-2E3A64ABF92B}"/>
    <cellStyle name="Comma 4 2" xfId="83" xr:uid="{3C06F8AD-0420-477B-BDF9-E46391B70F3E}"/>
    <cellStyle name="Comma 5" xfId="64" xr:uid="{D3246A65-C32D-4813-B8D3-16714F16ED53}"/>
    <cellStyle name="Comma 6" xfId="68" xr:uid="{A92324A2-950B-460F-98C3-A98318F5AA13}"/>
    <cellStyle name="Currency 2" xfId="9" xr:uid="{0A9351BC-A7FB-44CF-B53E-C810AE310FC0}"/>
    <cellStyle name="Currency 2 2" xfId="56" xr:uid="{FA0D16A8-4B30-4A1C-ADE1-67A4ADA83EF2}"/>
    <cellStyle name="Currency 3 2" xfId="84" xr:uid="{EFFEB66B-ABFA-4E33-8191-288A1BE732F6}"/>
    <cellStyle name="Explanatory Text" xfId="28" builtinId="53" customBuiltin="1"/>
    <cellStyle name="Good" xfId="18" builtinId="26" customBuiltin="1"/>
    <cellStyle name="Heading 1" xfId="14" builtinId="16" customBuiltin="1"/>
    <cellStyle name="Heading 2" xfId="15" builtinId="17" customBuiltin="1"/>
    <cellStyle name="Heading 3" xfId="16" builtinId="18" customBuiltin="1"/>
    <cellStyle name="Heading 4" xfId="17" builtinId="19" customBuiltin="1"/>
    <cellStyle name="Input" xfId="21" builtinId="20" customBuiltin="1"/>
    <cellStyle name="Linked Cell" xfId="24" builtinId="24" customBuiltin="1"/>
    <cellStyle name="Neutral" xfId="20" builtinId="28" customBuiltin="1"/>
    <cellStyle name="Normal" xfId="0" builtinId="0"/>
    <cellStyle name="Normal 2" xfId="1" xr:uid="{6FD08C8E-F266-467B-97A2-59311D3F8354}"/>
    <cellStyle name="Normal 2 10" xfId="58" xr:uid="{A8507272-8839-4286-AE39-BDBF79368623}"/>
    <cellStyle name="Normal 2 2" xfId="6" xr:uid="{8E0D0EB4-2BFB-46D2-98A7-1A48CC10E0A7}"/>
    <cellStyle name="Normal 2 2 2" xfId="66" xr:uid="{F1D698B8-BAE5-4BFE-B6D0-CEAFE90472B0}"/>
    <cellStyle name="Normal 2 2 3" xfId="67" xr:uid="{D06BF287-7DD2-4AD2-B833-29C2A07D663A}"/>
    <cellStyle name="Normal 2 2 4" xfId="80" xr:uid="{B810A532-B4A8-4D2E-843C-BEA4710FDAD2}"/>
    <cellStyle name="Normal 2 3" xfId="69" xr:uid="{2DFA4147-9E81-4CC5-856C-D9F752224258}"/>
    <cellStyle name="Normal 2 4" xfId="70" xr:uid="{6A16613B-59F6-42C4-9D8A-C44EF4EFFD51}"/>
    <cellStyle name="Normal 2 5" xfId="76" xr:uid="{5F97F200-B4D4-4164-B629-AD6FE67AD8EA}"/>
    <cellStyle name="Normal 3" xfId="7" xr:uid="{7719192F-AF86-4F42-994C-137683429653}"/>
    <cellStyle name="Normal 3 2" xfId="59" xr:uid="{85145A9A-E342-47C2-8F3B-B604F3E5EB52}"/>
    <cellStyle name="Normal 3 3" xfId="55" xr:uid="{7F71171B-A111-4367-AC09-653018D03F48}"/>
    <cellStyle name="Normal 3 4" xfId="79" xr:uid="{26C387FC-7F06-4FC0-9F85-4BDF5BF3B71A}"/>
    <cellStyle name="Normal 4" xfId="62" xr:uid="{405C6B7E-86F7-4398-8AF3-D83EBBC9ABBE}"/>
    <cellStyle name="Normal 4 2" xfId="72" xr:uid="{004D98A9-BE12-438B-B112-74593F6FBB98}"/>
    <cellStyle name="Normal 5 2" xfId="75" xr:uid="{EE47527A-7CF9-4EB0-AB3E-47978FCA3EE3}"/>
    <cellStyle name="Normal 8" xfId="60" xr:uid="{DA99B4F1-131B-4A4D-8B2F-DBEFBDFAD60E}"/>
    <cellStyle name="Normal 8 3 2" xfId="10" xr:uid="{609BB0B1-BDE6-4BB2-A820-4B5D22D76E6E}"/>
    <cellStyle name="Note" xfId="27" builtinId="10" customBuiltin="1"/>
    <cellStyle name="Output" xfId="22" builtinId="21" customBuiltin="1"/>
    <cellStyle name="ParaBirimi 2" xfId="82" xr:uid="{5EA85296-433E-4EDE-B6F5-E3C44150B62C}"/>
    <cellStyle name="ParaBirimi 2 4 3" xfId="86" xr:uid="{04B9991C-BECF-45CE-84F2-9456437ECF03}"/>
    <cellStyle name="ParaBirimi 2 5 2" xfId="57" xr:uid="{A8D27B58-E48A-48E2-8B74-C8694543A387}"/>
    <cellStyle name="Per cent 2" xfId="77" xr:uid="{A5160BEF-190A-4AD6-A8D5-03DFC99E28FA}"/>
    <cellStyle name="Percent" xfId="4" builtinId="5"/>
    <cellStyle name="Percent 2" xfId="78" xr:uid="{8FDBCD1C-EE95-4F7F-A4DE-63A6B4D690DF}"/>
    <cellStyle name="Percent 2 3" xfId="63" xr:uid="{DE5B011A-2EF5-4019-93E4-FE2AE3330B1A}"/>
    <cellStyle name="Title" xfId="13" builtinId="15" customBuiltin="1"/>
    <cellStyle name="Total" xfId="29" builtinId="25" customBuiltin="1"/>
    <cellStyle name="Virgül 2" xfId="88" xr:uid="{27D3158A-F24A-41E8-9C7D-0DF5F05401E3}"/>
    <cellStyle name="Warning Text" xfId="26" builtinId="11" customBuiltin="1"/>
    <cellStyle name="Yüzde 2" xfId="74" xr:uid="{36CD0614-056B-451A-95D2-6C8D5BF6B302}"/>
    <cellStyle name="Yüzde 2 2" xfId="81" xr:uid="{4B7C2FCB-F37C-4026-8B5A-E0D20D16CF06}"/>
    <cellStyle name="Yüzde 2 2 2" xfId="12" xr:uid="{4065D19B-B14D-40A5-BE0D-952199DBCDB8}"/>
  </cellStyles>
  <dxfs count="10"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4FF22E"/>
      <color rgb="FF99CCFF"/>
      <color rgb="FF67035B"/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microsoft.com/office/2017/10/relationships/person" Target="persons/person.xml"/><Relationship Id="rId50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pivotCacheDefinition" Target="pivotCache/pivotCacheDefinition1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_xlchart.v5.0</cx:f>
      </cx:strDim>
      <cx:numDim type="val">
        <cx:f>_xlchart.v5.1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tr-TR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rPr>
              <a:t>A25 VS FCST 5+7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waterfall" uniqueId="{CD1B7E51-E815-46DE-BFA8-B0EB4C74822F}">
          <cx:dataLabels pos="outEnd">
            <cx:visibility seriesName="0" categoryName="0" value="1"/>
          </cx:dataLabels>
          <cx:dataId val="0"/>
          <cx:layoutPr>
            <cx:subtotals>
              <cx:idx val="0"/>
              <cx:idx val="3"/>
              <cx:idx val="8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  <cx:fmtOvrs>
    <cx:fmtOvr idx="0">
      <cx:spPr>
        <a:solidFill>
          <a:srgbClr val="FF0000"/>
        </a:solidFill>
      </cx:spPr>
    </cx:fmtOvr>
    <cx:fmtOvr idx="1">
      <cx:spPr>
        <a:solidFill>
          <a:srgbClr val="4FF22E"/>
        </a:solidFill>
      </cx:spPr>
    </cx:fmtOvr>
    <cx:fmtOvr idx="2">
      <cx:spPr>
        <a:solidFill>
          <a:schemeClr val="tx2">
            <a:lumMod val="90000"/>
            <a:lumOff val="10000"/>
          </a:schemeClr>
        </a:solidFill>
      </cx:spPr>
    </cx:fmtOvr>
  </cx:fmtOvrs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5</xdr:col>
      <xdr:colOff>503098</xdr:colOff>
      <xdr:row>12</xdr:row>
      <xdr:rowOff>175260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567BE2-33BC-48A4-8D51-1DAF2A7223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82880"/>
          <a:ext cx="2941498" cy="21869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434340</xdr:colOff>
      <xdr:row>3</xdr:row>
      <xdr:rowOff>102870</xdr:rowOff>
    </xdr:from>
    <xdr:to>
      <xdr:col>21</xdr:col>
      <xdr:colOff>0</xdr:colOff>
      <xdr:row>18</xdr:row>
      <xdr:rowOff>167640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451F5AD-44B9-1EA3-6514-12CB8FE46F5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60820" y="651510"/>
              <a:ext cx="7490460" cy="29908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Bengisu  Sarıtürk Ceran" id="{CE542599-D0B5-4CAE-9709-44052A589582}" userId="S::bengisu.ceran@haier-europe.com::391ba851-8ab3-44d2-8db6-6f307a3c7d28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cer Lorcu" refreshedDate="45754.405308217596" createdVersion="8" refreshedVersion="8" minRefreshableVersion="3" recordCount="25" xr:uid="{12D30D8B-698C-47BD-B244-AFB8CBCC5E96}">
  <cacheSource type="worksheet">
    <worksheetSource ref="E52:F77" sheet="ACE"/>
  </cacheSource>
  <cacheFields count="2">
    <cacheField name="Cost driver" numFmtId="0">
      <sharedItems count="5">
        <s v="Direct Labor"/>
        <s v="Fixed utilities"/>
        <s v="Fixed Cost"/>
        <s v="Semifixed"/>
        <s v="Indirect Labor"/>
      </sharedItems>
    </cacheField>
    <cacheField name="January" numFmtId="177">
      <sharedItems containsSemiMixedTypes="0" containsString="0" containsNumber="1" minValue="0" maxValue="15915.94333333333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x v="0"/>
    <n v="15915.943333333335"/>
  </r>
  <r>
    <x v="0"/>
    <n v="1680.5629999999999"/>
  </r>
  <r>
    <x v="0"/>
    <n v="5885.7615739708344"/>
  </r>
  <r>
    <x v="0"/>
    <n v="0"/>
  </r>
  <r>
    <x v="0"/>
    <n v="0"/>
  </r>
  <r>
    <x v="0"/>
    <n v="0"/>
  </r>
  <r>
    <x v="0"/>
    <n v="0"/>
  </r>
  <r>
    <x v="1"/>
    <n v="72.198000000000093"/>
  </r>
  <r>
    <x v="1"/>
    <n v="0"/>
  </r>
  <r>
    <x v="1"/>
    <n v="0"/>
  </r>
  <r>
    <x v="2"/>
    <n v="1109.3145555555584"/>
  </r>
  <r>
    <x v="2"/>
    <n v="1008.9571555555584"/>
  </r>
  <r>
    <x v="2"/>
    <n v="77.738960000000006"/>
  </r>
  <r>
    <x v="3"/>
    <n v="1236.9642592592584"/>
  </r>
  <r>
    <x v="3"/>
    <n v="2083.3333333333335"/>
  </r>
  <r>
    <x v="3"/>
    <n v="2500"/>
  </r>
  <r>
    <x v="2"/>
    <n v="0"/>
  </r>
  <r>
    <x v="3"/>
    <n v="0"/>
  </r>
  <r>
    <x v="3"/>
    <n v="2250"/>
  </r>
  <r>
    <x v="3"/>
    <n v="1818.1415134102999"/>
  </r>
  <r>
    <x v="4"/>
    <n v="1818.1415134102999"/>
  </r>
  <r>
    <x v="4"/>
    <n v="1818.1415134102999"/>
  </r>
  <r>
    <x v="4"/>
    <n v="1818.1415134102999"/>
  </r>
  <r>
    <x v="4"/>
    <n v="0"/>
  </r>
  <r>
    <x v="3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4832EE-91D4-45B9-AD20-C6F78A76FED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52:J58" firstHeaderRow="1" firstDataRow="1" firstDataCol="1"/>
  <pivotFields count="2">
    <pivotField axis="axisRow" showAll="0">
      <items count="6">
        <item x="0"/>
        <item x="2"/>
        <item x="1"/>
        <item x="4"/>
        <item x="3"/>
        <item t="default"/>
      </items>
    </pivotField>
    <pivotField dataField="1" numFmtId="177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January" fld="1" baseField="0" baseItem="0" numFmtId="17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4" dT="2026-06-17T12:49:10.80" personId="{CE542599-D0B5-4CAE-9709-44052A589582}" id="{F67D933E-9776-41FA-B6F5-8A6FC9522E91}">
    <text>70 ISKUR</text>
  </threadedComment>
  <threadedComment ref="G4" dT="2026-06-17T12:52:40.92" personId="{CE542599-D0B5-4CAE-9709-44052A589582}" id="{D6E96162-EB4B-40BD-BCC2-5F0862DC0C51}">
    <text>97 ISKUR</text>
  </threadedComment>
  <threadedComment ref="F11" dT="2026-06-17T12:49:19.56" personId="{CE542599-D0B5-4CAE-9709-44052A589582}" id="{C7614883-D251-449A-A75D-3C836C20976E}">
    <text>6 ISKUR</text>
  </threadedComment>
  <threadedComment ref="G11" dT="2026-06-17T12:53:13.88" personId="{CE542599-D0B5-4CAE-9709-44052A589582}" id="{0CE32984-E19C-4C11-8625-EF9FAAE008FB}">
    <text>5 ISKUR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E11" dT="2026-03-03T10:21:04.90" personId="{CE542599-D0B5-4CAE-9709-44052A589582}" id="{5DE39F22-14FD-4CF9-9B12-92294DA7B273}">
    <text>Provision Release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820F7-CE18-439F-99AA-D0E642B7F2F2}">
  <sheetPr codeName="Sheet1">
    <tabColor rgb="FFFFC000"/>
  </sheetPr>
  <dimension ref="B1:C19"/>
  <sheetViews>
    <sheetView workbookViewId="0">
      <selection activeCell="C14" sqref="C14"/>
    </sheetView>
  </sheetViews>
  <sheetFormatPr defaultRowHeight="14.4" x14ac:dyDescent="0.3"/>
  <cols>
    <col min="3" max="3" width="75.77734375" bestFit="1" customWidth="1"/>
  </cols>
  <sheetData>
    <row r="1" spans="2:3" x14ac:dyDescent="0.3">
      <c r="B1" s="71" t="s">
        <v>14</v>
      </c>
    </row>
    <row r="2" spans="2:3" x14ac:dyDescent="0.3">
      <c r="B2" t="s">
        <v>15</v>
      </c>
      <c r="C2" t="s">
        <v>16</v>
      </c>
    </row>
    <row r="3" spans="2:3" x14ac:dyDescent="0.3">
      <c r="B3" t="s">
        <v>17</v>
      </c>
      <c r="C3" t="s">
        <v>18</v>
      </c>
    </row>
    <row r="4" spans="2:3" x14ac:dyDescent="0.3">
      <c r="B4" t="s">
        <v>19</v>
      </c>
      <c r="C4" t="s">
        <v>20</v>
      </c>
    </row>
    <row r="6" spans="2:3" x14ac:dyDescent="0.3">
      <c r="B6" t="s">
        <v>21</v>
      </c>
      <c r="C6" t="s">
        <v>22</v>
      </c>
    </row>
    <row r="7" spans="2:3" x14ac:dyDescent="0.3">
      <c r="B7" t="s">
        <v>23</v>
      </c>
      <c r="C7" t="s">
        <v>24</v>
      </c>
    </row>
    <row r="8" spans="2:3" x14ac:dyDescent="0.3">
      <c r="C8" t="s">
        <v>25</v>
      </c>
    </row>
    <row r="9" spans="2:3" x14ac:dyDescent="0.3">
      <c r="B9" t="s">
        <v>26</v>
      </c>
      <c r="C9" t="s">
        <v>27</v>
      </c>
    </row>
    <row r="11" spans="2:3" x14ac:dyDescent="0.3">
      <c r="B11" s="32" t="s">
        <v>28</v>
      </c>
    </row>
    <row r="13" spans="2:3" x14ac:dyDescent="0.3">
      <c r="B13" t="s">
        <v>29</v>
      </c>
      <c r="C13" t="s">
        <v>30</v>
      </c>
    </row>
    <row r="14" spans="2:3" x14ac:dyDescent="0.3">
      <c r="B14" t="s">
        <v>31</v>
      </c>
      <c r="C14" t="s">
        <v>32</v>
      </c>
    </row>
    <row r="15" spans="2:3" x14ac:dyDescent="0.3">
      <c r="B15" t="s">
        <v>19</v>
      </c>
      <c r="C15" t="s">
        <v>33</v>
      </c>
    </row>
    <row r="16" spans="2:3" x14ac:dyDescent="0.3">
      <c r="B16" t="s">
        <v>34</v>
      </c>
      <c r="C16" t="s">
        <v>35</v>
      </c>
    </row>
    <row r="17" spans="2:3" x14ac:dyDescent="0.3">
      <c r="B17" t="s">
        <v>36</v>
      </c>
      <c r="C17" t="s">
        <v>37</v>
      </c>
    </row>
    <row r="18" spans="2:3" x14ac:dyDescent="0.3">
      <c r="B18" t="s">
        <v>26</v>
      </c>
      <c r="C18" t="s">
        <v>38</v>
      </c>
    </row>
    <row r="19" spans="2:3" x14ac:dyDescent="0.3">
      <c r="B19" t="s">
        <v>39</v>
      </c>
      <c r="C19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B0697-7D22-4239-B441-947CB1806D71}">
  <sheetPr codeName="Sheet2">
    <tabColor rgb="FFFFC000"/>
  </sheetPr>
  <dimension ref="B2:C18"/>
  <sheetViews>
    <sheetView showGridLines="0" workbookViewId="0">
      <selection activeCell="C2" sqref="C2"/>
    </sheetView>
  </sheetViews>
  <sheetFormatPr defaultRowHeight="14.4" x14ac:dyDescent="0.3"/>
  <cols>
    <col min="2" max="2" width="15.77734375" customWidth="1"/>
    <col min="3" max="3" width="132" customWidth="1"/>
  </cols>
  <sheetData>
    <row r="2" spans="2:3" x14ac:dyDescent="0.3">
      <c r="B2" s="96" t="s">
        <v>41</v>
      </c>
      <c r="C2" s="97" t="s">
        <v>42</v>
      </c>
    </row>
    <row r="3" spans="2:3" x14ac:dyDescent="0.3">
      <c r="B3" s="97"/>
      <c r="C3" s="97"/>
    </row>
    <row r="4" spans="2:3" x14ac:dyDescent="0.3">
      <c r="B4" s="96" t="s">
        <v>43</v>
      </c>
      <c r="C4" s="97" t="s">
        <v>44</v>
      </c>
    </row>
    <row r="5" spans="2:3" x14ac:dyDescent="0.3">
      <c r="B5" s="96"/>
      <c r="C5" s="97"/>
    </row>
    <row r="6" spans="2:3" ht="28.8" x14ac:dyDescent="0.3">
      <c r="B6" s="96" t="s">
        <v>45</v>
      </c>
      <c r="C6" s="98" t="s">
        <v>46</v>
      </c>
    </row>
    <row r="7" spans="2:3" x14ac:dyDescent="0.3">
      <c r="B7" s="96"/>
      <c r="C7" s="97"/>
    </row>
    <row r="8" spans="2:3" ht="28.8" x14ac:dyDescent="0.3">
      <c r="B8" s="96" t="s">
        <v>47</v>
      </c>
      <c r="C8" s="98" t="s">
        <v>48</v>
      </c>
    </row>
    <row r="9" spans="2:3" x14ac:dyDescent="0.3">
      <c r="B9" s="96"/>
      <c r="C9" s="97"/>
    </row>
    <row r="10" spans="2:3" x14ac:dyDescent="0.3">
      <c r="B10" s="96" t="s">
        <v>49</v>
      </c>
      <c r="C10" s="97" t="s">
        <v>50</v>
      </c>
    </row>
    <row r="11" spans="2:3" x14ac:dyDescent="0.3">
      <c r="B11" s="96"/>
      <c r="C11" s="97"/>
    </row>
    <row r="12" spans="2:3" x14ac:dyDescent="0.3">
      <c r="B12" s="96" t="s">
        <v>51</v>
      </c>
      <c r="C12" s="97" t="s">
        <v>52</v>
      </c>
    </row>
    <row r="13" spans="2:3" x14ac:dyDescent="0.3">
      <c r="B13" s="96"/>
      <c r="C13" s="97"/>
    </row>
    <row r="14" spans="2:3" ht="28.8" x14ac:dyDescent="0.3">
      <c r="B14" s="96" t="s">
        <v>53</v>
      </c>
      <c r="C14" s="98" t="s">
        <v>54</v>
      </c>
    </row>
    <row r="15" spans="2:3" x14ac:dyDescent="0.3">
      <c r="B15" s="96"/>
      <c r="C15" s="97"/>
    </row>
    <row r="16" spans="2:3" x14ac:dyDescent="0.3">
      <c r="B16" s="96" t="s">
        <v>55</v>
      </c>
      <c r="C16" s="97" t="s">
        <v>56</v>
      </c>
    </row>
    <row r="17" spans="2:3" x14ac:dyDescent="0.3">
      <c r="B17" s="97"/>
      <c r="C17" s="97"/>
    </row>
    <row r="18" spans="2:3" x14ac:dyDescent="0.3">
      <c r="B18" s="96" t="s">
        <v>57</v>
      </c>
      <c r="C18" s="97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73B95-2A7A-4D7C-8483-1E8D02965F9B}">
  <sheetPr codeName="Sheet3">
    <tabColor rgb="FF0070C0"/>
  </sheetPr>
  <dimension ref="A1:Q49"/>
  <sheetViews>
    <sheetView showGridLines="0" zoomScale="70" zoomScaleNormal="70" workbookViewId="0">
      <selection activeCell="H18" sqref="H18"/>
    </sheetView>
  </sheetViews>
  <sheetFormatPr defaultRowHeight="14.4" x14ac:dyDescent="0.3"/>
  <cols>
    <col min="1" max="1" width="11.21875" style="32" customWidth="1"/>
    <col min="2" max="2" width="14.21875" style="32" bestFit="1" customWidth="1"/>
    <col min="3" max="4" width="10.21875" bestFit="1" customWidth="1"/>
    <col min="6" max="6" width="10.21875" bestFit="1" customWidth="1"/>
    <col min="15" max="15" width="10.21875" bestFit="1" customWidth="1"/>
  </cols>
  <sheetData>
    <row r="1" spans="1:17" x14ac:dyDescent="0.3">
      <c r="A1" s="81" t="s">
        <v>489</v>
      </c>
    </row>
    <row r="3" spans="1:17" x14ac:dyDescent="0.3"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7</v>
      </c>
      <c r="K3" s="1" t="s">
        <v>8</v>
      </c>
      <c r="L3" s="1" t="s">
        <v>9</v>
      </c>
      <c r="M3" s="1" t="s">
        <v>10</v>
      </c>
      <c r="N3" s="1" t="s">
        <v>11</v>
      </c>
      <c r="O3" s="1" t="s">
        <v>12</v>
      </c>
    </row>
    <row r="4" spans="1:17" x14ac:dyDescent="0.3">
      <c r="A4" s="1223" t="s">
        <v>100</v>
      </c>
      <c r="B4" s="78" t="s">
        <v>101</v>
      </c>
      <c r="C4" s="75">
        <v>236.73</v>
      </c>
      <c r="D4" s="75">
        <v>215</v>
      </c>
      <c r="E4" s="75">
        <v>132</v>
      </c>
      <c r="F4" s="75">
        <v>222</v>
      </c>
      <c r="G4" s="75">
        <v>261</v>
      </c>
      <c r="H4" s="75">
        <f>163+98</f>
        <v>261</v>
      </c>
      <c r="I4" s="75">
        <v>264</v>
      </c>
      <c r="J4" s="75">
        <v>264</v>
      </c>
      <c r="K4" s="75">
        <v>264</v>
      </c>
      <c r="L4" s="75">
        <v>242</v>
      </c>
      <c r="M4" s="75">
        <v>243</v>
      </c>
      <c r="N4" s="75">
        <v>245</v>
      </c>
      <c r="O4" s="431">
        <f>AVERAGE(C4:N4)</f>
        <v>237.47749999999999</v>
      </c>
      <c r="P4" t="s">
        <v>1025</v>
      </c>
    </row>
    <row r="5" spans="1:17" x14ac:dyDescent="0.3">
      <c r="A5" s="1224"/>
      <c r="B5" s="78" t="s">
        <v>102</v>
      </c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 t="e">
        <f t="shared" ref="O5" si="0">AVERAGE(C5:N5)</f>
        <v>#DIV/0!</v>
      </c>
    </row>
    <row r="6" spans="1:17" x14ac:dyDescent="0.3">
      <c r="A6" s="1225"/>
      <c r="B6" s="79" t="s">
        <v>67</v>
      </c>
      <c r="C6" s="77">
        <f>C4+C5</f>
        <v>236.73</v>
      </c>
      <c r="D6" s="77">
        <f t="shared" ref="D6:N6" si="1">D4+D5</f>
        <v>215</v>
      </c>
      <c r="E6" s="77">
        <f t="shared" si="1"/>
        <v>132</v>
      </c>
      <c r="F6" s="77">
        <f t="shared" si="1"/>
        <v>222</v>
      </c>
      <c r="G6" s="77">
        <f t="shared" si="1"/>
        <v>261</v>
      </c>
      <c r="H6" s="77">
        <f t="shared" si="1"/>
        <v>261</v>
      </c>
      <c r="I6" s="77">
        <f t="shared" si="1"/>
        <v>264</v>
      </c>
      <c r="J6" s="77">
        <f t="shared" si="1"/>
        <v>264</v>
      </c>
      <c r="K6" s="77">
        <f t="shared" si="1"/>
        <v>264</v>
      </c>
      <c r="L6" s="77">
        <f t="shared" si="1"/>
        <v>242</v>
      </c>
      <c r="M6" s="77">
        <f t="shared" si="1"/>
        <v>243</v>
      </c>
      <c r="N6" s="77">
        <f t="shared" si="1"/>
        <v>245</v>
      </c>
      <c r="O6" s="320">
        <f>AVERAGE(C6:N6)</f>
        <v>237.47749999999999</v>
      </c>
    </row>
    <row r="8" spans="1:17" x14ac:dyDescent="0.3">
      <c r="B8" s="80" t="s">
        <v>103</v>
      </c>
      <c r="C8" s="271"/>
      <c r="D8" s="271"/>
      <c r="E8" s="271"/>
      <c r="F8" s="271"/>
      <c r="G8" s="271"/>
      <c r="H8" s="271"/>
      <c r="I8" s="271"/>
      <c r="J8" s="271"/>
      <c r="K8" s="271"/>
      <c r="L8" s="271"/>
      <c r="M8" s="271"/>
      <c r="N8" s="271"/>
      <c r="O8" s="271" t="e">
        <f>AVERAGE(C8:N8)</f>
        <v>#DIV/0!</v>
      </c>
    </row>
    <row r="10" spans="1:17" x14ac:dyDescent="0.3">
      <c r="C10" s="1" t="s">
        <v>0</v>
      </c>
      <c r="D10" s="1" t="s">
        <v>1</v>
      </c>
      <c r="E10" s="1" t="s">
        <v>2</v>
      </c>
      <c r="F10" s="1" t="s">
        <v>3</v>
      </c>
      <c r="G10" s="1" t="s">
        <v>4</v>
      </c>
      <c r="H10" s="1" t="s">
        <v>5</v>
      </c>
      <c r="I10" s="1" t="s">
        <v>6</v>
      </c>
      <c r="J10" s="1" t="s">
        <v>7</v>
      </c>
      <c r="K10" s="1" t="s">
        <v>8</v>
      </c>
      <c r="L10" s="1" t="s">
        <v>9</v>
      </c>
      <c r="M10" s="1" t="s">
        <v>10</v>
      </c>
      <c r="N10" s="1" t="s">
        <v>11</v>
      </c>
      <c r="O10" s="1" t="s">
        <v>12</v>
      </c>
    </row>
    <row r="11" spans="1:17" x14ac:dyDescent="0.3">
      <c r="A11" s="1223" t="s">
        <v>104</v>
      </c>
      <c r="B11" s="78" t="s">
        <v>101</v>
      </c>
      <c r="C11" s="75">
        <v>85</v>
      </c>
      <c r="D11" s="75">
        <v>82</v>
      </c>
      <c r="E11" s="75">
        <v>69</v>
      </c>
      <c r="F11" s="75">
        <v>79</v>
      </c>
      <c r="G11" s="75">
        <v>82</v>
      </c>
      <c r="H11" s="75">
        <f>81+1</f>
        <v>82</v>
      </c>
      <c r="I11" s="75">
        <v>84</v>
      </c>
      <c r="J11" s="75">
        <v>84</v>
      </c>
      <c r="K11" s="75">
        <v>84</v>
      </c>
      <c r="L11" s="75">
        <v>84</v>
      </c>
      <c r="M11" s="75">
        <v>84</v>
      </c>
      <c r="N11" s="75">
        <v>84</v>
      </c>
      <c r="O11" s="75">
        <f>AVERAGE(C11:N11)</f>
        <v>81.916666666666671</v>
      </c>
    </row>
    <row r="12" spans="1:17" x14ac:dyDescent="0.3">
      <c r="A12" s="1224"/>
      <c r="B12" s="78" t="s">
        <v>102</v>
      </c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6" t="e">
        <f t="shared" ref="O12:O13" si="2">AVERAGE(C12:N12)</f>
        <v>#DIV/0!</v>
      </c>
    </row>
    <row r="13" spans="1:17" x14ac:dyDescent="0.3">
      <c r="A13" s="1225"/>
      <c r="B13" s="79" t="s">
        <v>67</v>
      </c>
      <c r="C13" s="77">
        <f>C11+C12</f>
        <v>85</v>
      </c>
      <c r="D13" s="77">
        <f t="shared" ref="D13:N13" si="3">D11+D12</f>
        <v>82</v>
      </c>
      <c r="E13" s="77">
        <f t="shared" si="3"/>
        <v>69</v>
      </c>
      <c r="F13" s="77">
        <f t="shared" si="3"/>
        <v>79</v>
      </c>
      <c r="G13" s="77">
        <f t="shared" si="3"/>
        <v>82</v>
      </c>
      <c r="H13" s="77">
        <f t="shared" si="3"/>
        <v>82</v>
      </c>
      <c r="I13" s="77">
        <f t="shared" si="3"/>
        <v>84</v>
      </c>
      <c r="J13" s="77">
        <f t="shared" si="3"/>
        <v>84</v>
      </c>
      <c r="K13" s="77">
        <f t="shared" si="3"/>
        <v>84</v>
      </c>
      <c r="L13" s="77">
        <f t="shared" si="3"/>
        <v>84</v>
      </c>
      <c r="M13" s="77">
        <f t="shared" si="3"/>
        <v>84</v>
      </c>
      <c r="N13" s="77">
        <f t="shared" si="3"/>
        <v>84</v>
      </c>
      <c r="O13" s="320">
        <f t="shared" si="2"/>
        <v>81.916666666666671</v>
      </c>
    </row>
    <row r="14" spans="1:17" x14ac:dyDescent="0.3">
      <c r="C14" s="103"/>
      <c r="D14" s="103"/>
      <c r="E14" s="103"/>
      <c r="F14" s="103"/>
      <c r="G14" s="103"/>
    </row>
    <row r="15" spans="1:17" x14ac:dyDescent="0.3"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</row>
    <row r="16" spans="1:17" x14ac:dyDescent="0.3">
      <c r="C16" s="1" t="s">
        <v>0</v>
      </c>
      <c r="D16" s="1" t="s">
        <v>1</v>
      </c>
      <c r="E16" s="1" t="s">
        <v>2</v>
      </c>
      <c r="F16" s="1" t="s">
        <v>3</v>
      </c>
      <c r="G16" s="1" t="s">
        <v>4</v>
      </c>
      <c r="H16" s="1" t="s">
        <v>5</v>
      </c>
      <c r="I16" s="1" t="s">
        <v>6</v>
      </c>
      <c r="J16" s="1" t="s">
        <v>7</v>
      </c>
      <c r="K16" s="1" t="s">
        <v>8</v>
      </c>
      <c r="L16" s="1" t="s">
        <v>9</v>
      </c>
      <c r="M16" s="1" t="s">
        <v>10</v>
      </c>
      <c r="N16" s="1" t="s">
        <v>11</v>
      </c>
      <c r="O16" s="1" t="s">
        <v>12</v>
      </c>
    </row>
    <row r="17" spans="1:15" x14ac:dyDescent="0.3">
      <c r="A17" s="1223" t="s">
        <v>106</v>
      </c>
      <c r="B17" s="78" t="s">
        <v>101</v>
      </c>
      <c r="C17" s="75">
        <v>22</v>
      </c>
      <c r="D17" s="75">
        <v>22</v>
      </c>
      <c r="E17" s="75">
        <v>22</v>
      </c>
      <c r="F17" s="75">
        <v>22</v>
      </c>
      <c r="G17" s="75">
        <v>22</v>
      </c>
      <c r="H17" s="75">
        <v>22</v>
      </c>
      <c r="I17" s="75">
        <v>22</v>
      </c>
      <c r="J17" s="75">
        <v>23</v>
      </c>
      <c r="K17" s="75">
        <v>23</v>
      </c>
      <c r="L17" s="75">
        <v>23</v>
      </c>
      <c r="M17" s="75">
        <v>23</v>
      </c>
      <c r="N17" s="75">
        <v>23</v>
      </c>
      <c r="O17" s="271">
        <f>AVERAGE(C17:N17)</f>
        <v>22.416666666666668</v>
      </c>
    </row>
    <row r="18" spans="1:15" x14ac:dyDescent="0.3">
      <c r="A18" s="1224"/>
      <c r="B18" s="78" t="s">
        <v>102</v>
      </c>
      <c r="C18" s="75">
        <v>3.5</v>
      </c>
      <c r="D18" s="75">
        <v>3.5</v>
      </c>
      <c r="E18" s="75">
        <v>3.5</v>
      </c>
      <c r="F18" s="75">
        <v>2.7</v>
      </c>
      <c r="G18" s="75">
        <v>2.7</v>
      </c>
      <c r="H18" s="75">
        <v>2.7</v>
      </c>
      <c r="I18" s="75">
        <v>3.5</v>
      </c>
      <c r="J18" s="75">
        <v>3.5</v>
      </c>
      <c r="K18" s="75">
        <v>3.5</v>
      </c>
      <c r="L18" s="75">
        <v>3.5</v>
      </c>
      <c r="M18" s="75">
        <v>3.5</v>
      </c>
      <c r="N18" s="75">
        <v>3.5</v>
      </c>
      <c r="O18" s="271">
        <f>AVERAGE(C18:N18)</f>
        <v>3.2999999999999994</v>
      </c>
    </row>
    <row r="19" spans="1:15" x14ac:dyDescent="0.3">
      <c r="A19" s="1226"/>
      <c r="B19" s="78" t="s">
        <v>105</v>
      </c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271" t="e">
        <f>AVERAGE(C19:N19)</f>
        <v>#DIV/0!</v>
      </c>
    </row>
    <row r="20" spans="1:15" x14ac:dyDescent="0.3">
      <c r="A20" s="1225"/>
      <c r="B20" s="79" t="s">
        <v>67</v>
      </c>
      <c r="C20" s="769">
        <f t="shared" ref="C20:N20" si="4">C17+C18+C19</f>
        <v>25.5</v>
      </c>
      <c r="D20" s="769">
        <f t="shared" si="4"/>
        <v>25.5</v>
      </c>
      <c r="E20" s="77">
        <f t="shared" si="4"/>
        <v>25.5</v>
      </c>
      <c r="F20" s="77">
        <f t="shared" si="4"/>
        <v>24.7</v>
      </c>
      <c r="G20" s="77">
        <f t="shared" si="4"/>
        <v>24.7</v>
      </c>
      <c r="H20" s="77">
        <f t="shared" si="4"/>
        <v>24.7</v>
      </c>
      <c r="I20" s="77">
        <f t="shared" si="4"/>
        <v>25.5</v>
      </c>
      <c r="J20" s="77">
        <f t="shared" si="4"/>
        <v>26.5</v>
      </c>
      <c r="K20" s="77">
        <f t="shared" si="4"/>
        <v>26.5</v>
      </c>
      <c r="L20" s="77">
        <f t="shared" si="4"/>
        <v>26.5</v>
      </c>
      <c r="M20" s="77">
        <f t="shared" si="4"/>
        <v>26.5</v>
      </c>
      <c r="N20" s="77">
        <f t="shared" si="4"/>
        <v>26.5</v>
      </c>
      <c r="O20" s="317">
        <f t="shared" ref="O20" si="5">AVERAGE(C20:N20)</f>
        <v>25.716666666666669</v>
      </c>
    </row>
    <row r="22" spans="1:15" x14ac:dyDescent="0.3">
      <c r="C22" s="105">
        <f>SUM(C17:C18)</f>
        <v>25.5</v>
      </c>
      <c r="D22" s="105">
        <f t="shared" ref="D22:I22" si="6">SUM(D17:D18)</f>
        <v>25.5</v>
      </c>
      <c r="E22" s="105">
        <f t="shared" si="6"/>
        <v>25.5</v>
      </c>
      <c r="F22" s="105">
        <f t="shared" si="6"/>
        <v>24.7</v>
      </c>
      <c r="G22" s="105">
        <f t="shared" si="6"/>
        <v>24.7</v>
      </c>
      <c r="H22" s="105">
        <f t="shared" si="6"/>
        <v>24.7</v>
      </c>
      <c r="I22" s="105">
        <f t="shared" si="6"/>
        <v>25.5</v>
      </c>
    </row>
    <row r="24" spans="1:15" x14ac:dyDescent="0.3">
      <c r="C24" s="1" t="s">
        <v>0</v>
      </c>
      <c r="D24" s="1" t="s">
        <v>1</v>
      </c>
      <c r="E24" s="1" t="s">
        <v>2</v>
      </c>
      <c r="F24" s="1" t="s">
        <v>3</v>
      </c>
      <c r="G24" s="1" t="s">
        <v>4</v>
      </c>
      <c r="H24" s="1" t="s">
        <v>5</v>
      </c>
      <c r="I24" s="1" t="s">
        <v>6</v>
      </c>
      <c r="J24" s="1" t="s">
        <v>107</v>
      </c>
      <c r="K24" s="1" t="s">
        <v>490</v>
      </c>
      <c r="L24" s="1" t="s">
        <v>9</v>
      </c>
      <c r="M24" s="1" t="s">
        <v>10</v>
      </c>
      <c r="N24" s="1" t="s">
        <v>11</v>
      </c>
      <c r="O24" s="1" t="s">
        <v>12</v>
      </c>
    </row>
    <row r="25" spans="1:15" x14ac:dyDescent="0.3">
      <c r="B25" s="129" t="s">
        <v>108</v>
      </c>
      <c r="C25" s="77">
        <f>+C6</f>
        <v>236.73</v>
      </c>
      <c r="D25" s="77">
        <f t="shared" ref="D25:N25" si="7">+D6</f>
        <v>215</v>
      </c>
      <c r="E25" s="77">
        <f t="shared" si="7"/>
        <v>132</v>
      </c>
      <c r="F25" s="77">
        <f t="shared" si="7"/>
        <v>222</v>
      </c>
      <c r="G25" s="77">
        <f t="shared" si="7"/>
        <v>261</v>
      </c>
      <c r="H25" s="77">
        <f t="shared" si="7"/>
        <v>261</v>
      </c>
      <c r="I25" s="77">
        <f t="shared" si="7"/>
        <v>264</v>
      </c>
      <c r="J25" s="77">
        <f t="shared" si="7"/>
        <v>264</v>
      </c>
      <c r="K25" s="77">
        <f t="shared" si="7"/>
        <v>264</v>
      </c>
      <c r="L25" s="77">
        <f t="shared" si="7"/>
        <v>242</v>
      </c>
      <c r="M25" s="77">
        <f t="shared" si="7"/>
        <v>243</v>
      </c>
      <c r="N25" s="77">
        <f t="shared" si="7"/>
        <v>245</v>
      </c>
      <c r="O25" s="499">
        <f>O6</f>
        <v>237.47749999999999</v>
      </c>
    </row>
    <row r="26" spans="1:15" x14ac:dyDescent="0.3">
      <c r="B26" s="129" t="s">
        <v>109</v>
      </c>
      <c r="C26" s="77">
        <f>+C13</f>
        <v>85</v>
      </c>
      <c r="D26" s="77">
        <f t="shared" ref="D26:N26" si="8">+D13</f>
        <v>82</v>
      </c>
      <c r="E26" s="77">
        <f t="shared" si="8"/>
        <v>69</v>
      </c>
      <c r="F26" s="77">
        <f t="shared" si="8"/>
        <v>79</v>
      </c>
      <c r="G26" s="77">
        <f t="shared" si="8"/>
        <v>82</v>
      </c>
      <c r="H26" s="77">
        <f t="shared" si="8"/>
        <v>82</v>
      </c>
      <c r="I26" s="77">
        <f t="shared" si="8"/>
        <v>84</v>
      </c>
      <c r="J26" s="77">
        <f t="shared" si="8"/>
        <v>84</v>
      </c>
      <c r="K26" s="77">
        <f t="shared" si="8"/>
        <v>84</v>
      </c>
      <c r="L26" s="77">
        <f t="shared" si="8"/>
        <v>84</v>
      </c>
      <c r="M26" s="77">
        <f t="shared" si="8"/>
        <v>84</v>
      </c>
      <c r="N26" s="77">
        <f t="shared" si="8"/>
        <v>84</v>
      </c>
      <c r="O26" s="499">
        <f t="shared" ref="O26" si="9">O13</f>
        <v>81.916666666666671</v>
      </c>
    </row>
    <row r="27" spans="1:15" x14ac:dyDescent="0.3">
      <c r="B27" s="129" t="s">
        <v>110</v>
      </c>
      <c r="C27" s="314">
        <f>C25+C26</f>
        <v>321.73</v>
      </c>
      <c r="D27" s="314">
        <f t="shared" ref="D27:O27" si="10">D25+D26</f>
        <v>297</v>
      </c>
      <c r="E27" s="314">
        <f t="shared" si="10"/>
        <v>201</v>
      </c>
      <c r="F27" s="314">
        <f t="shared" si="10"/>
        <v>301</v>
      </c>
      <c r="G27" s="314">
        <f t="shared" si="10"/>
        <v>343</v>
      </c>
      <c r="H27" s="314">
        <f t="shared" si="10"/>
        <v>343</v>
      </c>
      <c r="I27" s="314">
        <f t="shared" si="10"/>
        <v>348</v>
      </c>
      <c r="J27" s="314">
        <f t="shared" si="10"/>
        <v>348</v>
      </c>
      <c r="K27" s="314">
        <f t="shared" si="10"/>
        <v>348</v>
      </c>
      <c r="L27" s="314">
        <f t="shared" si="10"/>
        <v>326</v>
      </c>
      <c r="M27" s="314">
        <f t="shared" si="10"/>
        <v>327</v>
      </c>
      <c r="N27" s="314">
        <f t="shared" si="10"/>
        <v>329</v>
      </c>
      <c r="O27" s="500">
        <f t="shared" si="10"/>
        <v>319.39416666666665</v>
      </c>
    </row>
    <row r="29" spans="1:15" x14ac:dyDescent="0.3">
      <c r="B29" s="129" t="s">
        <v>111</v>
      </c>
      <c r="C29" s="315">
        <f>+C26/C27</f>
        <v>0.26419668666272961</v>
      </c>
      <c r="D29" s="315">
        <f t="shared" ref="D29:N29" si="11">+D26/D27</f>
        <v>0.27609427609427611</v>
      </c>
      <c r="E29" s="315">
        <f t="shared" si="11"/>
        <v>0.34328358208955223</v>
      </c>
      <c r="F29" s="315">
        <f t="shared" si="11"/>
        <v>0.26245847176079734</v>
      </c>
      <c r="G29" s="315">
        <f t="shared" si="11"/>
        <v>0.239067055393586</v>
      </c>
      <c r="H29" s="315">
        <f t="shared" si="11"/>
        <v>0.239067055393586</v>
      </c>
      <c r="I29" s="315">
        <f t="shared" si="11"/>
        <v>0.2413793103448276</v>
      </c>
      <c r="J29" s="315">
        <f t="shared" si="11"/>
        <v>0.2413793103448276</v>
      </c>
      <c r="K29" s="315">
        <f t="shared" si="11"/>
        <v>0.2413793103448276</v>
      </c>
      <c r="L29" s="315">
        <f t="shared" si="11"/>
        <v>0.25766871165644173</v>
      </c>
      <c r="M29" s="315">
        <f t="shared" si="11"/>
        <v>0.25688073394495414</v>
      </c>
      <c r="N29" s="315">
        <f t="shared" si="11"/>
        <v>0.25531914893617019</v>
      </c>
      <c r="O29" s="70"/>
    </row>
    <row r="32" spans="1:15" x14ac:dyDescent="0.3">
      <c r="A32" s="621" t="s">
        <v>505</v>
      </c>
      <c r="C32" s="1" t="s">
        <v>0</v>
      </c>
      <c r="D32" s="1" t="s">
        <v>1</v>
      </c>
      <c r="E32" s="1" t="s">
        <v>2</v>
      </c>
      <c r="F32" s="1" t="s">
        <v>3</v>
      </c>
      <c r="G32" s="1" t="s">
        <v>4</v>
      </c>
      <c r="H32" s="1" t="s">
        <v>5</v>
      </c>
      <c r="I32" s="1" t="s">
        <v>6</v>
      </c>
      <c r="J32" s="1" t="s">
        <v>7</v>
      </c>
      <c r="K32" s="1" t="s">
        <v>8</v>
      </c>
      <c r="L32" s="1" t="s">
        <v>9</v>
      </c>
      <c r="M32" s="1" t="s">
        <v>10</v>
      </c>
      <c r="N32" s="1" t="s">
        <v>11</v>
      </c>
      <c r="O32" s="1" t="s">
        <v>12</v>
      </c>
    </row>
    <row r="33" spans="1:16" x14ac:dyDescent="0.3">
      <c r="A33" s="1223" t="s">
        <v>100</v>
      </c>
      <c r="B33" s="78" t="s">
        <v>101</v>
      </c>
      <c r="C33" s="75">
        <v>244</v>
      </c>
      <c r="D33" s="75">
        <v>244</v>
      </c>
      <c r="E33" s="75">
        <v>244</v>
      </c>
      <c r="F33" s="75">
        <v>244</v>
      </c>
      <c r="G33" s="75">
        <v>247</v>
      </c>
      <c r="H33" s="75">
        <v>245</v>
      </c>
      <c r="I33" s="75">
        <v>245</v>
      </c>
      <c r="J33" s="75">
        <v>251</v>
      </c>
      <c r="K33" s="75">
        <v>252</v>
      </c>
      <c r="L33" s="75">
        <v>250</v>
      </c>
      <c r="M33" s="75">
        <v>251</v>
      </c>
      <c r="N33" s="75">
        <v>252</v>
      </c>
      <c r="O33" s="431">
        <f>AVERAGE(C33:N33)</f>
        <v>247.41666666666666</v>
      </c>
    </row>
    <row r="34" spans="1:16" x14ac:dyDescent="0.3">
      <c r="A34" s="1224"/>
      <c r="B34" s="78" t="s">
        <v>102</v>
      </c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 t="e">
        <f t="shared" ref="O34" si="12">AVERAGE(C34:N34)</f>
        <v>#DIV/0!</v>
      </c>
    </row>
    <row r="35" spans="1:16" x14ac:dyDescent="0.3">
      <c r="A35" s="1225"/>
      <c r="B35" s="79" t="s">
        <v>67</v>
      </c>
      <c r="C35" s="77">
        <f>C33+C34</f>
        <v>244</v>
      </c>
      <c r="D35" s="77">
        <f t="shared" ref="D35:N35" si="13">D33+D34</f>
        <v>244</v>
      </c>
      <c r="E35" s="77">
        <f t="shared" si="13"/>
        <v>244</v>
      </c>
      <c r="F35" s="77">
        <f t="shared" si="13"/>
        <v>244</v>
      </c>
      <c r="G35" s="77">
        <f t="shared" si="13"/>
        <v>247</v>
      </c>
      <c r="H35" s="77">
        <f t="shared" si="13"/>
        <v>245</v>
      </c>
      <c r="I35" s="77">
        <f t="shared" si="13"/>
        <v>245</v>
      </c>
      <c r="J35" s="77">
        <f t="shared" si="13"/>
        <v>251</v>
      </c>
      <c r="K35" s="77">
        <f t="shared" si="13"/>
        <v>252</v>
      </c>
      <c r="L35" s="77">
        <f t="shared" si="13"/>
        <v>250</v>
      </c>
      <c r="M35" s="77">
        <f t="shared" si="13"/>
        <v>251</v>
      </c>
      <c r="N35" s="77">
        <f t="shared" si="13"/>
        <v>252</v>
      </c>
      <c r="O35" s="320">
        <f>AVERAGE(C35:N35)</f>
        <v>247.41666666666666</v>
      </c>
    </row>
    <row r="37" spans="1:16" x14ac:dyDescent="0.3">
      <c r="B37" s="80" t="s">
        <v>103</v>
      </c>
      <c r="C37" s="271"/>
      <c r="D37" s="271"/>
      <c r="E37" s="271"/>
      <c r="F37" s="271"/>
      <c r="G37" s="271"/>
      <c r="H37" s="271"/>
      <c r="I37" s="271"/>
      <c r="J37" s="271"/>
      <c r="K37" s="271"/>
      <c r="L37" s="271"/>
      <c r="M37" s="271"/>
      <c r="N37" s="271"/>
      <c r="O37" s="271" t="e">
        <f>AVERAGE(C37:N37)</f>
        <v>#DIV/0!</v>
      </c>
    </row>
    <row r="39" spans="1:16" x14ac:dyDescent="0.3">
      <c r="A39" s="621" t="s">
        <v>505</v>
      </c>
      <c r="C39" s="1" t="s">
        <v>0</v>
      </c>
      <c r="D39" s="1" t="s">
        <v>1</v>
      </c>
      <c r="E39" s="1" t="s">
        <v>2</v>
      </c>
      <c r="F39" s="1" t="s">
        <v>3</v>
      </c>
      <c r="G39" s="1" t="s">
        <v>4</v>
      </c>
      <c r="H39" s="1" t="s">
        <v>5</v>
      </c>
      <c r="I39" s="1" t="s">
        <v>6</v>
      </c>
      <c r="J39" s="1" t="s">
        <v>7</v>
      </c>
      <c r="K39" s="1" t="s">
        <v>8</v>
      </c>
      <c r="L39" s="1" t="s">
        <v>9</v>
      </c>
      <c r="M39" s="1" t="s">
        <v>10</v>
      </c>
      <c r="N39" s="1" t="s">
        <v>11</v>
      </c>
      <c r="O39" s="1" t="s">
        <v>12</v>
      </c>
    </row>
    <row r="40" spans="1:16" x14ac:dyDescent="0.3">
      <c r="A40" s="1223" t="s">
        <v>104</v>
      </c>
      <c r="B40" s="78" t="s">
        <v>101</v>
      </c>
      <c r="C40" s="622">
        <v>85</v>
      </c>
      <c r="D40" s="622">
        <v>85</v>
      </c>
      <c r="E40" s="622">
        <v>85</v>
      </c>
      <c r="F40" s="622">
        <v>85</v>
      </c>
      <c r="G40" s="622">
        <v>85</v>
      </c>
      <c r="H40" s="622">
        <v>85</v>
      </c>
      <c r="I40" s="622">
        <v>85</v>
      </c>
      <c r="J40" s="622">
        <v>85</v>
      </c>
      <c r="K40" s="622">
        <v>85</v>
      </c>
      <c r="L40" s="622">
        <v>85</v>
      </c>
      <c r="M40" s="622">
        <v>85</v>
      </c>
      <c r="N40" s="622">
        <v>85</v>
      </c>
      <c r="O40" s="75">
        <f>AVERAGE(C40:N40)</f>
        <v>85</v>
      </c>
    </row>
    <row r="41" spans="1:16" x14ac:dyDescent="0.3">
      <c r="A41" s="1224"/>
      <c r="B41" s="78" t="s">
        <v>102</v>
      </c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 t="e">
        <f t="shared" ref="O41:O42" si="14">AVERAGE(C41:N41)</f>
        <v>#DIV/0!</v>
      </c>
    </row>
    <row r="42" spans="1:16" x14ac:dyDescent="0.3">
      <c r="A42" s="1225"/>
      <c r="B42" s="79" t="s">
        <v>67</v>
      </c>
      <c r="C42" s="623">
        <f>C40+C41</f>
        <v>85</v>
      </c>
      <c r="D42" s="623">
        <f t="shared" ref="D42:N42" si="15">D40+D41</f>
        <v>85</v>
      </c>
      <c r="E42" s="623">
        <f t="shared" si="15"/>
        <v>85</v>
      </c>
      <c r="F42" s="623">
        <f t="shared" si="15"/>
        <v>85</v>
      </c>
      <c r="G42" s="623">
        <f t="shared" si="15"/>
        <v>85</v>
      </c>
      <c r="H42" s="623">
        <f t="shared" si="15"/>
        <v>85</v>
      </c>
      <c r="I42" s="623">
        <f t="shared" si="15"/>
        <v>85</v>
      </c>
      <c r="J42" s="623">
        <f t="shared" si="15"/>
        <v>85</v>
      </c>
      <c r="K42" s="623">
        <f t="shared" si="15"/>
        <v>85</v>
      </c>
      <c r="L42" s="623">
        <f t="shared" si="15"/>
        <v>85</v>
      </c>
      <c r="M42" s="623">
        <f t="shared" si="15"/>
        <v>85</v>
      </c>
      <c r="N42" s="623">
        <f t="shared" si="15"/>
        <v>85</v>
      </c>
      <c r="O42" s="320">
        <f t="shared" si="14"/>
        <v>85</v>
      </c>
    </row>
    <row r="43" spans="1:16" x14ac:dyDescent="0.3">
      <c r="C43" s="103"/>
      <c r="D43" s="103"/>
      <c r="E43" s="103"/>
      <c r="F43" s="103"/>
      <c r="G43" s="103"/>
    </row>
    <row r="44" spans="1:16" x14ac:dyDescent="0.3"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</row>
    <row r="45" spans="1:16" x14ac:dyDescent="0.3">
      <c r="A45" s="621" t="s">
        <v>505</v>
      </c>
      <c r="C45" s="1" t="s">
        <v>0</v>
      </c>
      <c r="D45" s="1" t="s">
        <v>1</v>
      </c>
      <c r="E45" s="1" t="s">
        <v>2</v>
      </c>
      <c r="F45" s="1" t="s">
        <v>3</v>
      </c>
      <c r="G45" s="1" t="s">
        <v>4</v>
      </c>
      <c r="H45" s="1" t="s">
        <v>5</v>
      </c>
      <c r="I45" s="1" t="s">
        <v>6</v>
      </c>
      <c r="J45" s="1" t="s">
        <v>7</v>
      </c>
      <c r="K45" s="1" t="s">
        <v>8</v>
      </c>
      <c r="L45" s="1" t="s">
        <v>9</v>
      </c>
      <c r="M45" s="1" t="s">
        <v>10</v>
      </c>
      <c r="N45" s="1" t="s">
        <v>11</v>
      </c>
      <c r="O45" s="1" t="s">
        <v>12</v>
      </c>
    </row>
    <row r="46" spans="1:16" x14ac:dyDescent="0.3">
      <c r="A46" s="1223" t="s">
        <v>106</v>
      </c>
      <c r="B46" s="78" t="s">
        <v>101</v>
      </c>
      <c r="C46" s="75">
        <v>22</v>
      </c>
      <c r="D46" s="75">
        <v>22</v>
      </c>
      <c r="E46" s="75">
        <v>22</v>
      </c>
      <c r="F46" s="75">
        <v>22</v>
      </c>
      <c r="G46" s="75">
        <v>22</v>
      </c>
      <c r="H46" s="75">
        <v>22</v>
      </c>
      <c r="I46" s="75">
        <v>22</v>
      </c>
      <c r="J46" s="75">
        <v>23</v>
      </c>
      <c r="K46" s="75">
        <v>23</v>
      </c>
      <c r="L46" s="75">
        <v>23</v>
      </c>
      <c r="M46" s="75">
        <v>23</v>
      </c>
      <c r="N46" s="75">
        <v>23</v>
      </c>
      <c r="O46" s="271">
        <f>AVERAGE(C46:N46)</f>
        <v>22.416666666666668</v>
      </c>
    </row>
    <row r="47" spans="1:16" x14ac:dyDescent="0.3">
      <c r="A47" s="1224"/>
      <c r="B47" s="78" t="s">
        <v>102</v>
      </c>
      <c r="C47" s="75">
        <v>4.5</v>
      </c>
      <c r="D47" s="75">
        <v>4.5</v>
      </c>
      <c r="E47" s="75">
        <v>4.5</v>
      </c>
      <c r="F47" s="75">
        <v>4.5</v>
      </c>
      <c r="G47" s="75">
        <v>4.5</v>
      </c>
      <c r="H47" s="75">
        <v>4.5</v>
      </c>
      <c r="I47" s="75">
        <v>4.5</v>
      </c>
      <c r="J47" s="75">
        <v>4.5</v>
      </c>
      <c r="K47" s="75">
        <v>4.5</v>
      </c>
      <c r="L47" s="75">
        <v>4.5</v>
      </c>
      <c r="M47" s="75">
        <v>4.5</v>
      </c>
      <c r="N47" s="75">
        <v>4.5</v>
      </c>
      <c r="O47" s="271">
        <f>AVERAGE(C47:N47)</f>
        <v>4.5</v>
      </c>
      <c r="P47" t="s">
        <v>506</v>
      </c>
    </row>
    <row r="48" spans="1:16" x14ac:dyDescent="0.3">
      <c r="A48" s="1226"/>
      <c r="B48" s="78" t="s">
        <v>105</v>
      </c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271" t="e">
        <f>AVERAGE(C48:N48)</f>
        <v>#DIV/0!</v>
      </c>
    </row>
    <row r="49" spans="1:15" x14ac:dyDescent="0.3">
      <c r="A49" s="1225"/>
      <c r="B49" s="79" t="s">
        <v>67</v>
      </c>
      <c r="C49" s="77">
        <f t="shared" ref="C49:N49" si="16">C46+C47+C48</f>
        <v>26.5</v>
      </c>
      <c r="D49" s="77">
        <f t="shared" si="16"/>
        <v>26.5</v>
      </c>
      <c r="E49" s="77">
        <f t="shared" si="16"/>
        <v>26.5</v>
      </c>
      <c r="F49" s="77">
        <f t="shared" si="16"/>
        <v>26.5</v>
      </c>
      <c r="G49" s="77">
        <f t="shared" si="16"/>
        <v>26.5</v>
      </c>
      <c r="H49" s="77">
        <f t="shared" si="16"/>
        <v>26.5</v>
      </c>
      <c r="I49" s="77">
        <f t="shared" si="16"/>
        <v>26.5</v>
      </c>
      <c r="J49" s="77">
        <f t="shared" si="16"/>
        <v>27.5</v>
      </c>
      <c r="K49" s="77">
        <f t="shared" si="16"/>
        <v>27.5</v>
      </c>
      <c r="L49" s="77">
        <f t="shared" si="16"/>
        <v>27.5</v>
      </c>
      <c r="M49" s="77">
        <f t="shared" si="16"/>
        <v>27.5</v>
      </c>
      <c r="N49" s="77">
        <f t="shared" si="16"/>
        <v>27.5</v>
      </c>
      <c r="O49" s="317">
        <f t="shared" ref="O49" si="17">AVERAGE(C49:N49)</f>
        <v>26.916666666666668</v>
      </c>
    </row>
  </sheetData>
  <mergeCells count="6">
    <mergeCell ref="A33:A35"/>
    <mergeCell ref="A40:A42"/>
    <mergeCell ref="A46:A49"/>
    <mergeCell ref="A4:A6"/>
    <mergeCell ref="A11:A13"/>
    <mergeCell ref="A17:A20"/>
  </mergeCells>
  <phoneticPr fontId="47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6C27C-21FE-45F0-B3B2-B175129D6449}">
  <sheetPr codeName="Sheet4">
    <tabColor rgb="FF002060"/>
  </sheetPr>
  <dimension ref="B2:M14"/>
  <sheetViews>
    <sheetView showGridLines="0" workbookViewId="0">
      <selection activeCell="I28" sqref="I28"/>
    </sheetView>
  </sheetViews>
  <sheetFormatPr defaultRowHeight="14.4" x14ac:dyDescent="0.3"/>
  <cols>
    <col min="2" max="2" width="25.77734375" customWidth="1"/>
    <col min="7" max="7" width="6" bestFit="1" customWidth="1"/>
    <col min="8" max="8" width="2.21875" customWidth="1"/>
    <col min="10" max="10" width="2.44140625" customWidth="1"/>
    <col min="12" max="12" width="2.21875" customWidth="1"/>
    <col min="13" max="13" width="49.77734375" customWidth="1"/>
  </cols>
  <sheetData>
    <row r="2" spans="2:13" x14ac:dyDescent="0.3">
      <c r="C2" s="1227" t="s">
        <v>112</v>
      </c>
      <c r="D2" s="1228"/>
      <c r="E2" s="1228"/>
      <c r="F2" s="1228"/>
      <c r="G2" s="1228"/>
      <c r="I2" s="79" t="s">
        <v>113</v>
      </c>
      <c r="K2" s="1228" t="s">
        <v>114</v>
      </c>
    </row>
    <row r="3" spans="2:13" x14ac:dyDescent="0.3">
      <c r="C3" s="90" t="s">
        <v>13</v>
      </c>
      <c r="D3" s="90" t="s">
        <v>115</v>
      </c>
      <c r="E3" s="90" t="s">
        <v>116</v>
      </c>
      <c r="F3" s="90" t="s">
        <v>117</v>
      </c>
      <c r="G3" s="1" t="s">
        <v>114</v>
      </c>
      <c r="I3" s="1" t="s">
        <v>114</v>
      </c>
      <c r="K3" s="1228"/>
      <c r="M3" s="72" t="s">
        <v>118</v>
      </c>
    </row>
    <row r="4" spans="2:13" x14ac:dyDescent="0.3">
      <c r="B4" s="91" t="s">
        <v>119</v>
      </c>
      <c r="C4" s="75"/>
      <c r="D4" s="75"/>
      <c r="E4" s="75"/>
      <c r="F4" s="75"/>
      <c r="G4" s="92">
        <f>SUM(C4:F4)</f>
        <v>0</v>
      </c>
      <c r="I4" s="93"/>
      <c r="K4" s="93">
        <f>G4+I4</f>
        <v>0</v>
      </c>
      <c r="M4" s="94"/>
    </row>
    <row r="5" spans="2:13" x14ac:dyDescent="0.3">
      <c r="B5" s="91" t="s">
        <v>120</v>
      </c>
      <c r="C5" s="75"/>
      <c r="D5" s="75"/>
      <c r="E5" s="75"/>
      <c r="F5" s="75"/>
      <c r="G5" s="92">
        <f t="shared" ref="G5:G13" si="0">SUM(C5:F5)</f>
        <v>0</v>
      </c>
      <c r="I5" s="93"/>
      <c r="K5" s="93">
        <f t="shared" ref="K5:K13" si="1">G5+I5</f>
        <v>0</v>
      </c>
      <c r="M5" s="94"/>
    </row>
    <row r="6" spans="2:13" x14ac:dyDescent="0.3">
      <c r="B6" s="91" t="s">
        <v>121</v>
      </c>
      <c r="C6" s="75"/>
      <c r="D6" s="75"/>
      <c r="E6" s="75"/>
      <c r="F6" s="75"/>
      <c r="G6" s="92">
        <f t="shared" si="0"/>
        <v>0</v>
      </c>
      <c r="I6" s="93"/>
      <c r="K6" s="93">
        <f t="shared" si="1"/>
        <v>0</v>
      </c>
      <c r="M6" s="94"/>
    </row>
    <row r="7" spans="2:13" x14ac:dyDescent="0.3">
      <c r="B7" s="91" t="s">
        <v>122</v>
      </c>
      <c r="C7" s="75"/>
      <c r="D7" s="75"/>
      <c r="E7" s="75"/>
      <c r="F7" s="75"/>
      <c r="G7" s="92">
        <f t="shared" si="0"/>
        <v>0</v>
      </c>
      <c r="I7" s="93"/>
      <c r="K7" s="93">
        <f t="shared" si="1"/>
        <v>0</v>
      </c>
      <c r="M7" s="94"/>
    </row>
    <row r="8" spans="2:13" x14ac:dyDescent="0.3">
      <c r="B8" s="91" t="s">
        <v>123</v>
      </c>
      <c r="C8" s="75"/>
      <c r="D8" s="75"/>
      <c r="E8" s="75"/>
      <c r="F8" s="75"/>
      <c r="G8" s="92">
        <f t="shared" si="0"/>
        <v>0</v>
      </c>
      <c r="I8" s="93"/>
      <c r="K8" s="93">
        <f t="shared" si="1"/>
        <v>0</v>
      </c>
      <c r="M8" s="94"/>
    </row>
    <row r="9" spans="2:13" x14ac:dyDescent="0.3">
      <c r="B9" s="91" t="s">
        <v>124</v>
      </c>
      <c r="C9" s="75"/>
      <c r="D9" s="75"/>
      <c r="E9" s="75"/>
      <c r="F9" s="75"/>
      <c r="G9" s="92">
        <f t="shared" si="0"/>
        <v>0</v>
      </c>
      <c r="I9" s="93"/>
      <c r="K9" s="93">
        <f t="shared" si="1"/>
        <v>0</v>
      </c>
      <c r="M9" s="94"/>
    </row>
    <row r="10" spans="2:13" x14ac:dyDescent="0.3">
      <c r="B10" s="91" t="s">
        <v>125</v>
      </c>
      <c r="C10" s="75"/>
      <c r="D10" s="75"/>
      <c r="E10" s="75"/>
      <c r="F10" s="75"/>
      <c r="G10" s="92">
        <f t="shared" si="0"/>
        <v>0</v>
      </c>
      <c r="I10" s="93"/>
      <c r="K10" s="93">
        <f t="shared" si="1"/>
        <v>0</v>
      </c>
      <c r="M10" s="94"/>
    </row>
    <row r="11" spans="2:13" x14ac:dyDescent="0.3">
      <c r="B11" s="91" t="s">
        <v>126</v>
      </c>
      <c r="C11" s="75"/>
      <c r="D11" s="75"/>
      <c r="E11" s="75"/>
      <c r="F11" s="75"/>
      <c r="G11" s="92">
        <f t="shared" si="0"/>
        <v>0</v>
      </c>
      <c r="I11" s="93"/>
      <c r="K11" s="93">
        <f t="shared" si="1"/>
        <v>0</v>
      </c>
      <c r="M11" s="94"/>
    </row>
    <row r="12" spans="2:13" x14ac:dyDescent="0.3">
      <c r="B12" s="91" t="s">
        <v>127</v>
      </c>
      <c r="C12" s="75"/>
      <c r="D12" s="75"/>
      <c r="E12" s="75"/>
      <c r="F12" s="75"/>
      <c r="G12" s="92">
        <f t="shared" si="0"/>
        <v>0</v>
      </c>
      <c r="I12" s="93"/>
      <c r="K12" s="93">
        <f t="shared" si="1"/>
        <v>0</v>
      </c>
      <c r="M12" s="94"/>
    </row>
    <row r="13" spans="2:13" x14ac:dyDescent="0.3">
      <c r="B13" s="91" t="s">
        <v>128</v>
      </c>
      <c r="C13" s="75"/>
      <c r="D13" s="75"/>
      <c r="E13" s="75"/>
      <c r="F13" s="75"/>
      <c r="G13" s="92">
        <f t="shared" si="0"/>
        <v>0</v>
      </c>
      <c r="I13" s="93"/>
      <c r="K13" s="93">
        <f t="shared" si="1"/>
        <v>0</v>
      </c>
      <c r="M13" s="94"/>
    </row>
    <row r="14" spans="2:13" x14ac:dyDescent="0.3">
      <c r="B14" s="95" t="s">
        <v>129</v>
      </c>
      <c r="C14" s="79">
        <f>SUM(C4:C13)</f>
        <v>0</v>
      </c>
      <c r="D14" s="79">
        <f t="shared" ref="D14:K14" si="2">SUM(D4:D13)</f>
        <v>0</v>
      </c>
      <c r="E14" s="79">
        <f t="shared" si="2"/>
        <v>0</v>
      </c>
      <c r="F14" s="79">
        <f t="shared" si="2"/>
        <v>0</v>
      </c>
      <c r="G14" s="79">
        <f t="shared" si="2"/>
        <v>0</v>
      </c>
      <c r="I14" s="79">
        <f t="shared" si="2"/>
        <v>0</v>
      </c>
      <c r="K14" s="79">
        <f t="shared" si="2"/>
        <v>0</v>
      </c>
      <c r="M14" s="94"/>
    </row>
  </sheetData>
  <mergeCells count="2">
    <mergeCell ref="C2:G2"/>
    <mergeCell ref="K2:K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CAE80-0B62-4F21-85CA-42C706C3921A}">
  <sheetPr codeName="Sheet5">
    <tabColor rgb="FF0070C0"/>
  </sheetPr>
  <dimension ref="I2:J13"/>
  <sheetViews>
    <sheetView workbookViewId="0">
      <selection activeCell="J2" sqref="J2:J12"/>
    </sheetView>
  </sheetViews>
  <sheetFormatPr defaultRowHeight="14.4" x14ac:dyDescent="0.3"/>
  <sheetData>
    <row r="2" spans="9:10" x14ac:dyDescent="0.3">
      <c r="I2" s="1229" t="s">
        <v>507</v>
      </c>
      <c r="J2" t="s">
        <v>508</v>
      </c>
    </row>
    <row r="3" spans="9:10" x14ac:dyDescent="0.3">
      <c r="I3" s="1229"/>
      <c r="J3" t="s">
        <v>509</v>
      </c>
    </row>
    <row r="4" spans="9:10" x14ac:dyDescent="0.3">
      <c r="I4" s="1229"/>
      <c r="J4" t="s">
        <v>510</v>
      </c>
    </row>
    <row r="5" spans="9:10" x14ac:dyDescent="0.3">
      <c r="I5" s="1229"/>
      <c r="J5" t="s">
        <v>511</v>
      </c>
    </row>
    <row r="6" spans="9:10" x14ac:dyDescent="0.3">
      <c r="I6" s="1229"/>
      <c r="J6" t="s">
        <v>512</v>
      </c>
    </row>
    <row r="7" spans="9:10" x14ac:dyDescent="0.3">
      <c r="I7" s="1229"/>
      <c r="J7" t="s">
        <v>513</v>
      </c>
    </row>
    <row r="8" spans="9:10" x14ac:dyDescent="0.3">
      <c r="I8" s="1229"/>
      <c r="J8" t="s">
        <v>514</v>
      </c>
    </row>
    <row r="9" spans="9:10" x14ac:dyDescent="0.3">
      <c r="I9" s="1229"/>
      <c r="J9" t="s">
        <v>515</v>
      </c>
    </row>
    <row r="10" spans="9:10" x14ac:dyDescent="0.3">
      <c r="I10" s="1229"/>
      <c r="J10" t="s">
        <v>516</v>
      </c>
    </row>
    <row r="11" spans="9:10" x14ac:dyDescent="0.3">
      <c r="I11" s="1229"/>
      <c r="J11" t="s">
        <v>517</v>
      </c>
    </row>
    <row r="12" spans="9:10" x14ac:dyDescent="0.3">
      <c r="I12" s="1229"/>
      <c r="J12" t="s">
        <v>518</v>
      </c>
    </row>
    <row r="13" spans="9:10" x14ac:dyDescent="0.3">
      <c r="I13" t="s">
        <v>519</v>
      </c>
      <c r="J13" t="s">
        <v>520</v>
      </c>
    </row>
  </sheetData>
  <mergeCells count="1">
    <mergeCell ref="I2:I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AC7B1-D315-4E53-9E4D-90C9A3611FE0}">
  <sheetPr codeName="Sheet6">
    <tabColor rgb="FF0070C0"/>
  </sheetPr>
  <dimension ref="A1:W61"/>
  <sheetViews>
    <sheetView showGridLines="0" zoomScale="70" zoomScaleNormal="70" workbookViewId="0">
      <selection activeCell="G43" sqref="G43"/>
    </sheetView>
  </sheetViews>
  <sheetFormatPr defaultRowHeight="14.4" x14ac:dyDescent="0.3"/>
  <cols>
    <col min="1" max="1" width="33.77734375" bestFit="1" customWidth="1"/>
    <col min="2" max="7" width="10.33203125" bestFit="1" customWidth="1"/>
    <col min="8" max="8" width="8.77734375" bestFit="1" customWidth="1"/>
    <col min="9" max="11" width="9" bestFit="1" customWidth="1"/>
    <col min="12" max="12" width="10.33203125" bestFit="1" customWidth="1"/>
    <col min="13" max="13" width="9" bestFit="1" customWidth="1"/>
    <col min="14" max="14" width="9.6640625" bestFit="1" customWidth="1"/>
  </cols>
  <sheetData>
    <row r="1" spans="1:23" x14ac:dyDescent="0.3">
      <c r="A1" s="102" t="s">
        <v>95</v>
      </c>
      <c r="B1" s="102">
        <f>IF($V$3&gt;=B$2,1,0)</f>
        <v>1</v>
      </c>
      <c r="C1" s="102">
        <f t="shared" ref="C1:M1" si="0">IF($V$3&gt;=C$2,1,0)</f>
        <v>0</v>
      </c>
      <c r="D1" s="102">
        <f t="shared" si="0"/>
        <v>0</v>
      </c>
      <c r="E1" s="102">
        <f t="shared" si="0"/>
        <v>0</v>
      </c>
      <c r="F1" s="102">
        <f t="shared" si="0"/>
        <v>0</v>
      </c>
      <c r="G1" s="102">
        <f t="shared" si="0"/>
        <v>0</v>
      </c>
      <c r="H1" s="102">
        <f t="shared" si="0"/>
        <v>0</v>
      </c>
      <c r="I1" s="102">
        <f t="shared" si="0"/>
        <v>0</v>
      </c>
      <c r="J1" s="102">
        <f t="shared" si="0"/>
        <v>0</v>
      </c>
      <c r="K1" s="102">
        <f t="shared" si="0"/>
        <v>0</v>
      </c>
      <c r="L1" s="102">
        <f t="shared" si="0"/>
        <v>0</v>
      </c>
      <c r="M1" s="102">
        <f t="shared" si="0"/>
        <v>0</v>
      </c>
      <c r="N1" s="101"/>
    </row>
    <row r="2" spans="1:23" ht="15" thickBot="1" x14ac:dyDescent="0.35">
      <c r="A2" s="102" t="s">
        <v>176</v>
      </c>
      <c r="B2" s="102">
        <v>1</v>
      </c>
      <c r="C2" s="102">
        <v>2</v>
      </c>
      <c r="D2" s="102">
        <v>3</v>
      </c>
      <c r="E2" s="102">
        <v>4</v>
      </c>
      <c r="F2" s="102">
        <v>5</v>
      </c>
      <c r="G2" s="102">
        <v>6</v>
      </c>
      <c r="H2" s="102">
        <v>7</v>
      </c>
      <c r="I2" s="102">
        <v>8</v>
      </c>
      <c r="J2" s="102">
        <v>9</v>
      </c>
      <c r="K2" s="102">
        <v>10</v>
      </c>
      <c r="L2" s="102">
        <v>11</v>
      </c>
      <c r="M2" s="102">
        <v>12</v>
      </c>
      <c r="N2" s="101"/>
    </row>
    <row r="3" spans="1:23" ht="21.6" thickBot="1" x14ac:dyDescent="0.35">
      <c r="A3" s="102"/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1"/>
      <c r="T3" s="529" t="s">
        <v>177</v>
      </c>
      <c r="U3" s="530" t="s">
        <v>0</v>
      </c>
      <c r="V3" s="99">
        <f>VLOOKUP(U3,List!$C$2:$D$13,2,0)</f>
        <v>1</v>
      </c>
      <c r="W3" s="100">
        <f>VLOOKUP(U3,List!$C$2:$E$13,3,0)</f>
        <v>1</v>
      </c>
    </row>
    <row r="4" spans="1:23" ht="23.4" x14ac:dyDescent="0.45">
      <c r="A4" s="31" t="s">
        <v>364</v>
      </c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  <c r="L4" s="1" t="s">
        <v>10</v>
      </c>
      <c r="M4" s="1" t="s">
        <v>11</v>
      </c>
      <c r="N4" s="1" t="s">
        <v>12</v>
      </c>
      <c r="P4" s="1" t="s">
        <v>179</v>
      </c>
      <c r="Q4" s="1" t="s">
        <v>94</v>
      </c>
    </row>
    <row r="5" spans="1:23" x14ac:dyDescent="0.3">
      <c r="A5" s="10" t="s">
        <v>156</v>
      </c>
      <c r="B5" s="526">
        <v>4644.3971405777302</v>
      </c>
      <c r="C5" s="526">
        <v>5010.6745856952766</v>
      </c>
      <c r="D5" s="526">
        <v>5057.5233751080514</v>
      </c>
      <c r="E5" s="526">
        <v>4872.7557693613098</v>
      </c>
      <c r="F5" s="526">
        <v>15380.889513047947</v>
      </c>
      <c r="G5" s="526">
        <v>49280.033432983895</v>
      </c>
      <c r="H5" s="526">
        <v>49328.754781894822</v>
      </c>
      <c r="I5" s="526">
        <v>49547.307996481068</v>
      </c>
      <c r="J5" s="526">
        <v>58604.94604059984</v>
      </c>
      <c r="K5" s="526">
        <v>54442.466782263764</v>
      </c>
      <c r="L5" s="526">
        <v>52437.071332441541</v>
      </c>
      <c r="M5" s="526">
        <v>52468.258709868118</v>
      </c>
      <c r="N5" s="523">
        <f>SUM(B5:M5)</f>
        <v>401075.07946032338</v>
      </c>
      <c r="P5" s="13">
        <f>+SUMIFS(B5:M5,$B$2:$M$2,$V$3)/1000</f>
        <v>4.6443971405777305</v>
      </c>
      <c r="Q5" s="13">
        <f>+SUMIFS(B5:M5,$B$1:$M$1,$W$3)/1000</f>
        <v>4.6443971405777305</v>
      </c>
    </row>
    <row r="6" spans="1:23" x14ac:dyDescent="0.3">
      <c r="A6" s="10" t="s">
        <v>75</v>
      </c>
      <c r="B6" s="526">
        <v>0</v>
      </c>
      <c r="C6" s="526">
        <v>0</v>
      </c>
      <c r="D6" s="526">
        <v>0</v>
      </c>
      <c r="E6" s="526">
        <v>0</v>
      </c>
      <c r="F6" s="526">
        <v>0</v>
      </c>
      <c r="G6" s="526">
        <v>0</v>
      </c>
      <c r="H6" s="526">
        <v>0</v>
      </c>
      <c r="I6" s="526">
        <v>0</v>
      </c>
      <c r="J6" s="526">
        <v>0</v>
      </c>
      <c r="K6" s="526">
        <v>0</v>
      </c>
      <c r="L6" s="526">
        <v>0</v>
      </c>
      <c r="M6" s="526">
        <v>0</v>
      </c>
      <c r="N6" s="523">
        <f t="shared" ref="N6:N19" si="1">SUM(B6:M6)</f>
        <v>0</v>
      </c>
      <c r="P6" s="13">
        <f t="shared" ref="P6:P9" si="2">+SUMIFS(B6:M6,$B$2:$M$2,$V$3)/1000</f>
        <v>0</v>
      </c>
      <c r="Q6" s="13">
        <f t="shared" ref="Q6:Q9" si="3">+SUMIFS(B6:M6,$B$1:$M$1,$W$3)/1000</f>
        <v>0</v>
      </c>
    </row>
    <row r="7" spans="1:23" x14ac:dyDescent="0.3">
      <c r="A7" s="14" t="s">
        <v>76</v>
      </c>
      <c r="B7" s="526">
        <v>0</v>
      </c>
      <c r="C7" s="526">
        <v>0</v>
      </c>
      <c r="D7" s="526">
        <v>0</v>
      </c>
      <c r="E7" s="526">
        <v>6811.5</v>
      </c>
      <c r="F7" s="526">
        <v>5019</v>
      </c>
      <c r="G7" s="526">
        <v>7528.5</v>
      </c>
      <c r="H7" s="526">
        <v>6094.5</v>
      </c>
      <c r="I7" s="526">
        <v>5557.5</v>
      </c>
      <c r="J7" s="526">
        <v>7780.5</v>
      </c>
      <c r="K7" s="526">
        <v>6669</v>
      </c>
      <c r="L7" s="526">
        <v>7410</v>
      </c>
      <c r="M7" s="526">
        <v>5570.25</v>
      </c>
      <c r="N7" s="523">
        <f t="shared" si="1"/>
        <v>58440.75</v>
      </c>
      <c r="P7" s="13">
        <f t="shared" si="2"/>
        <v>0</v>
      </c>
      <c r="Q7" s="13">
        <f t="shared" si="3"/>
        <v>0</v>
      </c>
    </row>
    <row r="8" spans="1:23" x14ac:dyDescent="0.3">
      <c r="A8" s="14" t="s">
        <v>77</v>
      </c>
      <c r="B8" s="526">
        <v>0</v>
      </c>
      <c r="C8" s="526">
        <v>0</v>
      </c>
      <c r="D8" s="526">
        <v>0</v>
      </c>
      <c r="E8" s="526">
        <v>0</v>
      </c>
      <c r="F8" s="526">
        <v>0</v>
      </c>
      <c r="G8" s="526">
        <v>0</v>
      </c>
      <c r="H8" s="526">
        <v>0</v>
      </c>
      <c r="I8" s="526">
        <v>0</v>
      </c>
      <c r="J8" s="526">
        <v>0</v>
      </c>
      <c r="K8" s="526">
        <v>0</v>
      </c>
      <c r="L8" s="526">
        <v>0</v>
      </c>
      <c r="M8" s="526">
        <v>0</v>
      </c>
      <c r="N8" s="523">
        <f t="shared" si="1"/>
        <v>0</v>
      </c>
      <c r="P8" s="13">
        <f t="shared" si="2"/>
        <v>0</v>
      </c>
      <c r="Q8" s="13">
        <f t="shared" si="3"/>
        <v>0</v>
      </c>
    </row>
    <row r="9" spans="1:23" x14ac:dyDescent="0.3">
      <c r="A9" s="14" t="s">
        <v>195</v>
      </c>
      <c r="B9" s="526">
        <v>1000</v>
      </c>
      <c r="C9" s="526">
        <v>1000</v>
      </c>
      <c r="D9" s="526">
        <v>1000</v>
      </c>
      <c r="E9" s="526">
        <v>1000</v>
      </c>
      <c r="F9" s="526">
        <v>1000</v>
      </c>
      <c r="G9" s="526">
        <v>1000</v>
      </c>
      <c r="H9" s="526">
        <v>1000</v>
      </c>
      <c r="I9" s="526">
        <v>1000</v>
      </c>
      <c r="J9" s="526">
        <v>1000</v>
      </c>
      <c r="K9" s="526">
        <v>1000</v>
      </c>
      <c r="L9" s="526">
        <v>1000</v>
      </c>
      <c r="M9" s="526">
        <v>1000</v>
      </c>
      <c r="N9" s="523">
        <f t="shared" si="1"/>
        <v>12000</v>
      </c>
      <c r="P9" s="13">
        <f t="shared" si="2"/>
        <v>1</v>
      </c>
      <c r="Q9" s="13">
        <f t="shared" si="3"/>
        <v>1</v>
      </c>
    </row>
    <row r="10" spans="1:23" ht="15" thickBot="1" x14ac:dyDescent="0.35">
      <c r="A10" s="15" t="s">
        <v>196</v>
      </c>
      <c r="B10" s="527">
        <f>SUM(B5:B9)</f>
        <v>5644.3971405777302</v>
      </c>
      <c r="C10" s="527">
        <f t="shared" ref="C10:M10" si="4">SUM(C5:C9)</f>
        <v>6010.6745856952766</v>
      </c>
      <c r="D10" s="527">
        <f t="shared" si="4"/>
        <v>6057.5233751080514</v>
      </c>
      <c r="E10" s="527">
        <f t="shared" si="4"/>
        <v>12684.255769361309</v>
      </c>
      <c r="F10" s="527">
        <f t="shared" si="4"/>
        <v>21399.889513047947</v>
      </c>
      <c r="G10" s="527">
        <f t="shared" si="4"/>
        <v>57808.533432983895</v>
      </c>
      <c r="H10" s="527">
        <f t="shared" si="4"/>
        <v>56423.254781894822</v>
      </c>
      <c r="I10" s="527">
        <f t="shared" si="4"/>
        <v>56104.807996481068</v>
      </c>
      <c r="J10" s="527">
        <f t="shared" si="4"/>
        <v>67385.44604059984</v>
      </c>
      <c r="K10" s="527">
        <f t="shared" si="4"/>
        <v>62111.466782263764</v>
      </c>
      <c r="L10" s="527">
        <f t="shared" si="4"/>
        <v>60847.071332441541</v>
      </c>
      <c r="M10" s="527">
        <f t="shared" si="4"/>
        <v>59038.508709868118</v>
      </c>
      <c r="N10" s="527">
        <f t="shared" si="1"/>
        <v>471515.82946032338</v>
      </c>
      <c r="P10" s="16">
        <f>SUM(P5:P9)</f>
        <v>5.6443971405777305</v>
      </c>
      <c r="Q10" s="16">
        <f>SUM(Q5:Q9)</f>
        <v>5.6443971405777305</v>
      </c>
    </row>
    <row r="11" spans="1:23" x14ac:dyDescent="0.3">
      <c r="A11" s="17" t="s">
        <v>80</v>
      </c>
      <c r="B11" s="526">
        <v>0</v>
      </c>
      <c r="C11" s="526">
        <v>0</v>
      </c>
      <c r="D11" s="526">
        <v>0</v>
      </c>
      <c r="E11" s="526">
        <v>0</v>
      </c>
      <c r="F11" s="526">
        <v>0</v>
      </c>
      <c r="G11" s="526">
        <v>0</v>
      </c>
      <c r="H11" s="526">
        <v>0</v>
      </c>
      <c r="I11" s="526">
        <v>0</v>
      </c>
      <c r="J11" s="526">
        <v>0</v>
      </c>
      <c r="K11" s="526">
        <v>0</v>
      </c>
      <c r="L11" s="526">
        <v>0</v>
      </c>
      <c r="M11" s="526">
        <v>0</v>
      </c>
      <c r="N11" s="523">
        <f t="shared" si="1"/>
        <v>0</v>
      </c>
      <c r="P11" s="13">
        <f t="shared" ref="P11:P17" si="5">+SUMIFS(B11:M11,$B$2:$M$2,$V$3)/1000</f>
        <v>0</v>
      </c>
      <c r="Q11" s="13">
        <f t="shared" ref="Q11:Q17" si="6">+SUMIFS(B11:M11,$B$1:$M$1,$W$3)/1000</f>
        <v>0</v>
      </c>
    </row>
    <row r="12" spans="1:23" x14ac:dyDescent="0.3">
      <c r="A12" s="14" t="s">
        <v>81</v>
      </c>
      <c r="B12" s="526">
        <v>0</v>
      </c>
      <c r="C12" s="526">
        <v>0</v>
      </c>
      <c r="D12" s="526">
        <v>0</v>
      </c>
      <c r="E12" s="526">
        <v>0</v>
      </c>
      <c r="F12" s="526">
        <v>0</v>
      </c>
      <c r="G12" s="526">
        <v>0</v>
      </c>
      <c r="H12" s="526">
        <v>0</v>
      </c>
      <c r="I12" s="526">
        <v>0</v>
      </c>
      <c r="J12" s="526">
        <v>0</v>
      </c>
      <c r="K12" s="526">
        <v>0</v>
      </c>
      <c r="L12" s="526">
        <v>0</v>
      </c>
      <c r="M12" s="526">
        <v>0</v>
      </c>
      <c r="N12" s="523">
        <f t="shared" si="1"/>
        <v>0</v>
      </c>
      <c r="P12" s="13">
        <f t="shared" si="5"/>
        <v>0</v>
      </c>
      <c r="Q12" s="13">
        <f t="shared" si="6"/>
        <v>0</v>
      </c>
    </row>
    <row r="13" spans="1:23" x14ac:dyDescent="0.3">
      <c r="A13" s="14" t="s">
        <v>82</v>
      </c>
      <c r="B13" s="526">
        <v>0</v>
      </c>
      <c r="C13" s="526">
        <v>0</v>
      </c>
      <c r="D13" s="526">
        <v>0</v>
      </c>
      <c r="E13" s="526">
        <v>0</v>
      </c>
      <c r="F13" s="526">
        <v>0</v>
      </c>
      <c r="G13" s="526">
        <v>0</v>
      </c>
      <c r="H13" s="526">
        <v>0</v>
      </c>
      <c r="I13" s="526">
        <v>0</v>
      </c>
      <c r="J13" s="526">
        <v>0</v>
      </c>
      <c r="K13" s="526">
        <v>0</v>
      </c>
      <c r="L13" s="526">
        <v>0</v>
      </c>
      <c r="M13" s="526">
        <v>0</v>
      </c>
      <c r="N13" s="523">
        <f t="shared" si="1"/>
        <v>0</v>
      </c>
      <c r="P13" s="13">
        <f t="shared" si="5"/>
        <v>0</v>
      </c>
      <c r="Q13" s="13">
        <f t="shared" si="6"/>
        <v>0</v>
      </c>
    </row>
    <row r="14" spans="1:23" x14ac:dyDescent="0.3">
      <c r="A14" s="14" t="s">
        <v>83</v>
      </c>
      <c r="B14" s="526">
        <v>1100</v>
      </c>
      <c r="C14" s="526">
        <v>1100</v>
      </c>
      <c r="D14" s="526">
        <v>1100</v>
      </c>
      <c r="E14" s="526">
        <v>1100</v>
      </c>
      <c r="F14" s="526">
        <v>1100</v>
      </c>
      <c r="G14" s="526">
        <v>1100</v>
      </c>
      <c r="H14" s="526">
        <v>1100</v>
      </c>
      <c r="I14" s="526">
        <v>1100</v>
      </c>
      <c r="J14" s="526">
        <v>1100</v>
      </c>
      <c r="K14" s="526">
        <v>1100</v>
      </c>
      <c r="L14" s="526">
        <v>1100</v>
      </c>
      <c r="M14" s="526">
        <v>1100</v>
      </c>
      <c r="N14" s="523">
        <f t="shared" si="1"/>
        <v>13200</v>
      </c>
      <c r="P14" s="13">
        <f t="shared" si="5"/>
        <v>1.1000000000000001</v>
      </c>
      <c r="Q14" s="13">
        <f t="shared" si="6"/>
        <v>1.1000000000000001</v>
      </c>
    </row>
    <row r="15" spans="1:23" x14ac:dyDescent="0.3">
      <c r="A15" s="14" t="s">
        <v>84</v>
      </c>
      <c r="B15" s="526">
        <v>0</v>
      </c>
      <c r="C15" s="526">
        <v>0</v>
      </c>
      <c r="D15" s="526">
        <v>0</v>
      </c>
      <c r="E15" s="526">
        <v>0</v>
      </c>
      <c r="F15" s="526">
        <v>0</v>
      </c>
      <c r="G15" s="526">
        <v>0</v>
      </c>
      <c r="H15" s="526">
        <v>0</v>
      </c>
      <c r="I15" s="526">
        <v>0</v>
      </c>
      <c r="J15" s="526">
        <v>0</v>
      </c>
      <c r="K15" s="526">
        <v>0</v>
      </c>
      <c r="L15" s="526">
        <v>0</v>
      </c>
      <c r="M15" s="526">
        <v>0</v>
      </c>
      <c r="N15" s="523">
        <f t="shared" si="1"/>
        <v>0</v>
      </c>
      <c r="P15" s="13">
        <f t="shared" si="5"/>
        <v>0</v>
      </c>
      <c r="Q15" s="13">
        <f t="shared" si="6"/>
        <v>0</v>
      </c>
    </row>
    <row r="16" spans="1:23" x14ac:dyDescent="0.3">
      <c r="A16" s="14" t="s">
        <v>85</v>
      </c>
      <c r="B16" s="526"/>
      <c r="C16" s="526"/>
      <c r="D16" s="526"/>
      <c r="E16" s="526"/>
      <c r="F16" s="526"/>
      <c r="G16" s="526"/>
      <c r="H16" s="526"/>
      <c r="I16" s="526"/>
      <c r="J16" s="526"/>
      <c r="K16" s="526"/>
      <c r="L16" s="526"/>
      <c r="M16" s="526"/>
      <c r="N16" s="523">
        <f t="shared" si="1"/>
        <v>0</v>
      </c>
      <c r="P16" s="13">
        <f t="shared" si="5"/>
        <v>0</v>
      </c>
      <c r="Q16" s="13">
        <f t="shared" si="6"/>
        <v>0</v>
      </c>
    </row>
    <row r="17" spans="1:17" x14ac:dyDescent="0.3">
      <c r="A17" s="14" t="s">
        <v>86</v>
      </c>
      <c r="B17" s="526"/>
      <c r="C17" s="526"/>
      <c r="D17" s="526"/>
      <c r="E17" s="526"/>
      <c r="F17" s="526"/>
      <c r="G17" s="526"/>
      <c r="H17" s="526"/>
      <c r="I17" s="526"/>
      <c r="J17" s="526"/>
      <c r="K17" s="526"/>
      <c r="L17" s="526"/>
      <c r="M17" s="526"/>
      <c r="N17" s="523">
        <f t="shared" si="1"/>
        <v>0</v>
      </c>
      <c r="P17" s="13">
        <f t="shared" si="5"/>
        <v>0</v>
      </c>
      <c r="Q17" s="13">
        <f t="shared" si="6"/>
        <v>0</v>
      </c>
    </row>
    <row r="18" spans="1:17" ht="15" thickBot="1" x14ac:dyDescent="0.35">
      <c r="A18" s="15" t="s">
        <v>197</v>
      </c>
      <c r="B18" s="527">
        <f>SUM(B11:B17)</f>
        <v>1100</v>
      </c>
      <c r="C18" s="527">
        <f t="shared" ref="C18:M18" si="7">SUM(C11:C17)</f>
        <v>1100</v>
      </c>
      <c r="D18" s="527">
        <f t="shared" si="7"/>
        <v>1100</v>
      </c>
      <c r="E18" s="527">
        <f t="shared" si="7"/>
        <v>1100</v>
      </c>
      <c r="F18" s="527">
        <f t="shared" si="7"/>
        <v>1100</v>
      </c>
      <c r="G18" s="527">
        <f t="shared" si="7"/>
        <v>1100</v>
      </c>
      <c r="H18" s="527">
        <f t="shared" si="7"/>
        <v>1100</v>
      </c>
      <c r="I18" s="527">
        <f t="shared" si="7"/>
        <v>1100</v>
      </c>
      <c r="J18" s="527">
        <f t="shared" si="7"/>
        <v>1100</v>
      </c>
      <c r="K18" s="527">
        <f t="shared" si="7"/>
        <v>1100</v>
      </c>
      <c r="L18" s="527">
        <f t="shared" si="7"/>
        <v>1100</v>
      </c>
      <c r="M18" s="527">
        <f t="shared" si="7"/>
        <v>1100</v>
      </c>
      <c r="N18" s="527">
        <f t="shared" si="1"/>
        <v>13200</v>
      </c>
      <c r="P18" s="16">
        <f>SUM(P11:P17)</f>
        <v>1.1000000000000001</v>
      </c>
      <c r="Q18" s="16">
        <f>SUM(Q11:Q17)</f>
        <v>1.1000000000000001</v>
      </c>
    </row>
    <row r="19" spans="1:17" x14ac:dyDescent="0.3">
      <c r="A19" s="18" t="s">
        <v>198</v>
      </c>
      <c r="B19" s="526">
        <v>0</v>
      </c>
      <c r="C19" s="526">
        <v>0</v>
      </c>
      <c r="D19" s="526">
        <v>0</v>
      </c>
      <c r="E19" s="526">
        <v>0</v>
      </c>
      <c r="F19" s="526">
        <v>0</v>
      </c>
      <c r="G19" s="526">
        <v>0</v>
      </c>
      <c r="H19" s="526">
        <v>0</v>
      </c>
      <c r="I19" s="526">
        <v>0</v>
      </c>
      <c r="J19" s="526">
        <v>0</v>
      </c>
      <c r="K19" s="526">
        <v>0</v>
      </c>
      <c r="L19" s="526">
        <v>0</v>
      </c>
      <c r="M19" s="526">
        <v>0</v>
      </c>
      <c r="N19" s="523">
        <f t="shared" si="1"/>
        <v>0</v>
      </c>
      <c r="P19" s="283">
        <f t="shared" ref="P19" si="8">+SUMIFS(B19:M19,$B$2:$M$2,$V$3)/1000</f>
        <v>0</v>
      </c>
      <c r="Q19" s="283">
        <f t="shared" ref="Q19" si="9">+SUMIFS(B19:M19,$B$1:$M$1,$W$3)/1000</f>
        <v>0</v>
      </c>
    </row>
    <row r="20" spans="1:17" ht="15" thickBot="1" x14ac:dyDescent="0.35">
      <c r="A20" s="19" t="s">
        <v>202</v>
      </c>
      <c r="B20" s="528">
        <f>SUM(B10,B18,B19)</f>
        <v>6744.3971405777302</v>
      </c>
      <c r="C20" s="528">
        <f t="shared" ref="C20:M20" si="10">SUM(C10,C18,C19)</f>
        <v>7110.6745856952766</v>
      </c>
      <c r="D20" s="528">
        <f t="shared" si="10"/>
        <v>7157.5233751080514</v>
      </c>
      <c r="E20" s="528">
        <f t="shared" si="10"/>
        <v>13784.255769361309</v>
      </c>
      <c r="F20" s="528">
        <f t="shared" si="10"/>
        <v>22499.889513047947</v>
      </c>
      <c r="G20" s="528">
        <f t="shared" si="10"/>
        <v>58908.533432983895</v>
      </c>
      <c r="H20" s="528">
        <f t="shared" si="10"/>
        <v>57523.254781894822</v>
      </c>
      <c r="I20" s="528">
        <f t="shared" si="10"/>
        <v>57204.807996481068</v>
      </c>
      <c r="J20" s="528">
        <f t="shared" si="10"/>
        <v>68485.44604059984</v>
      </c>
      <c r="K20" s="528">
        <f t="shared" si="10"/>
        <v>63211.466782263764</v>
      </c>
      <c r="L20" s="528">
        <f t="shared" si="10"/>
        <v>61947.071332441541</v>
      </c>
      <c r="M20" s="528">
        <f t="shared" si="10"/>
        <v>60138.508709868118</v>
      </c>
      <c r="N20" s="528">
        <f>SUM(B20:M20)</f>
        <v>484715.82946032338</v>
      </c>
      <c r="P20" s="20">
        <f>P18+P10+P19</f>
        <v>6.7443971405777301</v>
      </c>
      <c r="Q20" s="20">
        <f>Q18+Q10+Q19</f>
        <v>6.7443971405777301</v>
      </c>
    </row>
    <row r="21" spans="1:17" ht="15" thickBot="1" x14ac:dyDescent="0.35">
      <c r="A21" s="28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</row>
    <row r="23" spans="1:17" ht="23.4" x14ac:dyDescent="0.45">
      <c r="A23" s="31" t="s">
        <v>365</v>
      </c>
      <c r="B23" s="1" t="s">
        <v>0</v>
      </c>
      <c r="C23" s="1" t="s">
        <v>1</v>
      </c>
      <c r="D23" s="1" t="s">
        <v>2</v>
      </c>
      <c r="E23" s="1" t="s">
        <v>3</v>
      </c>
      <c r="F23" s="1" t="s">
        <v>4</v>
      </c>
      <c r="G23" s="1" t="s">
        <v>5</v>
      </c>
      <c r="H23" s="1" t="s">
        <v>6</v>
      </c>
      <c r="I23" s="1" t="s">
        <v>7</v>
      </c>
      <c r="J23" s="1" t="s">
        <v>8</v>
      </c>
      <c r="K23" s="1" t="s">
        <v>9</v>
      </c>
      <c r="L23" s="1" t="s">
        <v>10</v>
      </c>
      <c r="M23" s="1" t="s">
        <v>11</v>
      </c>
      <c r="N23" s="1" t="s">
        <v>12</v>
      </c>
      <c r="P23" s="1" t="s">
        <v>179</v>
      </c>
      <c r="Q23" s="1" t="s">
        <v>94</v>
      </c>
    </row>
    <row r="24" spans="1:17" x14ac:dyDescent="0.3">
      <c r="A24" s="10" t="s">
        <v>156</v>
      </c>
      <c r="B24" s="12">
        <f>+'ACE Details_FULL'!D25-'ACE Details_FULL'!D5+'ACE Details_FULL'!D30+'ACE Details_FULL'!D32</f>
        <v>40450.380392625753</v>
      </c>
      <c r="C24" s="12">
        <f>+SUM('ACE Details_FULL'!E25,'ACE Details_FULL'!E30,'ACE Details_FULL'!E32,'ACE Details_FULL'!E32)</f>
        <v>48560.940504502738</v>
      </c>
      <c r="D24" s="12">
        <f>+SUM('ACE Details_FULL'!F25,'ACE Details_FULL'!F30,'ACE Details_FULL'!F32)</f>
        <v>24543.182060070245</v>
      </c>
      <c r="E24" s="12">
        <f>+SUM('ACE Details_FULL'!G25,'ACE Details_FULL'!G30,'ACE Details_FULL'!G32)</f>
        <v>26853.443973683563</v>
      </c>
      <c r="F24" s="12">
        <f>SUM('ACE Details_FULL'!H25:H32)</f>
        <v>27917.877611116473</v>
      </c>
      <c r="G24" s="12">
        <f>SUM('ACE Details_FULL'!I25:I32)</f>
        <v>31020.665031166682</v>
      </c>
      <c r="H24" s="12">
        <f>+SUM('ACE Details_FULL'!J25,'ACE Details_FULL'!J30,'ACE Details_FULL'!J32)</f>
        <v>27265.033507833101</v>
      </c>
      <c r="I24" s="12">
        <f>+SUM('ACE Details_FULL'!K25,'ACE Details_FULL'!K30,'ACE Details_FULL'!K32)</f>
        <v>27115.924724503479</v>
      </c>
      <c r="J24" s="12">
        <f>+SUM('ACE Details_FULL'!L25,'ACE Details_FULL'!L30,'ACE Details_FULL'!L32)</f>
        <v>29457.764427974827</v>
      </c>
      <c r="K24" s="12">
        <f>+SUM('ACE Details_FULL'!M25,'ACE Details_FULL'!M30,'ACE Details_FULL'!M32)</f>
        <v>28696.970749395266</v>
      </c>
      <c r="L24" s="12">
        <f>+SUM('ACE Details_FULL'!N25,'ACE Details_FULL'!N30,'ACE Details_FULL'!N32)</f>
        <v>29000.117532032353</v>
      </c>
      <c r="M24" s="12">
        <f>+SUM('ACE Details_FULL'!O25,'ACE Details_FULL'!O30,'ACE Details_FULL'!O32)</f>
        <v>27498.863190781827</v>
      </c>
      <c r="N24" s="13">
        <f>SUM(B24:M24)</f>
        <v>368381.16370568634</v>
      </c>
      <c r="P24" s="13">
        <f t="shared" ref="P24:P28" si="11">+SUMIFS(B24:M24,$B$2:$M$2,$V$3)/1000</f>
        <v>40.450380392625753</v>
      </c>
      <c r="Q24" s="13">
        <f t="shared" ref="Q24:Q28" si="12">+SUMIFS(B24:M24,$B$1:$M$1,$W$3)/1000</f>
        <v>40.450380392625753</v>
      </c>
    </row>
    <row r="25" spans="1:17" x14ac:dyDescent="0.3">
      <c r="A25" s="10" t="s">
        <v>75</v>
      </c>
      <c r="B25" s="12"/>
      <c r="C25" s="12"/>
      <c r="D25" s="12"/>
      <c r="E25" s="12"/>
      <c r="F25" s="12"/>
      <c r="G25" s="12"/>
      <c r="H25" s="30"/>
      <c r="I25" s="30"/>
      <c r="J25" s="30"/>
      <c r="K25" s="12"/>
      <c r="L25" s="429"/>
      <c r="M25" s="30"/>
      <c r="N25" s="13">
        <f t="shared" ref="N25:N39" si="13">SUM(B25:M25)</f>
        <v>0</v>
      </c>
      <c r="P25" s="13">
        <f t="shared" si="11"/>
        <v>0</v>
      </c>
      <c r="Q25" s="13">
        <f t="shared" si="12"/>
        <v>0</v>
      </c>
    </row>
    <row r="26" spans="1:17" x14ac:dyDescent="0.3">
      <c r="A26" s="14" t="s">
        <v>76</v>
      </c>
      <c r="B26" s="12">
        <f>+'ACE Details_FULL'!D42</f>
        <v>0</v>
      </c>
      <c r="C26" s="12">
        <f>+'ACE Details_FULL'!E42</f>
        <v>0</v>
      </c>
      <c r="D26" s="12">
        <f>+'ACE Details_FULL'!F42</f>
        <v>0</v>
      </c>
      <c r="E26" s="12">
        <f>+'ACE Details_FULL'!G42</f>
        <v>0</v>
      </c>
      <c r="F26" s="12">
        <f>SUM('ACE Details_FULL'!H42)</f>
        <v>0</v>
      </c>
      <c r="G26" s="12">
        <f>+'ACE Details_FULL'!I42</f>
        <v>0</v>
      </c>
      <c r="H26" s="12">
        <f>+'ACE Details_FULL'!J42</f>
        <v>6460.022647330733</v>
      </c>
      <c r="I26" s="12">
        <f>+'ACE Details_FULL'!K42</f>
        <v>6306.2730917982744</v>
      </c>
      <c r="J26" s="12">
        <f>+'ACE Details_FULL'!L42</f>
        <v>8720.9988074593948</v>
      </c>
      <c r="K26" s="12">
        <f>+'ACE Details_FULL'!M42</f>
        <v>7936.5266434358291</v>
      </c>
      <c r="L26" s="12">
        <f>+'ACE Details_FULL'!N42</f>
        <v>8249.1083844357036</v>
      </c>
      <c r="M26" s="12">
        <f>+'ACE Details_FULL'!O42</f>
        <v>6701.1299048702695</v>
      </c>
      <c r="N26" s="13">
        <f t="shared" si="13"/>
        <v>44374.059479330208</v>
      </c>
      <c r="P26" s="13">
        <f t="shared" si="11"/>
        <v>0</v>
      </c>
      <c r="Q26" s="13">
        <f t="shared" si="12"/>
        <v>0</v>
      </c>
    </row>
    <row r="27" spans="1:17" x14ac:dyDescent="0.3">
      <c r="A27" s="14" t="s">
        <v>77</v>
      </c>
      <c r="B27" s="12"/>
      <c r="C27" s="12"/>
      <c r="D27" s="12"/>
      <c r="E27" s="12"/>
      <c r="F27" s="12"/>
      <c r="G27" s="12"/>
      <c r="H27" s="30"/>
      <c r="I27" s="30"/>
      <c r="J27" s="30"/>
      <c r="K27" s="12"/>
      <c r="L27" s="429"/>
      <c r="M27" s="30"/>
      <c r="N27" s="13">
        <f t="shared" si="13"/>
        <v>0</v>
      </c>
      <c r="P27" s="13">
        <f t="shared" si="11"/>
        <v>0</v>
      </c>
      <c r="Q27" s="13">
        <f t="shared" si="12"/>
        <v>0</v>
      </c>
    </row>
    <row r="28" spans="1:17" x14ac:dyDescent="0.3">
      <c r="A28" s="14" t="s">
        <v>195</v>
      </c>
      <c r="B28" s="12">
        <f>+'ACE Details_FULL'!D33</f>
        <v>1000</v>
      </c>
      <c r="C28" s="12">
        <f>+'ACE Details_FULL'!E33</f>
        <v>1000</v>
      </c>
      <c r="D28" s="12">
        <f>+'ACE Details_FULL'!F33</f>
        <v>1000</v>
      </c>
      <c r="E28" s="12">
        <f>+'ACE Details_FULL'!G33</f>
        <v>1000</v>
      </c>
      <c r="F28" s="12">
        <f>SUM('ACE Details_FULL'!H33)</f>
        <v>1000</v>
      </c>
      <c r="G28" s="12">
        <f>+'ACE Details_FULL'!I33</f>
        <v>1000</v>
      </c>
      <c r="H28" s="12">
        <f>+'ACE Details_FULL'!J33</f>
        <v>1000</v>
      </c>
      <c r="I28" s="12">
        <f>+'ACE Details_FULL'!K33</f>
        <v>1000</v>
      </c>
      <c r="J28" s="12">
        <f>+'ACE Details_FULL'!L33</f>
        <v>1000</v>
      </c>
      <c r="K28" s="12">
        <f>+'ACE Details_FULL'!M33</f>
        <v>1000</v>
      </c>
      <c r="L28" s="12">
        <f>+'ACE Details_FULL'!N33</f>
        <v>1000</v>
      </c>
      <c r="M28" s="12">
        <f>+'ACE Details_FULL'!O33</f>
        <v>1000</v>
      </c>
      <c r="N28" s="13">
        <f t="shared" si="13"/>
        <v>12000</v>
      </c>
      <c r="O28" s="430"/>
      <c r="P28" s="13">
        <f t="shared" si="11"/>
        <v>1</v>
      </c>
      <c r="Q28" s="13">
        <f t="shared" si="12"/>
        <v>1</v>
      </c>
    </row>
    <row r="29" spans="1:17" ht="15" thickBot="1" x14ac:dyDescent="0.35">
      <c r="A29" s="15" t="s">
        <v>196</v>
      </c>
      <c r="B29" s="16">
        <f>SUM(B24:B28)</f>
        <v>41450.380392625753</v>
      </c>
      <c r="C29" s="16">
        <f t="shared" ref="C29:M29" si="14">SUM(C24:C28)</f>
        <v>49560.940504502738</v>
      </c>
      <c r="D29" s="16">
        <f t="shared" si="14"/>
        <v>25543.182060070245</v>
      </c>
      <c r="E29" s="16">
        <f t="shared" si="14"/>
        <v>27853.443973683563</v>
      </c>
      <c r="F29" s="16">
        <f t="shared" si="14"/>
        <v>28917.877611116473</v>
      </c>
      <c r="G29" s="16">
        <f t="shared" si="14"/>
        <v>32020.665031166682</v>
      </c>
      <c r="H29" s="16">
        <f t="shared" si="14"/>
        <v>34725.056155163831</v>
      </c>
      <c r="I29" s="16">
        <f>SUM(I24:I28)</f>
        <v>34422.197816301756</v>
      </c>
      <c r="J29" s="16">
        <f t="shared" si="14"/>
        <v>39178.76323543422</v>
      </c>
      <c r="K29" s="16">
        <f t="shared" si="14"/>
        <v>37633.497392831094</v>
      </c>
      <c r="L29" s="16">
        <f t="shared" si="14"/>
        <v>38249.225916468058</v>
      </c>
      <c r="M29" s="16">
        <f t="shared" si="14"/>
        <v>35199.993095652098</v>
      </c>
      <c r="N29" s="16">
        <f t="shared" si="13"/>
        <v>424755.22318501648</v>
      </c>
      <c r="P29" s="16">
        <f>SUM(P24:P28)</f>
        <v>41.450380392625753</v>
      </c>
      <c r="Q29" s="16">
        <f>SUM(Q24:Q28)</f>
        <v>41.450380392625753</v>
      </c>
    </row>
    <row r="30" spans="1:17" x14ac:dyDescent="0.3">
      <c r="A30" s="17" t="s">
        <v>80</v>
      </c>
      <c r="B30" s="12">
        <f>+'ACE Details_FULL'!D34</f>
        <v>0</v>
      </c>
      <c r="C30" s="12">
        <f>+'ACE Details_FULL'!E34</f>
        <v>2240.8812947589668</v>
      </c>
      <c r="D30" s="12">
        <f>+'ACE Details_FULL'!F34</f>
        <v>2240.8812947589668</v>
      </c>
      <c r="E30" s="12">
        <f>+'ACE Details_FULL'!G34</f>
        <v>2240.8812947589668</v>
      </c>
      <c r="F30" s="12">
        <f>SUM('ACE Details_FULL'!H34,'ACE Details_FULL'!H35)</f>
        <v>4481.7625895179335</v>
      </c>
      <c r="G30" s="12">
        <f>SUM('ACE Details_FULL'!I34,'ACE Details_FULL'!I35)</f>
        <v>4481.7625895179335</v>
      </c>
      <c r="H30" s="12">
        <f>+'ACE Details_FULL'!J34</f>
        <v>2240.8812947589668</v>
      </c>
      <c r="I30" s="12">
        <f>+'ACE Details_FULL'!K34</f>
        <v>2240.8812947589668</v>
      </c>
      <c r="J30" s="12">
        <f>+'ACE Details_FULL'!L34</f>
        <v>2240.8812947589668</v>
      </c>
      <c r="K30" s="12">
        <f>+'ACE Details_FULL'!M34</f>
        <v>2240.8812947589668</v>
      </c>
      <c r="L30" s="12">
        <f>+'ACE Details_FULL'!N34</f>
        <v>2240.8812947589668</v>
      </c>
      <c r="M30" s="12">
        <f>+'ACE Details_FULL'!O34</f>
        <v>2240.8812947589668</v>
      </c>
      <c r="N30" s="13">
        <f>SUM(B30:M30)</f>
        <v>29131.456831866577</v>
      </c>
      <c r="P30" s="13">
        <f t="shared" ref="P30:P36" si="15">+SUMIFS(B30:M30,$B$2:$M$2,$V$3)/1000</f>
        <v>0</v>
      </c>
      <c r="Q30" s="13">
        <f t="shared" ref="Q30:Q36" si="16">+SUMIFS(B30:M30,$B$1:$M$1,$W$3)/1000</f>
        <v>0</v>
      </c>
    </row>
    <row r="31" spans="1:17" x14ac:dyDescent="0.3">
      <c r="A31" s="14" t="s">
        <v>81</v>
      </c>
      <c r="B31" s="12"/>
      <c r="C31" s="12"/>
      <c r="D31" s="12"/>
      <c r="E31" s="12"/>
      <c r="F31" s="12"/>
      <c r="G31" s="12"/>
      <c r="H31" s="30"/>
      <c r="I31" s="30"/>
      <c r="J31" s="30"/>
      <c r="K31" s="12"/>
      <c r="L31" s="429"/>
      <c r="M31" s="30"/>
      <c r="N31" s="13">
        <f t="shared" si="13"/>
        <v>0</v>
      </c>
      <c r="P31" s="13">
        <f t="shared" si="15"/>
        <v>0</v>
      </c>
      <c r="Q31" s="13">
        <f t="shared" si="16"/>
        <v>0</v>
      </c>
    </row>
    <row r="32" spans="1:17" x14ac:dyDescent="0.3">
      <c r="A32" s="14" t="s">
        <v>82</v>
      </c>
      <c r="B32" s="12">
        <f>+'ACE Details_FULL'!D40+'ACE Details_FULL'!D38</f>
        <v>0</v>
      </c>
      <c r="C32" s="12">
        <f>+'ACE Details_FULL'!E40+'ACE Details_FULL'!E38</f>
        <v>211.30421052631579</v>
      </c>
      <c r="D32" s="12">
        <f>+'ACE Details_FULL'!F40+'ACE Details_FULL'!F38</f>
        <v>211.30421052631579</v>
      </c>
      <c r="E32" s="12">
        <f>+'ACE Details_FULL'!G40+'ACE Details_FULL'!G38</f>
        <v>211.30421052631579</v>
      </c>
      <c r="F32" s="12">
        <f>SUM('ACE Details_FULL'!H38,'ACE Details_FULL'!H39)</f>
        <v>422.60842105263157</v>
      </c>
      <c r="G32" s="12">
        <f>SUM('ACE Details_FULL'!I38,'ACE Details_FULL'!I39)</f>
        <v>422.60842105263157</v>
      </c>
      <c r="H32" s="12">
        <f>+'ACE Details_FULL'!J40+'ACE Details_FULL'!J38</f>
        <v>845.21684210526314</v>
      </c>
      <c r="I32" s="12">
        <f>+'ACE Details_FULL'!K40+'ACE Details_FULL'!K38</f>
        <v>845.21684210526314</v>
      </c>
      <c r="J32" s="12">
        <f>+'ACE Details_FULL'!L40+'ACE Details_FULL'!L38</f>
        <v>845.21684210526314</v>
      </c>
      <c r="K32" s="12">
        <f>+'ACE Details_FULL'!M40+'ACE Details_FULL'!M38</f>
        <v>845.21684210526314</v>
      </c>
      <c r="L32" s="12">
        <f>+'ACE Details_FULL'!N40+'ACE Details_FULL'!N38</f>
        <v>845.21684210526314</v>
      </c>
      <c r="M32" s="12">
        <f>+'ACE Details_FULL'!O40+'ACE Details_FULL'!O38</f>
        <v>845.21684210526314</v>
      </c>
      <c r="N32" s="13">
        <f t="shared" si="13"/>
        <v>6550.4305263157885</v>
      </c>
      <c r="P32" s="13">
        <f t="shared" si="15"/>
        <v>0</v>
      </c>
      <c r="Q32" s="13">
        <f t="shared" si="16"/>
        <v>0</v>
      </c>
    </row>
    <row r="33" spans="1:17" x14ac:dyDescent="0.3">
      <c r="A33" s="14" t="s">
        <v>83</v>
      </c>
      <c r="B33" s="12">
        <f>+'ACE Details_FULL'!D36+'ACE Details_FULL'!D37</f>
        <v>0</v>
      </c>
      <c r="C33" s="12">
        <f>+'ACE Details_FULL'!E36+'ACE Details_FULL'!E37</f>
        <v>0</v>
      </c>
      <c r="D33" s="12">
        <f>+'ACE Details_FULL'!F36+'ACE Details_FULL'!F37</f>
        <v>222.8</v>
      </c>
      <c r="E33" s="12">
        <f>+'ACE Details_FULL'!G36+'ACE Details_FULL'!G37</f>
        <v>222.8</v>
      </c>
      <c r="F33" s="12">
        <f>SUM('ACE Details_FULL'!H36,'ACE Details_FULL'!H37)</f>
        <v>222.8</v>
      </c>
      <c r="G33" s="12">
        <f>SUM('ACE Details_FULL'!I36,'ACE Details_FULL'!I37)</f>
        <v>222.8</v>
      </c>
      <c r="H33" s="12">
        <f>+'ACE Details_FULL'!J36+'ACE Details_FULL'!J37</f>
        <v>922.8</v>
      </c>
      <c r="I33" s="12">
        <f>+'ACE Details_FULL'!K36+'ACE Details_FULL'!K37</f>
        <v>922.8</v>
      </c>
      <c r="J33" s="12">
        <f>+'ACE Details_FULL'!L36+'ACE Details_FULL'!L37</f>
        <v>922.8</v>
      </c>
      <c r="K33" s="12">
        <f>+'ACE Details_FULL'!M36+'ACE Details_FULL'!M37</f>
        <v>922.8</v>
      </c>
      <c r="L33" s="12">
        <f>+'ACE Details_FULL'!N36+'ACE Details_FULL'!N37</f>
        <v>922.8</v>
      </c>
      <c r="M33" s="12">
        <f>+'ACE Details_FULL'!O36+'ACE Details_FULL'!O37</f>
        <v>922.8</v>
      </c>
      <c r="N33" s="13">
        <f t="shared" si="13"/>
        <v>6428.0000000000009</v>
      </c>
      <c r="P33" s="13">
        <f t="shared" si="15"/>
        <v>0</v>
      </c>
      <c r="Q33" s="13">
        <f t="shared" si="16"/>
        <v>0</v>
      </c>
    </row>
    <row r="34" spans="1:17" x14ac:dyDescent="0.3">
      <c r="A34" s="14" t="s">
        <v>84</v>
      </c>
      <c r="B34" s="12"/>
      <c r="C34" s="12"/>
      <c r="D34" s="12"/>
      <c r="E34" s="12"/>
      <c r="F34" s="12"/>
      <c r="G34" s="12"/>
      <c r="H34" s="30"/>
      <c r="I34" s="30"/>
      <c r="J34" s="30"/>
      <c r="K34" s="12"/>
      <c r="L34" s="429"/>
      <c r="M34" s="30"/>
      <c r="N34" s="13">
        <f t="shared" si="13"/>
        <v>0</v>
      </c>
      <c r="P34" s="13">
        <f t="shared" si="15"/>
        <v>0</v>
      </c>
      <c r="Q34" s="13">
        <f t="shared" si="16"/>
        <v>0</v>
      </c>
    </row>
    <row r="35" spans="1:17" x14ac:dyDescent="0.3">
      <c r="A35" s="14" t="s">
        <v>85</v>
      </c>
      <c r="B35" s="12"/>
      <c r="C35" s="12"/>
      <c r="D35" s="12"/>
      <c r="E35" s="12"/>
      <c r="F35" s="12"/>
      <c r="G35" s="12"/>
      <c r="H35" s="30"/>
      <c r="I35" s="30"/>
      <c r="J35" s="30"/>
      <c r="K35" s="12"/>
      <c r="L35" s="429"/>
      <c r="M35" s="30"/>
      <c r="N35" s="13">
        <f t="shared" si="13"/>
        <v>0</v>
      </c>
      <c r="P35" s="13">
        <f t="shared" si="15"/>
        <v>0</v>
      </c>
      <c r="Q35" s="13">
        <f t="shared" si="16"/>
        <v>0</v>
      </c>
    </row>
    <row r="36" spans="1:17" x14ac:dyDescent="0.3">
      <c r="A36" s="14" t="s">
        <v>86</v>
      </c>
      <c r="B36" s="12"/>
      <c r="C36" s="12"/>
      <c r="D36" s="12"/>
      <c r="E36" s="12"/>
      <c r="F36" s="12"/>
      <c r="G36" s="12"/>
      <c r="H36" s="30"/>
      <c r="I36" s="30"/>
      <c r="J36" s="30"/>
      <c r="K36" s="12"/>
      <c r="L36" s="429"/>
      <c r="M36" s="30"/>
      <c r="N36" s="13">
        <f t="shared" si="13"/>
        <v>0</v>
      </c>
      <c r="P36" s="13">
        <f t="shared" si="15"/>
        <v>0</v>
      </c>
      <c r="Q36" s="13">
        <f t="shared" si="16"/>
        <v>0</v>
      </c>
    </row>
    <row r="37" spans="1:17" ht="15" thickBot="1" x14ac:dyDescent="0.35">
      <c r="A37" s="15" t="s">
        <v>197</v>
      </c>
      <c r="B37" s="16">
        <f>SUM(B30:B36)</f>
        <v>0</v>
      </c>
      <c r="C37" s="16">
        <f t="shared" ref="C37:M37" si="17">SUM(C30:C36)</f>
        <v>2452.1855052852825</v>
      </c>
      <c r="D37" s="16">
        <f t="shared" si="17"/>
        <v>2674.9855052852827</v>
      </c>
      <c r="E37" s="16">
        <f t="shared" si="17"/>
        <v>2674.9855052852827</v>
      </c>
      <c r="F37" s="16">
        <f t="shared" si="17"/>
        <v>5127.1710105705652</v>
      </c>
      <c r="G37" s="16">
        <f t="shared" si="17"/>
        <v>5127.1710105705652</v>
      </c>
      <c r="H37" s="16">
        <f t="shared" si="17"/>
        <v>4008.8981368642299</v>
      </c>
      <c r="I37" s="16">
        <f t="shared" si="17"/>
        <v>4008.8981368642299</v>
      </c>
      <c r="J37" s="16">
        <f t="shared" si="17"/>
        <v>4008.8981368642299</v>
      </c>
      <c r="K37" s="16">
        <f t="shared" si="17"/>
        <v>4008.8981368642299</v>
      </c>
      <c r="L37" s="16">
        <f t="shared" si="17"/>
        <v>4008.8981368642299</v>
      </c>
      <c r="M37" s="16">
        <f t="shared" si="17"/>
        <v>4008.8981368642299</v>
      </c>
      <c r="N37" s="16">
        <f t="shared" si="13"/>
        <v>42109.88735818235</v>
      </c>
      <c r="P37" s="16">
        <f>SUM(P30:P36)</f>
        <v>0</v>
      </c>
      <c r="Q37" s="16">
        <f>SUM(Q30:Q36)</f>
        <v>0</v>
      </c>
    </row>
    <row r="38" spans="1:17" x14ac:dyDescent="0.3">
      <c r="A38" s="18" t="s">
        <v>198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30"/>
      <c r="M38" s="30"/>
      <c r="N38" s="13">
        <f t="shared" si="13"/>
        <v>0</v>
      </c>
      <c r="P38" s="283">
        <f t="shared" ref="P38" si="18">+SUMIFS(B38:M38,$B$2:$M$2,$V$3)/1000</f>
        <v>0</v>
      </c>
      <c r="Q38" s="283">
        <f t="shared" ref="Q38" si="19">+SUMIFS(B38:M38,$B$1:$M$1,$W$3)/1000</f>
        <v>0</v>
      </c>
    </row>
    <row r="39" spans="1:17" ht="15" thickBot="1" x14ac:dyDescent="0.35">
      <c r="A39" s="19" t="s">
        <v>202</v>
      </c>
      <c r="B39" s="782">
        <f>B29+B37+B38</f>
        <v>41450.380392625753</v>
      </c>
      <c r="C39" s="782">
        <f t="shared" ref="C39:M39" si="20">C29+C37+C38</f>
        <v>52013.126009788022</v>
      </c>
      <c r="D39" s="20">
        <f t="shared" si="20"/>
        <v>28218.167565355528</v>
      </c>
      <c r="E39" s="20">
        <f t="shared" si="20"/>
        <v>30528.429478968847</v>
      </c>
      <c r="F39" s="20">
        <f t="shared" si="20"/>
        <v>34045.048621687041</v>
      </c>
      <c r="G39" s="20">
        <f t="shared" si="20"/>
        <v>37147.836041737246</v>
      </c>
      <c r="H39" s="20">
        <f t="shared" si="20"/>
        <v>38733.954292028058</v>
      </c>
      <c r="I39" s="20">
        <f t="shared" si="20"/>
        <v>38431.095953165983</v>
      </c>
      <c r="J39" s="20">
        <f t="shared" si="20"/>
        <v>43187.661372298448</v>
      </c>
      <c r="K39" s="20">
        <f t="shared" si="20"/>
        <v>41642.395529695321</v>
      </c>
      <c r="L39" s="20">
        <f t="shared" si="20"/>
        <v>42258.124053332285</v>
      </c>
      <c r="M39" s="20">
        <f t="shared" si="20"/>
        <v>39208.891232516326</v>
      </c>
      <c r="N39" s="20">
        <f t="shared" si="13"/>
        <v>466865.11054319883</v>
      </c>
      <c r="P39" s="20">
        <f>P37+P29+P38</f>
        <v>41.450380392625753</v>
      </c>
      <c r="Q39" s="20">
        <f>Q37+Q29+Q38</f>
        <v>41.450380392625753</v>
      </c>
    </row>
    <row r="40" spans="1:17" x14ac:dyDescent="0.3">
      <c r="B40" s="103"/>
      <c r="C40" s="103"/>
      <c r="D40" s="103"/>
      <c r="E40" s="103"/>
      <c r="F40" s="103"/>
      <c r="G40" s="103"/>
    </row>
    <row r="42" spans="1:17" ht="23.4" x14ac:dyDescent="0.45">
      <c r="A42" s="31" t="s">
        <v>366</v>
      </c>
      <c r="B42" s="1" t="s">
        <v>0</v>
      </c>
      <c r="C42" s="1" t="s">
        <v>1</v>
      </c>
      <c r="D42" s="1" t="s">
        <v>2</v>
      </c>
      <c r="E42" s="1" t="s">
        <v>3</v>
      </c>
      <c r="F42" s="1" t="s">
        <v>4</v>
      </c>
      <c r="G42" s="1" t="s">
        <v>5</v>
      </c>
      <c r="H42" s="1" t="s">
        <v>6</v>
      </c>
      <c r="I42" s="1" t="s">
        <v>7</v>
      </c>
      <c r="J42" s="1" t="s">
        <v>8</v>
      </c>
      <c r="K42" s="1" t="s">
        <v>9</v>
      </c>
      <c r="L42" s="1" t="s">
        <v>10</v>
      </c>
      <c r="M42" s="1" t="s">
        <v>11</v>
      </c>
      <c r="N42" s="1" t="s">
        <v>12</v>
      </c>
      <c r="P42" s="1" t="s">
        <v>179</v>
      </c>
      <c r="Q42" s="1" t="s">
        <v>94</v>
      </c>
    </row>
    <row r="43" spans="1:17" x14ac:dyDescent="0.3">
      <c r="A43" s="10" t="s">
        <v>156</v>
      </c>
      <c r="B43" s="12">
        <f>B24-B5</f>
        <v>35805.983252048027</v>
      </c>
      <c r="C43" s="12">
        <f t="shared" ref="C43:M43" si="21">C24-C5</f>
        <v>43550.265918807461</v>
      </c>
      <c r="D43" s="12">
        <f t="shared" si="21"/>
        <v>19485.658684962193</v>
      </c>
      <c r="E43" s="12">
        <f t="shared" si="21"/>
        <v>21980.688204322254</v>
      </c>
      <c r="F43" s="12">
        <f t="shared" si="21"/>
        <v>12536.988098068527</v>
      </c>
      <c r="G43" s="12">
        <f t="shared" si="21"/>
        <v>-18259.368401817213</v>
      </c>
      <c r="H43" s="12">
        <f t="shared" si="21"/>
        <v>-22063.721274061721</v>
      </c>
      <c r="I43" s="12">
        <f>I24-I5</f>
        <v>-22431.383271977589</v>
      </c>
      <c r="J43" s="12">
        <f t="shared" si="21"/>
        <v>-29147.181612625012</v>
      </c>
      <c r="K43" s="12">
        <f t="shared" si="21"/>
        <v>-25745.496032868497</v>
      </c>
      <c r="L43" s="12">
        <f t="shared" si="21"/>
        <v>-23436.953800409188</v>
      </c>
      <c r="M43" s="12">
        <f t="shared" si="21"/>
        <v>-24969.395519086291</v>
      </c>
      <c r="N43" s="13">
        <f>SUM(B43:M43)</f>
        <v>-32693.915754637062</v>
      </c>
      <c r="P43" s="13">
        <f t="shared" ref="P43:P47" si="22">+SUMIFS(B43:M43,$B$2:$M$2,$V$3)/1000</f>
        <v>35.80598325204803</v>
      </c>
      <c r="Q43" s="13">
        <f t="shared" ref="Q43:Q47" si="23">+SUMIFS(B43:M43,$B$1:$M$1,$W$3)/1000</f>
        <v>35.80598325204803</v>
      </c>
    </row>
    <row r="44" spans="1:17" x14ac:dyDescent="0.3">
      <c r="A44" s="10" t="s">
        <v>75</v>
      </c>
      <c r="B44" s="12">
        <f t="shared" ref="B44:M44" si="24">B25-B6</f>
        <v>0</v>
      </c>
      <c r="C44" s="12">
        <f t="shared" si="24"/>
        <v>0</v>
      </c>
      <c r="D44" s="12">
        <f t="shared" si="24"/>
        <v>0</v>
      </c>
      <c r="E44" s="12">
        <f t="shared" si="24"/>
        <v>0</v>
      </c>
      <c r="F44" s="12">
        <f t="shared" si="24"/>
        <v>0</v>
      </c>
      <c r="G44" s="12">
        <f t="shared" si="24"/>
        <v>0</v>
      </c>
      <c r="H44" s="12">
        <f t="shared" si="24"/>
        <v>0</v>
      </c>
      <c r="I44" s="12">
        <f t="shared" si="24"/>
        <v>0</v>
      </c>
      <c r="J44" s="12">
        <f t="shared" si="24"/>
        <v>0</v>
      </c>
      <c r="K44" s="12">
        <f t="shared" si="24"/>
        <v>0</v>
      </c>
      <c r="L44" s="12">
        <f t="shared" si="24"/>
        <v>0</v>
      </c>
      <c r="M44" s="12">
        <f t="shared" si="24"/>
        <v>0</v>
      </c>
      <c r="N44" s="13">
        <f t="shared" ref="N44:N58" si="25">SUM(B44:M44)</f>
        <v>0</v>
      </c>
      <c r="P44" s="13">
        <f t="shared" si="22"/>
        <v>0</v>
      </c>
      <c r="Q44" s="13">
        <f t="shared" si="23"/>
        <v>0</v>
      </c>
    </row>
    <row r="45" spans="1:17" x14ac:dyDescent="0.3">
      <c r="A45" s="14" t="s">
        <v>76</v>
      </c>
      <c r="B45" s="12">
        <f t="shared" ref="B45:M45" si="26">B26-B7</f>
        <v>0</v>
      </c>
      <c r="C45" s="12">
        <f t="shared" si="26"/>
        <v>0</v>
      </c>
      <c r="D45" s="12">
        <f t="shared" si="26"/>
        <v>0</v>
      </c>
      <c r="E45" s="12">
        <f t="shared" si="26"/>
        <v>-6811.5</v>
      </c>
      <c r="F45" s="12">
        <f t="shared" si="26"/>
        <v>-5019</v>
      </c>
      <c r="G45" s="12">
        <f>G26-G7</f>
        <v>-7528.5</v>
      </c>
      <c r="H45" s="12">
        <f t="shared" si="26"/>
        <v>365.52264733073298</v>
      </c>
      <c r="I45" s="12">
        <f t="shared" si="26"/>
        <v>748.77309179827444</v>
      </c>
      <c r="J45" s="12">
        <f t="shared" si="26"/>
        <v>940.49880745939481</v>
      </c>
      <c r="K45" s="12">
        <f t="shared" si="26"/>
        <v>1267.5266434358291</v>
      </c>
      <c r="L45" s="12">
        <f t="shared" si="26"/>
        <v>839.10838443570356</v>
      </c>
      <c r="M45" s="12">
        <f t="shared" si="26"/>
        <v>1130.8799048702695</v>
      </c>
      <c r="N45" s="13">
        <f t="shared" si="25"/>
        <v>-14066.690520669794</v>
      </c>
      <c r="P45" s="13">
        <f t="shared" si="22"/>
        <v>0</v>
      </c>
      <c r="Q45" s="13">
        <f t="shared" si="23"/>
        <v>0</v>
      </c>
    </row>
    <row r="46" spans="1:17" x14ac:dyDescent="0.3">
      <c r="A46" s="14" t="s">
        <v>77</v>
      </c>
      <c r="B46" s="12">
        <f t="shared" ref="B46:M46" si="27">B27-B8</f>
        <v>0</v>
      </c>
      <c r="C46" s="12">
        <f t="shared" si="27"/>
        <v>0</v>
      </c>
      <c r="D46" s="12">
        <f t="shared" si="27"/>
        <v>0</v>
      </c>
      <c r="E46" s="12">
        <f t="shared" si="27"/>
        <v>0</v>
      </c>
      <c r="F46" s="12">
        <f t="shared" si="27"/>
        <v>0</v>
      </c>
      <c r="G46" s="12">
        <f t="shared" si="27"/>
        <v>0</v>
      </c>
      <c r="H46" s="12">
        <f t="shared" si="27"/>
        <v>0</v>
      </c>
      <c r="I46" s="12">
        <f t="shared" si="27"/>
        <v>0</v>
      </c>
      <c r="J46" s="12">
        <f t="shared" si="27"/>
        <v>0</v>
      </c>
      <c r="K46" s="12">
        <f t="shared" si="27"/>
        <v>0</v>
      </c>
      <c r="L46" s="12">
        <f t="shared" si="27"/>
        <v>0</v>
      </c>
      <c r="M46" s="12">
        <f t="shared" si="27"/>
        <v>0</v>
      </c>
      <c r="N46" s="13">
        <f t="shared" si="25"/>
        <v>0</v>
      </c>
      <c r="P46" s="13">
        <f t="shared" si="22"/>
        <v>0</v>
      </c>
      <c r="Q46" s="13">
        <f t="shared" si="23"/>
        <v>0</v>
      </c>
    </row>
    <row r="47" spans="1:17" x14ac:dyDescent="0.3">
      <c r="A47" s="14" t="s">
        <v>195</v>
      </c>
      <c r="B47" s="12">
        <f t="shared" ref="B47:M47" si="28">B28-B9</f>
        <v>0</v>
      </c>
      <c r="C47" s="12">
        <f t="shared" si="28"/>
        <v>0</v>
      </c>
      <c r="D47" s="12">
        <f t="shared" si="28"/>
        <v>0</v>
      </c>
      <c r="E47" s="12">
        <f t="shared" si="28"/>
        <v>0</v>
      </c>
      <c r="F47" s="12">
        <f t="shared" si="28"/>
        <v>0</v>
      </c>
      <c r="G47" s="12">
        <f t="shared" si="28"/>
        <v>0</v>
      </c>
      <c r="H47" s="12">
        <f t="shared" si="28"/>
        <v>0</v>
      </c>
      <c r="I47" s="12">
        <f t="shared" si="28"/>
        <v>0</v>
      </c>
      <c r="J47" s="12">
        <f t="shared" si="28"/>
        <v>0</v>
      </c>
      <c r="K47" s="12">
        <f t="shared" si="28"/>
        <v>0</v>
      </c>
      <c r="L47" s="12">
        <f t="shared" si="28"/>
        <v>0</v>
      </c>
      <c r="M47" s="12">
        <f t="shared" si="28"/>
        <v>0</v>
      </c>
      <c r="N47" s="13">
        <f t="shared" si="25"/>
        <v>0</v>
      </c>
      <c r="P47" s="13">
        <f t="shared" si="22"/>
        <v>0</v>
      </c>
      <c r="Q47" s="13">
        <f t="shared" si="23"/>
        <v>0</v>
      </c>
    </row>
    <row r="48" spans="1:17" ht="15" thickBot="1" x14ac:dyDescent="0.35">
      <c r="A48" s="15" t="s">
        <v>196</v>
      </c>
      <c r="B48" s="16">
        <f>SUM(B43:B47)</f>
        <v>35805.983252048027</v>
      </c>
      <c r="C48" s="16">
        <f t="shared" ref="C48:M48" si="29">SUM(C43:C47)</f>
        <v>43550.265918807461</v>
      </c>
      <c r="D48" s="16">
        <f t="shared" si="29"/>
        <v>19485.658684962193</v>
      </c>
      <c r="E48" s="16">
        <f t="shared" si="29"/>
        <v>15169.188204322254</v>
      </c>
      <c r="F48" s="16">
        <f t="shared" si="29"/>
        <v>7517.9880980685266</v>
      </c>
      <c r="G48" s="16">
        <f t="shared" si="29"/>
        <v>-25787.868401817213</v>
      </c>
      <c r="H48" s="16">
        <f t="shared" si="29"/>
        <v>-21698.198626730988</v>
      </c>
      <c r="I48" s="16">
        <f t="shared" si="29"/>
        <v>-21682.610180179316</v>
      </c>
      <c r="J48" s="16">
        <f t="shared" si="29"/>
        <v>-28206.682805165619</v>
      </c>
      <c r="K48" s="16">
        <f t="shared" si="29"/>
        <v>-24477.96938943267</v>
      </c>
      <c r="L48" s="16">
        <f t="shared" si="29"/>
        <v>-22597.845415973483</v>
      </c>
      <c r="M48" s="16">
        <f t="shared" si="29"/>
        <v>-23838.515614216019</v>
      </c>
      <c r="N48" s="16">
        <f t="shared" si="25"/>
        <v>-46760.606275306825</v>
      </c>
      <c r="P48" s="16">
        <f>SUM(P43:P47)</f>
        <v>35.80598325204803</v>
      </c>
      <c r="Q48" s="16">
        <f>SUM(Q43:Q47)</f>
        <v>35.80598325204803</v>
      </c>
    </row>
    <row r="49" spans="1:18" x14ac:dyDescent="0.3">
      <c r="A49" s="17" t="s">
        <v>80</v>
      </c>
      <c r="B49" s="12">
        <f t="shared" ref="B49:M49" si="30">B30-B11</f>
        <v>0</v>
      </c>
      <c r="C49" s="12">
        <f t="shared" si="30"/>
        <v>2240.8812947589668</v>
      </c>
      <c r="D49" s="12">
        <f t="shared" si="30"/>
        <v>2240.8812947589668</v>
      </c>
      <c r="E49" s="12">
        <f t="shared" si="30"/>
        <v>2240.8812947589668</v>
      </c>
      <c r="F49" s="12">
        <f t="shared" si="30"/>
        <v>4481.7625895179335</v>
      </c>
      <c r="G49" s="12">
        <f t="shared" si="30"/>
        <v>4481.7625895179335</v>
      </c>
      <c r="H49" s="12">
        <f t="shared" si="30"/>
        <v>2240.8812947589668</v>
      </c>
      <c r="I49" s="12">
        <f t="shared" si="30"/>
        <v>2240.8812947589668</v>
      </c>
      <c r="J49" s="12">
        <f t="shared" si="30"/>
        <v>2240.8812947589668</v>
      </c>
      <c r="K49" s="12">
        <f t="shared" si="30"/>
        <v>2240.8812947589668</v>
      </c>
      <c r="L49" s="12">
        <f t="shared" si="30"/>
        <v>2240.8812947589668</v>
      </c>
      <c r="M49" s="12">
        <f t="shared" si="30"/>
        <v>2240.8812947589668</v>
      </c>
      <c r="N49" s="13">
        <f t="shared" si="25"/>
        <v>29131.456831866577</v>
      </c>
      <c r="P49" s="13">
        <f t="shared" ref="P49:P55" si="31">+SUMIFS(B49:M49,$B$2:$M$2,$V$3)/1000</f>
        <v>0</v>
      </c>
      <c r="Q49" s="13">
        <f t="shared" ref="Q49:Q55" si="32">+SUMIFS(B49:M49,$B$1:$M$1,$W$3)/1000</f>
        <v>0</v>
      </c>
    </row>
    <row r="50" spans="1:18" ht="13.8" customHeight="1" x14ac:dyDescent="0.3">
      <c r="A50" s="14" t="s">
        <v>81</v>
      </c>
      <c r="B50" s="12">
        <f t="shared" ref="B50:M50" si="33">B31-B12</f>
        <v>0</v>
      </c>
      <c r="C50" s="12">
        <f t="shared" si="33"/>
        <v>0</v>
      </c>
      <c r="D50" s="12">
        <f t="shared" si="33"/>
        <v>0</v>
      </c>
      <c r="E50" s="12">
        <f t="shared" si="33"/>
        <v>0</v>
      </c>
      <c r="F50" s="12">
        <f t="shared" si="33"/>
        <v>0</v>
      </c>
      <c r="G50" s="12">
        <f t="shared" si="33"/>
        <v>0</v>
      </c>
      <c r="H50" s="12">
        <f t="shared" si="33"/>
        <v>0</v>
      </c>
      <c r="I50" s="12">
        <f t="shared" si="33"/>
        <v>0</v>
      </c>
      <c r="J50" s="12">
        <f t="shared" si="33"/>
        <v>0</v>
      </c>
      <c r="K50" s="12">
        <f t="shared" si="33"/>
        <v>0</v>
      </c>
      <c r="L50" s="12">
        <f t="shared" si="33"/>
        <v>0</v>
      </c>
      <c r="M50" s="12">
        <f t="shared" si="33"/>
        <v>0</v>
      </c>
      <c r="N50" s="13">
        <f t="shared" si="25"/>
        <v>0</v>
      </c>
      <c r="P50" s="13">
        <f t="shared" si="31"/>
        <v>0</v>
      </c>
      <c r="Q50" s="13">
        <f t="shared" si="32"/>
        <v>0</v>
      </c>
    </row>
    <row r="51" spans="1:18" x14ac:dyDescent="0.3">
      <c r="A51" s="14" t="s">
        <v>82</v>
      </c>
      <c r="B51" s="12">
        <f t="shared" ref="B51:M51" si="34">B32-B13</f>
        <v>0</v>
      </c>
      <c r="C51" s="12">
        <f t="shared" si="34"/>
        <v>211.30421052631579</v>
      </c>
      <c r="D51" s="12">
        <f t="shared" si="34"/>
        <v>211.30421052631579</v>
      </c>
      <c r="E51" s="12">
        <f t="shared" si="34"/>
        <v>211.30421052631579</v>
      </c>
      <c r="F51" s="12">
        <f t="shared" si="34"/>
        <v>422.60842105263157</v>
      </c>
      <c r="G51" s="12">
        <f t="shared" si="34"/>
        <v>422.60842105263157</v>
      </c>
      <c r="H51" s="12">
        <f t="shared" si="34"/>
        <v>845.21684210526314</v>
      </c>
      <c r="I51" s="12">
        <f t="shared" si="34"/>
        <v>845.21684210526314</v>
      </c>
      <c r="J51" s="12">
        <f t="shared" si="34"/>
        <v>845.21684210526314</v>
      </c>
      <c r="K51" s="12">
        <f t="shared" si="34"/>
        <v>845.21684210526314</v>
      </c>
      <c r="L51" s="12">
        <f t="shared" si="34"/>
        <v>845.21684210526314</v>
      </c>
      <c r="M51" s="12">
        <f t="shared" si="34"/>
        <v>845.21684210526314</v>
      </c>
      <c r="N51" s="13">
        <f t="shared" si="25"/>
        <v>6550.4305263157885</v>
      </c>
      <c r="P51" s="13">
        <f t="shared" si="31"/>
        <v>0</v>
      </c>
      <c r="Q51" s="13">
        <f t="shared" si="32"/>
        <v>0</v>
      </c>
      <c r="R51" s="8"/>
    </row>
    <row r="52" spans="1:18" x14ac:dyDescent="0.3">
      <c r="A52" s="14" t="s">
        <v>83</v>
      </c>
      <c r="B52" s="12">
        <f t="shared" ref="B52:M52" si="35">B33-B14</f>
        <v>-1100</v>
      </c>
      <c r="C52" s="12">
        <f t="shared" si="35"/>
        <v>-1100</v>
      </c>
      <c r="D52" s="12">
        <f t="shared" si="35"/>
        <v>-877.2</v>
      </c>
      <c r="E52" s="12">
        <f t="shared" si="35"/>
        <v>-877.2</v>
      </c>
      <c r="F52" s="12">
        <f t="shared" si="35"/>
        <v>-877.2</v>
      </c>
      <c r="G52" s="12">
        <f t="shared" si="35"/>
        <v>-877.2</v>
      </c>
      <c r="H52" s="12">
        <f t="shared" si="35"/>
        <v>-177.20000000000005</v>
      </c>
      <c r="I52" s="12">
        <f t="shared" si="35"/>
        <v>-177.20000000000005</v>
      </c>
      <c r="J52" s="12">
        <f t="shared" si="35"/>
        <v>-177.20000000000005</v>
      </c>
      <c r="K52" s="12">
        <f t="shared" si="35"/>
        <v>-177.20000000000005</v>
      </c>
      <c r="L52" s="12">
        <f t="shared" si="35"/>
        <v>-177.20000000000005</v>
      </c>
      <c r="M52" s="12">
        <f t="shared" si="35"/>
        <v>-177.20000000000005</v>
      </c>
      <c r="N52" s="13">
        <f t="shared" si="25"/>
        <v>-6771.9999999999982</v>
      </c>
      <c r="P52" s="13">
        <f t="shared" si="31"/>
        <v>-1.1000000000000001</v>
      </c>
      <c r="Q52" s="13">
        <f t="shared" si="32"/>
        <v>-1.1000000000000001</v>
      </c>
    </row>
    <row r="53" spans="1:18" x14ac:dyDescent="0.3">
      <c r="A53" s="14" t="s">
        <v>84</v>
      </c>
      <c r="B53" s="12">
        <f t="shared" ref="B53:M53" si="36">B34-B15</f>
        <v>0</v>
      </c>
      <c r="C53" s="12">
        <f t="shared" si="36"/>
        <v>0</v>
      </c>
      <c r="D53" s="12">
        <f t="shared" si="36"/>
        <v>0</v>
      </c>
      <c r="E53" s="12">
        <f t="shared" si="36"/>
        <v>0</v>
      </c>
      <c r="F53" s="12">
        <f t="shared" si="36"/>
        <v>0</v>
      </c>
      <c r="G53" s="12">
        <f t="shared" si="36"/>
        <v>0</v>
      </c>
      <c r="H53" s="12">
        <f t="shared" si="36"/>
        <v>0</v>
      </c>
      <c r="I53" s="12">
        <f t="shared" si="36"/>
        <v>0</v>
      </c>
      <c r="J53" s="12">
        <f t="shared" si="36"/>
        <v>0</v>
      </c>
      <c r="K53" s="12">
        <f t="shared" si="36"/>
        <v>0</v>
      </c>
      <c r="L53" s="12">
        <f t="shared" si="36"/>
        <v>0</v>
      </c>
      <c r="M53" s="12">
        <f t="shared" si="36"/>
        <v>0</v>
      </c>
      <c r="N53" s="13">
        <f t="shared" si="25"/>
        <v>0</v>
      </c>
      <c r="P53" s="13">
        <f t="shared" si="31"/>
        <v>0</v>
      </c>
      <c r="Q53" s="13">
        <f t="shared" si="32"/>
        <v>0</v>
      </c>
    </row>
    <row r="54" spans="1:18" x14ac:dyDescent="0.3">
      <c r="A54" s="14" t="s">
        <v>85</v>
      </c>
      <c r="B54" s="12">
        <f t="shared" ref="B54:M54" si="37">B35-B16</f>
        <v>0</v>
      </c>
      <c r="C54" s="12">
        <f t="shared" si="37"/>
        <v>0</v>
      </c>
      <c r="D54" s="12">
        <f t="shared" si="37"/>
        <v>0</v>
      </c>
      <c r="E54" s="12">
        <f t="shared" si="37"/>
        <v>0</v>
      </c>
      <c r="F54" s="12">
        <f t="shared" si="37"/>
        <v>0</v>
      </c>
      <c r="G54" s="12">
        <f t="shared" si="37"/>
        <v>0</v>
      </c>
      <c r="H54" s="12">
        <f t="shared" si="37"/>
        <v>0</v>
      </c>
      <c r="I54" s="12">
        <f t="shared" si="37"/>
        <v>0</v>
      </c>
      <c r="J54" s="12">
        <f t="shared" si="37"/>
        <v>0</v>
      </c>
      <c r="K54" s="12">
        <f t="shared" si="37"/>
        <v>0</v>
      </c>
      <c r="L54" s="12">
        <f t="shared" si="37"/>
        <v>0</v>
      </c>
      <c r="M54" s="12">
        <f t="shared" si="37"/>
        <v>0</v>
      </c>
      <c r="N54" s="13">
        <f t="shared" si="25"/>
        <v>0</v>
      </c>
      <c r="P54" s="13">
        <f t="shared" si="31"/>
        <v>0</v>
      </c>
      <c r="Q54" s="13">
        <f t="shared" si="32"/>
        <v>0</v>
      </c>
    </row>
    <row r="55" spans="1:18" x14ac:dyDescent="0.3">
      <c r="A55" s="14" t="s">
        <v>86</v>
      </c>
      <c r="B55" s="12">
        <f t="shared" ref="B55:M55" si="38">B36-B17</f>
        <v>0</v>
      </c>
      <c r="C55" s="12">
        <f t="shared" si="38"/>
        <v>0</v>
      </c>
      <c r="D55" s="12">
        <f t="shared" si="38"/>
        <v>0</v>
      </c>
      <c r="E55" s="12">
        <f t="shared" si="38"/>
        <v>0</v>
      </c>
      <c r="F55" s="12">
        <f t="shared" si="38"/>
        <v>0</v>
      </c>
      <c r="G55" s="12">
        <f t="shared" si="38"/>
        <v>0</v>
      </c>
      <c r="H55" s="12">
        <f t="shared" si="38"/>
        <v>0</v>
      </c>
      <c r="I55" s="12">
        <f t="shared" si="38"/>
        <v>0</v>
      </c>
      <c r="J55" s="12">
        <f t="shared" si="38"/>
        <v>0</v>
      </c>
      <c r="K55" s="12">
        <f t="shared" si="38"/>
        <v>0</v>
      </c>
      <c r="L55" s="12">
        <f t="shared" si="38"/>
        <v>0</v>
      </c>
      <c r="M55" s="12">
        <f t="shared" si="38"/>
        <v>0</v>
      </c>
      <c r="N55" s="13">
        <f t="shared" si="25"/>
        <v>0</v>
      </c>
      <c r="P55" s="13">
        <f t="shared" si="31"/>
        <v>0</v>
      </c>
      <c r="Q55" s="13">
        <f t="shared" si="32"/>
        <v>0</v>
      </c>
    </row>
    <row r="56" spans="1:18" ht="15" thickBot="1" x14ac:dyDescent="0.35">
      <c r="A56" s="15" t="s">
        <v>197</v>
      </c>
      <c r="B56" s="16">
        <f>SUM(B49:B55)</f>
        <v>-1100</v>
      </c>
      <c r="C56" s="16">
        <f t="shared" ref="C56:M56" si="39">SUM(C49:C55)</f>
        <v>1352.1855052852825</v>
      </c>
      <c r="D56" s="16">
        <f t="shared" si="39"/>
        <v>1574.9855052852824</v>
      </c>
      <c r="E56" s="16">
        <f t="shared" si="39"/>
        <v>1574.9855052852824</v>
      </c>
      <c r="F56" s="16">
        <f t="shared" si="39"/>
        <v>4027.1710105705652</v>
      </c>
      <c r="G56" s="16">
        <f t="shared" si="39"/>
        <v>4027.1710105705652</v>
      </c>
      <c r="H56" s="16">
        <f t="shared" si="39"/>
        <v>2908.8981368642299</v>
      </c>
      <c r="I56" s="16">
        <f t="shared" si="39"/>
        <v>2908.8981368642299</v>
      </c>
      <c r="J56" s="16">
        <f t="shared" si="39"/>
        <v>2908.8981368642299</v>
      </c>
      <c r="K56" s="16">
        <f t="shared" si="39"/>
        <v>2908.8981368642299</v>
      </c>
      <c r="L56" s="16">
        <f t="shared" si="39"/>
        <v>2908.8981368642299</v>
      </c>
      <c r="M56" s="16">
        <f t="shared" si="39"/>
        <v>2908.8981368642299</v>
      </c>
      <c r="N56" s="16">
        <f t="shared" si="25"/>
        <v>28909.887358182361</v>
      </c>
      <c r="P56" s="16">
        <f>SUM(P49:P55)</f>
        <v>-1.1000000000000001</v>
      </c>
      <c r="Q56" s="16">
        <f>SUM(Q49:Q55)</f>
        <v>-1.1000000000000001</v>
      </c>
    </row>
    <row r="57" spans="1:18" x14ac:dyDescent="0.3">
      <c r="A57" s="18" t="s">
        <v>198</v>
      </c>
      <c r="B57" s="12">
        <f>B38-B19</f>
        <v>0</v>
      </c>
      <c r="C57" s="12">
        <f t="shared" ref="C57:M57" si="40">C38-C19</f>
        <v>0</v>
      </c>
      <c r="D57" s="12">
        <f t="shared" si="40"/>
        <v>0</v>
      </c>
      <c r="E57" s="12">
        <f t="shared" si="40"/>
        <v>0</v>
      </c>
      <c r="F57" s="12">
        <f t="shared" si="40"/>
        <v>0</v>
      </c>
      <c r="G57" s="12">
        <f t="shared" si="40"/>
        <v>0</v>
      </c>
      <c r="H57" s="12">
        <f t="shared" si="40"/>
        <v>0</v>
      </c>
      <c r="I57" s="12">
        <f t="shared" si="40"/>
        <v>0</v>
      </c>
      <c r="J57" s="12">
        <f t="shared" si="40"/>
        <v>0</v>
      </c>
      <c r="K57" s="12">
        <f t="shared" si="40"/>
        <v>0</v>
      </c>
      <c r="L57" s="12">
        <f t="shared" si="40"/>
        <v>0</v>
      </c>
      <c r="M57" s="12">
        <f t="shared" si="40"/>
        <v>0</v>
      </c>
      <c r="N57" s="13">
        <f t="shared" si="25"/>
        <v>0</v>
      </c>
      <c r="P57" s="283">
        <f t="shared" ref="P57" si="41">+SUMIFS(B57:M57,$B$2:$M$2,$V$3)/1000</f>
        <v>0</v>
      </c>
      <c r="Q57" s="283">
        <f t="shared" ref="Q57" si="42">+SUMIFS(B57:M57,$B$1:$M$1,$W$3)/1000</f>
        <v>0</v>
      </c>
    </row>
    <row r="58" spans="1:18" ht="15" thickBot="1" x14ac:dyDescent="0.35">
      <c r="A58" s="19" t="s">
        <v>202</v>
      </c>
      <c r="B58" s="20">
        <f>B48+B56+B57</f>
        <v>34705.983252048027</v>
      </c>
      <c r="C58" s="20">
        <f t="shared" ref="C58" si="43">C48+C56+C57</f>
        <v>44902.451424092746</v>
      </c>
      <c r="D58" s="20">
        <f t="shared" ref="D58" si="44">D48+D56+D57</f>
        <v>21060.644190247476</v>
      </c>
      <c r="E58" s="20">
        <f t="shared" ref="E58" si="45">E48+E56+E57</f>
        <v>16744.173709607538</v>
      </c>
      <c r="F58" s="20">
        <f t="shared" ref="F58" si="46">F48+F56+F57</f>
        <v>11545.159108639091</v>
      </c>
      <c r="G58" s="20">
        <f t="shared" ref="G58" si="47">G48+G56+G57</f>
        <v>-21760.697391246649</v>
      </c>
      <c r="H58" s="20">
        <f t="shared" ref="H58" si="48">H48+H56+H57</f>
        <v>-18789.300489866757</v>
      </c>
      <c r="I58" s="20">
        <f t="shared" ref="I58" si="49">I48+I56+I57</f>
        <v>-18773.712043315085</v>
      </c>
      <c r="J58" s="20">
        <f t="shared" ref="J58" si="50">J48+J56+J57</f>
        <v>-25297.784668301389</v>
      </c>
      <c r="K58" s="20">
        <f t="shared" ref="K58" si="51">K48+K56+K57</f>
        <v>-21569.071252568439</v>
      </c>
      <c r="L58" s="20">
        <f t="shared" ref="L58" si="52">L48+L56+L57</f>
        <v>-19688.947279109252</v>
      </c>
      <c r="M58" s="20">
        <f t="shared" ref="M58" si="53">M48+M56+M57</f>
        <v>-20929.617477351789</v>
      </c>
      <c r="N58" s="20">
        <f t="shared" si="25"/>
        <v>-17850.718917124472</v>
      </c>
      <c r="P58" s="20">
        <f>P56+P48+P57</f>
        <v>34.705983252048028</v>
      </c>
      <c r="Q58" s="20">
        <f>Q56+Q48+Q57</f>
        <v>34.705983252048028</v>
      </c>
    </row>
    <row r="59" spans="1:18" x14ac:dyDescent="0.3">
      <c r="G59" s="8">
        <v>-142057</v>
      </c>
    </row>
    <row r="60" spans="1:18" x14ac:dyDescent="0.3">
      <c r="G60" s="8">
        <f>G59+136000</f>
        <v>-6057</v>
      </c>
      <c r="N60" s="103"/>
    </row>
    <row r="61" spans="1:18" x14ac:dyDescent="0.3">
      <c r="B61" s="8"/>
      <c r="L61" s="103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D7F69A8-FD17-4248-9BBE-99B8F5FCEB69}">
          <x14:formula1>
            <xm:f>List!$C$2:$C$13</xm:f>
          </x14:formula1>
          <xm:sqref>U3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9B43F-30DD-4CA8-B10F-9B42F45A561C}">
  <sheetPr codeName="Sheet7">
    <tabColor rgb="FF0070C0"/>
  </sheetPr>
  <dimension ref="B2:O13"/>
  <sheetViews>
    <sheetView zoomScale="110" zoomScaleNormal="110" workbookViewId="0">
      <selection activeCell="H1" sqref="H1:H1048576"/>
    </sheetView>
  </sheetViews>
  <sheetFormatPr defaultRowHeight="14.4" x14ac:dyDescent="0.3"/>
  <cols>
    <col min="2" max="2" width="13.88671875" bestFit="1" customWidth="1"/>
    <col min="3" max="6" width="7.109375" bestFit="1" customWidth="1"/>
    <col min="7" max="7" width="7.21875" customWidth="1"/>
    <col min="8" max="14" width="7.109375" bestFit="1" customWidth="1"/>
    <col min="15" max="15" width="7.5546875" bestFit="1" customWidth="1"/>
  </cols>
  <sheetData>
    <row r="2" spans="2:15" x14ac:dyDescent="0.3">
      <c r="B2" s="624" t="s">
        <v>179</v>
      </c>
      <c r="C2" s="625" t="s">
        <v>0</v>
      </c>
      <c r="D2" s="625" t="s">
        <v>1</v>
      </c>
      <c r="E2" s="625" t="s">
        <v>130</v>
      </c>
      <c r="F2" s="625" t="s">
        <v>521</v>
      </c>
      <c r="G2" s="625" t="s">
        <v>4</v>
      </c>
      <c r="H2" s="625" t="s">
        <v>522</v>
      </c>
      <c r="I2" s="625" t="s">
        <v>523</v>
      </c>
      <c r="J2" s="625" t="s">
        <v>107</v>
      </c>
      <c r="K2" s="625" t="s">
        <v>490</v>
      </c>
      <c r="L2" s="625" t="s">
        <v>9</v>
      </c>
      <c r="M2" s="625" t="s">
        <v>10</v>
      </c>
      <c r="N2" s="625" t="s">
        <v>11</v>
      </c>
      <c r="O2" s="625" t="s">
        <v>67</v>
      </c>
    </row>
    <row r="3" spans="2:15" x14ac:dyDescent="0.3">
      <c r="B3" s="626" t="s">
        <v>96</v>
      </c>
      <c r="C3" s="627">
        <v>50463</v>
      </c>
      <c r="D3" s="627">
        <v>50446</v>
      </c>
      <c r="E3" s="627">
        <v>50447</v>
      </c>
      <c r="F3" s="627">
        <v>48050</v>
      </c>
      <c r="G3" s="627">
        <v>36788</v>
      </c>
      <c r="H3" s="627">
        <v>53265</v>
      </c>
      <c r="I3" s="627">
        <v>42049</v>
      </c>
      <c r="J3" s="627">
        <v>39150</v>
      </c>
      <c r="K3" s="627">
        <v>53732</v>
      </c>
      <c r="L3" s="627">
        <v>48548</v>
      </c>
      <c r="M3" s="627">
        <v>51408</v>
      </c>
      <c r="N3" s="627">
        <v>40676</v>
      </c>
      <c r="O3" s="628">
        <f>SUM(C3:N3)</f>
        <v>565022</v>
      </c>
    </row>
    <row r="4" spans="2:15" x14ac:dyDescent="0.3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spans="2:15" x14ac:dyDescent="0.3">
      <c r="B5" s="629" t="s">
        <v>524</v>
      </c>
      <c r="C5" s="630">
        <v>46000</v>
      </c>
      <c r="D5" s="630">
        <v>46000</v>
      </c>
      <c r="E5" s="630">
        <v>46000</v>
      </c>
      <c r="F5" s="630">
        <v>48300</v>
      </c>
      <c r="G5" s="630">
        <v>32200</v>
      </c>
      <c r="H5" s="630">
        <v>71500</v>
      </c>
      <c r="I5" s="630">
        <v>57750</v>
      </c>
      <c r="J5" s="630">
        <v>52250</v>
      </c>
      <c r="K5" s="630">
        <v>71500</v>
      </c>
      <c r="L5" s="630">
        <v>71500</v>
      </c>
      <c r="M5" s="630">
        <v>68750</v>
      </c>
      <c r="N5" s="630">
        <v>62561</v>
      </c>
      <c r="O5" s="628">
        <f>SUM(C5:N5)</f>
        <v>674311</v>
      </c>
    </row>
    <row r="7" spans="2:15" x14ac:dyDescent="0.3">
      <c r="B7" s="70" t="s">
        <v>500</v>
      </c>
      <c r="C7" s="631">
        <f>+C10</f>
        <v>47357</v>
      </c>
      <c r="D7" s="631">
        <f t="shared" ref="D7:N7" si="0">+D10</f>
        <v>42593</v>
      </c>
      <c r="E7" s="631">
        <f t="shared" si="0"/>
        <v>23002</v>
      </c>
      <c r="F7" s="632">
        <f t="shared" si="0"/>
        <v>40893</v>
      </c>
      <c r="G7" s="632">
        <f t="shared" si="0"/>
        <v>33043</v>
      </c>
      <c r="H7" s="632">
        <f t="shared" si="0"/>
        <v>53186</v>
      </c>
      <c r="I7" s="632">
        <f t="shared" si="0"/>
        <v>41500</v>
      </c>
      <c r="J7" s="632">
        <f t="shared" si="0"/>
        <v>39000</v>
      </c>
      <c r="K7" s="632">
        <f t="shared" si="0"/>
        <v>54085</v>
      </c>
      <c r="L7" s="632">
        <f t="shared" si="0"/>
        <v>49500</v>
      </c>
      <c r="M7" s="632">
        <f t="shared" si="0"/>
        <v>51936</v>
      </c>
      <c r="N7" s="632">
        <f t="shared" si="0"/>
        <v>42190</v>
      </c>
      <c r="O7" s="628">
        <f>SUM(C7:N7)</f>
        <v>518285</v>
      </c>
    </row>
    <row r="8" spans="2:15" x14ac:dyDescent="0.3">
      <c r="C8" s="8">
        <f>C9-C10</f>
        <v>0</v>
      </c>
      <c r="D8" s="8">
        <f t="shared" ref="D8:N8" si="1">D9-D10</f>
        <v>0</v>
      </c>
      <c r="E8" s="8">
        <f t="shared" si="1"/>
        <v>0</v>
      </c>
      <c r="F8" s="8">
        <f t="shared" si="1"/>
        <v>0</v>
      </c>
      <c r="G8" s="8">
        <f t="shared" si="1"/>
        <v>0</v>
      </c>
      <c r="H8" s="8">
        <f t="shared" si="1"/>
        <v>1714</v>
      </c>
      <c r="I8" s="8">
        <f t="shared" si="1"/>
        <v>0</v>
      </c>
      <c r="J8" s="8">
        <f t="shared" si="1"/>
        <v>0</v>
      </c>
      <c r="K8" s="8">
        <f t="shared" si="1"/>
        <v>0</v>
      </c>
      <c r="L8" s="8">
        <f t="shared" si="1"/>
        <v>0</v>
      </c>
      <c r="M8" s="8">
        <f t="shared" si="1"/>
        <v>0</v>
      </c>
      <c r="N8" s="8">
        <f t="shared" si="1"/>
        <v>0</v>
      </c>
    </row>
    <row r="9" spans="2:15" x14ac:dyDescent="0.3">
      <c r="C9">
        <v>47357</v>
      </c>
      <c r="D9">
        <v>42593</v>
      </c>
      <c r="E9">
        <v>23002</v>
      </c>
      <c r="F9">
        <v>40893</v>
      </c>
      <c r="G9">
        <v>33043</v>
      </c>
      <c r="H9">
        <v>54900</v>
      </c>
      <c r="I9">
        <v>41500</v>
      </c>
      <c r="J9">
        <v>39000</v>
      </c>
      <c r="K9">
        <v>54085</v>
      </c>
      <c r="L9">
        <v>49500</v>
      </c>
      <c r="M9">
        <v>51936</v>
      </c>
      <c r="N9">
        <v>42190</v>
      </c>
    </row>
    <row r="10" spans="2:15" ht="15" x14ac:dyDescent="0.3">
      <c r="B10" s="633" t="s">
        <v>525</v>
      </c>
      <c r="C10" s="634">
        <f>SUM(C11:C13)</f>
        <v>47357</v>
      </c>
      <c r="D10" s="634">
        <f t="shared" ref="D10:N10" si="2">SUM(D11:D13)</f>
        <v>42593</v>
      </c>
      <c r="E10" s="634">
        <f t="shared" si="2"/>
        <v>23002</v>
      </c>
      <c r="F10" s="634">
        <f t="shared" si="2"/>
        <v>40893</v>
      </c>
      <c r="G10" s="634">
        <f t="shared" si="2"/>
        <v>33043</v>
      </c>
      <c r="H10" s="634">
        <f t="shared" si="2"/>
        <v>53186</v>
      </c>
      <c r="I10" s="634">
        <f t="shared" si="2"/>
        <v>41500</v>
      </c>
      <c r="J10" s="634">
        <f t="shared" si="2"/>
        <v>39000</v>
      </c>
      <c r="K10" s="634">
        <f t="shared" si="2"/>
        <v>54085</v>
      </c>
      <c r="L10" s="634">
        <f t="shared" si="2"/>
        <v>49500</v>
      </c>
      <c r="M10" s="634">
        <f t="shared" si="2"/>
        <v>51936</v>
      </c>
      <c r="N10" s="634">
        <f t="shared" si="2"/>
        <v>42190</v>
      </c>
      <c r="O10" s="628">
        <f>SUM(C10:N10)</f>
        <v>518285</v>
      </c>
    </row>
    <row r="11" spans="2:15" x14ac:dyDescent="0.3">
      <c r="B11" s="635" t="s">
        <v>526</v>
      </c>
      <c r="C11" s="636">
        <v>19805</v>
      </c>
      <c r="D11" s="637">
        <v>18495</v>
      </c>
      <c r="E11" s="637">
        <v>10482</v>
      </c>
      <c r="F11" s="637">
        <v>14837</v>
      </c>
      <c r="G11" s="637">
        <v>14006</v>
      </c>
      <c r="H11" s="637">
        <v>24548</v>
      </c>
      <c r="I11" s="637">
        <v>15800</v>
      </c>
      <c r="J11" s="637">
        <v>15600</v>
      </c>
      <c r="K11" s="637">
        <v>20600</v>
      </c>
      <c r="L11" s="637">
        <v>19800</v>
      </c>
      <c r="M11" s="637">
        <v>25500</v>
      </c>
      <c r="N11" s="637">
        <v>20024</v>
      </c>
      <c r="O11" s="628">
        <f>SUM(C11:N11)</f>
        <v>219497</v>
      </c>
    </row>
    <row r="12" spans="2:15" x14ac:dyDescent="0.3">
      <c r="B12" s="635" t="s">
        <v>527</v>
      </c>
      <c r="C12" s="636">
        <v>27552</v>
      </c>
      <c r="D12" s="637">
        <v>24098</v>
      </c>
      <c r="E12" s="637">
        <v>12520</v>
      </c>
      <c r="F12" s="637">
        <v>26056</v>
      </c>
      <c r="G12" s="637">
        <v>19037</v>
      </c>
      <c r="H12" s="637">
        <v>28638</v>
      </c>
      <c r="I12" s="637">
        <v>23700</v>
      </c>
      <c r="J12" s="637">
        <v>23400</v>
      </c>
      <c r="K12" s="637">
        <v>30900</v>
      </c>
      <c r="L12" s="637">
        <v>29700</v>
      </c>
      <c r="M12" s="637">
        <v>25500</v>
      </c>
      <c r="N12" s="637">
        <v>20024</v>
      </c>
      <c r="O12" s="628">
        <f>SUM(C12:N12)</f>
        <v>291125</v>
      </c>
    </row>
    <row r="13" spans="2:15" x14ac:dyDescent="0.3">
      <c r="B13" s="635" t="s">
        <v>528</v>
      </c>
      <c r="C13" s="636"/>
      <c r="D13" s="637"/>
      <c r="E13" s="637"/>
      <c r="F13" s="637"/>
      <c r="G13" s="637"/>
      <c r="H13" s="637">
        <v>0</v>
      </c>
      <c r="I13" s="637">
        <v>2000</v>
      </c>
      <c r="J13" s="637">
        <v>0</v>
      </c>
      <c r="K13" s="637">
        <v>2585</v>
      </c>
      <c r="L13" s="637">
        <v>0</v>
      </c>
      <c r="M13" s="637">
        <v>936</v>
      </c>
      <c r="N13" s="637">
        <v>2142</v>
      </c>
      <c r="O13" s="628">
        <f>SUM(C13:N13)</f>
        <v>7663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CC618-C79C-4382-9F9C-6D9E4B40C651}">
  <sheetPr codeName="Sheet8"/>
  <dimension ref="A1:E39"/>
  <sheetViews>
    <sheetView workbookViewId="0">
      <selection activeCell="J2" sqref="J2:J12"/>
    </sheetView>
  </sheetViews>
  <sheetFormatPr defaultRowHeight="14.4" x14ac:dyDescent="0.3"/>
  <cols>
    <col min="1" max="1" width="20.5546875" customWidth="1"/>
    <col min="2" max="2" width="46.77734375" bestFit="1" customWidth="1"/>
    <col min="3" max="4" width="12.77734375" style="45" customWidth="1"/>
    <col min="5" max="5" width="39" bestFit="1" customWidth="1"/>
  </cols>
  <sheetData>
    <row r="1" spans="1:4" x14ac:dyDescent="0.3">
      <c r="A1" s="5" t="s">
        <v>546</v>
      </c>
      <c r="B1" s="5" t="s">
        <v>547</v>
      </c>
      <c r="C1" s="5" t="s">
        <v>548</v>
      </c>
      <c r="D1" s="5" t="s">
        <v>549</v>
      </c>
    </row>
    <row r="3" spans="1:4" x14ac:dyDescent="0.3">
      <c r="A3" s="5" t="s">
        <v>546</v>
      </c>
      <c r="B3" s="2" t="s">
        <v>74</v>
      </c>
      <c r="C3" s="45" t="s">
        <v>550</v>
      </c>
    </row>
    <row r="4" spans="1:4" x14ac:dyDescent="0.3">
      <c r="A4" s="5" t="s">
        <v>546</v>
      </c>
      <c r="B4" s="3" t="s">
        <v>75</v>
      </c>
      <c r="C4" s="45" t="s">
        <v>550</v>
      </c>
    </row>
    <row r="5" spans="1:4" x14ac:dyDescent="0.3">
      <c r="A5" s="5" t="s">
        <v>546</v>
      </c>
      <c r="B5" s="3" t="s">
        <v>76</v>
      </c>
      <c r="D5" s="45" t="s">
        <v>550</v>
      </c>
    </row>
    <row r="6" spans="1:4" x14ac:dyDescent="0.3">
      <c r="A6" s="5" t="s">
        <v>546</v>
      </c>
      <c r="B6" s="3" t="s">
        <v>77</v>
      </c>
      <c r="D6" s="45" t="s">
        <v>550</v>
      </c>
    </row>
    <row r="7" spans="1:4" x14ac:dyDescent="0.3">
      <c r="A7" s="5" t="s">
        <v>546</v>
      </c>
      <c r="B7" s="3" t="s">
        <v>78</v>
      </c>
      <c r="C7" s="1230"/>
      <c r="D7" s="1231"/>
    </row>
    <row r="8" spans="1:4" x14ac:dyDescent="0.3">
      <c r="A8" s="5" t="s">
        <v>546</v>
      </c>
      <c r="B8" s="3" t="s">
        <v>191</v>
      </c>
      <c r="D8" s="45" t="s">
        <v>550</v>
      </c>
    </row>
    <row r="9" spans="1:4" x14ac:dyDescent="0.3">
      <c r="A9" s="5" t="s">
        <v>546</v>
      </c>
      <c r="B9" s="3" t="s">
        <v>551</v>
      </c>
      <c r="C9" s="45" t="s">
        <v>550</v>
      </c>
    </row>
    <row r="10" spans="1:4" x14ac:dyDescent="0.3">
      <c r="A10" s="5" t="s">
        <v>546</v>
      </c>
      <c r="B10" s="4" t="s">
        <v>79</v>
      </c>
    </row>
    <row r="11" spans="1:4" x14ac:dyDescent="0.3">
      <c r="A11" s="5" t="s">
        <v>546</v>
      </c>
      <c r="B11" s="3" t="s">
        <v>80</v>
      </c>
      <c r="C11" s="45" t="s">
        <v>550</v>
      </c>
    </row>
    <row r="12" spans="1:4" x14ac:dyDescent="0.3">
      <c r="A12" s="5" t="s">
        <v>546</v>
      </c>
      <c r="B12" s="3" t="s">
        <v>81</v>
      </c>
      <c r="C12" s="45" t="s">
        <v>550</v>
      </c>
    </row>
    <row r="13" spans="1:4" x14ac:dyDescent="0.3">
      <c r="A13" s="5" t="s">
        <v>546</v>
      </c>
      <c r="B13" s="3" t="s">
        <v>82</v>
      </c>
      <c r="C13" s="45" t="s">
        <v>550</v>
      </c>
    </row>
    <row r="14" spans="1:4" x14ac:dyDescent="0.3">
      <c r="A14" s="5" t="s">
        <v>546</v>
      </c>
      <c r="B14" s="3" t="s">
        <v>83</v>
      </c>
      <c r="C14" s="45" t="s">
        <v>550</v>
      </c>
    </row>
    <row r="15" spans="1:4" x14ac:dyDescent="0.3">
      <c r="A15" s="5" t="s">
        <v>546</v>
      </c>
      <c r="B15" s="3" t="s">
        <v>84</v>
      </c>
      <c r="C15" s="45" t="s">
        <v>550</v>
      </c>
    </row>
    <row r="16" spans="1:4" x14ac:dyDescent="0.3">
      <c r="A16" s="5" t="s">
        <v>546</v>
      </c>
      <c r="B16" s="3" t="s">
        <v>188</v>
      </c>
      <c r="C16" s="1230" t="s">
        <v>552</v>
      </c>
      <c r="D16" s="1231"/>
    </row>
    <row r="17" spans="1:5" x14ac:dyDescent="0.3">
      <c r="A17" s="5" t="s">
        <v>546</v>
      </c>
      <c r="B17" s="3" t="s">
        <v>189</v>
      </c>
      <c r="C17" s="1230" t="s">
        <v>552</v>
      </c>
      <c r="D17" s="1231"/>
    </row>
    <row r="18" spans="1:5" x14ac:dyDescent="0.3">
      <c r="A18" s="5" t="s">
        <v>546</v>
      </c>
      <c r="B18" s="3" t="s">
        <v>85</v>
      </c>
      <c r="D18" s="45" t="s">
        <v>550</v>
      </c>
    </row>
    <row r="19" spans="1:5" x14ac:dyDescent="0.3">
      <c r="A19" s="5" t="s">
        <v>546</v>
      </c>
      <c r="B19" s="3" t="s">
        <v>86</v>
      </c>
      <c r="C19" s="45" t="s">
        <v>550</v>
      </c>
    </row>
    <row r="20" spans="1:5" x14ac:dyDescent="0.3">
      <c r="A20" s="5" t="s">
        <v>546</v>
      </c>
      <c r="B20" s="4" t="s">
        <v>87</v>
      </c>
    </row>
    <row r="21" spans="1:5" x14ac:dyDescent="0.3">
      <c r="A21" s="5" t="s">
        <v>546</v>
      </c>
      <c r="B21" s="5" t="s">
        <v>88</v>
      </c>
    </row>
    <row r="22" spans="1:5" x14ac:dyDescent="0.3">
      <c r="A22" s="5" t="s">
        <v>546</v>
      </c>
      <c r="B22" s="3" t="s">
        <v>89</v>
      </c>
      <c r="C22" s="1230"/>
      <c r="D22" s="1231"/>
    </row>
    <row r="23" spans="1:5" x14ac:dyDescent="0.3">
      <c r="A23" s="5" t="s">
        <v>546</v>
      </c>
      <c r="B23" s="3" t="s">
        <v>190</v>
      </c>
      <c r="C23" s="45" t="s">
        <v>550</v>
      </c>
      <c r="E23" t="s">
        <v>553</v>
      </c>
    </row>
    <row r="24" spans="1:5" x14ac:dyDescent="0.3">
      <c r="A24" s="5" t="s">
        <v>546</v>
      </c>
      <c r="B24" s="3" t="s">
        <v>188</v>
      </c>
      <c r="C24" s="45" t="s">
        <v>550</v>
      </c>
      <c r="E24" t="s">
        <v>553</v>
      </c>
    </row>
    <row r="25" spans="1:5" x14ac:dyDescent="0.3">
      <c r="A25" s="5" t="s">
        <v>546</v>
      </c>
      <c r="B25" s="3" t="s">
        <v>189</v>
      </c>
      <c r="C25" s="45" t="s">
        <v>550</v>
      </c>
      <c r="E25" t="s">
        <v>553</v>
      </c>
    </row>
    <row r="26" spans="1:5" x14ac:dyDescent="0.3">
      <c r="A26" s="5" t="s">
        <v>546</v>
      </c>
      <c r="B26" s="3" t="s">
        <v>148</v>
      </c>
      <c r="D26" s="45" t="s">
        <v>550</v>
      </c>
    </row>
    <row r="27" spans="1:5" x14ac:dyDescent="0.3">
      <c r="A27" s="5" t="s">
        <v>546</v>
      </c>
      <c r="B27" s="3" t="s">
        <v>149</v>
      </c>
      <c r="D27" s="45" t="s">
        <v>550</v>
      </c>
    </row>
    <row r="28" spans="1:5" x14ac:dyDescent="0.3">
      <c r="A28" s="5" t="s">
        <v>546</v>
      </c>
      <c r="B28" s="5" t="s">
        <v>90</v>
      </c>
    </row>
    <row r="29" spans="1:5" x14ac:dyDescent="0.3">
      <c r="A29" s="5" t="s">
        <v>546</v>
      </c>
      <c r="B29" s="51" t="s">
        <v>91</v>
      </c>
      <c r="C29" s="45" t="s">
        <v>550</v>
      </c>
    </row>
    <row r="32" spans="1:5" x14ac:dyDescent="0.3">
      <c r="A32" s="5" t="s">
        <v>143</v>
      </c>
      <c r="B32" t="s">
        <v>76</v>
      </c>
    </row>
    <row r="33" spans="1:2" x14ac:dyDescent="0.3">
      <c r="A33" s="5" t="s">
        <v>143</v>
      </c>
      <c r="B33" t="s">
        <v>77</v>
      </c>
    </row>
    <row r="34" spans="1:2" x14ac:dyDescent="0.3">
      <c r="A34" s="5" t="s">
        <v>143</v>
      </c>
      <c r="B34" t="s">
        <v>191</v>
      </c>
    </row>
    <row r="35" spans="1:2" x14ac:dyDescent="0.3">
      <c r="A35" s="5" t="s">
        <v>143</v>
      </c>
      <c r="B35" t="s">
        <v>85</v>
      </c>
    </row>
    <row r="36" spans="1:2" x14ac:dyDescent="0.3">
      <c r="A36" s="5" t="s">
        <v>143</v>
      </c>
      <c r="B36" t="s">
        <v>145</v>
      </c>
    </row>
    <row r="38" spans="1:2" x14ac:dyDescent="0.3">
      <c r="A38" s="562" t="s">
        <v>147</v>
      </c>
      <c r="B38" t="s">
        <v>148</v>
      </c>
    </row>
    <row r="39" spans="1:2" x14ac:dyDescent="0.3">
      <c r="A39" s="562" t="s">
        <v>147</v>
      </c>
      <c r="B39" t="s">
        <v>149</v>
      </c>
    </row>
  </sheetData>
  <mergeCells count="4">
    <mergeCell ref="C7:D7"/>
    <mergeCell ref="C16:D16"/>
    <mergeCell ref="C17:D17"/>
    <mergeCell ref="C22:D2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9082C-5CDD-4AB4-8AAC-D74D040ED99D}">
  <sheetPr codeName="Sheet9"/>
  <dimension ref="A1"/>
  <sheetViews>
    <sheetView workbookViewId="0">
      <selection activeCell="J33" sqref="J33"/>
    </sheetView>
  </sheetViews>
  <sheetFormatPr defaultColWidth="8.77734375" defaultRowHeight="14.4" x14ac:dyDescent="0.3"/>
  <cols>
    <col min="1" max="16384" width="8.77734375" style="73"/>
  </cols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ACBAE-AE60-4794-B4DE-25E7D3C4C9E6}">
  <sheetPr codeName="Sheet10">
    <tabColor theme="6" tint="0.59999389629810485"/>
  </sheetPr>
  <dimension ref="A1:V85"/>
  <sheetViews>
    <sheetView showGridLines="0" zoomScaleNormal="100" workbookViewId="0">
      <selection activeCell="J22" sqref="J22"/>
    </sheetView>
  </sheetViews>
  <sheetFormatPr defaultRowHeight="14.4" x14ac:dyDescent="0.3"/>
  <cols>
    <col min="1" max="1" width="18.21875" customWidth="1"/>
    <col min="2" max="2" width="34.44140625" customWidth="1"/>
    <col min="3" max="3" width="9.44140625" customWidth="1"/>
    <col min="4" max="4" width="7.77734375" style="50" bestFit="1" customWidth="1"/>
    <col min="5" max="5" width="1.44140625" style="50" customWidth="1"/>
    <col min="6" max="6" width="5.21875" style="50" customWidth="1"/>
    <col min="7" max="7" width="5.5546875" bestFit="1" customWidth="1"/>
    <col min="8" max="8" width="3.44140625" customWidth="1"/>
    <col min="9" max="9" width="9.21875" bestFit="1" customWidth="1"/>
    <col min="11" max="11" width="3.5546875" customWidth="1"/>
    <col min="12" max="12" width="3.44140625" customWidth="1"/>
  </cols>
  <sheetData>
    <row r="1" spans="1:22" x14ac:dyDescent="0.3">
      <c r="B1" s="51"/>
      <c r="C1" s="190"/>
      <c r="D1" s="51"/>
      <c r="E1" s="51"/>
      <c r="F1" s="51"/>
    </row>
    <row r="2" spans="1:22" ht="14.55" customHeight="1" x14ac:dyDescent="0.3">
      <c r="B2" s="1199" t="s">
        <v>131</v>
      </c>
      <c r="C2" s="1212" t="s">
        <v>57</v>
      </c>
      <c r="D2" s="1213"/>
      <c r="E2" s="60"/>
      <c r="F2" s="60"/>
      <c r="I2" s="1212" t="s">
        <v>132</v>
      </c>
      <c r="J2" s="1213"/>
      <c r="M2" s="167" t="s">
        <v>133</v>
      </c>
      <c r="N2" s="167" t="s">
        <v>134</v>
      </c>
      <c r="O2" s="167" t="s">
        <v>135</v>
      </c>
      <c r="P2" s="45"/>
    </row>
    <row r="3" spans="1:22" x14ac:dyDescent="0.3">
      <c r="B3" s="1200"/>
      <c r="C3" s="1214"/>
      <c r="D3" s="1215"/>
      <c r="E3" s="60"/>
      <c r="F3" s="60"/>
      <c r="I3" s="1214"/>
      <c r="J3" s="1215"/>
      <c r="M3">
        <v>38.119999999999997</v>
      </c>
      <c r="N3">
        <v>37.43</v>
      </c>
      <c r="O3">
        <v>49.19</v>
      </c>
      <c r="P3" s="163">
        <f>O3/M3-1</f>
        <v>0.29039874081846806</v>
      </c>
      <c r="T3" t="s">
        <v>136</v>
      </c>
      <c r="U3" t="s">
        <v>137</v>
      </c>
    </row>
    <row r="4" spans="1:22" x14ac:dyDescent="0.3">
      <c r="B4" s="51"/>
      <c r="C4" s="1221">
        <f>'data entry '!Q115</f>
        <v>53186</v>
      </c>
      <c r="D4" s="1222"/>
      <c r="E4" s="61"/>
      <c r="F4" s="61"/>
      <c r="I4" s="1221">
        <v>6565</v>
      </c>
      <c r="J4" s="1222"/>
      <c r="T4" s="107">
        <f>(G7+G11+G12)</f>
        <v>47.196781107810324</v>
      </c>
    </row>
    <row r="5" spans="1:22" x14ac:dyDescent="0.3">
      <c r="B5" s="55" t="s">
        <v>68</v>
      </c>
      <c r="C5" s="323"/>
      <c r="D5" s="324"/>
      <c r="E5" s="325"/>
      <c r="F5" s="325"/>
      <c r="S5" t="s">
        <v>138</v>
      </c>
      <c r="T5" s="107">
        <f>T4</f>
        <v>47.196781107810324</v>
      </c>
      <c r="U5">
        <v>165.3</v>
      </c>
      <c r="V5" s="107">
        <f>T5*U5</f>
        <v>7801.6279171210472</v>
      </c>
    </row>
    <row r="6" spans="1:22" x14ac:dyDescent="0.3">
      <c r="B6" s="51"/>
      <c r="C6" s="318" t="s">
        <v>71</v>
      </c>
      <c r="D6" s="316" t="s">
        <v>72</v>
      </c>
      <c r="E6" s="61"/>
      <c r="F6" s="61" t="s">
        <v>136</v>
      </c>
      <c r="G6" s="32" t="s">
        <v>132</v>
      </c>
      <c r="I6" s="318" t="s">
        <v>71</v>
      </c>
      <c r="J6" s="316" t="s">
        <v>72</v>
      </c>
      <c r="S6" t="s">
        <v>139</v>
      </c>
      <c r="T6" s="107">
        <f>T5</f>
        <v>47.196781107810324</v>
      </c>
      <c r="U6">
        <v>185.43</v>
      </c>
      <c r="V6" s="107">
        <f>T6*U6*2</f>
        <v>17503.398241642539</v>
      </c>
    </row>
    <row r="7" spans="1:22" x14ac:dyDescent="0.3">
      <c r="A7" s="380" t="s">
        <v>140</v>
      </c>
      <c r="B7" s="2" t="s">
        <v>74</v>
      </c>
      <c r="C7" s="338">
        <v>961.83748000000003</v>
      </c>
      <c r="D7" s="340">
        <v>8.5640540997765129</v>
      </c>
      <c r="E7" s="61"/>
      <c r="F7" s="61">
        <v>447</v>
      </c>
      <c r="G7" s="32">
        <v>34</v>
      </c>
      <c r="I7" s="338">
        <f>C7/F7*G7</f>
        <v>73.159897807606271</v>
      </c>
      <c r="J7" s="340">
        <f>I7/$I$4*1000</f>
        <v>11.14392959750286</v>
      </c>
      <c r="M7" s="163">
        <f>J7/D7-1</f>
        <v>0.30124465208523965</v>
      </c>
      <c r="V7">
        <f>SUM(V4:V6)</f>
        <v>25305.026158763587</v>
      </c>
    </row>
    <row r="8" spans="1:22" x14ac:dyDescent="0.3">
      <c r="A8" s="380" t="s">
        <v>140</v>
      </c>
      <c r="B8" s="3" t="s">
        <v>75</v>
      </c>
      <c r="C8" s="338">
        <v>63.356640000000006</v>
      </c>
      <c r="D8" s="340">
        <v>0.56411785132355696</v>
      </c>
      <c r="E8" s="61"/>
      <c r="F8" s="61"/>
      <c r="I8" s="375">
        <f>D8*$I$4/1000</f>
        <v>3.7034336939391514</v>
      </c>
      <c r="J8" s="340">
        <f t="shared" ref="J8:J35" si="0">I8/$I$4*1000</f>
        <v>0.56411785132355696</v>
      </c>
    </row>
    <row r="9" spans="1:22" x14ac:dyDescent="0.3">
      <c r="A9" s="380" t="s">
        <v>140</v>
      </c>
      <c r="B9" s="3" t="s">
        <v>141</v>
      </c>
      <c r="C9" s="338">
        <v>41.553110000000004</v>
      </c>
      <c r="D9" s="340">
        <v>0.36998254845918921</v>
      </c>
      <c r="E9" s="61"/>
      <c r="F9" s="61"/>
      <c r="I9" s="338">
        <f>D9*$I$4/1000</f>
        <v>2.4289354306345774</v>
      </c>
      <c r="J9" s="340">
        <f t="shared" si="0"/>
        <v>0.36998254845918921</v>
      </c>
    </row>
    <row r="10" spans="1:22" x14ac:dyDescent="0.3">
      <c r="A10" s="380" t="s">
        <v>140</v>
      </c>
      <c r="B10" s="4" t="s">
        <v>79</v>
      </c>
      <c r="C10" s="166">
        <v>1066.7472300000002</v>
      </c>
      <c r="D10" s="321">
        <v>9.4981544995592611</v>
      </c>
      <c r="E10" s="61"/>
      <c r="F10" s="61"/>
      <c r="I10" s="166">
        <f>SUM(I7:I9)</f>
        <v>79.292266932179999</v>
      </c>
      <c r="J10" s="178">
        <f>SUM(J7:J9)</f>
        <v>12.078029997285606</v>
      </c>
    </row>
    <row r="11" spans="1:22" x14ac:dyDescent="0.3">
      <c r="A11" s="380" t="s">
        <v>140</v>
      </c>
      <c r="B11" s="3" t="s">
        <v>80</v>
      </c>
      <c r="C11" s="331">
        <v>409.57862</v>
      </c>
      <c r="D11" s="332">
        <v>3.6468255113034345</v>
      </c>
      <c r="E11" s="61"/>
      <c r="F11" s="61">
        <v>157</v>
      </c>
      <c r="G11" s="32">
        <f>9</f>
        <v>9</v>
      </c>
      <c r="I11" s="338">
        <f>C11/F11*G11</f>
        <v>23.479029171974524</v>
      </c>
      <c r="J11" s="332">
        <f t="shared" si="0"/>
        <v>3.5763943902474522</v>
      </c>
      <c r="K11" s="32">
        <v>4</v>
      </c>
      <c r="M11" s="390">
        <f>C11/F11*K11</f>
        <v>10.435124076433121</v>
      </c>
      <c r="N11" s="391">
        <f>M11*1000/I4</f>
        <v>1.5895086178877564</v>
      </c>
      <c r="O11" s="381" t="s">
        <v>142</v>
      </c>
    </row>
    <row r="12" spans="1:22" x14ac:dyDescent="0.3">
      <c r="A12" s="380" t="s">
        <v>140</v>
      </c>
      <c r="B12" s="3" t="s">
        <v>81</v>
      </c>
      <c r="C12" s="338">
        <v>105.67001</v>
      </c>
      <c r="D12" s="340">
        <v>0.94086963877091301</v>
      </c>
      <c r="E12" s="61"/>
      <c r="F12" s="61">
        <v>34</v>
      </c>
      <c r="G12" s="32">
        <f>F12/C4*I4</f>
        <v>4.1967811078103265</v>
      </c>
      <c r="I12" s="392">
        <f>D12*I4/1000</f>
        <v>6.1768091785310437</v>
      </c>
      <c r="J12" s="393">
        <f t="shared" si="0"/>
        <v>0.94086963877091301</v>
      </c>
    </row>
    <row r="13" spans="1:22" x14ac:dyDescent="0.3">
      <c r="A13" s="380" t="s">
        <v>140</v>
      </c>
      <c r="B13" s="3" t="s">
        <v>82</v>
      </c>
      <c r="C13" s="338">
        <v>191.79625000000004</v>
      </c>
      <c r="D13" s="340">
        <v>1.7077245327706105</v>
      </c>
      <c r="E13" s="61"/>
      <c r="F13" s="61"/>
      <c r="I13" s="392">
        <f>D13*I4/1000</f>
        <v>11.211211557639059</v>
      </c>
      <c r="J13" s="393">
        <f t="shared" si="0"/>
        <v>1.7077245327706108</v>
      </c>
    </row>
    <row r="14" spans="1:22" x14ac:dyDescent="0.3">
      <c r="A14" s="380" t="s">
        <v>140</v>
      </c>
      <c r="B14" s="3" t="s">
        <v>83</v>
      </c>
      <c r="C14" s="338">
        <v>4.0309399999999993</v>
      </c>
      <c r="D14" s="340">
        <v>3.5890874446848478E-2</v>
      </c>
      <c r="E14" s="61"/>
      <c r="F14" s="61"/>
      <c r="I14" s="392">
        <f>D14*$I$4/1000</f>
        <v>0.23562359074356026</v>
      </c>
      <c r="J14" s="393">
        <f t="shared" si="0"/>
        <v>3.5890874446848478E-2</v>
      </c>
    </row>
    <row r="15" spans="1:22" x14ac:dyDescent="0.3">
      <c r="A15" s="380" t="s">
        <v>140</v>
      </c>
      <c r="B15" s="3" t="s">
        <v>84</v>
      </c>
      <c r="C15" s="338">
        <v>52.07714</v>
      </c>
      <c r="D15" s="340">
        <v>0.46368690511169874</v>
      </c>
      <c r="E15" s="322"/>
      <c r="F15" s="322"/>
      <c r="I15" s="392">
        <f t="shared" ref="I15:I16" si="1">D15*$I$4/1000</f>
        <v>3.0441045320583022</v>
      </c>
      <c r="J15" s="393">
        <f t="shared" si="0"/>
        <v>0.46368690511169874</v>
      </c>
    </row>
    <row r="16" spans="1:22" x14ac:dyDescent="0.3">
      <c r="A16" s="380" t="s">
        <v>140</v>
      </c>
      <c r="B16" s="3" t="s">
        <v>86</v>
      </c>
      <c r="C16" s="338">
        <v>78.796309999999991</v>
      </c>
      <c r="D16" s="340">
        <v>0.7015903161756194</v>
      </c>
      <c r="E16" s="61"/>
      <c r="F16" s="61"/>
      <c r="I16" s="392">
        <f t="shared" si="1"/>
        <v>4.6059404256929408</v>
      </c>
      <c r="J16" s="393">
        <f t="shared" si="0"/>
        <v>0.70159031617561929</v>
      </c>
    </row>
    <row r="17" spans="1:13" x14ac:dyDescent="0.3">
      <c r="A17" s="380" t="s">
        <v>140</v>
      </c>
      <c r="B17" s="4" t="s">
        <v>87</v>
      </c>
      <c r="C17" s="166">
        <v>841.94927000000007</v>
      </c>
      <c r="D17" s="321">
        <v>7.4965877785791246</v>
      </c>
      <c r="E17" s="61"/>
      <c r="F17" s="61"/>
      <c r="I17" s="178">
        <f>SUM(I11:I16)</f>
        <v>48.752718456639435</v>
      </c>
      <c r="J17" s="178">
        <f>SUM(J11:J16)</f>
        <v>7.4261566575231424</v>
      </c>
    </row>
    <row r="18" spans="1:13" x14ac:dyDescent="0.3">
      <c r="A18" s="380" t="s">
        <v>140</v>
      </c>
      <c r="B18" s="5" t="s">
        <v>88</v>
      </c>
      <c r="C18" s="267">
        <v>1908.6965000000002</v>
      </c>
      <c r="D18" s="327">
        <v>16.994742278138386</v>
      </c>
      <c r="E18" s="61"/>
      <c r="F18" s="61"/>
      <c r="I18" s="179">
        <f>I17+I10</f>
        <v>128.04498538881944</v>
      </c>
      <c r="J18" s="327">
        <f t="shared" si="0"/>
        <v>19.504186654808748</v>
      </c>
    </row>
    <row r="19" spans="1:13" x14ac:dyDescent="0.3">
      <c r="A19" s="380" t="s">
        <v>140</v>
      </c>
      <c r="B19" s="3" t="s">
        <v>89</v>
      </c>
      <c r="C19" s="338">
        <v>16.806989999999999</v>
      </c>
      <c r="D19" s="340">
        <v>0.14964687341400218</v>
      </c>
      <c r="E19" s="61"/>
      <c r="F19" s="61"/>
      <c r="I19" s="392">
        <f t="shared" ref="I19" si="2">D19*$I$4/1000</f>
        <v>0.98243172396292422</v>
      </c>
      <c r="J19" s="393">
        <f t="shared" si="0"/>
        <v>0.14964687341400218</v>
      </c>
    </row>
    <row r="20" spans="1:13" x14ac:dyDescent="0.3">
      <c r="A20" s="380" t="s">
        <v>140</v>
      </c>
      <c r="B20" s="5" t="s">
        <v>90</v>
      </c>
      <c r="C20" s="267">
        <v>1925.5034900000003</v>
      </c>
      <c r="D20" s="327">
        <v>17.144389151552389</v>
      </c>
      <c r="E20" s="61"/>
      <c r="F20" s="61"/>
      <c r="I20" s="179">
        <f>I19+I18</f>
        <v>129.02741711278236</v>
      </c>
      <c r="J20" s="327">
        <f t="shared" si="0"/>
        <v>19.653833528222748</v>
      </c>
    </row>
    <row r="21" spans="1:13" x14ac:dyDescent="0.3">
      <c r="A21" s="380" t="s">
        <v>140</v>
      </c>
      <c r="B21" s="272" t="s">
        <v>91</v>
      </c>
      <c r="C21" s="345">
        <v>263.21195999999998</v>
      </c>
      <c r="D21" s="346">
        <v>2.3435991131768033</v>
      </c>
      <c r="E21" s="61"/>
      <c r="F21" s="61"/>
      <c r="I21" s="392">
        <f t="shared" ref="I21" si="3">D21*$I$4/1000</f>
        <v>15.385728178005714</v>
      </c>
      <c r="J21" s="393">
        <f t="shared" si="0"/>
        <v>2.3435991131768033</v>
      </c>
    </row>
    <row r="22" spans="1:13" x14ac:dyDescent="0.3">
      <c r="A22" s="380" t="s">
        <v>140</v>
      </c>
      <c r="B22" s="274" t="s">
        <v>92</v>
      </c>
      <c r="C22" s="275">
        <v>2188.7154500000001</v>
      </c>
      <c r="D22" s="328">
        <v>19.487988264729193</v>
      </c>
      <c r="E22" s="61"/>
      <c r="F22" s="61"/>
      <c r="I22" s="313">
        <f>I21+I20</f>
        <v>144.41314529078807</v>
      </c>
      <c r="J22" s="313">
        <f t="shared" si="0"/>
        <v>21.997432641399552</v>
      </c>
      <c r="M22" s="163">
        <f>J22/D22-1</f>
        <v>0.12876877503113748</v>
      </c>
    </row>
    <row r="23" spans="1:13" x14ac:dyDescent="0.3">
      <c r="A23" s="45"/>
      <c r="B23" s="51"/>
      <c r="C23" s="51"/>
      <c r="D23" s="270"/>
      <c r="E23" s="61"/>
      <c r="F23" s="61"/>
      <c r="I23" s="278"/>
      <c r="J23" s="270">
        <f t="shared" si="0"/>
        <v>0</v>
      </c>
    </row>
    <row r="24" spans="1:13" hidden="1" x14ac:dyDescent="0.3">
      <c r="A24" s="380" t="s">
        <v>143</v>
      </c>
      <c r="B24" s="2" t="s">
        <v>76</v>
      </c>
      <c r="C24" s="365">
        <v>43.395480000000006</v>
      </c>
      <c r="D24" s="366">
        <v>0.38638672970590593</v>
      </c>
      <c r="E24" s="61"/>
      <c r="F24" s="61"/>
      <c r="I24" s="376"/>
      <c r="J24" s="366">
        <f t="shared" si="0"/>
        <v>0</v>
      </c>
    </row>
    <row r="25" spans="1:13" hidden="1" x14ac:dyDescent="0.3">
      <c r="A25" s="380" t="s">
        <v>143</v>
      </c>
      <c r="B25" s="3" t="s">
        <v>77</v>
      </c>
      <c r="C25" s="339">
        <v>-128.11905000000002</v>
      </c>
      <c r="D25" s="340">
        <v>-1.1407524641397548</v>
      </c>
      <c r="E25" s="61"/>
      <c r="F25" s="61"/>
      <c r="I25" s="377"/>
      <c r="J25" s="340">
        <f t="shared" si="0"/>
        <v>0</v>
      </c>
    </row>
    <row r="26" spans="1:13" hidden="1" x14ac:dyDescent="0.3">
      <c r="A26" s="380" t="s">
        <v>143</v>
      </c>
      <c r="B26" s="3" t="s">
        <v>144</v>
      </c>
      <c r="C26" s="339">
        <v>11.524239999999999</v>
      </c>
      <c r="D26" s="340">
        <v>0.10261007381289454</v>
      </c>
      <c r="E26" s="61"/>
      <c r="F26" s="61"/>
      <c r="I26" s="377"/>
      <c r="J26" s="340">
        <f t="shared" si="0"/>
        <v>0</v>
      </c>
    </row>
    <row r="27" spans="1:13" hidden="1" x14ac:dyDescent="0.3">
      <c r="A27" s="380" t="s">
        <v>143</v>
      </c>
      <c r="B27" s="3" t="s">
        <v>85</v>
      </c>
      <c r="C27" s="339">
        <v>25</v>
      </c>
      <c r="D27" s="340">
        <v>0.22259618381102472</v>
      </c>
      <c r="E27" s="61"/>
      <c r="F27" s="61"/>
      <c r="I27" s="377"/>
      <c r="J27" s="340">
        <f t="shared" si="0"/>
        <v>0</v>
      </c>
    </row>
    <row r="28" spans="1:13" hidden="1" x14ac:dyDescent="0.3">
      <c r="A28" s="380" t="s">
        <v>143</v>
      </c>
      <c r="B28" s="363" t="s">
        <v>145</v>
      </c>
      <c r="C28" s="368">
        <v>0</v>
      </c>
      <c r="D28" s="369">
        <v>0</v>
      </c>
      <c r="E28" s="61"/>
      <c r="F28" s="61"/>
      <c r="I28" s="378"/>
      <c r="J28" s="369">
        <f t="shared" si="0"/>
        <v>0</v>
      </c>
    </row>
    <row r="29" spans="1:13" hidden="1" x14ac:dyDescent="0.3">
      <c r="A29" s="380" t="s">
        <v>143</v>
      </c>
      <c r="B29" s="274" t="s">
        <v>146</v>
      </c>
      <c r="C29" s="275">
        <v>-48.199330000000003</v>
      </c>
      <c r="D29" s="313">
        <v>-0.42915947680992961</v>
      </c>
      <c r="E29" s="61"/>
      <c r="F29" s="61"/>
      <c r="I29" s="313"/>
      <c r="J29" s="313">
        <f t="shared" si="0"/>
        <v>0</v>
      </c>
    </row>
    <row r="30" spans="1:13" hidden="1" x14ac:dyDescent="0.3">
      <c r="A30" s="45"/>
      <c r="B30" s="51"/>
      <c r="C30" s="51"/>
      <c r="D30" s="270"/>
      <c r="E30" s="61"/>
      <c r="F30" s="61"/>
      <c r="I30" s="278"/>
      <c r="J30" s="270">
        <f t="shared" si="0"/>
        <v>0</v>
      </c>
    </row>
    <row r="31" spans="1:13" hidden="1" x14ac:dyDescent="0.3">
      <c r="A31" s="380" t="s">
        <v>147</v>
      </c>
      <c r="B31" s="2" t="s">
        <v>148</v>
      </c>
      <c r="C31" s="365">
        <v>213.47407999999999</v>
      </c>
      <c r="D31" s="366">
        <v>1.9007406220227758</v>
      </c>
      <c r="E31" s="61"/>
      <c r="F31" s="61"/>
      <c r="I31" s="376"/>
      <c r="J31" s="366">
        <f t="shared" si="0"/>
        <v>0</v>
      </c>
    </row>
    <row r="32" spans="1:13" hidden="1" x14ac:dyDescent="0.3">
      <c r="A32" s="380" t="s">
        <v>147</v>
      </c>
      <c r="B32" s="363" t="s">
        <v>149</v>
      </c>
      <c r="C32" s="368">
        <v>93.097480000000019</v>
      </c>
      <c r="D32" s="369">
        <v>0.82892575081692821</v>
      </c>
      <c r="E32" s="61"/>
      <c r="F32" s="61"/>
      <c r="I32" s="378"/>
      <c r="J32" s="369">
        <f t="shared" si="0"/>
        <v>0</v>
      </c>
    </row>
    <row r="33" spans="1:10" hidden="1" x14ac:dyDescent="0.3">
      <c r="A33" s="380" t="s">
        <v>147</v>
      </c>
      <c r="B33" s="274" t="s">
        <v>150</v>
      </c>
      <c r="C33" s="275">
        <v>306.57155999999998</v>
      </c>
      <c r="D33" s="313">
        <v>2.7296663728397039</v>
      </c>
      <c r="E33" s="61"/>
      <c r="F33" s="61"/>
      <c r="I33" s="313"/>
      <c r="J33" s="313">
        <f t="shared" si="0"/>
        <v>0</v>
      </c>
    </row>
    <row r="34" spans="1:10" hidden="1" x14ac:dyDescent="0.3">
      <c r="A34" s="45"/>
      <c r="B34" s="51"/>
      <c r="C34" s="51"/>
      <c r="D34" s="270"/>
      <c r="E34" s="61"/>
      <c r="F34" s="61"/>
      <c r="I34" s="278"/>
      <c r="J34" s="270">
        <f t="shared" si="0"/>
        <v>0</v>
      </c>
    </row>
    <row r="35" spans="1:10" hidden="1" x14ac:dyDescent="0.3">
      <c r="A35" s="380" t="s">
        <v>151</v>
      </c>
      <c r="B35" s="274" t="s">
        <v>152</v>
      </c>
      <c r="C35" s="275">
        <v>2447.0876800000001</v>
      </c>
      <c r="D35" s="313">
        <v>21.788495160758966</v>
      </c>
      <c r="E35" s="61"/>
      <c r="F35" s="61"/>
      <c r="I35" s="313"/>
      <c r="J35" s="313">
        <f t="shared" si="0"/>
        <v>0</v>
      </c>
    </row>
    <row r="36" spans="1:10" hidden="1" x14ac:dyDescent="0.3">
      <c r="B36" s="51"/>
      <c r="C36" s="51"/>
      <c r="D36" s="270"/>
      <c r="E36" s="61"/>
      <c r="F36" s="61"/>
      <c r="I36" s="278"/>
      <c r="J36" s="270"/>
    </row>
    <row r="37" spans="1:10" hidden="1" x14ac:dyDescent="0.3">
      <c r="A37" s="370" t="s">
        <v>153</v>
      </c>
      <c r="B37" s="371"/>
      <c r="C37" s="372">
        <v>0</v>
      </c>
      <c r="D37" s="372">
        <v>0</v>
      </c>
      <c r="E37" s="61"/>
      <c r="F37" s="61"/>
      <c r="I37" s="374"/>
      <c r="J37" s="374"/>
    </row>
    <row r="38" spans="1:10" hidden="1" x14ac:dyDescent="0.3">
      <c r="B38" s="51"/>
      <c r="C38" s="51"/>
      <c r="D38" s="270"/>
      <c r="E38" s="61"/>
      <c r="F38" s="61"/>
    </row>
    <row r="39" spans="1:10" hidden="1" x14ac:dyDescent="0.3">
      <c r="B39" s="51"/>
      <c r="C39" s="51"/>
      <c r="D39" s="270"/>
      <c r="E39" s="61"/>
      <c r="F39" s="61"/>
      <c r="I39" s="162"/>
      <c r="J39" s="162"/>
    </row>
    <row r="40" spans="1:10" hidden="1" x14ac:dyDescent="0.3">
      <c r="B40" s="51"/>
      <c r="C40" s="51"/>
      <c r="D40" s="270"/>
      <c r="E40" s="61"/>
      <c r="F40" s="61"/>
    </row>
    <row r="41" spans="1:10" ht="21" hidden="1" x14ac:dyDescent="0.4">
      <c r="B41" s="74"/>
      <c r="C41" s="190"/>
      <c r="D41" s="278"/>
      <c r="E41" s="189"/>
      <c r="F41" s="189"/>
    </row>
    <row r="42" spans="1:10" hidden="1" x14ac:dyDescent="0.3">
      <c r="B42" s="51"/>
      <c r="C42" s="190"/>
      <c r="D42" s="51"/>
      <c r="E42" s="51"/>
      <c r="F42" s="51"/>
    </row>
    <row r="43" spans="1:10" ht="17.55" hidden="1" customHeight="1" x14ac:dyDescent="0.35">
      <c r="B43" s="284"/>
      <c r="D43" s="189"/>
    </row>
    <row r="44" spans="1:10" ht="139.80000000000001" hidden="1" customHeight="1" x14ac:dyDescent="0.3">
      <c r="B44" s="388"/>
    </row>
    <row r="45" spans="1:10" ht="123.6" hidden="1" customHeight="1" x14ac:dyDescent="0.3">
      <c r="B45" s="388"/>
    </row>
    <row r="46" spans="1:10" ht="18" hidden="1" x14ac:dyDescent="0.35">
      <c r="B46" s="350"/>
    </row>
    <row r="47" spans="1:10" ht="75.599999999999994" hidden="1" customHeight="1" x14ac:dyDescent="0.3">
      <c r="B47" s="387"/>
    </row>
    <row r="48" spans="1:10" ht="18" hidden="1" x14ac:dyDescent="0.35">
      <c r="B48" s="350"/>
    </row>
    <row r="49" spans="2:2" ht="18" hidden="1" x14ac:dyDescent="0.35">
      <c r="B49" s="350"/>
    </row>
    <row r="50" spans="2:2" ht="87.6" hidden="1" customHeight="1" x14ac:dyDescent="0.3">
      <c r="B50" s="389"/>
    </row>
    <row r="51" spans="2:2" ht="18" hidden="1" x14ac:dyDescent="0.35">
      <c r="B51" s="350"/>
    </row>
    <row r="52" spans="2:2" ht="157.35" hidden="1" customHeight="1" x14ac:dyDescent="0.3">
      <c r="B52" s="387"/>
    </row>
    <row r="53" spans="2:2" ht="18" hidden="1" x14ac:dyDescent="0.35">
      <c r="B53" s="350"/>
    </row>
    <row r="54" spans="2:2" hidden="1" x14ac:dyDescent="0.3">
      <c r="B54" s="351"/>
    </row>
    <row r="55" spans="2:2" hidden="1" x14ac:dyDescent="0.3">
      <c r="B55" s="352"/>
    </row>
    <row r="56" spans="2:2" ht="18" hidden="1" x14ac:dyDescent="0.35">
      <c r="B56" s="350"/>
    </row>
    <row r="57" spans="2:2" hidden="1" x14ac:dyDescent="0.3">
      <c r="B57" s="353"/>
    </row>
    <row r="58" spans="2:2" ht="129" hidden="1" customHeight="1" x14ac:dyDescent="0.3">
      <c r="B58" s="353"/>
    </row>
    <row r="59" spans="2:2" hidden="1" x14ac:dyDescent="0.3">
      <c r="B59" s="349"/>
    </row>
    <row r="60" spans="2:2" ht="18" hidden="1" x14ac:dyDescent="0.35">
      <c r="B60" s="350"/>
    </row>
    <row r="61" spans="2:2" ht="67.8" hidden="1" customHeight="1" x14ac:dyDescent="0.3">
      <c r="B61" s="354"/>
    </row>
    <row r="62" spans="2:2" ht="106.8" hidden="1" customHeight="1" x14ac:dyDescent="0.3">
      <c r="B62" s="353"/>
    </row>
    <row r="63" spans="2:2" x14ac:dyDescent="0.3">
      <c r="B63" s="349"/>
    </row>
    <row r="64" spans="2:2" ht="18" x14ac:dyDescent="0.35">
      <c r="B64" s="350"/>
    </row>
    <row r="65" spans="2:2" ht="132" customHeight="1" x14ac:dyDescent="0.3">
      <c r="B65" s="355"/>
    </row>
    <row r="66" spans="2:2" ht="79.349999999999994" customHeight="1" x14ac:dyDescent="0.3">
      <c r="B66" s="357"/>
    </row>
    <row r="67" spans="2:2" x14ac:dyDescent="0.3">
      <c r="B67" s="349"/>
    </row>
    <row r="68" spans="2:2" ht="18" x14ac:dyDescent="0.35">
      <c r="B68" s="350"/>
    </row>
    <row r="69" spans="2:2" ht="77.55" customHeight="1" x14ac:dyDescent="0.3">
      <c r="B69" s="358"/>
    </row>
    <row r="70" spans="2:2" x14ac:dyDescent="0.3">
      <c r="B70" s="349"/>
    </row>
    <row r="71" spans="2:2" x14ac:dyDescent="0.3">
      <c r="B71" s="349"/>
    </row>
    <row r="72" spans="2:2" ht="18" x14ac:dyDescent="0.35">
      <c r="B72" s="350"/>
    </row>
    <row r="73" spans="2:2" x14ac:dyDescent="0.3">
      <c r="B73" s="357"/>
    </row>
    <row r="74" spans="2:2" x14ac:dyDescent="0.3">
      <c r="B74" s="359"/>
    </row>
    <row r="75" spans="2:2" ht="18" x14ac:dyDescent="0.35">
      <c r="B75" s="350"/>
    </row>
    <row r="76" spans="2:2" x14ac:dyDescent="0.3">
      <c r="B76" s="360"/>
    </row>
    <row r="77" spans="2:2" x14ac:dyDescent="0.3">
      <c r="B77" s="349"/>
    </row>
    <row r="78" spans="2:2" ht="18" x14ac:dyDescent="0.35">
      <c r="B78" s="350"/>
    </row>
    <row r="79" spans="2:2" x14ac:dyDescent="0.3">
      <c r="B79" s="360"/>
    </row>
    <row r="80" spans="2:2" x14ac:dyDescent="0.3">
      <c r="B80" s="349"/>
    </row>
    <row r="81" spans="2:2" x14ac:dyDescent="0.3">
      <c r="B81" s="349"/>
    </row>
    <row r="82" spans="2:2" ht="18" x14ac:dyDescent="0.35">
      <c r="B82" s="350"/>
    </row>
    <row r="83" spans="2:2" x14ac:dyDescent="0.3">
      <c r="B83" s="360"/>
    </row>
    <row r="84" spans="2:2" x14ac:dyDescent="0.3">
      <c r="B84" s="356"/>
    </row>
    <row r="85" spans="2:2" x14ac:dyDescent="0.3">
      <c r="B85" s="356"/>
    </row>
  </sheetData>
  <mergeCells count="5">
    <mergeCell ref="I4:J4"/>
    <mergeCell ref="C4:D4"/>
    <mergeCell ref="B2:B3"/>
    <mergeCell ref="C2:D3"/>
    <mergeCell ref="I2:J3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49E3-31D1-4569-B3BD-C5CDB6A3223B}">
  <sheetPr codeName="Sheet11">
    <tabColor theme="6" tint="0.59999389629810485"/>
  </sheetPr>
  <dimension ref="A1:R87"/>
  <sheetViews>
    <sheetView showGridLines="0" topLeftCell="A7" zoomScale="70" zoomScaleNormal="70" workbookViewId="0">
      <selection activeCell="M13" sqref="M13"/>
    </sheetView>
  </sheetViews>
  <sheetFormatPr defaultRowHeight="14.4" x14ac:dyDescent="0.3"/>
  <cols>
    <col min="1" max="1" width="19.44140625" customWidth="1"/>
    <col min="2" max="2" width="34.44140625" customWidth="1"/>
    <col min="3" max="3" width="10.5546875" customWidth="1"/>
    <col min="4" max="4" width="8.5546875" customWidth="1"/>
    <col min="5" max="5" width="4.5546875" customWidth="1"/>
    <col min="6" max="6" width="12.44140625" bestFit="1" customWidth="1"/>
    <col min="7" max="7" width="7.77734375" style="50" bestFit="1" customWidth="1"/>
    <col min="8" max="8" width="1.44140625" style="50" customWidth="1"/>
    <col min="9" max="9" width="9.21875" bestFit="1" customWidth="1"/>
    <col min="10" max="10" width="7.77734375" style="50" customWidth="1"/>
    <col min="11" max="11" width="2.21875" customWidth="1"/>
    <col min="12" max="12" width="12.44140625" customWidth="1"/>
    <col min="13" max="13" width="169.44140625" bestFit="1" customWidth="1"/>
    <col min="14" max="14" width="18.21875" customWidth="1"/>
    <col min="15" max="15" width="3.44140625" customWidth="1"/>
  </cols>
  <sheetData>
    <row r="1" spans="1:18" x14ac:dyDescent="0.3">
      <c r="B1" s="51"/>
      <c r="C1" s="51"/>
      <c r="D1" s="51"/>
      <c r="E1" s="52"/>
      <c r="F1" s="190"/>
      <c r="G1" s="51"/>
      <c r="H1" s="51"/>
      <c r="I1" s="190"/>
      <c r="J1" s="51"/>
    </row>
    <row r="2" spans="1:18" ht="14.55" customHeight="1" x14ac:dyDescent="0.3">
      <c r="B2" s="1199" t="s">
        <v>1021</v>
      </c>
      <c r="C2" s="1201" t="s">
        <v>623</v>
      </c>
      <c r="D2" s="1202"/>
      <c r="E2" s="1205"/>
      <c r="F2" s="1212" t="s">
        <v>57</v>
      </c>
      <c r="G2" s="1213"/>
      <c r="H2" s="60"/>
      <c r="I2" s="1212" t="s">
        <v>1070</v>
      </c>
      <c r="J2" s="1213"/>
      <c r="L2" s="1232" t="s">
        <v>154</v>
      </c>
    </row>
    <row r="3" spans="1:18" x14ac:dyDescent="0.3">
      <c r="B3" s="1200"/>
      <c r="C3" s="1203"/>
      <c r="D3" s="1204"/>
      <c r="E3" s="1205"/>
      <c r="F3" s="1214"/>
      <c r="G3" s="1215"/>
      <c r="H3" s="60"/>
      <c r="I3" s="1214"/>
      <c r="J3" s="1215"/>
      <c r="L3" s="1233"/>
    </row>
    <row r="4" spans="1:18" x14ac:dyDescent="0.3">
      <c r="B4" s="51"/>
      <c r="C4" s="1221">
        <f>+'MTD Report(HQD)_variance'!B4</f>
        <v>53265</v>
      </c>
      <c r="D4" s="1222"/>
      <c r="E4" s="52"/>
      <c r="F4" s="1221">
        <f>+'MTD Report(HQD)_variance'!Q4</f>
        <v>53186</v>
      </c>
      <c r="G4" s="1222"/>
      <c r="H4" s="61"/>
      <c r="I4" s="1221">
        <v>54900</v>
      </c>
      <c r="J4" s="1222"/>
      <c r="L4" s="379">
        <f>+F4-I4</f>
        <v>-1714</v>
      </c>
    </row>
    <row r="5" spans="1:18" x14ac:dyDescent="0.3">
      <c r="B5" s="55" t="s">
        <v>68</v>
      </c>
      <c r="C5" s="54"/>
      <c r="D5" s="51"/>
      <c r="E5" s="52"/>
      <c r="F5" s="323"/>
      <c r="G5" s="324"/>
      <c r="H5" s="325"/>
      <c r="I5" s="323"/>
      <c r="J5" s="324"/>
    </row>
    <row r="6" spans="1:18" x14ac:dyDescent="0.3">
      <c r="B6" s="51"/>
      <c r="C6" s="318" t="s">
        <v>71</v>
      </c>
      <c r="D6" s="316" t="s">
        <v>72</v>
      </c>
      <c r="E6" s="52"/>
      <c r="F6" s="318" t="s">
        <v>71</v>
      </c>
      <c r="G6" s="316" t="s">
        <v>72</v>
      </c>
      <c r="H6" s="61"/>
      <c r="I6" s="318" t="s">
        <v>71</v>
      </c>
      <c r="J6" s="316" t="s">
        <v>72</v>
      </c>
    </row>
    <row r="7" spans="1:18" ht="17.399999999999999" customHeight="1" x14ac:dyDescent="0.3">
      <c r="A7" s="380" t="s">
        <v>140</v>
      </c>
      <c r="B7" s="2" t="s">
        <v>74</v>
      </c>
      <c r="C7" s="334">
        <f>+'MTD Report(HQD)_variance'!B7</f>
        <v>503</v>
      </c>
      <c r="D7" s="1169">
        <f>+C7*1000/$C$4</f>
        <v>9.4433492912794517</v>
      </c>
      <c r="E7" s="336"/>
      <c r="F7" s="338">
        <f>+'MTD Report(HQD)_variance'!Q7</f>
        <v>391.63361000000003</v>
      </c>
      <c r="G7" s="1161">
        <f>+F7*1000/$F$4</f>
        <v>7.3634717782875203</v>
      </c>
      <c r="H7" s="61"/>
      <c r="I7" s="338">
        <v>460.99009772594502</v>
      </c>
      <c r="J7" s="1161">
        <f>+I7*1000/$I$4</f>
        <v>8.3969052409097458</v>
      </c>
      <c r="L7" s="418">
        <f>+F7-I7</f>
        <v>-69.356487725944987</v>
      </c>
      <c r="M7" s="783" t="s">
        <v>1058</v>
      </c>
    </row>
    <row r="8" spans="1:18" x14ac:dyDescent="0.3">
      <c r="A8" s="380" t="s">
        <v>140</v>
      </c>
      <c r="B8" s="3" t="s">
        <v>75</v>
      </c>
      <c r="C8" s="334">
        <f>+'MTD Report(HQD)_variance'!B8</f>
        <v>35.762038109159064</v>
      </c>
      <c r="D8" s="1169">
        <f t="shared" ref="D8:D35" si="0">+C8*1000/$C$4</f>
        <v>0.67139844380285496</v>
      </c>
      <c r="E8" s="336"/>
      <c r="F8" s="338">
        <f>+'MTD Report(HQD)_variance'!Q8</f>
        <v>28.66065</v>
      </c>
      <c r="G8" s="1161">
        <f t="shared" ref="G8:G22" si="1">+F8*1000/$F$4</f>
        <v>0.53887583198586098</v>
      </c>
      <c r="H8" s="61"/>
      <c r="I8" s="338">
        <v>39.635645461518337</v>
      </c>
      <c r="J8" s="1161">
        <f t="shared" ref="J8:J35" si="2">+I8*1000/$I$4</f>
        <v>0.72196075521891323</v>
      </c>
      <c r="L8" s="419">
        <f t="shared" ref="L8:L35" si="3">+F8-I8</f>
        <v>-10.974995461518336</v>
      </c>
      <c r="P8" s="32"/>
      <c r="Q8" s="32"/>
      <c r="R8" s="32"/>
    </row>
    <row r="9" spans="1:18" x14ac:dyDescent="0.3">
      <c r="A9" s="380" t="s">
        <v>140</v>
      </c>
      <c r="B9" s="3" t="s">
        <v>141</v>
      </c>
      <c r="C9" s="334">
        <f>+'MTD Report(HQD)_variance'!B9</f>
        <v>17.566500000000001</v>
      </c>
      <c r="D9" s="1169">
        <f t="shared" si="0"/>
        <v>0.32979442410588566</v>
      </c>
      <c r="E9" s="336"/>
      <c r="F9" s="338">
        <f>+'MTD Report(HQD)_variance'!Q9</f>
        <v>28.885670000000001</v>
      </c>
      <c r="G9" s="1161">
        <f t="shared" si="1"/>
        <v>0.54310664460572333</v>
      </c>
      <c r="H9" s="61"/>
      <c r="I9" s="338">
        <v>17.076248421284813</v>
      </c>
      <c r="J9" s="1161">
        <f t="shared" si="2"/>
        <v>0.31104277634398569</v>
      </c>
      <c r="L9" s="419">
        <f t="shared" si="3"/>
        <v>11.809421578715188</v>
      </c>
      <c r="P9" s="32"/>
    </row>
    <row r="10" spans="1:18" x14ac:dyDescent="0.3">
      <c r="A10" s="380" t="s">
        <v>140</v>
      </c>
      <c r="B10" s="4" t="s">
        <v>79</v>
      </c>
      <c r="C10" s="57">
        <f>+'MTD Report(HQD)_variance'!B10</f>
        <v>556.32853810915913</v>
      </c>
      <c r="D10" s="1170">
        <f t="shared" si="0"/>
        <v>10.444542159188194</v>
      </c>
      <c r="E10" s="52"/>
      <c r="F10" s="166">
        <f>+'MTD Report(HQD)_variance'!Q10</f>
        <v>449.17993000000001</v>
      </c>
      <c r="G10" s="1162">
        <f t="shared" si="1"/>
        <v>8.4454542548791025</v>
      </c>
      <c r="H10" s="61"/>
      <c r="I10" s="166">
        <v>517.70199160874813</v>
      </c>
      <c r="J10" s="1162">
        <f t="shared" si="2"/>
        <v>9.4299087724726434</v>
      </c>
      <c r="L10" s="420">
        <f t="shared" si="3"/>
        <v>-68.522061608748118</v>
      </c>
      <c r="P10" s="32"/>
    </row>
    <row r="11" spans="1:18" x14ac:dyDescent="0.3">
      <c r="A11" s="380" t="s">
        <v>140</v>
      </c>
      <c r="B11" s="3" t="s">
        <v>80</v>
      </c>
      <c r="C11" s="56">
        <f>+'MTD Report(HQD)_variance'!B11</f>
        <v>217.31855808470829</v>
      </c>
      <c r="D11" s="1171">
        <f t="shared" si="0"/>
        <v>4.0799504005389711</v>
      </c>
      <c r="E11" s="52"/>
      <c r="F11" s="331">
        <f>+'MTD Report(HQD)_variance'!Q11</f>
        <v>229.24062000000001</v>
      </c>
      <c r="G11" s="1163">
        <f t="shared" si="1"/>
        <v>4.3101684653856278</v>
      </c>
      <c r="H11" s="61"/>
      <c r="I11" s="331">
        <v>221.97209510019147</v>
      </c>
      <c r="J11" s="1163">
        <f t="shared" si="2"/>
        <v>4.0432075610235243</v>
      </c>
      <c r="L11" s="421">
        <f t="shared" si="3"/>
        <v>7.2685248998085399</v>
      </c>
    </row>
    <row r="12" spans="1:18" x14ac:dyDescent="0.3">
      <c r="A12" s="380" t="s">
        <v>140</v>
      </c>
      <c r="B12" s="3" t="s">
        <v>81</v>
      </c>
      <c r="C12" s="334">
        <f>+'MTD Report(HQD)_variance'!B12</f>
        <v>107.62726490257862</v>
      </c>
      <c r="D12" s="1172">
        <f t="shared" si="0"/>
        <v>2.0206001108153315</v>
      </c>
      <c r="E12" s="336"/>
      <c r="F12" s="338">
        <f>+'MTD Report(HQD)_variance'!Q12</f>
        <v>111.60063</v>
      </c>
      <c r="G12" s="1161">
        <f t="shared" si="1"/>
        <v>2.0983083894257883</v>
      </c>
      <c r="H12" s="61"/>
      <c r="I12" s="338">
        <v>109.70635009161116</v>
      </c>
      <c r="J12" s="1161">
        <f t="shared" si="2"/>
        <v>1.9982941728890919</v>
      </c>
      <c r="L12" s="419">
        <f t="shared" si="3"/>
        <v>1.8942799083888389</v>
      </c>
    </row>
    <row r="13" spans="1:18" x14ac:dyDescent="0.3">
      <c r="A13" s="380" t="s">
        <v>140</v>
      </c>
      <c r="B13" s="3" t="s">
        <v>82</v>
      </c>
      <c r="C13" s="334">
        <f>+'MTD Report(HQD)_variance'!B13</f>
        <v>188.37863537821647</v>
      </c>
      <c r="D13" s="1172">
        <f t="shared" si="0"/>
        <v>3.5366307214534212</v>
      </c>
      <c r="E13" s="336"/>
      <c r="F13" s="338">
        <f>+'MTD Report(HQD)_variance'!Q13</f>
        <v>111.35076000000002</v>
      </c>
      <c r="G13" s="1161">
        <f t="shared" si="1"/>
        <v>2.0936103485879749</v>
      </c>
      <c r="H13" s="61"/>
      <c r="I13" s="338">
        <v>196.44184994645428</v>
      </c>
      <c r="J13" s="1161">
        <f t="shared" si="2"/>
        <v>3.5781757731594586</v>
      </c>
      <c r="L13" s="419">
        <f t="shared" si="3"/>
        <v>-85.091089946454261</v>
      </c>
      <c r="M13" t="s">
        <v>1050</v>
      </c>
    </row>
    <row r="14" spans="1:18" x14ac:dyDescent="0.3">
      <c r="A14" s="380" t="s">
        <v>140</v>
      </c>
      <c r="B14" s="3" t="s">
        <v>83</v>
      </c>
      <c r="C14" s="341">
        <f>+'MTD Report(HQD)_variance'!B14</f>
        <v>6</v>
      </c>
      <c r="D14" s="1172">
        <f t="shared" si="0"/>
        <v>0.11264432554210081</v>
      </c>
      <c r="E14" s="336"/>
      <c r="F14" s="338">
        <f>+'MTD Report(HQD)_variance'!Q14</f>
        <v>2.0075799999999999</v>
      </c>
      <c r="G14" s="1161">
        <f t="shared" si="1"/>
        <v>3.7746399428421014E-2</v>
      </c>
      <c r="H14" s="61"/>
      <c r="I14" s="338">
        <v>6.7312410313280546</v>
      </c>
      <c r="J14" s="1161">
        <f t="shared" si="2"/>
        <v>0.12260912625369862</v>
      </c>
      <c r="L14" s="419">
        <f t="shared" si="3"/>
        <v>-4.7236610313280547</v>
      </c>
    </row>
    <row r="15" spans="1:18" x14ac:dyDescent="0.3">
      <c r="A15" s="380" t="s">
        <v>140</v>
      </c>
      <c r="B15" s="3" t="s">
        <v>84</v>
      </c>
      <c r="C15" s="334">
        <f>+'MTD Report(HQD)_variance'!B15</f>
        <v>43.825739202121468</v>
      </c>
      <c r="D15" s="1172">
        <f t="shared" si="0"/>
        <v>0.8227868056344968</v>
      </c>
      <c r="E15" s="336"/>
      <c r="F15" s="338">
        <f>+'MTD Report(HQD)_variance'!Q15</f>
        <v>50.431700000000006</v>
      </c>
      <c r="G15" s="1161">
        <f t="shared" si="1"/>
        <v>0.94821381566577678</v>
      </c>
      <c r="H15" s="322"/>
      <c r="I15" s="338">
        <v>48.289823731947848</v>
      </c>
      <c r="J15" s="1161">
        <f t="shared" si="2"/>
        <v>0.87959606069121765</v>
      </c>
      <c r="L15" s="419">
        <f t="shared" si="3"/>
        <v>2.1418762680521581</v>
      </c>
      <c r="M15" s="724"/>
    </row>
    <row r="16" spans="1:18" x14ac:dyDescent="0.3">
      <c r="A16" s="380" t="s">
        <v>140</v>
      </c>
      <c r="B16" s="3" t="s">
        <v>86</v>
      </c>
      <c r="C16" s="334">
        <f>+'MTD Report(HQD)_variance'!B16</f>
        <v>152.87377994795827</v>
      </c>
      <c r="D16" s="1172">
        <f t="shared" si="0"/>
        <v>2.8700606392182162</v>
      </c>
      <c r="E16" s="336"/>
      <c r="F16" s="338">
        <f>+'MTD Report(HQD)_variance'!Q16</f>
        <v>132.04277000000008</v>
      </c>
      <c r="G16" s="1161">
        <f t="shared" si="1"/>
        <v>2.4826602865415723</v>
      </c>
      <c r="H16" s="61"/>
      <c r="I16" s="338">
        <v>140.00134225598805</v>
      </c>
      <c r="J16" s="1161">
        <f t="shared" si="2"/>
        <v>2.5501155237884889</v>
      </c>
      <c r="L16" s="419">
        <f t="shared" si="3"/>
        <v>-7.9585722559879741</v>
      </c>
    </row>
    <row r="17" spans="1:13" x14ac:dyDescent="0.3">
      <c r="A17" s="380" t="s">
        <v>140</v>
      </c>
      <c r="B17" s="4" t="s">
        <v>87</v>
      </c>
      <c r="C17" s="57">
        <f>+'MTD Report(HQD)_variance'!B17</f>
        <v>716.02397751558306</v>
      </c>
      <c r="D17" s="1170">
        <f t="shared" si="0"/>
        <v>13.442673003202536</v>
      </c>
      <c r="E17" s="52"/>
      <c r="F17" s="166">
        <f>+'MTD Report(HQD)_variance'!Q17</f>
        <v>636.67406000000005</v>
      </c>
      <c r="G17" s="1162">
        <f t="shared" si="1"/>
        <v>11.97070770503516</v>
      </c>
      <c r="H17" s="61"/>
      <c r="I17" s="166">
        <v>723.14270215752094</v>
      </c>
      <c r="J17" s="1162">
        <f t="shared" si="2"/>
        <v>13.171998217805481</v>
      </c>
      <c r="L17" s="420">
        <f t="shared" si="3"/>
        <v>-86.46864215752089</v>
      </c>
    </row>
    <row r="18" spans="1:13" x14ac:dyDescent="0.3">
      <c r="A18" s="380" t="s">
        <v>140</v>
      </c>
      <c r="B18" s="5" t="s">
        <v>88</v>
      </c>
      <c r="C18" s="58">
        <f>+'MTD Report(HQD)_variance'!B18</f>
        <v>1272.3525156247422</v>
      </c>
      <c r="D18" s="1173">
        <f t="shared" si="0"/>
        <v>23.887215162390731</v>
      </c>
      <c r="E18" s="52"/>
      <c r="F18" s="267">
        <f>+'MTD Report(HQD)_variance'!Q18</f>
        <v>1085.8539900000001</v>
      </c>
      <c r="G18" s="1164">
        <f t="shared" si="1"/>
        <v>20.416161959914263</v>
      </c>
      <c r="H18" s="61"/>
      <c r="I18" s="267">
        <v>1240.8446937662691</v>
      </c>
      <c r="J18" s="1164">
        <f t="shared" si="2"/>
        <v>22.601906990278128</v>
      </c>
      <c r="L18" s="422">
        <f t="shared" si="3"/>
        <v>-154.99070376626901</v>
      </c>
    </row>
    <row r="19" spans="1:13" x14ac:dyDescent="0.3">
      <c r="A19" s="380" t="s">
        <v>140</v>
      </c>
      <c r="B19" s="3" t="s">
        <v>89</v>
      </c>
      <c r="C19" s="334">
        <f>+'MTD Report(HQD)_variance'!B19</f>
        <v>20.474517363192625</v>
      </c>
      <c r="D19" s="1172">
        <f t="shared" si="0"/>
        <v>0.38438969986281096</v>
      </c>
      <c r="E19" s="336"/>
      <c r="F19" s="338">
        <f>+'MTD Report(HQD)_variance'!Q19</f>
        <v>5.071699999999999</v>
      </c>
      <c r="G19" s="1161">
        <f t="shared" si="1"/>
        <v>9.5357800925055441E-2</v>
      </c>
      <c r="H19" s="61"/>
      <c r="I19" s="338">
        <v>13.453346093138808</v>
      </c>
      <c r="J19" s="1161">
        <f t="shared" si="2"/>
        <v>0.24505184140507849</v>
      </c>
      <c r="L19" s="419">
        <f t="shared" si="3"/>
        <v>-8.3816460931388086</v>
      </c>
    </row>
    <row r="20" spans="1:13" x14ac:dyDescent="0.3">
      <c r="A20" s="380" t="s">
        <v>140</v>
      </c>
      <c r="B20" s="5" t="s">
        <v>90</v>
      </c>
      <c r="C20" s="58">
        <f>+'MTD Report(HQD)_variance'!B20</f>
        <v>1292.8270329879349</v>
      </c>
      <c r="D20" s="1173">
        <f t="shared" si="0"/>
        <v>24.271604862253543</v>
      </c>
      <c r="E20" s="52"/>
      <c r="F20" s="267">
        <f>+'MTD Report(HQD)_variance'!Q20</f>
        <v>1090.92569</v>
      </c>
      <c r="G20" s="1164">
        <f t="shared" si="1"/>
        <v>20.511519760839317</v>
      </c>
      <c r="H20" s="61"/>
      <c r="I20" s="267">
        <v>1254.2980398594079</v>
      </c>
      <c r="J20" s="1164">
        <f t="shared" si="2"/>
        <v>22.846958831683207</v>
      </c>
      <c r="L20" s="422">
        <f t="shared" si="3"/>
        <v>-163.3723498594079</v>
      </c>
    </row>
    <row r="21" spans="1:13" x14ac:dyDescent="0.3">
      <c r="A21" s="380" t="s">
        <v>140</v>
      </c>
      <c r="B21" s="272" t="s">
        <v>91</v>
      </c>
      <c r="C21" s="342">
        <f>+'MTD Report(HQD)_variance'!B22</f>
        <v>416.35266088537662</v>
      </c>
      <c r="D21" s="1174">
        <f t="shared" si="0"/>
        <v>7.8166274455153779</v>
      </c>
      <c r="E21" s="336"/>
      <c r="F21" s="345">
        <f>+'MTD Report(HQD)_variance'!Q22</f>
        <v>301.40708999999998</v>
      </c>
      <c r="G21" s="1165">
        <f t="shared" si="1"/>
        <v>5.6670381303350501</v>
      </c>
      <c r="H21" s="61"/>
      <c r="I21" s="345">
        <v>304.78399999999999</v>
      </c>
      <c r="J21" s="1165">
        <f t="shared" si="2"/>
        <v>5.5516211293260476</v>
      </c>
      <c r="L21" s="423">
        <f t="shared" si="3"/>
        <v>-3.3769100000000094</v>
      </c>
    </row>
    <row r="22" spans="1:13" x14ac:dyDescent="0.3">
      <c r="A22" s="380" t="s">
        <v>140</v>
      </c>
      <c r="B22" s="274" t="s">
        <v>92</v>
      </c>
      <c r="C22" s="275">
        <f>+C21+C20</f>
        <v>1709.1796938733114</v>
      </c>
      <c r="D22" s="1146">
        <f t="shared" si="0"/>
        <v>32.088232307768919</v>
      </c>
      <c r="E22" s="52"/>
      <c r="F22" s="275">
        <f>+F21+F20</f>
        <v>1392.33278</v>
      </c>
      <c r="G22" s="1166">
        <f t="shared" si="1"/>
        <v>26.178557891174371</v>
      </c>
      <c r="H22" s="61"/>
      <c r="I22" s="275">
        <v>1559.0820398594078</v>
      </c>
      <c r="J22" s="1166">
        <f t="shared" si="2"/>
        <v>28.398579961009251</v>
      </c>
      <c r="L22" s="329">
        <f t="shared" si="3"/>
        <v>-166.74925985940786</v>
      </c>
    </row>
    <row r="23" spans="1:13" x14ac:dyDescent="0.3">
      <c r="A23" s="45"/>
      <c r="B23" s="51"/>
      <c r="C23" s="51"/>
      <c r="D23" s="1153"/>
      <c r="E23" s="52"/>
      <c r="F23" s="51"/>
      <c r="G23" s="1153"/>
      <c r="H23" s="61"/>
      <c r="I23" s="51"/>
      <c r="J23" s="1153"/>
      <c r="L23" s="269"/>
    </row>
    <row r="24" spans="1:13" x14ac:dyDescent="0.3">
      <c r="A24" s="380" t="s">
        <v>143</v>
      </c>
      <c r="B24" s="2" t="s">
        <v>76</v>
      </c>
      <c r="C24" s="364">
        <f>+'MTD Report(HQD)_variance'!B25</f>
        <v>21</v>
      </c>
      <c r="D24" s="1175">
        <f t="shared" si="0"/>
        <v>0.39425513939735285</v>
      </c>
      <c r="E24" s="336"/>
      <c r="F24" s="365">
        <f>+'MTD Report(HQD)_variance'!Q25</f>
        <v>27.970379999999999</v>
      </c>
      <c r="G24" s="1167">
        <f t="shared" ref="G24:G29" si="4">+F24*1000/$F$4</f>
        <v>0.52589741661339451</v>
      </c>
      <c r="H24" s="61"/>
      <c r="I24" s="365">
        <v>23.30592</v>
      </c>
      <c r="J24" s="1167">
        <f t="shared" si="2"/>
        <v>0.42451584699453554</v>
      </c>
      <c r="L24" s="418">
        <f t="shared" si="3"/>
        <v>4.6644599999999983</v>
      </c>
    </row>
    <row r="25" spans="1:13" x14ac:dyDescent="0.3">
      <c r="A25" s="380" t="s">
        <v>143</v>
      </c>
      <c r="B25" s="3" t="s">
        <v>77</v>
      </c>
      <c r="C25" s="334">
        <f>+'MTD Report(HQD)_variance'!B26</f>
        <v>-53</v>
      </c>
      <c r="D25" s="1172">
        <f t="shared" si="0"/>
        <v>-0.99502487562189057</v>
      </c>
      <c r="E25" s="336"/>
      <c r="F25" s="339">
        <f>+'MTD Report(HQD)_variance'!Q26</f>
        <v>-74.14161</v>
      </c>
      <c r="G25" s="1161">
        <f t="shared" si="4"/>
        <v>-1.3940061294325574</v>
      </c>
      <c r="H25" s="61"/>
      <c r="I25" s="339">
        <v>-51.571118382193724</v>
      </c>
      <c r="J25" s="1161">
        <f t="shared" si="2"/>
        <v>-0.9393646335554412</v>
      </c>
      <c r="L25" s="419">
        <f t="shared" si="3"/>
        <v>-22.570491617806276</v>
      </c>
    </row>
    <row r="26" spans="1:13" x14ac:dyDescent="0.3">
      <c r="A26" s="380" t="s">
        <v>143</v>
      </c>
      <c r="B26" s="3" t="s">
        <v>144</v>
      </c>
      <c r="C26" s="334">
        <f>+'MTD Report(HQD)_variance'!B27</f>
        <v>0</v>
      </c>
      <c r="D26" s="1172">
        <f t="shared" si="0"/>
        <v>0</v>
      </c>
      <c r="E26" s="336"/>
      <c r="F26" s="339">
        <f>+'MTD Report(HQD)_variance'!Q27</f>
        <v>-8.9144199999999998</v>
      </c>
      <c r="G26" s="1161">
        <f t="shared" si="4"/>
        <v>-0.16760839318617682</v>
      </c>
      <c r="H26" s="61"/>
      <c r="I26" s="339">
        <v>0</v>
      </c>
      <c r="J26" s="1161">
        <f t="shared" si="2"/>
        <v>0</v>
      </c>
      <c r="L26" s="419">
        <f t="shared" si="3"/>
        <v>-8.9144199999999998</v>
      </c>
    </row>
    <row r="27" spans="1:13" ht="13.2" customHeight="1" x14ac:dyDescent="0.3">
      <c r="A27" s="380" t="s">
        <v>143</v>
      </c>
      <c r="B27" s="3" t="s">
        <v>85</v>
      </c>
      <c r="C27" s="334">
        <f>+'MTD Report(HQD)_variance'!B28</f>
        <v>8</v>
      </c>
      <c r="D27" s="1172">
        <f t="shared" si="0"/>
        <v>0.15019243405613442</v>
      </c>
      <c r="E27" s="336"/>
      <c r="F27" s="339">
        <f>+'MTD Report(HQD)_variance'!Q28</f>
        <v>-30.71528</v>
      </c>
      <c r="G27" s="1161">
        <f t="shared" si="4"/>
        <v>-0.57750686270823148</v>
      </c>
      <c r="H27" s="61"/>
      <c r="I27" s="339">
        <v>14.97047696100528</v>
      </c>
      <c r="J27" s="1161">
        <f t="shared" si="2"/>
        <v>0.27268628344271917</v>
      </c>
      <c r="L27" s="419">
        <f t="shared" si="3"/>
        <v>-45.685756961005282</v>
      </c>
      <c r="M27" s="1159"/>
    </row>
    <row r="28" spans="1:13" x14ac:dyDescent="0.3">
      <c r="A28" s="380" t="s">
        <v>143</v>
      </c>
      <c r="B28" s="363" t="s">
        <v>145</v>
      </c>
      <c r="C28" s="367">
        <f>+'MTD Report(HQD)_variance'!B29</f>
        <v>0</v>
      </c>
      <c r="D28" s="1176">
        <f t="shared" si="0"/>
        <v>0</v>
      </c>
      <c r="E28" s="336"/>
      <c r="F28" s="368">
        <f>+'MTD Report(HQD)_variance'!Q29</f>
        <v>0</v>
      </c>
      <c r="G28" s="1168">
        <f t="shared" si="4"/>
        <v>0</v>
      </c>
      <c r="H28" s="61"/>
      <c r="I28" s="368">
        <v>0</v>
      </c>
      <c r="J28" s="1161">
        <f t="shared" si="2"/>
        <v>0</v>
      </c>
      <c r="L28" s="424">
        <f t="shared" si="3"/>
        <v>0</v>
      </c>
      <c r="M28" t="s">
        <v>1052</v>
      </c>
    </row>
    <row r="29" spans="1:13" x14ac:dyDescent="0.3">
      <c r="A29" s="380" t="s">
        <v>143</v>
      </c>
      <c r="B29" s="274" t="s">
        <v>146</v>
      </c>
      <c r="C29" s="275">
        <f>+'MTD Report(HQD)_variance'!B30</f>
        <v>-24</v>
      </c>
      <c r="D29" s="1146">
        <f t="shared" si="0"/>
        <v>-0.45057730216840325</v>
      </c>
      <c r="E29" s="52"/>
      <c r="F29" s="275">
        <f>+'MTD Report(HQD)_variance'!Q30</f>
        <v>-85.800929999999994</v>
      </c>
      <c r="G29" s="1146">
        <f t="shared" si="4"/>
        <v>-1.6132239687135712</v>
      </c>
      <c r="H29" s="61"/>
      <c r="I29" s="275">
        <v>-13.294721421188443</v>
      </c>
      <c r="J29" s="1146">
        <f t="shared" si="2"/>
        <v>-0.2421625031181866</v>
      </c>
      <c r="L29" s="329">
        <f t="shared" si="3"/>
        <v>-72.506208578811552</v>
      </c>
    </row>
    <row r="30" spans="1:13" x14ac:dyDescent="0.3">
      <c r="A30" s="45"/>
      <c r="B30" s="51"/>
      <c r="C30" s="51"/>
      <c r="D30" s="1153"/>
      <c r="E30" s="52"/>
      <c r="F30" s="51"/>
      <c r="G30" s="1153"/>
      <c r="H30" s="61"/>
      <c r="I30" s="51"/>
      <c r="J30" s="1153"/>
      <c r="L30" s="269"/>
    </row>
    <row r="31" spans="1:13" x14ac:dyDescent="0.3">
      <c r="A31" s="380" t="s">
        <v>147</v>
      </c>
      <c r="B31" s="2" t="s">
        <v>148</v>
      </c>
      <c r="C31" s="364">
        <f>+'MTD Report(HQD)_variance'!B32</f>
        <v>90.697222500000009</v>
      </c>
      <c r="D31" s="1175">
        <f t="shared" si="0"/>
        <v>1.7027545761757252</v>
      </c>
      <c r="E31" s="336"/>
      <c r="F31" s="365">
        <f>+'MTD Report(HQD)_variance'!Q32</f>
        <v>89.415120000000002</v>
      </c>
      <c r="G31" s="1167">
        <f t="shared" ref="G31:G33" si="5">+F31*1000/$F$4</f>
        <v>1.6811777535441657</v>
      </c>
      <c r="H31" s="61"/>
      <c r="I31" s="365">
        <v>90.697222368004915</v>
      </c>
      <c r="J31" s="1167">
        <f t="shared" si="2"/>
        <v>1.6520441232787781</v>
      </c>
      <c r="L31" s="418">
        <f t="shared" si="3"/>
        <v>-1.2821023680049137</v>
      </c>
    </row>
    <row r="32" spans="1:13" x14ac:dyDescent="0.3">
      <c r="A32" s="380" t="s">
        <v>147</v>
      </c>
      <c r="B32" s="363" t="s">
        <v>149</v>
      </c>
      <c r="C32" s="364">
        <f>+'MTD Report(HQD)_variance'!B33</f>
        <v>94.53200214118084</v>
      </c>
      <c r="D32" s="1176">
        <f t="shared" si="0"/>
        <v>1.7747489372229577</v>
      </c>
      <c r="E32" s="336"/>
      <c r="F32" s="368">
        <f>+'MTD Report(HQD)_variance'!Q33</f>
        <v>43.157319999999999</v>
      </c>
      <c r="G32" s="1168">
        <f t="shared" si="5"/>
        <v>0.81144135674801643</v>
      </c>
      <c r="H32" s="61"/>
      <c r="I32" s="368">
        <v>48.601049385491464</v>
      </c>
      <c r="J32" s="1161">
        <f t="shared" si="2"/>
        <v>0.88526501612917063</v>
      </c>
      <c r="L32" s="424">
        <f t="shared" si="3"/>
        <v>-5.4437293854914657</v>
      </c>
      <c r="M32" s="1160"/>
    </row>
    <row r="33" spans="1:12" x14ac:dyDescent="0.3">
      <c r="A33" s="380" t="s">
        <v>147</v>
      </c>
      <c r="B33" s="274" t="s">
        <v>150</v>
      </c>
      <c r="C33" s="275">
        <f>SUM(C31:C32)</f>
        <v>185.22922464118085</v>
      </c>
      <c r="D33" s="1146">
        <f t="shared" si="0"/>
        <v>3.4775035133986831</v>
      </c>
      <c r="E33" s="52"/>
      <c r="F33" s="275">
        <f>SUM(F31:F32)</f>
        <v>132.57244</v>
      </c>
      <c r="G33" s="1146">
        <f t="shared" si="5"/>
        <v>2.4926191102921824</v>
      </c>
      <c r="H33" s="61"/>
      <c r="I33" s="275">
        <v>139.29827175349638</v>
      </c>
      <c r="J33" s="1146">
        <f t="shared" si="2"/>
        <v>2.5373091394079483</v>
      </c>
      <c r="L33" s="329">
        <f t="shared" si="3"/>
        <v>-6.7258317534963794</v>
      </c>
    </row>
    <row r="34" spans="1:12" x14ac:dyDescent="0.3">
      <c r="A34" s="45"/>
      <c r="B34" s="51"/>
      <c r="C34" s="51"/>
      <c r="D34" s="1153"/>
      <c r="E34" s="52"/>
      <c r="F34" s="51"/>
      <c r="G34" s="1153"/>
      <c r="H34" s="61"/>
      <c r="I34" s="51"/>
      <c r="J34" s="1153"/>
      <c r="L34" s="269"/>
    </row>
    <row r="35" spans="1:12" x14ac:dyDescent="0.3">
      <c r="A35" s="380" t="s">
        <v>151</v>
      </c>
      <c r="B35" s="274" t="s">
        <v>1022</v>
      </c>
      <c r="C35" s="275">
        <f>+C33+C29+C22</f>
        <v>1870.4089185144921</v>
      </c>
      <c r="D35" s="1146">
        <f t="shared" si="0"/>
        <v>35.115158518999195</v>
      </c>
      <c r="E35" s="52"/>
      <c r="F35" s="275">
        <f>+F33+F29+F22</f>
        <v>1439.10429</v>
      </c>
      <c r="G35" s="1146">
        <f>+F35*1000/$F$4</f>
        <v>27.05795303275298</v>
      </c>
      <c r="H35" s="61"/>
      <c r="I35" s="275">
        <v>1685.0855901917159</v>
      </c>
      <c r="J35" s="1146">
        <f t="shared" si="2"/>
        <v>30.693726597299015</v>
      </c>
      <c r="L35" s="329">
        <f t="shared" si="3"/>
        <v>-245.98130019171595</v>
      </c>
    </row>
    <row r="36" spans="1:12" x14ac:dyDescent="0.3">
      <c r="B36" s="51"/>
      <c r="C36" s="51"/>
      <c r="D36" s="276"/>
      <c r="E36" s="52"/>
      <c r="F36" s="51"/>
      <c r="G36" s="270"/>
      <c r="H36" s="61"/>
      <c r="I36" s="51"/>
      <c r="J36" s="270"/>
      <c r="L36" s="270"/>
    </row>
    <row r="37" spans="1:12" x14ac:dyDescent="0.3">
      <c r="A37" s="370" t="s">
        <v>153</v>
      </c>
      <c r="B37" s="371"/>
      <c r="C37" s="372">
        <f>+C35*1000-'MTD Report(HQD)_variance'!B36*1000</f>
        <v>0</v>
      </c>
      <c r="D37" s="372"/>
      <c r="E37" s="373"/>
      <c r="F37" s="372">
        <f>+F35*1000-'MTD Report(HQD)_variance'!Q36*1000</f>
        <v>0</v>
      </c>
      <c r="G37" s="372"/>
      <c r="H37" s="61"/>
      <c r="I37" s="374"/>
      <c r="J37" s="374"/>
      <c r="L37" s="374"/>
    </row>
    <row r="38" spans="1:12" x14ac:dyDescent="0.3">
      <c r="B38" s="51"/>
      <c r="C38" s="51"/>
      <c r="D38" s="276"/>
      <c r="E38" s="52"/>
      <c r="F38" s="750"/>
      <c r="G38" s="270"/>
      <c r="H38" s="61"/>
      <c r="I38" s="51"/>
      <c r="J38" s="270"/>
    </row>
    <row r="39" spans="1:12" x14ac:dyDescent="0.3">
      <c r="B39" s="51"/>
      <c r="C39" s="51"/>
      <c r="D39" s="276"/>
      <c r="E39" s="52"/>
      <c r="F39" s="51"/>
      <c r="G39" s="270"/>
      <c r="H39" s="61"/>
      <c r="I39" s="51"/>
      <c r="J39" s="270"/>
    </row>
    <row r="40" spans="1:12" x14ac:dyDescent="0.3">
      <c r="B40" s="51"/>
      <c r="C40" s="51"/>
      <c r="D40" s="276"/>
      <c r="E40" s="52"/>
      <c r="F40" s="52"/>
      <c r="G40" s="52"/>
      <c r="H40" s="52"/>
      <c r="I40" s="51"/>
      <c r="J40" s="270"/>
    </row>
    <row r="41" spans="1:12" ht="21" x14ac:dyDescent="0.4">
      <c r="B41" s="74"/>
      <c r="C41" s="51"/>
      <c r="D41" s="277"/>
      <c r="E41" s="52"/>
      <c r="F41" s="52"/>
      <c r="G41" s="52"/>
      <c r="H41" s="52"/>
      <c r="I41" s="190"/>
      <c r="J41" s="278"/>
    </row>
    <row r="42" spans="1:12" x14ac:dyDescent="0.3">
      <c r="B42" s="51"/>
      <c r="C42" s="51"/>
      <c r="D42" s="51"/>
      <c r="E42" s="52"/>
      <c r="F42" s="52"/>
      <c r="G42" s="52"/>
      <c r="H42" s="52"/>
      <c r="I42" s="190"/>
      <c r="J42" s="51"/>
    </row>
    <row r="43" spans="1:12" ht="17.55" customHeight="1" x14ac:dyDescent="0.35">
      <c r="B43" s="284"/>
      <c r="E43" s="52"/>
      <c r="F43" s="52"/>
      <c r="G43" s="52"/>
      <c r="H43" s="52"/>
      <c r="J43" s="189"/>
    </row>
    <row r="44" spans="1:12" x14ac:dyDescent="0.3">
      <c r="B44" s="1235"/>
      <c r="C44" s="1235"/>
      <c r="D44" s="349"/>
      <c r="E44" s="52"/>
      <c r="F44" s="52"/>
      <c r="G44" s="52"/>
      <c r="H44" s="52"/>
    </row>
    <row r="45" spans="1:12" x14ac:dyDescent="0.3">
      <c r="B45" s="1235"/>
      <c r="C45" s="1235"/>
      <c r="D45" s="349"/>
      <c r="E45" s="349"/>
      <c r="F45" s="349"/>
      <c r="G45" s="349"/>
      <c r="H45" s="349"/>
    </row>
    <row r="46" spans="1:12" ht="18" x14ac:dyDescent="0.35">
      <c r="B46" s="350"/>
      <c r="C46" s="349"/>
      <c r="D46" s="349"/>
      <c r="E46" s="349"/>
      <c r="F46" s="349"/>
      <c r="G46" s="349"/>
      <c r="H46" s="349"/>
    </row>
    <row r="47" spans="1:12" ht="75.599999999999994" customHeight="1" x14ac:dyDescent="0.3">
      <c r="B47" s="1234"/>
      <c r="C47" s="1234"/>
      <c r="D47" s="349"/>
      <c r="E47" s="349"/>
    </row>
    <row r="48" spans="1:12" ht="18" x14ac:dyDescent="0.35">
      <c r="B48" s="350"/>
      <c r="C48" s="349"/>
      <c r="D48" s="349"/>
      <c r="E48" s="349"/>
    </row>
    <row r="49" spans="2:5" ht="18" x14ac:dyDescent="0.35">
      <c r="B49" s="350"/>
      <c r="C49" s="349"/>
      <c r="D49" s="349"/>
      <c r="E49" s="349"/>
    </row>
    <row r="50" spans="2:5" ht="87.6" customHeight="1" x14ac:dyDescent="0.3">
      <c r="B50" s="1236"/>
      <c r="C50" s="1237"/>
      <c r="D50" s="1237"/>
      <c r="E50" s="1237"/>
    </row>
    <row r="51" spans="2:5" ht="18" x14ac:dyDescent="0.35">
      <c r="B51" s="350"/>
      <c r="C51" s="349"/>
      <c r="D51" s="349"/>
      <c r="E51" s="349"/>
    </row>
    <row r="52" spans="2:5" ht="157.35" customHeight="1" x14ac:dyDescent="0.3">
      <c r="B52" s="1234"/>
      <c r="C52" s="1234"/>
      <c r="D52" s="349"/>
      <c r="E52" s="349"/>
    </row>
    <row r="53" spans="2:5" ht="18" x14ac:dyDescent="0.35">
      <c r="B53" s="350"/>
      <c r="C53" s="349"/>
      <c r="D53" s="349"/>
      <c r="E53" s="349"/>
    </row>
    <row r="54" spans="2:5" x14ac:dyDescent="0.3">
      <c r="B54" s="351"/>
      <c r="C54" s="349"/>
      <c r="D54" s="349"/>
      <c r="E54" s="349"/>
    </row>
    <row r="55" spans="2:5" x14ac:dyDescent="0.3">
      <c r="B55" s="352"/>
      <c r="C55" s="349"/>
      <c r="D55" s="349"/>
      <c r="E55" s="349"/>
    </row>
    <row r="56" spans="2:5" ht="18" x14ac:dyDescent="0.35">
      <c r="B56" s="350"/>
      <c r="C56" s="349"/>
      <c r="D56" s="349"/>
      <c r="E56" s="349"/>
    </row>
    <row r="57" spans="2:5" x14ac:dyDescent="0.3">
      <c r="B57" s="353"/>
      <c r="C57" s="349"/>
      <c r="D57" s="349"/>
      <c r="E57" s="349"/>
    </row>
    <row r="58" spans="2:5" ht="129" customHeight="1" x14ac:dyDescent="0.3">
      <c r="B58" s="353"/>
      <c r="C58" s="349"/>
      <c r="D58" s="349"/>
      <c r="E58" s="349"/>
    </row>
    <row r="59" spans="2:5" x14ac:dyDescent="0.3">
      <c r="B59" s="349"/>
      <c r="C59" s="349"/>
      <c r="D59" s="349"/>
      <c r="E59" s="349"/>
    </row>
    <row r="60" spans="2:5" ht="18" x14ac:dyDescent="0.35">
      <c r="B60" s="350"/>
      <c r="C60" s="349"/>
      <c r="D60" s="349"/>
      <c r="E60" s="349"/>
    </row>
    <row r="61" spans="2:5" ht="67.8" customHeight="1" x14ac:dyDescent="0.3">
      <c r="B61" s="354"/>
      <c r="C61" s="354"/>
      <c r="D61" s="349"/>
      <c r="E61" s="349"/>
    </row>
    <row r="62" spans="2:5" ht="106.8" customHeight="1" x14ac:dyDescent="0.3">
      <c r="B62" s="353"/>
      <c r="C62" s="353"/>
      <c r="D62" s="349"/>
      <c r="E62" s="349"/>
    </row>
    <row r="63" spans="2:5" x14ac:dyDescent="0.3">
      <c r="B63" s="349"/>
      <c r="C63" s="349"/>
      <c r="D63" s="349"/>
      <c r="E63" s="349"/>
    </row>
    <row r="64" spans="2:5" ht="18" x14ac:dyDescent="0.35">
      <c r="B64" s="350"/>
      <c r="C64" s="349"/>
      <c r="D64" s="349"/>
      <c r="E64" s="349"/>
    </row>
    <row r="65" spans="2:5" ht="132" customHeight="1" x14ac:dyDescent="0.3">
      <c r="B65" s="355"/>
      <c r="C65" s="356"/>
      <c r="D65" s="349"/>
      <c r="E65" s="349"/>
    </row>
    <row r="66" spans="2:5" ht="79.349999999999994" customHeight="1" x14ac:dyDescent="0.3">
      <c r="B66" s="357"/>
      <c r="C66" s="356"/>
      <c r="D66" s="349"/>
      <c r="E66" s="349"/>
    </row>
    <row r="67" spans="2:5" x14ac:dyDescent="0.3">
      <c r="B67" s="349"/>
      <c r="C67" s="349"/>
      <c r="D67" s="349"/>
      <c r="E67" s="349"/>
    </row>
    <row r="68" spans="2:5" ht="18" x14ac:dyDescent="0.35">
      <c r="B68" s="350"/>
      <c r="C68" s="349"/>
      <c r="D68" s="349"/>
      <c r="E68" s="349"/>
    </row>
    <row r="69" spans="2:5" ht="77.55" customHeight="1" x14ac:dyDescent="0.3">
      <c r="B69" s="358"/>
      <c r="C69" s="349"/>
      <c r="D69" s="349"/>
      <c r="E69" s="349"/>
    </row>
    <row r="70" spans="2:5" x14ac:dyDescent="0.3">
      <c r="B70" s="349"/>
      <c r="C70" s="349"/>
      <c r="D70" s="349"/>
      <c r="E70" s="349"/>
    </row>
    <row r="71" spans="2:5" x14ac:dyDescent="0.3">
      <c r="B71" s="349"/>
      <c r="C71" s="349"/>
      <c r="D71" s="349"/>
      <c r="E71" s="349"/>
    </row>
    <row r="72" spans="2:5" ht="18" x14ac:dyDescent="0.35">
      <c r="B72" s="350"/>
      <c r="C72" s="349"/>
      <c r="D72" s="349"/>
      <c r="E72" s="349"/>
    </row>
    <row r="73" spans="2:5" x14ac:dyDescent="0.3">
      <c r="B73" s="357"/>
      <c r="C73" s="349"/>
      <c r="D73" s="349"/>
      <c r="E73" s="349"/>
    </row>
    <row r="74" spans="2:5" x14ac:dyDescent="0.3">
      <c r="B74" s="359"/>
      <c r="C74" s="349"/>
      <c r="D74" s="349"/>
      <c r="E74" s="349"/>
    </row>
    <row r="75" spans="2:5" ht="18" x14ac:dyDescent="0.35">
      <c r="B75" s="350"/>
      <c r="C75" s="349"/>
      <c r="D75" s="349"/>
      <c r="E75" s="349"/>
    </row>
    <row r="76" spans="2:5" x14ac:dyDescent="0.3">
      <c r="B76" s="360"/>
      <c r="C76" s="349"/>
      <c r="D76" s="349"/>
      <c r="E76" s="349"/>
    </row>
    <row r="77" spans="2:5" x14ac:dyDescent="0.3">
      <c r="B77" s="349"/>
      <c r="C77" s="349"/>
      <c r="D77" s="349"/>
      <c r="E77" s="349"/>
    </row>
    <row r="78" spans="2:5" ht="18" x14ac:dyDescent="0.35">
      <c r="B78" s="350"/>
      <c r="C78" s="349"/>
      <c r="D78" s="349"/>
      <c r="E78" s="349"/>
    </row>
    <row r="79" spans="2:5" x14ac:dyDescent="0.3">
      <c r="B79" s="360"/>
      <c r="C79" s="349"/>
      <c r="D79" s="349"/>
      <c r="E79" s="349"/>
    </row>
    <row r="80" spans="2:5" x14ac:dyDescent="0.3">
      <c r="B80" s="349"/>
      <c r="C80" s="349"/>
      <c r="D80" s="349"/>
      <c r="E80" s="349"/>
    </row>
    <row r="81" spans="2:5" x14ac:dyDescent="0.3">
      <c r="B81" s="349"/>
      <c r="C81" s="349"/>
      <c r="D81" s="349"/>
      <c r="E81" s="349"/>
    </row>
    <row r="82" spans="2:5" ht="18" x14ac:dyDescent="0.35">
      <c r="B82" s="350"/>
      <c r="C82" s="349"/>
      <c r="D82" s="349"/>
      <c r="E82" s="349"/>
    </row>
    <row r="83" spans="2:5" x14ac:dyDescent="0.3">
      <c r="B83" s="360"/>
      <c r="C83" s="349"/>
      <c r="D83" s="349"/>
      <c r="E83" s="349"/>
    </row>
    <row r="84" spans="2:5" x14ac:dyDescent="0.3">
      <c r="B84" s="356"/>
      <c r="C84" s="349"/>
      <c r="D84" s="349"/>
      <c r="E84" s="361"/>
    </row>
    <row r="85" spans="2:5" x14ac:dyDescent="0.3">
      <c r="B85" s="356"/>
      <c r="C85" s="349"/>
      <c r="D85" s="349"/>
      <c r="E85" s="361"/>
    </row>
    <row r="86" spans="2:5" x14ac:dyDescent="0.3">
      <c r="E86" s="105"/>
    </row>
    <row r="87" spans="2:5" x14ac:dyDescent="0.3">
      <c r="E87" s="105"/>
    </row>
  </sheetData>
  <mergeCells count="14">
    <mergeCell ref="I2:J3"/>
    <mergeCell ref="I4:J4"/>
    <mergeCell ref="L2:L3"/>
    <mergeCell ref="B52:C52"/>
    <mergeCell ref="B2:B3"/>
    <mergeCell ref="C2:D3"/>
    <mergeCell ref="E2:E3"/>
    <mergeCell ref="F2:G3"/>
    <mergeCell ref="C4:D4"/>
    <mergeCell ref="F4:G4"/>
    <mergeCell ref="B44:C44"/>
    <mergeCell ref="B45:C45"/>
    <mergeCell ref="B47:C47"/>
    <mergeCell ref="B50:E50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71DAD-C4E3-41A4-BC4B-E2389B3A1EEC}">
  <sheetPr codeName="Sheet12">
    <tabColor theme="6" tint="0.59999389629810485"/>
  </sheetPr>
  <dimension ref="A1:R87"/>
  <sheetViews>
    <sheetView showGridLines="0" zoomScale="70" zoomScaleNormal="70" workbookViewId="0">
      <selection activeCell="Q26" sqref="Q26"/>
    </sheetView>
  </sheetViews>
  <sheetFormatPr defaultRowHeight="14.4" x14ac:dyDescent="0.3"/>
  <cols>
    <col min="1" max="1" width="18.21875" customWidth="1"/>
    <col min="2" max="2" width="34.44140625" customWidth="1"/>
    <col min="3" max="3" width="10.5546875" customWidth="1"/>
    <col min="4" max="4" width="8.5546875" customWidth="1"/>
    <col min="5" max="5" width="4.5546875" customWidth="1"/>
    <col min="6" max="6" width="12.44140625" bestFit="1" customWidth="1"/>
    <col min="7" max="7" width="7.77734375" style="50" bestFit="1" customWidth="1"/>
    <col min="8" max="8" width="1.44140625" style="50" customWidth="1"/>
    <col min="9" max="9" width="9.21875" bestFit="1" customWidth="1"/>
    <col min="10" max="10" width="7.77734375" style="50" customWidth="1"/>
    <col min="11" max="11" width="2.21875" customWidth="1"/>
    <col min="12" max="12" width="12.44140625" customWidth="1"/>
    <col min="14" max="14" width="18.21875" customWidth="1"/>
    <col min="15" max="15" width="3.44140625" customWidth="1"/>
  </cols>
  <sheetData>
    <row r="1" spans="1:18" x14ac:dyDescent="0.3">
      <c r="B1" s="51"/>
      <c r="C1" s="51"/>
      <c r="D1" s="51"/>
      <c r="E1" s="52"/>
      <c r="F1" s="190"/>
      <c r="G1" s="51"/>
      <c r="H1" s="51"/>
      <c r="I1" s="190"/>
      <c r="J1" s="51"/>
    </row>
    <row r="2" spans="1:18" ht="14.55" customHeight="1" x14ac:dyDescent="0.3">
      <c r="B2" s="1199" t="s">
        <v>1023</v>
      </c>
      <c r="C2" s="1201" t="s">
        <v>623</v>
      </c>
      <c r="D2" s="1202"/>
      <c r="E2" s="1205"/>
      <c r="F2" s="1212" t="s">
        <v>57</v>
      </c>
      <c r="G2" s="1213"/>
      <c r="H2" s="60"/>
      <c r="I2" s="1212" t="s">
        <v>1071</v>
      </c>
      <c r="J2" s="1213"/>
      <c r="L2" s="1232" t="s">
        <v>154</v>
      </c>
    </row>
    <row r="3" spans="1:18" x14ac:dyDescent="0.3">
      <c r="B3" s="1200"/>
      <c r="C3" s="1203"/>
      <c r="D3" s="1204"/>
      <c r="E3" s="1205"/>
      <c r="F3" s="1214"/>
      <c r="G3" s="1215"/>
      <c r="H3" s="60"/>
      <c r="I3" s="1214"/>
      <c r="J3" s="1215"/>
      <c r="L3" s="1233"/>
    </row>
    <row r="4" spans="1:18" x14ac:dyDescent="0.3">
      <c r="B4" s="51"/>
      <c r="C4" s="1221">
        <f>+'YTD Report(HQD)_variance '!B4</f>
        <v>289459</v>
      </c>
      <c r="D4" s="1222"/>
      <c r="E4" s="52"/>
      <c r="F4" s="1221">
        <f>+'YTD Report(HQD)_variance '!Q4</f>
        <v>240074</v>
      </c>
      <c r="G4" s="1222"/>
      <c r="H4" s="61"/>
      <c r="I4" s="1221">
        <v>241788</v>
      </c>
      <c r="J4" s="1222"/>
      <c r="L4" s="379">
        <f>+F4-I4</f>
        <v>-1714</v>
      </c>
    </row>
    <row r="5" spans="1:18" x14ac:dyDescent="0.3">
      <c r="B5" s="55" t="s">
        <v>68</v>
      </c>
      <c r="C5" s="54"/>
      <c r="D5" s="51"/>
      <c r="E5" s="52"/>
      <c r="F5" s="323"/>
      <c r="G5" s="324"/>
      <c r="H5" s="325"/>
      <c r="I5" s="323"/>
      <c r="J5" s="324"/>
    </row>
    <row r="6" spans="1:18" x14ac:dyDescent="0.3">
      <c r="B6" s="51"/>
      <c r="C6" s="318" t="s">
        <v>71</v>
      </c>
      <c r="D6" s="316" t="s">
        <v>72</v>
      </c>
      <c r="E6" s="52"/>
      <c r="F6" s="318" t="s">
        <v>71</v>
      </c>
      <c r="G6" s="316" t="s">
        <v>72</v>
      </c>
      <c r="H6" s="61"/>
      <c r="I6" s="318" t="s">
        <v>71</v>
      </c>
      <c r="J6" s="316" t="s">
        <v>72</v>
      </c>
    </row>
    <row r="7" spans="1:18" x14ac:dyDescent="0.3">
      <c r="A7" s="380" t="s">
        <v>140</v>
      </c>
      <c r="B7" s="2" t="s">
        <v>74</v>
      </c>
      <c r="C7" s="334">
        <f>+'YTD Report(HQD)_variance '!B7</f>
        <v>3129</v>
      </c>
      <c r="D7" s="1177">
        <f>+C7*1000/$C$4</f>
        <v>10.809821080014785</v>
      </c>
      <c r="E7" s="336"/>
      <c r="F7" s="338">
        <f>+'YTD Report(HQD)_variance '!Q7</f>
        <v>2418.8815776144902</v>
      </c>
      <c r="G7" s="1161">
        <f>+F7*1000/$F$4</f>
        <v>10.075566607023211</v>
      </c>
      <c r="H7" s="61"/>
      <c r="I7" s="338">
        <v>2488.2380653404352</v>
      </c>
      <c r="J7" s="1161">
        <f>+I7*1000/$I$4</f>
        <v>10.290990724686234</v>
      </c>
      <c r="L7" s="418">
        <f>+F7-I7</f>
        <v>-69.356487725945044</v>
      </c>
    </row>
    <row r="8" spans="1:18" x14ac:dyDescent="0.3">
      <c r="A8" s="380" t="s">
        <v>140</v>
      </c>
      <c r="B8" s="3" t="s">
        <v>75</v>
      </c>
      <c r="C8" s="334">
        <f>+'YTD Report(HQD)_variance '!B8</f>
        <v>209.56943597150939</v>
      </c>
      <c r="D8" s="1177">
        <f t="shared" ref="D8:D35" si="0">+C8*1000/$C$4</f>
        <v>0.72400386918876047</v>
      </c>
      <c r="E8" s="336"/>
      <c r="F8" s="338">
        <f>+'YTD Report(HQD)_variance '!Q8</f>
        <v>151.60735</v>
      </c>
      <c r="G8" s="1161">
        <f t="shared" ref="G8:G22" si="1">+F8*1000/$F$4</f>
        <v>0.63150257837166879</v>
      </c>
      <c r="H8" s="61"/>
      <c r="I8" s="338">
        <v>162.58234546151834</v>
      </c>
      <c r="J8" s="1161">
        <f t="shared" ref="J8:J35" si="2">+I8*1000/$I$4</f>
        <v>0.67241693327013052</v>
      </c>
      <c r="L8" s="419">
        <f t="shared" ref="L8:L35" si="3">+F8-I8</f>
        <v>-10.974995461518347</v>
      </c>
      <c r="P8" s="32"/>
      <c r="Q8" s="32"/>
      <c r="R8" s="32"/>
    </row>
    <row r="9" spans="1:18" x14ac:dyDescent="0.3">
      <c r="A9" s="380" t="s">
        <v>140</v>
      </c>
      <c r="B9" s="3" t="s">
        <v>141</v>
      </c>
      <c r="C9" s="334">
        <f>+'YTD Report(HQD)_variance '!B9</f>
        <v>95.361000000000004</v>
      </c>
      <c r="D9" s="1177">
        <f t="shared" si="0"/>
        <v>0.32944562096877278</v>
      </c>
      <c r="E9" s="336"/>
      <c r="F9" s="338">
        <f>+'YTD Report(HQD)_variance '!Q9</f>
        <v>113.14721</v>
      </c>
      <c r="G9" s="1161">
        <f t="shared" si="1"/>
        <v>0.47130139040462526</v>
      </c>
      <c r="H9" s="61"/>
      <c r="I9" s="338">
        <v>101.33778842128481</v>
      </c>
      <c r="J9" s="1161">
        <f t="shared" si="2"/>
        <v>0.41911835335618314</v>
      </c>
      <c r="L9" s="419">
        <f t="shared" si="3"/>
        <v>11.809421578715188</v>
      </c>
      <c r="P9" s="32"/>
    </row>
    <row r="10" spans="1:18" x14ac:dyDescent="0.3">
      <c r="A10" s="380" t="s">
        <v>140</v>
      </c>
      <c r="B10" s="4" t="s">
        <v>79</v>
      </c>
      <c r="C10" s="57">
        <f>+'YTD Report(HQD)_variance '!B10</f>
        <v>3433.9304359715093</v>
      </c>
      <c r="D10" s="1170">
        <f t="shared" si="0"/>
        <v>11.863270570172318</v>
      </c>
      <c r="E10" s="52"/>
      <c r="F10" s="166">
        <f>+'YTD Report(HQD)_variance '!Q10</f>
        <v>2683.6361376144905</v>
      </c>
      <c r="G10" s="1162">
        <f t="shared" si="1"/>
        <v>11.178370575799505</v>
      </c>
      <c r="H10" s="61"/>
      <c r="I10" s="166">
        <v>2752.1581992232386</v>
      </c>
      <c r="J10" s="1162">
        <f t="shared" si="2"/>
        <v>11.382526011312549</v>
      </c>
      <c r="L10" s="420">
        <f t="shared" si="3"/>
        <v>-68.522061608748118</v>
      </c>
      <c r="P10" s="32"/>
    </row>
    <row r="11" spans="1:18" x14ac:dyDescent="0.3">
      <c r="A11" s="380" t="s">
        <v>140</v>
      </c>
      <c r="B11" s="3" t="s">
        <v>80</v>
      </c>
      <c r="C11" s="56">
        <f>+'YTD Report(HQD)_variance '!B11</f>
        <v>1264.7213403524402</v>
      </c>
      <c r="D11" s="1171">
        <f t="shared" si="0"/>
        <v>4.369258998173974</v>
      </c>
      <c r="E11" s="52"/>
      <c r="F11" s="331">
        <f>+'YTD Report(HQD)_variance '!Q11</f>
        <v>1325.2768223855101</v>
      </c>
      <c r="G11" s="1163">
        <f t="shared" si="1"/>
        <v>5.5202846721657073</v>
      </c>
      <c r="H11" s="61"/>
      <c r="I11" s="331">
        <v>1318.0082974857014</v>
      </c>
      <c r="J11" s="1163">
        <f t="shared" si="2"/>
        <v>5.4510906144461329</v>
      </c>
      <c r="L11" s="421">
        <f t="shared" si="3"/>
        <v>7.2685248998086536</v>
      </c>
    </row>
    <row r="12" spans="1:18" x14ac:dyDescent="0.3">
      <c r="A12" s="380" t="s">
        <v>140</v>
      </c>
      <c r="B12" s="3" t="s">
        <v>81</v>
      </c>
      <c r="C12" s="334">
        <f>+'YTD Report(HQD)_variance '!B12</f>
        <v>644.90808766284852</v>
      </c>
      <c r="D12" s="1172">
        <f t="shared" si="0"/>
        <v>2.2279773220485408</v>
      </c>
      <c r="E12" s="336"/>
      <c r="F12" s="338">
        <f>+'YTD Report(HQD)_variance '!Q12</f>
        <v>636.09685000000002</v>
      </c>
      <c r="G12" s="1161">
        <f t="shared" si="1"/>
        <v>2.6495865858027106</v>
      </c>
      <c r="H12" s="61"/>
      <c r="I12" s="338">
        <v>634.20257009161116</v>
      </c>
      <c r="J12" s="1161">
        <f t="shared" si="2"/>
        <v>2.6229695853045278</v>
      </c>
      <c r="L12" s="419">
        <f t="shared" si="3"/>
        <v>1.8942799083888531</v>
      </c>
    </row>
    <row r="13" spans="1:18" x14ac:dyDescent="0.3">
      <c r="A13" s="380" t="s">
        <v>140</v>
      </c>
      <c r="B13" s="3" t="s">
        <v>82</v>
      </c>
      <c r="C13" s="334">
        <f>+'YTD Report(HQD)_variance '!B13</f>
        <v>1060.8527697130912</v>
      </c>
      <c r="D13" s="1172">
        <f t="shared" si="0"/>
        <v>3.6649500264738397</v>
      </c>
      <c r="E13" s="336"/>
      <c r="F13" s="338">
        <f>+'YTD Report(HQD)_variance '!Q13</f>
        <v>906.21602000000007</v>
      </c>
      <c r="G13" s="1161">
        <f t="shared" si="1"/>
        <v>3.7747362063363799</v>
      </c>
      <c r="H13" s="61"/>
      <c r="I13" s="338">
        <v>991.30710994645437</v>
      </c>
      <c r="J13" s="1161">
        <f t="shared" si="2"/>
        <v>4.0999020213842474</v>
      </c>
      <c r="L13" s="419">
        <f t="shared" si="3"/>
        <v>-85.091089946454304</v>
      </c>
    </row>
    <row r="14" spans="1:18" x14ac:dyDescent="0.3">
      <c r="A14" s="380" t="s">
        <v>140</v>
      </c>
      <c r="B14" s="3" t="s">
        <v>83</v>
      </c>
      <c r="C14" s="341">
        <f>+'YTD Report(HQD)_variance '!B14</f>
        <v>32</v>
      </c>
      <c r="D14" s="1172">
        <f t="shared" si="0"/>
        <v>0.11055106249935225</v>
      </c>
      <c r="E14" s="336"/>
      <c r="F14" s="338">
        <f>+'YTD Report(HQD)_variance '!Q14</f>
        <v>16.256550000000001</v>
      </c>
      <c r="G14" s="1161">
        <f t="shared" si="1"/>
        <v>6.7714746286561642E-2</v>
      </c>
      <c r="H14" s="61"/>
      <c r="I14" s="338">
        <v>20.980211031328054</v>
      </c>
      <c r="J14" s="1161">
        <f t="shared" si="2"/>
        <v>8.6771101259483743E-2</v>
      </c>
      <c r="L14" s="419">
        <f t="shared" si="3"/>
        <v>-4.7236610313280529</v>
      </c>
    </row>
    <row r="15" spans="1:18" x14ac:dyDescent="0.3">
      <c r="A15" s="380" t="s">
        <v>140</v>
      </c>
      <c r="B15" s="3" t="s">
        <v>84</v>
      </c>
      <c r="C15" s="334">
        <f>+'YTD Report(HQD)_variance '!B15</f>
        <v>262.61090623877089</v>
      </c>
      <c r="D15" s="1172">
        <f t="shared" si="0"/>
        <v>0.90724733464418406</v>
      </c>
      <c r="E15" s="336"/>
      <c r="F15" s="338">
        <f>+'YTD Report(HQD)_variance '!Q15</f>
        <v>205.53572</v>
      </c>
      <c r="G15" s="1161">
        <f t="shared" si="1"/>
        <v>0.85613485841865422</v>
      </c>
      <c r="H15" s="322"/>
      <c r="I15" s="338">
        <v>203.39384373194784</v>
      </c>
      <c r="J15" s="1161">
        <f t="shared" si="2"/>
        <v>0.84120735409510738</v>
      </c>
      <c r="L15" s="419">
        <f t="shared" si="3"/>
        <v>2.1418762680521581</v>
      </c>
    </row>
    <row r="16" spans="1:18" x14ac:dyDescent="0.3">
      <c r="A16" s="380" t="s">
        <v>140</v>
      </c>
      <c r="B16" s="3" t="s">
        <v>86</v>
      </c>
      <c r="C16" s="334">
        <f>+'YTD Report(HQD)_variance '!B16</f>
        <v>935.329228872719</v>
      </c>
      <c r="D16" s="1172">
        <f t="shared" si="0"/>
        <v>3.2313012512055903</v>
      </c>
      <c r="E16" s="336"/>
      <c r="F16" s="338">
        <f>+'YTD Report(HQD)_variance '!Q16</f>
        <v>748.35690694411619</v>
      </c>
      <c r="G16" s="1161">
        <f t="shared" si="1"/>
        <v>3.1171926445350859</v>
      </c>
      <c r="H16" s="61"/>
      <c r="I16" s="338">
        <v>756.31547920010416</v>
      </c>
      <c r="J16" s="1161">
        <f t="shared" si="2"/>
        <v>3.1280108160872504</v>
      </c>
      <c r="L16" s="419">
        <f t="shared" si="3"/>
        <v>-7.9585722559879741</v>
      </c>
    </row>
    <row r="17" spans="1:12" x14ac:dyDescent="0.3">
      <c r="A17" s="380" t="s">
        <v>140</v>
      </c>
      <c r="B17" s="4" t="s">
        <v>87</v>
      </c>
      <c r="C17" s="57">
        <f>+'YTD Report(HQD)_variance '!B17</f>
        <v>4200.4223328398703</v>
      </c>
      <c r="D17" s="1170">
        <f t="shared" si="0"/>
        <v>14.511285995045482</v>
      </c>
      <c r="E17" s="52"/>
      <c r="F17" s="166">
        <f>+'YTD Report(HQD)_variance '!Q17</f>
        <v>3837.7388693296261</v>
      </c>
      <c r="G17" s="1162">
        <f t="shared" si="1"/>
        <v>15.985649713545099</v>
      </c>
      <c r="H17" s="61"/>
      <c r="I17" s="166">
        <v>3924.2075114871468</v>
      </c>
      <c r="J17" s="1162">
        <f t="shared" si="2"/>
        <v>16.229951492576749</v>
      </c>
      <c r="L17" s="420">
        <f t="shared" si="3"/>
        <v>-86.468642157520662</v>
      </c>
    </row>
    <row r="18" spans="1:12" x14ac:dyDescent="0.3">
      <c r="A18" s="380" t="s">
        <v>140</v>
      </c>
      <c r="B18" s="5" t="s">
        <v>88</v>
      </c>
      <c r="C18" s="58">
        <f>+'YTD Report(HQD)_variance '!B18</f>
        <v>7634.3527688113791</v>
      </c>
      <c r="D18" s="1173">
        <f t="shared" si="0"/>
        <v>26.374556565217798</v>
      </c>
      <c r="E18" s="52"/>
      <c r="F18" s="267">
        <f>+'YTD Report(HQD)_variance '!Q18</f>
        <v>6521.3750069441166</v>
      </c>
      <c r="G18" s="1164">
        <f t="shared" si="1"/>
        <v>27.164020289344602</v>
      </c>
      <c r="H18" s="61"/>
      <c r="I18" s="267">
        <v>6676.3657107103854</v>
      </c>
      <c r="J18" s="1164">
        <f t="shared" si="2"/>
        <v>27.612477503889298</v>
      </c>
      <c r="L18" s="422">
        <f t="shared" si="3"/>
        <v>-154.99070376626878</v>
      </c>
    </row>
    <row r="19" spans="1:12" x14ac:dyDescent="0.3">
      <c r="A19" s="380" t="s">
        <v>140</v>
      </c>
      <c r="B19" s="3" t="s">
        <v>89</v>
      </c>
      <c r="C19" s="334">
        <f>+'YTD Report(HQD)_variance '!B19</f>
        <v>125.33572953474766</v>
      </c>
      <c r="D19" s="1172">
        <f t="shared" si="0"/>
        <v>0.43299993966243117</v>
      </c>
      <c r="E19" s="336"/>
      <c r="F19" s="338">
        <f>+'YTD Report(HQD)_variance '!Q19</f>
        <v>102.43459</v>
      </c>
      <c r="G19" s="1161">
        <f t="shared" si="1"/>
        <v>0.42667923223672699</v>
      </c>
      <c r="H19" s="61"/>
      <c r="I19" s="338">
        <v>110.81623609313881</v>
      </c>
      <c r="J19" s="1161">
        <f t="shared" si="2"/>
        <v>0.45831983428928985</v>
      </c>
      <c r="L19" s="419">
        <f t="shared" si="3"/>
        <v>-8.3816460931388121</v>
      </c>
    </row>
    <row r="20" spans="1:12" x14ac:dyDescent="0.3">
      <c r="A20" s="380" t="s">
        <v>140</v>
      </c>
      <c r="B20" s="5" t="s">
        <v>90</v>
      </c>
      <c r="C20" s="58">
        <f>+'YTD Report(HQD)_variance '!B20</f>
        <v>7759.6884983461268</v>
      </c>
      <c r="D20" s="1173">
        <f t="shared" si="0"/>
        <v>26.807556504880232</v>
      </c>
      <c r="E20" s="52"/>
      <c r="F20" s="267">
        <f>+'YTD Report(HQD)_variance '!Q20</f>
        <v>6623.8095969441165</v>
      </c>
      <c r="G20" s="1164">
        <f t="shared" si="1"/>
        <v>27.590699521581328</v>
      </c>
      <c r="H20" s="61"/>
      <c r="I20" s="267">
        <v>6787.1819468035246</v>
      </c>
      <c r="J20" s="1164">
        <f t="shared" si="2"/>
        <v>28.07079733817859</v>
      </c>
      <c r="L20" s="422">
        <f t="shared" si="3"/>
        <v>-163.37234985940813</v>
      </c>
    </row>
    <row r="21" spans="1:12" x14ac:dyDescent="0.3">
      <c r="A21" s="380" t="s">
        <v>140</v>
      </c>
      <c r="B21" s="272" t="s">
        <v>91</v>
      </c>
      <c r="C21" s="342">
        <f>+'YTD Report(HQD)_variance '!B22</f>
        <v>2478.186051127288</v>
      </c>
      <c r="D21" s="1174">
        <f t="shared" si="0"/>
        <v>8.5614406569748667</v>
      </c>
      <c r="E21" s="336"/>
      <c r="F21" s="345">
        <f>+'YTD Report(HQD)_variance '!Q22</f>
        <v>1802.1403430558842</v>
      </c>
      <c r="G21" s="1165">
        <f t="shared" si="1"/>
        <v>7.5066035599685268</v>
      </c>
      <c r="H21" s="61"/>
      <c r="I21" s="345">
        <v>1805.5172530558843</v>
      </c>
      <c r="J21" s="1165">
        <f t="shared" si="2"/>
        <v>7.4673567466370718</v>
      </c>
      <c r="L21" s="423">
        <f t="shared" si="3"/>
        <v>-3.3769100000001799</v>
      </c>
    </row>
    <row r="22" spans="1:12" x14ac:dyDescent="0.3">
      <c r="A22" s="380" t="s">
        <v>140</v>
      </c>
      <c r="B22" s="274" t="s">
        <v>92</v>
      </c>
      <c r="C22" s="275">
        <f>+'YTD Report(HQD)_variance '!B23</f>
        <v>10237.874549473414</v>
      </c>
      <c r="D22" s="1146">
        <f t="shared" si="0"/>
        <v>35.368997161855098</v>
      </c>
      <c r="E22" s="52"/>
      <c r="F22" s="275">
        <f>+F21+F20</f>
        <v>8425.9499400000004</v>
      </c>
      <c r="G22" s="1166">
        <f t="shared" si="1"/>
        <v>35.09730308154986</v>
      </c>
      <c r="H22" s="61"/>
      <c r="I22" s="275">
        <v>8592.6991998594094</v>
      </c>
      <c r="J22" s="1166">
        <f t="shared" si="2"/>
        <v>35.538154084815659</v>
      </c>
      <c r="L22" s="329">
        <f t="shared" si="3"/>
        <v>-166.74925985940899</v>
      </c>
    </row>
    <row r="23" spans="1:12" x14ac:dyDescent="0.3">
      <c r="A23" s="45"/>
      <c r="B23" s="51"/>
      <c r="C23" s="51"/>
      <c r="D23" s="1153"/>
      <c r="E23" s="52"/>
      <c r="F23" s="51"/>
      <c r="G23" s="1153"/>
      <c r="H23" s="61"/>
      <c r="I23" s="51"/>
      <c r="J23" s="1153"/>
      <c r="L23" s="269"/>
    </row>
    <row r="24" spans="1:12" x14ac:dyDescent="0.3">
      <c r="A24" s="380" t="s">
        <v>143</v>
      </c>
      <c r="B24" s="2" t="s">
        <v>76</v>
      </c>
      <c r="C24" s="364">
        <f>+'YTD Report(HQD)_variance '!B25</f>
        <v>136</v>
      </c>
      <c r="D24" s="1175">
        <f t="shared" si="0"/>
        <v>0.46984201562224703</v>
      </c>
      <c r="E24" s="336"/>
      <c r="F24" s="365">
        <f>+'YTD Report(HQD)_variance '!Q25</f>
        <v>136.63113000000001</v>
      </c>
      <c r="G24" s="1167">
        <f t="shared" ref="G24:G29" si="4">+F24*1000/$F$4</f>
        <v>0.56912089605704907</v>
      </c>
      <c r="H24" s="61"/>
      <c r="I24" s="365">
        <v>131.96667000000002</v>
      </c>
      <c r="J24" s="1167">
        <f t="shared" si="2"/>
        <v>0.54579495260310695</v>
      </c>
      <c r="L24" s="418">
        <f t="shared" si="3"/>
        <v>4.6644599999999912</v>
      </c>
    </row>
    <row r="25" spans="1:12" x14ac:dyDescent="0.3">
      <c r="A25" s="380" t="s">
        <v>143</v>
      </c>
      <c r="B25" s="3" t="s">
        <v>77</v>
      </c>
      <c r="C25" s="334">
        <f>+'YTD Report(HQD)_variance '!B26</f>
        <v>-303</v>
      </c>
      <c r="D25" s="1172">
        <f t="shared" si="0"/>
        <v>-1.0467803730407415</v>
      </c>
      <c r="E25" s="336"/>
      <c r="F25" s="339">
        <f>+'YTD Report(HQD)_variance '!Q26</f>
        <v>-306.81065999999998</v>
      </c>
      <c r="G25" s="1161">
        <f t="shared" si="4"/>
        <v>-1.2779837050242842</v>
      </c>
      <c r="H25" s="61"/>
      <c r="I25" s="339">
        <v>-284.2401683821937</v>
      </c>
      <c r="J25" s="1161">
        <f t="shared" si="2"/>
        <v>-1.1755759937722043</v>
      </c>
      <c r="L25" s="419">
        <f t="shared" si="3"/>
        <v>-22.570491617806283</v>
      </c>
    </row>
    <row r="26" spans="1:12" x14ac:dyDescent="0.3">
      <c r="A26" s="380" t="s">
        <v>143</v>
      </c>
      <c r="B26" s="3" t="s">
        <v>144</v>
      </c>
      <c r="C26" s="334">
        <f>+'YTD Report(HQD)_variance '!B27</f>
        <v>0</v>
      </c>
      <c r="D26" s="1172">
        <f t="shared" si="0"/>
        <v>0</v>
      </c>
      <c r="E26" s="336"/>
      <c r="F26" s="339">
        <f>+'YTD Report(HQD)_variance '!Q27</f>
        <v>63.281839999999995</v>
      </c>
      <c r="G26" s="1161">
        <f t="shared" si="4"/>
        <v>0.26359305880686784</v>
      </c>
      <c r="H26" s="61"/>
      <c r="I26" s="339">
        <v>72.196259999999995</v>
      </c>
      <c r="J26" s="1161">
        <f t="shared" si="2"/>
        <v>0.29859323043327213</v>
      </c>
      <c r="L26" s="419">
        <f t="shared" si="3"/>
        <v>-8.9144199999999998</v>
      </c>
    </row>
    <row r="27" spans="1:12" x14ac:dyDescent="0.3">
      <c r="A27" s="380" t="s">
        <v>143</v>
      </c>
      <c r="B27" s="3" t="s">
        <v>85</v>
      </c>
      <c r="C27" s="334">
        <f>+'YTD Report(HQD)_variance '!B28</f>
        <v>52</v>
      </c>
      <c r="D27" s="1172">
        <f t="shared" si="0"/>
        <v>0.17964547656144739</v>
      </c>
      <c r="E27" s="336"/>
      <c r="F27" s="339">
        <f>+'YTD Report(HQD)_variance '!Q28</f>
        <v>17.338399999999965</v>
      </c>
      <c r="G27" s="1161">
        <f t="shared" si="4"/>
        <v>7.2221065171571952E-2</v>
      </c>
      <c r="H27" s="61"/>
      <c r="I27" s="339">
        <v>63.024156961005247</v>
      </c>
      <c r="J27" s="1161">
        <f t="shared" si="2"/>
        <v>0.26065874634392627</v>
      </c>
      <c r="L27" s="419">
        <f t="shared" si="3"/>
        <v>-45.685756961005282</v>
      </c>
    </row>
    <row r="28" spans="1:12" x14ac:dyDescent="0.3">
      <c r="A28" s="380" t="s">
        <v>143</v>
      </c>
      <c r="B28" s="363" t="s">
        <v>145</v>
      </c>
      <c r="C28" s="367">
        <f>+'YTD Report(HQD)_variance '!B29</f>
        <v>0</v>
      </c>
      <c r="D28" s="1176">
        <f t="shared" si="0"/>
        <v>0</v>
      </c>
      <c r="E28" s="336"/>
      <c r="F28" s="368">
        <f>+'YTD Report(HQD)_variance '!Q29</f>
        <v>0</v>
      </c>
      <c r="G28" s="1168">
        <f t="shared" si="4"/>
        <v>0</v>
      </c>
      <c r="H28" s="61"/>
      <c r="I28" s="368">
        <v>0</v>
      </c>
      <c r="J28" s="1161">
        <f t="shared" si="2"/>
        <v>0</v>
      </c>
      <c r="L28" s="424">
        <f t="shared" si="3"/>
        <v>0</v>
      </c>
    </row>
    <row r="29" spans="1:12" x14ac:dyDescent="0.3">
      <c r="A29" s="380" t="s">
        <v>143</v>
      </c>
      <c r="B29" s="274" t="s">
        <v>146</v>
      </c>
      <c r="C29" s="275">
        <f>+'YTD Report(HQD)_variance '!B30</f>
        <v>-115</v>
      </c>
      <c r="D29" s="1146">
        <f t="shared" si="0"/>
        <v>-0.39729288085704711</v>
      </c>
      <c r="E29" s="52"/>
      <c r="F29" s="275">
        <f>+'YTD Report(HQD)_variance '!Q30</f>
        <v>-89.559290000000018</v>
      </c>
      <c r="G29" s="1146">
        <f t="shared" si="4"/>
        <v>-0.37304868498879523</v>
      </c>
      <c r="H29" s="61"/>
      <c r="I29" s="275">
        <v>-17.053081421188459</v>
      </c>
      <c r="J29" s="1146">
        <f t="shared" si="2"/>
        <v>-7.0529064391898919E-2</v>
      </c>
      <c r="L29" s="329">
        <f t="shared" si="3"/>
        <v>-72.506208578811567</v>
      </c>
    </row>
    <row r="30" spans="1:12" x14ac:dyDescent="0.3">
      <c r="A30" s="45"/>
      <c r="B30" s="51"/>
      <c r="C30" s="51"/>
      <c r="D30" s="1153"/>
      <c r="E30" s="52"/>
      <c r="F30" s="51"/>
      <c r="G30" s="1153"/>
      <c r="H30" s="61"/>
      <c r="I30" s="51"/>
      <c r="J30" s="1153"/>
      <c r="L30" s="269"/>
    </row>
    <row r="31" spans="1:12" x14ac:dyDescent="0.3">
      <c r="A31" s="380" t="s">
        <v>147</v>
      </c>
      <c r="B31" s="2" t="s">
        <v>148</v>
      </c>
      <c r="C31" s="364">
        <f>+'YTD Report(HQD)_variance '!B32</f>
        <v>544.18333500000006</v>
      </c>
      <c r="D31" s="1175">
        <f t="shared" si="0"/>
        <v>1.880001433709092</v>
      </c>
      <c r="E31" s="336"/>
      <c r="F31" s="365">
        <f>+'YTD Report(HQD)_variance '!Q32</f>
        <v>535.96594000000005</v>
      </c>
      <c r="G31" s="1167">
        <f t="shared" ref="G31:G33" si="5">+F31*1000/$F$4</f>
        <v>2.2325030615560206</v>
      </c>
      <c r="H31" s="61"/>
      <c r="I31" s="365">
        <v>537.24804236800492</v>
      </c>
      <c r="J31" s="1167">
        <f t="shared" si="2"/>
        <v>2.2219797606498459</v>
      </c>
      <c r="L31" s="418">
        <f t="shared" si="3"/>
        <v>-1.2821023680048711</v>
      </c>
    </row>
    <row r="32" spans="1:12" x14ac:dyDescent="0.3">
      <c r="A32" s="380" t="s">
        <v>147</v>
      </c>
      <c r="B32" s="363" t="s">
        <v>149</v>
      </c>
      <c r="C32" s="364">
        <f>+'YTD Report(HQD)_variance '!B33</f>
        <v>567.19201284708504</v>
      </c>
      <c r="D32" s="1176">
        <f t="shared" si="0"/>
        <v>1.9594899894184843</v>
      </c>
      <c r="E32" s="336"/>
      <c r="F32" s="368">
        <f>+'YTD Report(HQD)_variance '!Q33</f>
        <v>538.91129000000012</v>
      </c>
      <c r="G32" s="1168">
        <f t="shared" si="5"/>
        <v>2.2447715704324507</v>
      </c>
      <c r="H32" s="61"/>
      <c r="I32" s="368">
        <v>544.35501938549157</v>
      </c>
      <c r="J32" s="1161">
        <f t="shared" si="2"/>
        <v>2.2513731838862623</v>
      </c>
      <c r="L32" s="424">
        <f t="shared" si="3"/>
        <v>-5.4437293854914515</v>
      </c>
    </row>
    <row r="33" spans="1:12" x14ac:dyDescent="0.3">
      <c r="A33" s="380" t="s">
        <v>147</v>
      </c>
      <c r="B33" s="274" t="s">
        <v>150</v>
      </c>
      <c r="C33" s="275">
        <f>SUM(C31:C32)</f>
        <v>1111.3753478470851</v>
      </c>
      <c r="D33" s="1146">
        <f t="shared" si="0"/>
        <v>3.8394914231275759</v>
      </c>
      <c r="E33" s="52"/>
      <c r="F33" s="275">
        <f>SUM(F31:F32)</f>
        <v>1074.8772300000001</v>
      </c>
      <c r="G33" s="1146">
        <f t="shared" si="5"/>
        <v>4.47727463198847</v>
      </c>
      <c r="H33" s="61"/>
      <c r="I33" s="275">
        <v>1081.6030617534966</v>
      </c>
      <c r="J33" s="1146">
        <f t="shared" si="2"/>
        <v>4.4733529445361082</v>
      </c>
      <c r="L33" s="329">
        <f t="shared" si="3"/>
        <v>-6.7258317534965499</v>
      </c>
    </row>
    <row r="34" spans="1:12" x14ac:dyDescent="0.3">
      <c r="A34" s="45"/>
      <c r="B34" s="51"/>
      <c r="C34" s="51"/>
      <c r="D34" s="1153"/>
      <c r="E34" s="52"/>
      <c r="F34" s="51"/>
      <c r="G34" s="1153"/>
      <c r="H34" s="61"/>
      <c r="I34" s="51"/>
      <c r="J34" s="1153"/>
      <c r="L34" s="269"/>
    </row>
    <row r="35" spans="1:12" x14ac:dyDescent="0.3">
      <c r="A35" s="380" t="s">
        <v>151</v>
      </c>
      <c r="B35" s="274" t="s">
        <v>1022</v>
      </c>
      <c r="C35" s="275">
        <f>+C33+C29+C22</f>
        <v>11234.249897320498</v>
      </c>
      <c r="D35" s="1146">
        <f t="shared" si="0"/>
        <v>38.811195704125623</v>
      </c>
      <c r="E35" s="52"/>
      <c r="F35" s="275">
        <f>+F33+F29+F22</f>
        <v>9411.2678800000012</v>
      </c>
      <c r="G35" s="1146">
        <f>+F35*1000/$F$4</f>
        <v>39.201529028549537</v>
      </c>
      <c r="H35" s="61"/>
      <c r="I35" s="275">
        <v>9657.2491801917167</v>
      </c>
      <c r="J35" s="1146">
        <f t="shared" si="2"/>
        <v>39.940977964959863</v>
      </c>
      <c r="L35" s="329">
        <f t="shared" si="3"/>
        <v>-245.98130019171549</v>
      </c>
    </row>
    <row r="36" spans="1:12" x14ac:dyDescent="0.3">
      <c r="B36" s="51"/>
      <c r="C36" s="51"/>
      <c r="D36" s="276"/>
      <c r="E36" s="52"/>
      <c r="F36" s="51"/>
      <c r="G36" s="270"/>
      <c r="H36" s="61"/>
      <c r="I36" s="51"/>
      <c r="J36" s="270"/>
      <c r="L36" s="270"/>
    </row>
    <row r="37" spans="1:12" x14ac:dyDescent="0.3">
      <c r="A37" s="370" t="s">
        <v>153</v>
      </c>
      <c r="B37" s="371"/>
      <c r="C37" s="372">
        <f>+C35*1000-'YTD Report(HQD)_variance '!B36*1000</f>
        <v>0</v>
      </c>
      <c r="D37" s="372"/>
      <c r="E37" s="373"/>
      <c r="F37" s="372">
        <f>+F35*1000-'YTD Report(HQD)_variance '!Q36*1000</f>
        <v>0</v>
      </c>
      <c r="G37" s="372"/>
      <c r="H37" s="61"/>
      <c r="I37" s="374"/>
      <c r="J37" s="374"/>
      <c r="L37" s="374"/>
    </row>
    <row r="38" spans="1:12" x14ac:dyDescent="0.3">
      <c r="B38" s="51"/>
      <c r="C38" s="51"/>
      <c r="D38" s="276"/>
      <c r="E38" s="52"/>
      <c r="F38" s="750"/>
      <c r="G38" s="270"/>
      <c r="H38" s="61"/>
      <c r="I38" s="51"/>
      <c r="J38" s="270"/>
    </row>
    <row r="39" spans="1:12" x14ac:dyDescent="0.3">
      <c r="B39" s="51"/>
      <c r="C39" s="51"/>
      <c r="D39" s="276"/>
      <c r="E39" s="52"/>
      <c r="F39" s="51"/>
      <c r="G39" s="270"/>
      <c r="H39" s="61"/>
      <c r="I39" s="51"/>
      <c r="J39" s="270"/>
    </row>
    <row r="40" spans="1:12" x14ac:dyDescent="0.3">
      <c r="B40" s="51"/>
      <c r="C40" s="51"/>
      <c r="D40" s="276"/>
      <c r="E40" s="52"/>
      <c r="F40" s="52"/>
      <c r="G40" s="52"/>
      <c r="H40" s="52"/>
      <c r="I40" s="51"/>
      <c r="J40" s="270"/>
    </row>
    <row r="41" spans="1:12" ht="21" x14ac:dyDescent="0.4">
      <c r="B41" s="74"/>
      <c r="C41" s="51"/>
      <c r="D41" s="277"/>
      <c r="E41" s="52"/>
      <c r="F41" s="52"/>
      <c r="G41" s="52"/>
      <c r="H41" s="52"/>
      <c r="I41" s="190"/>
      <c r="J41" s="278"/>
    </row>
    <row r="42" spans="1:12" x14ac:dyDescent="0.3">
      <c r="B42" s="51"/>
      <c r="C42" s="51"/>
      <c r="D42" s="51"/>
      <c r="E42" s="52"/>
      <c r="F42" s="52"/>
      <c r="G42" s="52"/>
      <c r="H42" s="52"/>
      <c r="I42" s="190"/>
      <c r="J42" s="51"/>
    </row>
    <row r="43" spans="1:12" ht="17.55" customHeight="1" x14ac:dyDescent="0.35">
      <c r="B43" s="284"/>
      <c r="E43" s="52"/>
      <c r="F43" s="52"/>
      <c r="G43" s="52"/>
      <c r="H43" s="52"/>
      <c r="J43" s="189"/>
    </row>
    <row r="44" spans="1:12" x14ac:dyDescent="0.3">
      <c r="B44" s="1235"/>
      <c r="C44" s="1235"/>
      <c r="D44" s="349"/>
      <c r="E44" s="52"/>
      <c r="F44" s="52"/>
      <c r="G44" s="52"/>
      <c r="H44" s="52"/>
    </row>
    <row r="45" spans="1:12" x14ac:dyDescent="0.3">
      <c r="B45" s="1235"/>
      <c r="C45" s="1235"/>
      <c r="D45" s="349"/>
      <c r="E45" s="349"/>
      <c r="F45" s="349"/>
      <c r="G45" s="349"/>
      <c r="H45" s="349"/>
    </row>
    <row r="46" spans="1:12" ht="18" x14ac:dyDescent="0.35">
      <c r="B46" s="350"/>
      <c r="C46" s="349"/>
      <c r="D46" s="349"/>
      <c r="E46" s="349"/>
      <c r="F46" s="349"/>
      <c r="G46" s="349"/>
      <c r="H46" s="349"/>
    </row>
    <row r="47" spans="1:12" ht="75.599999999999994" customHeight="1" x14ac:dyDescent="0.3">
      <c r="B47" s="1234"/>
      <c r="C47" s="1234"/>
      <c r="D47" s="349"/>
      <c r="E47" s="349"/>
    </row>
    <row r="48" spans="1:12" ht="18" x14ac:dyDescent="0.35">
      <c r="B48" s="350"/>
      <c r="C48" s="349"/>
      <c r="D48" s="349"/>
      <c r="E48" s="349"/>
    </row>
    <row r="49" spans="2:5" ht="18" x14ac:dyDescent="0.35">
      <c r="B49" s="350"/>
      <c r="C49" s="349"/>
      <c r="D49" s="349"/>
      <c r="E49" s="349"/>
    </row>
    <row r="50" spans="2:5" ht="87.6" customHeight="1" x14ac:dyDescent="0.3">
      <c r="B50" s="1236"/>
      <c r="C50" s="1237"/>
      <c r="D50" s="1237"/>
      <c r="E50" s="1237"/>
    </row>
    <row r="51" spans="2:5" ht="18" x14ac:dyDescent="0.35">
      <c r="B51" s="350"/>
      <c r="C51" s="349"/>
      <c r="D51" s="349"/>
      <c r="E51" s="349"/>
    </row>
    <row r="52" spans="2:5" ht="157.35" customHeight="1" x14ac:dyDescent="0.3">
      <c r="B52" s="1234"/>
      <c r="C52" s="1234"/>
      <c r="D52" s="349"/>
      <c r="E52" s="349"/>
    </row>
    <row r="53" spans="2:5" ht="18" x14ac:dyDescent="0.35">
      <c r="B53" s="350"/>
      <c r="C53" s="349"/>
      <c r="D53" s="349"/>
      <c r="E53" s="349"/>
    </row>
    <row r="54" spans="2:5" x14ac:dyDescent="0.3">
      <c r="B54" s="351"/>
      <c r="C54" s="349"/>
      <c r="D54" s="349"/>
      <c r="E54" s="349"/>
    </row>
    <row r="55" spans="2:5" x14ac:dyDescent="0.3">
      <c r="B55" s="352"/>
      <c r="C55" s="349"/>
      <c r="D55" s="349"/>
      <c r="E55" s="349"/>
    </row>
    <row r="56" spans="2:5" ht="18" x14ac:dyDescent="0.35">
      <c r="B56" s="350"/>
      <c r="C56" s="349"/>
      <c r="D56" s="349"/>
      <c r="E56" s="349"/>
    </row>
    <row r="57" spans="2:5" x14ac:dyDescent="0.3">
      <c r="B57" s="353"/>
      <c r="C57" s="349"/>
      <c r="D57" s="349"/>
      <c r="E57" s="349"/>
    </row>
    <row r="58" spans="2:5" ht="129" customHeight="1" x14ac:dyDescent="0.3">
      <c r="B58" s="353"/>
      <c r="C58" s="349"/>
      <c r="D58" s="349"/>
      <c r="E58" s="349"/>
    </row>
    <row r="59" spans="2:5" x14ac:dyDescent="0.3">
      <c r="B59" s="349"/>
      <c r="C59" s="349"/>
      <c r="D59" s="349"/>
      <c r="E59" s="349"/>
    </row>
    <row r="60" spans="2:5" ht="18" x14ac:dyDescent="0.35">
      <c r="B60" s="350"/>
      <c r="C60" s="349"/>
      <c r="D60" s="349"/>
      <c r="E60" s="349"/>
    </row>
    <row r="61" spans="2:5" ht="67.8" customHeight="1" x14ac:dyDescent="0.3">
      <c r="B61" s="354"/>
      <c r="C61" s="354"/>
      <c r="D61" s="349"/>
      <c r="E61" s="349"/>
    </row>
    <row r="62" spans="2:5" ht="106.8" customHeight="1" x14ac:dyDescent="0.3">
      <c r="B62" s="353"/>
      <c r="C62" s="353"/>
      <c r="D62" s="349"/>
      <c r="E62" s="349"/>
    </row>
    <row r="63" spans="2:5" x14ac:dyDescent="0.3">
      <c r="B63" s="349"/>
      <c r="C63" s="349"/>
      <c r="D63" s="349"/>
      <c r="E63" s="349"/>
    </row>
    <row r="64" spans="2:5" ht="18" x14ac:dyDescent="0.35">
      <c r="B64" s="350"/>
      <c r="C64" s="349"/>
      <c r="D64" s="349"/>
      <c r="E64" s="349"/>
    </row>
    <row r="65" spans="2:5" ht="132" customHeight="1" x14ac:dyDescent="0.3">
      <c r="B65" s="355"/>
      <c r="C65" s="356"/>
      <c r="D65" s="349"/>
      <c r="E65" s="349"/>
    </row>
    <row r="66" spans="2:5" ht="79.349999999999994" customHeight="1" x14ac:dyDescent="0.3">
      <c r="B66" s="357"/>
      <c r="C66" s="356"/>
      <c r="D66" s="349"/>
      <c r="E66" s="349"/>
    </row>
    <row r="67" spans="2:5" x14ac:dyDescent="0.3">
      <c r="B67" s="349"/>
      <c r="C67" s="349"/>
      <c r="D67" s="349"/>
      <c r="E67" s="349"/>
    </row>
    <row r="68" spans="2:5" ht="18" x14ac:dyDescent="0.35">
      <c r="B68" s="350"/>
      <c r="C68" s="349"/>
      <c r="D68" s="349"/>
      <c r="E68" s="349"/>
    </row>
    <row r="69" spans="2:5" ht="77.55" customHeight="1" x14ac:dyDescent="0.3">
      <c r="B69" s="358"/>
      <c r="C69" s="349"/>
      <c r="D69" s="349"/>
      <c r="E69" s="349"/>
    </row>
    <row r="70" spans="2:5" x14ac:dyDescent="0.3">
      <c r="B70" s="349"/>
      <c r="C70" s="349"/>
      <c r="D70" s="349"/>
      <c r="E70" s="349"/>
    </row>
    <row r="71" spans="2:5" x14ac:dyDescent="0.3">
      <c r="B71" s="349"/>
      <c r="C71" s="349"/>
      <c r="D71" s="349"/>
      <c r="E71" s="349"/>
    </row>
    <row r="72" spans="2:5" ht="18" x14ac:dyDescent="0.35">
      <c r="B72" s="350"/>
      <c r="C72" s="349"/>
      <c r="D72" s="349"/>
      <c r="E72" s="349"/>
    </row>
    <row r="73" spans="2:5" x14ac:dyDescent="0.3">
      <c r="B73" s="357"/>
      <c r="C73" s="349"/>
      <c r="D73" s="349"/>
      <c r="E73" s="349"/>
    </row>
    <row r="74" spans="2:5" x14ac:dyDescent="0.3">
      <c r="B74" s="359"/>
      <c r="C74" s="349"/>
      <c r="D74" s="349"/>
      <c r="E74" s="349"/>
    </row>
    <row r="75" spans="2:5" ht="18" x14ac:dyDescent="0.35">
      <c r="B75" s="350"/>
      <c r="C75" s="349"/>
      <c r="D75" s="349"/>
      <c r="E75" s="349"/>
    </row>
    <row r="76" spans="2:5" x14ac:dyDescent="0.3">
      <c r="B76" s="360"/>
      <c r="C76" s="349"/>
      <c r="D76" s="349"/>
      <c r="E76" s="349"/>
    </row>
    <row r="77" spans="2:5" x14ac:dyDescent="0.3">
      <c r="B77" s="349"/>
      <c r="C77" s="349"/>
      <c r="D77" s="349"/>
      <c r="E77" s="349"/>
    </row>
    <row r="78" spans="2:5" ht="18" x14ac:dyDescent="0.35">
      <c r="B78" s="350"/>
      <c r="C78" s="349"/>
      <c r="D78" s="349"/>
      <c r="E78" s="349"/>
    </row>
    <row r="79" spans="2:5" x14ac:dyDescent="0.3">
      <c r="B79" s="360"/>
      <c r="C79" s="349"/>
      <c r="D79" s="349"/>
      <c r="E79" s="349"/>
    </row>
    <row r="80" spans="2:5" x14ac:dyDescent="0.3">
      <c r="B80" s="349"/>
      <c r="C80" s="349"/>
      <c r="D80" s="349"/>
      <c r="E80" s="349"/>
    </row>
    <row r="81" spans="2:5" x14ac:dyDescent="0.3">
      <c r="B81" s="349"/>
      <c r="C81" s="349"/>
      <c r="D81" s="349"/>
      <c r="E81" s="349"/>
    </row>
    <row r="82" spans="2:5" ht="18" x14ac:dyDescent="0.35">
      <c r="B82" s="350"/>
      <c r="C82" s="349"/>
      <c r="D82" s="349"/>
      <c r="E82" s="349"/>
    </row>
    <row r="83" spans="2:5" x14ac:dyDescent="0.3">
      <c r="B83" s="360"/>
      <c r="C83" s="349"/>
      <c r="D83" s="349"/>
      <c r="E83" s="349"/>
    </row>
    <row r="84" spans="2:5" x14ac:dyDescent="0.3">
      <c r="B84" s="356"/>
      <c r="C84" s="349"/>
      <c r="D84" s="349"/>
      <c r="E84" s="361"/>
    </row>
    <row r="85" spans="2:5" x14ac:dyDescent="0.3">
      <c r="B85" s="356"/>
      <c r="C85" s="349"/>
      <c r="D85" s="349"/>
      <c r="E85" s="361"/>
    </row>
    <row r="86" spans="2:5" x14ac:dyDescent="0.3">
      <c r="E86" s="105"/>
    </row>
    <row r="87" spans="2:5" x14ac:dyDescent="0.3">
      <c r="E87" s="105"/>
    </row>
  </sheetData>
  <mergeCells count="14">
    <mergeCell ref="B50:E50"/>
    <mergeCell ref="B52:C52"/>
    <mergeCell ref="C4:D4"/>
    <mergeCell ref="F4:G4"/>
    <mergeCell ref="I4:J4"/>
    <mergeCell ref="B44:C44"/>
    <mergeCell ref="B45:C45"/>
    <mergeCell ref="B47:C47"/>
    <mergeCell ref="L2:L3"/>
    <mergeCell ref="B2:B3"/>
    <mergeCell ref="C2:D3"/>
    <mergeCell ref="E2:E3"/>
    <mergeCell ref="F2:G3"/>
    <mergeCell ref="I2:J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AEEB3-2F7F-4999-9D93-D98EB6BD23B8}">
  <sheetPr codeName="Sheet13"/>
  <dimension ref="A1:AG78"/>
  <sheetViews>
    <sheetView showGridLines="0" topLeftCell="F1" zoomScale="80" zoomScaleNormal="80" workbookViewId="0">
      <selection activeCell="W32" sqref="W32"/>
    </sheetView>
  </sheetViews>
  <sheetFormatPr defaultRowHeight="14.4" x14ac:dyDescent="0.3"/>
  <cols>
    <col min="1" max="1" width="47.21875" bestFit="1" customWidth="1"/>
    <col min="2" max="2" width="10.44140625" bestFit="1" customWidth="1"/>
    <col min="4" max="7" width="11.5546875" customWidth="1"/>
    <col min="8" max="8" width="11.21875" bestFit="1" customWidth="1"/>
    <col min="9" max="9" width="12.5546875" customWidth="1"/>
    <col min="11" max="11" width="11.44140625" customWidth="1"/>
    <col min="12" max="12" width="1.44140625" customWidth="1"/>
    <col min="13" max="13" width="12.77734375" bestFit="1" customWidth="1"/>
    <col min="14" max="14" width="1.21875" customWidth="1"/>
    <col min="15" max="15" width="14.5546875" bestFit="1" customWidth="1"/>
    <col min="17" max="17" width="12" bestFit="1" customWidth="1"/>
    <col min="18" max="18" width="12.5546875" customWidth="1"/>
    <col min="19" max="19" width="13.21875" customWidth="1"/>
    <col min="20" max="20" width="2.88671875" customWidth="1"/>
    <col min="21" max="21" width="3.77734375" customWidth="1"/>
    <col min="22" max="22" width="6.109375" bestFit="1" customWidth="1"/>
    <col min="23" max="23" width="9.44140625" customWidth="1"/>
    <col min="24" max="24" width="12.88671875" customWidth="1"/>
  </cols>
  <sheetData>
    <row r="1" spans="1:32" x14ac:dyDescent="0.3">
      <c r="A1" s="40" t="s">
        <v>157</v>
      </c>
      <c r="B1" s="41">
        <f>+'Budget assumption'!Q35</f>
        <v>71500</v>
      </c>
      <c r="C1" s="41">
        <f>H1-B1</f>
        <v>-18235</v>
      </c>
      <c r="D1" s="43"/>
      <c r="E1" s="43"/>
      <c r="F1" s="43"/>
      <c r="G1" s="43"/>
      <c r="H1" s="41">
        <f>'Budget assumption'!Q66</f>
        <v>53265</v>
      </c>
      <c r="I1" s="41">
        <f>'Budget assumption'!Q321</f>
        <v>0</v>
      </c>
      <c r="J1" s="42"/>
      <c r="K1" s="41">
        <f>'data entry '!Q82</f>
        <v>53186</v>
      </c>
      <c r="L1" s="42"/>
      <c r="M1" s="41">
        <f>'data entry '!Q115</f>
        <v>53186</v>
      </c>
      <c r="N1" s="42"/>
      <c r="O1" s="43"/>
      <c r="P1" s="44"/>
      <c r="Q1" s="39"/>
      <c r="R1" s="39"/>
      <c r="S1" s="39"/>
      <c r="T1" s="39"/>
      <c r="U1" s="39"/>
      <c r="V1" s="39"/>
      <c r="W1" s="44"/>
      <c r="X1" s="39"/>
      <c r="Y1" s="39"/>
      <c r="Z1" s="39"/>
      <c r="AA1" s="1244" t="s">
        <v>158</v>
      </c>
      <c r="AB1" s="39" t="s">
        <v>159</v>
      </c>
      <c r="AC1" s="39" t="s">
        <v>160</v>
      </c>
    </row>
    <row r="2" spans="1:32" x14ac:dyDescent="0.3">
      <c r="A2" s="39"/>
      <c r="B2" s="42" t="s">
        <v>161</v>
      </c>
      <c r="C2" s="42" t="s">
        <v>161</v>
      </c>
      <c r="D2" s="46"/>
      <c r="E2" s="46"/>
      <c r="F2" s="46"/>
      <c r="G2" s="46"/>
      <c r="H2" s="42" t="s">
        <v>161</v>
      </c>
      <c r="I2" s="42" t="s">
        <v>161</v>
      </c>
      <c r="J2" s="42"/>
      <c r="K2" s="42" t="s">
        <v>161</v>
      </c>
      <c r="L2" s="42"/>
      <c r="M2" s="42" t="s">
        <v>161</v>
      </c>
      <c r="N2" s="42"/>
      <c r="O2" s="42"/>
      <c r="P2" s="39"/>
      <c r="Q2" s="1245" t="s">
        <v>162</v>
      </c>
      <c r="R2" s="1245"/>
      <c r="S2" s="1245"/>
      <c r="T2" s="39"/>
      <c r="U2" s="39"/>
      <c r="V2" s="1245" t="s">
        <v>163</v>
      </c>
      <c r="W2" s="1245"/>
      <c r="X2" s="1245"/>
      <c r="Y2" s="39"/>
      <c r="Z2" s="39"/>
      <c r="AA2" s="1244"/>
      <c r="AB2" s="39" t="s">
        <v>164</v>
      </c>
      <c r="AC2" s="39" t="s">
        <v>165</v>
      </c>
    </row>
    <row r="3" spans="1:32" x14ac:dyDescent="0.3">
      <c r="A3" s="1250" t="s">
        <v>166</v>
      </c>
      <c r="B3" s="1253" t="s">
        <v>167</v>
      </c>
      <c r="C3" s="1253" t="s">
        <v>97</v>
      </c>
      <c r="D3" s="1255" t="s">
        <v>43</v>
      </c>
      <c r="E3" s="1255" t="s">
        <v>482</v>
      </c>
      <c r="F3" s="1255" t="s">
        <v>483</v>
      </c>
      <c r="G3" s="1257" t="s">
        <v>98</v>
      </c>
      <c r="H3" s="1247" t="s">
        <v>168</v>
      </c>
      <c r="I3" s="47" t="s">
        <v>169</v>
      </c>
      <c r="J3" s="1256"/>
      <c r="K3" s="47" t="s">
        <v>170</v>
      </c>
      <c r="L3" s="1246"/>
      <c r="M3" s="1247" t="s">
        <v>171</v>
      </c>
      <c r="N3" s="1246"/>
      <c r="O3" s="1247" t="s">
        <v>99</v>
      </c>
      <c r="P3" s="1249"/>
      <c r="Q3" s="1239" t="s">
        <v>158</v>
      </c>
      <c r="R3" s="1239" t="s">
        <v>172</v>
      </c>
      <c r="S3" s="1239" t="s">
        <v>155</v>
      </c>
      <c r="T3" s="1242"/>
      <c r="U3" s="1243"/>
      <c r="V3" s="1239" t="s">
        <v>158</v>
      </c>
      <c r="W3" s="1239" t="s">
        <v>172</v>
      </c>
      <c r="X3" s="1239" t="s">
        <v>155</v>
      </c>
      <c r="Y3" s="1242"/>
      <c r="Z3" s="1238"/>
      <c r="AA3" s="1238"/>
      <c r="AB3" s="1238"/>
      <c r="AC3" s="1238"/>
    </row>
    <row r="4" spans="1:32" x14ac:dyDescent="0.3">
      <c r="A4" s="1251"/>
      <c r="B4" s="1254"/>
      <c r="C4" s="1254"/>
      <c r="D4" s="1255" t="s">
        <v>43</v>
      </c>
      <c r="E4" s="1255"/>
      <c r="F4" s="1255"/>
      <c r="G4" s="1257"/>
      <c r="H4" s="1248"/>
      <c r="I4" s="48"/>
      <c r="J4" s="1256"/>
      <c r="K4" s="48"/>
      <c r="L4" s="1246"/>
      <c r="M4" s="1248"/>
      <c r="N4" s="1246"/>
      <c r="O4" s="1248"/>
      <c r="P4" s="1249"/>
      <c r="Q4" s="1240"/>
      <c r="R4" s="1240"/>
      <c r="S4" s="1240"/>
      <c r="T4" s="1242"/>
      <c r="U4" s="1243"/>
      <c r="V4" s="1240"/>
      <c r="W4" s="1240"/>
      <c r="X4" s="1240"/>
      <c r="Y4" s="1242"/>
      <c r="Z4" s="1238"/>
      <c r="AA4" s="1238"/>
      <c r="AB4" s="1238"/>
      <c r="AC4" s="1238"/>
    </row>
    <row r="5" spans="1:32" x14ac:dyDescent="0.3">
      <c r="A5" s="1252"/>
      <c r="B5" s="1254"/>
      <c r="C5" s="1254"/>
      <c r="D5" s="1255"/>
      <c r="E5" s="1255"/>
      <c r="F5" s="1255"/>
      <c r="G5" s="1257"/>
      <c r="H5" s="1248"/>
      <c r="I5" s="48" t="s">
        <v>173</v>
      </c>
      <c r="J5" s="1256"/>
      <c r="K5" s="48"/>
      <c r="L5" s="1246"/>
      <c r="M5" s="1248"/>
      <c r="N5" s="1246"/>
      <c r="O5" s="1248"/>
      <c r="P5" s="1249"/>
      <c r="Q5" s="1241"/>
      <c r="R5" s="1241"/>
      <c r="S5" s="1240"/>
      <c r="T5" s="1242"/>
      <c r="U5" s="1243"/>
      <c r="V5" s="1241"/>
      <c r="W5" s="1241"/>
      <c r="X5" s="1240"/>
      <c r="Y5" s="1242"/>
      <c r="Z5" s="1238"/>
      <c r="AA5" s="1238"/>
      <c r="AB5" s="1238"/>
      <c r="AC5" s="1238"/>
    </row>
    <row r="6" spans="1:32" x14ac:dyDescent="0.3">
      <c r="A6" s="432" t="s">
        <v>156</v>
      </c>
      <c r="B6" s="169">
        <f>'Budget assumption'!Q37</f>
        <v>813.5470873232083</v>
      </c>
      <c r="C6" s="169">
        <f>'Budget assumption'!Q70</f>
        <v>-207.48295296977199</v>
      </c>
      <c r="D6" s="169">
        <f>'Budget assumption'!Q118</f>
        <v>-49.280033430000003</v>
      </c>
      <c r="E6" s="169">
        <f>'Budget assumption'!Q149</f>
        <v>-38.746752212389381</v>
      </c>
      <c r="F6" s="169">
        <f>'Budget assumption'!Q180</f>
        <v>66.129738612161361</v>
      </c>
      <c r="G6" s="169">
        <f>'Budget assumption'!Q242+'Budget assumption'!Q273</f>
        <v>-81.167087323208307</v>
      </c>
      <c r="H6" s="169">
        <f>'Budget assumption'!Q211</f>
        <v>503</v>
      </c>
      <c r="I6" s="169"/>
      <c r="J6" s="89">
        <f>H6-SUM(B6:G6)</f>
        <v>0</v>
      </c>
      <c r="K6" s="169">
        <f>'data entry '!Q84</f>
        <v>598.40414052631547</v>
      </c>
      <c r="L6" s="68"/>
      <c r="M6" s="169">
        <f>'data entry '!Q117</f>
        <v>391.63361000000003</v>
      </c>
      <c r="N6" s="68"/>
      <c r="O6" s="169">
        <f>M6-K6</f>
        <v>-206.77053052631544</v>
      </c>
      <c r="P6" s="39"/>
      <c r="Q6" s="169">
        <f>M6-K6-E6-F6-D6-G6</f>
        <v>-103.70639617287912</v>
      </c>
      <c r="R6" s="169"/>
      <c r="S6" s="169">
        <f>Q6+R6</f>
        <v>-103.70639617287912</v>
      </c>
      <c r="T6" s="39"/>
      <c r="U6" s="39"/>
      <c r="V6" s="169">
        <f>M6-K6</f>
        <v>-206.77053052631544</v>
      </c>
      <c r="W6" s="169"/>
      <c r="X6" s="169">
        <f>V6+W6</f>
        <v>-206.77053052631544</v>
      </c>
      <c r="Y6" s="39"/>
      <c r="Z6" s="39"/>
      <c r="AA6" s="39"/>
      <c r="AB6" s="39"/>
      <c r="AC6" s="39"/>
    </row>
    <row r="7" spans="1:32" x14ac:dyDescent="0.3">
      <c r="A7" s="432" t="s">
        <v>75</v>
      </c>
      <c r="B7" s="169">
        <f>'Budget assumption'!Q38</f>
        <v>55.137762842367977</v>
      </c>
      <c r="C7" s="169">
        <f>'Budget assumption'!Q71</f>
        <v>-14.062057418609513</v>
      </c>
      <c r="D7" s="169">
        <f>'Budget assumption'!Q119</f>
        <v>0</v>
      </c>
      <c r="E7" s="169">
        <f>'Budget assumption'!Q150</f>
        <v>0</v>
      </c>
      <c r="F7" s="169">
        <f>'Budget assumption'!Q181</f>
        <v>-4.1759044722314229</v>
      </c>
      <c r="G7" s="169">
        <f>'Budget assumption'!Q243+'Budget assumption'!Q274</f>
        <v>-1.1377628423679766</v>
      </c>
      <c r="H7" s="169">
        <f>'Budget assumption'!Q212</f>
        <v>35.762038109159064</v>
      </c>
      <c r="I7" s="169"/>
      <c r="J7" s="89">
        <f t="shared" ref="J7:J32" si="0">H7-SUM(B7:G7)</f>
        <v>0</v>
      </c>
      <c r="K7" s="169">
        <f>'data entry '!Q85</f>
        <v>39.841031929824631</v>
      </c>
      <c r="L7" s="68"/>
      <c r="M7" s="169">
        <f>'data entry '!Q118</f>
        <v>28.66065</v>
      </c>
      <c r="N7" s="68"/>
      <c r="O7" s="169">
        <f t="shared" ref="O7:O32" si="1">M7-K7</f>
        <v>-11.18038192982463</v>
      </c>
      <c r="P7" s="39"/>
      <c r="Q7" s="169">
        <f t="shared" ref="Q7:Q31" si="2">M7-K7-E7-F7-D7-G7</f>
        <v>-5.8667146152252307</v>
      </c>
      <c r="R7" s="169"/>
      <c r="S7" s="169">
        <f t="shared" ref="S7:S32" si="3">Q7+R7</f>
        <v>-5.8667146152252307</v>
      </c>
      <c r="T7" s="39"/>
      <c r="U7" s="39"/>
      <c r="V7" s="169">
        <f t="shared" ref="V7:V8" si="4">M7-K7</f>
        <v>-11.18038192982463</v>
      </c>
      <c r="W7" s="169"/>
      <c r="X7" s="169">
        <f t="shared" ref="X7:X8" si="5">V7+W7</f>
        <v>-11.18038192982463</v>
      </c>
      <c r="Y7" s="39"/>
      <c r="Z7" s="39"/>
      <c r="AA7" s="39"/>
      <c r="AB7" s="39"/>
      <c r="AC7" s="39"/>
    </row>
    <row r="8" spans="1:32" x14ac:dyDescent="0.3">
      <c r="A8" s="433" t="s">
        <v>195</v>
      </c>
      <c r="B8" s="169">
        <f>'Budget assumption'!Q39</f>
        <v>25.133276781781692</v>
      </c>
      <c r="C8" s="169">
        <f>'Budget assumption'!Q72</f>
        <v>-6.409864365255789</v>
      </c>
      <c r="D8" s="169">
        <f>'Budget assumption'!Q120</f>
        <v>-1</v>
      </c>
      <c r="E8" s="169">
        <f>'Budget assumption'!Q151</f>
        <v>0</v>
      </c>
      <c r="F8" s="169">
        <f>'Budget assumption'!Q182</f>
        <v>-0.15363563474420872</v>
      </c>
      <c r="G8" s="169">
        <f>'Budget assumption'!Q244+'Budget assumption'!Q275</f>
        <v>-3.2767817816932165E-3</v>
      </c>
      <c r="H8" s="169">
        <f>'Budget assumption'!Q213</f>
        <v>17.566500000000001</v>
      </c>
      <c r="I8" s="169"/>
      <c r="J8" s="89">
        <f t="shared" si="0"/>
        <v>0</v>
      </c>
      <c r="K8" s="169">
        <f>'data entry '!Q86</f>
        <v>17.021983333333335</v>
      </c>
      <c r="L8" s="68"/>
      <c r="M8" s="169">
        <f>'data entry '!Q119</f>
        <v>28.885670000000001</v>
      </c>
      <c r="N8" s="68"/>
      <c r="O8" s="169">
        <f t="shared" si="1"/>
        <v>11.863686666666666</v>
      </c>
      <c r="P8" s="39"/>
      <c r="Q8" s="169">
        <f t="shared" si="2"/>
        <v>13.020599083192568</v>
      </c>
      <c r="R8" s="169"/>
      <c r="S8" s="169">
        <f t="shared" si="3"/>
        <v>13.020599083192568</v>
      </c>
      <c r="T8" s="39"/>
      <c r="U8" s="39"/>
      <c r="V8" s="169">
        <f t="shared" si="4"/>
        <v>11.863686666666666</v>
      </c>
      <c r="W8" s="169"/>
      <c r="X8" s="169">
        <f t="shared" si="5"/>
        <v>11.863686666666666</v>
      </c>
      <c r="Y8" s="39"/>
      <c r="Z8" s="39"/>
      <c r="AA8" s="39"/>
      <c r="AB8" s="39"/>
      <c r="AC8" s="39"/>
    </row>
    <row r="9" spans="1:32" ht="15" thickBot="1" x14ac:dyDescent="0.35">
      <c r="A9" s="435" t="s">
        <v>196</v>
      </c>
      <c r="B9" s="486">
        <f>SUM(B6:B8)</f>
        <v>893.818126947358</v>
      </c>
      <c r="C9" s="486">
        <f t="shared" ref="C9:I9" si="6">SUM(C6:C8)</f>
        <v>-227.95487475363731</v>
      </c>
      <c r="D9" s="486">
        <f t="shared" si="6"/>
        <v>-50.280033430000003</v>
      </c>
      <c r="E9" s="486">
        <f t="shared" si="6"/>
        <v>-38.746752212389381</v>
      </c>
      <c r="F9" s="486">
        <f t="shared" si="6"/>
        <v>61.800198505185733</v>
      </c>
      <c r="G9" s="486">
        <f t="shared" si="6"/>
        <v>-82.308126947357977</v>
      </c>
      <c r="H9" s="486">
        <f t="shared" si="6"/>
        <v>556.32853810915913</v>
      </c>
      <c r="I9" s="486">
        <f t="shared" si="6"/>
        <v>0</v>
      </c>
      <c r="J9" s="89">
        <f t="shared" si="0"/>
        <v>0</v>
      </c>
      <c r="K9" s="486">
        <f t="shared" ref="K9:O9" si="7">SUM(K6:K8)</f>
        <v>655.26715578947346</v>
      </c>
      <c r="L9" s="68"/>
      <c r="M9" s="486">
        <f t="shared" si="7"/>
        <v>449.17993000000001</v>
      </c>
      <c r="N9" s="68"/>
      <c r="O9" s="486">
        <f t="shared" si="7"/>
        <v>-206.08722578947339</v>
      </c>
      <c r="P9" s="39"/>
      <c r="Q9" s="486">
        <f>SUM(Q6:Q8)</f>
        <v>-96.552511704911794</v>
      </c>
      <c r="R9" s="486">
        <f>SUM(R6:R8)</f>
        <v>0</v>
      </c>
      <c r="S9" s="486">
        <f t="shared" ref="S9" si="8">SUM(S6:S8)</f>
        <v>-96.552511704911794</v>
      </c>
      <c r="T9" s="39"/>
      <c r="U9" s="39"/>
      <c r="V9" s="486">
        <f>SUM(V6:V8)</f>
        <v>-206.08722578947339</v>
      </c>
      <c r="W9" s="486">
        <f t="shared" ref="W9" si="9">SUM(W6:W8)</f>
        <v>0</v>
      </c>
      <c r="X9" s="486">
        <f>SUM(X6:X8)</f>
        <v>-206.08722578947339</v>
      </c>
      <c r="Y9" s="39"/>
      <c r="Z9" s="39"/>
      <c r="AA9" s="39"/>
      <c r="AB9" s="39"/>
      <c r="AC9" s="39"/>
    </row>
    <row r="10" spans="1:32" x14ac:dyDescent="0.3">
      <c r="A10" s="434" t="s">
        <v>80</v>
      </c>
      <c r="B10" s="169">
        <f>'Budget assumption'!Q41</f>
        <v>319.09495766790099</v>
      </c>
      <c r="C10" s="488"/>
      <c r="D10" s="169">
        <f>'Budget assumption'!Q122</f>
        <v>0</v>
      </c>
      <c r="E10" s="169">
        <f>'Budget assumption'!Q153</f>
        <v>-42</v>
      </c>
      <c r="F10" s="169">
        <f>'Budget assumption'!Q184</f>
        <v>-18.861441915291721</v>
      </c>
      <c r="G10" s="169">
        <f>'Budget assumption'!Q246+'Budget assumption'!Q277</f>
        <v>-40.914957667900978</v>
      </c>
      <c r="H10" s="169">
        <f>'Budget assumption'!Q215</f>
        <v>217.31855808470829</v>
      </c>
      <c r="I10" s="169">
        <f>'Budget assumption'!Q323</f>
        <v>81.380371371666769</v>
      </c>
      <c r="J10" s="89">
        <f t="shared" si="0"/>
        <v>0</v>
      </c>
      <c r="K10" s="169">
        <f>'data entry '!Q88</f>
        <v>236.64471140350889</v>
      </c>
      <c r="L10" s="68"/>
      <c r="M10" s="169">
        <f>'data entry '!Q121</f>
        <v>229.24062000000001</v>
      </c>
      <c r="N10" s="68"/>
      <c r="O10" s="169">
        <f t="shared" si="1"/>
        <v>-7.4040914035088861</v>
      </c>
      <c r="P10" s="39"/>
      <c r="Q10" s="169">
        <f>M10-H10</f>
        <v>11.922061915291721</v>
      </c>
      <c r="R10" s="169">
        <f>H10-K10-E10-I10-F10-G10-D10</f>
        <v>1.0698748927253234</v>
      </c>
      <c r="S10" s="169">
        <f t="shared" si="3"/>
        <v>12.991936808017044</v>
      </c>
      <c r="T10" s="39"/>
      <c r="U10" s="39"/>
      <c r="V10" s="169">
        <f>M10-B10</f>
        <v>-89.854337667900978</v>
      </c>
      <c r="W10" s="169">
        <f>B10-K10</f>
        <v>82.450246264392092</v>
      </c>
      <c r="X10" s="169">
        <f t="shared" ref="X10:X15" si="10">V10+W10</f>
        <v>-7.4040914035088861</v>
      </c>
      <c r="Y10" s="39"/>
      <c r="Z10" s="39"/>
      <c r="AA10" s="39"/>
      <c r="AB10" s="39"/>
      <c r="AC10" s="39"/>
    </row>
    <row r="11" spans="1:32" x14ac:dyDescent="0.3">
      <c r="A11" s="433" t="s">
        <v>81</v>
      </c>
      <c r="B11" s="169">
        <f>'Budget assumption'!Q42</f>
        <v>115.42242377775241</v>
      </c>
      <c r="C11" s="488"/>
      <c r="D11" s="169">
        <f>'Budget assumption'!Q123</f>
        <v>0</v>
      </c>
      <c r="E11" s="169">
        <f>'Budget assumption'!Q154</f>
        <v>7</v>
      </c>
      <c r="F11" s="169">
        <f>'Budget assumption'!Q185</f>
        <v>12.297264902578618</v>
      </c>
      <c r="G11" s="169">
        <f>'Budget assumption'!Q247+'Budget assumption'!Q278</f>
        <v>-27.092423777752416</v>
      </c>
      <c r="H11" s="169">
        <f>'Budget assumption'!Q216</f>
        <v>107.62726490257862</v>
      </c>
      <c r="I11" s="169">
        <f>'Budget assumption'!Q324</f>
        <v>29.43675381241</v>
      </c>
      <c r="J11" s="89">
        <f t="shared" si="0"/>
        <v>0</v>
      </c>
      <c r="K11" s="169">
        <f>'data entry '!Q89</f>
        <v>83.695494912280793</v>
      </c>
      <c r="L11" s="69"/>
      <c r="M11" s="169">
        <f>'data entry '!Q122</f>
        <v>111.60063</v>
      </c>
      <c r="N11" s="69"/>
      <c r="O11" s="169">
        <f t="shared" si="1"/>
        <v>27.905135087719202</v>
      </c>
      <c r="P11" s="39"/>
      <c r="Q11" s="169">
        <f t="shared" ref="Q11:Q15" si="11">M11-H11</f>
        <v>3.9733650974213788</v>
      </c>
      <c r="R11" s="169">
        <f t="shared" ref="R11:R15" si="12">H11-K11-E11-I11-F11-G11-D11</f>
        <v>2.2901750530616205</v>
      </c>
      <c r="S11" s="169">
        <f t="shared" si="3"/>
        <v>6.2635401504829993</v>
      </c>
      <c r="T11" s="39"/>
      <c r="U11" s="39"/>
      <c r="V11" s="169">
        <f t="shared" ref="V11:V15" si="13">M11-B11</f>
        <v>-3.8217937777524185</v>
      </c>
      <c r="W11" s="169">
        <f t="shared" ref="W11:W15" si="14">B11-K11</f>
        <v>31.726928865471621</v>
      </c>
      <c r="X11" s="169">
        <f t="shared" si="10"/>
        <v>27.905135087719202</v>
      </c>
      <c r="Y11" s="39"/>
      <c r="Z11" s="39"/>
      <c r="AA11" s="39"/>
      <c r="AB11" s="39"/>
      <c r="AC11" s="39"/>
      <c r="AD11" s="39"/>
      <c r="AE11" s="39"/>
      <c r="AF11" s="39"/>
    </row>
    <row r="12" spans="1:32" x14ac:dyDescent="0.3">
      <c r="A12" s="433" t="s">
        <v>82</v>
      </c>
      <c r="B12" s="169">
        <f>'Budget assumption'!Q43</f>
        <v>222.8403288690233</v>
      </c>
      <c r="C12" s="488"/>
      <c r="D12" s="169">
        <f>'Budget assumption'!Q124</f>
        <v>0</v>
      </c>
      <c r="E12" s="169">
        <f>'Budget assumption'!Q155</f>
        <v>-13.429082459356131</v>
      </c>
      <c r="F12" s="169">
        <f>'Budget assumption'!Q186</f>
        <v>-4.3322821624273899</v>
      </c>
      <c r="G12" s="169">
        <f>'Budget assumption'!Q248+'Budget assumption'!Q279</f>
        <v>-16.700328869023309</v>
      </c>
      <c r="H12" s="169">
        <f>'Budget assumption'!Q217</f>
        <v>188.37863537821647</v>
      </c>
      <c r="I12" s="169">
        <f>'Budget assumption'!Q325</f>
        <v>56.832075481491465</v>
      </c>
      <c r="J12" s="89">
        <f t="shared" si="0"/>
        <v>0</v>
      </c>
      <c r="K12" s="169">
        <f>'data entry '!Q90</f>
        <v>162.06681438596488</v>
      </c>
      <c r="L12" s="68"/>
      <c r="M12" s="169">
        <f>'data entry '!Q123</f>
        <v>111.35076000000002</v>
      </c>
      <c r="N12" s="68"/>
      <c r="O12" s="169">
        <f t="shared" si="1"/>
        <v>-50.716054385964853</v>
      </c>
      <c r="P12" s="39"/>
      <c r="Q12" s="169">
        <f t="shared" si="11"/>
        <v>-77.02787537821645</v>
      </c>
      <c r="R12" s="169">
        <f t="shared" si="12"/>
        <v>3.9414390015669625</v>
      </c>
      <c r="S12" s="169">
        <f t="shared" si="3"/>
        <v>-73.086436376649488</v>
      </c>
      <c r="T12" s="39"/>
      <c r="U12" s="39"/>
      <c r="V12" s="169">
        <f t="shared" si="13"/>
        <v>-111.48956886902327</v>
      </c>
      <c r="W12" s="169">
        <f t="shared" si="14"/>
        <v>60.77351448305842</v>
      </c>
      <c r="X12" s="169">
        <f t="shared" si="10"/>
        <v>-50.716054385964853</v>
      </c>
      <c r="Y12" s="39"/>
      <c r="Z12" s="39"/>
      <c r="AA12" s="39"/>
      <c r="AB12" s="39"/>
      <c r="AC12" s="39"/>
    </row>
    <row r="13" spans="1:32" x14ac:dyDescent="0.3">
      <c r="A13" s="433" t="s">
        <v>83</v>
      </c>
      <c r="B13" s="169">
        <f>'Budget assumption'!Q44</f>
        <v>14.176767100047305</v>
      </c>
      <c r="C13" s="488"/>
      <c r="D13" s="169">
        <f>'Budget assumption'!Q125</f>
        <v>-1.1000000000000001</v>
      </c>
      <c r="E13" s="169">
        <f>'Budget assumption'!Q156</f>
        <v>-2</v>
      </c>
      <c r="F13" s="169">
        <f>'Budget assumption'!Q187</f>
        <v>-5.17</v>
      </c>
      <c r="G13" s="169">
        <f>'Budget assumption'!Q249+'Budget assumption'!Q280</f>
        <v>9.3232899952694126E-2</v>
      </c>
      <c r="H13" s="169">
        <f>'Budget assumption'!Q218</f>
        <v>6</v>
      </c>
      <c r="I13" s="169">
        <f>'Budget assumption'!Q326</f>
        <v>3.6155713016694073</v>
      </c>
      <c r="J13" s="89">
        <f t="shared" si="0"/>
        <v>0</v>
      </c>
      <c r="K13" s="169">
        <f>'data entry '!Q91</f>
        <v>8.8590024561403418</v>
      </c>
      <c r="L13" s="68"/>
      <c r="M13" s="169">
        <f>'data entry '!Q124</f>
        <v>2.0075799999999999</v>
      </c>
      <c r="N13" s="68"/>
      <c r="O13" s="169">
        <f t="shared" si="1"/>
        <v>-6.8514224561403418</v>
      </c>
      <c r="P13" s="39"/>
      <c r="Q13" s="169">
        <f t="shared" si="11"/>
        <v>-3.9924200000000001</v>
      </c>
      <c r="R13" s="169">
        <f t="shared" si="12"/>
        <v>1.7021933422375572</v>
      </c>
      <c r="S13" s="169">
        <f t="shared" si="3"/>
        <v>-2.2902266577624428</v>
      </c>
      <c r="T13" s="39"/>
      <c r="U13" s="39"/>
      <c r="V13" s="169">
        <f t="shared" si="13"/>
        <v>-12.169187100047306</v>
      </c>
      <c r="W13" s="169">
        <f t="shared" si="14"/>
        <v>5.3177646439069637</v>
      </c>
      <c r="X13" s="169">
        <f t="shared" si="10"/>
        <v>-6.8514224561403427</v>
      </c>
      <c r="Y13" s="39"/>
      <c r="Z13" s="39"/>
      <c r="AA13" s="39"/>
      <c r="AB13" s="39"/>
      <c r="AC13" s="39"/>
    </row>
    <row r="14" spans="1:32" x14ac:dyDescent="0.3">
      <c r="A14" s="433" t="s">
        <v>84</v>
      </c>
      <c r="B14" s="169">
        <f>'Budget assumption'!Q45</f>
        <v>49.73969951550545</v>
      </c>
      <c r="C14" s="488"/>
      <c r="D14" s="169">
        <f>'Budget assumption'!Q126</f>
        <v>0</v>
      </c>
      <c r="E14" s="169">
        <f>'Budget assumption'!Q157</f>
        <v>0</v>
      </c>
      <c r="F14" s="169">
        <f>'Budget assumption'!Q188</f>
        <v>4.7347992021214651</v>
      </c>
      <c r="G14" s="169">
        <f>'Budget assumption'!Q250+'Budget assumption'!Q281</f>
        <v>-10.648759515505446</v>
      </c>
      <c r="H14" s="169">
        <f>'Budget assumption'!Q219</f>
        <v>43.825739202121468</v>
      </c>
      <c r="I14" s="169">
        <f>'Budget assumption'!Q327</f>
        <v>12.685362526786598</v>
      </c>
      <c r="J14" s="89">
        <f t="shared" si="0"/>
        <v>0</v>
      </c>
      <c r="K14" s="169">
        <f>'data entry '!Q92</f>
        <v>41.414629298245622</v>
      </c>
      <c r="L14" s="68"/>
      <c r="M14" s="169">
        <f>'data entry '!Q125</f>
        <v>50.431700000000006</v>
      </c>
      <c r="N14" s="68"/>
      <c r="O14" s="169">
        <f t="shared" si="1"/>
        <v>9.0170707017543847</v>
      </c>
      <c r="P14" s="39"/>
      <c r="Q14" s="169">
        <f t="shared" si="11"/>
        <v>6.605960797878538</v>
      </c>
      <c r="R14" s="169">
        <f t="shared" si="12"/>
        <v>-4.3602923095267698</v>
      </c>
      <c r="S14" s="169">
        <f t="shared" si="3"/>
        <v>2.2456684883517681</v>
      </c>
      <c r="T14" s="39"/>
      <c r="U14" s="39"/>
      <c r="V14" s="169">
        <f t="shared" si="13"/>
        <v>0.69200048449455664</v>
      </c>
      <c r="W14" s="169">
        <f t="shared" si="14"/>
        <v>8.3250702172598281</v>
      </c>
      <c r="X14" s="169">
        <f t="shared" si="10"/>
        <v>9.0170707017543847</v>
      </c>
      <c r="Y14" s="39"/>
      <c r="Z14" s="39"/>
      <c r="AA14" s="39"/>
      <c r="AB14" s="39"/>
      <c r="AC14" s="39"/>
    </row>
    <row r="15" spans="1:32" x14ac:dyDescent="0.3">
      <c r="A15" s="433" t="s">
        <v>86</v>
      </c>
      <c r="B15" s="169">
        <f>'Budget assumption'!Q46</f>
        <v>194.73891834011701</v>
      </c>
      <c r="C15" s="488"/>
      <c r="D15" s="169">
        <f>'Budget assumption'!Q127</f>
        <v>0</v>
      </c>
      <c r="E15" s="169">
        <f>'Budget assumption'!Q158</f>
        <v>1.1397408333348267</v>
      </c>
      <c r="F15" s="169">
        <f>'Budget assumption'!Q189</f>
        <v>-3.2999999999674401E-3</v>
      </c>
      <c r="G15" s="169">
        <f>'Budget assumption'!Q251+'Budget assumption'!Q282</f>
        <v>-43.0015792254936</v>
      </c>
      <c r="H15" s="169">
        <f>'Budget assumption'!Q220</f>
        <v>152.87377994795827</v>
      </c>
      <c r="I15" s="169">
        <f>'Budget assumption'!Q329</f>
        <v>49.665233229818654</v>
      </c>
      <c r="J15" s="89">
        <f t="shared" si="0"/>
        <v>0</v>
      </c>
      <c r="K15" s="169">
        <f>'data entry '!Q93</f>
        <v>543.42573701754384</v>
      </c>
      <c r="L15" s="68"/>
      <c r="M15" s="169">
        <f>'data entry '!Q126</f>
        <v>132.04277000000008</v>
      </c>
      <c r="N15" s="68"/>
      <c r="O15" s="169">
        <f t="shared" si="1"/>
        <v>-411.38296701754376</v>
      </c>
      <c r="P15" s="39"/>
      <c r="Q15" s="169">
        <f t="shared" si="11"/>
        <v>-20.831009947958194</v>
      </c>
      <c r="R15" s="169">
        <f t="shared" si="12"/>
        <v>-398.35205190724548</v>
      </c>
      <c r="S15" s="169">
        <f t="shared" si="3"/>
        <v>-419.18306185520368</v>
      </c>
      <c r="T15" s="39"/>
      <c r="U15" s="39"/>
      <c r="V15" s="169">
        <f t="shared" si="13"/>
        <v>-62.696148340116935</v>
      </c>
      <c r="W15" s="169">
        <f t="shared" si="14"/>
        <v>-348.6868186774268</v>
      </c>
      <c r="X15" s="169">
        <f t="shared" si="10"/>
        <v>-411.38296701754371</v>
      </c>
      <c r="Y15" s="39"/>
      <c r="Z15" s="39"/>
      <c r="AA15" s="39"/>
      <c r="AB15" s="39"/>
      <c r="AC15" s="39"/>
    </row>
    <row r="16" spans="1:32" ht="15" thickBot="1" x14ac:dyDescent="0.35">
      <c r="A16" s="435" t="s">
        <v>197</v>
      </c>
      <c r="B16" s="486">
        <f>SUM(B10:B15)</f>
        <v>916.01309527034653</v>
      </c>
      <c r="C16" s="486">
        <f t="shared" ref="C16:I16" si="15">SUM(C10:C15)</f>
        <v>0</v>
      </c>
      <c r="D16" s="486">
        <f t="shared" si="15"/>
        <v>-1.1000000000000001</v>
      </c>
      <c r="E16" s="486">
        <f t="shared" si="15"/>
        <v>-49.289341626021304</v>
      </c>
      <c r="F16" s="486">
        <f t="shared" si="15"/>
        <v>-11.334959973018996</v>
      </c>
      <c r="G16" s="486">
        <f t="shared" si="15"/>
        <v>-138.26481615572305</v>
      </c>
      <c r="H16" s="486">
        <f t="shared" si="15"/>
        <v>716.02397751558306</v>
      </c>
      <c r="I16" s="486">
        <f t="shared" si="15"/>
        <v>233.61536772384289</v>
      </c>
      <c r="J16" s="89">
        <f t="shared" si="0"/>
        <v>0</v>
      </c>
      <c r="K16" s="486">
        <f>SUM(K10:K15)</f>
        <v>1076.1063894736844</v>
      </c>
      <c r="L16" s="68"/>
      <c r="M16" s="486">
        <f>SUM(M10:M15)</f>
        <v>636.67406000000005</v>
      </c>
      <c r="N16" s="68"/>
      <c r="O16" s="486">
        <f>SUM(O10:O15)</f>
        <v>-439.43232947368426</v>
      </c>
      <c r="P16" s="39"/>
      <c r="Q16" s="486">
        <f>SUM(Q10:Q15)</f>
        <v>-79.349917515583002</v>
      </c>
      <c r="R16" s="486">
        <f t="shared" ref="R16" si="16">SUM(R10:R15)</f>
        <v>-393.7086619271808</v>
      </c>
      <c r="S16" s="486">
        <f t="shared" si="3"/>
        <v>-473.0585794427638</v>
      </c>
      <c r="T16" s="39"/>
      <c r="U16" s="39"/>
      <c r="V16" s="486">
        <f>SUM(V10:V15)</f>
        <v>-279.33903527034636</v>
      </c>
      <c r="W16" s="486">
        <f t="shared" ref="W16" si="17">SUM(W10:W15)</f>
        <v>-160.09329420333788</v>
      </c>
      <c r="X16" s="486">
        <f>SUM(X10:X15)</f>
        <v>-439.43232947368421</v>
      </c>
      <c r="Y16" s="39"/>
      <c r="Z16" s="39"/>
      <c r="AA16" s="39"/>
      <c r="AB16" s="39"/>
      <c r="AC16" s="39"/>
    </row>
    <row r="17" spans="1:33" ht="21.45" customHeight="1" x14ac:dyDescent="0.3">
      <c r="A17" s="436" t="s">
        <v>88</v>
      </c>
      <c r="B17" s="487">
        <f>B9+B16</f>
        <v>1809.8312222177046</v>
      </c>
      <c r="C17" s="487">
        <f t="shared" ref="C17:I17" si="18">C9+C16</f>
        <v>-227.95487475363731</v>
      </c>
      <c r="D17" s="487">
        <f t="shared" si="18"/>
        <v>-51.380033430000005</v>
      </c>
      <c r="E17" s="487">
        <f t="shared" si="18"/>
        <v>-88.036093838410693</v>
      </c>
      <c r="F17" s="487">
        <f t="shared" si="18"/>
        <v>50.465238532166737</v>
      </c>
      <c r="G17" s="487">
        <f t="shared" si="18"/>
        <v>-220.57294310308103</v>
      </c>
      <c r="H17" s="487">
        <f t="shared" si="18"/>
        <v>1272.3525156247422</v>
      </c>
      <c r="I17" s="487">
        <f t="shared" si="18"/>
        <v>233.61536772384289</v>
      </c>
      <c r="J17" s="89">
        <f t="shared" si="0"/>
        <v>0</v>
      </c>
      <c r="K17" s="487">
        <f>K9+K16</f>
        <v>1731.3735452631579</v>
      </c>
      <c r="L17" s="68"/>
      <c r="M17" s="487">
        <f>M9+M16</f>
        <v>1085.8539900000001</v>
      </c>
      <c r="N17" s="68"/>
      <c r="O17" s="487">
        <f t="shared" si="1"/>
        <v>-645.51955526315783</v>
      </c>
      <c r="P17" s="39"/>
      <c r="Q17" s="487">
        <f>Q9+Q16</f>
        <v>-175.90242922049481</v>
      </c>
      <c r="R17" s="487">
        <f t="shared" ref="R17" si="19">R9+R16</f>
        <v>-393.7086619271808</v>
      </c>
      <c r="S17" s="487">
        <f t="shared" si="3"/>
        <v>-569.61109114767555</v>
      </c>
      <c r="T17" s="39"/>
      <c r="U17" s="39"/>
      <c r="V17" s="487">
        <f>V9+V16</f>
        <v>-485.42626105981975</v>
      </c>
      <c r="W17" s="487">
        <f t="shared" ref="W17:X17" si="20">W9+W16</f>
        <v>-160.09329420333788</v>
      </c>
      <c r="X17" s="487">
        <f t="shared" si="20"/>
        <v>-645.5195552631576</v>
      </c>
      <c r="Y17" s="39"/>
      <c r="Z17" s="39"/>
      <c r="AA17" s="39"/>
      <c r="AB17" s="39"/>
      <c r="AC17" s="39"/>
    </row>
    <row r="18" spans="1:33" x14ac:dyDescent="0.3">
      <c r="A18" s="433" t="s">
        <v>89</v>
      </c>
      <c r="B18" s="169">
        <f>'Budget assumption'!Q49</f>
        <v>12.784402864553597</v>
      </c>
      <c r="C18" s="488"/>
      <c r="D18" s="169">
        <f>'Budget assumption'!Q130</f>
        <v>0</v>
      </c>
      <c r="E18" s="169">
        <f>'Budget assumption'!Q161</f>
        <v>0</v>
      </c>
      <c r="F18" s="169">
        <f>'Budget assumption'!Q192</f>
        <v>0</v>
      </c>
      <c r="G18" s="169">
        <f>'Budget assumption'!Q254+'Budget assumption'!Q285</f>
        <v>7.6901144986390282</v>
      </c>
      <c r="H18" s="169">
        <f>'Budget assumption'!Q223</f>
        <v>20.474517363192625</v>
      </c>
      <c r="I18" s="169">
        <f>'Budget assumption'!V49</f>
        <v>0</v>
      </c>
      <c r="J18" s="89">
        <f t="shared" si="0"/>
        <v>0</v>
      </c>
      <c r="K18" s="169">
        <f>'data entry '!Q96</f>
        <v>0</v>
      </c>
      <c r="L18" s="68"/>
      <c r="M18" s="169">
        <f>'data entry '!Q129</f>
        <v>5.071699999999999</v>
      </c>
      <c r="N18" s="68"/>
      <c r="O18" s="169">
        <f t="shared" si="1"/>
        <v>5.071699999999999</v>
      </c>
      <c r="P18" s="39"/>
      <c r="Q18" s="169">
        <f t="shared" ref="Q18" si="21">M18-H18</f>
        <v>-15.402817363192625</v>
      </c>
      <c r="R18" s="169">
        <f>H18-K18-E18-I18-F18-G18-D18</f>
        <v>12.784402864553597</v>
      </c>
      <c r="S18" s="169">
        <f t="shared" si="3"/>
        <v>-2.6184144986390283</v>
      </c>
      <c r="T18" s="39"/>
      <c r="U18" s="39"/>
      <c r="V18" s="169">
        <f t="shared" ref="V18" si="22">M18-B18</f>
        <v>-7.7127028645535978</v>
      </c>
      <c r="W18" s="169">
        <f t="shared" ref="W18" si="23">B18-K18</f>
        <v>12.784402864553597</v>
      </c>
      <c r="X18" s="169">
        <f>V18+W18</f>
        <v>5.071699999999999</v>
      </c>
      <c r="Y18" s="39"/>
      <c r="Z18" s="39"/>
      <c r="AA18" s="39"/>
      <c r="AB18" s="39"/>
      <c r="AC18" s="39"/>
    </row>
    <row r="19" spans="1:33" ht="19.95" customHeight="1" x14ac:dyDescent="0.3">
      <c r="A19" s="436" t="s">
        <v>90</v>
      </c>
      <c r="B19" s="487">
        <f>B17+B18</f>
        <v>1822.6156250822582</v>
      </c>
      <c r="C19" s="487">
        <f t="shared" ref="C19:I19" si="24">C17+C18</f>
        <v>-227.95487475363731</v>
      </c>
      <c r="D19" s="487">
        <f t="shared" si="24"/>
        <v>-51.380033430000005</v>
      </c>
      <c r="E19" s="487">
        <f t="shared" si="24"/>
        <v>-88.036093838410693</v>
      </c>
      <c r="F19" s="487">
        <f t="shared" si="24"/>
        <v>50.465238532166737</v>
      </c>
      <c r="G19" s="487">
        <f t="shared" si="24"/>
        <v>-212.88282860444201</v>
      </c>
      <c r="H19" s="487">
        <f t="shared" si="24"/>
        <v>1292.8270329879349</v>
      </c>
      <c r="I19" s="487">
        <f t="shared" si="24"/>
        <v>233.61536772384289</v>
      </c>
      <c r="J19" s="89">
        <f t="shared" si="0"/>
        <v>0</v>
      </c>
      <c r="K19" s="487">
        <f>K17+K18</f>
        <v>1731.3735452631579</v>
      </c>
      <c r="L19" s="39"/>
      <c r="M19" s="487">
        <f>M17+M18</f>
        <v>1090.92569</v>
      </c>
      <c r="N19" s="39"/>
      <c r="O19" s="487">
        <f>O17+O18</f>
        <v>-640.44785526315786</v>
      </c>
      <c r="P19" s="39"/>
      <c r="Q19" s="487">
        <f>Q17+Q18</f>
        <v>-191.30524658368745</v>
      </c>
      <c r="R19" s="487">
        <f t="shared" ref="R19" si="25">R17+R18</f>
        <v>-380.92425906262719</v>
      </c>
      <c r="S19" s="487">
        <f t="shared" si="3"/>
        <v>-572.22950564631469</v>
      </c>
      <c r="T19" s="39"/>
      <c r="U19" s="39"/>
      <c r="V19" s="487">
        <f t="shared" ref="V19" si="26">V17+V18</f>
        <v>-493.13896392437334</v>
      </c>
      <c r="W19" s="487">
        <f t="shared" ref="W19" si="27">W17+W18</f>
        <v>-147.30889133878429</v>
      </c>
      <c r="X19" s="487">
        <f t="shared" ref="X19" si="28">X17+X18</f>
        <v>-640.44785526315763</v>
      </c>
      <c r="Y19" s="39"/>
      <c r="Z19" s="39"/>
      <c r="AA19" s="39"/>
      <c r="AB19" s="39"/>
      <c r="AC19" s="39"/>
      <c r="AD19" s="39"/>
      <c r="AE19" s="39"/>
      <c r="AF19" s="39"/>
      <c r="AG19" s="39"/>
    </row>
    <row r="20" spans="1:33" x14ac:dyDescent="0.3">
      <c r="A20" s="433" t="s">
        <v>91</v>
      </c>
      <c r="B20" s="169">
        <f>'Budget assumption'!Q51</f>
        <v>535.28082032646262</v>
      </c>
      <c r="C20" s="488"/>
      <c r="D20" s="169">
        <f>'Budget assumption'!Q132</f>
        <v>0</v>
      </c>
      <c r="E20" s="169">
        <f>'Budget assumption'!Q163</f>
        <v>0</v>
      </c>
      <c r="F20" s="169">
        <f>'Budget assumption'!Q194</f>
        <v>0</v>
      </c>
      <c r="G20" s="169">
        <f>'Budget assumption'!Q256+'Budget assumption'!Q287</f>
        <v>-118.928159441086</v>
      </c>
      <c r="H20" s="169">
        <f>'Budget assumption'!Q225</f>
        <v>416.35266088537662</v>
      </c>
      <c r="I20" s="169">
        <f>'Budget assumption'!Q333</f>
        <v>136.51532529584679</v>
      </c>
      <c r="J20" s="89">
        <f t="shared" si="0"/>
        <v>0</v>
      </c>
      <c r="K20" s="169">
        <f>'data entry '!Q98</f>
        <v>0</v>
      </c>
      <c r="L20" s="68"/>
      <c r="M20" s="169">
        <f>'data entry '!Q131</f>
        <v>301.40708999999998</v>
      </c>
      <c r="N20" s="68"/>
      <c r="O20" s="169">
        <f t="shared" si="1"/>
        <v>301.40708999999998</v>
      </c>
      <c r="P20" s="39"/>
      <c r="Q20" s="169">
        <f t="shared" ref="Q20" si="29">M20-H20</f>
        <v>-114.94557088537664</v>
      </c>
      <c r="R20" s="169">
        <f>H20-K20-E20-I20-F20-G20-D20</f>
        <v>398.76549503061585</v>
      </c>
      <c r="S20" s="169">
        <f t="shared" si="3"/>
        <v>283.81992414523921</v>
      </c>
      <c r="T20" s="39"/>
      <c r="U20" s="39"/>
      <c r="V20" s="169">
        <f t="shared" ref="V20" si="30">M20-B20</f>
        <v>-233.87373032646263</v>
      </c>
      <c r="W20" s="169">
        <f t="shared" ref="W20" si="31">B20-K20</f>
        <v>535.28082032646262</v>
      </c>
      <c r="X20" s="169">
        <f>V20+W20</f>
        <v>301.40708999999998</v>
      </c>
      <c r="Y20" s="39"/>
      <c r="Z20" s="39"/>
      <c r="AA20" s="39"/>
      <c r="AB20" s="39"/>
      <c r="AC20" s="39"/>
    </row>
    <row r="21" spans="1:33" x14ac:dyDescent="0.3">
      <c r="A21" s="436" t="s">
        <v>92</v>
      </c>
      <c r="B21" s="487">
        <f>B19+B20</f>
        <v>2357.8964454087209</v>
      </c>
      <c r="C21" s="487">
        <f t="shared" ref="C21:I21" si="32">C19+C20</f>
        <v>-227.95487475363731</v>
      </c>
      <c r="D21" s="487">
        <f t="shared" si="32"/>
        <v>-51.380033430000005</v>
      </c>
      <c r="E21" s="487">
        <f t="shared" si="32"/>
        <v>-88.036093838410693</v>
      </c>
      <c r="F21" s="487">
        <f t="shared" si="32"/>
        <v>50.465238532166737</v>
      </c>
      <c r="G21" s="487">
        <f t="shared" si="32"/>
        <v>-331.81098804552801</v>
      </c>
      <c r="H21" s="487">
        <f t="shared" si="32"/>
        <v>1709.1796938733114</v>
      </c>
      <c r="I21" s="487">
        <f t="shared" si="32"/>
        <v>370.13069301968972</v>
      </c>
      <c r="J21" s="89">
        <f t="shared" si="0"/>
        <v>0</v>
      </c>
      <c r="K21" s="487">
        <f>K19+K20</f>
        <v>1731.3735452631579</v>
      </c>
      <c r="L21" s="39"/>
      <c r="M21" s="487">
        <f>M19+M20</f>
        <v>1392.33278</v>
      </c>
      <c r="N21" s="39"/>
      <c r="O21" s="487">
        <f t="shared" si="1"/>
        <v>-339.04076526315794</v>
      </c>
      <c r="P21" s="39"/>
      <c r="Q21" s="487">
        <f>Q19+Q20</f>
        <v>-306.25081746906409</v>
      </c>
      <c r="R21" s="487">
        <f t="shared" ref="R21" si="33">R19+R20</f>
        <v>17.841235967988666</v>
      </c>
      <c r="S21" s="487">
        <f t="shared" si="3"/>
        <v>-288.40958150107542</v>
      </c>
      <c r="T21" s="39"/>
      <c r="U21" s="39"/>
      <c r="V21" s="487">
        <f t="shared" ref="V21" si="34">V19+V20</f>
        <v>-727.01269425083592</v>
      </c>
      <c r="W21" s="487">
        <f t="shared" ref="W21" si="35">W19+W20</f>
        <v>387.97192898767833</v>
      </c>
      <c r="X21" s="487">
        <f t="shared" ref="X21" si="36">X19+X20</f>
        <v>-339.04076526315765</v>
      </c>
      <c r="Y21" s="39"/>
      <c r="Z21" s="39"/>
      <c r="AA21" s="39"/>
      <c r="AB21" s="39"/>
      <c r="AC21" s="39"/>
      <c r="AD21" s="39"/>
      <c r="AE21" s="39"/>
      <c r="AF21" s="39"/>
    </row>
    <row r="22" spans="1:33" x14ac:dyDescent="0.3">
      <c r="A22" s="433" t="s">
        <v>76</v>
      </c>
      <c r="B22" s="169">
        <f>'Budget assumption'!Q53</f>
        <v>35.781227059917448</v>
      </c>
      <c r="C22" s="169">
        <f>'Budget assumption'!Q74</f>
        <v>-9.1254639921341862</v>
      </c>
      <c r="D22" s="169">
        <f>'Budget assumption'!Q134</f>
        <v>-7.5285000000000002</v>
      </c>
      <c r="E22" s="169">
        <f>'Budget assumption'!Q165</f>
        <v>0</v>
      </c>
      <c r="F22" s="169">
        <f>'Budget assumption'!Q196</f>
        <v>1.8727369322167391</v>
      </c>
      <c r="G22" s="169">
        <f>'Budget assumption'!Q258+'Budget assumption'!Q289</f>
        <v>0</v>
      </c>
      <c r="H22" s="169">
        <f>'Budget assumption'!Q227</f>
        <v>21</v>
      </c>
      <c r="I22" s="169"/>
      <c r="J22" s="89">
        <f t="shared" si="0"/>
        <v>0</v>
      </c>
      <c r="K22" s="169">
        <f>'data entry '!Q100</f>
        <v>25.432898421052627</v>
      </c>
      <c r="L22" s="42"/>
      <c r="M22" s="169">
        <f>'data entry '!Q133</f>
        <v>27.970379999999999</v>
      </c>
      <c r="N22" s="42"/>
      <c r="O22" s="169">
        <f t="shared" si="1"/>
        <v>2.5374815789473715</v>
      </c>
      <c r="P22" s="39"/>
      <c r="Q22" s="169">
        <f>M22-K22-E22-F22-D22-G22</f>
        <v>8.1932446467306335</v>
      </c>
      <c r="R22" s="169"/>
      <c r="S22" s="169">
        <f t="shared" si="3"/>
        <v>8.1932446467306335</v>
      </c>
      <c r="T22" s="39"/>
      <c r="U22" s="39"/>
      <c r="V22" s="169">
        <f t="shared" ref="V22:V24" si="37">M22-K22</f>
        <v>2.5374815789473715</v>
      </c>
      <c r="W22" s="169"/>
      <c r="X22" s="169">
        <f t="shared" ref="X22:X26" si="38">V22+W22</f>
        <v>2.5374815789473715</v>
      </c>
      <c r="Y22" s="39"/>
      <c r="Z22" s="39"/>
      <c r="AA22" s="39"/>
      <c r="AB22" s="39"/>
      <c r="AC22" s="39"/>
    </row>
    <row r="23" spans="1:33" x14ac:dyDescent="0.3">
      <c r="A23" s="433" t="s">
        <v>77</v>
      </c>
      <c r="B23" s="169">
        <f>'Budget assumption'!Q54</f>
        <v>-87.944999999999979</v>
      </c>
      <c r="C23" s="169">
        <f>'Budget assumption'!Q75</f>
        <v>22.429049999999989</v>
      </c>
      <c r="D23" s="169">
        <f>'Budget assumption'!Q135</f>
        <v>0</v>
      </c>
      <c r="E23" s="169">
        <f>'Budget assumption'!Q166</f>
        <v>0</v>
      </c>
      <c r="F23" s="169">
        <f>'Budget assumption'!Q197</f>
        <v>12.515949999999989</v>
      </c>
      <c r="G23" s="169">
        <f>'Budget assumption'!Q259+'Budget assumption'!Q290</f>
        <v>0</v>
      </c>
      <c r="H23" s="169">
        <f>'Budget assumption'!Q228</f>
        <v>-53</v>
      </c>
      <c r="I23" s="169"/>
      <c r="J23" s="89">
        <f t="shared" si="0"/>
        <v>0</v>
      </c>
      <c r="K23" s="169">
        <f>'data entry '!Q101</f>
        <v>-62.749350175438593</v>
      </c>
      <c r="L23" s="42"/>
      <c r="M23" s="169">
        <f>'data entry '!Q134</f>
        <v>-74.14161</v>
      </c>
      <c r="N23" s="42"/>
      <c r="O23" s="169">
        <f t="shared" si="1"/>
        <v>-11.392259824561407</v>
      </c>
      <c r="P23" s="39"/>
      <c r="Q23" s="169">
        <f>M23-K23-E23-F23-D23-G23</f>
        <v>-23.908209824561396</v>
      </c>
      <c r="R23" s="169"/>
      <c r="S23" s="169">
        <f t="shared" si="3"/>
        <v>-23.908209824561396</v>
      </c>
      <c r="T23" s="39"/>
      <c r="U23" s="39"/>
      <c r="V23" s="169">
        <f t="shared" si="37"/>
        <v>-11.392259824561407</v>
      </c>
      <c r="W23" s="169"/>
      <c r="X23" s="169">
        <f t="shared" si="38"/>
        <v>-11.392259824561407</v>
      </c>
      <c r="Y23" s="39"/>
      <c r="Z23" s="39"/>
      <c r="AA23" s="39"/>
      <c r="AB23" s="39"/>
      <c r="AC23" s="39"/>
    </row>
    <row r="24" spans="1:33" x14ac:dyDescent="0.3">
      <c r="A24" s="433" t="s">
        <v>144</v>
      </c>
      <c r="B24" s="169">
        <f>'Budget assumption'!Q55</f>
        <v>0</v>
      </c>
      <c r="C24" s="169">
        <f>'Budget assumption'!Q76+'Budget assumption'!Q291</f>
        <v>0</v>
      </c>
      <c r="D24" s="169">
        <f>'Budget assumption'!Q136</f>
        <v>0</v>
      </c>
      <c r="E24" s="169">
        <f>'Budget assumption'!Q167</f>
        <v>0</v>
      </c>
      <c r="F24" s="169">
        <f>'Budget assumption'!Q198</f>
        <v>0</v>
      </c>
      <c r="G24" s="169">
        <f>'Budget assumption'!Q260+'Budget assumption'!Q291</f>
        <v>0</v>
      </c>
      <c r="H24" s="169">
        <f>'Budget assumption'!Q229</f>
        <v>0</v>
      </c>
      <c r="I24" s="169"/>
      <c r="J24" s="89">
        <f t="shared" si="0"/>
        <v>0</v>
      </c>
      <c r="K24" s="169">
        <f>'data entry '!Q102</f>
        <v>0</v>
      </c>
      <c r="L24" s="42"/>
      <c r="M24" s="169">
        <f>'data entry '!Q135</f>
        <v>-8.9144199999999998</v>
      </c>
      <c r="N24" s="42"/>
      <c r="O24" s="169">
        <f t="shared" si="1"/>
        <v>-8.9144199999999998</v>
      </c>
      <c r="P24" s="39"/>
      <c r="Q24" s="169">
        <f>M24-K24-E24-F24-D24-G24</f>
        <v>-8.9144199999999998</v>
      </c>
      <c r="R24" s="169"/>
      <c r="S24" s="169">
        <f t="shared" si="3"/>
        <v>-8.9144199999999998</v>
      </c>
      <c r="T24" s="39"/>
      <c r="U24" s="39"/>
      <c r="V24" s="169">
        <f t="shared" si="37"/>
        <v>-8.9144199999999998</v>
      </c>
      <c r="W24" s="169"/>
      <c r="X24" s="169">
        <f t="shared" si="38"/>
        <v>-8.9144199999999998</v>
      </c>
      <c r="Y24" s="39"/>
      <c r="Z24" s="39"/>
      <c r="AA24" s="39"/>
      <c r="AB24" s="39"/>
      <c r="AC24" s="39"/>
    </row>
    <row r="25" spans="1:33" x14ac:dyDescent="0.3">
      <c r="A25" s="433" t="s">
        <v>85</v>
      </c>
      <c r="B25" s="169">
        <f>'Budget assumption'!Q56</f>
        <v>0</v>
      </c>
      <c r="C25" s="169">
        <f>'Budget assumption'!Q77+'Budget assumption'!Q292</f>
        <v>0</v>
      </c>
      <c r="D25" s="169">
        <f>'Budget assumption'!Q137</f>
        <v>0</v>
      </c>
      <c r="E25" s="169">
        <f>'Budget assumption'!Q168</f>
        <v>8.3333333333333339</v>
      </c>
      <c r="F25" s="169">
        <f>'Budget assumption'!Q199</f>
        <v>-0.33333333333333393</v>
      </c>
      <c r="G25" s="169">
        <f>'Budget assumption'!Q261+'Budget assumption'!Q292</f>
        <v>0</v>
      </c>
      <c r="H25" s="169">
        <f>'Budget assumption'!Q230</f>
        <v>8</v>
      </c>
      <c r="I25" s="169">
        <f>'Budget assumption'!Q328</f>
        <v>0</v>
      </c>
      <c r="J25" s="89">
        <f t="shared" si="0"/>
        <v>0</v>
      </c>
      <c r="K25" s="169">
        <f>'data entry '!Q103</f>
        <v>0</v>
      </c>
      <c r="L25" s="42"/>
      <c r="M25" s="169">
        <f>'data entry '!Q136</f>
        <v>-30.71528</v>
      </c>
      <c r="N25" s="42"/>
      <c r="O25" s="169">
        <f t="shared" si="1"/>
        <v>-30.71528</v>
      </c>
      <c r="P25" s="39"/>
      <c r="Q25" s="169">
        <f t="shared" ref="Q25:Q26" si="39">M25-H25</f>
        <v>-38.71528</v>
      </c>
      <c r="R25" s="169">
        <f>H25-K25-E25-I25-F25-G25-D25</f>
        <v>0</v>
      </c>
      <c r="S25" s="169">
        <f t="shared" si="3"/>
        <v>-38.71528</v>
      </c>
      <c r="T25" s="39"/>
      <c r="U25" s="39"/>
      <c r="V25" s="169">
        <f t="shared" ref="V25:V26" si="40">M25-B25</f>
        <v>-30.71528</v>
      </c>
      <c r="W25" s="169">
        <f t="shared" ref="W25:W26" si="41">B25-K25</f>
        <v>0</v>
      </c>
      <c r="X25" s="169">
        <f t="shared" si="38"/>
        <v>-30.71528</v>
      </c>
      <c r="Y25" s="39"/>
      <c r="Z25" s="39"/>
      <c r="AA25" s="39"/>
      <c r="AB25" s="39"/>
      <c r="AC25" s="39"/>
    </row>
    <row r="26" spans="1:33" x14ac:dyDescent="0.3">
      <c r="A26" s="433" t="s">
        <v>145</v>
      </c>
      <c r="B26" s="169">
        <f>'Budget assumption'!Q57</f>
        <v>0</v>
      </c>
      <c r="C26" s="169">
        <f>'Budget assumption'!Q78+'Budget assumption'!Q293</f>
        <v>0</v>
      </c>
      <c r="D26" s="169">
        <f>'Budget assumption'!Q138</f>
        <v>0</v>
      </c>
      <c r="E26" s="169">
        <f>'Budget assumption'!Q169</f>
        <v>0</v>
      </c>
      <c r="F26" s="169">
        <f>'Budget assumption'!Q200</f>
        <v>0</v>
      </c>
      <c r="G26" s="169">
        <f>'Budget assumption'!Q262+'Budget assumption'!Q293</f>
        <v>0</v>
      </c>
      <c r="H26" s="169">
        <f>'Budget assumption'!Q231</f>
        <v>0</v>
      </c>
      <c r="I26" s="169"/>
      <c r="J26" s="89">
        <f t="shared" si="0"/>
        <v>0</v>
      </c>
      <c r="K26" s="169">
        <f>'data entry '!Q104</f>
        <v>0</v>
      </c>
      <c r="L26" s="39"/>
      <c r="M26" s="169">
        <f>'data entry '!Q137</f>
        <v>0</v>
      </c>
      <c r="N26" s="39"/>
      <c r="O26" s="169">
        <f t="shared" si="1"/>
        <v>0</v>
      </c>
      <c r="P26" s="39"/>
      <c r="Q26" s="169">
        <f t="shared" si="39"/>
        <v>0</v>
      </c>
      <c r="R26" s="169">
        <f t="shared" ref="R26" si="42">H26-K26-E26-I26-F26-G26-D26</f>
        <v>0</v>
      </c>
      <c r="S26" s="169">
        <f t="shared" si="3"/>
        <v>0</v>
      </c>
      <c r="T26" s="39"/>
      <c r="U26" s="39"/>
      <c r="V26" s="169">
        <f t="shared" si="40"/>
        <v>0</v>
      </c>
      <c r="W26" s="169">
        <f t="shared" si="41"/>
        <v>0</v>
      </c>
      <c r="X26" s="169">
        <f t="shared" si="38"/>
        <v>0</v>
      </c>
      <c r="Y26" s="39"/>
      <c r="Z26" s="39"/>
      <c r="AA26" s="39"/>
      <c r="AB26" s="39"/>
      <c r="AC26" s="39"/>
    </row>
    <row r="27" spans="1:33" x14ac:dyDescent="0.3">
      <c r="A27" s="436" t="s">
        <v>146</v>
      </c>
      <c r="B27" s="487">
        <f>SUM(B22:B26)</f>
        <v>-52.163772940082531</v>
      </c>
      <c r="C27" s="487">
        <f t="shared" ref="C27:I27" si="43">SUM(C22:C26)</f>
        <v>13.303586007865803</v>
      </c>
      <c r="D27" s="487">
        <f t="shared" si="43"/>
        <v>-7.5285000000000002</v>
      </c>
      <c r="E27" s="487">
        <f t="shared" si="43"/>
        <v>8.3333333333333339</v>
      </c>
      <c r="F27" s="487">
        <f t="shared" si="43"/>
        <v>14.055353598883395</v>
      </c>
      <c r="G27" s="487">
        <f t="shared" si="43"/>
        <v>0</v>
      </c>
      <c r="H27" s="487">
        <f t="shared" si="43"/>
        <v>-24</v>
      </c>
      <c r="I27" s="487">
        <f t="shared" si="43"/>
        <v>0</v>
      </c>
      <c r="J27" s="89">
        <f t="shared" si="0"/>
        <v>0</v>
      </c>
      <c r="K27" s="487">
        <f>SUM(K22:K26)</f>
        <v>-37.316451754385966</v>
      </c>
      <c r="L27" s="489"/>
      <c r="M27" s="487">
        <f>SUM(M22:M26)</f>
        <v>-85.800929999999994</v>
      </c>
      <c r="N27" s="39"/>
      <c r="O27" s="487">
        <f t="shared" si="1"/>
        <v>-48.484478245614028</v>
      </c>
      <c r="P27" s="39"/>
      <c r="Q27" s="487">
        <f>SUM(Q22:Q26)</f>
        <v>-63.344665177830763</v>
      </c>
      <c r="R27" s="487">
        <f t="shared" ref="R27" si="44">SUM(R22:R26)</f>
        <v>0</v>
      </c>
      <c r="S27" s="487">
        <f t="shared" si="3"/>
        <v>-63.344665177830763</v>
      </c>
      <c r="T27" s="39"/>
      <c r="U27" s="39"/>
      <c r="V27" s="487">
        <f>SUM(V22:V26)</f>
        <v>-48.484478245614035</v>
      </c>
      <c r="W27" s="487">
        <f t="shared" ref="W27:X27" si="45">SUM(W22:W26)</f>
        <v>0</v>
      </c>
      <c r="X27" s="487">
        <f t="shared" si="45"/>
        <v>-48.484478245614035</v>
      </c>
      <c r="Y27" s="39"/>
      <c r="Z27" s="39"/>
      <c r="AA27" s="39"/>
      <c r="AB27" s="39"/>
      <c r="AC27" s="39"/>
    </row>
    <row r="28" spans="1:33" x14ac:dyDescent="0.3">
      <c r="A28" s="433" t="s">
        <v>148</v>
      </c>
      <c r="B28" s="169">
        <f>'Budget assumption'!Q59</f>
        <v>123.62204531736838</v>
      </c>
      <c r="C28" s="488"/>
      <c r="D28" s="169">
        <f>'Budget assumption'!Q140</f>
        <v>0</v>
      </c>
      <c r="E28" s="169">
        <f>'Budget assumption'!Q171</f>
        <v>7.7281598801854123</v>
      </c>
      <c r="F28" s="169">
        <f>'Budget assumption'!Q202</f>
        <v>-17.070937380185413</v>
      </c>
      <c r="G28" s="169">
        <f>'Budget assumption'!Q264+'Budget assumption'!Q295</f>
        <v>-23.582045317368369</v>
      </c>
      <c r="H28" s="169">
        <f>'Budget assumption'!Q233</f>
        <v>90.697222500000009</v>
      </c>
      <c r="I28" s="169">
        <f>'Budget assumption'!Q337</f>
        <v>58.158776514101071</v>
      </c>
      <c r="J28" s="89">
        <f t="shared" si="0"/>
        <v>0</v>
      </c>
      <c r="K28" s="169">
        <f>'data entry '!Q106</f>
        <v>83.314994075403902</v>
      </c>
      <c r="L28" s="490"/>
      <c r="M28" s="169">
        <f>'data entry '!Q139</f>
        <v>89.415120000000002</v>
      </c>
      <c r="N28" s="44"/>
      <c r="O28" s="169">
        <f t="shared" si="1"/>
        <v>6.1001259245960995</v>
      </c>
      <c r="P28" s="39"/>
      <c r="Q28" s="169">
        <f t="shared" ref="Q28:Q29" si="46">M28-H28</f>
        <v>-1.2821025000000077</v>
      </c>
      <c r="R28" s="169">
        <f>H28-K28-E28-I28-F28-G28-D28</f>
        <v>-17.851725272136591</v>
      </c>
      <c r="S28" s="169">
        <f t="shared" si="3"/>
        <v>-19.133827772136598</v>
      </c>
      <c r="T28" s="39"/>
      <c r="U28" s="39"/>
      <c r="V28" s="169">
        <f t="shared" ref="V28:V29" si="47">M28-B28</f>
        <v>-34.206925317368373</v>
      </c>
      <c r="W28" s="169">
        <f t="shared" ref="W28" si="48">B28-K28</f>
        <v>40.307051241964473</v>
      </c>
      <c r="X28" s="169">
        <f t="shared" ref="X28:X29" si="49">V28+W28</f>
        <v>6.1001259245960995</v>
      </c>
      <c r="Y28" s="39"/>
      <c r="Z28" s="39"/>
      <c r="AA28" s="39"/>
      <c r="AB28" s="39"/>
      <c r="AC28" s="39"/>
    </row>
    <row r="29" spans="1:33" x14ac:dyDescent="0.3">
      <c r="A29" s="433" t="s">
        <v>149</v>
      </c>
      <c r="B29" s="169">
        <f>'Budget assumption'!Q60</f>
        <v>104.42031940751377</v>
      </c>
      <c r="C29" s="488"/>
      <c r="D29" s="169">
        <f>'Budget assumption'!Q141</f>
        <v>0</v>
      </c>
      <c r="E29" s="169">
        <f>'Budget assumption'!Q172</f>
        <v>0</v>
      </c>
      <c r="F29" s="169">
        <f>'Budget assumption'!Q203</f>
        <v>14.612002141180838</v>
      </c>
      <c r="G29" s="169">
        <f>'Budget assumption'!Q265+'Budget assumption'!Q296</f>
        <v>-24.500319407513771</v>
      </c>
      <c r="H29" s="169">
        <f>'Budget assumption'!Q234</f>
        <v>94.53200214118084</v>
      </c>
      <c r="I29" s="169"/>
      <c r="J29" s="89">
        <f t="shared" si="0"/>
        <v>0</v>
      </c>
      <c r="K29" s="169">
        <f>'data entry '!Q107</f>
        <v>86.837644871964514</v>
      </c>
      <c r="L29" s="490"/>
      <c r="M29" s="169">
        <f>'data entry '!Q140</f>
        <v>43.157319999999999</v>
      </c>
      <c r="N29" s="490"/>
      <c r="O29" s="169">
        <f t="shared" si="1"/>
        <v>-43.680324871964515</v>
      </c>
      <c r="P29" s="39"/>
      <c r="Q29" s="169">
        <f t="shared" si="46"/>
        <v>-51.374682141180841</v>
      </c>
      <c r="R29" s="169">
        <f>H29-K29-E29-I29-F29-G29-D29</f>
        <v>17.582674535549259</v>
      </c>
      <c r="S29" s="169">
        <f t="shared" si="3"/>
        <v>-33.792007605631582</v>
      </c>
      <c r="T29" s="39"/>
      <c r="U29" s="39"/>
      <c r="V29" s="169">
        <f t="shared" si="47"/>
        <v>-61.262999407513774</v>
      </c>
      <c r="W29" s="169"/>
      <c r="X29" s="169">
        <f t="shared" si="49"/>
        <v>-61.262999407513774</v>
      </c>
      <c r="Y29" s="39"/>
      <c r="Z29" s="39"/>
      <c r="AA29" s="39"/>
      <c r="AB29" s="39"/>
      <c r="AC29" s="39"/>
    </row>
    <row r="30" spans="1:33" x14ac:dyDescent="0.3">
      <c r="A30" s="436" t="s">
        <v>150</v>
      </c>
      <c r="B30" s="487">
        <f>B28+B29</f>
        <v>228.04236472488213</v>
      </c>
      <c r="C30" s="487">
        <f t="shared" ref="C30:I30" si="50">C28+C29</f>
        <v>0</v>
      </c>
      <c r="D30" s="487">
        <f t="shared" si="50"/>
        <v>0</v>
      </c>
      <c r="E30" s="487">
        <f t="shared" si="50"/>
        <v>7.7281598801854123</v>
      </c>
      <c r="F30" s="487">
        <f t="shared" si="50"/>
        <v>-2.4589352390045747</v>
      </c>
      <c r="G30" s="487">
        <f t="shared" si="50"/>
        <v>-48.08236472488214</v>
      </c>
      <c r="H30" s="487">
        <f t="shared" si="50"/>
        <v>185.22922464118085</v>
      </c>
      <c r="I30" s="487">
        <f t="shared" si="50"/>
        <v>58.158776514101071</v>
      </c>
      <c r="J30" s="89">
        <f t="shared" si="0"/>
        <v>0</v>
      </c>
      <c r="K30" s="487">
        <f>K28+K29</f>
        <v>170.15263894736842</v>
      </c>
      <c r="M30" s="487">
        <f>M28+M29</f>
        <v>132.57244</v>
      </c>
      <c r="O30" s="487">
        <f>O28+O29</f>
        <v>-37.580198947368416</v>
      </c>
      <c r="Q30" s="487">
        <f>Q28+Q29</f>
        <v>-52.656784641180849</v>
      </c>
      <c r="R30" s="487">
        <f t="shared" ref="R30" si="51">R28+R29</f>
        <v>-0.26905073658733158</v>
      </c>
      <c r="S30" s="487">
        <f t="shared" ref="S30" si="52">S28+S29</f>
        <v>-52.92583537776818</v>
      </c>
      <c r="V30" s="487">
        <f t="shared" ref="V30" si="53">V28+V29</f>
        <v>-95.469924724882148</v>
      </c>
      <c r="W30" s="487">
        <f t="shared" ref="W30" si="54">W28+W29</f>
        <v>40.307051241964473</v>
      </c>
      <c r="X30" s="487">
        <f t="shared" ref="X30" si="55">X28+X29</f>
        <v>-55.162873482917675</v>
      </c>
    </row>
    <row r="31" spans="1:33" ht="15" thickBot="1" x14ac:dyDescent="0.35">
      <c r="A31" s="28"/>
      <c r="B31" s="169"/>
      <c r="C31" s="169"/>
      <c r="D31" s="169">
        <f>'Budget assumption'!Q143</f>
        <v>0</v>
      </c>
      <c r="E31" s="169"/>
      <c r="F31" s="169"/>
      <c r="G31" s="169">
        <f>'Budget assumption'!Q267</f>
        <v>0</v>
      </c>
      <c r="H31" s="169"/>
      <c r="I31" s="169"/>
      <c r="J31" s="89">
        <f t="shared" si="0"/>
        <v>0</v>
      </c>
      <c r="K31" s="169">
        <f>'data entry '!Q109</f>
        <v>0</v>
      </c>
      <c r="M31" s="169">
        <f>'data entry '!Q142</f>
        <v>0</v>
      </c>
      <c r="O31" s="169">
        <f t="shared" si="1"/>
        <v>0</v>
      </c>
      <c r="Q31" s="169">
        <f t="shared" si="2"/>
        <v>0</v>
      </c>
      <c r="R31" s="169"/>
      <c r="S31" s="169">
        <f t="shared" si="3"/>
        <v>0</v>
      </c>
      <c r="V31" s="169"/>
      <c r="W31" s="169"/>
      <c r="X31" s="169"/>
    </row>
    <row r="32" spans="1:33" x14ac:dyDescent="0.3">
      <c r="A32" s="436" t="s">
        <v>152</v>
      </c>
      <c r="B32" s="487">
        <f>B21+B27+B30</f>
        <v>2533.7750371935203</v>
      </c>
      <c r="C32" s="487">
        <f t="shared" ref="C32:H32" si="56">C21+C27+C30</f>
        <v>-214.65128874577152</v>
      </c>
      <c r="D32" s="487">
        <f t="shared" si="56"/>
        <v>-58.908533430000006</v>
      </c>
      <c r="E32" s="487">
        <f t="shared" si="56"/>
        <v>-71.974600624891949</v>
      </c>
      <c r="F32" s="487">
        <f t="shared" si="56"/>
        <v>62.061656892045562</v>
      </c>
      <c r="G32" s="487">
        <f t="shared" si="56"/>
        <v>-379.89335277041016</v>
      </c>
      <c r="H32" s="487">
        <f t="shared" si="56"/>
        <v>1870.4089185144921</v>
      </c>
      <c r="I32" s="487">
        <f>I21+I27+I30</f>
        <v>428.28946953379079</v>
      </c>
      <c r="J32" s="89">
        <f t="shared" si="0"/>
        <v>0</v>
      </c>
      <c r="K32" s="487">
        <f>K21+K27+K30</f>
        <v>1864.2097324561403</v>
      </c>
      <c r="M32" s="487">
        <f>M21+M27+M30</f>
        <v>1439.1042899999998</v>
      </c>
      <c r="O32" s="487">
        <f t="shared" si="1"/>
        <v>-425.10544245614051</v>
      </c>
      <c r="Q32" s="487">
        <f>Q21+Q27+Q30</f>
        <v>-422.2522672880757</v>
      </c>
      <c r="R32" s="487">
        <f>R21+R27+R30</f>
        <v>17.572185231401335</v>
      </c>
      <c r="S32" s="487">
        <f t="shared" si="3"/>
        <v>-404.68008205667434</v>
      </c>
      <c r="V32" s="487">
        <f>V21+V27+V30</f>
        <v>-870.9670972213321</v>
      </c>
      <c r="W32" s="487">
        <f t="shared" ref="W32" si="57">W21+W27+W30</f>
        <v>428.2789802296428</v>
      </c>
      <c r="X32" s="487">
        <f>X21+X27+X30</f>
        <v>-442.68811699168936</v>
      </c>
    </row>
    <row r="33" spans="5:9" x14ac:dyDescent="0.3">
      <c r="G33" s="34"/>
    </row>
    <row r="34" spans="5:9" x14ac:dyDescent="0.3">
      <c r="G34" s="34"/>
    </row>
    <row r="35" spans="5:9" x14ac:dyDescent="0.3">
      <c r="E35" s="8"/>
      <c r="F35" s="8"/>
      <c r="G35" s="8"/>
      <c r="H35" s="8"/>
      <c r="I35" s="8"/>
    </row>
    <row r="36" spans="5:9" x14ac:dyDescent="0.3">
      <c r="G36" s="34"/>
      <c r="H36" s="8"/>
      <c r="I36" s="34"/>
    </row>
    <row r="37" spans="5:9" x14ac:dyDescent="0.3">
      <c r="H37" s="8"/>
      <c r="I37" s="34"/>
    </row>
    <row r="38" spans="5:9" x14ac:dyDescent="0.3">
      <c r="H38" s="8"/>
      <c r="I38" s="34"/>
    </row>
    <row r="39" spans="5:9" x14ac:dyDescent="0.3">
      <c r="H39" s="8"/>
      <c r="I39" s="34"/>
    </row>
    <row r="40" spans="5:9" x14ac:dyDescent="0.3">
      <c r="H40" s="8"/>
      <c r="I40" s="34"/>
    </row>
    <row r="41" spans="5:9" x14ac:dyDescent="0.3">
      <c r="H41" s="8"/>
      <c r="I41" s="34"/>
    </row>
    <row r="42" spans="5:9" x14ac:dyDescent="0.3">
      <c r="H42" s="8"/>
      <c r="I42" s="34"/>
    </row>
    <row r="43" spans="5:9" x14ac:dyDescent="0.3">
      <c r="H43" s="8"/>
      <c r="I43" s="34"/>
    </row>
    <row r="44" spans="5:9" x14ac:dyDescent="0.3">
      <c r="H44" s="8"/>
      <c r="I44" s="34"/>
    </row>
    <row r="45" spans="5:9" x14ac:dyDescent="0.3">
      <c r="H45" s="8"/>
      <c r="I45" s="34"/>
    </row>
    <row r="46" spans="5:9" x14ac:dyDescent="0.3">
      <c r="H46" s="8"/>
      <c r="I46" s="34"/>
    </row>
    <row r="47" spans="5:9" x14ac:dyDescent="0.3">
      <c r="H47" s="8"/>
      <c r="I47" s="34"/>
    </row>
    <row r="48" spans="5:9" x14ac:dyDescent="0.3">
      <c r="H48" s="8"/>
      <c r="I48" s="34"/>
    </row>
    <row r="49" spans="8:9" x14ac:dyDescent="0.3">
      <c r="H49" s="8"/>
      <c r="I49" s="34"/>
    </row>
    <row r="50" spans="8:9" x14ac:dyDescent="0.3">
      <c r="H50" s="8"/>
      <c r="I50" s="34"/>
    </row>
    <row r="51" spans="8:9" x14ac:dyDescent="0.3">
      <c r="H51" s="8"/>
      <c r="I51" s="34"/>
    </row>
    <row r="52" spans="8:9" x14ac:dyDescent="0.3">
      <c r="H52" s="8"/>
      <c r="I52" s="34"/>
    </row>
    <row r="53" spans="8:9" x14ac:dyDescent="0.3">
      <c r="H53" s="8"/>
      <c r="I53" s="34"/>
    </row>
    <row r="54" spans="8:9" x14ac:dyDescent="0.3">
      <c r="H54" s="8"/>
      <c r="I54" s="34"/>
    </row>
    <row r="55" spans="8:9" x14ac:dyDescent="0.3">
      <c r="H55" s="8"/>
      <c r="I55" s="34"/>
    </row>
    <row r="56" spans="8:9" x14ac:dyDescent="0.3">
      <c r="H56" s="8"/>
      <c r="I56" s="34"/>
    </row>
    <row r="57" spans="8:9" x14ac:dyDescent="0.3">
      <c r="H57" s="8"/>
      <c r="I57" s="34"/>
    </row>
    <row r="58" spans="8:9" x14ac:dyDescent="0.3">
      <c r="H58" s="8"/>
      <c r="I58" s="34"/>
    </row>
    <row r="59" spans="8:9" x14ac:dyDescent="0.3">
      <c r="H59" s="8"/>
      <c r="I59" s="34"/>
    </row>
    <row r="60" spans="8:9" x14ac:dyDescent="0.3">
      <c r="H60" s="8"/>
      <c r="I60" s="34"/>
    </row>
    <row r="61" spans="8:9" x14ac:dyDescent="0.3">
      <c r="H61" s="8"/>
      <c r="I61" s="34"/>
    </row>
    <row r="62" spans="8:9" x14ac:dyDescent="0.3">
      <c r="H62" s="8"/>
    </row>
    <row r="63" spans="8:9" x14ac:dyDescent="0.3">
      <c r="H63" s="8"/>
    </row>
    <row r="64" spans="8:9" x14ac:dyDescent="0.3">
      <c r="H64" s="8"/>
    </row>
    <row r="65" spans="8:8" x14ac:dyDescent="0.3">
      <c r="H65" s="8"/>
    </row>
    <row r="66" spans="8:8" x14ac:dyDescent="0.3">
      <c r="H66" s="8"/>
    </row>
    <row r="67" spans="8:8" x14ac:dyDescent="0.3">
      <c r="H67" s="8"/>
    </row>
    <row r="68" spans="8:8" x14ac:dyDescent="0.3">
      <c r="H68" s="8"/>
    </row>
    <row r="69" spans="8:8" x14ac:dyDescent="0.3">
      <c r="H69" s="8"/>
    </row>
    <row r="70" spans="8:8" x14ac:dyDescent="0.3">
      <c r="H70" s="8"/>
    </row>
    <row r="71" spans="8:8" x14ac:dyDescent="0.3">
      <c r="H71" s="8"/>
    </row>
    <row r="72" spans="8:8" x14ac:dyDescent="0.3">
      <c r="H72" s="8"/>
    </row>
    <row r="73" spans="8:8" x14ac:dyDescent="0.3">
      <c r="H73" s="8"/>
    </row>
    <row r="74" spans="8:8" x14ac:dyDescent="0.3">
      <c r="H74" s="8"/>
    </row>
    <row r="75" spans="8:8" x14ac:dyDescent="0.3">
      <c r="H75" s="8"/>
    </row>
    <row r="76" spans="8:8" x14ac:dyDescent="0.3">
      <c r="H76" s="8"/>
    </row>
    <row r="77" spans="8:8" x14ac:dyDescent="0.3">
      <c r="H77" s="8"/>
    </row>
    <row r="78" spans="8:8" x14ac:dyDescent="0.3">
      <c r="H78" s="8"/>
    </row>
  </sheetData>
  <mergeCells count="30">
    <mergeCell ref="A3:A5"/>
    <mergeCell ref="B3:B5"/>
    <mergeCell ref="C3:C5"/>
    <mergeCell ref="E3:E5"/>
    <mergeCell ref="Q3:Q5"/>
    <mergeCell ref="H3:H5"/>
    <mergeCell ref="J3:J5"/>
    <mergeCell ref="G3:G5"/>
    <mergeCell ref="F3:F5"/>
    <mergeCell ref="D3:D5"/>
    <mergeCell ref="AA1:AA2"/>
    <mergeCell ref="Q2:S2"/>
    <mergeCell ref="V2:X2"/>
    <mergeCell ref="L3:L5"/>
    <mergeCell ref="M3:M5"/>
    <mergeCell ref="N3:N5"/>
    <mergeCell ref="O3:O5"/>
    <mergeCell ref="P3:P5"/>
    <mergeCell ref="AC3:AC5"/>
    <mergeCell ref="R3:R5"/>
    <mergeCell ref="S3:S5"/>
    <mergeCell ref="T3:T5"/>
    <mergeCell ref="U3:U5"/>
    <mergeCell ref="V3:V5"/>
    <mergeCell ref="W3:W5"/>
    <mergeCell ref="X3:X5"/>
    <mergeCell ref="Y3:Y5"/>
    <mergeCell ref="Z3:Z5"/>
    <mergeCell ref="AA3:AA5"/>
    <mergeCell ref="AB3:AB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B903B-F7D5-462D-A71F-613358DDD82B}">
  <sheetPr codeName="Sheet14"/>
  <dimension ref="A1:N13"/>
  <sheetViews>
    <sheetView workbookViewId="0">
      <selection activeCell="J6" sqref="J6:J32"/>
    </sheetView>
  </sheetViews>
  <sheetFormatPr defaultRowHeight="14.4" x14ac:dyDescent="0.3"/>
  <cols>
    <col min="1" max="1" width="17" bestFit="1" customWidth="1"/>
    <col min="2" max="3" width="13.5546875" bestFit="1" customWidth="1"/>
    <col min="4" max="14" width="10.5546875" bestFit="1" customWidth="1"/>
  </cols>
  <sheetData>
    <row r="1" spans="1:14" x14ac:dyDescent="0.3">
      <c r="A1" t="s">
        <v>632</v>
      </c>
      <c r="B1" s="778">
        <v>197000</v>
      </c>
    </row>
    <row r="3" spans="1:14" x14ac:dyDescent="0.3">
      <c r="N3" s="32" t="s">
        <v>644</v>
      </c>
    </row>
    <row r="4" spans="1:14" x14ac:dyDescent="0.3"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 t="s">
        <v>95</v>
      </c>
    </row>
    <row r="5" spans="1:14" x14ac:dyDescent="0.3">
      <c r="A5" t="s">
        <v>635</v>
      </c>
      <c r="B5" s="779">
        <f>+B1*-1</f>
        <v>-197000</v>
      </c>
      <c r="C5" s="779">
        <f>+B6*-1</f>
        <v>-171249.55741197654</v>
      </c>
      <c r="D5" s="779">
        <f>+C6*-1</f>
        <v>-176343.37</v>
      </c>
      <c r="E5" s="779"/>
      <c r="F5" s="779"/>
      <c r="G5" s="779"/>
      <c r="H5" s="779"/>
      <c r="I5" s="779"/>
      <c r="J5" s="779"/>
      <c r="K5" s="779"/>
      <c r="L5" s="779"/>
      <c r="M5" s="779"/>
      <c r="N5" s="780">
        <f>SUM(B5:M5)</f>
        <v>-544592.9274119765</v>
      </c>
    </row>
    <row r="6" spans="1:14" x14ac:dyDescent="0.3">
      <c r="A6" t="s">
        <v>633</v>
      </c>
      <c r="B6" s="780">
        <v>171249.55741197654</v>
      </c>
      <c r="C6" s="780">
        <v>176343.37</v>
      </c>
      <c r="D6" s="780">
        <v>343493.89574463188</v>
      </c>
      <c r="E6" s="780"/>
      <c r="F6" s="780"/>
      <c r="G6" s="780"/>
      <c r="H6" s="780"/>
      <c r="I6" s="780"/>
      <c r="J6" s="780"/>
      <c r="K6" s="780"/>
      <c r="L6" s="780"/>
      <c r="M6" s="780"/>
      <c r="N6" s="780">
        <f t="shared" ref="N6" si="0">SUM(B6:M6)</f>
        <v>691086.82315660839</v>
      </c>
    </row>
    <row r="7" spans="1:14" x14ac:dyDescent="0.3">
      <c r="A7" t="s">
        <v>643</v>
      </c>
      <c r="B7" s="780"/>
      <c r="C7" s="780"/>
      <c r="D7" s="780">
        <v>33023.300000000003</v>
      </c>
      <c r="E7" s="780"/>
      <c r="F7" s="780"/>
      <c r="G7" s="780"/>
      <c r="H7" s="780"/>
      <c r="I7" s="780"/>
      <c r="J7" s="780"/>
      <c r="K7" s="780"/>
      <c r="L7" s="780"/>
      <c r="M7" s="780"/>
      <c r="N7" s="780"/>
    </row>
    <row r="8" spans="1:14" x14ac:dyDescent="0.3">
      <c r="A8" t="s">
        <v>636</v>
      </c>
      <c r="B8" s="780">
        <f>SUM(B5:B6)</f>
        <v>-25750.442588023463</v>
      </c>
      <c r="C8" s="780">
        <f>SUM(C5:C6)</f>
        <v>5093.8125880234584</v>
      </c>
      <c r="D8" s="780">
        <f>SUM(D5:D7)</f>
        <v>200173.82574463187</v>
      </c>
      <c r="E8" s="780"/>
      <c r="F8" s="780"/>
      <c r="G8" s="780"/>
      <c r="H8" s="780"/>
      <c r="I8" s="780"/>
      <c r="J8" s="780"/>
      <c r="K8" s="780"/>
      <c r="L8" s="780"/>
      <c r="M8" s="780"/>
      <c r="N8" s="780">
        <f>SUM(N5:N6)</f>
        <v>146493.89574463188</v>
      </c>
    </row>
    <row r="9" spans="1:14" x14ac:dyDescent="0.3">
      <c r="A9" t="s">
        <v>505</v>
      </c>
      <c r="B9" s="780">
        <v>9029.9611846539392</v>
      </c>
      <c r="C9" s="780">
        <v>8861.5909564808062</v>
      </c>
      <c r="D9" s="780">
        <v>8696.3601143089363</v>
      </c>
      <c r="E9" s="780">
        <v>8567.842477151662</v>
      </c>
      <c r="F9" s="780">
        <v>8441.2241154203584</v>
      </c>
      <c r="G9" s="780">
        <v>8316.476961005279</v>
      </c>
      <c r="H9" s="780">
        <v>8250.4731756004749</v>
      </c>
      <c r="I9" s="780">
        <v>8184.9932297623764</v>
      </c>
      <c r="J9" s="780">
        <v>8120.0329660341031</v>
      </c>
      <c r="K9" s="780">
        <v>7980.3763793946955</v>
      </c>
      <c r="L9" s="780">
        <v>7843.1217487908543</v>
      </c>
      <c r="M9" s="780">
        <v>7708.2277629394139</v>
      </c>
      <c r="N9" s="780">
        <f>SUM(B9:D9)</f>
        <v>26587.91225544368</v>
      </c>
    </row>
    <row r="10" spans="1:14" x14ac:dyDescent="0.3">
      <c r="B10" s="780"/>
      <c r="C10" s="780"/>
      <c r="D10" s="780"/>
      <c r="E10" s="780"/>
      <c r="F10" s="780"/>
      <c r="G10" s="780"/>
      <c r="H10" s="780"/>
      <c r="I10" s="780"/>
      <c r="J10" s="780"/>
      <c r="K10" s="780"/>
      <c r="L10" s="780"/>
      <c r="M10" s="780"/>
      <c r="N10" s="780"/>
    </row>
    <row r="11" spans="1:14" x14ac:dyDescent="0.3">
      <c r="A11" t="s">
        <v>634</v>
      </c>
      <c r="B11" s="780">
        <f>+B8-B9</f>
        <v>-34780.403772677404</v>
      </c>
      <c r="C11" s="780">
        <f t="shared" ref="C11:M11" si="1">+C8-C9</f>
        <v>-3767.7783684573478</v>
      </c>
      <c r="D11" s="780">
        <f t="shared" si="1"/>
        <v>191477.46563032293</v>
      </c>
      <c r="E11" s="780">
        <f t="shared" si="1"/>
        <v>-8567.842477151662</v>
      </c>
      <c r="F11" s="780">
        <f t="shared" si="1"/>
        <v>-8441.2241154203584</v>
      </c>
      <c r="G11" s="780">
        <f t="shared" si="1"/>
        <v>-8316.476961005279</v>
      </c>
      <c r="H11" s="780">
        <f t="shared" si="1"/>
        <v>-8250.4731756004749</v>
      </c>
      <c r="I11" s="780">
        <f t="shared" si="1"/>
        <v>-8184.9932297623764</v>
      </c>
      <c r="J11" s="780">
        <f t="shared" si="1"/>
        <v>-8120.0329660341031</v>
      </c>
      <c r="K11" s="780">
        <f t="shared" si="1"/>
        <v>-7980.3763793946955</v>
      </c>
      <c r="L11" s="780">
        <f t="shared" si="1"/>
        <v>-7843.1217487908543</v>
      </c>
      <c r="M11" s="780">
        <f t="shared" si="1"/>
        <v>-7708.2277629394139</v>
      </c>
      <c r="N11" s="780">
        <f>SUM(B11:D11)</f>
        <v>152929.28348918818</v>
      </c>
    </row>
    <row r="13" spans="1:14" x14ac:dyDescent="0.3">
      <c r="D13" s="3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C822-5B08-4981-8858-8EFE47E99985}">
  <sheetPr codeName="Sheet15"/>
  <dimension ref="A1:AG78"/>
  <sheetViews>
    <sheetView showGridLines="0" topLeftCell="F15" zoomScale="80" zoomScaleNormal="80" workbookViewId="0">
      <selection activeCell="W32" sqref="W32"/>
    </sheetView>
  </sheetViews>
  <sheetFormatPr defaultRowHeight="14.4" x14ac:dyDescent="0.3"/>
  <cols>
    <col min="1" max="1" width="47.21875" bestFit="1" customWidth="1"/>
    <col min="2" max="2" width="10.44140625" bestFit="1" customWidth="1"/>
    <col min="4" max="7" width="11.5546875" customWidth="1"/>
    <col min="8" max="8" width="11.21875" bestFit="1" customWidth="1"/>
    <col min="9" max="9" width="12.5546875" customWidth="1"/>
    <col min="11" max="11" width="11.44140625" customWidth="1"/>
    <col min="12" max="12" width="1.44140625" customWidth="1"/>
    <col min="13" max="13" width="12.77734375" bestFit="1" customWidth="1"/>
    <col min="14" max="14" width="1.21875" customWidth="1"/>
    <col min="15" max="15" width="14.5546875" bestFit="1" customWidth="1"/>
    <col min="17" max="17" width="12" bestFit="1" customWidth="1"/>
    <col min="18" max="18" width="12.5546875" customWidth="1"/>
    <col min="19" max="19" width="13.21875" customWidth="1"/>
    <col min="20" max="20" width="2.88671875" customWidth="1"/>
    <col min="21" max="21" width="3.77734375" customWidth="1"/>
    <col min="22" max="22" width="6.109375" bestFit="1" customWidth="1"/>
    <col min="23" max="23" width="9.44140625" customWidth="1"/>
    <col min="24" max="24" width="12.88671875" customWidth="1"/>
  </cols>
  <sheetData>
    <row r="1" spans="1:32" x14ac:dyDescent="0.3">
      <c r="A1" s="40" t="s">
        <v>157</v>
      </c>
      <c r="B1" s="41">
        <f>+'Budget assumption'!R35</f>
        <v>290000</v>
      </c>
      <c r="C1" s="41">
        <f>H1-B1</f>
        <v>-541</v>
      </c>
      <c r="D1" s="43"/>
      <c r="E1" s="43"/>
      <c r="F1" s="43"/>
      <c r="G1" s="43"/>
      <c r="H1" s="41">
        <f>+'Budget assumption'!R66</f>
        <v>289459</v>
      </c>
      <c r="I1" s="41">
        <f>'Budget assumption'!Q321</f>
        <v>0</v>
      </c>
      <c r="J1" s="42"/>
      <c r="K1" s="41">
        <f>'data entry '!R82</f>
        <v>240074</v>
      </c>
      <c r="L1" s="42"/>
      <c r="M1" s="41">
        <f>'data entry '!R115</f>
        <v>240074</v>
      </c>
      <c r="N1" s="42"/>
      <c r="O1" s="43"/>
      <c r="P1" s="44"/>
      <c r="Q1" s="39"/>
      <c r="R1" s="39"/>
      <c r="S1" s="39"/>
      <c r="T1" s="39"/>
      <c r="U1" s="39"/>
      <c r="V1" s="39"/>
      <c r="W1" s="44"/>
      <c r="X1" s="39"/>
      <c r="Y1" s="39"/>
      <c r="Z1" s="39"/>
      <c r="AA1" s="1244" t="s">
        <v>158</v>
      </c>
      <c r="AB1" s="39" t="s">
        <v>159</v>
      </c>
      <c r="AC1" s="39" t="s">
        <v>160</v>
      </c>
    </row>
    <row r="2" spans="1:32" x14ac:dyDescent="0.3">
      <c r="A2" s="39"/>
      <c r="B2" s="42" t="s">
        <v>161</v>
      </c>
      <c r="C2" s="42" t="s">
        <v>161</v>
      </c>
      <c r="D2" s="46"/>
      <c r="E2" s="46"/>
      <c r="F2" s="46"/>
      <c r="G2" s="46"/>
      <c r="H2" s="42" t="s">
        <v>161</v>
      </c>
      <c r="I2" s="42" t="s">
        <v>161</v>
      </c>
      <c r="J2" s="42"/>
      <c r="K2" s="42" t="s">
        <v>161</v>
      </c>
      <c r="L2" s="42"/>
      <c r="M2" s="42" t="s">
        <v>161</v>
      </c>
      <c r="N2" s="42"/>
      <c r="O2" s="42"/>
      <c r="P2" s="39"/>
      <c r="Q2" s="1245" t="s">
        <v>162</v>
      </c>
      <c r="R2" s="1245"/>
      <c r="S2" s="1245"/>
      <c r="T2" s="39"/>
      <c r="U2" s="39"/>
      <c r="V2" s="1245" t="s">
        <v>163</v>
      </c>
      <c r="W2" s="1245"/>
      <c r="X2" s="1245"/>
      <c r="Y2" s="39"/>
      <c r="Z2" s="39"/>
      <c r="AA2" s="1244"/>
      <c r="AB2" s="39" t="s">
        <v>164</v>
      </c>
      <c r="AC2" s="39" t="s">
        <v>165</v>
      </c>
    </row>
    <row r="3" spans="1:32" x14ac:dyDescent="0.3">
      <c r="A3" s="1250" t="s">
        <v>166</v>
      </c>
      <c r="B3" s="1253" t="s">
        <v>167</v>
      </c>
      <c r="C3" s="1253" t="s">
        <v>97</v>
      </c>
      <c r="D3" s="1255" t="s">
        <v>43</v>
      </c>
      <c r="E3" s="1255" t="s">
        <v>482</v>
      </c>
      <c r="F3" s="1255" t="s">
        <v>483</v>
      </c>
      <c r="G3" s="1257" t="s">
        <v>98</v>
      </c>
      <c r="H3" s="1247" t="s">
        <v>168</v>
      </c>
      <c r="I3" s="47" t="s">
        <v>169</v>
      </c>
      <c r="J3" s="1256"/>
      <c r="K3" s="47" t="s">
        <v>170</v>
      </c>
      <c r="L3" s="1246"/>
      <c r="M3" s="1247" t="s">
        <v>171</v>
      </c>
      <c r="N3" s="1246"/>
      <c r="O3" s="1247" t="s">
        <v>99</v>
      </c>
      <c r="P3" s="1249"/>
      <c r="Q3" s="1239" t="s">
        <v>158</v>
      </c>
      <c r="R3" s="1239" t="s">
        <v>172</v>
      </c>
      <c r="S3" s="1239" t="s">
        <v>155</v>
      </c>
      <c r="T3" s="1242"/>
      <c r="U3" s="1243"/>
      <c r="V3" s="1239" t="s">
        <v>158</v>
      </c>
      <c r="W3" s="1239" t="s">
        <v>172</v>
      </c>
      <c r="X3" s="1239" t="s">
        <v>155</v>
      </c>
      <c r="Y3" s="1242"/>
      <c r="Z3" s="1238"/>
      <c r="AA3" s="1238"/>
      <c r="AB3" s="1238"/>
      <c r="AC3" s="1238"/>
    </row>
    <row r="4" spans="1:32" x14ac:dyDescent="0.3">
      <c r="A4" s="1251"/>
      <c r="B4" s="1254"/>
      <c r="C4" s="1254"/>
      <c r="D4" s="1255" t="s">
        <v>43</v>
      </c>
      <c r="E4" s="1255"/>
      <c r="F4" s="1255"/>
      <c r="G4" s="1257"/>
      <c r="H4" s="1248"/>
      <c r="I4" s="48"/>
      <c r="J4" s="1256"/>
      <c r="K4" s="48"/>
      <c r="L4" s="1246"/>
      <c r="M4" s="1248"/>
      <c r="N4" s="1246"/>
      <c r="O4" s="1248"/>
      <c r="P4" s="1249"/>
      <c r="Q4" s="1240"/>
      <c r="R4" s="1240"/>
      <c r="S4" s="1240"/>
      <c r="T4" s="1242"/>
      <c r="U4" s="1243"/>
      <c r="V4" s="1240"/>
      <c r="W4" s="1240"/>
      <c r="X4" s="1240"/>
      <c r="Y4" s="1242"/>
      <c r="Z4" s="1238"/>
      <c r="AA4" s="1238"/>
      <c r="AB4" s="1238"/>
      <c r="AC4" s="1238"/>
    </row>
    <row r="5" spans="1:32" x14ac:dyDescent="0.3">
      <c r="A5" s="1252"/>
      <c r="B5" s="1254"/>
      <c r="C5" s="1254"/>
      <c r="D5" s="1255"/>
      <c r="E5" s="1255"/>
      <c r="F5" s="1255"/>
      <c r="G5" s="1257"/>
      <c r="H5" s="1248"/>
      <c r="I5" s="48" t="s">
        <v>173</v>
      </c>
      <c r="J5" s="1256"/>
      <c r="K5" s="48"/>
      <c r="L5" s="1246"/>
      <c r="M5" s="1248"/>
      <c r="N5" s="1246"/>
      <c r="O5" s="1248"/>
      <c r="P5" s="1249"/>
      <c r="Q5" s="1241"/>
      <c r="R5" s="1241"/>
      <c r="S5" s="1240"/>
      <c r="T5" s="1242"/>
      <c r="U5" s="1243"/>
      <c r="V5" s="1241"/>
      <c r="W5" s="1241"/>
      <c r="X5" s="1240"/>
      <c r="Y5" s="1242"/>
      <c r="Z5" s="1238"/>
      <c r="AA5" s="1238"/>
      <c r="AB5" s="1238"/>
      <c r="AC5" s="1238"/>
    </row>
    <row r="6" spans="1:32" x14ac:dyDescent="0.3">
      <c r="A6" s="432" t="s">
        <v>156</v>
      </c>
      <c r="B6" s="169">
        <f>'Budget assumption'!R37</f>
        <v>3299.7014730591673</v>
      </c>
      <c r="C6" s="169">
        <f>'Budget assumption'!R70</f>
        <v>-6.1556499893964656</v>
      </c>
      <c r="D6" s="169">
        <f>'Budget assumption'!R118</f>
        <v>-84.246273811000009</v>
      </c>
      <c r="E6" s="169">
        <f>'Budget assumption'!R149</f>
        <v>-210.56221061946906</v>
      </c>
      <c r="F6" s="169">
        <f>'Budget assumption'!R180</f>
        <v>178.26413441986557</v>
      </c>
      <c r="G6" s="169">
        <f>'Budget assumption'!R242+'Budget assumption'!R273</f>
        <v>-48.001473059166813</v>
      </c>
      <c r="H6" s="169">
        <f>'Budget assumption'!R211</f>
        <v>3129</v>
      </c>
      <c r="I6" s="169"/>
      <c r="J6" s="89">
        <f>H6-SUM(B6:G6)</f>
        <v>0</v>
      </c>
      <c r="K6" s="169">
        <f>'data entry '!R84</f>
        <v>2737.3597956140366</v>
      </c>
      <c r="L6" s="68"/>
      <c r="M6" s="169">
        <f>'data entry '!R117</f>
        <v>2418.8815776144902</v>
      </c>
      <c r="N6" s="68"/>
      <c r="O6" s="169">
        <f>M6-K6</f>
        <v>-318.47821799954636</v>
      </c>
      <c r="P6" s="39"/>
      <c r="Q6" s="169">
        <f>M6-K6-E6-F6-D6-G6</f>
        <v>-153.93239492977605</v>
      </c>
      <c r="R6" s="169"/>
      <c r="S6" s="169">
        <f>Q6+R6</f>
        <v>-153.93239492977605</v>
      </c>
      <c r="T6" s="39"/>
      <c r="U6" s="39"/>
      <c r="V6" s="169">
        <f>M6-K6</f>
        <v>-318.47821799954636</v>
      </c>
      <c r="W6" s="169"/>
      <c r="X6" s="169">
        <f>V6+W6</f>
        <v>-318.47821799954636</v>
      </c>
      <c r="Y6" s="39"/>
      <c r="Z6" s="39"/>
      <c r="AA6" s="39"/>
      <c r="AB6" s="39"/>
      <c r="AC6" s="39"/>
    </row>
    <row r="7" spans="1:32" x14ac:dyDescent="0.3">
      <c r="A7" s="432" t="s">
        <v>75</v>
      </c>
      <c r="B7" s="169">
        <f>'Budget assumption'!R38</f>
        <v>223.63568145855544</v>
      </c>
      <c r="C7" s="169">
        <f>'Budget assumption'!R71</f>
        <v>-0.41719621954852926</v>
      </c>
      <c r="D7" s="169">
        <f>'Budget assumption'!R119</f>
        <v>0</v>
      </c>
      <c r="E7" s="169">
        <f>'Budget assumption'!R150</f>
        <v>0</v>
      </c>
      <c r="F7" s="169">
        <f>'Budget assumption'!R181</f>
        <v>-16.013367808942071</v>
      </c>
      <c r="G7" s="169">
        <f>'Budget assumption'!R243+'Budget assumption'!R274</f>
        <v>2.3643185414445718</v>
      </c>
      <c r="H7" s="169">
        <f>'Budget assumption'!R212</f>
        <v>209.56943597150939</v>
      </c>
      <c r="I7" s="169"/>
      <c r="J7" s="89">
        <f t="shared" ref="J7:J32" si="0">H7-SUM(B7:G7)</f>
        <v>0</v>
      </c>
      <c r="K7" s="169">
        <f>'data entry '!R85</f>
        <v>182.02347964912298</v>
      </c>
      <c r="L7" s="68"/>
      <c r="M7" s="169">
        <f>'data entry '!R118</f>
        <v>151.60735</v>
      </c>
      <c r="N7" s="68"/>
      <c r="O7" s="169">
        <f t="shared" ref="O7:O32" si="1">M7-K7</f>
        <v>-30.416129649122979</v>
      </c>
      <c r="P7" s="39"/>
      <c r="Q7" s="169">
        <f t="shared" ref="Q7:Q31" si="2">M7-K7-E7-F7-D7-G7</f>
        <v>-16.76708038162548</v>
      </c>
      <c r="R7" s="169"/>
      <c r="S7" s="169">
        <f t="shared" ref="S7:S32" si="3">Q7+R7</f>
        <v>-16.76708038162548</v>
      </c>
      <c r="T7" s="39"/>
      <c r="U7" s="39"/>
      <c r="V7" s="169">
        <f t="shared" ref="V7:V8" si="4">M7-K7</f>
        <v>-30.416129649122979</v>
      </c>
      <c r="W7" s="169"/>
      <c r="X7" s="169">
        <f t="shared" ref="X7:X8" si="5">V7+W7</f>
        <v>-30.416129649122979</v>
      </c>
      <c r="Y7" s="39"/>
      <c r="Z7" s="39"/>
      <c r="AA7" s="39"/>
      <c r="AB7" s="39"/>
      <c r="AC7" s="39"/>
    </row>
    <row r="8" spans="1:32" x14ac:dyDescent="0.3">
      <c r="A8" s="433" t="s">
        <v>195</v>
      </c>
      <c r="B8" s="169">
        <f>'Budget assumption'!R39</f>
        <v>101.93916456946422</v>
      </c>
      <c r="C8" s="169">
        <f>'Budget assumption'!R72</f>
        <v>-0.19016926907614362</v>
      </c>
      <c r="D8" s="169">
        <f>'Budget assumption'!R120</f>
        <v>-6</v>
      </c>
      <c r="E8" s="169">
        <f>'Budget assumption'!R151</f>
        <v>0</v>
      </c>
      <c r="F8" s="169">
        <f>'Budget assumption'!R182</f>
        <v>-0.38883073092386056</v>
      </c>
      <c r="G8" s="169">
        <f>'Budget assumption'!R244+'Budget assumption'!R275</f>
        <v>8.3543053578516435E-4</v>
      </c>
      <c r="H8" s="169">
        <f>'Budget assumption'!R213</f>
        <v>95.361000000000004</v>
      </c>
      <c r="I8" s="169"/>
      <c r="J8" s="89">
        <f t="shared" si="0"/>
        <v>0</v>
      </c>
      <c r="K8" s="169">
        <f>'data entry '!R86</f>
        <v>77.826839298245616</v>
      </c>
      <c r="L8" s="68"/>
      <c r="M8" s="169">
        <f>'data entry '!R119</f>
        <v>113.14721</v>
      </c>
      <c r="N8" s="68"/>
      <c r="O8" s="169">
        <f t="shared" si="1"/>
        <v>35.320370701754385</v>
      </c>
      <c r="P8" s="39"/>
      <c r="Q8" s="169">
        <f t="shared" si="2"/>
        <v>41.708366002142455</v>
      </c>
      <c r="R8" s="169"/>
      <c r="S8" s="169">
        <f t="shared" si="3"/>
        <v>41.708366002142455</v>
      </c>
      <c r="T8" s="39"/>
      <c r="U8" s="39"/>
      <c r="V8" s="169">
        <f t="shared" si="4"/>
        <v>35.320370701754385</v>
      </c>
      <c r="W8" s="169"/>
      <c r="X8" s="169">
        <f t="shared" si="5"/>
        <v>35.320370701754385</v>
      </c>
      <c r="Y8" s="39"/>
      <c r="Z8" s="39"/>
      <c r="AA8" s="39"/>
      <c r="AB8" s="39"/>
      <c r="AC8" s="39"/>
    </row>
    <row r="9" spans="1:32" ht="15" thickBot="1" x14ac:dyDescent="0.35">
      <c r="A9" s="435" t="s">
        <v>196</v>
      </c>
      <c r="B9" s="486">
        <f>SUM(B6:B8)</f>
        <v>3625.2763190871869</v>
      </c>
      <c r="C9" s="486">
        <f t="shared" ref="C9:O9" si="6">SUM(C6:C8)</f>
        <v>-6.7630154780211384</v>
      </c>
      <c r="D9" s="486">
        <f t="shared" si="6"/>
        <v>-90.246273811000009</v>
      </c>
      <c r="E9" s="486">
        <f t="shared" si="6"/>
        <v>-210.56221061946906</v>
      </c>
      <c r="F9" s="486">
        <f t="shared" si="6"/>
        <v>161.86193587999963</v>
      </c>
      <c r="G9" s="486">
        <f t="shared" si="6"/>
        <v>-45.63631908718645</v>
      </c>
      <c r="H9" s="486">
        <f>SUM(H6:H8)</f>
        <v>3433.9304359715093</v>
      </c>
      <c r="I9" s="486">
        <f t="shared" si="6"/>
        <v>0</v>
      </c>
      <c r="J9" s="89">
        <f t="shared" si="0"/>
        <v>0</v>
      </c>
      <c r="K9" s="486">
        <f t="shared" si="6"/>
        <v>2997.2101145614051</v>
      </c>
      <c r="L9" s="68"/>
      <c r="M9" s="486">
        <f t="shared" si="6"/>
        <v>2683.6361376144905</v>
      </c>
      <c r="N9" s="68"/>
      <c r="O9" s="486">
        <f t="shared" si="6"/>
        <v>-313.57397694691497</v>
      </c>
      <c r="P9" s="39"/>
      <c r="Q9" s="486">
        <f>SUM(Q6:Q8)</f>
        <v>-128.99110930925906</v>
      </c>
      <c r="R9" s="486">
        <f>SUM(R6:R8)</f>
        <v>0</v>
      </c>
      <c r="S9" s="486">
        <f t="shared" ref="S9" si="7">SUM(S6:S8)</f>
        <v>-128.99110930925906</v>
      </c>
      <c r="T9" s="39"/>
      <c r="U9" s="39"/>
      <c r="V9" s="486">
        <f>SUM(V6:V8)</f>
        <v>-313.57397694691497</v>
      </c>
      <c r="W9" s="486">
        <f t="shared" ref="W9" si="8">SUM(W6:W8)</f>
        <v>0</v>
      </c>
      <c r="X9" s="486">
        <f>SUM(X6:X8)</f>
        <v>-313.57397694691497</v>
      </c>
      <c r="Y9" s="39"/>
      <c r="Z9" s="39"/>
      <c r="AA9" s="39"/>
      <c r="AB9" s="39"/>
      <c r="AC9" s="39"/>
    </row>
    <row r="10" spans="1:32" x14ac:dyDescent="0.3">
      <c r="A10" s="434" t="s">
        <v>80</v>
      </c>
      <c r="B10" s="169">
        <f>'Budget assumption'!R41</f>
        <v>1294.2312968348433</v>
      </c>
      <c r="C10" s="488"/>
      <c r="D10" s="169">
        <f>'Budget assumption'!R122</f>
        <v>0</v>
      </c>
      <c r="E10" s="169">
        <f>'Budget assumption'!R153</f>
        <v>-252</v>
      </c>
      <c r="F10" s="169">
        <f>'Budget assumption'!R184</f>
        <v>210.34134035244034</v>
      </c>
      <c r="G10" s="169">
        <f>'Budget assumption'!R246+'Budget assumption'!R277</f>
        <v>12.148703165156803</v>
      </c>
      <c r="H10" s="169">
        <f>'Budget assumption'!R215</f>
        <v>1264.7213403524402</v>
      </c>
      <c r="I10" s="169">
        <f>'Budget assumption'!R323</f>
        <v>2.4144107985781034</v>
      </c>
      <c r="J10" s="89">
        <f t="shared" si="0"/>
        <v>0</v>
      </c>
      <c r="K10" s="169">
        <f>'data entry '!R88</f>
        <v>1082.32429631579</v>
      </c>
      <c r="L10" s="68"/>
      <c r="M10" s="169">
        <f>'data entry '!R121</f>
        <v>1325.2768223855101</v>
      </c>
      <c r="N10" s="68"/>
      <c r="O10" s="169">
        <f t="shared" si="1"/>
        <v>242.95252606972008</v>
      </c>
      <c r="P10" s="39"/>
      <c r="Q10" s="169">
        <f>M10-H10</f>
        <v>60.555482033069893</v>
      </c>
      <c r="R10" s="169">
        <f>H10-K10-E10-I10-F10-G10-D10</f>
        <v>209.49258972047494</v>
      </c>
      <c r="S10" s="169">
        <f t="shared" si="3"/>
        <v>270.04807175354483</v>
      </c>
      <c r="T10" s="39"/>
      <c r="U10" s="39"/>
      <c r="V10" s="169">
        <f>M10-B10</f>
        <v>31.045525550666753</v>
      </c>
      <c r="W10" s="169">
        <f>B10-K10</f>
        <v>211.90700051905333</v>
      </c>
      <c r="X10" s="169">
        <f t="shared" ref="X10:X15" si="9">V10+W10</f>
        <v>242.95252606972008</v>
      </c>
      <c r="Y10" s="39"/>
      <c r="Z10" s="39"/>
      <c r="AA10" s="39"/>
      <c r="AB10" s="39"/>
      <c r="AC10" s="39"/>
    </row>
    <row r="11" spans="1:32" x14ac:dyDescent="0.3">
      <c r="A11" s="433" t="s">
        <v>81</v>
      </c>
      <c r="B11" s="169">
        <f>'Budget assumption'!R42</f>
        <v>468.1468936440308</v>
      </c>
      <c r="C11" s="488"/>
      <c r="D11" s="169">
        <f>'Budget assumption'!R123</f>
        <v>0</v>
      </c>
      <c r="E11" s="169">
        <f>'Budget assumption'!R154</f>
        <v>43</v>
      </c>
      <c r="F11" s="169">
        <f>'Budget assumption'!R185</f>
        <v>66.498087662848476</v>
      </c>
      <c r="G11" s="169">
        <f>'Budget assumption'!R247+'Budget assumption'!R278</f>
        <v>67.263106355969242</v>
      </c>
      <c r="H11" s="169">
        <f>'Budget assumption'!R216</f>
        <v>644.90808766284852</v>
      </c>
      <c r="I11" s="169">
        <f>'Budget assumption'!R324</f>
        <v>0.87333610159110364</v>
      </c>
      <c r="J11" s="89">
        <f t="shared" si="0"/>
        <v>0</v>
      </c>
      <c r="K11" s="169">
        <f>'data entry '!R89</f>
        <v>382.92250947368439</v>
      </c>
      <c r="L11" s="69"/>
      <c r="M11" s="169">
        <f>'data entry '!R122</f>
        <v>636.09685000000002</v>
      </c>
      <c r="N11" s="69"/>
      <c r="O11" s="169">
        <f t="shared" si="1"/>
        <v>253.17434052631563</v>
      </c>
      <c r="P11" s="39"/>
      <c r="Q11" s="169">
        <f t="shared" ref="Q11:Q15" si="10">M11-H11</f>
        <v>-8.8112376628484981</v>
      </c>
      <c r="R11" s="169">
        <f t="shared" ref="R11:R15" si="11">H11-K11-E11-I11-F11-G11-D11</f>
        <v>84.351048068755333</v>
      </c>
      <c r="S11" s="169">
        <f t="shared" si="3"/>
        <v>75.539810405906834</v>
      </c>
      <c r="T11" s="39"/>
      <c r="U11" s="39"/>
      <c r="V11" s="169">
        <f t="shared" ref="V11:V15" si="12">M11-B11</f>
        <v>167.94995635596922</v>
      </c>
      <c r="W11" s="169">
        <f t="shared" ref="W11:W15" si="13">B11-K11</f>
        <v>85.224384170346411</v>
      </c>
      <c r="X11" s="169">
        <f t="shared" si="9"/>
        <v>253.17434052631563</v>
      </c>
      <c r="Y11" s="39"/>
      <c r="Z11" s="39"/>
      <c r="AA11" s="39"/>
      <c r="AB11" s="39"/>
      <c r="AC11" s="39"/>
      <c r="AD11" s="39"/>
      <c r="AE11" s="39"/>
      <c r="AF11" s="39"/>
    </row>
    <row r="12" spans="1:32" x14ac:dyDescent="0.3">
      <c r="A12" s="433" t="s">
        <v>82</v>
      </c>
      <c r="B12" s="169">
        <f>'Budget assumption'!R43</f>
        <v>903.8279073009337</v>
      </c>
      <c r="C12" s="488"/>
      <c r="D12" s="169">
        <f>'Budget assumption'!R124</f>
        <v>0</v>
      </c>
      <c r="E12" s="169">
        <f>'Budget assumption'!R155</f>
        <v>-74.444011339150734</v>
      </c>
      <c r="F12" s="169">
        <f>'Budget assumption'!R186</f>
        <v>193.42678105224192</v>
      </c>
      <c r="G12" s="169">
        <f>'Budget assumption'!R248+'Budget assumption'!R279</f>
        <v>38.042092699066387</v>
      </c>
      <c r="H12" s="169">
        <f>'Budget assumption'!R217</f>
        <v>1060.8527697130912</v>
      </c>
      <c r="I12" s="169">
        <f>'Budget assumption'!R325</f>
        <v>1.6861065443096734</v>
      </c>
      <c r="J12" s="89">
        <f t="shared" si="0"/>
        <v>0</v>
      </c>
      <c r="K12" s="169">
        <f>'data entry '!R90</f>
        <v>741.73198929824559</v>
      </c>
      <c r="L12" s="68"/>
      <c r="M12" s="169">
        <f>'data entry '!R123</f>
        <v>906.21602000000007</v>
      </c>
      <c r="N12" s="68"/>
      <c r="O12" s="169">
        <f t="shared" si="1"/>
        <v>164.48403070175448</v>
      </c>
      <c r="P12" s="39"/>
      <c r="Q12" s="169">
        <f t="shared" si="10"/>
        <v>-154.63674971309115</v>
      </c>
      <c r="R12" s="169">
        <f t="shared" si="11"/>
        <v>160.40981145837839</v>
      </c>
      <c r="S12" s="169">
        <f t="shared" si="3"/>
        <v>5.7730617452872366</v>
      </c>
      <c r="T12" s="39"/>
      <c r="U12" s="39"/>
      <c r="V12" s="169">
        <f t="shared" si="12"/>
        <v>2.3881126990663688</v>
      </c>
      <c r="W12" s="169">
        <f t="shared" si="13"/>
        <v>162.09591800268811</v>
      </c>
      <c r="X12" s="169">
        <f t="shared" si="9"/>
        <v>164.48403070175448</v>
      </c>
      <c r="Y12" s="39"/>
      <c r="Z12" s="39"/>
      <c r="AA12" s="39"/>
      <c r="AB12" s="39"/>
      <c r="AC12" s="39"/>
    </row>
    <row r="13" spans="1:32" x14ac:dyDescent="0.3">
      <c r="A13" s="433" t="s">
        <v>83</v>
      </c>
      <c r="B13" s="169">
        <f>'Budget assumption'!R44</f>
        <v>57.500174251940123</v>
      </c>
      <c r="C13" s="488"/>
      <c r="D13" s="169">
        <f>'Budget assumption'!R125</f>
        <v>-6.6</v>
      </c>
      <c r="E13" s="169">
        <f>'Budget assumption'!R156</f>
        <v>-12</v>
      </c>
      <c r="F13" s="169">
        <f>'Budget assumption'!R187</f>
        <v>-4.9000000000000004</v>
      </c>
      <c r="G13" s="169">
        <f>'Budget assumption'!R249+'Budget assumption'!R280</f>
        <v>-2.0001742519401251</v>
      </c>
      <c r="H13" s="169">
        <f>'Budget assumption'!R218</f>
        <v>32</v>
      </c>
      <c r="I13" s="169">
        <f>'Budget assumption'!R326</f>
        <v>0.10726756644930946</v>
      </c>
      <c r="J13" s="89">
        <f t="shared" si="0"/>
        <v>0</v>
      </c>
      <c r="K13" s="169">
        <f>'data entry '!R91</f>
        <v>40.771032456140333</v>
      </c>
      <c r="L13" s="68"/>
      <c r="M13" s="169">
        <f>'data entry '!R124</f>
        <v>16.256550000000001</v>
      </c>
      <c r="N13" s="68"/>
      <c r="O13" s="169">
        <f t="shared" si="1"/>
        <v>-24.514482456140332</v>
      </c>
      <c r="P13" s="39"/>
      <c r="Q13" s="169">
        <f t="shared" si="10"/>
        <v>-15.743449999999999</v>
      </c>
      <c r="R13" s="169">
        <f>H13-K13-E13-I13-F13-G13-D13</f>
        <v>16.621874229350482</v>
      </c>
      <c r="S13" s="169">
        <f t="shared" si="3"/>
        <v>0.87842422935048248</v>
      </c>
      <c r="T13" s="39"/>
      <c r="U13" s="39"/>
      <c r="V13" s="169">
        <f t="shared" si="12"/>
        <v>-41.243624251940119</v>
      </c>
      <c r="W13" s="169">
        <f t="shared" si="13"/>
        <v>16.729141795799791</v>
      </c>
      <c r="X13" s="169">
        <f t="shared" si="9"/>
        <v>-24.514482456140328</v>
      </c>
      <c r="Y13" s="39"/>
      <c r="Z13" s="39"/>
      <c r="AA13" s="39"/>
      <c r="AB13" s="39"/>
      <c r="AC13" s="39"/>
    </row>
    <row r="14" spans="1:32" x14ac:dyDescent="0.3">
      <c r="A14" s="433" t="s">
        <v>84</v>
      </c>
      <c r="B14" s="169">
        <f>'Budget assumption'!R45</f>
        <v>201.74143859435776</v>
      </c>
      <c r="C14" s="488"/>
      <c r="D14" s="169">
        <f>'Budget assumption'!R126</f>
        <v>0</v>
      </c>
      <c r="E14" s="169">
        <f>'Budget assumption'!R157</f>
        <v>0</v>
      </c>
      <c r="F14" s="169">
        <f>'Budget assumption'!R188</f>
        <v>28.065266238770874</v>
      </c>
      <c r="G14" s="169">
        <f>'Budget assumption'!R250+'Budget assumption'!R281</f>
        <v>32.804201405642267</v>
      </c>
      <c r="H14" s="169">
        <f>'Budget assumption'!R219</f>
        <v>262.61090623877089</v>
      </c>
      <c r="I14" s="169">
        <f>'Budget assumption'!R327</f>
        <v>0.37635213199844131</v>
      </c>
      <c r="J14" s="89">
        <f t="shared" si="0"/>
        <v>0</v>
      </c>
      <c r="K14" s="169">
        <f>'data entry '!R92</f>
        <v>189.24151701754388</v>
      </c>
      <c r="L14" s="68"/>
      <c r="M14" s="169">
        <f>'data entry '!R125</f>
        <v>205.53572</v>
      </c>
      <c r="N14" s="68"/>
      <c r="O14" s="169">
        <f t="shared" si="1"/>
        <v>16.294202982456113</v>
      </c>
      <c r="P14" s="39"/>
      <c r="Q14" s="169">
        <f t="shared" si="10"/>
        <v>-57.075186238770897</v>
      </c>
      <c r="R14" s="169">
        <f t="shared" si="11"/>
        <v>12.123569444815423</v>
      </c>
      <c r="S14" s="169">
        <f t="shared" si="3"/>
        <v>-44.951616793955473</v>
      </c>
      <c r="T14" s="39"/>
      <c r="U14" s="39"/>
      <c r="V14" s="169">
        <f t="shared" si="12"/>
        <v>3.7942814056422378</v>
      </c>
      <c r="W14" s="169">
        <f t="shared" si="13"/>
        <v>12.499921576813875</v>
      </c>
      <c r="X14" s="169">
        <f t="shared" si="9"/>
        <v>16.294202982456113</v>
      </c>
      <c r="Y14" s="39"/>
      <c r="Z14" s="39"/>
      <c r="AA14" s="39"/>
      <c r="AB14" s="39"/>
      <c r="AC14" s="39"/>
    </row>
    <row r="15" spans="1:32" x14ac:dyDescent="0.3">
      <c r="A15" s="433" t="s">
        <v>86</v>
      </c>
      <c r="B15" s="169">
        <f>'Budget assumption'!R46</f>
        <v>789.85015830257248</v>
      </c>
      <c r="C15" s="488"/>
      <c r="D15" s="169">
        <f>'Budget assumption'!R127</f>
        <v>0</v>
      </c>
      <c r="E15" s="169">
        <f>'Budget assumption'!R158</f>
        <v>-15.755919999992329</v>
      </c>
      <c r="F15" s="169">
        <f>'Budget assumption'!R189</f>
        <v>1.199999999244028E-3</v>
      </c>
      <c r="G15" s="169">
        <f>'Budget assumption'!R251+'Budget assumption'!R282</f>
        <v>161.23379057013966</v>
      </c>
      <c r="H15" s="169">
        <f>'Budget assumption'!R220</f>
        <v>935.329228872719</v>
      </c>
      <c r="I15" s="169">
        <f>'Budget assumption'!R329</f>
        <v>1.4734790884196229</v>
      </c>
      <c r="J15" s="89">
        <f t="shared" si="0"/>
        <v>0</v>
      </c>
      <c r="K15" s="169">
        <f>'data entry '!R93</f>
        <v>2491.3283210526306</v>
      </c>
      <c r="L15" s="68"/>
      <c r="M15" s="169">
        <f>'data entry '!R126</f>
        <v>748.35690694411619</v>
      </c>
      <c r="N15" s="68"/>
      <c r="O15" s="169">
        <f t="shared" si="1"/>
        <v>-1742.9714141085144</v>
      </c>
      <c r="P15" s="39"/>
      <c r="Q15" s="169">
        <f t="shared" si="10"/>
        <v>-186.97232192860281</v>
      </c>
      <c r="R15" s="169">
        <f t="shared" si="11"/>
        <v>-1702.9516418384781</v>
      </c>
      <c r="S15" s="169">
        <f t="shared" si="3"/>
        <v>-1889.9239637670807</v>
      </c>
      <c r="T15" s="39"/>
      <c r="U15" s="39"/>
      <c r="V15" s="169">
        <f t="shared" si="12"/>
        <v>-41.493251358456291</v>
      </c>
      <c r="W15" s="169">
        <f t="shared" si="13"/>
        <v>-1701.4781627500581</v>
      </c>
      <c r="X15" s="169">
        <f t="shared" si="9"/>
        <v>-1742.9714141085144</v>
      </c>
      <c r="Y15" s="39"/>
      <c r="Z15" s="39"/>
      <c r="AA15" s="39"/>
      <c r="AB15" s="39"/>
      <c r="AC15" s="39"/>
    </row>
    <row r="16" spans="1:32" ht="15" thickBot="1" x14ac:dyDescent="0.35">
      <c r="A16" s="435" t="s">
        <v>197</v>
      </c>
      <c r="B16" s="486">
        <f>SUM(B10:B15)</f>
        <v>3715.2978689286783</v>
      </c>
      <c r="C16" s="486">
        <f t="shared" ref="C16:I16" si="14">SUM(C10:C15)</f>
        <v>0</v>
      </c>
      <c r="D16" s="486">
        <f t="shared" si="14"/>
        <v>-6.6</v>
      </c>
      <c r="E16" s="486">
        <f t="shared" si="14"/>
        <v>-311.19993133914306</v>
      </c>
      <c r="F16" s="486">
        <f t="shared" si="14"/>
        <v>493.43267530630089</v>
      </c>
      <c r="G16" s="486">
        <f t="shared" si="14"/>
        <v>309.49171994403423</v>
      </c>
      <c r="H16" s="486">
        <f>SUM(H10:H15)</f>
        <v>4200.4223328398703</v>
      </c>
      <c r="I16" s="486">
        <f t="shared" si="14"/>
        <v>6.9309522313462537</v>
      </c>
      <c r="J16" s="89">
        <f t="shared" si="0"/>
        <v>0</v>
      </c>
      <c r="K16" s="486">
        <f>SUM(K10:K15)</f>
        <v>4928.3196656140353</v>
      </c>
      <c r="L16" s="68"/>
      <c r="M16" s="486">
        <f>SUM(M10:M15)</f>
        <v>3837.7388693296261</v>
      </c>
      <c r="N16" s="68"/>
      <c r="O16" s="486">
        <f t="shared" si="1"/>
        <v>-1090.5807962844092</v>
      </c>
      <c r="P16" s="39"/>
      <c r="Q16" s="486">
        <f>SUM(Q10:Q15)</f>
        <v>-362.68346351024343</v>
      </c>
      <c r="R16" s="486">
        <f t="shared" ref="R16" si="15">SUM(R10:R15)</f>
        <v>-1219.9527489167035</v>
      </c>
      <c r="S16" s="486">
        <f t="shared" si="3"/>
        <v>-1582.6362124269469</v>
      </c>
      <c r="T16" s="39"/>
      <c r="U16" s="39"/>
      <c r="V16" s="486">
        <f>SUM(V10:V15)</f>
        <v>122.44100040094818</v>
      </c>
      <c r="W16" s="486">
        <f t="shared" ref="W16" si="16">SUM(W10:W15)</f>
        <v>-1213.0217966853565</v>
      </c>
      <c r="X16" s="486">
        <f>SUM(X10:X15)</f>
        <v>-1090.5807962844083</v>
      </c>
      <c r="Y16" s="39"/>
      <c r="Z16" s="39"/>
      <c r="AA16" s="39"/>
      <c r="AB16" s="39"/>
      <c r="AC16" s="39"/>
    </row>
    <row r="17" spans="1:33" ht="21.45" customHeight="1" x14ac:dyDescent="0.3">
      <c r="A17" s="436" t="s">
        <v>88</v>
      </c>
      <c r="B17" s="487">
        <f>B9+B16</f>
        <v>7340.5741880158657</v>
      </c>
      <c r="C17" s="487">
        <f t="shared" ref="C17:I17" si="17">C9+C16</f>
        <v>-6.7630154780211384</v>
      </c>
      <c r="D17" s="487">
        <f t="shared" si="17"/>
        <v>-96.846273811000003</v>
      </c>
      <c r="E17" s="487">
        <f t="shared" si="17"/>
        <v>-521.76214195861212</v>
      </c>
      <c r="F17" s="487">
        <f t="shared" si="17"/>
        <v>655.29461118630047</v>
      </c>
      <c r="G17" s="487">
        <f t="shared" si="17"/>
        <v>263.85540085684778</v>
      </c>
      <c r="H17" s="487">
        <f t="shared" si="17"/>
        <v>7634.3527688113791</v>
      </c>
      <c r="I17" s="487">
        <f t="shared" si="17"/>
        <v>6.9309522313462537</v>
      </c>
      <c r="J17" s="89">
        <f t="shared" si="0"/>
        <v>0</v>
      </c>
      <c r="K17" s="487">
        <f>K9+K16</f>
        <v>7925.5297801754405</v>
      </c>
      <c r="L17" s="68"/>
      <c r="M17" s="487">
        <f>M9+M16</f>
        <v>6521.3750069441166</v>
      </c>
      <c r="N17" s="68"/>
      <c r="O17" s="487">
        <f t="shared" si="1"/>
        <v>-1404.1547732313238</v>
      </c>
      <c r="P17" s="39"/>
      <c r="Q17" s="487">
        <f>Q9+Q16</f>
        <v>-491.67457281950249</v>
      </c>
      <c r="R17" s="487">
        <f t="shared" ref="R17" si="18">R9+R16</f>
        <v>-1219.9527489167035</v>
      </c>
      <c r="S17" s="487">
        <f t="shared" si="3"/>
        <v>-1711.6273217362059</v>
      </c>
      <c r="T17" s="39"/>
      <c r="U17" s="39"/>
      <c r="V17" s="487">
        <f>V9+V16</f>
        <v>-191.13297654596678</v>
      </c>
      <c r="W17" s="487">
        <f t="shared" ref="W17:X17" si="19">W9+W16</f>
        <v>-1213.0217966853565</v>
      </c>
      <c r="X17" s="487">
        <f t="shared" si="19"/>
        <v>-1404.1547732313234</v>
      </c>
      <c r="Y17" s="39"/>
      <c r="Z17" s="39"/>
      <c r="AA17" s="39"/>
      <c r="AB17" s="39"/>
      <c r="AC17" s="39"/>
    </row>
    <row r="18" spans="1:33" x14ac:dyDescent="0.3">
      <c r="A18" s="433" t="s">
        <v>89</v>
      </c>
      <c r="B18" s="169">
        <f>'Budget assumption'!R49</f>
        <v>51.852822807280319</v>
      </c>
      <c r="C18" s="488"/>
      <c r="D18" s="169">
        <f>'Budget assumption'!R130</f>
        <v>0</v>
      </c>
      <c r="E18" s="169">
        <f>'Budget assumption'!R161</f>
        <v>0</v>
      </c>
      <c r="F18" s="169">
        <f>'Budget assumption'!R192</f>
        <v>0</v>
      </c>
      <c r="G18" s="169">
        <f>'Budget assumption'!R254+'Budget assumption'!R285</f>
        <v>73.482906727467309</v>
      </c>
      <c r="H18" s="169">
        <f>'Budget assumption'!R223</f>
        <v>125.33572953474766</v>
      </c>
      <c r="I18" s="169">
        <f>+'Budget assumption'!R331</f>
        <v>9.6732334961167954E-2</v>
      </c>
      <c r="J18" s="89">
        <f t="shared" si="0"/>
        <v>0</v>
      </c>
      <c r="K18" s="169">
        <f>'data entry '!R96</f>
        <v>0</v>
      </c>
      <c r="L18" s="68"/>
      <c r="M18" s="169">
        <f>'data entry '!R129</f>
        <v>102.43459</v>
      </c>
      <c r="N18" s="68"/>
      <c r="O18" s="169">
        <f t="shared" si="1"/>
        <v>102.43459</v>
      </c>
      <c r="P18" s="39"/>
      <c r="Q18" s="169">
        <f t="shared" ref="Q18" si="20">M18-H18</f>
        <v>-22.901139534747657</v>
      </c>
      <c r="R18" s="169">
        <f>H18-K18-E18-I18-F18-G18-D18</f>
        <v>51.756090472319173</v>
      </c>
      <c r="S18" s="169">
        <f t="shared" si="3"/>
        <v>28.854950937571516</v>
      </c>
      <c r="T18" s="39"/>
      <c r="U18" s="39"/>
      <c r="V18" s="169">
        <f t="shared" ref="V18" si="21">M18-B18</f>
        <v>50.581767192719681</v>
      </c>
      <c r="W18" s="169">
        <f t="shared" ref="W18" si="22">B18-K18</f>
        <v>51.852822807280319</v>
      </c>
      <c r="X18" s="169">
        <f>V18+W18</f>
        <v>102.43459</v>
      </c>
      <c r="Y18" s="39"/>
      <c r="Z18" s="39"/>
      <c r="AA18" s="39"/>
      <c r="AB18" s="39"/>
      <c r="AC18" s="39"/>
    </row>
    <row r="19" spans="1:33" ht="19.95" customHeight="1" x14ac:dyDescent="0.3">
      <c r="A19" s="436" t="s">
        <v>90</v>
      </c>
      <c r="B19" s="487">
        <f>B17+B18</f>
        <v>7392.4270108231458</v>
      </c>
      <c r="C19" s="487">
        <f t="shared" ref="C19:I19" si="23">C17+C18</f>
        <v>-6.7630154780211384</v>
      </c>
      <c r="D19" s="487">
        <f t="shared" si="23"/>
        <v>-96.846273811000003</v>
      </c>
      <c r="E19" s="487">
        <f t="shared" si="23"/>
        <v>-521.76214195861212</v>
      </c>
      <c r="F19" s="487">
        <f t="shared" si="23"/>
        <v>655.29461118630047</v>
      </c>
      <c r="G19" s="487">
        <f t="shared" si="23"/>
        <v>337.33830758431509</v>
      </c>
      <c r="H19" s="487">
        <f t="shared" si="23"/>
        <v>7759.6884983461268</v>
      </c>
      <c r="I19" s="487">
        <f t="shared" si="23"/>
        <v>7.0276845663074212</v>
      </c>
      <c r="J19" s="89">
        <f t="shared" si="0"/>
        <v>0</v>
      </c>
      <c r="K19" s="487">
        <f>K17+K18</f>
        <v>7925.5297801754405</v>
      </c>
      <c r="L19" s="39"/>
      <c r="M19" s="487">
        <f>M17+M18</f>
        <v>6623.8095969441165</v>
      </c>
      <c r="N19" s="39"/>
      <c r="O19" s="487">
        <f>O17+O18</f>
        <v>-1301.7201832313237</v>
      </c>
      <c r="P19" s="39"/>
      <c r="Q19" s="487">
        <f>Q17+Q18</f>
        <v>-514.57571235425019</v>
      </c>
      <c r="R19" s="487">
        <f t="shared" ref="R19" si="24">R17+R18</f>
        <v>-1168.1966584443844</v>
      </c>
      <c r="S19" s="487">
        <f t="shared" si="3"/>
        <v>-1682.7723707986347</v>
      </c>
      <c r="T19" s="39"/>
      <c r="U19" s="39"/>
      <c r="V19" s="487">
        <f t="shared" ref="V19:X19" si="25">V17+V18</f>
        <v>-140.55120935324709</v>
      </c>
      <c r="W19" s="487">
        <f t="shared" si="25"/>
        <v>-1161.1689738780763</v>
      </c>
      <c r="X19" s="487">
        <f t="shared" si="25"/>
        <v>-1301.7201832313233</v>
      </c>
      <c r="Y19" s="39"/>
      <c r="Z19" s="39"/>
      <c r="AA19" s="39"/>
      <c r="AB19" s="39"/>
      <c r="AC19" s="39"/>
      <c r="AD19" s="39"/>
      <c r="AE19" s="39"/>
      <c r="AF19" s="39"/>
      <c r="AG19" s="39"/>
    </row>
    <row r="20" spans="1:33" x14ac:dyDescent="0.3">
      <c r="A20" s="433" t="s">
        <v>91</v>
      </c>
      <c r="B20" s="169">
        <f>'Budget assumption'!R51</f>
        <v>2171.0690614639743</v>
      </c>
      <c r="C20" s="488"/>
      <c r="D20" s="169">
        <f>'Budget assumption'!R132</f>
        <v>0</v>
      </c>
      <c r="E20" s="169">
        <f>'Budget assumption'!R163</f>
        <v>0</v>
      </c>
      <c r="F20" s="169">
        <f>'Budget assumption'!R194</f>
        <v>0</v>
      </c>
      <c r="G20" s="169">
        <f>'Budget assumption'!R256+'Budget assumption'!R287</f>
        <v>307.11698966331352</v>
      </c>
      <c r="H20" s="169">
        <f>'Budget assumption'!R225</f>
        <v>2478.186051127288</v>
      </c>
      <c r="I20" s="169">
        <f>'Budget assumption'!R333</f>
        <v>4.0501667663862122</v>
      </c>
      <c r="J20" s="89">
        <f t="shared" si="0"/>
        <v>0</v>
      </c>
      <c r="K20" s="169">
        <f>'data entry '!R98</f>
        <v>0</v>
      </c>
      <c r="L20" s="68"/>
      <c r="M20" s="169">
        <f>'data entry '!R131</f>
        <v>1802.1403430558842</v>
      </c>
      <c r="N20" s="68"/>
      <c r="O20" s="169">
        <f t="shared" si="1"/>
        <v>1802.1403430558842</v>
      </c>
      <c r="P20" s="39"/>
      <c r="Q20" s="169">
        <f t="shared" ref="Q20" si="26">M20-H20</f>
        <v>-676.04570807140385</v>
      </c>
      <c r="R20" s="169">
        <f>H20-K20-E20-I20-F20-G20-D20</f>
        <v>2167.0188946975882</v>
      </c>
      <c r="S20" s="169">
        <f t="shared" si="3"/>
        <v>1490.9731866261843</v>
      </c>
      <c r="T20" s="39"/>
      <c r="U20" s="39"/>
      <c r="V20" s="169">
        <f t="shared" ref="V20" si="27">M20-B20</f>
        <v>-368.92871840809016</v>
      </c>
      <c r="W20" s="169">
        <f t="shared" ref="W20" si="28">B20-K20</f>
        <v>2171.0690614639743</v>
      </c>
      <c r="X20" s="169">
        <f>V20+W20</f>
        <v>1802.1403430558842</v>
      </c>
      <c r="Y20" s="39"/>
      <c r="Z20" s="39"/>
      <c r="AA20" s="39"/>
      <c r="AB20" s="39"/>
      <c r="AC20" s="39"/>
    </row>
    <row r="21" spans="1:33" x14ac:dyDescent="0.3">
      <c r="A21" s="436" t="s">
        <v>92</v>
      </c>
      <c r="B21" s="487">
        <f>B19+B20</f>
        <v>9563.4960722871201</v>
      </c>
      <c r="C21" s="487">
        <f t="shared" ref="C21:I21" si="29">C19+C20</f>
        <v>-6.7630154780211384</v>
      </c>
      <c r="D21" s="487">
        <f t="shared" si="29"/>
        <v>-96.846273811000003</v>
      </c>
      <c r="E21" s="487">
        <f t="shared" si="29"/>
        <v>-521.76214195861212</v>
      </c>
      <c r="F21" s="487">
        <f t="shared" si="29"/>
        <v>655.29461118630047</v>
      </c>
      <c r="G21" s="487">
        <f t="shared" si="29"/>
        <v>644.45529724762855</v>
      </c>
      <c r="H21" s="487">
        <f t="shared" si="29"/>
        <v>10237.874549473414</v>
      </c>
      <c r="I21" s="487">
        <f t="shared" si="29"/>
        <v>11.077851332693633</v>
      </c>
      <c r="J21" s="89">
        <f t="shared" si="0"/>
        <v>0</v>
      </c>
      <c r="K21" s="487">
        <f>K19+K20</f>
        <v>7925.5297801754405</v>
      </c>
      <c r="L21" s="39"/>
      <c r="M21" s="487">
        <f>M19+M20</f>
        <v>8425.9499400000004</v>
      </c>
      <c r="N21" s="39"/>
      <c r="O21" s="487">
        <f t="shared" si="1"/>
        <v>500.42015982455996</v>
      </c>
      <c r="P21" s="39"/>
      <c r="Q21" s="487">
        <f>Q19+Q20</f>
        <v>-1190.6214204256539</v>
      </c>
      <c r="R21" s="487">
        <f t="shared" ref="R21" si="30">R19+R20</f>
        <v>998.82223625320376</v>
      </c>
      <c r="S21" s="487">
        <f t="shared" si="3"/>
        <v>-191.79918417245017</v>
      </c>
      <c r="T21" s="39"/>
      <c r="U21" s="39"/>
      <c r="V21" s="487">
        <f t="shared" ref="V21:X21" si="31">V19+V20</f>
        <v>-509.47992776133725</v>
      </c>
      <c r="W21" s="487">
        <f t="shared" si="31"/>
        <v>1009.9000875858981</v>
      </c>
      <c r="X21" s="487">
        <f t="shared" si="31"/>
        <v>500.42015982456087</v>
      </c>
      <c r="Y21" s="39"/>
      <c r="Z21" s="39"/>
      <c r="AA21" s="39"/>
      <c r="AB21" s="39"/>
      <c r="AC21" s="39"/>
      <c r="AD21" s="39"/>
      <c r="AE21" s="39"/>
      <c r="AF21" s="39"/>
    </row>
    <row r="22" spans="1:33" x14ac:dyDescent="0.3">
      <c r="A22" s="433" t="s">
        <v>76</v>
      </c>
      <c r="B22" s="169">
        <f>'Budget assumption'!R53</f>
        <v>145.1266552080568</v>
      </c>
      <c r="C22" s="169">
        <f>'Budget assumption'!R74</f>
        <v>-0.27073627747433449</v>
      </c>
      <c r="D22" s="169">
        <f>'Budget assumption'!R134</f>
        <v>-19.359000000000002</v>
      </c>
      <c r="E22" s="169">
        <f>'Budget assumption'!R165</f>
        <v>0</v>
      </c>
      <c r="F22" s="169">
        <f>'Budget assumption'!R196</f>
        <v>10.503081069417538</v>
      </c>
      <c r="G22" s="169">
        <f>'Budget assumption'!R258+'Budget assumption'!R289</f>
        <v>0</v>
      </c>
      <c r="H22" s="169">
        <f>'Budget assumption'!R227</f>
        <v>136</v>
      </c>
      <c r="I22" s="169"/>
      <c r="J22" s="89">
        <f t="shared" si="0"/>
        <v>0</v>
      </c>
      <c r="K22" s="169">
        <f>'data entry '!R100</f>
        <v>116.43981894736841</v>
      </c>
      <c r="L22" s="42"/>
      <c r="M22" s="169">
        <f>'data entry '!R133</f>
        <v>136.63113000000001</v>
      </c>
      <c r="N22" s="42"/>
      <c r="O22" s="169">
        <f t="shared" si="1"/>
        <v>20.191311052631605</v>
      </c>
      <c r="P22" s="39"/>
      <c r="Q22" s="169">
        <f>M22-K22-E22-F22-D22-G22</f>
        <v>29.047229983214066</v>
      </c>
      <c r="R22" s="169"/>
      <c r="S22" s="169">
        <f t="shared" si="3"/>
        <v>29.047229983214066</v>
      </c>
      <c r="T22" s="39"/>
      <c r="U22" s="39"/>
      <c r="V22" s="169">
        <f t="shared" ref="V22:V24" si="32">M22-K22</f>
        <v>20.191311052631605</v>
      </c>
      <c r="W22" s="169"/>
      <c r="X22" s="169">
        <f t="shared" ref="X22:X26" si="33">V22+W22</f>
        <v>20.191311052631605</v>
      </c>
      <c r="Y22" s="39"/>
      <c r="Z22" s="39"/>
      <c r="AA22" s="39"/>
      <c r="AB22" s="39"/>
      <c r="AC22" s="39"/>
    </row>
    <row r="23" spans="1:33" x14ac:dyDescent="0.3">
      <c r="A23" s="433" t="s">
        <v>77</v>
      </c>
      <c r="B23" s="169">
        <f>'Budget assumption'!R54</f>
        <v>-356.69999999999993</v>
      </c>
      <c r="C23" s="169">
        <f>'Budget assumption'!R75</f>
        <v>0.66542999999997221</v>
      </c>
      <c r="D23" s="169">
        <f>'Budget assumption'!R135</f>
        <v>0</v>
      </c>
      <c r="E23" s="169">
        <f>'Budget assumption'!R166</f>
        <v>0</v>
      </c>
      <c r="F23" s="169">
        <f>'Budget assumption'!R197</f>
        <v>53.034569999999938</v>
      </c>
      <c r="G23" s="169">
        <f>'Budget assumption'!R259+'Budget assumption'!R290</f>
        <v>0</v>
      </c>
      <c r="H23" s="169">
        <f>'Budget assumption'!R228</f>
        <v>-303</v>
      </c>
      <c r="I23" s="169"/>
      <c r="J23" s="89">
        <f t="shared" si="0"/>
        <v>0</v>
      </c>
      <c r="K23" s="169">
        <f>'data entry '!R101</f>
        <v>-287.44793192982456</v>
      </c>
      <c r="L23" s="42"/>
      <c r="M23" s="169">
        <f>'data entry '!R134</f>
        <v>-306.81065999999998</v>
      </c>
      <c r="N23" s="42"/>
      <c r="O23" s="169">
        <f t="shared" si="1"/>
        <v>-19.362728070175422</v>
      </c>
      <c r="P23" s="39"/>
      <c r="Q23" s="169">
        <f>M23-K23-E23-F23-D23-G23</f>
        <v>-72.397298070175367</v>
      </c>
      <c r="R23" s="169"/>
      <c r="S23" s="169">
        <f t="shared" si="3"/>
        <v>-72.397298070175367</v>
      </c>
      <c r="T23" s="39"/>
      <c r="U23" s="39"/>
      <c r="V23" s="169">
        <f t="shared" si="32"/>
        <v>-19.362728070175422</v>
      </c>
      <c r="W23" s="169"/>
      <c r="X23" s="169">
        <f t="shared" si="33"/>
        <v>-19.362728070175422</v>
      </c>
      <c r="Y23" s="39"/>
      <c r="Z23" s="39"/>
      <c r="AA23" s="39"/>
      <c r="AB23" s="39"/>
      <c r="AC23" s="39"/>
    </row>
    <row r="24" spans="1:33" x14ac:dyDescent="0.3">
      <c r="A24" s="433" t="s">
        <v>144</v>
      </c>
      <c r="B24" s="169">
        <f>'Budget assumption'!R55</f>
        <v>0</v>
      </c>
      <c r="C24" s="169">
        <f>'Budget assumption'!R76+'Budget assumption'!R291</f>
        <v>0</v>
      </c>
      <c r="D24" s="169">
        <f>'Budget assumption'!R136</f>
        <v>0</v>
      </c>
      <c r="E24" s="169">
        <f>'Budget assumption'!R167</f>
        <v>0</v>
      </c>
      <c r="F24" s="169">
        <f>'Budget assumption'!R198</f>
        <v>0</v>
      </c>
      <c r="G24" s="169">
        <f>'Budget assumption'!R260+'Budget assumption'!R291</f>
        <v>0</v>
      </c>
      <c r="H24" s="169">
        <f>'Budget assumption'!R229</f>
        <v>0</v>
      </c>
      <c r="I24" s="169"/>
      <c r="J24" s="89">
        <f t="shared" si="0"/>
        <v>0</v>
      </c>
      <c r="K24" s="169">
        <f>'data entry '!R102</f>
        <v>0</v>
      </c>
      <c r="L24" s="42"/>
      <c r="M24" s="169">
        <f>'data entry '!R135</f>
        <v>63.281839999999995</v>
      </c>
      <c r="N24" s="42"/>
      <c r="O24" s="169">
        <f t="shared" si="1"/>
        <v>63.281839999999995</v>
      </c>
      <c r="P24" s="39"/>
      <c r="Q24" s="169">
        <f>M24-K24-E24-F24-D24-G24</f>
        <v>63.281839999999995</v>
      </c>
      <c r="R24" s="169"/>
      <c r="S24" s="169">
        <f t="shared" si="3"/>
        <v>63.281839999999995</v>
      </c>
      <c r="T24" s="39"/>
      <c r="U24" s="39"/>
      <c r="V24" s="169">
        <f t="shared" si="32"/>
        <v>63.281839999999995</v>
      </c>
      <c r="W24" s="169"/>
      <c r="X24" s="169">
        <f t="shared" si="33"/>
        <v>63.281839999999995</v>
      </c>
      <c r="Y24" s="39"/>
      <c r="Z24" s="39"/>
      <c r="AA24" s="39"/>
      <c r="AB24" s="39"/>
      <c r="AC24" s="39"/>
    </row>
    <row r="25" spans="1:33" x14ac:dyDescent="0.3">
      <c r="A25" s="433" t="s">
        <v>85</v>
      </c>
      <c r="B25" s="169">
        <f>'Budget assumption'!R56</f>
        <v>0</v>
      </c>
      <c r="C25" s="169">
        <f>'Budget assumption'!R77+'Budget assumption'!R292</f>
        <v>0</v>
      </c>
      <c r="D25" s="169">
        <f>'Budget assumption'!R137</f>
        <v>0</v>
      </c>
      <c r="E25" s="169">
        <f>'Budget assumption'!R168</f>
        <v>50.000000000000007</v>
      </c>
      <c r="F25" s="169">
        <f>'Budget assumption'!R199</f>
        <v>1.9999999999999964</v>
      </c>
      <c r="G25" s="169">
        <f>'Budget assumption'!R261+'Budget assumption'!R292</f>
        <v>0</v>
      </c>
      <c r="H25" s="169">
        <f>'Budget assumption'!R230</f>
        <v>52</v>
      </c>
      <c r="I25" s="169">
        <f>'Budget assumption'!R328</f>
        <v>0</v>
      </c>
      <c r="J25" s="89">
        <f t="shared" si="0"/>
        <v>0</v>
      </c>
      <c r="K25" s="169">
        <f>'data entry '!R103</f>
        <v>0</v>
      </c>
      <c r="L25" s="42"/>
      <c r="M25" s="169">
        <f>'data entry '!R136</f>
        <v>17.338399999999965</v>
      </c>
      <c r="N25" s="42"/>
      <c r="O25" s="169">
        <f t="shared" si="1"/>
        <v>17.338399999999965</v>
      </c>
      <c r="P25" s="39"/>
      <c r="Q25" s="169">
        <f t="shared" ref="Q25:Q26" si="34">M25-H25</f>
        <v>-34.661600000000035</v>
      </c>
      <c r="R25" s="169">
        <f>H25-K25-E25-I25-F25-G25-D25</f>
        <v>-3.5527136788005009E-15</v>
      </c>
      <c r="S25" s="169">
        <f t="shared" si="3"/>
        <v>-34.661600000000035</v>
      </c>
      <c r="T25" s="39"/>
      <c r="U25" s="39"/>
      <c r="V25" s="169">
        <f t="shared" ref="V25:V26" si="35">M25-B25</f>
        <v>17.338399999999965</v>
      </c>
      <c r="W25" s="169">
        <f t="shared" ref="W25:W26" si="36">B25-K25</f>
        <v>0</v>
      </c>
      <c r="X25" s="169">
        <f t="shared" si="33"/>
        <v>17.338399999999965</v>
      </c>
      <c r="Y25" s="39"/>
      <c r="Z25" s="39"/>
      <c r="AA25" s="39"/>
      <c r="AB25" s="39"/>
      <c r="AC25" s="39"/>
    </row>
    <row r="26" spans="1:33" x14ac:dyDescent="0.3">
      <c r="A26" s="433" t="s">
        <v>145</v>
      </c>
      <c r="B26" s="169">
        <f>'Budget assumption'!R57</f>
        <v>0</v>
      </c>
      <c r="C26" s="169">
        <f>'Budget assumption'!R78+'Budget assumption'!R293</f>
        <v>0</v>
      </c>
      <c r="D26" s="169">
        <f>'Budget assumption'!R138</f>
        <v>0</v>
      </c>
      <c r="E26" s="169">
        <f>'Budget assumption'!R169</f>
        <v>0</v>
      </c>
      <c r="F26" s="169">
        <f>'Budget assumption'!R200</f>
        <v>0</v>
      </c>
      <c r="G26" s="169">
        <f>'Budget assumption'!R262+'Budget assumption'!R293</f>
        <v>0</v>
      </c>
      <c r="H26" s="169">
        <f>'Budget assumption'!R231</f>
        <v>0</v>
      </c>
      <c r="I26" s="169"/>
      <c r="J26" s="89">
        <f t="shared" si="0"/>
        <v>0</v>
      </c>
      <c r="K26" s="169">
        <f>'data entry '!R104</f>
        <v>0</v>
      </c>
      <c r="L26" s="39"/>
      <c r="M26" s="169">
        <f>'data entry '!R137</f>
        <v>0</v>
      </c>
      <c r="N26" s="39"/>
      <c r="O26" s="169">
        <f t="shared" si="1"/>
        <v>0</v>
      </c>
      <c r="P26" s="39"/>
      <c r="Q26" s="169">
        <f t="shared" si="34"/>
        <v>0</v>
      </c>
      <c r="R26" s="169">
        <f t="shared" ref="R26" si="37">H26-K26-E26-I26-F26-G26-D26</f>
        <v>0</v>
      </c>
      <c r="S26" s="169">
        <f t="shared" si="3"/>
        <v>0</v>
      </c>
      <c r="T26" s="39"/>
      <c r="U26" s="39"/>
      <c r="V26" s="169">
        <f t="shared" si="35"/>
        <v>0</v>
      </c>
      <c r="W26" s="169">
        <f t="shared" si="36"/>
        <v>0</v>
      </c>
      <c r="X26" s="169">
        <f t="shared" si="33"/>
        <v>0</v>
      </c>
      <c r="Y26" s="39"/>
      <c r="Z26" s="39"/>
      <c r="AA26" s="39"/>
      <c r="AB26" s="39"/>
      <c r="AC26" s="39"/>
    </row>
    <row r="27" spans="1:33" x14ac:dyDescent="0.3">
      <c r="A27" s="436" t="s">
        <v>146</v>
      </c>
      <c r="B27" s="487">
        <f>SUM(B22:B26)</f>
        <v>-211.57334479194313</v>
      </c>
      <c r="C27" s="487">
        <f t="shared" ref="C27:I27" si="38">SUM(C22:C26)</f>
        <v>0.39469372252563772</v>
      </c>
      <c r="D27" s="487">
        <f t="shared" si="38"/>
        <v>-19.359000000000002</v>
      </c>
      <c r="E27" s="487">
        <f t="shared" si="38"/>
        <v>50.000000000000007</v>
      </c>
      <c r="F27" s="487">
        <f t="shared" si="38"/>
        <v>65.537651069417478</v>
      </c>
      <c r="G27" s="487">
        <f t="shared" si="38"/>
        <v>0</v>
      </c>
      <c r="H27" s="487">
        <f t="shared" si="38"/>
        <v>-115</v>
      </c>
      <c r="I27" s="487">
        <f t="shared" si="38"/>
        <v>0</v>
      </c>
      <c r="J27" s="89">
        <f t="shared" si="0"/>
        <v>0</v>
      </c>
      <c r="K27" s="487">
        <f>SUM(K22:K26)</f>
        <v>-171.00811298245617</v>
      </c>
      <c r="L27" s="489"/>
      <c r="M27" s="487">
        <f>SUM(M22:M26)</f>
        <v>-89.559290000000018</v>
      </c>
      <c r="N27" s="39"/>
      <c r="O27" s="487">
        <f t="shared" si="1"/>
        <v>81.44882298245615</v>
      </c>
      <c r="P27" s="39"/>
      <c r="Q27" s="487">
        <f>SUM(Q22:Q26)</f>
        <v>-14.729828086961341</v>
      </c>
      <c r="R27" s="487">
        <f t="shared" ref="R27" si="39">SUM(R22:R26)</f>
        <v>-3.5527136788005009E-15</v>
      </c>
      <c r="S27" s="487">
        <f t="shared" si="3"/>
        <v>-14.729828086961344</v>
      </c>
      <c r="T27" s="39"/>
      <c r="U27" s="39"/>
      <c r="V27" s="487">
        <f>SUM(V22:V26)</f>
        <v>81.44882298245615</v>
      </c>
      <c r="W27" s="487">
        <f t="shared" ref="W27:X27" si="40">SUM(W22:W26)</f>
        <v>0</v>
      </c>
      <c r="X27" s="487">
        <f t="shared" si="40"/>
        <v>81.44882298245615</v>
      </c>
      <c r="Y27" s="39"/>
      <c r="Z27" s="39"/>
      <c r="AA27" s="39"/>
      <c r="AB27" s="39"/>
      <c r="AC27" s="39"/>
    </row>
    <row r="28" spans="1:33" x14ac:dyDescent="0.3">
      <c r="A28" s="433" t="s">
        <v>148</v>
      </c>
      <c r="B28" s="169">
        <f>'Budget assumption'!R59</f>
        <v>501.404099888627</v>
      </c>
      <c r="C28" s="488"/>
      <c r="D28" s="169">
        <f>'Budget assumption'!R140</f>
        <v>0</v>
      </c>
      <c r="E28" s="169">
        <f>'Budget assumption'!R171</f>
        <v>-28.906648936729521</v>
      </c>
      <c r="F28" s="169">
        <f>'Budget assumption'!R202</f>
        <v>-37.780016063270409</v>
      </c>
      <c r="G28" s="169">
        <f>'Budget assumption'!R264+'Budget assumption'!R295</f>
        <v>109.46590011137303</v>
      </c>
      <c r="H28" s="169">
        <f>'Budget assumption'!R233</f>
        <v>544.18333500000006</v>
      </c>
      <c r="I28" s="169">
        <f>'Budget assumption'!R335</f>
        <v>0.93537799324051107</v>
      </c>
      <c r="J28" s="89">
        <f t="shared" si="0"/>
        <v>0</v>
      </c>
      <c r="K28" s="169">
        <f>'data entry '!R106</f>
        <v>381.19684274315466</v>
      </c>
      <c r="L28" s="490"/>
      <c r="M28" s="169">
        <f>'data entry '!R139</f>
        <v>535.96594000000005</v>
      </c>
      <c r="N28" s="44"/>
      <c r="O28" s="169">
        <f t="shared" si="1"/>
        <v>154.76909725684538</v>
      </c>
      <c r="P28" s="39"/>
      <c r="Q28" s="169">
        <f t="shared" ref="Q28:Q29" si="41">M28-H28</f>
        <v>-8.2173950000000104</v>
      </c>
      <c r="R28" s="169">
        <f>H28-K28-E28-I28-F28-G28-D28</f>
        <v>119.27187915223178</v>
      </c>
      <c r="S28" s="169">
        <f t="shared" si="3"/>
        <v>111.05448415223177</v>
      </c>
      <c r="T28" s="39"/>
      <c r="U28" s="39"/>
      <c r="V28" s="169">
        <f t="shared" ref="V28:V29" si="42">M28-B28</f>
        <v>34.561840111373044</v>
      </c>
      <c r="W28" s="169">
        <f t="shared" ref="W28" si="43">B28-K28</f>
        <v>120.20725714547234</v>
      </c>
      <c r="X28" s="169">
        <f t="shared" ref="X28:X29" si="44">V28+W28</f>
        <v>154.76909725684538</v>
      </c>
      <c r="Y28" s="39"/>
      <c r="Z28" s="39"/>
      <c r="AA28" s="39"/>
      <c r="AB28" s="39"/>
      <c r="AC28" s="39"/>
    </row>
    <row r="29" spans="1:33" x14ac:dyDescent="0.3">
      <c r="A29" s="433" t="s">
        <v>149</v>
      </c>
      <c r="B29" s="169">
        <f>'Budget assumption'!R60</f>
        <v>423.52297382068514</v>
      </c>
      <c r="C29" s="488"/>
      <c r="D29" s="169">
        <f>'Budget assumption'!R141</f>
        <v>0</v>
      </c>
      <c r="E29" s="169">
        <f>'Budget assumption'!R172</f>
        <v>0</v>
      </c>
      <c r="F29" s="169">
        <f>'Budget assumption'!R203</f>
        <v>26.952012847084994</v>
      </c>
      <c r="G29" s="169">
        <f>'Budget assumption'!R265+'Budget assumption'!R296</f>
        <v>116.71702617931486</v>
      </c>
      <c r="H29" s="169">
        <f>'Budget assumption'!R234</f>
        <v>567.19201284708504</v>
      </c>
      <c r="I29" s="169">
        <f>'Budget assumption'!R336</f>
        <v>0.7900894097827269</v>
      </c>
      <c r="J29" s="89">
        <f t="shared" si="0"/>
        <v>0</v>
      </c>
      <c r="K29" s="169">
        <f>'data entry '!R107</f>
        <v>397.31427006386303</v>
      </c>
      <c r="L29" s="490"/>
      <c r="M29" s="169">
        <f>'data entry '!R140</f>
        <v>538.91129000000012</v>
      </c>
      <c r="N29" s="490"/>
      <c r="O29" s="169">
        <f t="shared" si="1"/>
        <v>141.59701993613709</v>
      </c>
      <c r="P29" s="39"/>
      <c r="Q29" s="169">
        <f t="shared" si="41"/>
        <v>-28.280722847084917</v>
      </c>
      <c r="R29" s="169">
        <f>H29-K29-E29-I29-F29-G29-D29</f>
        <v>25.418614347039423</v>
      </c>
      <c r="S29" s="169">
        <f t="shared" si="3"/>
        <v>-2.862108500045494</v>
      </c>
      <c r="T29" s="39"/>
      <c r="U29" s="39"/>
      <c r="V29" s="169">
        <f t="shared" si="42"/>
        <v>115.38831617931498</v>
      </c>
      <c r="W29" s="169"/>
      <c r="X29" s="169">
        <f t="shared" si="44"/>
        <v>115.38831617931498</v>
      </c>
      <c r="Y29" s="39"/>
      <c r="Z29" s="39"/>
      <c r="AA29" s="39"/>
      <c r="AB29" s="39"/>
      <c r="AC29" s="39"/>
    </row>
    <row r="30" spans="1:33" x14ac:dyDescent="0.3">
      <c r="A30" s="436" t="s">
        <v>150</v>
      </c>
      <c r="B30" s="487">
        <f>B28+B29</f>
        <v>924.92707370931214</v>
      </c>
      <c r="C30" s="487">
        <f t="shared" ref="C30:I30" si="45">C28+C29</f>
        <v>0</v>
      </c>
      <c r="D30" s="487">
        <f t="shared" si="45"/>
        <v>0</v>
      </c>
      <c r="E30" s="487">
        <f t="shared" si="45"/>
        <v>-28.906648936729521</v>
      </c>
      <c r="F30" s="487">
        <f t="shared" si="45"/>
        <v>-10.828003216185415</v>
      </c>
      <c r="G30" s="487">
        <f t="shared" si="45"/>
        <v>226.18292629068787</v>
      </c>
      <c r="H30" s="487">
        <f t="shared" si="45"/>
        <v>1111.3753478470851</v>
      </c>
      <c r="I30" s="487">
        <f t="shared" si="45"/>
        <v>1.725467403023238</v>
      </c>
      <c r="J30" s="89">
        <f t="shared" si="0"/>
        <v>0</v>
      </c>
      <c r="K30" s="487">
        <f>K28+K29</f>
        <v>778.51111280701775</v>
      </c>
      <c r="M30" s="487">
        <f>M28+M29</f>
        <v>1074.8772300000001</v>
      </c>
      <c r="O30" s="487">
        <f>O28+O29</f>
        <v>296.36611719298247</v>
      </c>
      <c r="Q30" s="487">
        <f>Q28+Q29</f>
        <v>-36.498117847084927</v>
      </c>
      <c r="R30" s="487">
        <f t="shared" ref="R30:S30" si="46">R28+R29</f>
        <v>144.69049349927121</v>
      </c>
      <c r="S30" s="487">
        <f t="shared" si="46"/>
        <v>108.19237565218627</v>
      </c>
      <c r="V30" s="487">
        <f t="shared" ref="V30:X30" si="47">V28+V29</f>
        <v>149.95015629068803</v>
      </c>
      <c r="W30" s="487">
        <f t="shared" si="47"/>
        <v>120.20725714547234</v>
      </c>
      <c r="X30" s="487">
        <f t="shared" si="47"/>
        <v>270.15741343616037</v>
      </c>
    </row>
    <row r="31" spans="1:33" ht="15" thickBot="1" x14ac:dyDescent="0.35">
      <c r="A31" s="28"/>
      <c r="B31" s="169"/>
      <c r="C31" s="169"/>
      <c r="D31" s="169">
        <f>'Budget assumption'!R143</f>
        <v>0</v>
      </c>
      <c r="E31" s="169"/>
      <c r="F31" s="169"/>
      <c r="G31" s="169">
        <f>'Budget assumption'!R267</f>
        <v>0</v>
      </c>
      <c r="H31" s="169"/>
      <c r="I31" s="169"/>
      <c r="J31" s="89">
        <f t="shared" si="0"/>
        <v>0</v>
      </c>
      <c r="K31" s="169">
        <f>'data entry '!R109</f>
        <v>0</v>
      </c>
      <c r="M31" s="169">
        <f>'data entry '!R142</f>
        <v>0</v>
      </c>
      <c r="O31" s="169">
        <f t="shared" si="1"/>
        <v>0</v>
      </c>
      <c r="Q31" s="169">
        <f t="shared" si="2"/>
        <v>0</v>
      </c>
      <c r="R31" s="169"/>
      <c r="S31" s="169">
        <f t="shared" si="3"/>
        <v>0</v>
      </c>
      <c r="V31" s="169"/>
      <c r="W31" s="169"/>
      <c r="X31" s="169"/>
    </row>
    <row r="32" spans="1:33" x14ac:dyDescent="0.3">
      <c r="A32" s="436" t="s">
        <v>152</v>
      </c>
      <c r="B32" s="487">
        <f>B21+B27+B30</f>
        <v>10276.849801204489</v>
      </c>
      <c r="C32" s="487">
        <f>C21+C27+C30</f>
        <v>-6.3683217554955007</v>
      </c>
      <c r="D32" s="487">
        <f>D21+D27+D30</f>
        <v>-116.20527381100001</v>
      </c>
      <c r="E32" s="487">
        <f t="shared" ref="E32:I32" si="48">E21+E27+E30</f>
        <v>-500.66879089534166</v>
      </c>
      <c r="F32" s="487">
        <f t="shared" si="48"/>
        <v>710.0042590395326</v>
      </c>
      <c r="G32" s="487">
        <f t="shared" si="48"/>
        <v>870.63822353831642</v>
      </c>
      <c r="H32" s="487">
        <f>H21+H27+H30</f>
        <v>11234.249897320498</v>
      </c>
      <c r="I32" s="487">
        <f t="shared" si="48"/>
        <v>12.803318735716871</v>
      </c>
      <c r="J32" s="89">
        <f t="shared" si="0"/>
        <v>0</v>
      </c>
      <c r="K32" s="487">
        <f>K21+K27+K30</f>
        <v>8533.0327800000032</v>
      </c>
      <c r="M32" s="487">
        <f>M21+M27+M30</f>
        <v>9411.2678800000012</v>
      </c>
      <c r="O32" s="487">
        <f t="shared" si="1"/>
        <v>878.23509999999806</v>
      </c>
      <c r="Q32" s="487">
        <f>Q21+Q27+Q30</f>
        <v>-1241.8493663597001</v>
      </c>
      <c r="R32" s="487">
        <f>R21+R27+R30</f>
        <v>1143.512729752475</v>
      </c>
      <c r="S32" s="487">
        <f t="shared" si="3"/>
        <v>-98.336636607225046</v>
      </c>
      <c r="V32" s="487">
        <f>V21+V27+V30</f>
        <v>-278.08094848819309</v>
      </c>
      <c r="W32" s="487">
        <f t="shared" ref="W32" si="49">W21+W27+W30</f>
        <v>1130.1073447313704</v>
      </c>
      <c r="X32" s="487">
        <f>X21+X27+X30</f>
        <v>852.02639624317737</v>
      </c>
    </row>
    <row r="33" spans="5:19" x14ac:dyDescent="0.3">
      <c r="G33" s="34"/>
    </row>
    <row r="34" spans="5:19" x14ac:dyDescent="0.3">
      <c r="G34" s="34"/>
      <c r="S34" s="8"/>
    </row>
    <row r="35" spans="5:19" x14ac:dyDescent="0.3">
      <c r="E35" s="8"/>
      <c r="F35" s="8"/>
      <c r="G35" s="8"/>
      <c r="H35" s="8"/>
      <c r="I35" s="8"/>
    </row>
    <row r="36" spans="5:19" x14ac:dyDescent="0.3">
      <c r="G36" s="34"/>
      <c r="H36" s="8"/>
      <c r="I36" s="34"/>
    </row>
    <row r="37" spans="5:19" x14ac:dyDescent="0.3">
      <c r="H37" s="8"/>
      <c r="I37" s="34"/>
    </row>
    <row r="38" spans="5:19" x14ac:dyDescent="0.3">
      <c r="H38" s="8"/>
      <c r="I38" s="34"/>
    </row>
    <row r="39" spans="5:19" x14ac:dyDescent="0.3">
      <c r="H39" s="8"/>
      <c r="I39" s="34"/>
    </row>
    <row r="40" spans="5:19" x14ac:dyDescent="0.3">
      <c r="H40" s="8"/>
      <c r="I40" s="34"/>
    </row>
    <row r="41" spans="5:19" x14ac:dyDescent="0.3">
      <c r="H41" s="8"/>
      <c r="I41" s="34"/>
    </row>
    <row r="42" spans="5:19" x14ac:dyDescent="0.3">
      <c r="H42" s="8"/>
      <c r="I42" s="34"/>
    </row>
    <row r="43" spans="5:19" x14ac:dyDescent="0.3">
      <c r="H43" s="8"/>
      <c r="I43" s="34"/>
    </row>
    <row r="44" spans="5:19" x14ac:dyDescent="0.3">
      <c r="H44" s="8"/>
      <c r="I44" s="34"/>
    </row>
    <row r="45" spans="5:19" x14ac:dyDescent="0.3">
      <c r="H45" s="8"/>
      <c r="I45" s="34"/>
    </row>
    <row r="46" spans="5:19" x14ac:dyDescent="0.3">
      <c r="H46" s="8"/>
      <c r="I46" s="34"/>
    </row>
    <row r="47" spans="5:19" x14ac:dyDescent="0.3">
      <c r="H47" s="8"/>
      <c r="I47" s="34"/>
    </row>
    <row r="48" spans="5:19" x14ac:dyDescent="0.3">
      <c r="H48" s="8"/>
      <c r="I48" s="34"/>
    </row>
    <row r="49" spans="8:9" x14ac:dyDescent="0.3">
      <c r="H49" s="8"/>
      <c r="I49" s="34"/>
    </row>
    <row r="50" spans="8:9" x14ac:dyDescent="0.3">
      <c r="H50" s="8"/>
      <c r="I50" s="34"/>
    </row>
    <row r="51" spans="8:9" x14ac:dyDescent="0.3">
      <c r="H51" s="8"/>
      <c r="I51" s="34"/>
    </row>
    <row r="52" spans="8:9" x14ac:dyDescent="0.3">
      <c r="H52" s="8"/>
      <c r="I52" s="34"/>
    </row>
    <row r="53" spans="8:9" x14ac:dyDescent="0.3">
      <c r="H53" s="8"/>
      <c r="I53" s="34"/>
    </row>
    <row r="54" spans="8:9" x14ac:dyDescent="0.3">
      <c r="H54" s="8"/>
      <c r="I54" s="34"/>
    </row>
    <row r="55" spans="8:9" x14ac:dyDescent="0.3">
      <c r="H55" s="8"/>
      <c r="I55" s="34"/>
    </row>
    <row r="56" spans="8:9" x14ac:dyDescent="0.3">
      <c r="H56" s="8"/>
      <c r="I56" s="34"/>
    </row>
    <row r="57" spans="8:9" x14ac:dyDescent="0.3">
      <c r="H57" s="8"/>
      <c r="I57" s="34"/>
    </row>
    <row r="58" spans="8:9" x14ac:dyDescent="0.3">
      <c r="H58" s="8"/>
      <c r="I58" s="34"/>
    </row>
    <row r="59" spans="8:9" x14ac:dyDescent="0.3">
      <c r="H59" s="8"/>
      <c r="I59" s="34"/>
    </row>
    <row r="60" spans="8:9" x14ac:dyDescent="0.3">
      <c r="H60" s="8"/>
      <c r="I60" s="34"/>
    </row>
    <row r="61" spans="8:9" x14ac:dyDescent="0.3">
      <c r="H61" s="8"/>
      <c r="I61" s="34"/>
    </row>
    <row r="62" spans="8:9" x14ac:dyDescent="0.3">
      <c r="H62" s="8"/>
    </row>
    <row r="63" spans="8:9" x14ac:dyDescent="0.3">
      <c r="H63" s="8"/>
    </row>
    <row r="64" spans="8:9" x14ac:dyDescent="0.3">
      <c r="H64" s="8"/>
    </row>
    <row r="65" spans="8:8" x14ac:dyDescent="0.3">
      <c r="H65" s="8"/>
    </row>
    <row r="66" spans="8:8" x14ac:dyDescent="0.3">
      <c r="H66" s="8"/>
    </row>
    <row r="67" spans="8:8" x14ac:dyDescent="0.3">
      <c r="H67" s="8"/>
    </row>
    <row r="68" spans="8:8" x14ac:dyDescent="0.3">
      <c r="H68" s="8"/>
    </row>
    <row r="69" spans="8:8" x14ac:dyDescent="0.3">
      <c r="H69" s="8"/>
    </row>
    <row r="70" spans="8:8" x14ac:dyDescent="0.3">
      <c r="H70" s="8"/>
    </row>
    <row r="71" spans="8:8" x14ac:dyDescent="0.3">
      <c r="H71" s="8"/>
    </row>
    <row r="72" spans="8:8" x14ac:dyDescent="0.3">
      <c r="H72" s="8"/>
    </row>
    <row r="73" spans="8:8" x14ac:dyDescent="0.3">
      <c r="H73" s="8"/>
    </row>
    <row r="74" spans="8:8" x14ac:dyDescent="0.3">
      <c r="H74" s="8"/>
    </row>
    <row r="75" spans="8:8" x14ac:dyDescent="0.3">
      <c r="H75" s="8"/>
    </row>
    <row r="76" spans="8:8" x14ac:dyDescent="0.3">
      <c r="H76" s="8"/>
    </row>
    <row r="77" spans="8:8" x14ac:dyDescent="0.3">
      <c r="H77" s="8"/>
    </row>
    <row r="78" spans="8:8" x14ac:dyDescent="0.3">
      <c r="H78" s="8"/>
    </row>
  </sheetData>
  <mergeCells count="30">
    <mergeCell ref="T3:T5"/>
    <mergeCell ref="AB3:AB5"/>
    <mergeCell ref="AC3:AC5"/>
    <mergeCell ref="V3:V5"/>
    <mergeCell ref="W3:W5"/>
    <mergeCell ref="X3:X5"/>
    <mergeCell ref="Y3:Y5"/>
    <mergeCell ref="Z3:Z5"/>
    <mergeCell ref="AA3:AA5"/>
    <mergeCell ref="O3:O5"/>
    <mergeCell ref="P3:P5"/>
    <mergeCell ref="Q3:Q5"/>
    <mergeCell ref="R3:R5"/>
    <mergeCell ref="S3:S5"/>
    <mergeCell ref="AA1:AA2"/>
    <mergeCell ref="Q2:S2"/>
    <mergeCell ref="V2:X2"/>
    <mergeCell ref="A3:A5"/>
    <mergeCell ref="B3:B5"/>
    <mergeCell ref="C3:C5"/>
    <mergeCell ref="D3:D5"/>
    <mergeCell ref="E3:E5"/>
    <mergeCell ref="F3:F5"/>
    <mergeCell ref="G3:G5"/>
    <mergeCell ref="U3:U5"/>
    <mergeCell ref="H3:H5"/>
    <mergeCell ref="J3:J5"/>
    <mergeCell ref="L3:L5"/>
    <mergeCell ref="M3:M5"/>
    <mergeCell ref="N3:N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0BCB8-F324-40D2-9766-EF1F3F7F92CA}">
  <sheetPr codeName="Sheet16"/>
  <dimension ref="A1:V60"/>
  <sheetViews>
    <sheetView zoomScale="85" zoomScaleNormal="85" workbookViewId="0">
      <selection activeCell="I12" sqref="I9:I12"/>
    </sheetView>
  </sheetViews>
  <sheetFormatPr defaultRowHeight="12" x14ac:dyDescent="0.25"/>
  <cols>
    <col min="1" max="1" width="8.6640625" style="638" bestFit="1" customWidth="1"/>
    <col min="2" max="2" width="56" style="638" bestFit="1" customWidth="1"/>
    <col min="3" max="3" width="13.88671875" style="638" bestFit="1" customWidth="1"/>
    <col min="4" max="4" width="8.5546875" style="638" bestFit="1" customWidth="1"/>
    <col min="5" max="5" width="11" style="638" bestFit="1" customWidth="1"/>
    <col min="6" max="9" width="8.5546875" style="638" bestFit="1" customWidth="1"/>
    <col min="10" max="10" width="9.77734375" style="638" bestFit="1" customWidth="1"/>
    <col min="11" max="15" width="8.5546875" style="638" bestFit="1" customWidth="1"/>
    <col min="16" max="16" width="11" style="638" bestFit="1" customWidth="1"/>
    <col min="17" max="20" width="8.88671875" style="638"/>
    <col min="21" max="21" width="13.88671875" style="638" bestFit="1" customWidth="1"/>
    <col min="22" max="16384" width="8.88671875" style="638"/>
  </cols>
  <sheetData>
    <row r="1" spans="1:17" x14ac:dyDescent="0.25">
      <c r="C1" s="639" t="s">
        <v>529</v>
      </c>
      <c r="D1" s="640">
        <v>11.659574411492219</v>
      </c>
      <c r="E1" s="640">
        <v>12.579099378314503</v>
      </c>
      <c r="F1" s="640">
        <v>12.696711401944899</v>
      </c>
      <c r="G1" s="640">
        <v>12.876694391617644</v>
      </c>
      <c r="H1" s="640">
        <v>19.860830946990852</v>
      </c>
      <c r="I1" s="640">
        <v>12.477853201241681</v>
      </c>
      <c r="J1" s="640">
        <v>13.951557614032463</v>
      </c>
      <c r="K1" s="640">
        <v>15.780653872595295</v>
      </c>
      <c r="L1" s="640">
        <v>13.332486899684877</v>
      </c>
      <c r="M1" s="640">
        <v>14.449788141907202</v>
      </c>
      <c r="N1" s="640">
        <v>12.525775459616577</v>
      </c>
      <c r="O1" s="640">
        <v>16.703430374022854</v>
      </c>
    </row>
    <row r="2" spans="1:17" x14ac:dyDescent="0.25">
      <c r="C2" s="639" t="s">
        <v>530</v>
      </c>
      <c r="D2" s="641">
        <v>2063.7446708341226</v>
      </c>
      <c r="E2" s="641">
        <v>2226.5005899616672</v>
      </c>
      <c r="F2" s="641">
        <v>2247.317918144247</v>
      </c>
      <c r="G2" s="641">
        <v>2165.2161619505064</v>
      </c>
      <c r="H2" s="641">
        <v>2460.7569543321665</v>
      </c>
      <c r="I2" s="641">
        <v>2319.0090174507664</v>
      </c>
      <c r="J2" s="641">
        <v>2099.0118430311841</v>
      </c>
      <c r="K2" s="641">
        <v>2094.8818015870252</v>
      </c>
      <c r="L2" s="641">
        <v>2477.8426903064346</v>
      </c>
      <c r="M2" s="641">
        <v>2301.8512510058172</v>
      </c>
      <c r="N2" s="641">
        <v>2217.0622563521342</v>
      </c>
      <c r="O2" s="641">
        <v>2217.3803821515339</v>
      </c>
    </row>
    <row r="3" spans="1:17" x14ac:dyDescent="0.25">
      <c r="C3" s="642" t="s">
        <v>374</v>
      </c>
      <c r="D3" s="642">
        <v>47800</v>
      </c>
      <c r="E3" s="642">
        <v>47800</v>
      </c>
      <c r="F3" s="642">
        <v>47800</v>
      </c>
      <c r="G3" s="642">
        <v>45410</v>
      </c>
      <c r="H3" s="642">
        <v>33460</v>
      </c>
      <c r="I3" s="642">
        <v>50190</v>
      </c>
      <c r="J3" s="642">
        <v>40630</v>
      </c>
      <c r="K3" s="642">
        <v>37050</v>
      </c>
      <c r="L3" s="642">
        <v>51870</v>
      </c>
      <c r="M3" s="642">
        <v>44460</v>
      </c>
      <c r="N3" s="642">
        <v>49400</v>
      </c>
      <c r="O3" s="642">
        <v>37135</v>
      </c>
      <c r="P3" s="726">
        <f>SUM(D3:O3)</f>
        <v>533005</v>
      </c>
    </row>
    <row r="4" spans="1:17" x14ac:dyDescent="0.25">
      <c r="A4" s="643" t="s">
        <v>115</v>
      </c>
      <c r="B4" s="644" t="s">
        <v>430</v>
      </c>
      <c r="C4" s="644" t="s">
        <v>531</v>
      </c>
      <c r="D4" s="645" t="s">
        <v>0</v>
      </c>
      <c r="E4" s="645" t="s">
        <v>1</v>
      </c>
      <c r="F4" s="645" t="s">
        <v>130</v>
      </c>
      <c r="G4" s="645" t="s">
        <v>521</v>
      </c>
      <c r="H4" s="645" t="s">
        <v>4</v>
      </c>
      <c r="I4" s="645" t="s">
        <v>522</v>
      </c>
      <c r="J4" s="645" t="s">
        <v>523</v>
      </c>
      <c r="K4" s="645" t="s">
        <v>107</v>
      </c>
      <c r="L4" s="645" t="s">
        <v>490</v>
      </c>
      <c r="M4" s="645" t="s">
        <v>9</v>
      </c>
      <c r="N4" s="645" t="s">
        <v>10</v>
      </c>
      <c r="O4" s="645" t="s">
        <v>11</v>
      </c>
      <c r="P4" s="646" t="s">
        <v>532</v>
      </c>
    </row>
    <row r="5" spans="1:17" x14ac:dyDescent="0.25">
      <c r="A5" s="647" t="s">
        <v>505</v>
      </c>
      <c r="B5" s="648" t="s">
        <v>533</v>
      </c>
      <c r="C5" s="649" t="s">
        <v>156</v>
      </c>
      <c r="D5" s="544">
        <f t="shared" ref="D5:O6" si="0">D$1*0.5*D$3/60</f>
        <v>4644.3971405777347</v>
      </c>
      <c r="E5" s="544">
        <f t="shared" si="0"/>
        <v>5010.6745856952766</v>
      </c>
      <c r="F5" s="544">
        <f t="shared" si="0"/>
        <v>5057.5233751080514</v>
      </c>
      <c r="G5" s="544">
        <f t="shared" si="0"/>
        <v>4872.7557693613098</v>
      </c>
      <c r="H5" s="544">
        <f>H$1*0.5*H$3/60</f>
        <v>5537.8616957192826</v>
      </c>
      <c r="I5" s="544">
        <f t="shared" si="0"/>
        <v>5218.8621014193332</v>
      </c>
      <c r="J5" s="544">
        <f t="shared" si="0"/>
        <v>4723.7648821511575</v>
      </c>
      <c r="K5" s="544">
        <f t="shared" si="0"/>
        <v>4872.2768831637968</v>
      </c>
      <c r="L5" s="544">
        <f t="shared" si="0"/>
        <v>5762.9674623887877</v>
      </c>
      <c r="M5" s="544">
        <f t="shared" si="0"/>
        <v>5353.6465065766188</v>
      </c>
      <c r="N5" s="544">
        <f t="shared" si="0"/>
        <v>5156.4442308754915</v>
      </c>
      <c r="O5" s="544">
        <f t="shared" si="0"/>
        <v>5169.0157244944894</v>
      </c>
      <c r="P5" s="650">
        <f>SUM(D5:O5)</f>
        <v>61380.190357531319</v>
      </c>
    </row>
    <row r="6" spans="1:17" x14ac:dyDescent="0.25">
      <c r="A6" s="647" t="s">
        <v>505</v>
      </c>
      <c r="B6" s="648" t="s">
        <v>534</v>
      </c>
      <c r="C6" s="649" t="s">
        <v>156</v>
      </c>
      <c r="D6" s="544"/>
      <c r="E6" s="544"/>
      <c r="F6" s="544"/>
      <c r="G6" s="544"/>
      <c r="H6" s="544"/>
      <c r="I6" s="544"/>
      <c r="J6" s="544">
        <f t="shared" si="0"/>
        <v>4723.7648821511575</v>
      </c>
      <c r="K6" s="544">
        <f t="shared" si="0"/>
        <v>4872.2768831637968</v>
      </c>
      <c r="L6" s="544">
        <f t="shared" si="0"/>
        <v>5762.9674623887877</v>
      </c>
      <c r="M6" s="544">
        <f t="shared" si="0"/>
        <v>5353.6465065766188</v>
      </c>
      <c r="N6" s="544">
        <f t="shared" si="0"/>
        <v>5156.4442308754915</v>
      </c>
      <c r="O6" s="544">
        <f t="shared" si="0"/>
        <v>5169.0157244944894</v>
      </c>
      <c r="P6" s="650">
        <f t="shared" ref="P6:P16" si="1">SUM(D6:O6)</f>
        <v>31038.115689650342</v>
      </c>
    </row>
    <row r="7" spans="1:17" x14ac:dyDescent="0.25">
      <c r="A7" s="647" t="s">
        <v>505</v>
      </c>
      <c r="B7" s="648" t="s">
        <v>538</v>
      </c>
      <c r="C7" s="649" t="s">
        <v>156</v>
      </c>
      <c r="D7" s="544"/>
      <c r="E7" s="544"/>
      <c r="F7" s="544"/>
      <c r="G7" s="544"/>
      <c r="H7" s="544"/>
      <c r="I7" s="544">
        <f t="shared" ref="I7:O7" si="2">3*I2</f>
        <v>6957.0270523522995</v>
      </c>
      <c r="J7" s="544">
        <f t="shared" si="2"/>
        <v>6297.0355290935522</v>
      </c>
      <c r="K7" s="544">
        <f t="shared" si="2"/>
        <v>6284.645404761075</v>
      </c>
      <c r="L7" s="544">
        <f t="shared" si="2"/>
        <v>7433.5280709193039</v>
      </c>
      <c r="M7" s="544">
        <f t="shared" si="2"/>
        <v>6905.5537530174515</v>
      </c>
      <c r="N7" s="544">
        <f t="shared" si="2"/>
        <v>6651.1867690564031</v>
      </c>
      <c r="O7" s="544">
        <f t="shared" si="2"/>
        <v>6652.1411464546018</v>
      </c>
      <c r="P7" s="650">
        <f t="shared" ref="P7:P12" si="3">SUM(D7:O7)</f>
        <v>47181.117725654687</v>
      </c>
      <c r="Q7" s="638" t="s">
        <v>616</v>
      </c>
    </row>
    <row r="8" spans="1:17" x14ac:dyDescent="0.25">
      <c r="A8" s="647" t="s">
        <v>505</v>
      </c>
      <c r="B8" s="648" t="s">
        <v>540</v>
      </c>
      <c r="C8" s="649" t="s">
        <v>156</v>
      </c>
      <c r="D8" s="544"/>
      <c r="E8" s="544"/>
      <c r="F8" s="544"/>
      <c r="G8" s="544"/>
      <c r="H8" s="544"/>
      <c r="I8" s="544">
        <f t="shared" ref="I8:O8" si="4">6*I2</f>
        <v>13914.054104704599</v>
      </c>
      <c r="J8" s="544">
        <f t="shared" si="4"/>
        <v>12594.071058187104</v>
      </c>
      <c r="K8" s="544">
        <f t="shared" si="4"/>
        <v>12569.29080952215</v>
      </c>
      <c r="L8" s="544">
        <f t="shared" si="4"/>
        <v>14867.056141838608</v>
      </c>
      <c r="M8" s="544">
        <f t="shared" si="4"/>
        <v>13811.107506034903</v>
      </c>
      <c r="N8" s="544">
        <f t="shared" si="4"/>
        <v>13302.373538112806</v>
      </c>
      <c r="O8" s="544">
        <f t="shared" si="4"/>
        <v>13304.282292909204</v>
      </c>
      <c r="P8" s="650">
        <f t="shared" si="3"/>
        <v>94362.235451309374</v>
      </c>
      <c r="Q8" s="638" t="s">
        <v>616</v>
      </c>
    </row>
    <row r="9" spans="1:17" x14ac:dyDescent="0.25">
      <c r="A9" s="647" t="s">
        <v>505</v>
      </c>
      <c r="B9" s="648" t="s">
        <v>541</v>
      </c>
      <c r="C9" s="649" t="s">
        <v>156</v>
      </c>
      <c r="D9" s="544"/>
      <c r="E9" s="544"/>
      <c r="F9" s="544"/>
      <c r="G9" s="544"/>
      <c r="H9" s="544"/>
      <c r="I9" s="544">
        <f t="shared" ref="I9:O9" si="5">2*I2</f>
        <v>4638.0180349015327</v>
      </c>
      <c r="J9" s="544">
        <f t="shared" si="5"/>
        <v>4198.0236860623681</v>
      </c>
      <c r="K9" s="544">
        <f t="shared" si="5"/>
        <v>4189.7636031740503</v>
      </c>
      <c r="L9" s="544">
        <f t="shared" si="5"/>
        <v>4955.6853806128693</v>
      </c>
      <c r="M9" s="544">
        <f t="shared" si="5"/>
        <v>4603.7025020116344</v>
      </c>
      <c r="N9" s="544">
        <f t="shared" si="5"/>
        <v>4434.1245127042685</v>
      </c>
      <c r="O9" s="544">
        <f t="shared" si="5"/>
        <v>4434.7607643030678</v>
      </c>
      <c r="P9" s="650">
        <f t="shared" si="3"/>
        <v>31454.078483769794</v>
      </c>
      <c r="Q9" s="638" t="s">
        <v>616</v>
      </c>
    </row>
    <row r="10" spans="1:17" x14ac:dyDescent="0.25">
      <c r="A10" s="647" t="s">
        <v>505</v>
      </c>
      <c r="B10" s="648" t="s">
        <v>542</v>
      </c>
      <c r="C10" s="649" t="s">
        <v>156</v>
      </c>
      <c r="D10" s="544"/>
      <c r="E10" s="544"/>
      <c r="F10" s="544"/>
      <c r="G10" s="544"/>
      <c r="H10" s="544">
        <f t="shared" ref="H10:O10" si="6">2*H2</f>
        <v>4921.513908664333</v>
      </c>
      <c r="I10" s="544">
        <f t="shared" si="6"/>
        <v>4638.0180349015327</v>
      </c>
      <c r="J10" s="544">
        <f t="shared" si="6"/>
        <v>4198.0236860623681</v>
      </c>
      <c r="K10" s="544">
        <f t="shared" si="6"/>
        <v>4189.7636031740503</v>
      </c>
      <c r="L10" s="544">
        <f t="shared" si="6"/>
        <v>4955.6853806128693</v>
      </c>
      <c r="M10" s="544">
        <f t="shared" si="6"/>
        <v>4603.7025020116344</v>
      </c>
      <c r="N10" s="544">
        <f t="shared" si="6"/>
        <v>4434.1245127042685</v>
      </c>
      <c r="O10" s="544">
        <f t="shared" si="6"/>
        <v>4434.7607643030678</v>
      </c>
      <c r="P10" s="650">
        <f t="shared" si="3"/>
        <v>36375.592392434126</v>
      </c>
      <c r="Q10" s="638" t="s">
        <v>616</v>
      </c>
    </row>
    <row r="11" spans="1:17" x14ac:dyDescent="0.25">
      <c r="A11" s="647" t="s">
        <v>505</v>
      </c>
      <c r="B11" s="648" t="s">
        <v>543</v>
      </c>
      <c r="C11" s="649" t="s">
        <v>156</v>
      </c>
      <c r="D11" s="544"/>
      <c r="E11" s="544"/>
      <c r="F11" s="544"/>
      <c r="G11" s="544"/>
      <c r="H11" s="544">
        <f t="shared" ref="H11:O11" si="7">2*H2</f>
        <v>4921.513908664333</v>
      </c>
      <c r="I11" s="544">
        <f t="shared" si="7"/>
        <v>4638.0180349015327</v>
      </c>
      <c r="J11" s="544">
        <f t="shared" si="7"/>
        <v>4198.0236860623681</v>
      </c>
      <c r="K11" s="544">
        <f t="shared" si="7"/>
        <v>4189.7636031740503</v>
      </c>
      <c r="L11" s="544">
        <f t="shared" si="7"/>
        <v>4955.6853806128693</v>
      </c>
      <c r="M11" s="544">
        <f t="shared" si="7"/>
        <v>4603.7025020116344</v>
      </c>
      <c r="N11" s="544">
        <f t="shared" si="7"/>
        <v>4434.1245127042685</v>
      </c>
      <c r="O11" s="544">
        <f t="shared" si="7"/>
        <v>4434.7607643030678</v>
      </c>
      <c r="P11" s="650">
        <f t="shared" si="3"/>
        <v>36375.592392434126</v>
      </c>
      <c r="Q11" s="638" t="s">
        <v>616</v>
      </c>
    </row>
    <row r="12" spans="1:17" x14ac:dyDescent="0.25">
      <c r="A12" s="647" t="s">
        <v>505</v>
      </c>
      <c r="B12" s="648" t="s">
        <v>544</v>
      </c>
      <c r="C12" s="649" t="s">
        <v>156</v>
      </c>
      <c r="D12" s="544"/>
      <c r="E12" s="544"/>
      <c r="F12" s="544"/>
      <c r="G12" s="544"/>
      <c r="H12" s="544"/>
      <c r="I12" s="544">
        <f t="shared" ref="I12:O12" si="8">4*I2</f>
        <v>9276.0360698030654</v>
      </c>
      <c r="J12" s="544">
        <f t="shared" si="8"/>
        <v>8396.0473721247363</v>
      </c>
      <c r="K12" s="544">
        <f t="shared" si="8"/>
        <v>8379.5272063481007</v>
      </c>
      <c r="L12" s="544">
        <f t="shared" si="8"/>
        <v>9911.3707612257385</v>
      </c>
      <c r="M12" s="544">
        <f t="shared" si="8"/>
        <v>9207.4050040232687</v>
      </c>
      <c r="N12" s="544">
        <f t="shared" si="8"/>
        <v>8868.2490254085369</v>
      </c>
      <c r="O12" s="544">
        <f t="shared" si="8"/>
        <v>8869.5215286061357</v>
      </c>
      <c r="P12" s="650">
        <f t="shared" si="3"/>
        <v>62908.156967539588</v>
      </c>
      <c r="Q12" s="638" t="s">
        <v>616</v>
      </c>
    </row>
    <row r="13" spans="1:17" x14ac:dyDescent="0.25">
      <c r="A13" s="647" t="s">
        <v>505</v>
      </c>
      <c r="B13" s="648" t="s">
        <v>535</v>
      </c>
      <c r="C13" s="649" t="s">
        <v>195</v>
      </c>
      <c r="D13" s="544">
        <v>1000</v>
      </c>
      <c r="E13" s="544">
        <v>1000</v>
      </c>
      <c r="F13" s="544">
        <v>1000</v>
      </c>
      <c r="G13" s="544">
        <v>1000</v>
      </c>
      <c r="H13" s="544">
        <v>1000</v>
      </c>
      <c r="I13" s="544">
        <v>1000</v>
      </c>
      <c r="J13" s="544">
        <v>1000</v>
      </c>
      <c r="K13" s="544">
        <v>1000</v>
      </c>
      <c r="L13" s="544">
        <v>1000</v>
      </c>
      <c r="M13" s="544">
        <v>1000</v>
      </c>
      <c r="N13" s="544">
        <v>1000</v>
      </c>
      <c r="O13" s="544">
        <v>1000</v>
      </c>
      <c r="P13" s="650">
        <f t="shared" si="1"/>
        <v>12000</v>
      </c>
    </row>
    <row r="14" spans="1:17" x14ac:dyDescent="0.25">
      <c r="A14" s="647" t="s">
        <v>505</v>
      </c>
      <c r="B14" s="648" t="s">
        <v>536</v>
      </c>
      <c r="C14" s="649" t="s">
        <v>83</v>
      </c>
      <c r="D14" s="544">
        <v>700</v>
      </c>
      <c r="E14" s="544">
        <v>700</v>
      </c>
      <c r="F14" s="544">
        <v>700</v>
      </c>
      <c r="G14" s="544">
        <v>700</v>
      </c>
      <c r="H14" s="544">
        <v>700</v>
      </c>
      <c r="I14" s="544">
        <v>700</v>
      </c>
      <c r="J14" s="544">
        <v>700</v>
      </c>
      <c r="K14" s="544">
        <v>700</v>
      </c>
      <c r="L14" s="544">
        <v>700</v>
      </c>
      <c r="M14" s="544">
        <v>700</v>
      </c>
      <c r="N14" s="544">
        <v>700</v>
      </c>
      <c r="O14" s="544">
        <v>700</v>
      </c>
      <c r="P14" s="650">
        <f t="shared" si="1"/>
        <v>8400</v>
      </c>
    </row>
    <row r="15" spans="1:17" x14ac:dyDescent="0.25">
      <c r="A15" s="647" t="s">
        <v>505</v>
      </c>
      <c r="B15" s="648" t="s">
        <v>537</v>
      </c>
      <c r="C15" s="649" t="s">
        <v>83</v>
      </c>
      <c r="D15" s="544">
        <v>400</v>
      </c>
      <c r="E15" s="544">
        <v>400</v>
      </c>
      <c r="F15" s="544">
        <v>400</v>
      </c>
      <c r="G15" s="544">
        <v>400</v>
      </c>
      <c r="H15" s="544">
        <v>400</v>
      </c>
      <c r="I15" s="544">
        <v>400</v>
      </c>
      <c r="J15" s="544">
        <v>400</v>
      </c>
      <c r="K15" s="544">
        <v>400</v>
      </c>
      <c r="L15" s="544">
        <v>400</v>
      </c>
      <c r="M15" s="544">
        <v>400</v>
      </c>
      <c r="N15" s="544">
        <v>400</v>
      </c>
      <c r="O15" s="544">
        <v>400</v>
      </c>
      <c r="P15" s="650">
        <f t="shared" si="1"/>
        <v>4800</v>
      </c>
      <c r="Q15" s="638">
        <f>15*55</f>
        <v>825</v>
      </c>
    </row>
    <row r="16" spans="1:17" x14ac:dyDescent="0.25">
      <c r="A16" s="647" t="s">
        <v>505</v>
      </c>
      <c r="B16" s="648" t="s">
        <v>539</v>
      </c>
      <c r="C16" s="649" t="s">
        <v>76</v>
      </c>
      <c r="D16" s="544"/>
      <c r="E16" s="544"/>
      <c r="F16" s="544"/>
      <c r="G16" s="544">
        <f t="shared" ref="G16:O16" si="9">0.15*G3</f>
        <v>6811.5</v>
      </c>
      <c r="H16" s="544">
        <f t="shared" si="9"/>
        <v>5019</v>
      </c>
      <c r="I16" s="544">
        <f t="shared" si="9"/>
        <v>7528.5</v>
      </c>
      <c r="J16" s="544">
        <f t="shared" si="9"/>
        <v>6094.5</v>
      </c>
      <c r="K16" s="544">
        <f t="shared" si="9"/>
        <v>5557.5</v>
      </c>
      <c r="L16" s="544">
        <f t="shared" si="9"/>
        <v>7780.5</v>
      </c>
      <c r="M16" s="544">
        <f t="shared" si="9"/>
        <v>6669</v>
      </c>
      <c r="N16" s="544">
        <f t="shared" si="9"/>
        <v>7410</v>
      </c>
      <c r="O16" s="544">
        <f t="shared" si="9"/>
        <v>5570.25</v>
      </c>
      <c r="P16" s="650">
        <f t="shared" si="1"/>
        <v>58440.75</v>
      </c>
    </row>
    <row r="18" spans="1:22" x14ac:dyDescent="0.25">
      <c r="C18" s="647"/>
      <c r="D18" s="651">
        <f t="shared" ref="D18:P18" si="10">SUM(D5:D16)</f>
        <v>6744.3971405777347</v>
      </c>
      <c r="E18" s="651">
        <f t="shared" si="10"/>
        <v>7110.6745856952766</v>
      </c>
      <c r="F18" s="651">
        <f t="shared" si="10"/>
        <v>7157.5233751080514</v>
      </c>
      <c r="G18" s="651">
        <f t="shared" si="10"/>
        <v>13784.255769361309</v>
      </c>
      <c r="H18" s="651">
        <f t="shared" si="10"/>
        <v>22499.889513047947</v>
      </c>
      <c r="I18" s="651">
        <f t="shared" si="10"/>
        <v>58908.533432983895</v>
      </c>
      <c r="J18" s="651">
        <f t="shared" si="10"/>
        <v>57523.254781894822</v>
      </c>
      <c r="K18" s="651">
        <f t="shared" si="10"/>
        <v>57204.807996481068</v>
      </c>
      <c r="L18" s="651">
        <f t="shared" si="10"/>
        <v>68485.44604059984</v>
      </c>
      <c r="M18" s="651">
        <f t="shared" si="10"/>
        <v>63211.466782263764</v>
      </c>
      <c r="N18" s="651">
        <f t="shared" si="10"/>
        <v>61947.071332441541</v>
      </c>
      <c r="O18" s="651">
        <f t="shared" si="10"/>
        <v>60138.508709868118</v>
      </c>
      <c r="P18" s="651">
        <f t="shared" si="10"/>
        <v>484715.82946032332</v>
      </c>
    </row>
    <row r="20" spans="1:22" x14ac:dyDescent="0.25">
      <c r="C20" s="639" t="s">
        <v>529</v>
      </c>
      <c r="D20" s="640">
        <v>11.659574411492219</v>
      </c>
      <c r="E20" s="640">
        <v>12.579099378314503</v>
      </c>
      <c r="F20" s="640">
        <v>12.696711401944899</v>
      </c>
      <c r="G20" s="640">
        <v>12.876694391617644</v>
      </c>
      <c r="H20" s="640">
        <v>19.860830946990852</v>
      </c>
      <c r="I20" s="640">
        <v>12.477853201241681</v>
      </c>
      <c r="J20" s="640">
        <v>13.951557614032463</v>
      </c>
      <c r="K20" s="640">
        <v>15.780653872595295</v>
      </c>
      <c r="L20" s="640">
        <v>13.332486899684877</v>
      </c>
      <c r="M20" s="640">
        <v>14.449788141907202</v>
      </c>
      <c r="N20" s="640">
        <v>12.525775459616577</v>
      </c>
      <c r="O20" s="640">
        <v>16.703430374022854</v>
      </c>
      <c r="P20" s="733">
        <f>AVERAGE(D20:O20)</f>
        <v>14.074538007788421</v>
      </c>
      <c r="U20" s="726" t="s">
        <v>612</v>
      </c>
      <c r="V20" s="726">
        <v>997.26315789473688</v>
      </c>
    </row>
    <row r="21" spans="1:22" x14ac:dyDescent="0.25">
      <c r="C21" s="639" t="s">
        <v>530</v>
      </c>
      <c r="D21" s="641">
        <v>2063.7446708341226</v>
      </c>
      <c r="E21" s="641">
        <v>2226.5005899616672</v>
      </c>
      <c r="F21" s="641">
        <v>2247.317918144247</v>
      </c>
      <c r="G21" s="641">
        <v>2165.2161619505064</v>
      </c>
      <c r="H21" s="641">
        <v>2460.7569543321665</v>
      </c>
      <c r="I21" s="641">
        <v>2319.0090174507664</v>
      </c>
      <c r="J21" s="641">
        <v>2099.0118430311841</v>
      </c>
      <c r="K21" s="641">
        <v>2094.8818015870252</v>
      </c>
      <c r="L21" s="641">
        <v>2477.8426903064346</v>
      </c>
      <c r="M21" s="641">
        <v>2301.8512510058172</v>
      </c>
      <c r="N21" s="641">
        <v>2217.0622563521342</v>
      </c>
      <c r="O21" s="641">
        <v>2217.3803821515339</v>
      </c>
      <c r="P21" s="726">
        <f>AVERAGE(D21:O21)</f>
        <v>2240.8812947589668</v>
      </c>
      <c r="U21" s="726" t="s">
        <v>613</v>
      </c>
      <c r="V21" s="726">
        <v>461.93473684210528</v>
      </c>
    </row>
    <row r="22" spans="1:22" x14ac:dyDescent="0.25">
      <c r="C22" s="639" t="s">
        <v>610</v>
      </c>
      <c r="D22" s="641">
        <v>211.30421052631579</v>
      </c>
      <c r="E22" s="641"/>
      <c r="F22" s="641"/>
      <c r="G22" s="641"/>
      <c r="H22" s="641"/>
      <c r="I22" s="641"/>
      <c r="J22" s="641"/>
      <c r="K22" s="641"/>
      <c r="L22" s="641"/>
      <c r="M22" s="641"/>
      <c r="N22" s="641"/>
      <c r="O22" s="641"/>
      <c r="U22" s="726" t="s">
        <v>614</v>
      </c>
      <c r="V22" s="726">
        <v>1076.4526315789474</v>
      </c>
    </row>
    <row r="23" spans="1:22" x14ac:dyDescent="0.25">
      <c r="C23" s="642" t="s">
        <v>374</v>
      </c>
      <c r="D23" s="652">
        <f>+VOLUME!C7</f>
        <v>47357</v>
      </c>
      <c r="E23" s="652">
        <f>+VOLUME!D7</f>
        <v>42593</v>
      </c>
      <c r="F23" s="652">
        <f>+VOLUME!E7</f>
        <v>23002</v>
      </c>
      <c r="G23" s="653">
        <v>38000</v>
      </c>
      <c r="H23" s="653">
        <f>VOLUME!G7</f>
        <v>33043</v>
      </c>
      <c r="I23" s="653">
        <f>VOLUME!H7</f>
        <v>53186</v>
      </c>
      <c r="J23" s="653">
        <v>40672</v>
      </c>
      <c r="K23" s="653">
        <v>39704</v>
      </c>
      <c r="L23" s="653">
        <v>54907</v>
      </c>
      <c r="M23" s="653">
        <v>49968</v>
      </c>
      <c r="N23" s="653">
        <v>51936</v>
      </c>
      <c r="O23" s="653">
        <v>42190</v>
      </c>
      <c r="P23" s="726">
        <f>SUM(D23:O23)</f>
        <v>516558</v>
      </c>
      <c r="Q23" s="638" t="s">
        <v>601</v>
      </c>
      <c r="S23" s="638" t="s">
        <v>1040</v>
      </c>
    </row>
    <row r="24" spans="1:22" x14ac:dyDescent="0.25">
      <c r="D24" s="645" t="s">
        <v>0</v>
      </c>
      <c r="E24" s="645" t="s">
        <v>1</v>
      </c>
      <c r="F24" s="645" t="s">
        <v>130</v>
      </c>
      <c r="G24" s="645" t="s">
        <v>521</v>
      </c>
      <c r="H24" s="645" t="s">
        <v>4</v>
      </c>
      <c r="I24" s="645" t="s">
        <v>522</v>
      </c>
      <c r="J24" s="645" t="s">
        <v>523</v>
      </c>
      <c r="K24" s="645" t="s">
        <v>107</v>
      </c>
      <c r="L24" s="645" t="s">
        <v>490</v>
      </c>
      <c r="M24" s="645" t="s">
        <v>9</v>
      </c>
      <c r="N24" s="645" t="s">
        <v>10</v>
      </c>
      <c r="O24" s="645" t="s">
        <v>11</v>
      </c>
      <c r="P24" s="646" t="s">
        <v>532</v>
      </c>
    </row>
    <row r="25" spans="1:22" x14ac:dyDescent="0.25">
      <c r="A25" s="654" t="s">
        <v>545</v>
      </c>
      <c r="B25" s="727" t="s">
        <v>533</v>
      </c>
      <c r="C25" s="734" t="s">
        <v>156</v>
      </c>
      <c r="D25" s="729">
        <f t="shared" ref="D25:O25" si="11">$P$20*0.6*D$23/60</f>
        <v>6665.278964348362</v>
      </c>
      <c r="E25" s="729">
        <f t="shared" si="11"/>
        <v>5994.7679736573218</v>
      </c>
      <c r="F25" s="729">
        <f t="shared" si="11"/>
        <v>3237.4252325514922</v>
      </c>
      <c r="G25" s="729">
        <f t="shared" si="11"/>
        <v>5348.3244429595998</v>
      </c>
      <c r="H25" s="729">
        <f t="shared" si="11"/>
        <v>4650.6495939135284</v>
      </c>
      <c r="I25" s="729">
        <f t="shared" si="11"/>
        <v>7485.6837848223495</v>
      </c>
      <c r="J25" s="729">
        <f t="shared" si="11"/>
        <v>5724.3960985277063</v>
      </c>
      <c r="K25" s="729">
        <f t="shared" si="11"/>
        <v>5588.1545706123143</v>
      </c>
      <c r="L25" s="729">
        <f t="shared" si="11"/>
        <v>7727.9065839363884</v>
      </c>
      <c r="M25" s="729">
        <f t="shared" si="11"/>
        <v>7032.7651517317172</v>
      </c>
      <c r="N25" s="729">
        <f t="shared" si="11"/>
        <v>7309.7520597249941</v>
      </c>
      <c r="O25" s="729">
        <f t="shared" si="11"/>
        <v>5938.0475854859351</v>
      </c>
      <c r="P25" s="650">
        <f>SUM(D25:O25)</f>
        <v>72703.152042271715</v>
      </c>
      <c r="Q25" s="638" t="s">
        <v>770</v>
      </c>
      <c r="S25" s="638" t="s">
        <v>769</v>
      </c>
    </row>
    <row r="26" spans="1:22" x14ac:dyDescent="0.25">
      <c r="A26" s="654" t="s">
        <v>545</v>
      </c>
      <c r="B26" s="648" t="s">
        <v>534</v>
      </c>
      <c r="C26" s="734" t="s">
        <v>156</v>
      </c>
      <c r="D26" s="728"/>
      <c r="E26" s="728"/>
      <c r="F26" s="728"/>
      <c r="G26" s="728"/>
      <c r="H26" s="728"/>
      <c r="I26" s="728"/>
      <c r="J26" s="728">
        <f t="shared" ref="J26:O26" si="12">$P$20*0.6*J$23/60</f>
        <v>5724.3960985277063</v>
      </c>
      <c r="K26" s="728">
        <f t="shared" si="12"/>
        <v>5588.1545706123143</v>
      </c>
      <c r="L26" s="728">
        <f t="shared" si="12"/>
        <v>7727.9065839363884</v>
      </c>
      <c r="M26" s="728">
        <f t="shared" si="12"/>
        <v>7032.7651517317172</v>
      </c>
      <c r="N26" s="728">
        <f t="shared" si="12"/>
        <v>7309.7520597249941</v>
      </c>
      <c r="O26" s="728">
        <f t="shared" si="12"/>
        <v>5938.0475854859351</v>
      </c>
      <c r="P26" s="945">
        <f t="shared" ref="P26:P55" si="13">SUM(D26:O26)</f>
        <v>39321.022050019055</v>
      </c>
      <c r="Q26" s="638" t="s">
        <v>602</v>
      </c>
    </row>
    <row r="27" spans="1:22" x14ac:dyDescent="0.25">
      <c r="A27" s="654" t="s">
        <v>545</v>
      </c>
      <c r="B27" s="648" t="s">
        <v>538</v>
      </c>
      <c r="C27" s="734" t="s">
        <v>156</v>
      </c>
      <c r="D27" s="729"/>
      <c r="E27" s="729"/>
      <c r="F27" s="729"/>
      <c r="G27" s="729"/>
      <c r="H27" s="729"/>
      <c r="I27" s="729"/>
      <c r="J27" s="729">
        <f>3*$P$21</f>
        <v>6722.6438842769003</v>
      </c>
      <c r="K27" s="729">
        <f t="shared" ref="K27:O28" si="14">3*$P$21</f>
        <v>6722.6438842769003</v>
      </c>
      <c r="L27" s="729">
        <f t="shared" si="14"/>
        <v>6722.6438842769003</v>
      </c>
      <c r="M27" s="729">
        <f t="shared" si="14"/>
        <v>6722.6438842769003</v>
      </c>
      <c r="N27" s="729">
        <f t="shared" si="14"/>
        <v>6722.6438842769003</v>
      </c>
      <c r="O27" s="729">
        <f t="shared" si="14"/>
        <v>6722.6438842769003</v>
      </c>
      <c r="P27" s="650">
        <f t="shared" ref="P27:P32" si="15">SUM(D27:O27)</f>
        <v>40335.863305661398</v>
      </c>
      <c r="Q27" s="638" t="s">
        <v>770</v>
      </c>
    </row>
    <row r="28" spans="1:22" x14ac:dyDescent="0.25">
      <c r="A28" s="731" t="s">
        <v>605</v>
      </c>
      <c r="B28" s="648" t="s">
        <v>645</v>
      </c>
      <c r="C28" s="734" t="s">
        <v>156</v>
      </c>
      <c r="D28" s="728"/>
      <c r="E28" s="728"/>
      <c r="F28" s="728"/>
      <c r="G28" s="728"/>
      <c r="H28" s="728"/>
      <c r="I28" s="728"/>
      <c r="J28" s="728"/>
      <c r="K28" s="728">
        <f t="shared" si="14"/>
        <v>6722.6438842769003</v>
      </c>
      <c r="L28" s="728">
        <f t="shared" si="14"/>
        <v>6722.6438842769003</v>
      </c>
      <c r="M28" s="728">
        <f t="shared" si="14"/>
        <v>6722.6438842769003</v>
      </c>
      <c r="N28" s="728">
        <f t="shared" si="14"/>
        <v>6722.6438842769003</v>
      </c>
      <c r="O28" s="728">
        <f t="shared" si="14"/>
        <v>6722.6438842769003</v>
      </c>
      <c r="P28" s="945">
        <f t="shared" si="15"/>
        <v>33613.2194213845</v>
      </c>
      <c r="Q28" s="638" t="s">
        <v>602</v>
      </c>
    </row>
    <row r="29" spans="1:22" x14ac:dyDescent="0.25">
      <c r="A29" s="731" t="s">
        <v>605</v>
      </c>
      <c r="B29" s="648" t="s">
        <v>603</v>
      </c>
      <c r="C29" s="734" t="s">
        <v>156</v>
      </c>
      <c r="D29" s="728"/>
      <c r="E29" s="728">
        <f>13.85*100000/3600*$P$20*9/12/9*0</f>
        <v>0</v>
      </c>
      <c r="F29" s="728">
        <f>13.85*100000/3600*$P$20*9/12/9*0</f>
        <v>0</v>
      </c>
      <c r="G29" s="728">
        <f>13.85*100000/3600*$P$20*9/12/9*0</f>
        <v>0</v>
      </c>
      <c r="H29" s="728">
        <f>13.85*100000/3600*$P$20*9/12/9*0</f>
        <v>0</v>
      </c>
      <c r="I29" s="728">
        <v>0</v>
      </c>
      <c r="J29" s="728">
        <f t="shared" ref="J29:O29" si="16">13.85*100000/3600*$P$20*9/12/9</f>
        <v>451.23229492562416</v>
      </c>
      <c r="K29" s="728">
        <f t="shared" si="16"/>
        <v>451.23229492562416</v>
      </c>
      <c r="L29" s="728">
        <f t="shared" si="16"/>
        <v>451.23229492562416</v>
      </c>
      <c r="M29" s="728">
        <f t="shared" si="16"/>
        <v>451.23229492562416</v>
      </c>
      <c r="N29" s="728">
        <f t="shared" si="16"/>
        <v>451.23229492562416</v>
      </c>
      <c r="O29" s="728">
        <f t="shared" si="16"/>
        <v>451.23229492562416</v>
      </c>
      <c r="P29" s="945">
        <f t="shared" si="15"/>
        <v>2707.3937695537447</v>
      </c>
      <c r="Q29" s="638" t="s">
        <v>602</v>
      </c>
      <c r="R29" s="638" t="s">
        <v>769</v>
      </c>
    </row>
    <row r="30" spans="1:22" x14ac:dyDescent="0.25">
      <c r="A30" s="731" t="s">
        <v>605</v>
      </c>
      <c r="B30" s="648" t="s">
        <v>604</v>
      </c>
      <c r="C30" s="734" t="s">
        <v>156</v>
      </c>
      <c r="D30" s="729">
        <f t="shared" ref="D30:O30" si="17">D23*0.85*4/3600*$P$20</f>
        <v>629.49856885512315</v>
      </c>
      <c r="E30" s="729">
        <f t="shared" si="17"/>
        <v>566.17253084541369</v>
      </c>
      <c r="F30" s="729">
        <f t="shared" si="17"/>
        <v>305.75682751875206</v>
      </c>
      <c r="G30" s="729">
        <f t="shared" si="17"/>
        <v>505.11953072396216</v>
      </c>
      <c r="H30" s="729">
        <f t="shared" si="17"/>
        <v>439.22801720294427</v>
      </c>
      <c r="I30" s="729">
        <f t="shared" si="17"/>
        <v>706.98124634433304</v>
      </c>
      <c r="J30" s="729">
        <f t="shared" si="17"/>
        <v>540.63740930539439</v>
      </c>
      <c r="K30" s="729">
        <f t="shared" si="17"/>
        <v>527.77015389116309</v>
      </c>
      <c r="L30" s="729">
        <f t="shared" si="17"/>
        <v>729.85784403843661</v>
      </c>
      <c r="M30" s="729">
        <f t="shared" si="17"/>
        <v>664.20559766355109</v>
      </c>
      <c r="N30" s="729">
        <f t="shared" si="17"/>
        <v>690.36547230736051</v>
      </c>
      <c r="O30" s="729">
        <f t="shared" si="17"/>
        <v>560.81560529589387</v>
      </c>
      <c r="P30" s="650">
        <f t="shared" si="15"/>
        <v>6866.4088039923281</v>
      </c>
      <c r="Q30" s="638" t="s">
        <v>770</v>
      </c>
      <c r="S30" s="638" t="s">
        <v>769</v>
      </c>
    </row>
    <row r="31" spans="1:22" x14ac:dyDescent="0.25">
      <c r="A31" s="731" t="s">
        <v>605</v>
      </c>
      <c r="B31" s="648" t="s">
        <v>606</v>
      </c>
      <c r="C31" s="734" t="s">
        <v>156</v>
      </c>
      <c r="D31" s="729"/>
      <c r="E31" s="729"/>
      <c r="F31" s="729"/>
      <c r="G31" s="729"/>
      <c r="H31" s="729">
        <v>1828</v>
      </c>
      <c r="I31" s="729">
        <v>1828</v>
      </c>
      <c r="J31" s="729">
        <v>1828</v>
      </c>
      <c r="K31" s="729">
        <v>1828</v>
      </c>
      <c r="L31" s="729">
        <v>1828</v>
      </c>
      <c r="M31" s="729">
        <v>1828</v>
      </c>
      <c r="N31" s="729">
        <v>1828</v>
      </c>
      <c r="O31" s="729">
        <v>1828</v>
      </c>
      <c r="P31" s="650">
        <f t="shared" si="15"/>
        <v>14624</v>
      </c>
      <c r="Q31" s="638" t="s">
        <v>770</v>
      </c>
      <c r="S31" s="638" t="s">
        <v>769</v>
      </c>
    </row>
    <row r="32" spans="1:22" x14ac:dyDescent="0.25">
      <c r="A32" s="731" t="s">
        <v>605</v>
      </c>
      <c r="B32" s="648" t="s">
        <v>622</v>
      </c>
      <c r="C32" s="734" t="s">
        <v>156</v>
      </c>
      <c r="D32" s="729">
        <f>54*(2300-1600)</f>
        <v>37800</v>
      </c>
      <c r="E32" s="729">
        <f>30*(2300-1600)</f>
        <v>21000</v>
      </c>
      <c r="F32" s="729">
        <f>30*(2300-1600)</f>
        <v>21000</v>
      </c>
      <c r="G32" s="729">
        <f>30*(2300-1600)</f>
        <v>21000</v>
      </c>
      <c r="H32" s="729">
        <f t="shared" ref="H32:O32" si="18">30*(2300-1600)</f>
        <v>21000</v>
      </c>
      <c r="I32" s="729">
        <f t="shared" si="18"/>
        <v>21000</v>
      </c>
      <c r="J32" s="729">
        <f t="shared" si="18"/>
        <v>21000</v>
      </c>
      <c r="K32" s="729">
        <f t="shared" si="18"/>
        <v>21000</v>
      </c>
      <c r="L32" s="729">
        <f t="shared" si="18"/>
        <v>21000</v>
      </c>
      <c r="M32" s="729">
        <f t="shared" si="18"/>
        <v>21000</v>
      </c>
      <c r="N32" s="729">
        <f t="shared" si="18"/>
        <v>21000</v>
      </c>
      <c r="O32" s="729">
        <f t="shared" si="18"/>
        <v>21000</v>
      </c>
      <c r="P32" s="650">
        <f t="shared" si="15"/>
        <v>268800</v>
      </c>
      <c r="Q32" s="638" t="s">
        <v>770</v>
      </c>
      <c r="S32" s="638" t="s">
        <v>769</v>
      </c>
    </row>
    <row r="33" spans="1:20" x14ac:dyDescent="0.25">
      <c r="A33" s="654" t="s">
        <v>545</v>
      </c>
      <c r="B33" s="727" t="s">
        <v>535</v>
      </c>
      <c r="C33" s="734" t="s">
        <v>195</v>
      </c>
      <c r="D33" s="729">
        <v>1000</v>
      </c>
      <c r="E33" s="729">
        <v>1000</v>
      </c>
      <c r="F33" s="729">
        <v>1000</v>
      </c>
      <c r="G33" s="729">
        <v>1000</v>
      </c>
      <c r="H33" s="729">
        <v>1000</v>
      </c>
      <c r="I33" s="729">
        <v>1000</v>
      </c>
      <c r="J33" s="729">
        <v>1000</v>
      </c>
      <c r="K33" s="729">
        <v>1000</v>
      </c>
      <c r="L33" s="729">
        <v>1000</v>
      </c>
      <c r="M33" s="729">
        <v>1000</v>
      </c>
      <c r="N33" s="729">
        <v>1000</v>
      </c>
      <c r="O33" s="729">
        <v>1000</v>
      </c>
      <c r="P33" s="650">
        <f t="shared" si="13"/>
        <v>12000</v>
      </c>
      <c r="Q33" s="638" t="s">
        <v>770</v>
      </c>
      <c r="S33" s="638" t="s">
        <v>769</v>
      </c>
    </row>
    <row r="34" spans="1:20" x14ac:dyDescent="0.25">
      <c r="A34" s="731" t="s">
        <v>605</v>
      </c>
      <c r="B34" s="648" t="s">
        <v>646</v>
      </c>
      <c r="C34" s="734" t="s">
        <v>80</v>
      </c>
      <c r="D34" s="729"/>
      <c r="E34" s="729">
        <f>+$P$21</f>
        <v>2240.8812947589668</v>
      </c>
      <c r="F34" s="729">
        <f t="shared" ref="F34:O35" si="19">+$P$21</f>
        <v>2240.8812947589668</v>
      </c>
      <c r="G34" s="729">
        <f t="shared" si="19"/>
        <v>2240.8812947589668</v>
      </c>
      <c r="H34" s="729">
        <f t="shared" si="19"/>
        <v>2240.8812947589668</v>
      </c>
      <c r="I34" s="729">
        <f t="shared" si="19"/>
        <v>2240.8812947589668</v>
      </c>
      <c r="J34" s="729">
        <f t="shared" si="19"/>
        <v>2240.8812947589668</v>
      </c>
      <c r="K34" s="729">
        <f t="shared" si="19"/>
        <v>2240.8812947589668</v>
      </c>
      <c r="L34" s="729">
        <f t="shared" si="19"/>
        <v>2240.8812947589668</v>
      </c>
      <c r="M34" s="729">
        <f t="shared" si="19"/>
        <v>2240.8812947589668</v>
      </c>
      <c r="N34" s="729">
        <f t="shared" si="19"/>
        <v>2240.8812947589668</v>
      </c>
      <c r="O34" s="729">
        <f t="shared" si="19"/>
        <v>2240.8812947589668</v>
      </c>
      <c r="P34" s="650">
        <f>SUM(D34:O34)</f>
        <v>24649.69424234864</v>
      </c>
      <c r="Q34" s="638" t="s">
        <v>770</v>
      </c>
      <c r="S34" s="638" t="s">
        <v>769</v>
      </c>
    </row>
    <row r="35" spans="1:20" x14ac:dyDescent="0.25">
      <c r="A35" s="731" t="s">
        <v>605</v>
      </c>
      <c r="B35" s="648" t="s">
        <v>648</v>
      </c>
      <c r="C35" s="734" t="s">
        <v>80</v>
      </c>
      <c r="D35" s="729"/>
      <c r="E35" s="729"/>
      <c r="F35" s="729"/>
      <c r="G35" s="729"/>
      <c r="H35" s="729">
        <f>+$P$21</f>
        <v>2240.8812947589668</v>
      </c>
      <c r="I35" s="729">
        <f>+$P$21</f>
        <v>2240.8812947589668</v>
      </c>
      <c r="J35" s="729">
        <f t="shared" si="19"/>
        <v>2240.8812947589668</v>
      </c>
      <c r="K35" s="729">
        <f t="shared" si="19"/>
        <v>2240.8812947589668</v>
      </c>
      <c r="L35" s="729">
        <f t="shared" si="19"/>
        <v>2240.8812947589668</v>
      </c>
      <c r="M35" s="729">
        <f t="shared" si="19"/>
        <v>2240.8812947589668</v>
      </c>
      <c r="N35" s="729">
        <f t="shared" si="19"/>
        <v>2240.8812947589668</v>
      </c>
      <c r="O35" s="729">
        <f t="shared" si="19"/>
        <v>2240.8812947589668</v>
      </c>
      <c r="P35" s="650">
        <f>SUM(D35:O35)</f>
        <v>17927.050358071734</v>
      </c>
      <c r="Q35" s="638" t="s">
        <v>770</v>
      </c>
      <c r="S35" s="638" t="s">
        <v>769</v>
      </c>
    </row>
    <row r="36" spans="1:20" x14ac:dyDescent="0.25">
      <c r="A36" s="654" t="s">
        <v>545</v>
      </c>
      <c r="B36" s="648" t="s">
        <v>536</v>
      </c>
      <c r="C36" s="734" t="s">
        <v>83</v>
      </c>
      <c r="D36" s="728"/>
      <c r="E36" s="728"/>
      <c r="F36" s="728"/>
      <c r="G36" s="728"/>
      <c r="H36" s="728">
        <f>700*0</f>
        <v>0</v>
      </c>
      <c r="I36" s="728">
        <v>0</v>
      </c>
      <c r="J36" s="728">
        <v>700</v>
      </c>
      <c r="K36" s="728">
        <v>700</v>
      </c>
      <c r="L36" s="728">
        <v>700</v>
      </c>
      <c r="M36" s="728">
        <v>700</v>
      </c>
      <c r="N36" s="728">
        <v>700</v>
      </c>
      <c r="O36" s="728">
        <v>700</v>
      </c>
      <c r="P36" s="945">
        <f t="shared" si="13"/>
        <v>4200</v>
      </c>
      <c r="Q36" s="638" t="s">
        <v>602</v>
      </c>
      <c r="R36" s="638" t="s">
        <v>769</v>
      </c>
      <c r="S36" s="943">
        <v>37563</v>
      </c>
    </row>
    <row r="37" spans="1:20" x14ac:dyDescent="0.25">
      <c r="A37" s="654" t="s">
        <v>545</v>
      </c>
      <c r="B37" s="648" t="s">
        <v>537</v>
      </c>
      <c r="C37" s="734" t="s">
        <v>83</v>
      </c>
      <c r="D37" s="729"/>
      <c r="E37" s="729"/>
      <c r="F37" s="729">
        <v>222.8</v>
      </c>
      <c r="G37" s="729">
        <v>222.8</v>
      </c>
      <c r="H37" s="729">
        <v>222.8</v>
      </c>
      <c r="I37" s="729">
        <v>222.8</v>
      </c>
      <c r="J37" s="729">
        <v>222.8</v>
      </c>
      <c r="K37" s="729">
        <v>222.8</v>
      </c>
      <c r="L37" s="729">
        <v>222.8</v>
      </c>
      <c r="M37" s="729">
        <v>222.8</v>
      </c>
      <c r="N37" s="729">
        <v>222.8</v>
      </c>
      <c r="O37" s="729">
        <v>222.8</v>
      </c>
      <c r="P37" s="650">
        <f t="shared" si="13"/>
        <v>2228</v>
      </c>
      <c r="Q37" s="638" t="s">
        <v>770</v>
      </c>
      <c r="S37" s="638" t="s">
        <v>769</v>
      </c>
      <c r="T37" s="943"/>
    </row>
    <row r="38" spans="1:20" x14ac:dyDescent="0.25">
      <c r="A38" s="731" t="s">
        <v>605</v>
      </c>
      <c r="B38" s="648" t="s">
        <v>647</v>
      </c>
      <c r="C38" s="734" t="s">
        <v>615</v>
      </c>
      <c r="D38" s="729"/>
      <c r="E38" s="944">
        <f t="shared" ref="E38:I38" si="20">1*$D$22</f>
        <v>211.30421052631579</v>
      </c>
      <c r="F38" s="729">
        <f t="shared" si="20"/>
        <v>211.30421052631579</v>
      </c>
      <c r="G38" s="729">
        <f t="shared" si="20"/>
        <v>211.30421052631579</v>
      </c>
      <c r="H38" s="729">
        <f t="shared" si="20"/>
        <v>211.30421052631579</v>
      </c>
      <c r="I38" s="729">
        <f t="shared" si="20"/>
        <v>211.30421052631579</v>
      </c>
      <c r="J38" s="729">
        <f>1*$D$22</f>
        <v>211.30421052631579</v>
      </c>
      <c r="K38" s="729">
        <f t="shared" ref="K38:O39" si="21">1*$D$22</f>
        <v>211.30421052631579</v>
      </c>
      <c r="L38" s="729">
        <f t="shared" si="21"/>
        <v>211.30421052631579</v>
      </c>
      <c r="M38" s="729">
        <f t="shared" si="21"/>
        <v>211.30421052631579</v>
      </c>
      <c r="N38" s="729">
        <f t="shared" si="21"/>
        <v>211.30421052631579</v>
      </c>
      <c r="O38" s="729">
        <f t="shared" si="21"/>
        <v>211.30421052631579</v>
      </c>
      <c r="P38" s="650">
        <f>SUM(D38:O38)</f>
        <v>2324.3463157894735</v>
      </c>
      <c r="Q38" s="638" t="s">
        <v>770</v>
      </c>
      <c r="S38" s="638" t="s">
        <v>769</v>
      </c>
    </row>
    <row r="39" spans="1:20" x14ac:dyDescent="0.25">
      <c r="A39" s="731" t="s">
        <v>605</v>
      </c>
      <c r="B39" s="648" t="s">
        <v>648</v>
      </c>
      <c r="C39" s="734" t="s">
        <v>615</v>
      </c>
      <c r="D39" s="729"/>
      <c r="E39" s="944"/>
      <c r="F39" s="729"/>
      <c r="G39" s="729"/>
      <c r="H39" s="729">
        <f>1*$D$22</f>
        <v>211.30421052631579</v>
      </c>
      <c r="I39" s="729">
        <f>1*$D$22</f>
        <v>211.30421052631579</v>
      </c>
      <c r="J39" s="729">
        <f>1*$D$22</f>
        <v>211.30421052631579</v>
      </c>
      <c r="K39" s="729">
        <f t="shared" si="21"/>
        <v>211.30421052631579</v>
      </c>
      <c r="L39" s="729">
        <f t="shared" si="21"/>
        <v>211.30421052631579</v>
      </c>
      <c r="M39" s="729">
        <f t="shared" si="21"/>
        <v>211.30421052631579</v>
      </c>
      <c r="N39" s="729">
        <f t="shared" si="21"/>
        <v>211.30421052631579</v>
      </c>
      <c r="O39" s="729">
        <f t="shared" si="21"/>
        <v>211.30421052631579</v>
      </c>
      <c r="P39" s="650">
        <f>SUM(D39:O39)</f>
        <v>1690.4336842105261</v>
      </c>
      <c r="Q39" s="638" t="s">
        <v>770</v>
      </c>
      <c r="S39" s="943" t="s">
        <v>769</v>
      </c>
    </row>
    <row r="40" spans="1:20" x14ac:dyDescent="0.25">
      <c r="A40" s="731" t="s">
        <v>605</v>
      </c>
      <c r="B40" s="648" t="s">
        <v>538</v>
      </c>
      <c r="C40" s="734" t="s">
        <v>611</v>
      </c>
      <c r="D40" s="728"/>
      <c r="E40" s="728"/>
      <c r="F40" s="728"/>
      <c r="G40" s="728"/>
      <c r="H40" s="728"/>
      <c r="I40" s="728"/>
      <c r="J40" s="728">
        <f>3*$D$22</f>
        <v>633.91263157894741</v>
      </c>
      <c r="K40" s="728">
        <f>3*$D$22</f>
        <v>633.91263157894741</v>
      </c>
      <c r="L40" s="728">
        <f t="shared" ref="L40:O41" si="22">3*$D$22</f>
        <v>633.91263157894741</v>
      </c>
      <c r="M40" s="728">
        <f t="shared" si="22"/>
        <v>633.91263157894741</v>
      </c>
      <c r="N40" s="728">
        <f t="shared" si="22"/>
        <v>633.91263157894741</v>
      </c>
      <c r="O40" s="728">
        <f t="shared" si="22"/>
        <v>633.91263157894741</v>
      </c>
      <c r="P40" s="945">
        <f t="shared" si="13"/>
        <v>3803.475789473684</v>
      </c>
      <c r="Q40" s="638" t="s">
        <v>602</v>
      </c>
    </row>
    <row r="41" spans="1:20" x14ac:dyDescent="0.25">
      <c r="A41" s="731" t="s">
        <v>605</v>
      </c>
      <c r="B41" s="648" t="s">
        <v>645</v>
      </c>
      <c r="C41" s="734" t="s">
        <v>611</v>
      </c>
      <c r="D41" s="728"/>
      <c r="E41" s="728"/>
      <c r="F41" s="728"/>
      <c r="G41" s="728"/>
      <c r="H41" s="728"/>
      <c r="I41" s="728"/>
      <c r="J41" s="728"/>
      <c r="K41" s="728">
        <f>3*$D$22</f>
        <v>633.91263157894741</v>
      </c>
      <c r="L41" s="728">
        <f t="shared" si="22"/>
        <v>633.91263157894741</v>
      </c>
      <c r="M41" s="728">
        <f t="shared" si="22"/>
        <v>633.91263157894741</v>
      </c>
      <c r="N41" s="728">
        <f t="shared" si="22"/>
        <v>633.91263157894741</v>
      </c>
      <c r="O41" s="728">
        <f t="shared" si="22"/>
        <v>633.91263157894741</v>
      </c>
      <c r="P41" s="945">
        <f t="shared" si="13"/>
        <v>3169.5631578947368</v>
      </c>
      <c r="Q41" s="638" t="s">
        <v>602</v>
      </c>
    </row>
    <row r="42" spans="1:20" x14ac:dyDescent="0.25">
      <c r="A42" s="654" t="s">
        <v>545</v>
      </c>
      <c r="B42" s="648" t="s">
        <v>539</v>
      </c>
      <c r="C42" s="734" t="s">
        <v>76</v>
      </c>
      <c r="D42" s="728"/>
      <c r="E42" s="728"/>
      <c r="F42" s="728"/>
      <c r="G42" s="728"/>
      <c r="H42" s="728">
        <f>+$P$42/SUM($H$23:$O$23)*H23*0</f>
        <v>0</v>
      </c>
      <c r="I42" s="728">
        <v>0</v>
      </c>
      <c r="J42" s="728">
        <f t="shared" ref="J42:O42" si="23">+$P$42/SUM($H$23:$O$23)*J23</f>
        <v>6460.022647330733</v>
      </c>
      <c r="K42" s="728">
        <f t="shared" si="23"/>
        <v>6306.2730917982744</v>
      </c>
      <c r="L42" s="728">
        <f t="shared" si="23"/>
        <v>8720.9988074593948</v>
      </c>
      <c r="M42" s="728">
        <f t="shared" si="23"/>
        <v>7936.5266434358291</v>
      </c>
      <c r="N42" s="728">
        <f t="shared" si="23"/>
        <v>8249.1083844357036</v>
      </c>
      <c r="O42" s="728">
        <f t="shared" si="23"/>
        <v>6701.1299048702695</v>
      </c>
      <c r="P42" s="945">
        <v>58070</v>
      </c>
      <c r="Q42" s="638" t="s">
        <v>602</v>
      </c>
      <c r="R42" s="638" t="s">
        <v>769</v>
      </c>
    </row>
    <row r="43" spans="1:20" x14ac:dyDescent="0.25">
      <c r="A43" s="731"/>
      <c r="B43" s="753"/>
      <c r="C43" s="734"/>
      <c r="D43" s="729"/>
      <c r="E43" s="729"/>
      <c r="F43" s="729"/>
      <c r="G43" s="729"/>
      <c r="H43" s="729"/>
      <c r="I43" s="729"/>
      <c r="J43" s="729"/>
      <c r="K43" s="729"/>
      <c r="L43" s="729"/>
      <c r="M43" s="729"/>
      <c r="N43" s="729"/>
      <c r="O43" s="729"/>
      <c r="P43" s="650"/>
    </row>
    <row r="44" spans="1:20" ht="14.4" x14ac:dyDescent="0.25">
      <c r="B44" s="738"/>
      <c r="C44" s="735" t="s">
        <v>114</v>
      </c>
      <c r="D44" s="736">
        <f t="shared" ref="D44:P44" si="24">SUM(D25:D42)</f>
        <v>46094.777533203487</v>
      </c>
      <c r="E44" s="736">
        <f t="shared" si="24"/>
        <v>31013.126009788015</v>
      </c>
      <c r="F44" s="736">
        <f t="shared" si="24"/>
        <v>28218.167565355525</v>
      </c>
      <c r="G44" s="736">
        <f t="shared" si="24"/>
        <v>30528.429478968847</v>
      </c>
      <c r="H44" s="736">
        <f t="shared" si="24"/>
        <v>34045.048621687041</v>
      </c>
      <c r="I44" s="736">
        <f t="shared" si="24"/>
        <v>37147.836041737253</v>
      </c>
      <c r="J44" s="736">
        <f t="shared" si="24"/>
        <v>55912.412075043583</v>
      </c>
      <c r="K44" s="736">
        <f t="shared" si="24"/>
        <v>62829.868724121952</v>
      </c>
      <c r="L44" s="736">
        <f>SUM(L25:L42)</f>
        <v>69726.186156578508</v>
      </c>
      <c r="M44" s="736">
        <f t="shared" si="24"/>
        <v>67485.778881770704</v>
      </c>
      <c r="N44" s="736">
        <f t="shared" si="24"/>
        <v>68378.494313400937</v>
      </c>
      <c r="O44" s="736">
        <f t="shared" si="24"/>
        <v>63957.557018345928</v>
      </c>
      <c r="P44" s="736">
        <f t="shared" si="24"/>
        <v>609033.62294067163</v>
      </c>
    </row>
    <row r="45" spans="1:20" ht="14.4" x14ac:dyDescent="0.25">
      <c r="B45" s="742"/>
      <c r="D45" s="743"/>
      <c r="E45" s="743"/>
      <c r="F45" s="743"/>
      <c r="G45" s="743"/>
      <c r="H45" s="743"/>
      <c r="I45" s="743"/>
      <c r="J45" s="743"/>
      <c r="K45" s="743"/>
      <c r="L45" s="743"/>
      <c r="M45" s="743"/>
      <c r="N45" s="743"/>
      <c r="O45" s="743"/>
      <c r="P45" s="744"/>
    </row>
    <row r="46" spans="1:20" ht="14.4" x14ac:dyDescent="0.25">
      <c r="B46" s="742"/>
      <c r="D46" s="743"/>
      <c r="E46" s="743"/>
      <c r="F46" s="743"/>
      <c r="G46" s="743"/>
      <c r="H46" s="743"/>
      <c r="I46" s="743"/>
      <c r="J46" s="743"/>
      <c r="K46" s="743"/>
      <c r="L46" s="743"/>
      <c r="M46" s="743"/>
      <c r="N46" s="743"/>
      <c r="O46" s="743"/>
      <c r="P46" s="744"/>
    </row>
    <row r="47" spans="1:20" ht="14.4" x14ac:dyDescent="0.25">
      <c r="B47" s="742"/>
      <c r="D47" s="743"/>
      <c r="E47" s="743"/>
      <c r="F47" s="743"/>
      <c r="G47" s="743"/>
      <c r="H47" s="743"/>
      <c r="I47" s="743"/>
      <c r="J47" s="743"/>
      <c r="K47" s="743"/>
      <c r="L47" s="743"/>
      <c r="M47" s="743"/>
      <c r="N47" s="743"/>
      <c r="O47" s="743"/>
      <c r="P47" s="744"/>
    </row>
    <row r="48" spans="1:20" ht="14.4" x14ac:dyDescent="0.25">
      <c r="B48" s="730" t="s">
        <v>607</v>
      </c>
      <c r="C48" s="649" t="s">
        <v>156</v>
      </c>
      <c r="D48" s="729"/>
      <c r="E48" s="729"/>
      <c r="F48" s="729"/>
      <c r="G48" s="729"/>
      <c r="H48" s="732">
        <f>100*(2200-1400)</f>
        <v>80000</v>
      </c>
      <c r="I48" s="732">
        <f t="shared" ref="I48:O48" si="25">100*(2200-1400)</f>
        <v>80000</v>
      </c>
      <c r="J48" s="732">
        <f t="shared" si="25"/>
        <v>80000</v>
      </c>
      <c r="K48" s="732">
        <f t="shared" si="25"/>
        <v>80000</v>
      </c>
      <c r="L48" s="732">
        <f t="shared" si="25"/>
        <v>80000</v>
      </c>
      <c r="M48" s="732">
        <f t="shared" si="25"/>
        <v>80000</v>
      </c>
      <c r="N48" s="732">
        <f t="shared" si="25"/>
        <v>80000</v>
      </c>
      <c r="O48" s="732">
        <f t="shared" si="25"/>
        <v>80000</v>
      </c>
      <c r="P48" s="650">
        <v>640000</v>
      </c>
      <c r="Q48" s="649" t="s">
        <v>608</v>
      </c>
    </row>
    <row r="49" spans="1:17" ht="14.4" x14ac:dyDescent="0.25">
      <c r="B49" s="730" t="s">
        <v>609</v>
      </c>
      <c r="C49" s="649" t="s">
        <v>86</v>
      </c>
      <c r="D49" s="729"/>
      <c r="E49" s="729"/>
      <c r="F49" s="729"/>
      <c r="G49" s="729"/>
      <c r="H49" s="729"/>
      <c r="I49" s="729"/>
      <c r="J49" s="729"/>
      <c r="K49" s="729"/>
      <c r="L49" s="729"/>
      <c r="M49" s="729"/>
      <c r="N49" s="729"/>
      <c r="O49" s="729"/>
      <c r="P49" s="650">
        <v>300000</v>
      </c>
      <c r="Q49" s="649" t="s">
        <v>608</v>
      </c>
    </row>
    <row r="50" spans="1:17" ht="14.4" x14ac:dyDescent="0.25">
      <c r="B50" s="739"/>
      <c r="C50" s="745"/>
      <c r="D50" s="740"/>
      <c r="E50" s="740"/>
      <c r="F50" s="740"/>
      <c r="G50" s="740"/>
      <c r="H50" s="740"/>
      <c r="I50" s="740"/>
      <c r="J50" s="740"/>
      <c r="K50" s="740"/>
      <c r="L50" s="740"/>
      <c r="M50" s="740"/>
      <c r="N50" s="740"/>
      <c r="O50" s="740"/>
      <c r="P50" s="741"/>
    </row>
    <row r="51" spans="1:17" x14ac:dyDescent="0.25">
      <c r="A51" s="737" t="s">
        <v>616</v>
      </c>
      <c r="B51" s="648" t="s">
        <v>540</v>
      </c>
      <c r="C51" s="649" t="s">
        <v>156</v>
      </c>
      <c r="D51" s="729"/>
      <c r="E51" s="729"/>
      <c r="F51" s="729"/>
      <c r="G51" s="729"/>
      <c r="H51" s="729"/>
      <c r="I51" s="729"/>
      <c r="J51" s="729"/>
      <c r="K51" s="729"/>
      <c r="L51" s="729"/>
      <c r="M51" s="729"/>
      <c r="N51" s="729"/>
      <c r="O51" s="729"/>
      <c r="P51" s="650">
        <f t="shared" si="13"/>
        <v>0</v>
      </c>
    </row>
    <row r="52" spans="1:17" x14ac:dyDescent="0.25">
      <c r="A52" s="737" t="s">
        <v>616</v>
      </c>
      <c r="B52" s="648" t="s">
        <v>541</v>
      </c>
      <c r="C52" s="649" t="s">
        <v>156</v>
      </c>
      <c r="D52" s="729"/>
      <c r="E52" s="729"/>
      <c r="F52" s="729"/>
      <c r="G52" s="729"/>
      <c r="H52" s="729"/>
      <c r="I52" s="729"/>
      <c r="J52" s="729"/>
      <c r="K52" s="729"/>
      <c r="L52" s="729"/>
      <c r="M52" s="729"/>
      <c r="N52" s="729"/>
      <c r="O52" s="729"/>
      <c r="P52" s="650">
        <f t="shared" si="13"/>
        <v>0</v>
      </c>
    </row>
    <row r="53" spans="1:17" x14ac:dyDescent="0.25">
      <c r="A53" s="737" t="s">
        <v>616</v>
      </c>
      <c r="B53" s="648" t="s">
        <v>542</v>
      </c>
      <c r="C53" s="649" t="s">
        <v>156</v>
      </c>
      <c r="D53" s="729"/>
      <c r="E53" s="729"/>
      <c r="F53" s="729"/>
      <c r="G53" s="729"/>
      <c r="H53" s="729"/>
      <c r="I53" s="729"/>
      <c r="J53" s="729"/>
      <c r="K53" s="729"/>
      <c r="L53" s="729"/>
      <c r="M53" s="729"/>
      <c r="N53" s="729"/>
      <c r="O53" s="729"/>
      <c r="P53" s="650">
        <f t="shared" si="13"/>
        <v>0</v>
      </c>
    </row>
    <row r="54" spans="1:17" x14ac:dyDescent="0.25">
      <c r="A54" s="737" t="s">
        <v>616</v>
      </c>
      <c r="B54" s="648" t="s">
        <v>543</v>
      </c>
      <c r="C54" s="649" t="s">
        <v>156</v>
      </c>
      <c r="D54" s="729"/>
      <c r="E54" s="729"/>
      <c r="F54" s="729"/>
      <c r="G54" s="729"/>
      <c r="H54" s="729"/>
      <c r="I54" s="729"/>
      <c r="J54" s="729"/>
      <c r="K54" s="729"/>
      <c r="L54" s="729"/>
      <c r="M54" s="729"/>
      <c r="N54" s="729"/>
      <c r="O54" s="729"/>
      <c r="P54" s="650">
        <f t="shared" si="13"/>
        <v>0</v>
      </c>
    </row>
    <row r="55" spans="1:17" x14ac:dyDescent="0.25">
      <c r="A55" s="737" t="s">
        <v>616</v>
      </c>
      <c r="B55" s="648" t="s">
        <v>544</v>
      </c>
      <c r="C55" s="649" t="s">
        <v>156</v>
      </c>
      <c r="D55" s="729"/>
      <c r="E55" s="729"/>
      <c r="F55" s="729"/>
      <c r="G55" s="729"/>
      <c r="H55" s="729"/>
      <c r="I55" s="729"/>
      <c r="J55" s="729"/>
      <c r="K55" s="729"/>
      <c r="L55" s="729"/>
      <c r="M55" s="729"/>
      <c r="N55" s="729"/>
      <c r="O55" s="729"/>
      <c r="P55" s="650">
        <f t="shared" si="13"/>
        <v>0</v>
      </c>
    </row>
    <row r="56" spans="1:17" x14ac:dyDescent="0.25">
      <c r="C56" s="654"/>
      <c r="D56" s="655">
        <f>SUM(D25:D55)</f>
        <v>92189.555066406974</v>
      </c>
      <c r="E56" s="656">
        <f t="shared" ref="E56:P56" si="26">SUM(E25:E55)</f>
        <v>62026.25201957603</v>
      </c>
      <c r="F56" s="656">
        <f t="shared" si="26"/>
        <v>56436.33513071105</v>
      </c>
      <c r="G56" s="656">
        <f t="shared" si="26"/>
        <v>61056.858957937693</v>
      </c>
      <c r="H56" s="656">
        <f t="shared" si="26"/>
        <v>148090.0972433741</v>
      </c>
      <c r="I56" s="656">
        <f t="shared" si="26"/>
        <v>154295.67208347452</v>
      </c>
      <c r="J56" s="656">
        <f t="shared" si="26"/>
        <v>191824.82415008717</v>
      </c>
      <c r="K56" s="656">
        <f t="shared" si="26"/>
        <v>205659.73744824389</v>
      </c>
      <c r="L56" s="656">
        <f t="shared" si="26"/>
        <v>219452.37231315702</v>
      </c>
      <c r="M56" s="656">
        <f t="shared" si="26"/>
        <v>214971.55776354141</v>
      </c>
      <c r="N56" s="656">
        <f t="shared" si="26"/>
        <v>216756.98862680187</v>
      </c>
      <c r="O56" s="656">
        <f t="shared" si="26"/>
        <v>207915.11403669184</v>
      </c>
      <c r="P56" s="656">
        <f t="shared" si="26"/>
        <v>2158067.2458813433</v>
      </c>
    </row>
    <row r="60" spans="1:17" x14ac:dyDescent="0.25">
      <c r="F60" s="744">
        <f>F44-F18</f>
        <v>21060.644190247473</v>
      </c>
      <c r="G60" s="744">
        <f>G44-G18</f>
        <v>16744.173709607538</v>
      </c>
    </row>
  </sheetData>
  <autoFilter ref="A24:S44" xr:uid="{AC20BCB8-F324-40D2-9766-EF1F3F7F92CA}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9F2B3-5561-468E-848F-001985DF7C08}">
  <sheetPr codeName="Sheet17">
    <tabColor rgb="FF0070C0"/>
  </sheetPr>
  <dimension ref="A1:AJ72"/>
  <sheetViews>
    <sheetView showGridLines="0" tabSelected="1" zoomScale="70" zoomScaleNormal="70" zoomScaleSheetLayoutView="50" workbookViewId="0">
      <pane xSplit="1" topLeftCell="B1" activePane="topRight" state="frozen"/>
      <selection pane="topRight" activeCell="E6" sqref="E6"/>
    </sheetView>
  </sheetViews>
  <sheetFormatPr defaultRowHeight="14.4" outlineLevelCol="1" x14ac:dyDescent="0.3"/>
  <cols>
    <col min="1" max="1" width="37.33203125" customWidth="1"/>
    <col min="2" max="2" width="10.5546875" customWidth="1"/>
    <col min="3" max="3" width="8.5546875" customWidth="1"/>
    <col min="4" max="4" width="11.109375" bestFit="1" customWidth="1"/>
    <col min="5" max="5" width="15.5546875" bestFit="1" customWidth="1"/>
    <col min="6" max="6" width="10.109375" hidden="1" customWidth="1" outlineLevel="1"/>
    <col min="7" max="7" width="11.5546875" hidden="1" customWidth="1" outlineLevel="1"/>
    <col min="8" max="8" width="10.109375" hidden="1" customWidth="1" outlineLevel="1"/>
    <col min="9" max="9" width="11.5546875" customWidth="1" collapsed="1"/>
    <col min="10" max="14" width="11.21875" customWidth="1" outlineLevel="1"/>
    <col min="15" max="15" width="9.109375" customWidth="1" outlineLevel="1"/>
    <col min="16" max="16" width="10.21875" customWidth="1"/>
    <col min="17" max="17" width="9.44140625" customWidth="1"/>
    <col min="18" max="18" width="7.77734375" style="50" bestFit="1" customWidth="1"/>
    <col min="19" max="19" width="9.6640625" style="50" bestFit="1" customWidth="1"/>
    <col min="20" max="20" width="8.88671875" style="50" bestFit="1" customWidth="1"/>
    <col min="21" max="21" width="9.33203125" style="50" bestFit="1" customWidth="1"/>
    <col min="22" max="22" width="13.33203125" style="50" customWidth="1"/>
    <col min="23" max="23" width="15.109375" style="50" customWidth="1"/>
    <col min="24" max="24" width="12.109375" style="50" bestFit="1" customWidth="1"/>
    <col min="25" max="25" width="9.44140625" customWidth="1"/>
    <col min="26" max="26" width="15.109375" style="50" customWidth="1"/>
    <col min="27" max="27" width="12.109375" style="50" bestFit="1" customWidth="1"/>
    <col min="28" max="28" width="9.44140625" customWidth="1"/>
    <col min="29" max="29" width="7.109375" hidden="1" customWidth="1"/>
    <col min="30" max="30" width="7.88671875" hidden="1" customWidth="1"/>
    <col min="31" max="31" width="10" hidden="1" customWidth="1"/>
    <col min="32" max="32" width="7.88671875" hidden="1" customWidth="1"/>
    <col min="33" max="33" width="5.5546875" hidden="1" customWidth="1"/>
    <col min="34" max="34" width="8.88671875" style="35"/>
    <col min="36" max="36" width="17.77734375" bestFit="1" customWidth="1"/>
  </cols>
  <sheetData>
    <row r="1" spans="1:36" ht="9" customHeight="1" x14ac:dyDescent="0.3">
      <c r="A1" s="51"/>
      <c r="B1" s="51"/>
      <c r="C1" s="51"/>
      <c r="D1" s="52"/>
      <c r="E1" s="51"/>
      <c r="F1" s="53"/>
      <c r="G1" s="53"/>
      <c r="H1" s="53"/>
      <c r="I1" s="53"/>
      <c r="J1" s="51"/>
      <c r="K1" s="190"/>
      <c r="L1" s="51"/>
      <c r="M1" s="51"/>
      <c r="N1" s="51"/>
      <c r="O1" s="51"/>
      <c r="P1" s="53"/>
      <c r="Q1" s="190"/>
      <c r="R1" s="51"/>
      <c r="S1" s="51"/>
      <c r="T1" s="51"/>
      <c r="U1" s="51"/>
      <c r="V1" s="51"/>
      <c r="W1" s="51"/>
      <c r="X1" s="51"/>
      <c r="Y1" s="190"/>
      <c r="Z1" s="51"/>
      <c r="AA1" s="51"/>
      <c r="AB1" s="190"/>
    </row>
    <row r="2" spans="1:36" ht="14.55" customHeight="1" x14ac:dyDescent="0.3">
      <c r="A2" s="1199" t="s">
        <v>1024</v>
      </c>
      <c r="B2" s="1201" t="s">
        <v>623</v>
      </c>
      <c r="C2" s="1202"/>
      <c r="D2" s="1205"/>
      <c r="E2" s="1199" t="s">
        <v>60</v>
      </c>
      <c r="F2" s="1206" t="s">
        <v>61</v>
      </c>
      <c r="G2" s="1197" t="s">
        <v>62</v>
      </c>
      <c r="H2" s="1216" t="s">
        <v>63</v>
      </c>
      <c r="I2" s="1199" t="s">
        <v>64</v>
      </c>
      <c r="J2" s="1208" t="s">
        <v>422</v>
      </c>
      <c r="K2" s="1208" t="s">
        <v>45</v>
      </c>
      <c r="L2" s="1208" t="s">
        <v>47</v>
      </c>
      <c r="M2" s="1208" t="s">
        <v>49</v>
      </c>
      <c r="N2" s="1208" t="s">
        <v>51</v>
      </c>
      <c r="O2" s="1208" t="s">
        <v>55</v>
      </c>
      <c r="P2" s="1210" t="s">
        <v>65</v>
      </c>
      <c r="Q2" s="1212" t="s">
        <v>57</v>
      </c>
      <c r="R2" s="1213"/>
      <c r="S2" s="60"/>
      <c r="T2" s="60"/>
      <c r="U2" s="60"/>
      <c r="V2" s="60"/>
      <c r="W2" s="60"/>
      <c r="X2" s="60"/>
      <c r="Y2" s="60"/>
      <c r="Z2" s="60"/>
      <c r="AA2" s="60"/>
      <c r="AB2" s="60"/>
      <c r="AC2" t="s">
        <v>596</v>
      </c>
      <c r="AD2" s="771">
        <v>53.485975109999984</v>
      </c>
    </row>
    <row r="3" spans="1:36" x14ac:dyDescent="0.3">
      <c r="A3" s="1200"/>
      <c r="B3" s="1203"/>
      <c r="C3" s="1204"/>
      <c r="D3" s="1205"/>
      <c r="E3" s="1200"/>
      <c r="F3" s="1207"/>
      <c r="G3" s="1198"/>
      <c r="H3" s="1217"/>
      <c r="I3" s="1200"/>
      <c r="J3" s="1209"/>
      <c r="K3" s="1209"/>
      <c r="L3" s="1209"/>
      <c r="M3" s="1209"/>
      <c r="N3" s="1209"/>
      <c r="O3" s="1209"/>
      <c r="P3" s="1211"/>
      <c r="Q3" s="1214"/>
      <c r="R3" s="1215"/>
      <c r="S3" s="60"/>
      <c r="T3" s="60"/>
      <c r="U3" s="60"/>
      <c r="V3" s="60"/>
      <c r="W3" s="60"/>
      <c r="X3" s="60"/>
      <c r="Y3" s="60"/>
      <c r="Z3" s="60"/>
      <c r="AA3" s="60"/>
      <c r="AB3" s="60"/>
      <c r="AC3" t="s">
        <v>597</v>
      </c>
      <c r="AD3" s="771">
        <v>51.632775056689354</v>
      </c>
      <c r="AF3">
        <f>2300-1600</f>
        <v>700</v>
      </c>
    </row>
    <row r="4" spans="1:36" x14ac:dyDescent="0.3">
      <c r="A4" s="51"/>
      <c r="B4" s="1221">
        <f>'data entry '!Q3</f>
        <v>53265</v>
      </c>
      <c r="C4" s="1222"/>
      <c r="D4" s="52"/>
      <c r="E4" s="59">
        <f>Q4-B4</f>
        <v>-79</v>
      </c>
      <c r="Q4" s="1221">
        <f>'data entry '!Q115</f>
        <v>53186</v>
      </c>
      <c r="R4" s="1222"/>
      <c r="S4" s="61"/>
      <c r="T4" s="754" t="s">
        <v>624</v>
      </c>
      <c r="U4" s="755" t="s">
        <v>66</v>
      </c>
      <c r="V4" s="755" t="s">
        <v>625</v>
      </c>
      <c r="W4" s="61"/>
      <c r="X4" s="1196" t="s">
        <v>410</v>
      </c>
      <c r="Y4" s="1196"/>
      <c r="Z4" s="61"/>
      <c r="AA4" s="1196" t="s">
        <v>1049</v>
      </c>
      <c r="AB4" s="1196"/>
      <c r="AF4">
        <f>+AF3*54</f>
        <v>37800</v>
      </c>
    </row>
    <row r="5" spans="1:36" x14ac:dyDescent="0.3">
      <c r="A5" s="55" t="s">
        <v>68</v>
      </c>
      <c r="B5" s="54"/>
      <c r="C5" s="51"/>
      <c r="D5" s="52"/>
      <c r="E5" s="268">
        <f>E4/B4</f>
        <v>-1.4831502863043274E-3</v>
      </c>
      <c r="F5" s="191"/>
      <c r="G5" s="191"/>
      <c r="H5" s="53"/>
      <c r="I5" s="191"/>
      <c r="J5" s="51"/>
      <c r="K5" s="51"/>
      <c r="L5" s="51"/>
      <c r="M5" s="51"/>
      <c r="N5" s="51"/>
      <c r="O5" s="278"/>
      <c r="P5" s="53"/>
      <c r="Q5" s="323"/>
      <c r="R5" s="324"/>
      <c r="S5" s="930"/>
      <c r="T5" s="325"/>
      <c r="U5" s="325"/>
      <c r="V5" s="325"/>
      <c r="W5" s="325"/>
      <c r="X5" s="325"/>
      <c r="Y5" s="323"/>
      <c r="Z5" s="325"/>
      <c r="AA5" s="325"/>
      <c r="AB5" s="323"/>
    </row>
    <row r="6" spans="1:36" ht="22.2" customHeight="1" x14ac:dyDescent="0.3">
      <c r="A6" s="51"/>
      <c r="B6" s="318" t="s">
        <v>71</v>
      </c>
      <c r="C6" s="316" t="s">
        <v>72</v>
      </c>
      <c r="D6" s="52"/>
      <c r="E6" s="318" t="s">
        <v>71</v>
      </c>
      <c r="F6" s="318" t="s">
        <v>71</v>
      </c>
      <c r="G6" s="318" t="s">
        <v>71</v>
      </c>
      <c r="H6" s="318" t="s">
        <v>71</v>
      </c>
      <c r="I6" s="318" t="s">
        <v>71</v>
      </c>
      <c r="J6" s="318" t="s">
        <v>71</v>
      </c>
      <c r="K6" s="318" t="s">
        <v>71</v>
      </c>
      <c r="L6" s="318" t="s">
        <v>71</v>
      </c>
      <c r="M6" s="318" t="s">
        <v>71</v>
      </c>
      <c r="N6" s="318" t="s">
        <v>73</v>
      </c>
      <c r="O6" s="318" t="s">
        <v>71</v>
      </c>
      <c r="P6" s="316" t="s">
        <v>71</v>
      </c>
      <c r="Q6" s="319" t="s">
        <v>71</v>
      </c>
      <c r="R6" s="316" t="s">
        <v>72</v>
      </c>
      <c r="S6" s="61"/>
      <c r="T6" s="756" t="s">
        <v>71</v>
      </c>
      <c r="U6" s="757" t="s">
        <v>71</v>
      </c>
      <c r="V6" s="757" t="s">
        <v>71</v>
      </c>
      <c r="W6" s="61"/>
      <c r="X6" s="772" t="s">
        <v>1048</v>
      </c>
      <c r="Y6" s="772" t="s">
        <v>631</v>
      </c>
      <c r="Z6" s="61"/>
      <c r="AA6" s="772" t="s">
        <v>1048</v>
      </c>
      <c r="AB6" s="772" t="s">
        <v>631</v>
      </c>
      <c r="AD6" s="316" t="s">
        <v>599</v>
      </c>
      <c r="AE6" s="316" t="s">
        <v>621</v>
      </c>
      <c r="AF6" s="316" t="s">
        <v>620</v>
      </c>
      <c r="AJ6" s="724"/>
    </row>
    <row r="7" spans="1:36" x14ac:dyDescent="0.3">
      <c r="A7" s="382" t="s">
        <v>74</v>
      </c>
      <c r="B7" s="56">
        <f>'data entry '!Q5</f>
        <v>503</v>
      </c>
      <c r="C7" s="1178">
        <f>B7/$B$4*1000</f>
        <v>9.4433492912794517</v>
      </c>
      <c r="D7" s="398"/>
      <c r="E7" s="334">
        <f>I7-B7</f>
        <v>-7.659993827120843</v>
      </c>
      <c r="F7" s="347">
        <f>'data entry '!Q84</f>
        <v>598.40414052631547</v>
      </c>
      <c r="G7" s="347">
        <f>'data entry '!Q39</f>
        <v>-103.06413435343633</v>
      </c>
      <c r="H7" s="492"/>
      <c r="I7" s="337">
        <f>F7+G7</f>
        <v>495.34000617287916</v>
      </c>
      <c r="J7" s="331">
        <f>-'ACE 2026'!G43/1000</f>
        <v>18.259368401817213</v>
      </c>
      <c r="K7" s="331">
        <f>(-150+7)+-3.57958180052549</f>
        <v>-146.57958180052549</v>
      </c>
      <c r="L7" s="331"/>
      <c r="M7" s="331">
        <f>16.486-36+1.418+16</f>
        <v>-2.0960000000000001</v>
      </c>
      <c r="N7" s="331">
        <f>SAP_ACT_EUR!P20/1000</f>
        <v>26.709817225829113</v>
      </c>
      <c r="O7" s="331"/>
      <c r="P7" s="400">
        <f>SUM(J7:O7)</f>
        <v>-103.70639617287918</v>
      </c>
      <c r="Q7" s="308">
        <f>'data entry '!Q117</f>
        <v>391.63361000000003</v>
      </c>
      <c r="R7" s="1163">
        <f>Q7*1000/$Q$4</f>
        <v>7.3634717782875203</v>
      </c>
      <c r="S7" s="386">
        <f>Q7-SUM(I7:O7)</f>
        <v>0</v>
      </c>
      <c r="T7" s="758">
        <f>+Q7-I7</f>
        <v>-103.70639617287912</v>
      </c>
      <c r="U7" s="763"/>
      <c r="V7" s="763">
        <f>+T7+U7</f>
        <v>-103.70639617287912</v>
      </c>
      <c r="W7" s="386"/>
      <c r="X7" s="421">
        <v>-67.706187064220885</v>
      </c>
      <c r="Y7" s="421">
        <f>+P7-X7</f>
        <v>-36.000209108658296</v>
      </c>
      <c r="Z7" s="386"/>
      <c r="AA7" s="421">
        <v>460.99009772594502</v>
      </c>
      <c r="AB7" s="421">
        <f>+Q7-AA7</f>
        <v>-69.356487725944987</v>
      </c>
      <c r="AD7" s="332">
        <f t="shared" ref="AD7:AD20" si="0">SUM(I7:L7)*1000/$Q$4</f>
        <v>6.900684254769506</v>
      </c>
      <c r="AE7" s="332">
        <f>+AF7-AD7</f>
        <v>0.46278752351801433</v>
      </c>
      <c r="AF7" s="332">
        <f t="shared" ref="AF7:AF20" si="1">R7</f>
        <v>7.3634717782875203</v>
      </c>
      <c r="AH7" s="1195" t="s">
        <v>1058</v>
      </c>
      <c r="AJ7" s="35"/>
    </row>
    <row r="8" spans="1:36" x14ac:dyDescent="0.3">
      <c r="A8" s="383" t="s">
        <v>75</v>
      </c>
      <c r="B8" s="56">
        <f>'data entry '!Q6</f>
        <v>35.762038109159064</v>
      </c>
      <c r="C8" s="1178">
        <f t="shared" ref="C8:C20" si="2">B8/$B$4*1000</f>
        <v>0.67139844380285485</v>
      </c>
      <c r="D8" s="398"/>
      <c r="E8" s="334">
        <f t="shared" ref="E8:E9" si="3">I8-B8</f>
        <v>-1.2346734939338333</v>
      </c>
      <c r="F8" s="347">
        <f>'data entry '!Q85</f>
        <v>39.841031929824631</v>
      </c>
      <c r="G8" s="347">
        <f>'data entry '!Q40</f>
        <v>-5.3136673145993996</v>
      </c>
      <c r="H8" s="492"/>
      <c r="I8" s="337">
        <f t="shared" ref="I8:I9" si="4">F8+G8</f>
        <v>34.527364615225231</v>
      </c>
      <c r="J8" s="401"/>
      <c r="K8" s="331">
        <v>-5.5114586896242379</v>
      </c>
      <c r="L8" s="331"/>
      <c r="M8" s="331">
        <v>-3</v>
      </c>
      <c r="N8" s="401">
        <f>SAP_ACT_EUR!P96/1000</f>
        <v>2.644744074399008</v>
      </c>
      <c r="O8" s="331"/>
      <c r="P8" s="400">
        <f t="shared" ref="P8:P19" si="5">SUM(J8:O8)</f>
        <v>-5.8667146152252299</v>
      </c>
      <c r="Q8" s="308">
        <f>'data entry '!Q118</f>
        <v>28.66065</v>
      </c>
      <c r="R8" s="1163">
        <f t="shared" ref="R8:R20" si="6">Q8*1000/$Q$4</f>
        <v>0.53887583198586098</v>
      </c>
      <c r="S8" s="386">
        <f t="shared" ref="S8:S36" si="7">Q8-SUM(I8:O8)</f>
        <v>0</v>
      </c>
      <c r="T8" s="759">
        <f t="shared" ref="T8:T36" si="8">+Q8-I8</f>
        <v>-5.8667146152252307</v>
      </c>
      <c r="U8" s="764"/>
      <c r="V8" s="764">
        <f t="shared" ref="V8:V36" si="9">+T8+U8</f>
        <v>-5.8667146152252307</v>
      </c>
      <c r="W8" s="386"/>
      <c r="X8" s="421">
        <v>2.8968225435552952</v>
      </c>
      <c r="Y8" s="421">
        <f t="shared" ref="Y8:Y20" si="10">+P8-X8</f>
        <v>-8.763537158780526</v>
      </c>
      <c r="Z8" s="386"/>
      <c r="AA8" s="421">
        <v>39.635645461518337</v>
      </c>
      <c r="AB8" s="421">
        <f t="shared" ref="AB8:AB20" si="11">+Q8-AA8</f>
        <v>-10.974995461518336</v>
      </c>
      <c r="AD8" s="332">
        <f t="shared" si="0"/>
        <v>0.54555533271163448</v>
      </c>
      <c r="AE8" s="332">
        <f t="shared" ref="AE8:AE36" si="12">+AF8-AD8</f>
        <v>-6.6795007257735017E-3</v>
      </c>
      <c r="AF8" s="332">
        <f t="shared" si="1"/>
        <v>0.53887583198586098</v>
      </c>
      <c r="AJ8" s="35"/>
    </row>
    <row r="9" spans="1:36" x14ac:dyDescent="0.3">
      <c r="A9" s="383" t="s">
        <v>141</v>
      </c>
      <c r="B9" s="56">
        <f>'data entry '!Q7</f>
        <v>17.566500000000001</v>
      </c>
      <c r="C9" s="1178">
        <f t="shared" si="2"/>
        <v>0.32979442410588566</v>
      </c>
      <c r="D9" s="398"/>
      <c r="E9" s="334">
        <f t="shared" si="3"/>
        <v>-1.7014290831925685</v>
      </c>
      <c r="F9" s="347">
        <f>'data entry '!Q86</f>
        <v>17.021983333333335</v>
      </c>
      <c r="G9" s="347">
        <f>'data entry '!Q41</f>
        <v>-1.1569124165259019</v>
      </c>
      <c r="H9" s="492"/>
      <c r="I9" s="337">
        <f t="shared" si="4"/>
        <v>15.865070916807433</v>
      </c>
      <c r="J9" s="331">
        <f>-'ACE 2026'!F47/1000</f>
        <v>0</v>
      </c>
      <c r="K9" s="331">
        <v>11.793103410905566</v>
      </c>
      <c r="L9" s="331"/>
      <c r="M9" s="331"/>
      <c r="N9" s="331">
        <f>SAP_ACT_EUR!P82/1000</f>
        <v>1.2274956722870032</v>
      </c>
      <c r="O9" s="331"/>
      <c r="P9" s="400">
        <f t="shared" si="5"/>
        <v>13.020599083192568</v>
      </c>
      <c r="Q9" s="308">
        <f>'data entry '!Q119</f>
        <v>28.885670000000001</v>
      </c>
      <c r="R9" s="1163">
        <f t="shared" si="6"/>
        <v>0.54310664460572333</v>
      </c>
      <c r="S9" s="386">
        <f t="shared" si="7"/>
        <v>0</v>
      </c>
      <c r="T9" s="759">
        <f t="shared" si="8"/>
        <v>13.020599083192568</v>
      </c>
      <c r="U9" s="764"/>
      <c r="V9" s="764">
        <f t="shared" si="9"/>
        <v>13.020599083192568</v>
      </c>
      <c r="W9" s="386"/>
      <c r="X9" s="421">
        <v>0.34488569489592535</v>
      </c>
      <c r="Y9" s="421">
        <f t="shared" si="10"/>
        <v>12.675713388296643</v>
      </c>
      <c r="Z9" s="386"/>
      <c r="AA9" s="421">
        <v>17.076248421284813</v>
      </c>
      <c r="AB9" s="421">
        <f t="shared" si="11"/>
        <v>11.809421578715188</v>
      </c>
      <c r="AD9" s="332">
        <f t="shared" si="0"/>
        <v>0.52002734418292407</v>
      </c>
      <c r="AE9" s="332">
        <f t="shared" si="12"/>
        <v>2.3079300422799265E-2</v>
      </c>
      <c r="AF9" s="332">
        <f t="shared" si="1"/>
        <v>0.54310664460572333</v>
      </c>
      <c r="AJ9" s="35"/>
    </row>
    <row r="10" spans="1:36" x14ac:dyDescent="0.3">
      <c r="A10" s="4" t="s">
        <v>79</v>
      </c>
      <c r="B10" s="57">
        <f>SUM(B7:B9)</f>
        <v>556.32853810915913</v>
      </c>
      <c r="C10" s="1170">
        <f t="shared" si="2"/>
        <v>10.444542159188194</v>
      </c>
      <c r="D10" s="399"/>
      <c r="E10" s="57">
        <f t="shared" ref="E10" si="13">SUM(E7:E9)</f>
        <v>-10.596096404247245</v>
      </c>
      <c r="F10" s="57">
        <f t="shared" ref="F10" si="14">SUM(F7:F9)</f>
        <v>655.26715578947346</v>
      </c>
      <c r="G10" s="57">
        <f t="shared" ref="G10" si="15">SUM(G7:G9)</f>
        <v>-109.53471408456163</v>
      </c>
      <c r="H10" s="57">
        <f t="shared" ref="H10" si="16">SUM(H7:H9)</f>
        <v>0</v>
      </c>
      <c r="I10" s="57">
        <f t="shared" ref="I10:P10" si="17">SUM(I7:I9)</f>
        <v>545.73244170491182</v>
      </c>
      <c r="J10" s="57">
        <f>SUM(J7:J9)</f>
        <v>18.259368401817213</v>
      </c>
      <c r="K10" s="57">
        <f t="shared" si="17"/>
        <v>-140.29793707924418</v>
      </c>
      <c r="L10" s="57">
        <f t="shared" si="17"/>
        <v>0</v>
      </c>
      <c r="M10" s="57">
        <f t="shared" si="17"/>
        <v>-5.0960000000000001</v>
      </c>
      <c r="N10" s="959">
        <f>SUM(N7:N9)</f>
        <v>30.582056972515122</v>
      </c>
      <c r="O10" s="57">
        <f t="shared" si="17"/>
        <v>0</v>
      </c>
      <c r="P10" s="57">
        <f t="shared" si="17"/>
        <v>-96.552511704911851</v>
      </c>
      <c r="Q10" s="57">
        <f t="shared" ref="Q10" si="18">SUM(Q7:Q9)</f>
        <v>449.17993000000001</v>
      </c>
      <c r="R10" s="1162">
        <f t="shared" si="6"/>
        <v>8.4454542548791025</v>
      </c>
      <c r="S10" s="386">
        <f t="shared" si="7"/>
        <v>0</v>
      </c>
      <c r="T10" s="57">
        <f t="shared" si="8"/>
        <v>-96.552511704911808</v>
      </c>
      <c r="U10" s="57"/>
      <c r="V10" s="57">
        <f t="shared" si="9"/>
        <v>-96.552511704911808</v>
      </c>
      <c r="W10" s="386"/>
      <c r="X10" s="420">
        <v>-64.46447882576966</v>
      </c>
      <c r="Y10" s="420">
        <f t="shared" si="10"/>
        <v>-32.08803287914219</v>
      </c>
      <c r="Z10" s="386"/>
      <c r="AA10" s="420">
        <v>517.70199160874813</v>
      </c>
      <c r="AB10" s="420">
        <f t="shared" si="11"/>
        <v>-68.522061608748118</v>
      </c>
      <c r="AD10" s="321">
        <f t="shared" si="0"/>
        <v>7.9662669316640633</v>
      </c>
      <c r="AE10" s="321">
        <f t="shared" si="12"/>
        <v>0.47918732321503921</v>
      </c>
      <c r="AF10" s="321">
        <f t="shared" si="1"/>
        <v>8.4454542548791025</v>
      </c>
      <c r="AJ10" s="35"/>
    </row>
    <row r="11" spans="1:36" x14ac:dyDescent="0.3">
      <c r="A11" s="383" t="s">
        <v>80</v>
      </c>
      <c r="B11" s="56">
        <f>'data entry '!Q9</f>
        <v>217.31855808470829</v>
      </c>
      <c r="C11" s="1171">
        <f t="shared" si="2"/>
        <v>4.0799504005389711</v>
      </c>
      <c r="D11" s="398"/>
      <c r="E11" s="334"/>
      <c r="F11" s="347">
        <f>'data entry '!Q88</f>
        <v>236.64471140350889</v>
      </c>
      <c r="G11" s="347">
        <f>'data entry '!Q43</f>
        <v>-101.7763995831927</v>
      </c>
      <c r="H11" s="492">
        <f>'Budget assumption'!Q323</f>
        <v>81.380371371666769</v>
      </c>
      <c r="I11" s="337">
        <f>B11</f>
        <v>217.31855808470829</v>
      </c>
      <c r="J11" s="331">
        <f>-'ACE 2026'!G49/1000</f>
        <v>-4.4817625895179338</v>
      </c>
      <c r="K11" s="331">
        <f>(-6.313-J11+5.211-0.481)+-0.00357509646474341</f>
        <v>2.8951874930531911</v>
      </c>
      <c r="L11" s="331"/>
      <c r="M11" s="331">
        <f>8-9-1.016</f>
        <v>-2.016</v>
      </c>
      <c r="N11" s="331">
        <f>SAP_ACT_EUR!P104/1000</f>
        <v>15.524637011756464</v>
      </c>
      <c r="O11" s="331"/>
      <c r="P11" s="400">
        <f t="shared" si="5"/>
        <v>11.922061915291721</v>
      </c>
      <c r="Q11" s="308">
        <f>'data entry '!Q121</f>
        <v>229.24062000000001</v>
      </c>
      <c r="R11" s="1163">
        <f t="shared" si="6"/>
        <v>4.3101684653856278</v>
      </c>
      <c r="S11" s="386">
        <f t="shared" si="7"/>
        <v>0</v>
      </c>
      <c r="T11" s="759">
        <f t="shared" si="8"/>
        <v>11.922061915291721</v>
      </c>
      <c r="U11" s="759">
        <f>+'MTD VAR '!R10</f>
        <v>1.0698748927253234</v>
      </c>
      <c r="V11" s="764">
        <f t="shared" si="9"/>
        <v>12.991936808017044</v>
      </c>
      <c r="W11" s="386"/>
      <c r="X11" s="421">
        <v>4.653537015483181</v>
      </c>
      <c r="Y11" s="421">
        <f t="shared" si="10"/>
        <v>7.2685248998085399</v>
      </c>
      <c r="Z11" s="386"/>
      <c r="AA11" s="421">
        <v>221.97209510019147</v>
      </c>
      <c r="AB11" s="421">
        <f t="shared" si="11"/>
        <v>7.2685248998085399</v>
      </c>
      <c r="AD11" s="332">
        <f t="shared" si="0"/>
        <v>4.0561798779423821</v>
      </c>
      <c r="AE11" s="332">
        <f t="shared" si="12"/>
        <v>0.25398858744324571</v>
      </c>
      <c r="AF11" s="332">
        <f t="shared" si="1"/>
        <v>4.3101684653856278</v>
      </c>
      <c r="AJ11" s="35"/>
    </row>
    <row r="12" spans="1:36" x14ac:dyDescent="0.3">
      <c r="A12" s="383" t="s">
        <v>81</v>
      </c>
      <c r="B12" s="56">
        <f>'data entry '!Q10</f>
        <v>107.62726490257862</v>
      </c>
      <c r="C12" s="1171">
        <f t="shared" si="2"/>
        <v>2.0206001108153311</v>
      </c>
      <c r="D12" s="398"/>
      <c r="E12" s="334"/>
      <c r="F12" s="347">
        <f>'data entry '!Q89</f>
        <v>83.695494912280793</v>
      </c>
      <c r="G12" s="347">
        <f>'data entry '!Q44</f>
        <v>-7.7951588751737972</v>
      </c>
      <c r="H12" s="492">
        <f>'Budget assumption'!Q324</f>
        <v>29.43675381241</v>
      </c>
      <c r="I12" s="337">
        <f t="shared" ref="I12:I16" si="19">B12</f>
        <v>107.62726490257862</v>
      </c>
      <c r="J12" s="331"/>
      <c r="K12" s="331">
        <v>-2.282</v>
      </c>
      <c r="L12" s="348"/>
      <c r="M12" s="331">
        <f>(-4.137+3.791-0.144)+1.04093542905849</f>
        <v>0.55093542905849324</v>
      </c>
      <c r="N12" s="331">
        <f>SAP_ACT_EUR!P112/1000</f>
        <v>5.7044296683628746</v>
      </c>
      <c r="O12" s="331"/>
      <c r="P12" s="400">
        <f t="shared" si="5"/>
        <v>3.9733650974213677</v>
      </c>
      <c r="Q12" s="308">
        <f>'data entry '!Q122</f>
        <v>111.60063</v>
      </c>
      <c r="R12" s="1163">
        <f t="shared" si="6"/>
        <v>2.0983083894257883</v>
      </c>
      <c r="S12" s="386">
        <f t="shared" si="7"/>
        <v>0</v>
      </c>
      <c r="T12" s="759">
        <f t="shared" si="8"/>
        <v>3.9733650974213788</v>
      </c>
      <c r="U12" s="759">
        <f>+'MTD VAR '!R11</f>
        <v>2.2901750530616205</v>
      </c>
      <c r="V12" s="764">
        <f t="shared" si="9"/>
        <v>6.2635401504829993</v>
      </c>
      <c r="W12" s="386"/>
      <c r="X12" s="421">
        <v>2.0790851890325399</v>
      </c>
      <c r="Y12" s="421">
        <f t="shared" si="10"/>
        <v>1.8942799083888278</v>
      </c>
      <c r="Z12" s="386"/>
      <c r="AA12" s="421">
        <v>109.70635009161116</v>
      </c>
      <c r="AB12" s="421">
        <f t="shared" si="11"/>
        <v>1.8942799083888389</v>
      </c>
      <c r="AD12" s="332">
        <f t="shared" si="0"/>
        <v>1.9806953879325127</v>
      </c>
      <c r="AE12" s="332">
        <f t="shared" si="12"/>
        <v>0.11761300149327569</v>
      </c>
      <c r="AF12" s="332">
        <f t="shared" si="1"/>
        <v>2.0983083894257883</v>
      </c>
      <c r="AJ12" s="35"/>
    </row>
    <row r="13" spans="1:36" x14ac:dyDescent="0.3">
      <c r="A13" s="383" t="s">
        <v>82</v>
      </c>
      <c r="B13" s="56">
        <f>'data entry '!Q11</f>
        <v>188.37863537821647</v>
      </c>
      <c r="C13" s="1171">
        <f t="shared" si="2"/>
        <v>3.5366307214534212</v>
      </c>
      <c r="D13" s="398"/>
      <c r="E13" s="334"/>
      <c r="F13" s="347">
        <f>'data entry '!Q90</f>
        <v>162.06681438596488</v>
      </c>
      <c r="G13" s="347">
        <f>'data entry '!Q45</f>
        <v>-34.46169349080683</v>
      </c>
      <c r="H13" s="492">
        <f>'Budget assumption'!Q325</f>
        <v>56.832075481491465</v>
      </c>
      <c r="I13" s="337">
        <f t="shared" si="19"/>
        <v>188.37863537821647</v>
      </c>
      <c r="J13" s="331">
        <f>-'ACE 2026'!G51/1000</f>
        <v>-0.42260842105263158</v>
      </c>
      <c r="K13" s="331">
        <v>-86.422155442703527</v>
      </c>
      <c r="L13" s="331"/>
      <c r="M13" s="331">
        <f>4.668-1.094</f>
        <v>3.5739999999999998</v>
      </c>
      <c r="N13" s="331">
        <f>SAP_ACT_EUR!P129/1000</f>
        <v>6.2428884855397282</v>
      </c>
      <c r="O13" s="331"/>
      <c r="P13" s="400">
        <f t="shared" si="5"/>
        <v>-77.027875378216436</v>
      </c>
      <c r="Q13" s="308">
        <f>'data entry '!Q123</f>
        <v>111.35076000000002</v>
      </c>
      <c r="R13" s="1163">
        <f t="shared" si="6"/>
        <v>2.0936103485879749</v>
      </c>
      <c r="S13" s="386">
        <f t="shared" si="7"/>
        <v>0</v>
      </c>
      <c r="T13" s="759">
        <f t="shared" si="8"/>
        <v>-77.02787537821645</v>
      </c>
      <c r="U13" s="759">
        <f>+'MTD VAR '!R12</f>
        <v>3.9414390015669625</v>
      </c>
      <c r="V13" s="764">
        <f t="shared" si="9"/>
        <v>-73.086436376649488</v>
      </c>
      <c r="W13" s="386"/>
      <c r="X13" s="421">
        <v>8.0632145682378109</v>
      </c>
      <c r="Y13" s="421">
        <f>+P13-X13</f>
        <v>-85.091089946454247</v>
      </c>
      <c r="Z13" s="386"/>
      <c r="AA13" s="421">
        <v>196.44184994645428</v>
      </c>
      <c r="AB13" s="421">
        <f t="shared" si="11"/>
        <v>-85.091089946454261</v>
      </c>
      <c r="AD13" s="332">
        <f t="shared" si="0"/>
        <v>1.9090337967596793</v>
      </c>
      <c r="AE13" s="332">
        <f t="shared" si="12"/>
        <v>0.18457655182829558</v>
      </c>
      <c r="AF13" s="332">
        <f t="shared" si="1"/>
        <v>2.0936103485879749</v>
      </c>
      <c r="AH13" s="35" t="s">
        <v>1050</v>
      </c>
      <c r="AJ13" s="35"/>
    </row>
    <row r="14" spans="1:36" x14ac:dyDescent="0.3">
      <c r="A14" s="383" t="s">
        <v>83</v>
      </c>
      <c r="B14" s="56">
        <f>'data entry '!Q12</f>
        <v>6</v>
      </c>
      <c r="C14" s="1171">
        <f t="shared" si="2"/>
        <v>0.11264432554210081</v>
      </c>
      <c r="D14" s="398"/>
      <c r="E14" s="334"/>
      <c r="F14" s="347">
        <f>'data entry '!Q91</f>
        <v>8.8590024561403418</v>
      </c>
      <c r="G14" s="347">
        <f>'data entry '!Q46</f>
        <v>-8.1767671000473054</v>
      </c>
      <c r="H14" s="492">
        <f>'Budget assumption'!Q326</f>
        <v>3.6155713016694073</v>
      </c>
      <c r="I14" s="337">
        <f>B14</f>
        <v>6</v>
      </c>
      <c r="J14" s="331">
        <f>-'ACE 2026'!G52/1000</f>
        <v>0.87720000000000009</v>
      </c>
      <c r="K14" s="331">
        <v>-4.475843098842387</v>
      </c>
      <c r="L14" s="402"/>
      <c r="M14" s="331">
        <v>-0.59011826280000679</v>
      </c>
      <c r="N14" s="401">
        <f>SAP_ACT_EUR!P92/1000</f>
        <v>0.19634136164239341</v>
      </c>
      <c r="O14" s="331"/>
      <c r="P14" s="400">
        <f t="shared" si="5"/>
        <v>-3.9924200000000005</v>
      </c>
      <c r="Q14" s="308">
        <f>'data entry '!Q124</f>
        <v>2.0075799999999999</v>
      </c>
      <c r="R14" s="1163">
        <f t="shared" si="6"/>
        <v>3.7746399428421014E-2</v>
      </c>
      <c r="S14" s="386">
        <f t="shared" si="7"/>
        <v>0</v>
      </c>
      <c r="T14" s="759">
        <f t="shared" si="8"/>
        <v>-3.9924200000000001</v>
      </c>
      <c r="U14" s="759">
        <f>+'MTD VAR '!R13</f>
        <v>1.7021933422375572</v>
      </c>
      <c r="V14" s="764">
        <f t="shared" si="9"/>
        <v>-2.2902266577624428</v>
      </c>
      <c r="W14" s="386"/>
      <c r="X14" s="421">
        <v>0.73124103132805462</v>
      </c>
      <c r="Y14" s="421">
        <f t="shared" si="10"/>
        <v>-4.7236610313280547</v>
      </c>
      <c r="Z14" s="386"/>
      <c r="AA14" s="421">
        <v>6.7312410313280546</v>
      </c>
      <c r="AB14" s="421">
        <f t="shared" si="11"/>
        <v>-4.7236610313280547</v>
      </c>
      <c r="AD14" s="332">
        <f t="shared" si="0"/>
        <v>4.515016923922862E-2</v>
      </c>
      <c r="AE14" s="332">
        <f t="shared" si="12"/>
        <v>-7.4037698108076061E-3</v>
      </c>
      <c r="AF14" s="332">
        <f t="shared" si="1"/>
        <v>3.7746399428421014E-2</v>
      </c>
      <c r="AJ14" s="35"/>
    </row>
    <row r="15" spans="1:36" x14ac:dyDescent="0.3">
      <c r="A15" s="383" t="s">
        <v>84</v>
      </c>
      <c r="B15" s="56">
        <f>'data entry '!Q13</f>
        <v>43.825739202121468</v>
      </c>
      <c r="C15" s="1171">
        <f t="shared" si="2"/>
        <v>0.8227868056344968</v>
      </c>
      <c r="D15" s="398"/>
      <c r="E15" s="334"/>
      <c r="F15" s="347">
        <f>'data entry '!Q92</f>
        <v>41.414629298245622</v>
      </c>
      <c r="G15" s="347">
        <f>'data entry '!Q47</f>
        <v>-5.9139603133839813</v>
      </c>
      <c r="H15" s="492">
        <f>'Budget assumption'!Q327</f>
        <v>12.685362526786598</v>
      </c>
      <c r="I15" s="337">
        <f t="shared" si="19"/>
        <v>43.825739202121468</v>
      </c>
      <c r="J15" s="331"/>
      <c r="K15" s="331">
        <v>3.225539988964691</v>
      </c>
      <c r="L15" s="403"/>
      <c r="M15" s="331"/>
      <c r="N15" s="401">
        <f>SAP_ACT_EUR!P81/1000</f>
        <v>3.380420808913847</v>
      </c>
      <c r="O15" s="331"/>
      <c r="P15" s="400">
        <f t="shared" si="5"/>
        <v>6.605960797878538</v>
      </c>
      <c r="Q15" s="308">
        <f>'data entry '!Q125</f>
        <v>50.431700000000006</v>
      </c>
      <c r="R15" s="1163">
        <f t="shared" si="6"/>
        <v>0.94821381566577678</v>
      </c>
      <c r="S15" s="386">
        <f t="shared" si="7"/>
        <v>0</v>
      </c>
      <c r="T15" s="759">
        <f t="shared" si="8"/>
        <v>6.605960797878538</v>
      </c>
      <c r="U15" s="759">
        <f>+'MTD VAR '!R14</f>
        <v>-4.3602923095267698</v>
      </c>
      <c r="V15" s="764">
        <f t="shared" si="9"/>
        <v>2.2456684883517681</v>
      </c>
      <c r="W15" s="386"/>
      <c r="X15" s="421">
        <v>4.4640845298263798</v>
      </c>
      <c r="Y15" s="421">
        <f t="shared" si="10"/>
        <v>2.1418762680521581</v>
      </c>
      <c r="Z15" s="386"/>
      <c r="AA15" s="421">
        <v>48.289823731947848</v>
      </c>
      <c r="AB15" s="421">
        <f t="shared" si="11"/>
        <v>2.1418762680521581</v>
      </c>
      <c r="AD15" s="332">
        <f t="shared" si="0"/>
        <v>0.88465534522404687</v>
      </c>
      <c r="AE15" s="332">
        <f t="shared" si="12"/>
        <v>6.3558470441729908E-2</v>
      </c>
      <c r="AF15" s="332">
        <f t="shared" si="1"/>
        <v>0.94821381566577678</v>
      </c>
      <c r="AJ15" s="35"/>
    </row>
    <row r="16" spans="1:36" x14ac:dyDescent="0.3">
      <c r="A16" s="383" t="s">
        <v>86</v>
      </c>
      <c r="B16" s="56">
        <f>'data entry '!Q14</f>
        <v>152.87377994795827</v>
      </c>
      <c r="C16" s="1171">
        <f t="shared" si="2"/>
        <v>2.8700606392182157</v>
      </c>
      <c r="D16" s="398"/>
      <c r="E16" s="334"/>
      <c r="F16" s="347">
        <f>'data entry '!Q93</f>
        <v>543.42573701754384</v>
      </c>
      <c r="G16" s="347">
        <f>'data entry '!Q48</f>
        <v>-41.865138392158741</v>
      </c>
      <c r="H16" s="492">
        <f>'Budget assumption'!Q329</f>
        <v>49.665233229818654</v>
      </c>
      <c r="I16" s="337">
        <f t="shared" si="19"/>
        <v>152.87377994795827</v>
      </c>
      <c r="J16" s="331"/>
      <c r="K16" s="331">
        <v>-20.831009947958194</v>
      </c>
      <c r="L16" s="402"/>
      <c r="M16" s="331"/>
      <c r="N16" s="331"/>
      <c r="O16" s="348"/>
      <c r="P16" s="400">
        <f t="shared" si="5"/>
        <v>-20.831009947958194</v>
      </c>
      <c r="Q16" s="308">
        <f>'data entry '!Q126</f>
        <v>132.04277000000008</v>
      </c>
      <c r="R16" s="1163">
        <f t="shared" si="6"/>
        <v>2.4826602865415723</v>
      </c>
      <c r="S16" s="929">
        <f t="shared" si="7"/>
        <v>0</v>
      </c>
      <c r="T16" s="759">
        <f t="shared" si="8"/>
        <v>-20.831009947958194</v>
      </c>
      <c r="U16" s="759">
        <f>+'MTD VAR '!R15</f>
        <v>-398.35205190724548</v>
      </c>
      <c r="V16" s="764">
        <f t="shared" si="9"/>
        <v>-419.18306185520368</v>
      </c>
      <c r="W16" s="386"/>
      <c r="X16" s="421">
        <v>-12.872437691970219</v>
      </c>
      <c r="Y16" s="421">
        <f t="shared" si="10"/>
        <v>-7.9585722559879741</v>
      </c>
      <c r="Z16" s="386"/>
      <c r="AA16" s="421">
        <v>140.00134225598805</v>
      </c>
      <c r="AB16" s="421">
        <f t="shared" si="11"/>
        <v>-7.9585722559879741</v>
      </c>
      <c r="AD16" s="332">
        <f t="shared" si="0"/>
        <v>2.4826602865415723</v>
      </c>
      <c r="AE16" s="332">
        <f t="shared" si="12"/>
        <v>0</v>
      </c>
      <c r="AF16" s="332">
        <f t="shared" si="1"/>
        <v>2.4826602865415723</v>
      </c>
      <c r="AJ16" s="35"/>
    </row>
    <row r="17" spans="1:36" x14ac:dyDescent="0.3">
      <c r="A17" s="4" t="s">
        <v>87</v>
      </c>
      <c r="B17" s="57">
        <f>SUM(B11:B16)</f>
        <v>716.02397751558306</v>
      </c>
      <c r="C17" s="1170">
        <f t="shared" si="2"/>
        <v>13.442673003202536</v>
      </c>
      <c r="D17" s="399"/>
      <c r="E17" s="57">
        <f t="shared" ref="E17" si="20">SUM(E11:E16)</f>
        <v>0</v>
      </c>
      <c r="F17" s="57">
        <f t="shared" ref="F17" si="21">SUM(F11:F16)</f>
        <v>1076.1063894736844</v>
      </c>
      <c r="G17" s="57">
        <f t="shared" ref="G17" si="22">SUM(G11:G16)</f>
        <v>-199.98911775476333</v>
      </c>
      <c r="H17" s="57">
        <f t="shared" ref="H17" si="23">SUM(H11:H16)</f>
        <v>233.61536772384289</v>
      </c>
      <c r="I17" s="57">
        <f t="shared" ref="I17:P17" si="24">SUM(I11:I16)</f>
        <v>716.02397751558306</v>
      </c>
      <c r="J17" s="57">
        <f>SUM(J11:J16)</f>
        <v>-4.0271710105705649</v>
      </c>
      <c r="K17" s="57">
        <f t="shared" si="24"/>
        <v>-107.89028100748624</v>
      </c>
      <c r="L17" s="57">
        <f t="shared" si="24"/>
        <v>0</v>
      </c>
      <c r="M17" s="57">
        <f t="shared" si="24"/>
        <v>1.5188171662584862</v>
      </c>
      <c r="N17" s="959">
        <f>SUM(N11:N16)</f>
        <v>31.048717336215308</v>
      </c>
      <c r="O17" s="57">
        <f t="shared" si="24"/>
        <v>0</v>
      </c>
      <c r="P17" s="57">
        <f t="shared" si="24"/>
        <v>-79.349917515583002</v>
      </c>
      <c r="Q17" s="57">
        <f t="shared" ref="Q17" si="25">SUM(Q11:Q16)</f>
        <v>636.67406000000005</v>
      </c>
      <c r="R17" s="1162">
        <f t="shared" si="6"/>
        <v>11.97070770503516</v>
      </c>
      <c r="S17" s="386">
        <f t="shared" si="7"/>
        <v>0</v>
      </c>
      <c r="T17" s="57">
        <f t="shared" si="8"/>
        <v>-79.349917515583002</v>
      </c>
      <c r="U17" s="57">
        <f>SUM(U11:U16)</f>
        <v>-393.7086619271808</v>
      </c>
      <c r="V17" s="57">
        <f t="shared" si="9"/>
        <v>-473.0585794427638</v>
      </c>
      <c r="W17" s="386"/>
      <c r="X17" s="420">
        <v>7.1187246419377459</v>
      </c>
      <c r="Y17" s="420">
        <f t="shared" si="10"/>
        <v>-86.468642157520748</v>
      </c>
      <c r="Z17" s="386"/>
      <c r="AA17" s="420">
        <v>723.14270215752094</v>
      </c>
      <c r="AB17" s="420">
        <f t="shared" si="11"/>
        <v>-86.46864215752089</v>
      </c>
      <c r="AD17" s="321">
        <f t="shared" si="0"/>
        <v>11.358374863639421</v>
      </c>
      <c r="AE17" s="321">
        <f t="shared" si="12"/>
        <v>0.61233284139573918</v>
      </c>
      <c r="AF17" s="321">
        <f t="shared" si="1"/>
        <v>11.97070770503516</v>
      </c>
      <c r="AJ17" s="35"/>
    </row>
    <row r="18" spans="1:36" x14ac:dyDescent="0.3">
      <c r="A18" s="5" t="s">
        <v>88</v>
      </c>
      <c r="B18" s="58">
        <f>B10+B17</f>
        <v>1272.3525156247422</v>
      </c>
      <c r="C18" s="1173">
        <f t="shared" si="2"/>
        <v>23.887215162390728</v>
      </c>
      <c r="D18" s="399"/>
      <c r="E18" s="58">
        <f t="shared" ref="E18" si="26">E10+E17</f>
        <v>-10.596096404247245</v>
      </c>
      <c r="F18" s="58">
        <f t="shared" ref="F18" si="27">F10+F17</f>
        <v>1731.3735452631579</v>
      </c>
      <c r="G18" s="58">
        <f t="shared" ref="G18" si="28">G10+G17</f>
        <v>-309.52383183932494</v>
      </c>
      <c r="H18" s="58">
        <f t="shared" ref="H18" si="29">H10+H17</f>
        <v>233.61536772384289</v>
      </c>
      <c r="I18" s="58">
        <f t="shared" ref="I18:P18" si="30">I10+I17</f>
        <v>1261.756419220495</v>
      </c>
      <c r="J18" s="58">
        <f>J10+J17</f>
        <v>14.232197391246647</v>
      </c>
      <c r="K18" s="58">
        <f t="shared" si="30"/>
        <v>-248.18821808673042</v>
      </c>
      <c r="L18" s="58">
        <f t="shared" si="30"/>
        <v>0</v>
      </c>
      <c r="M18" s="58">
        <f t="shared" si="30"/>
        <v>-3.5771828337415137</v>
      </c>
      <c r="N18" s="267">
        <f>N10+N17</f>
        <v>61.63077430873043</v>
      </c>
      <c r="O18" s="58">
        <f t="shared" si="30"/>
        <v>0</v>
      </c>
      <c r="P18" s="58">
        <f t="shared" si="30"/>
        <v>-175.90242922049487</v>
      </c>
      <c r="Q18" s="58">
        <f t="shared" ref="Q18" si="31">Q10+Q17</f>
        <v>1085.8539900000001</v>
      </c>
      <c r="R18" s="1164">
        <f t="shared" si="6"/>
        <v>20.416161959914263</v>
      </c>
      <c r="S18" s="386">
        <f t="shared" si="7"/>
        <v>0</v>
      </c>
      <c r="T18" s="58">
        <f t="shared" si="8"/>
        <v>-175.90242922049492</v>
      </c>
      <c r="U18" s="58">
        <f>+U17</f>
        <v>-393.7086619271808</v>
      </c>
      <c r="V18" s="58">
        <f t="shared" si="9"/>
        <v>-569.61109114767578</v>
      </c>
      <c r="W18" s="386"/>
      <c r="X18" s="422">
        <v>-57.345754183831914</v>
      </c>
      <c r="Y18" s="422">
        <f t="shared" si="10"/>
        <v>-118.55667503666295</v>
      </c>
      <c r="Z18" s="386"/>
      <c r="AA18" s="422">
        <v>1240.8446937662691</v>
      </c>
      <c r="AB18" s="422">
        <f t="shared" si="11"/>
        <v>-154.99070376626901</v>
      </c>
      <c r="AD18" s="327">
        <f t="shared" si="0"/>
        <v>19.324641795303489</v>
      </c>
      <c r="AE18" s="327">
        <f t="shared" si="12"/>
        <v>1.0915201646107739</v>
      </c>
      <c r="AF18" s="327">
        <f t="shared" si="1"/>
        <v>20.416161959914263</v>
      </c>
      <c r="AJ18" s="35"/>
    </row>
    <row r="19" spans="1:36" x14ac:dyDescent="0.3">
      <c r="A19" s="383" t="s">
        <v>89</v>
      </c>
      <c r="B19" s="56">
        <f>'data entry '!Q17</f>
        <v>20.474517363192625</v>
      </c>
      <c r="C19" s="1171">
        <f t="shared" si="2"/>
        <v>0.38438969986281096</v>
      </c>
      <c r="D19" s="398"/>
      <c r="E19" s="334"/>
      <c r="F19" s="384">
        <f>'data entry '!Q96</f>
        <v>0</v>
      </c>
      <c r="G19" s="384">
        <f>'data entry '!Q51</f>
        <v>7.6901144986390282</v>
      </c>
      <c r="H19" s="493">
        <f>'Budget assumption'!Q331</f>
        <v>3.2604697375543332</v>
      </c>
      <c r="I19" s="337">
        <f t="shared" ref="I19" si="32">B19</f>
        <v>20.474517363192625</v>
      </c>
      <c r="J19" s="331"/>
      <c r="K19" s="331">
        <v>-15.779304153857648</v>
      </c>
      <c r="L19" s="331"/>
      <c r="M19" s="331"/>
      <c r="N19" s="331">
        <f>SUM(SAP_ACT_EUR!P72,SAP_ACT_EUR!P290,SAP_ACT_EUR!P60)/1000</f>
        <v>0.37648679066502427</v>
      </c>
      <c r="O19" s="331"/>
      <c r="P19" s="400">
        <f t="shared" si="5"/>
        <v>-15.402817363192623</v>
      </c>
      <c r="Q19" s="308">
        <f>'data entry '!Q129</f>
        <v>5.071699999999999</v>
      </c>
      <c r="R19" s="1163">
        <f t="shared" si="6"/>
        <v>9.5357800925055441E-2</v>
      </c>
      <c r="S19" s="386">
        <f t="shared" si="7"/>
        <v>0</v>
      </c>
      <c r="T19" s="759">
        <f t="shared" si="8"/>
        <v>-15.402817363192625</v>
      </c>
      <c r="U19" s="759">
        <f>+'MTD VAR '!R18</f>
        <v>12.784402864553597</v>
      </c>
      <c r="V19" s="764">
        <f t="shared" si="9"/>
        <v>-2.6184144986390283</v>
      </c>
      <c r="W19" s="386"/>
      <c r="X19" s="421">
        <v>-7.0211712700538165</v>
      </c>
      <c r="Y19" s="421">
        <f t="shared" si="10"/>
        <v>-8.3816460931388068</v>
      </c>
      <c r="Z19" s="386"/>
      <c r="AA19" s="421">
        <v>13.453346093138808</v>
      </c>
      <c r="AB19" s="421">
        <f t="shared" si="11"/>
        <v>-8.3816460931388086</v>
      </c>
      <c r="AD19" s="332">
        <f t="shared" si="0"/>
        <v>8.8279118740551582E-2</v>
      </c>
      <c r="AE19" s="332">
        <f t="shared" si="12"/>
        <v>7.0786821845038594E-3</v>
      </c>
      <c r="AF19" s="332">
        <f t="shared" si="1"/>
        <v>9.5357800925055441E-2</v>
      </c>
      <c r="AJ19" s="35"/>
    </row>
    <row r="20" spans="1:36" x14ac:dyDescent="0.3">
      <c r="A20" s="5" t="s">
        <v>90</v>
      </c>
      <c r="B20" s="58">
        <f>B18+B19</f>
        <v>1292.8270329879349</v>
      </c>
      <c r="C20" s="1173">
        <f t="shared" si="2"/>
        <v>24.271604862253543</v>
      </c>
      <c r="D20" s="399"/>
      <c r="E20" s="58">
        <f t="shared" ref="E20" si="33">E18+E19</f>
        <v>-10.596096404247245</v>
      </c>
      <c r="F20" s="58">
        <f t="shared" ref="F20" si="34">F18+F19</f>
        <v>1731.3735452631579</v>
      </c>
      <c r="G20" s="58">
        <f t="shared" ref="G20" si="35">G18+G19</f>
        <v>-301.83371734068589</v>
      </c>
      <c r="H20" s="58">
        <f t="shared" ref="H20" si="36">H18+H19</f>
        <v>236.87583746139723</v>
      </c>
      <c r="I20" s="58">
        <f t="shared" ref="I20:P20" si="37">I18+I19</f>
        <v>1282.2309365836877</v>
      </c>
      <c r="J20" s="58">
        <f t="shared" si="37"/>
        <v>14.232197391246647</v>
      </c>
      <c r="K20" s="58">
        <f t="shared" si="37"/>
        <v>-263.96752224058804</v>
      </c>
      <c r="L20" s="58">
        <f t="shared" si="37"/>
        <v>0</v>
      </c>
      <c r="M20" s="58">
        <f t="shared" si="37"/>
        <v>-3.5771828337415137</v>
      </c>
      <c r="N20" s="267">
        <f t="shared" si="37"/>
        <v>62.007261099395457</v>
      </c>
      <c r="O20" s="58">
        <f t="shared" si="37"/>
        <v>0</v>
      </c>
      <c r="P20" s="58">
        <f t="shared" si="37"/>
        <v>-191.30524658368748</v>
      </c>
      <c r="Q20" s="58">
        <f t="shared" ref="Q20" si="38">Q18+Q19</f>
        <v>1090.92569</v>
      </c>
      <c r="R20" s="1164">
        <f t="shared" si="6"/>
        <v>20.511519760839317</v>
      </c>
      <c r="S20" s="386">
        <f t="shared" si="7"/>
        <v>0</v>
      </c>
      <c r="T20" s="58">
        <f t="shared" si="8"/>
        <v>-191.30524658368768</v>
      </c>
      <c r="U20" s="58">
        <f>+U19+U18</f>
        <v>-380.92425906262719</v>
      </c>
      <c r="V20" s="58">
        <f t="shared" si="9"/>
        <v>-572.22950564631492</v>
      </c>
      <c r="W20" s="386"/>
      <c r="X20" s="422">
        <v>-64.366925453885727</v>
      </c>
      <c r="Y20" s="422">
        <f t="shared" si="10"/>
        <v>-126.93832112980175</v>
      </c>
      <c r="Z20" s="386"/>
      <c r="AA20" s="422">
        <v>1254.2980398594079</v>
      </c>
      <c r="AB20" s="422">
        <f t="shared" si="11"/>
        <v>-163.3723498594079</v>
      </c>
      <c r="AD20" s="327">
        <f t="shared" si="0"/>
        <v>19.41292091404404</v>
      </c>
      <c r="AE20" s="327">
        <f t="shared" si="12"/>
        <v>1.0985988467952765</v>
      </c>
      <c r="AF20" s="327">
        <f t="shared" si="1"/>
        <v>20.511519760839317</v>
      </c>
      <c r="AJ20" s="35"/>
    </row>
    <row r="21" spans="1:36" x14ac:dyDescent="0.3">
      <c r="A21" s="51"/>
      <c r="B21" s="51"/>
      <c r="C21" s="1153"/>
      <c r="D21" s="399"/>
      <c r="E21" s="51"/>
      <c r="F21" s="53"/>
      <c r="G21" s="53"/>
      <c r="H21" s="495"/>
      <c r="I21" s="53"/>
      <c r="J21" s="51"/>
      <c r="K21" s="51"/>
      <c r="L21" s="51"/>
      <c r="M21" s="51"/>
      <c r="N21" s="269"/>
      <c r="O21" s="51"/>
      <c r="P21" s="53"/>
      <c r="Q21" s="51"/>
      <c r="R21" s="1153"/>
      <c r="S21" s="386"/>
      <c r="T21" s="51"/>
      <c r="U21" s="51"/>
      <c r="V21" s="51"/>
      <c r="W21" s="386"/>
      <c r="X21" s="269"/>
      <c r="Y21" s="269"/>
      <c r="Z21" s="386"/>
      <c r="AA21" s="269"/>
      <c r="AB21" s="269"/>
      <c r="AD21" s="51"/>
      <c r="AE21" s="51"/>
      <c r="AF21" s="51"/>
      <c r="AJ21" s="35"/>
    </row>
    <row r="22" spans="1:36" x14ac:dyDescent="0.3">
      <c r="A22" s="385" t="s">
        <v>91</v>
      </c>
      <c r="B22" s="273">
        <f>'data entry '!Q19</f>
        <v>416.35266088537662</v>
      </c>
      <c r="C22" s="1179">
        <f t="shared" ref="C22:C23" si="39">B22/$B$4*1000</f>
        <v>7.8166274455153779</v>
      </c>
      <c r="D22" s="398"/>
      <c r="E22" s="342"/>
      <c r="F22" s="343">
        <f>'data entry '!Q98</f>
        <v>0</v>
      </c>
      <c r="G22" s="343">
        <f>'data entry '!Q53</f>
        <v>-118.928159441086</v>
      </c>
      <c r="H22" s="494">
        <f>+'Budget assumption'!Q333</f>
        <v>136.51532529584679</v>
      </c>
      <c r="I22" s="344">
        <f t="shared" ref="I22" si="40">B22</f>
        <v>416.35266088537662</v>
      </c>
      <c r="J22" s="404"/>
      <c r="K22" s="404">
        <v>-114.94557088537664</v>
      </c>
      <c r="L22" s="404"/>
      <c r="M22" s="404"/>
      <c r="N22" s="404"/>
      <c r="O22" s="405"/>
      <c r="P22" s="404">
        <f t="shared" ref="P22" si="41">SUM(J22:O22)</f>
        <v>-114.94557088537664</v>
      </c>
      <c r="Q22" s="404">
        <f>'data entry '!Q131</f>
        <v>301.40708999999998</v>
      </c>
      <c r="R22" s="1182">
        <f t="shared" ref="R22:R23" si="42">Q22*1000/$Q$4</f>
        <v>5.6670381303350501</v>
      </c>
      <c r="S22" s="386">
        <f t="shared" si="7"/>
        <v>0</v>
      </c>
      <c r="T22" s="760">
        <f t="shared" si="8"/>
        <v>-114.94557088537664</v>
      </c>
      <c r="U22" s="760">
        <f>+'MTD VAR '!R20</f>
        <v>398.76549503061585</v>
      </c>
      <c r="V22" s="762">
        <f t="shared" si="9"/>
        <v>283.81992414523921</v>
      </c>
      <c r="W22" s="386"/>
      <c r="X22" s="773">
        <v>-111.56866088537663</v>
      </c>
      <c r="Y22" s="773">
        <f t="shared" ref="Y22:Y23" si="43">+P22-X22</f>
        <v>-3.3769100000000094</v>
      </c>
      <c r="Z22" s="386"/>
      <c r="AA22" s="773">
        <v>304.78399999999999</v>
      </c>
      <c r="AB22" s="773">
        <f t="shared" ref="AB22:AB23" si="44">+Q22-AA22</f>
        <v>-3.3769100000000094</v>
      </c>
      <c r="AD22" s="406">
        <f>SUM(I22:L22)*1000/$Q$4</f>
        <v>5.6670381303350501</v>
      </c>
      <c r="AE22" s="406">
        <f t="shared" si="12"/>
        <v>0</v>
      </c>
      <c r="AF22" s="406">
        <f t="shared" ref="AF22:AF30" si="45">R22</f>
        <v>5.6670381303350501</v>
      </c>
      <c r="AJ22" s="35"/>
    </row>
    <row r="23" spans="1:36" x14ac:dyDescent="0.3">
      <c r="A23" s="274" t="s">
        <v>92</v>
      </c>
      <c r="B23" s="275">
        <f>+B22+B20</f>
        <v>1709.1796938733114</v>
      </c>
      <c r="C23" s="1146">
        <f t="shared" si="39"/>
        <v>32.088232307768919</v>
      </c>
      <c r="D23" s="52"/>
      <c r="E23" s="275">
        <f t="shared" ref="E23:Q23" si="46">+E22+E20</f>
        <v>-10.596096404247245</v>
      </c>
      <c r="F23" s="275">
        <f t="shared" si="46"/>
        <v>1731.3735452631579</v>
      </c>
      <c r="G23" s="275">
        <f t="shared" si="46"/>
        <v>-420.76187678177189</v>
      </c>
      <c r="H23" s="275">
        <f t="shared" si="46"/>
        <v>373.39116275724405</v>
      </c>
      <c r="I23" s="275">
        <f t="shared" si="46"/>
        <v>1698.5835974690644</v>
      </c>
      <c r="J23" s="275">
        <f t="shared" si="46"/>
        <v>14.232197391246647</v>
      </c>
      <c r="K23" s="275">
        <f>+K22+K20</f>
        <v>-378.91309312596468</v>
      </c>
      <c r="L23" s="275">
        <f t="shared" si="46"/>
        <v>0</v>
      </c>
      <c r="M23" s="275">
        <f t="shared" si="46"/>
        <v>-3.5771828337415137</v>
      </c>
      <c r="N23" s="329">
        <f>+N22+N20</f>
        <v>62.007261099395457</v>
      </c>
      <c r="O23" s="275">
        <f t="shared" si="46"/>
        <v>0</v>
      </c>
      <c r="P23" s="275">
        <f t="shared" si="46"/>
        <v>-306.25081746906415</v>
      </c>
      <c r="Q23" s="275">
        <f t="shared" si="46"/>
        <v>1392.33278</v>
      </c>
      <c r="R23" s="1166">
        <f t="shared" si="42"/>
        <v>26.178557891174371</v>
      </c>
      <c r="S23" s="386">
        <f t="shared" si="7"/>
        <v>0</v>
      </c>
      <c r="T23" s="275">
        <f t="shared" si="8"/>
        <v>-306.25081746906449</v>
      </c>
      <c r="U23" s="275">
        <f>+U22+U20</f>
        <v>17.841235967988666</v>
      </c>
      <c r="V23" s="275">
        <f t="shared" si="9"/>
        <v>-288.40958150107582</v>
      </c>
      <c r="W23" s="61"/>
      <c r="X23" s="774">
        <v>-175.93558633926236</v>
      </c>
      <c r="Y23" s="774">
        <f t="shared" si="43"/>
        <v>-130.31523112980179</v>
      </c>
      <c r="Z23" s="61"/>
      <c r="AA23" s="774">
        <v>1559.0820398594078</v>
      </c>
      <c r="AB23" s="774">
        <f t="shared" si="44"/>
        <v>-166.74925985940786</v>
      </c>
      <c r="AD23" s="328">
        <f>SUM(I23:L23)*1000/$Q$4</f>
        <v>25.079959044379095</v>
      </c>
      <c r="AE23" s="328">
        <f t="shared" si="12"/>
        <v>1.0985988467952765</v>
      </c>
      <c r="AF23" s="328">
        <f t="shared" si="45"/>
        <v>26.178557891174371</v>
      </c>
      <c r="AJ23" s="35"/>
    </row>
    <row r="24" spans="1:36" ht="22.8" customHeight="1" x14ac:dyDescent="0.3">
      <c r="A24" s="51"/>
      <c r="B24" s="51"/>
      <c r="C24" s="1153"/>
      <c r="D24" s="52"/>
      <c r="E24" s="750"/>
      <c r="F24" s="725"/>
      <c r="G24" s="53"/>
      <c r="H24" s="495"/>
      <c r="I24" s="725"/>
      <c r="J24" s="51"/>
      <c r="K24" s="51"/>
      <c r="L24" s="51"/>
      <c r="M24" s="51"/>
      <c r="N24" s="269"/>
      <c r="O24" s="51"/>
      <c r="P24" s="53"/>
      <c r="Q24" s="51"/>
      <c r="R24" s="1153"/>
      <c r="S24" s="61"/>
      <c r="T24" s="51"/>
      <c r="U24" s="51"/>
      <c r="V24" s="51"/>
      <c r="W24" s="61"/>
      <c r="X24" s="269"/>
      <c r="Y24" s="269"/>
      <c r="Z24" s="61"/>
      <c r="AA24" s="269"/>
      <c r="AB24" s="269"/>
      <c r="AD24" s="270"/>
      <c r="AE24" s="270"/>
      <c r="AF24" s="270">
        <f t="shared" si="45"/>
        <v>0</v>
      </c>
      <c r="AJ24" s="35"/>
    </row>
    <row r="25" spans="1:36" x14ac:dyDescent="0.3">
      <c r="A25" s="382" t="s">
        <v>76</v>
      </c>
      <c r="B25" s="362">
        <f>'data entry '!Q21</f>
        <v>21</v>
      </c>
      <c r="C25" s="1180">
        <f t="shared" ref="C25:C30" si="47">B25/$B$4*1000</f>
        <v>0.39425513939735285</v>
      </c>
      <c r="D25" s="335"/>
      <c r="E25" s="364">
        <f>I25-B25</f>
        <v>-1.2228646467306348</v>
      </c>
      <c r="F25" s="347">
        <f>'data entry '!Q100</f>
        <v>25.432898421052627</v>
      </c>
      <c r="G25" s="347">
        <f>'data entry '!Q55</f>
        <v>-5.6557630677832611</v>
      </c>
      <c r="H25" s="492"/>
      <c r="I25" s="394">
        <f>F25+G25</f>
        <v>19.777135353269365</v>
      </c>
      <c r="J25" s="408">
        <f>-'ACE 2026'!G45/1000</f>
        <v>7.5285000000000002</v>
      </c>
      <c r="K25" s="408">
        <f>((((0.55-0.48)*53.265)-J25)+2.73972522035599)+0.567749999999997</f>
        <v>-0.49247477964401076</v>
      </c>
      <c r="L25" s="408"/>
      <c r="M25" s="409">
        <f>0.56775+0.586</f>
        <v>1.1537500000000001</v>
      </c>
      <c r="N25" s="408">
        <f>SAP_ACT_EUR!P25/1000</f>
        <v>3.4694263746429498E-3</v>
      </c>
      <c r="O25" s="395"/>
      <c r="P25" s="395">
        <f t="shared" ref="P25:P29" si="48">SUM(J25:O25)</f>
        <v>8.1932446467306335</v>
      </c>
      <c r="Q25" s="396">
        <f>'data entry '!Q133</f>
        <v>27.970379999999999</v>
      </c>
      <c r="R25" s="1183">
        <f t="shared" ref="R25:R30" si="49">Q25*1000/$Q$4</f>
        <v>0.52589741661339451</v>
      </c>
      <c r="S25" s="386">
        <f t="shared" si="7"/>
        <v>0</v>
      </c>
      <c r="T25" s="758">
        <f t="shared" si="8"/>
        <v>8.1932446467306335</v>
      </c>
      <c r="U25" s="763"/>
      <c r="V25" s="763">
        <f t="shared" si="9"/>
        <v>8.1932446467306335</v>
      </c>
      <c r="W25" s="61"/>
      <c r="X25" s="777">
        <v>2.0421797154226224</v>
      </c>
      <c r="Y25" s="775">
        <f t="shared" ref="Y25:Y36" si="50">+P25-X25</f>
        <v>6.151064931308011</v>
      </c>
      <c r="Z25" s="61"/>
      <c r="AA25" s="777">
        <v>23.30592</v>
      </c>
      <c r="AB25" s="775">
        <f t="shared" ref="AB25:AB30" si="51">+Q25-AA25</f>
        <v>4.6644599999999983</v>
      </c>
      <c r="AD25" s="496">
        <f t="shared" ref="AD25:AD30" si="52">SUM(I25:L25)*1000/$Q$4</f>
        <v>0.50413944597498139</v>
      </c>
      <c r="AE25" s="496">
        <f t="shared" si="12"/>
        <v>2.1757970638413116E-2</v>
      </c>
      <c r="AF25" s="496">
        <f t="shared" si="45"/>
        <v>0.52589741661339451</v>
      </c>
      <c r="AJ25" s="35"/>
    </row>
    <row r="26" spans="1:36" x14ac:dyDescent="0.3">
      <c r="A26" s="383" t="s">
        <v>77</v>
      </c>
      <c r="B26" s="56">
        <f>'data entry '!Q22</f>
        <v>-53</v>
      </c>
      <c r="C26" s="1178">
        <f t="shared" si="47"/>
        <v>-0.99502487562189046</v>
      </c>
      <c r="D26" s="335"/>
      <c r="E26" s="334">
        <f>I26-B26</f>
        <v>2.7665998245613963</v>
      </c>
      <c r="F26" s="347">
        <f>'data entry '!Q101</f>
        <v>-62.749350175438593</v>
      </c>
      <c r="G26" s="347">
        <f>'data entry '!Q56</f>
        <v>12.515949999999989</v>
      </c>
      <c r="H26" s="492"/>
      <c r="I26" s="337">
        <f>F26+G26</f>
        <v>-50.233400175438604</v>
      </c>
      <c r="J26" s="401"/>
      <c r="K26" s="401">
        <v>-4.2145350588130128</v>
      </c>
      <c r="L26" s="401"/>
      <c r="M26" s="407">
        <v>-19</v>
      </c>
      <c r="N26" s="401">
        <f>SAP_ACT_EUR!P90/1000</f>
        <v>-0.6936747657483775</v>
      </c>
      <c r="O26" s="331"/>
      <c r="P26" s="331">
        <f t="shared" si="48"/>
        <v>-23.908209824561389</v>
      </c>
      <c r="Q26" s="400">
        <f>'data entry '!Q134</f>
        <v>-74.14161</v>
      </c>
      <c r="R26" s="1184">
        <f t="shared" si="49"/>
        <v>-1.3940061294325574</v>
      </c>
      <c r="S26" s="386">
        <f t="shared" si="7"/>
        <v>0</v>
      </c>
      <c r="T26" s="759">
        <f t="shared" si="8"/>
        <v>-23.908209824561396</v>
      </c>
      <c r="U26" s="764"/>
      <c r="V26" s="764">
        <f t="shared" si="9"/>
        <v>-23.908209824561396</v>
      </c>
      <c r="W26" s="61"/>
      <c r="X26" s="421">
        <v>2.1883729326981793</v>
      </c>
      <c r="Y26" s="776">
        <f t="shared" si="50"/>
        <v>-26.096582757259569</v>
      </c>
      <c r="Z26" s="61"/>
      <c r="AA26" s="421">
        <v>-51.571118382193724</v>
      </c>
      <c r="AB26" s="776">
        <f t="shared" si="51"/>
        <v>-22.570491617806276</v>
      </c>
      <c r="AD26" s="497">
        <f t="shared" si="52"/>
        <v>-1.0237268310128909</v>
      </c>
      <c r="AE26" s="497">
        <f t="shared" si="12"/>
        <v>-0.37027929841966656</v>
      </c>
      <c r="AF26" s="497">
        <f t="shared" si="45"/>
        <v>-1.3940061294325574</v>
      </c>
      <c r="AJ26" s="35"/>
    </row>
    <row r="27" spans="1:36" x14ac:dyDescent="0.3">
      <c r="A27" s="383" t="s">
        <v>144</v>
      </c>
      <c r="B27" s="56">
        <f>'data entry '!Q23</f>
        <v>0</v>
      </c>
      <c r="C27" s="1178">
        <f t="shared" si="47"/>
        <v>0</v>
      </c>
      <c r="D27" s="335"/>
      <c r="E27" s="334"/>
      <c r="F27" s="347">
        <f>'data entry '!Q102</f>
        <v>0</v>
      </c>
      <c r="G27" s="347">
        <f>'data entry '!Q57</f>
        <v>0</v>
      </c>
      <c r="H27" s="492"/>
      <c r="I27" s="337">
        <f t="shared" ref="I27" si="53">F27+G27</f>
        <v>0</v>
      </c>
      <c r="J27" s="401"/>
      <c r="K27" s="401">
        <v>-8.6323299999999996</v>
      </c>
      <c r="L27" s="401"/>
      <c r="M27" s="407">
        <f>-0.41448+0.13239</f>
        <v>-0.28209000000000001</v>
      </c>
      <c r="N27" s="401"/>
      <c r="O27" s="331"/>
      <c r="P27" s="331">
        <f t="shared" si="48"/>
        <v>-8.9144199999999998</v>
      </c>
      <c r="Q27" s="400">
        <f>'data entry '!Q135</f>
        <v>-8.9144199999999998</v>
      </c>
      <c r="R27" s="1184">
        <f t="shared" si="49"/>
        <v>-0.16760839318617682</v>
      </c>
      <c r="S27" s="386">
        <f t="shared" si="7"/>
        <v>0</v>
      </c>
      <c r="T27" s="759">
        <f t="shared" si="8"/>
        <v>-8.9144199999999998</v>
      </c>
      <c r="U27" s="764"/>
      <c r="V27" s="764">
        <f t="shared" si="9"/>
        <v>-8.9144199999999998</v>
      </c>
      <c r="W27" s="61"/>
      <c r="X27" s="421">
        <v>0</v>
      </c>
      <c r="Y27" s="776">
        <f t="shared" si="50"/>
        <v>-8.9144199999999998</v>
      </c>
      <c r="Z27" s="61"/>
      <c r="AA27" s="421">
        <v>0</v>
      </c>
      <c r="AB27" s="776">
        <f t="shared" si="51"/>
        <v>-8.9144199999999998</v>
      </c>
      <c r="AD27" s="497">
        <f t="shared" si="52"/>
        <v>-0.16230455382995526</v>
      </c>
      <c r="AE27" s="497">
        <f t="shared" si="12"/>
        <v>-5.3038393562215569E-3</v>
      </c>
      <c r="AF27" s="497">
        <f t="shared" si="45"/>
        <v>-0.16760839318617682</v>
      </c>
      <c r="AJ27" s="35"/>
    </row>
    <row r="28" spans="1:36" x14ac:dyDescent="0.3">
      <c r="A28" s="383" t="s">
        <v>85</v>
      </c>
      <c r="B28" s="56">
        <f>'data entry '!Q24</f>
        <v>8</v>
      </c>
      <c r="C28" s="1178">
        <f t="shared" si="47"/>
        <v>0.15019243405613444</v>
      </c>
      <c r="D28" s="335"/>
      <c r="E28" s="334"/>
      <c r="F28" s="347">
        <f>'data entry '!Q103</f>
        <v>0</v>
      </c>
      <c r="G28" s="347">
        <f>'data entry '!Q58</f>
        <v>8</v>
      </c>
      <c r="H28" s="492">
        <f>'Budget assumption'!Q328</f>
        <v>0</v>
      </c>
      <c r="I28" s="337">
        <f>B28</f>
        <v>8</v>
      </c>
      <c r="J28" s="401"/>
      <c r="K28" s="401">
        <v>-38.71528</v>
      </c>
      <c r="L28" s="401"/>
      <c r="M28" s="407"/>
      <c r="N28" s="401"/>
      <c r="O28" s="331"/>
      <c r="P28" s="331">
        <f t="shared" si="48"/>
        <v>-38.71528</v>
      </c>
      <c r="Q28" s="400">
        <f>'data entry '!Q136</f>
        <v>-30.71528</v>
      </c>
      <c r="R28" s="1184">
        <f t="shared" si="49"/>
        <v>-0.57750686270823148</v>
      </c>
      <c r="S28" s="386">
        <f t="shared" si="7"/>
        <v>0</v>
      </c>
      <c r="T28" s="759">
        <f t="shared" si="8"/>
        <v>-38.71528</v>
      </c>
      <c r="U28" s="764">
        <f>+'MTD VAR '!R25</f>
        <v>0</v>
      </c>
      <c r="V28" s="764">
        <f t="shared" si="9"/>
        <v>-38.71528</v>
      </c>
      <c r="W28" s="61"/>
      <c r="X28" s="421">
        <v>6.9704769610052804</v>
      </c>
      <c r="Y28" s="776">
        <f t="shared" si="50"/>
        <v>-45.685756961005282</v>
      </c>
      <c r="Z28" s="61"/>
      <c r="AA28" s="421">
        <v>14.97047696100528</v>
      </c>
      <c r="AB28" s="776">
        <f t="shared" si="51"/>
        <v>-45.685756961005282</v>
      </c>
      <c r="AD28" s="497">
        <f t="shared" si="52"/>
        <v>-0.57750686270823148</v>
      </c>
      <c r="AE28" s="497">
        <f t="shared" si="12"/>
        <v>0</v>
      </c>
      <c r="AF28" s="497">
        <f t="shared" si="45"/>
        <v>-0.57750686270823148</v>
      </c>
      <c r="AH28" s="35" t="s">
        <v>1052</v>
      </c>
      <c r="AJ28" s="35"/>
    </row>
    <row r="29" spans="1:36" x14ac:dyDescent="0.3">
      <c r="A29" s="397" t="s">
        <v>145</v>
      </c>
      <c r="B29" s="414">
        <f>'data entry '!Q25</f>
        <v>0</v>
      </c>
      <c r="C29" s="1181">
        <f t="shared" si="47"/>
        <v>0</v>
      </c>
      <c r="D29" s="335"/>
      <c r="E29" s="334"/>
      <c r="F29" s="347">
        <f>'data entry '!Q104</f>
        <v>0</v>
      </c>
      <c r="G29" s="347">
        <f>'data entry '!Q59</f>
        <v>0</v>
      </c>
      <c r="H29" s="492"/>
      <c r="I29" s="337">
        <f>B29</f>
        <v>0</v>
      </c>
      <c r="J29" s="401"/>
      <c r="K29" s="401"/>
      <c r="L29" s="401"/>
      <c r="M29" s="407"/>
      <c r="N29" s="401"/>
      <c r="O29" s="331"/>
      <c r="P29" s="331">
        <f t="shared" si="48"/>
        <v>0</v>
      </c>
      <c r="Q29" s="498">
        <f>'data entry '!Q137</f>
        <v>0</v>
      </c>
      <c r="R29" s="1184">
        <f t="shared" si="49"/>
        <v>0</v>
      </c>
      <c r="S29" s="386">
        <f t="shared" si="7"/>
        <v>0</v>
      </c>
      <c r="T29" s="761">
        <f t="shared" si="8"/>
        <v>0</v>
      </c>
      <c r="U29" s="764">
        <f>+'MTD VAR '!R26</f>
        <v>0</v>
      </c>
      <c r="V29" s="765">
        <f t="shared" si="9"/>
        <v>0</v>
      </c>
      <c r="W29" s="61"/>
      <c r="X29" s="421">
        <v>0</v>
      </c>
      <c r="Y29" s="776">
        <f t="shared" si="50"/>
        <v>0</v>
      </c>
      <c r="Z29" s="61"/>
      <c r="AA29" s="421">
        <v>0</v>
      </c>
      <c r="AB29" s="776">
        <f t="shared" si="51"/>
        <v>0</v>
      </c>
      <c r="AD29" s="497">
        <f t="shared" si="52"/>
        <v>0</v>
      </c>
      <c r="AE29" s="497">
        <f t="shared" si="12"/>
        <v>0</v>
      </c>
      <c r="AF29" s="497">
        <f t="shared" si="45"/>
        <v>0</v>
      </c>
      <c r="AJ29" s="35"/>
    </row>
    <row r="30" spans="1:36" x14ac:dyDescent="0.3">
      <c r="A30" s="274" t="s">
        <v>146</v>
      </c>
      <c r="B30" s="275">
        <f>SUM(B25:B29)</f>
        <v>-24</v>
      </c>
      <c r="C30" s="1146">
        <f t="shared" si="47"/>
        <v>-0.45057730216840325</v>
      </c>
      <c r="D30" s="335"/>
      <c r="E30" s="275">
        <f t="shared" ref="E30" si="54">SUM(E25:E29)</f>
        <v>1.5437351778307615</v>
      </c>
      <c r="F30" s="275">
        <f t="shared" ref="F30" si="55">SUM(F25:F29)</f>
        <v>-37.316451754385966</v>
      </c>
      <c r="G30" s="275">
        <f t="shared" ref="G30" si="56">SUM(G25:G29)</f>
        <v>14.860186932216727</v>
      </c>
      <c r="H30" s="275">
        <f t="shared" ref="H30" si="57">SUM(H25:H29)</f>
        <v>0</v>
      </c>
      <c r="I30" s="275">
        <f t="shared" ref="I30" si="58">SUM(I25:I29)</f>
        <v>-22.456264822169238</v>
      </c>
      <c r="J30" s="275">
        <f t="shared" ref="J30" si="59">SUM(J25:J29)</f>
        <v>7.5285000000000002</v>
      </c>
      <c r="K30" s="275">
        <f t="shared" ref="K30" si="60">SUM(K25:K29)</f>
        <v>-52.054619838457022</v>
      </c>
      <c r="L30" s="275">
        <f t="shared" ref="L30" si="61">SUM(L25:L29)</f>
        <v>0</v>
      </c>
      <c r="M30" s="275">
        <f t="shared" ref="M30" si="62">SUM(M25:M29)</f>
        <v>-18.128340000000001</v>
      </c>
      <c r="N30" s="329">
        <f t="shared" ref="N30" si="63">SUM(N25:N29)</f>
        <v>-0.69020533937373452</v>
      </c>
      <c r="O30" s="275">
        <f t="shared" ref="O30" si="64">SUM(O25:O29)</f>
        <v>0</v>
      </c>
      <c r="P30" s="275">
        <f t="shared" ref="P30" si="65">SUM(P25:P29)</f>
        <v>-63.344665177830755</v>
      </c>
      <c r="Q30" s="275">
        <f t="shared" ref="Q30" si="66">SUM(Q25:Q29)</f>
        <v>-85.800929999999994</v>
      </c>
      <c r="R30" s="1146">
        <f t="shared" si="49"/>
        <v>-1.6132239687135712</v>
      </c>
      <c r="S30" s="386">
        <f t="shared" si="7"/>
        <v>0</v>
      </c>
      <c r="T30" s="275">
        <f t="shared" si="8"/>
        <v>-63.344665177830755</v>
      </c>
      <c r="U30" s="275">
        <f>SUM(U28:U29)</f>
        <v>0</v>
      </c>
      <c r="V30" s="275">
        <f t="shared" si="9"/>
        <v>-63.344665177830755</v>
      </c>
      <c r="X30" s="329">
        <v>11.201029609126081</v>
      </c>
      <c r="Y30" s="329">
        <f t="shared" si="50"/>
        <v>-74.54569478695683</v>
      </c>
      <c r="AA30" s="329">
        <v>-13.294721421188443</v>
      </c>
      <c r="AB30" s="329">
        <f t="shared" si="51"/>
        <v>-72.506208578811552</v>
      </c>
      <c r="AD30" s="313">
        <f t="shared" si="52"/>
        <v>-1.2593988015760962</v>
      </c>
      <c r="AE30" s="313">
        <f t="shared" si="12"/>
        <v>-0.35382516713747503</v>
      </c>
      <c r="AF30" s="313">
        <f t="shared" si="45"/>
        <v>-1.6132239687135712</v>
      </c>
      <c r="AJ30" s="35"/>
    </row>
    <row r="31" spans="1:36" x14ac:dyDescent="0.3">
      <c r="A31" s="51"/>
      <c r="C31" s="164"/>
      <c r="H31" s="159"/>
      <c r="N31" s="105"/>
      <c r="R31" s="1185"/>
      <c r="T31"/>
      <c r="U31"/>
      <c r="V31"/>
      <c r="X31" s="749"/>
      <c r="Y31" s="749"/>
      <c r="AA31" s="749"/>
      <c r="AB31" s="749"/>
      <c r="AD31" s="50"/>
      <c r="AE31" s="50"/>
      <c r="AF31" s="50"/>
      <c r="AJ31" s="35"/>
    </row>
    <row r="32" spans="1:36" x14ac:dyDescent="0.3">
      <c r="A32" s="2" t="s">
        <v>148</v>
      </c>
      <c r="B32" s="416">
        <f>'data entry '!Q27</f>
        <v>90.697222500000009</v>
      </c>
      <c r="C32" s="1180">
        <f t="shared" ref="C32:C33" si="67">B32/$B$4*1000</f>
        <v>1.7027545761757252</v>
      </c>
      <c r="E32" s="364"/>
      <c r="F32" s="347">
        <f>'data entry '!Q106</f>
        <v>83.314994075403902</v>
      </c>
      <c r="G32" s="347">
        <f>'data entry '!Q61</f>
        <v>-32.924822817368366</v>
      </c>
      <c r="H32" s="492">
        <f>'Budget assumption'!Q335</f>
        <v>31.527944005065908</v>
      </c>
      <c r="I32" s="410">
        <f>B32</f>
        <v>90.697222500000009</v>
      </c>
      <c r="J32" s="408"/>
      <c r="K32" s="408">
        <v>-1.2821025000000077</v>
      </c>
      <c r="L32" s="408"/>
      <c r="M32" s="409"/>
      <c r="N32" s="408"/>
      <c r="O32" s="395"/>
      <c r="P32" s="395">
        <f t="shared" ref="P32:P33" si="68">SUM(J32:O32)</f>
        <v>-1.2821025000000077</v>
      </c>
      <c r="Q32" s="396">
        <f>'data entry '!Q139</f>
        <v>89.415120000000002</v>
      </c>
      <c r="R32" s="1183">
        <f t="shared" ref="R32:R34" si="69">Q32*1000/$Q$4</f>
        <v>1.6811777535441657</v>
      </c>
      <c r="S32" s="386">
        <f t="shared" si="7"/>
        <v>0</v>
      </c>
      <c r="T32" s="758">
        <f t="shared" si="8"/>
        <v>-1.2821025000000077</v>
      </c>
      <c r="U32" s="758">
        <f>+'MTD VAR '!R28</f>
        <v>-17.851725272136591</v>
      </c>
      <c r="V32" s="763">
        <f t="shared" si="9"/>
        <v>-19.133827772136598</v>
      </c>
      <c r="X32" s="777">
        <v>-1.3199509396599751E-7</v>
      </c>
      <c r="Y32" s="775">
        <f t="shared" si="50"/>
        <v>-1.2821023680049137</v>
      </c>
      <c r="AA32" s="777">
        <v>90.697222368004915</v>
      </c>
      <c r="AB32" s="775">
        <f t="shared" ref="AB32:AB34" si="70">+Q32-AA32</f>
        <v>-1.2821023680049137</v>
      </c>
      <c r="AD32" s="496">
        <f>SUM(I32:L32)*1000/$Q$4</f>
        <v>1.6811777535441657</v>
      </c>
      <c r="AE32" s="496">
        <f t="shared" si="12"/>
        <v>0</v>
      </c>
      <c r="AF32" s="496">
        <f>R32</f>
        <v>1.6811777535441657</v>
      </c>
      <c r="AJ32" s="35"/>
    </row>
    <row r="33" spans="1:36" x14ac:dyDescent="0.3">
      <c r="A33" s="363" t="s">
        <v>149</v>
      </c>
      <c r="B33" s="417">
        <f>'data entry '!Q28</f>
        <v>94.53200214118084</v>
      </c>
      <c r="C33" s="1181">
        <f t="shared" si="67"/>
        <v>1.7747489372229577</v>
      </c>
      <c r="E33" s="334"/>
      <c r="F33" s="347">
        <f>'data entry '!Q107</f>
        <v>86.837644871964514</v>
      </c>
      <c r="G33" s="347">
        <f>'data entry '!Q62</f>
        <v>-9.8883172663329333</v>
      </c>
      <c r="H33" s="492">
        <f>'Budget assumption'!Q336</f>
        <v>26.630832509035155</v>
      </c>
      <c r="I33" s="411">
        <f>B33</f>
        <v>94.53200214118084</v>
      </c>
      <c r="J33" s="401"/>
      <c r="K33" s="401"/>
      <c r="L33" s="401"/>
      <c r="M33" s="407">
        <v>-54.592548691452819</v>
      </c>
      <c r="N33" s="401">
        <f>((SAP_ACT_EUR!P335-SAP_ACT_EUR!P290)/1000)</f>
        <v>3.217866550271979</v>
      </c>
      <c r="O33" s="331"/>
      <c r="P33" s="331">
        <f t="shared" si="68"/>
        <v>-51.374682141180841</v>
      </c>
      <c r="Q33" s="498">
        <f>'data entry '!Q140</f>
        <v>43.157319999999999</v>
      </c>
      <c r="R33" s="1184">
        <f t="shared" si="69"/>
        <v>0.81144135674801643</v>
      </c>
      <c r="S33" s="386">
        <f t="shared" si="7"/>
        <v>0</v>
      </c>
      <c r="T33" s="761">
        <f t="shared" si="8"/>
        <v>-51.374682141180841</v>
      </c>
      <c r="U33" s="758">
        <f>+'MTD VAR '!R29</f>
        <v>17.582674535549259</v>
      </c>
      <c r="V33" s="765">
        <f t="shared" si="9"/>
        <v>-33.792007605631582</v>
      </c>
      <c r="X33" s="421">
        <v>-45.930952755689376</v>
      </c>
      <c r="Y33" s="776">
        <f t="shared" si="50"/>
        <v>-5.4437293854914657</v>
      </c>
      <c r="AA33" s="421">
        <v>48.601049385491464</v>
      </c>
      <c r="AB33" s="776">
        <f t="shared" si="70"/>
        <v>-5.4437293854914657</v>
      </c>
      <c r="AD33" s="497">
        <f>SUM(I33:L33)*1000/$Q$4</f>
        <v>1.7773850663930515</v>
      </c>
      <c r="AE33" s="497">
        <f t="shared" si="12"/>
        <v>-0.96594370964503506</v>
      </c>
      <c r="AF33" s="497">
        <f>R33</f>
        <v>0.81144135674801643</v>
      </c>
      <c r="AJ33" s="35"/>
    </row>
    <row r="34" spans="1:36" x14ac:dyDescent="0.3">
      <c r="A34" s="274" t="s">
        <v>150</v>
      </c>
      <c r="B34" s="275">
        <f>B32+B33</f>
        <v>185.22922464118085</v>
      </c>
      <c r="C34" s="1146">
        <f>B34/$B$4*1000</f>
        <v>3.4775035133986827</v>
      </c>
      <c r="E34" s="275">
        <f t="shared" ref="E34" si="71">E32+E33</f>
        <v>0</v>
      </c>
      <c r="F34" s="275">
        <f t="shared" ref="F34" si="72">F32+F33</f>
        <v>170.15263894736842</v>
      </c>
      <c r="G34" s="275">
        <f t="shared" ref="G34" si="73">G32+G33</f>
        <v>-42.813140083701299</v>
      </c>
      <c r="H34" s="275">
        <f t="shared" ref="H34" si="74">H32+H33</f>
        <v>58.158776514101064</v>
      </c>
      <c r="I34" s="275">
        <f t="shared" ref="I34" si="75">I32+I33</f>
        <v>185.22922464118085</v>
      </c>
      <c r="J34" s="275">
        <f t="shared" ref="J34" si="76">J32+J33</f>
        <v>0</v>
      </c>
      <c r="K34" s="275">
        <f t="shared" ref="K34" si="77">K32+K33</f>
        <v>-1.2821025000000077</v>
      </c>
      <c r="L34" s="275">
        <f t="shared" ref="L34" si="78">L32+L33</f>
        <v>0</v>
      </c>
      <c r="M34" s="275">
        <f t="shared" ref="M34" si="79">M32+M33</f>
        <v>-54.592548691452819</v>
      </c>
      <c r="N34" s="329">
        <f t="shared" ref="N34" si="80">N32+N33</f>
        <v>3.217866550271979</v>
      </c>
      <c r="O34" s="275">
        <f t="shared" ref="O34" si="81">O32+O33</f>
        <v>0</v>
      </c>
      <c r="P34" s="275">
        <f t="shared" ref="P34" si="82">P32+P33</f>
        <v>-52.656784641180849</v>
      </c>
      <c r="Q34" s="275">
        <f t="shared" ref="Q34" si="83">Q32+Q33</f>
        <v>132.57244</v>
      </c>
      <c r="R34" s="1146">
        <f t="shared" si="69"/>
        <v>2.4926191102921824</v>
      </c>
      <c r="S34" s="386">
        <f t="shared" si="7"/>
        <v>0</v>
      </c>
      <c r="T34" s="275">
        <f t="shared" si="8"/>
        <v>-52.656784641180849</v>
      </c>
      <c r="U34" s="275">
        <f>SUM(U32:U33)</f>
        <v>-0.26905073658733158</v>
      </c>
      <c r="V34" s="275">
        <f t="shared" si="9"/>
        <v>-52.92583537776818</v>
      </c>
      <c r="X34" s="329">
        <v>-45.930952887684469</v>
      </c>
      <c r="Y34" s="329">
        <f t="shared" si="50"/>
        <v>-6.7258317534963794</v>
      </c>
      <c r="AA34" s="329">
        <v>139.29827175349638</v>
      </c>
      <c r="AB34" s="329">
        <f t="shared" si="70"/>
        <v>-6.7258317534963794</v>
      </c>
      <c r="AD34" s="313">
        <f>SUM(I34:L34)*1000/$Q$4</f>
        <v>3.4585628199372174</v>
      </c>
      <c r="AE34" s="313">
        <f t="shared" si="12"/>
        <v>-0.96594370964503495</v>
      </c>
      <c r="AF34" s="313">
        <f>R34</f>
        <v>2.4926191102921824</v>
      </c>
      <c r="AJ34" s="35"/>
    </row>
    <row r="35" spans="1:36" x14ac:dyDescent="0.3">
      <c r="A35" s="51"/>
      <c r="C35" s="164"/>
      <c r="H35" s="159"/>
      <c r="N35" s="105"/>
      <c r="R35" s="164"/>
      <c r="T35"/>
      <c r="U35"/>
      <c r="V35"/>
      <c r="X35" s="105"/>
      <c r="Y35" s="105"/>
      <c r="AA35" s="105"/>
      <c r="AB35" s="105"/>
      <c r="AJ35" s="35"/>
    </row>
    <row r="36" spans="1:36" x14ac:dyDescent="0.3">
      <c r="A36" s="274" t="s">
        <v>1022</v>
      </c>
      <c r="B36" s="275">
        <f>B23+B30+B34</f>
        <v>1870.4089185144921</v>
      </c>
      <c r="C36" s="1146">
        <f>B36/$B$4*1000</f>
        <v>35.115158518999195</v>
      </c>
      <c r="E36" s="275">
        <f t="shared" ref="E36:Q36" si="84">E23+E30+E34</f>
        <v>-9.0523612264164832</v>
      </c>
      <c r="F36" s="275">
        <f t="shared" si="84"/>
        <v>1864.2097324561403</v>
      </c>
      <c r="G36" s="275">
        <f t="shared" si="84"/>
        <v>-448.71482993325645</v>
      </c>
      <c r="H36" s="275">
        <f t="shared" si="84"/>
        <v>431.54993927134512</v>
      </c>
      <c r="I36" s="275">
        <f>I23+I30+I34</f>
        <v>1861.3565572880761</v>
      </c>
      <c r="J36" s="275">
        <f t="shared" si="84"/>
        <v>21.760697391246648</v>
      </c>
      <c r="K36" s="275">
        <f t="shared" si="84"/>
        <v>-432.24981546442172</v>
      </c>
      <c r="L36" s="275">
        <f t="shared" si="84"/>
        <v>0</v>
      </c>
      <c r="M36" s="275">
        <f t="shared" si="84"/>
        <v>-76.298071525194331</v>
      </c>
      <c r="N36" s="329">
        <f t="shared" si="84"/>
        <v>64.534922310293709</v>
      </c>
      <c r="O36" s="275">
        <f t="shared" si="84"/>
        <v>0</v>
      </c>
      <c r="P36" s="275">
        <f t="shared" si="84"/>
        <v>-422.2522672880757</v>
      </c>
      <c r="Q36" s="275">
        <f t="shared" si="84"/>
        <v>1439.1042899999998</v>
      </c>
      <c r="R36" s="1146">
        <f>Q36*1000/$Q$4</f>
        <v>27.057953032752977</v>
      </c>
      <c r="S36" s="386">
        <f t="shared" si="7"/>
        <v>0</v>
      </c>
      <c r="T36" s="275">
        <f t="shared" si="8"/>
        <v>-422.25226728807638</v>
      </c>
      <c r="U36" s="275">
        <f>+U34+U30+U23</f>
        <v>17.572185231401335</v>
      </c>
      <c r="V36" s="275">
        <f t="shared" si="9"/>
        <v>-404.68008205667502</v>
      </c>
      <c r="W36" s="386" t="e">
        <f t="shared" ref="W36" si="85">+X36*1000/$X$4</f>
        <v>#VALUE!</v>
      </c>
      <c r="X36" s="329">
        <f>SUM(X34,X30,X23)</f>
        <v>-210.66550961782076</v>
      </c>
      <c r="Y36" s="329">
        <f t="shared" si="50"/>
        <v>-211.58675767025494</v>
      </c>
      <c r="Z36" s="386"/>
      <c r="AA36" s="329">
        <f>SUM(AA34,AA30,AA23)</f>
        <v>1685.0855901917157</v>
      </c>
      <c r="AB36" s="329">
        <f>+Q36-AA36</f>
        <v>-245.98130019171595</v>
      </c>
      <c r="AD36" s="313">
        <f>SUM(I36:L36)*1000/$Q$4</f>
        <v>27.279123062740215</v>
      </c>
      <c r="AE36" s="313">
        <f t="shared" si="12"/>
        <v>-0.22117002998723834</v>
      </c>
      <c r="AF36" s="313">
        <f>R36</f>
        <v>27.057953032752977</v>
      </c>
      <c r="AJ36" s="35"/>
    </row>
    <row r="37" spans="1:36" x14ac:dyDescent="0.3">
      <c r="Y37" s="107"/>
      <c r="AB37" s="107"/>
    </row>
    <row r="38" spans="1:36" ht="21" x14ac:dyDescent="0.4">
      <c r="A38" s="74" t="s">
        <v>598</v>
      </c>
      <c r="B38" s="107"/>
      <c r="C38" s="23"/>
      <c r="I38" s="35"/>
      <c r="J38" s="105"/>
      <c r="K38" s="105"/>
      <c r="L38" s="105"/>
      <c r="M38" s="105"/>
      <c r="O38" s="105"/>
      <c r="P38" s="35"/>
      <c r="Q38" s="23"/>
      <c r="R38" s="23"/>
      <c r="Y38" s="23"/>
      <c r="AB38" s="23"/>
    </row>
    <row r="39" spans="1:36" x14ac:dyDescent="0.3">
      <c r="R39" s="931"/>
    </row>
    <row r="40" spans="1:36" ht="15" thickBot="1" x14ac:dyDescent="0.35"/>
    <row r="41" spans="1:36" x14ac:dyDescent="0.3">
      <c r="A41" s="1218" t="s">
        <v>156</v>
      </c>
      <c r="B41" t="s">
        <v>619</v>
      </c>
      <c r="C41" s="724" t="s">
        <v>1053</v>
      </c>
      <c r="N41" s="35"/>
      <c r="R41" s="933"/>
    </row>
    <row r="42" spans="1:36" ht="14.4" customHeight="1" x14ac:dyDescent="0.3">
      <c r="A42" s="1219"/>
      <c r="B42" t="s">
        <v>599</v>
      </c>
      <c r="C42" t="s">
        <v>1041</v>
      </c>
      <c r="V42"/>
      <c r="W42"/>
      <c r="X42" s="784"/>
      <c r="Y42" s="785"/>
      <c r="Z42"/>
      <c r="AA42" s="784"/>
      <c r="AB42" s="785"/>
    </row>
    <row r="43" spans="1:36" x14ac:dyDescent="0.3">
      <c r="A43" s="1219"/>
      <c r="B43" t="s">
        <v>600</v>
      </c>
      <c r="C43" t="s">
        <v>1042</v>
      </c>
      <c r="V43" s="1220"/>
      <c r="W43"/>
      <c r="X43" s="786"/>
      <c r="Y43" s="786"/>
      <c r="Z43"/>
      <c r="AA43" s="786"/>
      <c r="AB43" s="786"/>
    </row>
    <row r="44" spans="1:36" ht="15" thickBot="1" x14ac:dyDescent="0.35">
      <c r="V44" s="1220"/>
      <c r="W44"/>
      <c r="X44" s="786"/>
      <c r="Y44" s="786"/>
      <c r="Z44"/>
      <c r="AA44" s="786"/>
      <c r="AB44" s="786"/>
    </row>
    <row r="45" spans="1:36" ht="15" thickBot="1" x14ac:dyDescent="0.35">
      <c r="A45" s="766" t="s">
        <v>75</v>
      </c>
      <c r="B45" t="s">
        <v>599</v>
      </c>
      <c r="C45" s="724"/>
      <c r="V45" s="1220"/>
      <c r="W45"/>
      <c r="X45" s="786"/>
      <c r="Y45" s="786"/>
      <c r="Z45"/>
      <c r="AA45" s="786"/>
      <c r="AB45" s="786"/>
    </row>
    <row r="46" spans="1:36" x14ac:dyDescent="0.3">
      <c r="B46" t="s">
        <v>600</v>
      </c>
      <c r="C46" s="724"/>
      <c r="V46" s="1220"/>
      <c r="W46" s="32"/>
      <c r="X46" s="787"/>
      <c r="Y46" s="787"/>
      <c r="Z46" s="32"/>
      <c r="AA46" s="787"/>
      <c r="AB46" s="787"/>
    </row>
    <row r="47" spans="1:36" ht="15" thickBot="1" x14ac:dyDescent="0.35">
      <c r="V47"/>
      <c r="W47"/>
      <c r="X47" s="788"/>
      <c r="Z47"/>
      <c r="AA47" s="788"/>
    </row>
    <row r="48" spans="1:36" ht="15" customHeight="1" thickBot="1" x14ac:dyDescent="0.35">
      <c r="A48" s="766" t="s">
        <v>80</v>
      </c>
      <c r="B48" t="s">
        <v>599</v>
      </c>
      <c r="C48" s="724" t="s">
        <v>1043</v>
      </c>
      <c r="V48"/>
      <c r="W48"/>
      <c r="X48" s="788"/>
      <c r="Z48"/>
      <c r="AA48" s="788"/>
    </row>
    <row r="49" spans="1:33" x14ac:dyDescent="0.3">
      <c r="A49" s="767"/>
      <c r="B49" t="s">
        <v>600</v>
      </c>
      <c r="C49" s="724" t="s">
        <v>1044</v>
      </c>
      <c r="V49" s="1220"/>
      <c r="W49"/>
      <c r="X49" s="786"/>
      <c r="Y49" s="786"/>
      <c r="Z49"/>
      <c r="AA49" s="786"/>
      <c r="AB49" s="786"/>
    </row>
    <row r="50" spans="1:33" x14ac:dyDescent="0.3">
      <c r="C50" s="724"/>
      <c r="N50" s="35"/>
      <c r="V50" s="1220"/>
      <c r="W50"/>
      <c r="X50" s="786"/>
      <c r="Y50" s="786"/>
      <c r="Z50"/>
      <c r="AA50" s="786"/>
      <c r="AB50" s="786"/>
    </row>
    <row r="51" spans="1:33" ht="15" thickBot="1" x14ac:dyDescent="0.35">
      <c r="V51" s="1220"/>
      <c r="W51" s="32"/>
      <c r="X51" s="787"/>
      <c r="Y51" s="787"/>
      <c r="Z51" s="32"/>
      <c r="AA51" s="787"/>
      <c r="AB51" s="787"/>
      <c r="AG51" s="87"/>
    </row>
    <row r="52" spans="1:33" ht="15" thickBot="1" x14ac:dyDescent="0.35">
      <c r="A52" s="766" t="s">
        <v>81</v>
      </c>
      <c r="B52" t="s">
        <v>599</v>
      </c>
      <c r="C52" s="724" t="s">
        <v>1046</v>
      </c>
    </row>
    <row r="53" spans="1:33" x14ac:dyDescent="0.3">
      <c r="B53" t="s">
        <v>600</v>
      </c>
      <c r="C53" s="724" t="s">
        <v>1045</v>
      </c>
    </row>
    <row r="54" spans="1:33" ht="15" thickBot="1" x14ac:dyDescent="0.35"/>
    <row r="55" spans="1:33" ht="15" thickBot="1" x14ac:dyDescent="0.35">
      <c r="A55" s="766" t="s">
        <v>618</v>
      </c>
      <c r="B55" t="s">
        <v>599</v>
      </c>
      <c r="C55" s="724" t="s">
        <v>1047</v>
      </c>
    </row>
    <row r="56" spans="1:33" x14ac:dyDescent="0.3">
      <c r="B56" t="s">
        <v>600</v>
      </c>
      <c r="C56" s="724" t="s">
        <v>793</v>
      </c>
    </row>
    <row r="57" spans="1:33" ht="15" thickBot="1" x14ac:dyDescent="0.35"/>
    <row r="58" spans="1:33" ht="15" thickBot="1" x14ac:dyDescent="0.35">
      <c r="A58" s="766" t="s">
        <v>617</v>
      </c>
      <c r="B58" t="s">
        <v>599</v>
      </c>
      <c r="C58" s="724"/>
    </row>
    <row r="59" spans="1:33" x14ac:dyDescent="0.3">
      <c r="B59" t="s">
        <v>600</v>
      </c>
      <c r="C59" s="724"/>
    </row>
    <row r="60" spans="1:33" ht="15" thickBot="1" x14ac:dyDescent="0.35">
      <c r="C60" s="724"/>
    </row>
    <row r="61" spans="1:33" ht="15" thickBot="1" x14ac:dyDescent="0.35">
      <c r="A61" s="766" t="s">
        <v>84</v>
      </c>
      <c r="B61" t="s">
        <v>599</v>
      </c>
      <c r="C61" s="724"/>
    </row>
    <row r="62" spans="1:33" ht="15" thickBot="1" x14ac:dyDescent="0.35"/>
    <row r="63" spans="1:33" ht="15" thickBot="1" x14ac:dyDescent="0.35">
      <c r="A63" s="766" t="s">
        <v>86</v>
      </c>
      <c r="B63" t="s">
        <v>599</v>
      </c>
      <c r="C63" s="724" t="s">
        <v>798</v>
      </c>
    </row>
    <row r="64" spans="1:33" ht="15" thickBot="1" x14ac:dyDescent="0.35"/>
    <row r="65" spans="1:14" ht="15" thickBot="1" x14ac:dyDescent="0.35">
      <c r="A65" s="766" t="s">
        <v>76</v>
      </c>
      <c r="B65" t="s">
        <v>599</v>
      </c>
      <c r="C65" t="s">
        <v>1057</v>
      </c>
    </row>
    <row r="66" spans="1:14" ht="15" thickBot="1" x14ac:dyDescent="0.35">
      <c r="N66" s="107"/>
    </row>
    <row r="67" spans="1:14" ht="15" thickBot="1" x14ac:dyDescent="0.35">
      <c r="A67" s="766" t="s">
        <v>77</v>
      </c>
      <c r="B67" t="s">
        <v>599</v>
      </c>
      <c r="C67" s="724" t="s">
        <v>1055</v>
      </c>
      <c r="N67" s="107"/>
    </row>
    <row r="68" spans="1:14" x14ac:dyDescent="0.3">
      <c r="B68" t="s">
        <v>600</v>
      </c>
      <c r="C68" s="724" t="s">
        <v>1056</v>
      </c>
      <c r="N68" s="107"/>
    </row>
    <row r="69" spans="1:14" ht="15" thickBot="1" x14ac:dyDescent="0.35">
      <c r="N69" s="107"/>
    </row>
    <row r="70" spans="1:14" ht="15" thickBot="1" x14ac:dyDescent="0.35">
      <c r="A70" s="766" t="s">
        <v>85</v>
      </c>
      <c r="B70" t="s">
        <v>599</v>
      </c>
      <c r="C70" s="724" t="s">
        <v>1054</v>
      </c>
    </row>
    <row r="71" spans="1:14" ht="15" thickBot="1" x14ac:dyDescent="0.35"/>
    <row r="72" spans="1:14" ht="15" thickBot="1" x14ac:dyDescent="0.35">
      <c r="A72" s="781" t="s">
        <v>149</v>
      </c>
      <c r="B72" t="s">
        <v>600</v>
      </c>
      <c r="C72" s="724" t="s">
        <v>1039</v>
      </c>
    </row>
  </sheetData>
  <mergeCells count="23">
    <mergeCell ref="L2:L3"/>
    <mergeCell ref="M2:M3"/>
    <mergeCell ref="A41:A43"/>
    <mergeCell ref="V43:V46"/>
    <mergeCell ref="V49:V51"/>
    <mergeCell ref="B4:C4"/>
    <mergeCell ref="Q4:R4"/>
    <mergeCell ref="X4:Y4"/>
    <mergeCell ref="AA4:AB4"/>
    <mergeCell ref="G2:G3"/>
    <mergeCell ref="A2:A3"/>
    <mergeCell ref="B2:C3"/>
    <mergeCell ref="D2:D3"/>
    <mergeCell ref="E2:E3"/>
    <mergeCell ref="F2:F3"/>
    <mergeCell ref="N2:N3"/>
    <mergeCell ref="O2:O3"/>
    <mergeCell ref="P2:P3"/>
    <mergeCell ref="Q2:R3"/>
    <mergeCell ref="H2:H3"/>
    <mergeCell ref="I2:I3"/>
    <mergeCell ref="J2:J3"/>
    <mergeCell ref="K2:K3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CBD70-9E44-414C-9EE4-4D34F3049FD1}">
  <sheetPr codeName="Sheet18">
    <tabColor rgb="FF0070C0"/>
  </sheetPr>
  <dimension ref="A1:Y73"/>
  <sheetViews>
    <sheetView showGridLines="0" topLeftCell="A50" zoomScale="70" zoomScaleNormal="70" workbookViewId="0">
      <selection activeCell="Z11" sqref="Z11"/>
    </sheetView>
  </sheetViews>
  <sheetFormatPr defaultRowHeight="14.4" outlineLevelCol="1" x14ac:dyDescent="0.3"/>
  <cols>
    <col min="1" max="1" width="61.77734375" customWidth="1"/>
    <col min="2" max="2" width="10.5546875" customWidth="1"/>
    <col min="3" max="3" width="8.5546875" customWidth="1"/>
    <col min="4" max="4" width="6.77734375" bestFit="1" customWidth="1"/>
    <col min="5" max="5" width="11.44140625" customWidth="1"/>
    <col min="6" max="6" width="9.44140625" hidden="1" customWidth="1" outlineLevel="1"/>
    <col min="7" max="7" width="10.88671875" hidden="1" customWidth="1" outlineLevel="1"/>
    <col min="8" max="8" width="9.5546875" hidden="1" customWidth="1" outlineLevel="1"/>
    <col min="9" max="9" width="11.5546875" customWidth="1" collapsed="1"/>
    <col min="10" max="10" width="12" bestFit="1" customWidth="1" outlineLevel="1"/>
    <col min="11" max="15" width="11.33203125" customWidth="1" outlineLevel="1"/>
    <col min="16" max="16" width="11.33203125" customWidth="1"/>
    <col min="17" max="17" width="9.44140625" customWidth="1"/>
    <col min="18" max="18" width="7.77734375" style="50" bestFit="1" customWidth="1"/>
    <col min="19" max="19" width="7.5546875" style="50" bestFit="1" customWidth="1"/>
    <col min="20" max="22" width="9.109375" style="50" bestFit="1" customWidth="1"/>
    <col min="23" max="23" width="6.5546875" style="50" customWidth="1"/>
    <col min="24" max="24" width="9.5546875" style="50" bestFit="1" customWidth="1"/>
    <col min="25" max="25" width="1.44140625" style="50" customWidth="1"/>
  </cols>
  <sheetData>
    <row r="1" spans="1:25" x14ac:dyDescent="0.3">
      <c r="A1" s="51"/>
      <c r="B1" s="51"/>
      <c r="C1" s="51"/>
      <c r="D1" s="52"/>
      <c r="E1" s="51"/>
      <c r="F1" s="53"/>
      <c r="G1" s="53"/>
      <c r="H1" s="53"/>
      <c r="I1" s="53"/>
      <c r="J1" s="51"/>
      <c r="K1" s="190"/>
      <c r="L1" s="51"/>
      <c r="M1" s="51"/>
      <c r="N1" s="51"/>
      <c r="O1" s="51"/>
      <c r="P1" s="53"/>
      <c r="Q1" s="190"/>
      <c r="R1" s="51"/>
      <c r="S1" s="51"/>
      <c r="T1" s="51"/>
      <c r="U1" s="51"/>
      <c r="V1" s="51"/>
      <c r="W1" s="51"/>
      <c r="X1" s="51"/>
      <c r="Y1" s="51"/>
    </row>
    <row r="2" spans="1:25" ht="14.55" customHeight="1" x14ac:dyDescent="0.3">
      <c r="A2" s="1199" t="s">
        <v>1023</v>
      </c>
      <c r="B2" s="1201" t="s">
        <v>59</v>
      </c>
      <c r="C2" s="1202"/>
      <c r="D2" s="1205"/>
      <c r="E2" s="1199" t="s">
        <v>60</v>
      </c>
      <c r="F2" s="1206" t="s">
        <v>61</v>
      </c>
      <c r="G2" s="1197" t="s">
        <v>62</v>
      </c>
      <c r="H2" s="1216" t="s">
        <v>63</v>
      </c>
      <c r="I2" s="1199" t="s">
        <v>64</v>
      </c>
      <c r="J2" s="1208" t="s">
        <v>422</v>
      </c>
      <c r="K2" s="1208" t="s">
        <v>45</v>
      </c>
      <c r="L2" s="1208" t="s">
        <v>47</v>
      </c>
      <c r="M2" s="1208" t="s">
        <v>49</v>
      </c>
      <c r="N2" s="1208" t="s">
        <v>51</v>
      </c>
      <c r="O2" s="1208" t="s">
        <v>55</v>
      </c>
      <c r="P2" s="1210" t="s">
        <v>65</v>
      </c>
      <c r="Q2" s="1212" t="s">
        <v>57</v>
      </c>
      <c r="R2" s="1213"/>
      <c r="S2" s="60"/>
      <c r="T2" s="60"/>
      <c r="U2" s="60"/>
      <c r="V2" s="60"/>
      <c r="W2" s="60"/>
      <c r="X2" s="60"/>
      <c r="Y2" s="60"/>
    </row>
    <row r="3" spans="1:25" x14ac:dyDescent="0.3">
      <c r="A3" s="1200"/>
      <c r="B3" s="1203"/>
      <c r="C3" s="1204"/>
      <c r="D3" s="1205"/>
      <c r="E3" s="1200"/>
      <c r="F3" s="1207"/>
      <c r="G3" s="1198"/>
      <c r="H3" s="1217"/>
      <c r="I3" s="1200"/>
      <c r="J3" s="1209"/>
      <c r="K3" s="1209"/>
      <c r="L3" s="1209"/>
      <c r="M3" s="1209"/>
      <c r="N3" s="1209"/>
      <c r="O3" s="1209"/>
      <c r="P3" s="1211"/>
      <c r="Q3" s="1214"/>
      <c r="R3" s="1215"/>
      <c r="S3" s="60"/>
      <c r="T3" s="60"/>
      <c r="U3" s="60"/>
      <c r="V3" s="60"/>
      <c r="W3" s="60"/>
      <c r="X3" s="60"/>
      <c r="Y3" s="60"/>
    </row>
    <row r="4" spans="1:25" ht="28.8" x14ac:dyDescent="0.3">
      <c r="A4" s="51"/>
      <c r="B4" s="1221">
        <f>'data entry '!R3</f>
        <v>289459</v>
      </c>
      <c r="C4" s="1222"/>
      <c r="D4" s="52"/>
      <c r="E4" s="59">
        <f>Q4-B4</f>
        <v>-49385</v>
      </c>
      <c r="Q4" s="1221">
        <f>'data entry '!R115</f>
        <v>240074</v>
      </c>
      <c r="R4" s="1222"/>
      <c r="S4" s="61"/>
      <c r="T4" s="754" t="s">
        <v>624</v>
      </c>
      <c r="U4" s="755" t="s">
        <v>66</v>
      </c>
      <c r="V4" s="755" t="s">
        <v>625</v>
      </c>
      <c r="W4" s="61"/>
      <c r="X4" s="61"/>
      <c r="Y4" s="61"/>
    </row>
    <row r="5" spans="1:25" x14ac:dyDescent="0.3">
      <c r="A5" s="55" t="s">
        <v>68</v>
      </c>
      <c r="B5" s="54"/>
      <c r="C5" s="51"/>
      <c r="D5" s="52"/>
      <c r="E5" s="268">
        <f>E4/B4</f>
        <v>-0.17061138192282846</v>
      </c>
      <c r="F5" s="191"/>
      <c r="G5" s="191"/>
      <c r="H5" s="53"/>
      <c r="I5" s="191"/>
      <c r="J5" s="51"/>
      <c r="K5" s="51"/>
      <c r="L5" s="51"/>
      <c r="M5" s="51"/>
      <c r="N5" s="51"/>
      <c r="O5" s="278"/>
      <c r="P5" s="53"/>
      <c r="Q5" s="323"/>
      <c r="R5" s="324"/>
      <c r="S5" s="325"/>
      <c r="T5" s="325"/>
      <c r="U5" s="325"/>
      <c r="V5" s="325"/>
      <c r="W5" s="325"/>
      <c r="X5" s="326" t="s">
        <v>69</v>
      </c>
      <c r="Y5" s="326"/>
    </row>
    <row r="6" spans="1:25" ht="14.4" customHeight="1" x14ac:dyDescent="0.3">
      <c r="A6" s="51"/>
      <c r="B6" s="318" t="s">
        <v>71</v>
      </c>
      <c r="C6" s="316" t="s">
        <v>72</v>
      </c>
      <c r="D6" s="52"/>
      <c r="E6" s="318" t="s">
        <v>71</v>
      </c>
      <c r="F6" s="318" t="s">
        <v>71</v>
      </c>
      <c r="G6" s="318" t="s">
        <v>71</v>
      </c>
      <c r="H6" s="318" t="s">
        <v>71</v>
      </c>
      <c r="I6" s="318" t="s">
        <v>71</v>
      </c>
      <c r="J6" s="318" t="s">
        <v>71</v>
      </c>
      <c r="K6" s="318" t="s">
        <v>71</v>
      </c>
      <c r="L6" s="318" t="s">
        <v>71</v>
      </c>
      <c r="M6" s="318" t="s">
        <v>71</v>
      </c>
      <c r="N6" s="318" t="s">
        <v>73</v>
      </c>
      <c r="O6" s="318" t="s">
        <v>71</v>
      </c>
      <c r="P6" s="316" t="s">
        <v>71</v>
      </c>
      <c r="Q6" s="319" t="s">
        <v>71</v>
      </c>
      <c r="R6" s="316" t="s">
        <v>72</v>
      </c>
      <c r="S6" s="61"/>
      <c r="T6" s="756" t="s">
        <v>71</v>
      </c>
      <c r="U6" s="757" t="s">
        <v>71</v>
      </c>
      <c r="V6" s="757" t="s">
        <v>71</v>
      </c>
      <c r="W6" s="61"/>
      <c r="X6" s="330"/>
      <c r="Y6" s="62"/>
    </row>
    <row r="7" spans="1:25" x14ac:dyDescent="0.3">
      <c r="A7" s="382" t="s">
        <v>74</v>
      </c>
      <c r="B7" s="56">
        <f>'data entry '!R5</f>
        <v>3129</v>
      </c>
      <c r="C7" s="1178">
        <f>B7/$B$4*1000</f>
        <v>10.809821080014785</v>
      </c>
      <c r="D7" s="398"/>
      <c r="E7" s="334">
        <f>I7-B7</f>
        <v>-556.18602745573389</v>
      </c>
      <c r="F7" s="347">
        <f>'data entry '!R84</f>
        <v>2737.3597956140366</v>
      </c>
      <c r="G7" s="347">
        <f>'data entry '!R39</f>
        <v>-164.54582306977028</v>
      </c>
      <c r="H7" s="492"/>
      <c r="I7" s="337">
        <f>F7+G7</f>
        <v>2572.8139725442661</v>
      </c>
      <c r="J7" s="331">
        <v>-99.195845191894577</v>
      </c>
      <c r="K7" s="331">
        <v>-366.19925880527717</v>
      </c>
      <c r="L7" s="331">
        <v>34.68</v>
      </c>
      <c r="M7" s="331">
        <v>117.01599999999999</v>
      </c>
      <c r="N7" s="331">
        <v>159.76563477398798</v>
      </c>
      <c r="O7" s="331"/>
      <c r="P7" s="400">
        <f>SUM(J7:O7)</f>
        <v>-153.93346922318375</v>
      </c>
      <c r="Q7" s="308">
        <f>'data entry '!R117</f>
        <v>2418.8815776144902</v>
      </c>
      <c r="R7" s="1163">
        <f>Q7*1000/$Q$4</f>
        <v>10.075566607023211</v>
      </c>
      <c r="S7" s="386">
        <f>Q7-SUM(I7:O7)</f>
        <v>1.0742934077825339E-3</v>
      </c>
      <c r="T7" s="758">
        <f>+Q7-I7</f>
        <v>-153.93239492977591</v>
      </c>
      <c r="U7" s="763"/>
      <c r="V7" s="763">
        <f>+T7+U7</f>
        <v>-153.93239492977591</v>
      </c>
      <c r="W7" s="386"/>
      <c r="X7" s="63"/>
      <c r="Y7" s="63"/>
    </row>
    <row r="8" spans="1:25" x14ac:dyDescent="0.3">
      <c r="A8" s="383" t="s">
        <v>75</v>
      </c>
      <c r="B8" s="56">
        <f>'data entry '!R6</f>
        <v>209.56943597150939</v>
      </c>
      <c r="C8" s="1178">
        <f t="shared" ref="C8:C20" si="0">B8/$B$4*1000</f>
        <v>0.72400386918876047</v>
      </c>
      <c r="D8" s="398"/>
      <c r="E8" s="334">
        <f t="shared" ref="E8:E9" si="1">I8-B8</f>
        <v>-41.19500558988392</v>
      </c>
      <c r="F8" s="347">
        <f>'data entry '!R85</f>
        <v>182.02347964912298</v>
      </c>
      <c r="G8" s="347">
        <f>'data entry '!R40</f>
        <v>-13.649049267497499</v>
      </c>
      <c r="H8" s="492"/>
      <c r="I8" s="337">
        <f t="shared" ref="I8:I9" si="2">F8+G8</f>
        <v>168.37443038162547</v>
      </c>
      <c r="J8" s="401"/>
      <c r="K8" s="331">
        <v>-4.584871521103274</v>
      </c>
      <c r="L8" s="331"/>
      <c r="M8" s="331">
        <v>-17.600000000000001</v>
      </c>
      <c r="N8" s="401">
        <v>5.4179461917327627</v>
      </c>
      <c r="O8" s="331"/>
      <c r="P8" s="400">
        <f t="shared" ref="P8:P19" si="3">SUM(J8:O8)</f>
        <v>-16.766925329370512</v>
      </c>
      <c r="Q8" s="308">
        <f>'data entry '!R118</f>
        <v>151.60735</v>
      </c>
      <c r="R8" s="1163">
        <f t="shared" ref="R8:R20" si="4">Q8*1000/$Q$4</f>
        <v>0.63150257837166879</v>
      </c>
      <c r="S8" s="386">
        <f t="shared" ref="S8:S36" si="5">Q8-SUM(I8:O8)</f>
        <v>-1.550522549678135E-4</v>
      </c>
      <c r="T8" s="759">
        <f t="shared" ref="T8:T34" si="6">+Q8-I8</f>
        <v>-16.767080381625476</v>
      </c>
      <c r="U8" s="764"/>
      <c r="V8" s="764">
        <f t="shared" ref="V8:V36" si="7">+T8+U8</f>
        <v>-16.767080381625476</v>
      </c>
      <c r="W8" s="386"/>
      <c r="X8" s="63"/>
      <c r="Y8" s="63"/>
    </row>
    <row r="9" spans="1:25" x14ac:dyDescent="0.3">
      <c r="A9" s="383" t="s">
        <v>141</v>
      </c>
      <c r="B9" s="56">
        <f>'data entry '!R7</f>
        <v>95.361000000000004</v>
      </c>
      <c r="C9" s="1178">
        <f t="shared" si="0"/>
        <v>0.32944562096877283</v>
      </c>
      <c r="D9" s="398"/>
      <c r="E9" s="334">
        <f t="shared" si="1"/>
        <v>-23.922156002142458</v>
      </c>
      <c r="F9" s="347">
        <f>'data entry '!R86</f>
        <v>77.826839298245616</v>
      </c>
      <c r="G9" s="347">
        <f>'data entry '!R41</f>
        <v>-6.3879953003880754</v>
      </c>
      <c r="H9" s="492"/>
      <c r="I9" s="337">
        <f t="shared" si="2"/>
        <v>71.438843997857546</v>
      </c>
      <c r="J9" s="331">
        <v>-2.77</v>
      </c>
      <c r="K9" s="331">
        <v>43.013249148838156</v>
      </c>
      <c r="L9" s="331"/>
      <c r="M9" s="331"/>
      <c r="N9" s="331">
        <v>1.4741963445979531</v>
      </c>
      <c r="O9" s="331"/>
      <c r="P9" s="400">
        <f t="shared" si="3"/>
        <v>41.717445493436109</v>
      </c>
      <c r="Q9" s="308">
        <f>'data entry '!R119</f>
        <v>113.14721</v>
      </c>
      <c r="R9" s="1163">
        <f t="shared" si="4"/>
        <v>0.47130139040462526</v>
      </c>
      <c r="S9" s="386">
        <f t="shared" si="5"/>
        <v>-9.0794912936615901E-3</v>
      </c>
      <c r="T9" s="759">
        <f t="shared" si="6"/>
        <v>41.708366002142455</v>
      </c>
      <c r="U9" s="764"/>
      <c r="V9" s="764">
        <f t="shared" si="7"/>
        <v>41.708366002142455</v>
      </c>
      <c r="W9" s="386"/>
      <c r="X9" s="63"/>
      <c r="Y9" s="63"/>
    </row>
    <row r="10" spans="1:25" x14ac:dyDescent="0.3">
      <c r="A10" s="4" t="s">
        <v>79</v>
      </c>
      <c r="B10" s="57">
        <f>SUM(B7:B9)</f>
        <v>3433.9304359715093</v>
      </c>
      <c r="C10" s="1170">
        <f t="shared" si="0"/>
        <v>11.86327057017232</v>
      </c>
      <c r="D10" s="399"/>
      <c r="E10" s="57">
        <f t="shared" ref="E10:Q10" si="8">SUM(E7:E9)</f>
        <v>-621.30318904776027</v>
      </c>
      <c r="F10" s="57">
        <f t="shared" si="8"/>
        <v>2997.2101145614051</v>
      </c>
      <c r="G10" s="57">
        <f t="shared" si="8"/>
        <v>-184.58286763765585</v>
      </c>
      <c r="H10" s="57">
        <f t="shared" si="8"/>
        <v>0</v>
      </c>
      <c r="I10" s="57">
        <f t="shared" si="8"/>
        <v>2812.6272469237492</v>
      </c>
      <c r="J10" s="57">
        <f t="shared" si="8"/>
        <v>-101.96584519189457</v>
      </c>
      <c r="K10" s="57">
        <f t="shared" si="8"/>
        <v>-327.77088117754226</v>
      </c>
      <c r="L10" s="57">
        <f t="shared" si="8"/>
        <v>34.68</v>
      </c>
      <c r="M10" s="57">
        <f t="shared" si="8"/>
        <v>99.415999999999997</v>
      </c>
      <c r="N10" s="57">
        <f t="shared" si="8"/>
        <v>166.65777731031869</v>
      </c>
      <c r="O10" s="57">
        <f t="shared" si="8"/>
        <v>0</v>
      </c>
      <c r="P10" s="57">
        <f t="shared" si="8"/>
        <v>-128.98294905911814</v>
      </c>
      <c r="Q10" s="57">
        <f t="shared" si="8"/>
        <v>2683.6361376144905</v>
      </c>
      <c r="R10" s="1162">
        <f t="shared" si="4"/>
        <v>11.178370575799505</v>
      </c>
      <c r="S10" s="386">
        <f t="shared" si="5"/>
        <v>-8.1602501404631766E-3</v>
      </c>
      <c r="T10" s="57">
        <f t="shared" si="6"/>
        <v>-128.99110930925872</v>
      </c>
      <c r="U10" s="57"/>
      <c r="V10" s="57">
        <f t="shared" si="7"/>
        <v>-128.99110930925872</v>
      </c>
      <c r="W10" s="386"/>
      <c r="X10" s="63"/>
      <c r="Y10" s="63"/>
    </row>
    <row r="11" spans="1:25" x14ac:dyDescent="0.3">
      <c r="A11" s="383" t="s">
        <v>80</v>
      </c>
      <c r="B11" s="56">
        <f>'data entry '!R9</f>
        <v>1264.7213403524402</v>
      </c>
      <c r="C11" s="1171">
        <f t="shared" si="0"/>
        <v>4.3692589981739731</v>
      </c>
      <c r="D11" s="398"/>
      <c r="E11" s="334"/>
      <c r="F11" s="347">
        <f>'data entry '!R88</f>
        <v>1082.32429631579</v>
      </c>
      <c r="G11" s="347">
        <f>'data entry '!R43</f>
        <v>-29.509956482402856</v>
      </c>
      <c r="H11" s="492">
        <f>'Budget assumption'!R323</f>
        <v>2.4144107985781034</v>
      </c>
      <c r="I11" s="337">
        <f>B11</f>
        <v>1264.7213403524402</v>
      </c>
      <c r="J11" s="331">
        <v>-15.686169063312768</v>
      </c>
      <c r="K11" s="331">
        <v>-28.150168622669909</v>
      </c>
      <c r="L11" s="331">
        <v>6</v>
      </c>
      <c r="M11" s="331">
        <v>52.8699239917309</v>
      </c>
      <c r="N11" s="331">
        <v>45.52307444279414</v>
      </c>
      <c r="O11" s="331"/>
      <c r="P11" s="400">
        <f t="shared" si="3"/>
        <v>60.556660748542363</v>
      </c>
      <c r="Q11" s="308">
        <f>'data entry '!R121</f>
        <v>1325.2768223855101</v>
      </c>
      <c r="R11" s="1163">
        <f t="shared" si="4"/>
        <v>5.5202846721657073</v>
      </c>
      <c r="S11" s="386">
        <f t="shared" si="5"/>
        <v>-1.1787154724061111E-3</v>
      </c>
      <c r="T11" s="759">
        <f t="shared" si="6"/>
        <v>60.555482033069893</v>
      </c>
      <c r="U11" s="759">
        <f>+'YTD VAR'!R10</f>
        <v>209.49258972047494</v>
      </c>
      <c r="V11" s="764">
        <f t="shared" si="7"/>
        <v>270.04807175354483</v>
      </c>
      <c r="W11" s="386"/>
      <c r="X11" s="63"/>
      <c r="Y11" s="63"/>
    </row>
    <row r="12" spans="1:25" x14ac:dyDescent="0.3">
      <c r="A12" s="383" t="s">
        <v>81</v>
      </c>
      <c r="B12" s="56">
        <f>'data entry '!R10</f>
        <v>644.90808766284852</v>
      </c>
      <c r="C12" s="1171">
        <f t="shared" si="0"/>
        <v>2.2279773220485404</v>
      </c>
      <c r="D12" s="398"/>
      <c r="E12" s="334"/>
      <c r="F12" s="347">
        <f>'data entry '!R89</f>
        <v>382.92250947368439</v>
      </c>
      <c r="G12" s="347">
        <f>'data entry '!R44</f>
        <v>176.76119401881772</v>
      </c>
      <c r="H12" s="492">
        <f>'Budget assumption'!R324</f>
        <v>0.87333610159110364</v>
      </c>
      <c r="I12" s="337">
        <f t="shared" ref="I12:I16" si="9">B12</f>
        <v>644.90808766284852</v>
      </c>
      <c r="J12" s="331"/>
      <c r="K12" s="331">
        <v>-25.976928715181021</v>
      </c>
      <c r="L12" s="348"/>
      <c r="M12" s="331">
        <v>3.3304957330802529</v>
      </c>
      <c r="N12" s="331">
        <v>13.842376281020904</v>
      </c>
      <c r="O12" s="331"/>
      <c r="P12" s="400">
        <f t="shared" si="3"/>
        <v>-8.8040567010798654</v>
      </c>
      <c r="Q12" s="308">
        <f>'data entry '!R122</f>
        <v>636.09685000000002</v>
      </c>
      <c r="R12" s="1163">
        <f t="shared" si="4"/>
        <v>2.6495865858027106</v>
      </c>
      <c r="S12" s="386">
        <f t="shared" si="5"/>
        <v>-7.1809617687677019E-3</v>
      </c>
      <c r="T12" s="759">
        <f t="shared" si="6"/>
        <v>-8.8112376628484981</v>
      </c>
      <c r="U12" s="759">
        <f>+'YTD VAR'!R11</f>
        <v>84.351048068755333</v>
      </c>
      <c r="V12" s="764">
        <f t="shared" si="7"/>
        <v>75.539810405906834</v>
      </c>
      <c r="W12" s="386"/>
      <c r="X12" s="63"/>
      <c r="Y12" s="63"/>
    </row>
    <row r="13" spans="1:25" x14ac:dyDescent="0.3">
      <c r="A13" s="383" t="s">
        <v>82</v>
      </c>
      <c r="B13" s="56">
        <f>'data entry '!R11</f>
        <v>1060.8527697130912</v>
      </c>
      <c r="C13" s="1171">
        <f t="shared" si="0"/>
        <v>3.6649500264738397</v>
      </c>
      <c r="D13" s="398"/>
      <c r="E13" s="334"/>
      <c r="F13" s="347">
        <f>'data entry '!R90</f>
        <v>741.73198929824559</v>
      </c>
      <c r="G13" s="347">
        <f>'data entry '!R45</f>
        <v>157.02486241215755</v>
      </c>
      <c r="H13" s="492">
        <f>'Budget assumption'!R325</f>
        <v>1.6861065443096734</v>
      </c>
      <c r="I13" s="337">
        <f t="shared" si="9"/>
        <v>1060.8527697130912</v>
      </c>
      <c r="J13" s="331">
        <v>-1.4791294736842104</v>
      </c>
      <c r="K13" s="331">
        <v>-189.43470076338781</v>
      </c>
      <c r="L13" s="331"/>
      <c r="M13" s="331">
        <v>21.588000000000001</v>
      </c>
      <c r="N13" s="331">
        <v>14.682347025965791</v>
      </c>
      <c r="O13" s="331"/>
      <c r="P13" s="400">
        <f t="shared" si="3"/>
        <v>-154.64348321110626</v>
      </c>
      <c r="Q13" s="308">
        <f>'data entry '!R123</f>
        <v>906.21602000000007</v>
      </c>
      <c r="R13" s="1163">
        <f t="shared" si="4"/>
        <v>3.7747362063363799</v>
      </c>
      <c r="S13" s="386">
        <f t="shared" si="5"/>
        <v>6.7334980151372292E-3</v>
      </c>
      <c r="T13" s="759">
        <f t="shared" si="6"/>
        <v>-154.63674971309115</v>
      </c>
      <c r="U13" s="759">
        <f>+'YTD VAR'!R12</f>
        <v>160.40981145837839</v>
      </c>
      <c r="V13" s="764">
        <f t="shared" si="7"/>
        <v>5.7730617452872366</v>
      </c>
      <c r="W13" s="386"/>
      <c r="X13" s="63"/>
      <c r="Y13" s="63"/>
    </row>
    <row r="14" spans="1:25" x14ac:dyDescent="0.3">
      <c r="A14" s="383" t="s">
        <v>83</v>
      </c>
      <c r="B14" s="56">
        <f>'data entry '!R12</f>
        <v>32</v>
      </c>
      <c r="C14" s="1171">
        <f t="shared" si="0"/>
        <v>0.11055106249935225</v>
      </c>
      <c r="D14" s="398"/>
      <c r="E14" s="334"/>
      <c r="F14" s="347">
        <f>'data entry '!R91</f>
        <v>40.771032456140333</v>
      </c>
      <c r="G14" s="347">
        <f>'data entry '!R46</f>
        <v>-25.500174251940123</v>
      </c>
      <c r="H14" s="492">
        <f>'Budget assumption'!R326</f>
        <v>0.10726756644930946</v>
      </c>
      <c r="I14" s="337">
        <f t="shared" si="9"/>
        <v>32</v>
      </c>
      <c r="J14" s="331">
        <v>2.5000000000000004</v>
      </c>
      <c r="K14" s="331">
        <v>-12.117611074815411</v>
      </c>
      <c r="L14" s="402"/>
      <c r="M14" s="331">
        <v>-6.0041182628000067</v>
      </c>
      <c r="N14" s="401">
        <v>-0.12288948740574496</v>
      </c>
      <c r="O14" s="331"/>
      <c r="P14" s="400">
        <f t="shared" si="3"/>
        <v>-15.744618825021162</v>
      </c>
      <c r="Q14" s="308">
        <f>'data entry '!R124</f>
        <v>16.256550000000001</v>
      </c>
      <c r="R14" s="1163">
        <f t="shared" si="4"/>
        <v>6.7714746286561642E-2</v>
      </c>
      <c r="S14" s="386">
        <f t="shared" si="5"/>
        <v>1.1688250211641105E-3</v>
      </c>
      <c r="T14" s="759">
        <f t="shared" si="6"/>
        <v>-15.743449999999999</v>
      </c>
      <c r="U14" s="759">
        <f>+'YTD VAR'!R13</f>
        <v>16.621874229350482</v>
      </c>
      <c r="V14" s="764">
        <f t="shared" si="7"/>
        <v>0.87842422935048248</v>
      </c>
      <c r="W14" s="386"/>
      <c r="X14" s="63"/>
      <c r="Y14" s="63"/>
    </row>
    <row r="15" spans="1:25" x14ac:dyDescent="0.3">
      <c r="A15" s="383" t="s">
        <v>84</v>
      </c>
      <c r="B15" s="56">
        <f>'data entry '!R13</f>
        <v>262.61090623877089</v>
      </c>
      <c r="C15" s="1171">
        <f t="shared" si="0"/>
        <v>0.90724733464418417</v>
      </c>
      <c r="D15" s="398"/>
      <c r="E15" s="334"/>
      <c r="F15" s="347">
        <f>'data entry '!R92</f>
        <v>189.24151701754388</v>
      </c>
      <c r="G15" s="347">
        <f>'data entry '!R47</f>
        <v>60.869467644413149</v>
      </c>
      <c r="H15" s="492">
        <f>'Budget assumption'!R327</f>
        <v>0.37635213199844131</v>
      </c>
      <c r="I15" s="337">
        <f t="shared" si="9"/>
        <v>262.61090623877089</v>
      </c>
      <c r="J15" s="331">
        <v>-8.34</v>
      </c>
      <c r="K15" s="331">
        <v>-51.318552001852765</v>
      </c>
      <c r="L15" s="403"/>
      <c r="M15" s="331"/>
      <c r="N15" s="401">
        <v>2.5780303412581191</v>
      </c>
      <c r="O15" s="331"/>
      <c r="P15" s="400">
        <f t="shared" si="3"/>
        <v>-57.080521660594648</v>
      </c>
      <c r="Q15" s="308">
        <f>'data entry '!R125</f>
        <v>205.53572</v>
      </c>
      <c r="R15" s="1163">
        <f t="shared" si="4"/>
        <v>0.85613485841865422</v>
      </c>
      <c r="S15" s="386">
        <f t="shared" si="5"/>
        <v>5.3354218237586792E-3</v>
      </c>
      <c r="T15" s="759">
        <f t="shared" si="6"/>
        <v>-57.075186238770897</v>
      </c>
      <c r="U15" s="759">
        <f>+'YTD VAR'!R14</f>
        <v>12.123569444815423</v>
      </c>
      <c r="V15" s="764">
        <f t="shared" si="7"/>
        <v>-44.951616793955473</v>
      </c>
      <c r="W15" s="386"/>
      <c r="X15" s="63"/>
      <c r="Y15" s="63"/>
    </row>
    <row r="16" spans="1:25" x14ac:dyDescent="0.3">
      <c r="A16" s="383" t="s">
        <v>86</v>
      </c>
      <c r="B16" s="56">
        <f>'data entry '!R14</f>
        <v>935.329228872719</v>
      </c>
      <c r="C16" s="1171">
        <f t="shared" si="0"/>
        <v>3.2313012512055903</v>
      </c>
      <c r="D16" s="398"/>
      <c r="E16" s="334"/>
      <c r="F16" s="347">
        <f>'data entry '!R93</f>
        <v>2491.3283210526306</v>
      </c>
      <c r="G16" s="347">
        <f>'data entry '!R48</f>
        <v>145.47907057014658</v>
      </c>
      <c r="H16" s="492">
        <f>'Budget assumption'!R329</f>
        <v>1.4734790884196229</v>
      </c>
      <c r="I16" s="337">
        <f t="shared" si="9"/>
        <v>935.329228872719</v>
      </c>
      <c r="J16" s="331"/>
      <c r="K16" s="331">
        <v>-215.64246729542737</v>
      </c>
      <c r="L16" s="402"/>
      <c r="M16" s="331"/>
      <c r="N16" s="331">
        <v>28.67</v>
      </c>
      <c r="O16" s="348"/>
      <c r="P16" s="400">
        <f t="shared" si="3"/>
        <v>-186.97246729542735</v>
      </c>
      <c r="Q16" s="308">
        <f>'data entry '!R126</f>
        <v>748.35690694411619</v>
      </c>
      <c r="R16" s="1163">
        <f t="shared" si="4"/>
        <v>3.1171926445350859</v>
      </c>
      <c r="S16" s="386">
        <f t="shared" si="5"/>
        <v>1.4536682454036054E-4</v>
      </c>
      <c r="T16" s="759">
        <f t="shared" si="6"/>
        <v>-186.97232192860281</v>
      </c>
      <c r="U16" s="759">
        <f>+'YTD VAR'!R15</f>
        <v>-1702.9516418384781</v>
      </c>
      <c r="V16" s="764">
        <f t="shared" si="7"/>
        <v>-1889.9239637670807</v>
      </c>
      <c r="W16" s="386"/>
      <c r="X16" s="63"/>
      <c r="Y16" s="63"/>
    </row>
    <row r="17" spans="1:25" x14ac:dyDescent="0.3">
      <c r="A17" s="4" t="s">
        <v>87</v>
      </c>
      <c r="B17" s="57">
        <f>SUM(B11:B16)</f>
        <v>4200.4223328398703</v>
      </c>
      <c r="C17" s="1170">
        <f t="shared" si="0"/>
        <v>14.511285995045482</v>
      </c>
      <c r="D17" s="399"/>
      <c r="E17" s="57">
        <f t="shared" ref="E17:Q17" si="10">SUM(E11:E16)</f>
        <v>0</v>
      </c>
      <c r="F17" s="57">
        <f t="shared" si="10"/>
        <v>4928.3196656140353</v>
      </c>
      <c r="G17" s="57">
        <f t="shared" si="10"/>
        <v>485.12446391119204</v>
      </c>
      <c r="H17" s="57">
        <f t="shared" si="10"/>
        <v>6.9309522313462537</v>
      </c>
      <c r="I17" s="57">
        <f t="shared" si="10"/>
        <v>4200.4223328398703</v>
      </c>
      <c r="J17" s="57">
        <f t="shared" si="10"/>
        <v>-23.005298536996978</v>
      </c>
      <c r="K17" s="57">
        <f t="shared" si="10"/>
        <v>-522.64042847333428</v>
      </c>
      <c r="L17" s="57">
        <f t="shared" si="10"/>
        <v>6</v>
      </c>
      <c r="M17" s="57">
        <f t="shared" si="10"/>
        <v>71.784301462011143</v>
      </c>
      <c r="N17" s="57">
        <f t="shared" si="10"/>
        <v>105.17293860363321</v>
      </c>
      <c r="O17" s="57">
        <f t="shared" si="10"/>
        <v>0</v>
      </c>
      <c r="P17" s="57">
        <f t="shared" si="10"/>
        <v>-362.68848694468693</v>
      </c>
      <c r="Q17" s="57">
        <f t="shared" si="10"/>
        <v>3837.7388693296261</v>
      </c>
      <c r="R17" s="1162">
        <f t="shared" si="4"/>
        <v>15.985649713545099</v>
      </c>
      <c r="S17" s="386">
        <f t="shared" si="5"/>
        <v>5.0234344425916788E-3</v>
      </c>
      <c r="T17" s="57">
        <f t="shared" si="6"/>
        <v>-362.68346351024411</v>
      </c>
      <c r="U17" s="57">
        <f>SUM(U11:U16)</f>
        <v>-1219.9527489167035</v>
      </c>
      <c r="V17" s="57">
        <f t="shared" si="7"/>
        <v>-1582.6362124269476</v>
      </c>
      <c r="W17" s="386"/>
      <c r="X17" s="63"/>
      <c r="Y17" s="63"/>
    </row>
    <row r="18" spans="1:25" x14ac:dyDescent="0.3">
      <c r="A18" s="5" t="s">
        <v>88</v>
      </c>
      <c r="B18" s="58">
        <f>B10+B17</f>
        <v>7634.3527688113791</v>
      </c>
      <c r="C18" s="1173">
        <f t="shared" si="0"/>
        <v>26.374556565217802</v>
      </c>
      <c r="D18" s="399"/>
      <c r="E18" s="58">
        <f t="shared" ref="E18:Q18" si="11">E10+E17</f>
        <v>-621.30318904776027</v>
      </c>
      <c r="F18" s="58">
        <f t="shared" si="11"/>
        <v>7925.5297801754405</v>
      </c>
      <c r="G18" s="58">
        <f t="shared" si="11"/>
        <v>300.54159627353619</v>
      </c>
      <c r="H18" s="58">
        <f t="shared" si="11"/>
        <v>6.9309522313462537</v>
      </c>
      <c r="I18" s="58">
        <f t="shared" si="11"/>
        <v>7013.0495797636195</v>
      </c>
      <c r="J18" s="58">
        <f t="shared" si="11"/>
        <v>-124.97114372889155</v>
      </c>
      <c r="K18" s="58">
        <f t="shared" si="11"/>
        <v>-850.41130965087655</v>
      </c>
      <c r="L18" s="58">
        <f t="shared" si="11"/>
        <v>40.68</v>
      </c>
      <c r="M18" s="58">
        <f t="shared" si="11"/>
        <v>171.20030146201114</v>
      </c>
      <c r="N18" s="58">
        <f t="shared" si="11"/>
        <v>271.83071591395191</v>
      </c>
      <c r="O18" s="58">
        <f t="shared" si="11"/>
        <v>0</v>
      </c>
      <c r="P18" s="58">
        <f t="shared" si="11"/>
        <v>-491.67143600380507</v>
      </c>
      <c r="Q18" s="58">
        <f t="shared" si="11"/>
        <v>6521.3750069441166</v>
      </c>
      <c r="R18" s="1164">
        <f t="shared" si="4"/>
        <v>27.164020289344602</v>
      </c>
      <c r="S18" s="386">
        <f t="shared" si="5"/>
        <v>-3.1368156987809925E-3</v>
      </c>
      <c r="T18" s="58">
        <f t="shared" si="6"/>
        <v>-491.67457281950283</v>
      </c>
      <c r="U18" s="58">
        <f>+U17</f>
        <v>-1219.9527489167035</v>
      </c>
      <c r="V18" s="58">
        <f t="shared" si="7"/>
        <v>-1711.6273217362063</v>
      </c>
      <c r="W18" s="386"/>
      <c r="X18" s="63"/>
      <c r="Y18" s="63"/>
    </row>
    <row r="19" spans="1:25" x14ac:dyDescent="0.3">
      <c r="A19" s="383" t="s">
        <v>89</v>
      </c>
      <c r="B19" s="56">
        <f>'data entry '!R17</f>
        <v>125.33572953474766</v>
      </c>
      <c r="C19" s="1171">
        <f t="shared" si="0"/>
        <v>0.43299993966243111</v>
      </c>
      <c r="D19" s="398"/>
      <c r="E19" s="334"/>
      <c r="F19" s="384">
        <f>'data entry '!R96</f>
        <v>0</v>
      </c>
      <c r="G19" s="384">
        <f>'data entry '!R51</f>
        <v>73.482906727467324</v>
      </c>
      <c r="H19" s="493">
        <f>'Budget assumption'!R331</f>
        <v>9.6732334961167954E-2</v>
      </c>
      <c r="I19" s="337">
        <f t="shared" ref="I19" si="12">B19</f>
        <v>125.33572953474766</v>
      </c>
      <c r="J19" s="331"/>
      <c r="K19" s="404">
        <v>-22.63345555192388</v>
      </c>
      <c r="L19" s="331"/>
      <c r="M19" s="331"/>
      <c r="N19" s="331">
        <v>-0.27245919250993539</v>
      </c>
      <c r="O19" s="331"/>
      <c r="P19" s="400">
        <f t="shared" si="3"/>
        <v>-22.905914744433815</v>
      </c>
      <c r="Q19" s="308">
        <f>'data entry '!R129</f>
        <v>102.43459</v>
      </c>
      <c r="R19" s="1163">
        <f t="shared" si="4"/>
        <v>0.42667923223672699</v>
      </c>
      <c r="S19" s="386">
        <f t="shared" si="5"/>
        <v>4.7752096861586324E-3</v>
      </c>
      <c r="T19" s="759">
        <f t="shared" si="6"/>
        <v>-22.901139534747657</v>
      </c>
      <c r="U19" s="759">
        <f>+'YTD VAR'!R18</f>
        <v>51.756090472319173</v>
      </c>
      <c r="V19" s="764">
        <f t="shared" si="7"/>
        <v>28.854950937571516</v>
      </c>
      <c r="W19" s="386"/>
      <c r="X19" s="63"/>
      <c r="Y19" s="63"/>
    </row>
    <row r="20" spans="1:25" x14ac:dyDescent="0.3">
      <c r="A20" s="5" t="s">
        <v>90</v>
      </c>
      <c r="B20" s="58">
        <f>B18+B19</f>
        <v>7759.6884983461268</v>
      </c>
      <c r="C20" s="1173">
        <f t="shared" si="0"/>
        <v>26.807556504880232</v>
      </c>
      <c r="D20" s="399"/>
      <c r="E20" s="58">
        <f t="shared" ref="E20:Q20" si="13">E18+E19</f>
        <v>-621.30318904776027</v>
      </c>
      <c r="F20" s="58">
        <f t="shared" si="13"/>
        <v>7925.5297801754405</v>
      </c>
      <c r="G20" s="58">
        <f t="shared" si="13"/>
        <v>374.0245030010035</v>
      </c>
      <c r="H20" s="58">
        <f t="shared" si="13"/>
        <v>7.0276845663074212</v>
      </c>
      <c r="I20" s="58">
        <f t="shared" si="13"/>
        <v>7138.3853092983672</v>
      </c>
      <c r="J20" s="58">
        <f t="shared" si="13"/>
        <v>-124.97114372889155</v>
      </c>
      <c r="K20" s="58">
        <f t="shared" si="13"/>
        <v>-873.04476520280048</v>
      </c>
      <c r="L20" s="58">
        <f t="shared" si="13"/>
        <v>40.68</v>
      </c>
      <c r="M20" s="58">
        <f t="shared" si="13"/>
        <v>171.20030146201114</v>
      </c>
      <c r="N20" s="58">
        <f t="shared" si="13"/>
        <v>271.55825672144198</v>
      </c>
      <c r="O20" s="58">
        <f t="shared" si="13"/>
        <v>0</v>
      </c>
      <c r="P20" s="58">
        <f t="shared" si="13"/>
        <v>-514.57735074823893</v>
      </c>
      <c r="Q20" s="58">
        <f t="shared" si="13"/>
        <v>6623.8095969441165</v>
      </c>
      <c r="R20" s="1164">
        <f t="shared" si="4"/>
        <v>27.590699521581328</v>
      </c>
      <c r="S20" s="386">
        <f t="shared" si="5"/>
        <v>1.6383939873776399E-3</v>
      </c>
      <c r="T20" s="58">
        <f t="shared" si="6"/>
        <v>-514.57571235425075</v>
      </c>
      <c r="U20" s="58">
        <f>+U19+U18</f>
        <v>-1168.1966584443844</v>
      </c>
      <c r="V20" s="58">
        <f t="shared" si="7"/>
        <v>-1682.7723707986352</v>
      </c>
      <c r="W20" s="386"/>
      <c r="X20" s="63"/>
      <c r="Y20" s="63"/>
    </row>
    <row r="21" spans="1:25" x14ac:dyDescent="0.3">
      <c r="A21" s="51"/>
      <c r="B21" s="51"/>
      <c r="C21" s="1153"/>
      <c r="D21" s="399"/>
      <c r="E21" s="51"/>
      <c r="F21" s="53"/>
      <c r="G21" s="53"/>
      <c r="H21" s="495"/>
      <c r="I21" s="53"/>
      <c r="J21" s="51"/>
      <c r="K21" s="51"/>
      <c r="L21" s="51"/>
      <c r="M21" s="51"/>
      <c r="N21" s="51"/>
      <c r="O21" s="51"/>
      <c r="P21" s="53"/>
      <c r="Q21" s="51"/>
      <c r="R21" s="1153"/>
      <c r="S21" s="386">
        <f t="shared" si="5"/>
        <v>0</v>
      </c>
      <c r="T21" s="51"/>
      <c r="U21" s="51"/>
      <c r="V21" s="51"/>
      <c r="W21" s="386"/>
      <c r="X21" s="63"/>
      <c r="Y21" s="51"/>
    </row>
    <row r="22" spans="1:25" x14ac:dyDescent="0.3">
      <c r="A22" s="385" t="s">
        <v>91</v>
      </c>
      <c r="B22" s="273">
        <f>'data entry '!R19</f>
        <v>2478.186051127288</v>
      </c>
      <c r="C22" s="1179">
        <f t="shared" ref="C22:C23" si="14">B22/$B$4*1000</f>
        <v>8.5614406569748667</v>
      </c>
      <c r="D22" s="398"/>
      <c r="E22" s="342"/>
      <c r="F22" s="343">
        <f>'data entry '!R98</f>
        <v>0</v>
      </c>
      <c r="G22" s="343">
        <f>'data entry '!R53</f>
        <v>307.11698966331352</v>
      </c>
      <c r="H22" s="494"/>
      <c r="I22" s="344">
        <f t="shared" ref="I22" si="15">B22</f>
        <v>2478.186051127288</v>
      </c>
      <c r="J22" s="404"/>
      <c r="K22" s="404">
        <v>-114.94557088537664</v>
      </c>
      <c r="L22" s="404"/>
      <c r="M22" s="404"/>
      <c r="N22" s="404">
        <v>-561.10285765253218</v>
      </c>
      <c r="O22" s="405"/>
      <c r="P22" s="404">
        <f t="shared" ref="P22" si="16">SUM(J22:O22)</f>
        <v>-676.04842853790888</v>
      </c>
      <c r="Q22" s="404">
        <f>'data entry '!R131</f>
        <v>1802.1403430558842</v>
      </c>
      <c r="R22" s="1182">
        <f t="shared" ref="R22:R23" si="17">Q22*1000/$Q$4</f>
        <v>7.5066035599685268</v>
      </c>
      <c r="S22" s="386">
        <f t="shared" si="5"/>
        <v>2.7204665050248877E-3</v>
      </c>
      <c r="T22" s="760">
        <f t="shared" si="6"/>
        <v>-676.04570807140385</v>
      </c>
      <c r="U22" s="759">
        <f>+'YTD VAR'!R20</f>
        <v>2167.0188946975882</v>
      </c>
      <c r="V22" s="762">
        <f t="shared" si="7"/>
        <v>1490.9731866261843</v>
      </c>
      <c r="W22" s="386"/>
      <c r="X22" s="63"/>
      <c r="Y22" s="63"/>
    </row>
    <row r="23" spans="1:25" x14ac:dyDescent="0.3">
      <c r="A23" s="274" t="s">
        <v>92</v>
      </c>
      <c r="B23" s="275">
        <f t="shared" ref="B23" si="18">+B22+B20</f>
        <v>10237.874549473414</v>
      </c>
      <c r="C23" s="1146">
        <f t="shared" si="14"/>
        <v>35.368997161855098</v>
      </c>
      <c r="D23" s="52"/>
      <c r="E23" s="275">
        <f t="shared" ref="E23:O23" si="19">E22</f>
        <v>0</v>
      </c>
      <c r="F23" s="275">
        <f t="shared" si="19"/>
        <v>0</v>
      </c>
      <c r="G23" s="275">
        <f t="shared" si="19"/>
        <v>307.11698966331352</v>
      </c>
      <c r="H23" s="275">
        <f t="shared" si="19"/>
        <v>0</v>
      </c>
      <c r="I23" s="275">
        <f t="shared" ref="I23:M23" si="20">+I22+I20</f>
        <v>9616.5713604256562</v>
      </c>
      <c r="J23" s="275">
        <f t="shared" si="20"/>
        <v>-124.97114372889155</v>
      </c>
      <c r="K23" s="275">
        <f t="shared" si="20"/>
        <v>-987.99033608817717</v>
      </c>
      <c r="L23" s="275">
        <f t="shared" si="20"/>
        <v>40.68</v>
      </c>
      <c r="M23" s="275">
        <f t="shared" si="20"/>
        <v>171.20030146201114</v>
      </c>
      <c r="N23" s="275">
        <f>+N22+N20</f>
        <v>-289.5446009310902</v>
      </c>
      <c r="O23" s="275">
        <f t="shared" si="19"/>
        <v>0</v>
      </c>
      <c r="P23" s="275">
        <f>+P22+P20</f>
        <v>-1190.6257792861479</v>
      </c>
      <c r="Q23" s="275">
        <f>+Q22+Q20</f>
        <v>8425.9499400000004</v>
      </c>
      <c r="R23" s="1146">
        <f t="shared" si="17"/>
        <v>35.09730308154986</v>
      </c>
      <c r="S23" s="386">
        <f t="shared" si="5"/>
        <v>4.3588604930846486E-3</v>
      </c>
      <c r="T23" s="275">
        <f t="shared" si="6"/>
        <v>-1190.6214204256557</v>
      </c>
      <c r="U23" s="275">
        <f>+U22+U20</f>
        <v>998.82223625320376</v>
      </c>
      <c r="V23" s="275">
        <f t="shared" si="7"/>
        <v>-191.79918417245199</v>
      </c>
      <c r="W23" s="61"/>
      <c r="X23" s="63"/>
      <c r="Y23" s="63"/>
    </row>
    <row r="24" spans="1:25" ht="12" customHeight="1" x14ac:dyDescent="0.3">
      <c r="A24" s="51"/>
      <c r="B24" s="51"/>
      <c r="C24" s="1153"/>
      <c r="D24" s="52"/>
      <c r="E24" s="51"/>
      <c r="F24" s="53"/>
      <c r="G24" s="53"/>
      <c r="H24" s="495"/>
      <c r="I24" s="311"/>
      <c r="J24" s="51"/>
      <c r="K24" s="51"/>
      <c r="L24" s="51"/>
      <c r="M24" s="51"/>
      <c r="N24" s="51"/>
      <c r="O24" s="51"/>
      <c r="P24" s="53"/>
      <c r="Q24" s="51"/>
      <c r="R24" s="1153"/>
      <c r="S24" s="386">
        <f t="shared" si="5"/>
        <v>0</v>
      </c>
      <c r="T24" s="51"/>
      <c r="U24" s="51"/>
      <c r="V24" s="51"/>
      <c r="W24" s="61"/>
      <c r="X24" s="51"/>
      <c r="Y24" s="51"/>
    </row>
    <row r="25" spans="1:25" x14ac:dyDescent="0.3">
      <c r="A25" s="382" t="s">
        <v>76</v>
      </c>
      <c r="B25" s="362">
        <f>'data entry '!R21</f>
        <v>136</v>
      </c>
      <c r="C25" s="1180">
        <f t="shared" ref="C25:C30" si="21">B25/$B$4*1000</f>
        <v>0.46984201562224703</v>
      </c>
      <c r="D25" s="335"/>
      <c r="E25" s="364">
        <f>I25-B25</f>
        <v>-28.416099983214053</v>
      </c>
      <c r="F25" s="347">
        <f>'data entry '!R100</f>
        <v>116.43981894736841</v>
      </c>
      <c r="G25" s="347">
        <f>'data entry '!R55</f>
        <v>-8.8559189305824617</v>
      </c>
      <c r="H25" s="492"/>
      <c r="I25" s="394">
        <f>F25+G25</f>
        <v>107.58390001678595</v>
      </c>
      <c r="J25" s="408">
        <v>19.359000000000002</v>
      </c>
      <c r="K25" s="408">
        <v>8.7900407631990767</v>
      </c>
      <c r="L25" s="408"/>
      <c r="M25" s="409">
        <v>-0.38538181333042809</v>
      </c>
      <c r="N25" s="408">
        <v>1.2881461230230022</v>
      </c>
      <c r="O25" s="395"/>
      <c r="P25" s="395">
        <f t="shared" ref="P25:P29" si="22">SUM(J25:O25)</f>
        <v>29.05180507289165</v>
      </c>
      <c r="Q25" s="396">
        <f>'data entry '!R133</f>
        <v>136.63113000000001</v>
      </c>
      <c r="R25" s="1183">
        <f t="shared" ref="R25:R30" si="23">Q25*1000/$Q$4</f>
        <v>0.56912089605704907</v>
      </c>
      <c r="S25" s="386">
        <f t="shared" si="5"/>
        <v>-4.5750896775871297E-3</v>
      </c>
      <c r="T25" s="758">
        <f t="shared" si="6"/>
        <v>29.047229983214066</v>
      </c>
      <c r="U25" s="763"/>
      <c r="V25" s="763">
        <f t="shared" si="7"/>
        <v>29.047229983214066</v>
      </c>
      <c r="W25" s="61"/>
      <c r="X25" s="63"/>
      <c r="Y25" s="63"/>
    </row>
    <row r="26" spans="1:25" x14ac:dyDescent="0.3">
      <c r="A26" s="383" t="s">
        <v>77</v>
      </c>
      <c r="B26" s="56">
        <f>'data entry '!R22</f>
        <v>-303</v>
      </c>
      <c r="C26" s="1178">
        <f t="shared" si="21"/>
        <v>-1.0467803730407415</v>
      </c>
      <c r="D26" s="335"/>
      <c r="E26" s="334">
        <f>I26-B26</f>
        <v>68.586638070175383</v>
      </c>
      <c r="F26" s="347">
        <f>'data entry '!R101</f>
        <v>-287.44793192982456</v>
      </c>
      <c r="G26" s="347">
        <f>'data entry '!R56</f>
        <v>53.034569999999938</v>
      </c>
      <c r="H26" s="492"/>
      <c r="I26" s="337">
        <f t="shared" ref="I26:I27" si="24">F26+G26</f>
        <v>-234.41336192982462</v>
      </c>
      <c r="J26" s="401"/>
      <c r="K26" s="401">
        <v>2.0630140639940038</v>
      </c>
      <c r="L26" s="401"/>
      <c r="M26" s="407">
        <v>-63.259</v>
      </c>
      <c r="N26" s="401">
        <v>-11.211674765748379</v>
      </c>
      <c r="O26" s="331"/>
      <c r="P26" s="331">
        <f t="shared" si="22"/>
        <v>-72.407660701754381</v>
      </c>
      <c r="Q26" s="400">
        <f>'data entry '!R134</f>
        <v>-306.81065999999998</v>
      </c>
      <c r="R26" s="1184">
        <f t="shared" si="23"/>
        <v>-1.2779837050242842</v>
      </c>
      <c r="S26" s="386">
        <f t="shared" si="5"/>
        <v>1.0362631579027948E-2</v>
      </c>
      <c r="T26" s="759">
        <f t="shared" si="6"/>
        <v>-72.397298070175367</v>
      </c>
      <c r="U26" s="764"/>
      <c r="V26" s="764">
        <f t="shared" si="7"/>
        <v>-72.397298070175367</v>
      </c>
      <c r="W26" s="61"/>
      <c r="X26" s="63"/>
      <c r="Y26" s="63"/>
    </row>
    <row r="27" spans="1:25" x14ac:dyDescent="0.3">
      <c r="A27" s="383" t="s">
        <v>144</v>
      </c>
      <c r="B27" s="56">
        <f>'data entry '!R23</f>
        <v>0</v>
      </c>
      <c r="C27" s="1178">
        <f t="shared" si="21"/>
        <v>0</v>
      </c>
      <c r="D27" s="335"/>
      <c r="E27" s="334"/>
      <c r="F27" s="347">
        <f>'data entry '!R102</f>
        <v>0</v>
      </c>
      <c r="G27" s="347">
        <f>'data entry '!R57</f>
        <v>0</v>
      </c>
      <c r="H27" s="492"/>
      <c r="I27" s="337">
        <f t="shared" si="24"/>
        <v>0</v>
      </c>
      <c r="J27" s="401"/>
      <c r="K27" s="401">
        <v>67.544579999999996</v>
      </c>
      <c r="L27" s="401"/>
      <c r="M27" s="407">
        <v>-4.2597699999999996</v>
      </c>
      <c r="N27" s="401"/>
      <c r="O27" s="331"/>
      <c r="P27" s="331">
        <f t="shared" si="22"/>
        <v>63.284809999999993</v>
      </c>
      <c r="Q27" s="400">
        <f>'data entry '!R135</f>
        <v>63.281839999999995</v>
      </c>
      <c r="R27" s="1184">
        <f t="shared" si="23"/>
        <v>0.26359305880686784</v>
      </c>
      <c r="S27" s="386">
        <f t="shared" si="5"/>
        <v>-2.9699999999976967E-3</v>
      </c>
      <c r="T27" s="759">
        <f t="shared" si="6"/>
        <v>63.281839999999995</v>
      </c>
      <c r="U27" s="764"/>
      <c r="V27" s="764">
        <f t="shared" si="7"/>
        <v>63.281839999999995</v>
      </c>
      <c r="W27" s="61"/>
      <c r="X27" s="63"/>
      <c r="Y27" s="63"/>
    </row>
    <row r="28" spans="1:25" x14ac:dyDescent="0.3">
      <c r="A28" s="383" t="s">
        <v>85</v>
      </c>
      <c r="B28" s="56">
        <f>'data entry '!R24</f>
        <v>52</v>
      </c>
      <c r="C28" s="1178">
        <f t="shared" si="21"/>
        <v>0.17964547656144741</v>
      </c>
      <c r="D28" s="335"/>
      <c r="E28" s="334"/>
      <c r="F28" s="347">
        <f>'data entry '!R103</f>
        <v>0</v>
      </c>
      <c r="G28" s="347">
        <f>'data entry '!R58</f>
        <v>52</v>
      </c>
      <c r="H28" s="492">
        <f>'Budget assumption'!R328</f>
        <v>0</v>
      </c>
      <c r="I28" s="337">
        <f>B28</f>
        <v>52</v>
      </c>
      <c r="J28" s="401"/>
      <c r="K28" s="401">
        <v>-34.671180000000007</v>
      </c>
      <c r="L28" s="401"/>
      <c r="M28" s="407"/>
      <c r="N28" s="401"/>
      <c r="O28" s="331"/>
      <c r="P28" s="331">
        <f t="shared" si="22"/>
        <v>-34.671180000000007</v>
      </c>
      <c r="Q28" s="400">
        <f>'data entry '!R136</f>
        <v>17.338399999999965</v>
      </c>
      <c r="R28" s="1184">
        <f t="shared" si="23"/>
        <v>7.2221065171571952E-2</v>
      </c>
      <c r="S28" s="386">
        <f t="shared" si="5"/>
        <v>9.5799999999712782E-3</v>
      </c>
      <c r="T28" s="759">
        <f t="shared" si="6"/>
        <v>-34.661600000000035</v>
      </c>
      <c r="U28" s="764">
        <f>+'YTD VAR'!R25</f>
        <v>-3.5527136788005009E-15</v>
      </c>
      <c r="V28" s="764">
        <f t="shared" si="7"/>
        <v>-34.661600000000035</v>
      </c>
      <c r="W28" s="61"/>
      <c r="X28" s="63"/>
      <c r="Y28" s="63"/>
    </row>
    <row r="29" spans="1:25" x14ac:dyDescent="0.3">
      <c r="A29" s="397" t="s">
        <v>145</v>
      </c>
      <c r="B29" s="414">
        <f>'data entry '!R25</f>
        <v>0</v>
      </c>
      <c r="C29" s="1181">
        <f t="shared" si="21"/>
        <v>0</v>
      </c>
      <c r="D29" s="335"/>
      <c r="E29" s="334"/>
      <c r="F29" s="347">
        <f>'data entry '!R104</f>
        <v>0</v>
      </c>
      <c r="G29" s="347">
        <f>'data entry '!R59</f>
        <v>0</v>
      </c>
      <c r="H29" s="492"/>
      <c r="I29" s="337">
        <f>B29</f>
        <v>0</v>
      </c>
      <c r="J29" s="401"/>
      <c r="K29" s="401"/>
      <c r="L29" s="401"/>
      <c r="M29" s="407"/>
      <c r="N29" s="401"/>
      <c r="O29" s="331"/>
      <c r="P29" s="331">
        <f t="shared" si="22"/>
        <v>0</v>
      </c>
      <c r="Q29" s="498">
        <f>'data entry '!R137</f>
        <v>0</v>
      </c>
      <c r="R29" s="1184">
        <f t="shared" si="23"/>
        <v>0</v>
      </c>
      <c r="S29" s="386">
        <f t="shared" si="5"/>
        <v>0</v>
      </c>
      <c r="T29" s="761">
        <f t="shared" si="6"/>
        <v>0</v>
      </c>
      <c r="U29" s="764">
        <f>+'YTD VAR'!R26</f>
        <v>0</v>
      </c>
      <c r="V29" s="765">
        <f t="shared" si="7"/>
        <v>0</v>
      </c>
      <c r="W29" s="61"/>
      <c r="X29" s="63"/>
      <c r="Y29" s="63"/>
    </row>
    <row r="30" spans="1:25" x14ac:dyDescent="0.3">
      <c r="A30" s="274" t="s">
        <v>146</v>
      </c>
      <c r="B30" s="275">
        <f>SUM(B25:B29)</f>
        <v>-115</v>
      </c>
      <c r="C30" s="1146">
        <f t="shared" si="21"/>
        <v>-0.39729288085704711</v>
      </c>
      <c r="D30" s="335"/>
      <c r="E30" s="275">
        <f t="shared" ref="E30:Q30" si="25">SUM(E25:E29)</f>
        <v>40.170538086961329</v>
      </c>
      <c r="F30" s="275">
        <f t="shared" si="25"/>
        <v>-171.00811298245617</v>
      </c>
      <c r="G30" s="275">
        <f t="shared" si="25"/>
        <v>96.178651069417469</v>
      </c>
      <c r="H30" s="275">
        <f t="shared" si="25"/>
        <v>0</v>
      </c>
      <c r="I30" s="275">
        <f t="shared" si="25"/>
        <v>-74.829461913038671</v>
      </c>
      <c r="J30" s="275">
        <f t="shared" si="25"/>
        <v>19.359000000000002</v>
      </c>
      <c r="K30" s="275">
        <f t="shared" si="25"/>
        <v>43.726454827193066</v>
      </c>
      <c r="L30" s="275">
        <f t="shared" si="25"/>
        <v>0</v>
      </c>
      <c r="M30" s="275">
        <f t="shared" si="25"/>
        <v>-67.904151813330429</v>
      </c>
      <c r="N30" s="275">
        <f t="shared" si="25"/>
        <v>-9.9235286427253762</v>
      </c>
      <c r="O30" s="275">
        <f t="shared" si="25"/>
        <v>0</v>
      </c>
      <c r="P30" s="275">
        <f t="shared" si="25"/>
        <v>-14.742225628862741</v>
      </c>
      <c r="Q30" s="275">
        <f t="shared" si="25"/>
        <v>-89.559290000000018</v>
      </c>
      <c r="R30" s="1146">
        <f t="shared" si="23"/>
        <v>-0.37304868498879523</v>
      </c>
      <c r="S30" s="386">
        <f t="shared" si="5"/>
        <v>1.2397541901378872E-2</v>
      </c>
      <c r="T30" s="275">
        <f t="shared" si="6"/>
        <v>-14.729828086961348</v>
      </c>
      <c r="U30" s="275">
        <f>SUM(U28:U29)</f>
        <v>-3.5527136788005009E-15</v>
      </c>
      <c r="V30" s="275">
        <f t="shared" si="7"/>
        <v>-14.729828086961351</v>
      </c>
      <c r="X30" s="63"/>
    </row>
    <row r="31" spans="1:25" x14ac:dyDescent="0.3">
      <c r="A31" s="51"/>
      <c r="C31" s="164"/>
      <c r="H31" s="159"/>
      <c r="R31" s="1185"/>
      <c r="S31" s="386">
        <f t="shared" si="5"/>
        <v>0</v>
      </c>
      <c r="T31"/>
      <c r="U31"/>
      <c r="V31"/>
      <c r="X31" s="63"/>
    </row>
    <row r="32" spans="1:25" x14ac:dyDescent="0.3">
      <c r="A32" s="2" t="s">
        <v>148</v>
      </c>
      <c r="B32" s="416">
        <f>'data entry '!R27</f>
        <v>544.18333500000006</v>
      </c>
      <c r="C32" s="1180">
        <f t="shared" ref="C32:C33" si="26">B32/$B$4*1000</f>
        <v>1.880001433709092</v>
      </c>
      <c r="E32" s="364"/>
      <c r="F32" s="347">
        <f>'data entry '!R106</f>
        <v>381.19684274315466</v>
      </c>
      <c r="G32" s="347">
        <f>'data entry '!R61</f>
        <v>42.779235111373083</v>
      </c>
      <c r="H32" s="492">
        <f>+'Budget assumption'!R335</f>
        <v>0.93537799324051107</v>
      </c>
      <c r="I32" s="410">
        <f>B32</f>
        <v>544.18333500000006</v>
      </c>
      <c r="J32" s="408"/>
      <c r="K32" s="408">
        <v>-3.8463075000000231</v>
      </c>
      <c r="L32" s="408"/>
      <c r="M32" s="409"/>
      <c r="N32" s="408">
        <v>-4.37</v>
      </c>
      <c r="O32" s="395"/>
      <c r="P32" s="395">
        <f t="shared" ref="P32:P33" si="27">SUM(J32:O32)</f>
        <v>-8.2163075000000241</v>
      </c>
      <c r="Q32" s="396">
        <f>'data entry '!R139</f>
        <v>535.96594000000005</v>
      </c>
      <c r="R32" s="1183">
        <f t="shared" ref="R32:R35" si="28">Q32*1000/$Q$4</f>
        <v>2.2325030615560206</v>
      </c>
      <c r="S32" s="386">
        <f t="shared" si="5"/>
        <v>-1.0874999999259671E-3</v>
      </c>
      <c r="T32" s="758">
        <f t="shared" si="6"/>
        <v>-8.2173950000000104</v>
      </c>
      <c r="U32" s="758">
        <f>+'YTD VAR'!R28</f>
        <v>119.27187915223178</v>
      </c>
      <c r="V32" s="763">
        <f t="shared" si="7"/>
        <v>111.05448415223177</v>
      </c>
      <c r="X32" s="63"/>
    </row>
    <row r="33" spans="1:24" x14ac:dyDescent="0.3">
      <c r="A33" s="363" t="s">
        <v>149</v>
      </c>
      <c r="B33" s="417">
        <f>'data entry '!R28</f>
        <v>567.19201284708504</v>
      </c>
      <c r="C33" s="1181">
        <f t="shared" si="26"/>
        <v>1.9594899894184843</v>
      </c>
      <c r="E33" s="334"/>
      <c r="F33" s="347">
        <f>'data entry '!R107</f>
        <v>397.31427006386303</v>
      </c>
      <c r="G33" s="347">
        <f>'data entry '!R62</f>
        <v>143.66903902639984</v>
      </c>
      <c r="H33" s="492">
        <f>+'Budget assumption'!R336</f>
        <v>0.7900894097827269</v>
      </c>
      <c r="I33" s="411">
        <f>B33</f>
        <v>567.19201284708504</v>
      </c>
      <c r="J33" s="401"/>
      <c r="K33" s="401"/>
      <c r="L33" s="401"/>
      <c r="M33" s="407">
        <f>((-24.83+74)+-54.5925486914528-55)+26.4995819756332</f>
        <v>-33.922966715819598</v>
      </c>
      <c r="N33" s="401">
        <v>5.6408102922772327</v>
      </c>
      <c r="O33" s="331"/>
      <c r="P33" s="331">
        <f t="shared" si="27"/>
        <v>-28.282156423542364</v>
      </c>
      <c r="Q33" s="498">
        <f>'data entry '!R140</f>
        <v>538.91129000000012</v>
      </c>
      <c r="R33" s="1184">
        <f t="shared" si="28"/>
        <v>2.2447715704324507</v>
      </c>
      <c r="S33" s="386">
        <f t="shared" si="5"/>
        <v>1.4335764574298082E-3</v>
      </c>
      <c r="T33" s="761">
        <f t="shared" si="6"/>
        <v>-28.280722847084917</v>
      </c>
      <c r="U33" s="758">
        <f>+'YTD VAR'!R29</f>
        <v>25.418614347039423</v>
      </c>
      <c r="V33" s="765">
        <f t="shared" si="7"/>
        <v>-2.862108500045494</v>
      </c>
      <c r="X33" s="63"/>
    </row>
    <row r="34" spans="1:24" x14ac:dyDescent="0.3">
      <c r="A34" s="274" t="s">
        <v>150</v>
      </c>
      <c r="B34" s="275">
        <f>B32+B33</f>
        <v>1111.3753478470851</v>
      </c>
      <c r="C34" s="1146">
        <f>B34/$B$4*1000</f>
        <v>3.8394914231275763</v>
      </c>
      <c r="E34" s="275">
        <f t="shared" ref="E34:Q34" si="29">E32+E33</f>
        <v>0</v>
      </c>
      <c r="F34" s="275">
        <f t="shared" si="29"/>
        <v>778.51111280701775</v>
      </c>
      <c r="G34" s="275">
        <f t="shared" si="29"/>
        <v>186.44827413777293</v>
      </c>
      <c r="H34" s="275">
        <f t="shared" si="29"/>
        <v>1.725467403023238</v>
      </c>
      <c r="I34" s="275">
        <f t="shared" si="29"/>
        <v>1111.3753478470851</v>
      </c>
      <c r="J34" s="275">
        <f t="shared" si="29"/>
        <v>0</v>
      </c>
      <c r="K34" s="275">
        <f t="shared" si="29"/>
        <v>-3.8463075000000231</v>
      </c>
      <c r="L34" s="275">
        <f t="shared" si="29"/>
        <v>0</v>
      </c>
      <c r="M34" s="275">
        <f t="shared" si="29"/>
        <v>-33.922966715819598</v>
      </c>
      <c r="N34" s="275">
        <f t="shared" si="29"/>
        <v>1.2708102922772326</v>
      </c>
      <c r="O34" s="275">
        <f t="shared" si="29"/>
        <v>0</v>
      </c>
      <c r="P34" s="275">
        <f t="shared" si="29"/>
        <v>-36.498463923542388</v>
      </c>
      <c r="Q34" s="275">
        <f t="shared" si="29"/>
        <v>1074.8772300000001</v>
      </c>
      <c r="R34" s="1146">
        <f t="shared" si="28"/>
        <v>4.47727463198847</v>
      </c>
      <c r="S34" s="386">
        <f t="shared" si="5"/>
        <v>3.4607645716278057E-4</v>
      </c>
      <c r="T34" s="275">
        <f t="shared" si="6"/>
        <v>-36.498117847085041</v>
      </c>
      <c r="U34" s="275">
        <f>SUM(U32:U33)</f>
        <v>144.69049349927121</v>
      </c>
      <c r="V34" s="275">
        <f t="shared" si="7"/>
        <v>108.19237565218617</v>
      </c>
      <c r="X34" s="63"/>
    </row>
    <row r="35" spans="1:24" x14ac:dyDescent="0.3">
      <c r="A35" s="51"/>
      <c r="C35" s="164"/>
      <c r="H35" s="159"/>
      <c r="R35" s="164">
        <f t="shared" si="28"/>
        <v>0</v>
      </c>
      <c r="S35" s="386">
        <f t="shared" si="5"/>
        <v>0</v>
      </c>
      <c r="T35"/>
      <c r="U35"/>
      <c r="V35"/>
      <c r="X35" s="63"/>
    </row>
    <row r="36" spans="1:24" x14ac:dyDescent="0.3">
      <c r="A36" s="274" t="s">
        <v>1022</v>
      </c>
      <c r="B36" s="275">
        <f>B23+B30+B34</f>
        <v>11234.249897320498</v>
      </c>
      <c r="C36" s="1146">
        <f>B36/$B$4*1000</f>
        <v>38.811195704125616</v>
      </c>
      <c r="E36" s="275">
        <f t="shared" ref="E36:H36" si="30">E20+E23+E30+E34</f>
        <v>-581.13265096079897</v>
      </c>
      <c r="F36" s="275">
        <f t="shared" si="30"/>
        <v>8533.0327800000032</v>
      </c>
      <c r="G36" s="275">
        <f t="shared" si="30"/>
        <v>963.76841787150738</v>
      </c>
      <c r="H36" s="275">
        <f t="shared" si="30"/>
        <v>8.7531519693306592</v>
      </c>
      <c r="I36" s="275">
        <f t="shared" ref="I36:L36" si="31">+I23+I30+I34</f>
        <v>10653.117246359701</v>
      </c>
      <c r="J36" s="275">
        <f t="shared" si="31"/>
        <v>-105.61214372889154</v>
      </c>
      <c r="K36" s="275">
        <f t="shared" si="31"/>
        <v>-948.1101887609841</v>
      </c>
      <c r="L36" s="275">
        <f t="shared" si="31"/>
        <v>40.68</v>
      </c>
      <c r="M36" s="275">
        <f>+M23+M30+M34</f>
        <v>69.373182932861113</v>
      </c>
      <c r="N36" s="275">
        <f>+N23+N30+N34</f>
        <v>-298.19731928153834</v>
      </c>
      <c r="O36" s="275">
        <f>+O23+O30+O34</f>
        <v>0</v>
      </c>
      <c r="P36" s="275">
        <f>P23+P30+P34</f>
        <v>-1241.8664688385531</v>
      </c>
      <c r="Q36" s="275">
        <f>Q23+Q30+Q34</f>
        <v>9411.2678800000012</v>
      </c>
      <c r="R36" s="1146">
        <f>Q36*1000/$Q$4</f>
        <v>39.201529028549537</v>
      </c>
      <c r="S36" s="386">
        <f t="shared" si="5"/>
        <v>1.7102478852393688E-2</v>
      </c>
      <c r="T36" s="275">
        <f>+Q36-I36</f>
        <v>-1241.8493663597001</v>
      </c>
      <c r="U36" s="275">
        <f>+U34+U30+U23</f>
        <v>1143.512729752475</v>
      </c>
      <c r="V36" s="275">
        <f t="shared" si="7"/>
        <v>-98.336636607225046</v>
      </c>
      <c r="X36" s="63"/>
    </row>
    <row r="37" spans="1:24" x14ac:dyDescent="0.3">
      <c r="N37" s="107"/>
      <c r="R37" s="932"/>
    </row>
    <row r="38" spans="1:24" ht="15" thickBot="1" x14ac:dyDescent="0.35">
      <c r="B38" s="107"/>
      <c r="C38" s="23"/>
      <c r="J38" s="105"/>
      <c r="K38" s="105"/>
      <c r="L38" s="105"/>
      <c r="M38" s="105"/>
      <c r="N38" s="105"/>
      <c r="O38" s="105"/>
      <c r="P38" s="23"/>
      <c r="Q38" s="23"/>
      <c r="R38" s="924"/>
    </row>
    <row r="39" spans="1:24" ht="15" thickBot="1" x14ac:dyDescent="0.35">
      <c r="A39" s="781" t="s">
        <v>156</v>
      </c>
      <c r="B39" t="s">
        <v>619</v>
      </c>
      <c r="C39" s="724" t="s">
        <v>1059</v>
      </c>
      <c r="R39"/>
      <c r="S39"/>
      <c r="T39"/>
      <c r="U39"/>
    </row>
    <row r="40" spans="1:24" x14ac:dyDescent="0.3">
      <c r="B40" t="s">
        <v>599</v>
      </c>
      <c r="C40" s="724" t="s">
        <v>794</v>
      </c>
      <c r="R40"/>
      <c r="S40"/>
      <c r="T40"/>
      <c r="U40"/>
    </row>
    <row r="41" spans="1:24" x14ac:dyDescent="0.3">
      <c r="B41" t="s">
        <v>629</v>
      </c>
      <c r="C41" t="s">
        <v>638</v>
      </c>
      <c r="J41" s="35"/>
      <c r="K41" s="35"/>
      <c r="N41" s="107"/>
      <c r="R41"/>
      <c r="S41"/>
      <c r="T41"/>
      <c r="U41"/>
    </row>
    <row r="42" spans="1:24" x14ac:dyDescent="0.3">
      <c r="B42" t="s">
        <v>600</v>
      </c>
      <c r="C42" t="s">
        <v>795</v>
      </c>
      <c r="R42" s="724"/>
      <c r="S42"/>
      <c r="T42"/>
      <c r="U42"/>
    </row>
    <row r="43" spans="1:24" ht="15" thickBot="1" x14ac:dyDescent="0.35">
      <c r="R43"/>
      <c r="S43"/>
      <c r="U43"/>
    </row>
    <row r="44" spans="1:24" ht="15" thickBot="1" x14ac:dyDescent="0.35">
      <c r="A44" s="781" t="s">
        <v>75</v>
      </c>
      <c r="B44" t="s">
        <v>599</v>
      </c>
      <c r="C44" s="724"/>
      <c r="N44" s="724"/>
      <c r="R44"/>
      <c r="S44"/>
      <c r="U44"/>
    </row>
    <row r="45" spans="1:24" x14ac:dyDescent="0.3">
      <c r="B45" t="s">
        <v>600</v>
      </c>
      <c r="C45" s="724" t="s">
        <v>1060</v>
      </c>
      <c r="R45"/>
      <c r="S45"/>
      <c r="T45"/>
      <c r="U45"/>
    </row>
    <row r="46" spans="1:24" ht="15" thickBot="1" x14ac:dyDescent="0.35">
      <c r="C46">
        <f>-83+1.5+9+26+22+3-4-12</f>
        <v>-37.5</v>
      </c>
      <c r="R46"/>
      <c r="S46"/>
      <c r="T46"/>
      <c r="U46"/>
    </row>
    <row r="47" spans="1:24" ht="15" thickBot="1" x14ac:dyDescent="0.35">
      <c r="A47" s="781" t="s">
        <v>80</v>
      </c>
      <c r="B47" t="s">
        <v>599</v>
      </c>
      <c r="C47" s="724" t="s">
        <v>1061</v>
      </c>
      <c r="R47"/>
      <c r="S47"/>
      <c r="T47"/>
      <c r="U47"/>
    </row>
    <row r="48" spans="1:24" x14ac:dyDescent="0.3">
      <c r="A48" s="767"/>
      <c r="B48" t="s">
        <v>629</v>
      </c>
      <c r="C48" s="724" t="s">
        <v>637</v>
      </c>
      <c r="O48" s="724"/>
      <c r="R48"/>
      <c r="S48"/>
      <c r="T48"/>
      <c r="U48"/>
    </row>
    <row r="49" spans="1:23" x14ac:dyDescent="0.3">
      <c r="B49" t="s">
        <v>600</v>
      </c>
      <c r="C49" s="724" t="s">
        <v>1062</v>
      </c>
      <c r="O49" s="724"/>
      <c r="R49"/>
      <c r="S49"/>
      <c r="T49"/>
      <c r="U49"/>
      <c r="V49"/>
    </row>
    <row r="50" spans="1:23" ht="15" thickBot="1" x14ac:dyDescent="0.35">
      <c r="R50"/>
      <c r="S50"/>
      <c r="T50" s="724"/>
      <c r="U50"/>
    </row>
    <row r="51" spans="1:23" ht="15" thickBot="1" x14ac:dyDescent="0.35">
      <c r="A51" s="781" t="s">
        <v>81</v>
      </c>
      <c r="B51" t="s">
        <v>599</v>
      </c>
      <c r="C51" s="724" t="s">
        <v>1063</v>
      </c>
      <c r="L51" s="724"/>
      <c r="Q51" s="103"/>
      <c r="R51"/>
      <c r="S51"/>
      <c r="T51"/>
      <c r="U51"/>
    </row>
    <row r="52" spans="1:23" x14ac:dyDescent="0.3">
      <c r="B52" t="s">
        <v>600</v>
      </c>
      <c r="C52" s="724" t="s">
        <v>796</v>
      </c>
      <c r="N52" s="724"/>
      <c r="R52"/>
      <c r="S52"/>
      <c r="T52"/>
      <c r="U52"/>
    </row>
    <row r="53" spans="1:23" ht="15" thickBot="1" x14ac:dyDescent="0.35">
      <c r="R53"/>
      <c r="S53"/>
      <c r="T53"/>
      <c r="U53"/>
    </row>
    <row r="54" spans="1:23" ht="15" thickBot="1" x14ac:dyDescent="0.35">
      <c r="A54" s="781" t="s">
        <v>618</v>
      </c>
      <c r="B54" t="s">
        <v>599</v>
      </c>
      <c r="C54" s="724" t="s">
        <v>1064</v>
      </c>
      <c r="Q54" s="724"/>
      <c r="R54"/>
      <c r="S54"/>
      <c r="T54"/>
      <c r="U54"/>
    </row>
    <row r="55" spans="1:23" x14ac:dyDescent="0.3">
      <c r="B55" t="s">
        <v>599</v>
      </c>
      <c r="C55" s="724" t="s">
        <v>642</v>
      </c>
      <c r="R55"/>
      <c r="S55"/>
      <c r="T55"/>
      <c r="U55"/>
      <c r="V55"/>
      <c r="W55"/>
    </row>
    <row r="56" spans="1:23" x14ac:dyDescent="0.3">
      <c r="B56" t="s">
        <v>600</v>
      </c>
      <c r="C56" t="s">
        <v>1065</v>
      </c>
      <c r="R56"/>
      <c r="S56"/>
      <c r="T56"/>
      <c r="U56"/>
    </row>
    <row r="57" spans="1:23" ht="15" thickBot="1" x14ac:dyDescent="0.35">
      <c r="R57"/>
      <c r="S57"/>
      <c r="T57"/>
      <c r="U57"/>
      <c r="V57"/>
      <c r="W57"/>
    </row>
    <row r="58" spans="1:23" ht="15" thickBot="1" x14ac:dyDescent="0.35">
      <c r="A58" s="781" t="s">
        <v>617</v>
      </c>
      <c r="B58" t="s">
        <v>599</v>
      </c>
      <c r="C58" s="724" t="s">
        <v>1066</v>
      </c>
      <c r="R58"/>
      <c r="S58"/>
      <c r="T58"/>
      <c r="U58"/>
    </row>
    <row r="59" spans="1:23" x14ac:dyDescent="0.3">
      <c r="B59" t="s">
        <v>600</v>
      </c>
      <c r="C59" s="724" t="s">
        <v>1067</v>
      </c>
      <c r="R59"/>
      <c r="S59"/>
      <c r="T59"/>
      <c r="U59"/>
      <c r="V59"/>
    </row>
    <row r="60" spans="1:23" ht="15" thickBot="1" x14ac:dyDescent="0.35">
      <c r="C60" s="724"/>
      <c r="R60"/>
      <c r="S60"/>
      <c r="T60"/>
      <c r="U60"/>
      <c r="V60"/>
    </row>
    <row r="61" spans="1:23" ht="15" thickBot="1" x14ac:dyDescent="0.35">
      <c r="A61" s="781" t="s">
        <v>84</v>
      </c>
      <c r="B61" t="s">
        <v>599</v>
      </c>
      <c r="C61" s="724" t="s">
        <v>797</v>
      </c>
      <c r="R61"/>
      <c r="S61"/>
      <c r="T61"/>
      <c r="U61"/>
    </row>
    <row r="62" spans="1:23" ht="15" thickBot="1" x14ac:dyDescent="0.35">
      <c r="R62"/>
      <c r="S62"/>
      <c r="T62"/>
      <c r="U62"/>
    </row>
    <row r="63" spans="1:23" ht="15" thickBot="1" x14ac:dyDescent="0.35">
      <c r="A63" s="781" t="s">
        <v>86</v>
      </c>
      <c r="B63" t="s">
        <v>599</v>
      </c>
      <c r="C63" s="724" t="s">
        <v>1068</v>
      </c>
      <c r="R63"/>
      <c r="S63"/>
      <c r="T63"/>
      <c r="U63"/>
    </row>
    <row r="64" spans="1:23" ht="15" thickBot="1" x14ac:dyDescent="0.35">
      <c r="R64"/>
      <c r="S64"/>
      <c r="T64"/>
      <c r="U64"/>
    </row>
    <row r="65" spans="1:21" ht="15" thickBot="1" x14ac:dyDescent="0.35">
      <c r="A65" s="781" t="s">
        <v>77</v>
      </c>
      <c r="B65" t="s">
        <v>599</v>
      </c>
      <c r="C65" s="724"/>
      <c r="R65"/>
      <c r="S65"/>
      <c r="T65" s="724"/>
      <c r="U65"/>
    </row>
    <row r="66" spans="1:21" x14ac:dyDescent="0.3">
      <c r="B66" t="s">
        <v>600</v>
      </c>
      <c r="C66" s="724" t="s">
        <v>1069</v>
      </c>
      <c r="R66"/>
      <c r="S66"/>
      <c r="T66"/>
      <c r="U66"/>
    </row>
    <row r="67" spans="1:21" ht="15" thickBot="1" x14ac:dyDescent="0.35">
      <c r="R67"/>
      <c r="S67"/>
      <c r="T67"/>
      <c r="U67"/>
    </row>
    <row r="68" spans="1:21" ht="15" thickBot="1" x14ac:dyDescent="0.35">
      <c r="A68" s="781" t="s">
        <v>149</v>
      </c>
      <c r="B68" t="s">
        <v>599</v>
      </c>
      <c r="C68" s="724"/>
    </row>
    <row r="69" spans="1:21" x14ac:dyDescent="0.3">
      <c r="B69" t="s">
        <v>600</v>
      </c>
      <c r="C69" s="724" t="s">
        <v>1039</v>
      </c>
    </row>
    <row r="72" spans="1:21" x14ac:dyDescent="0.3">
      <c r="C72" s="724"/>
    </row>
    <row r="73" spans="1:21" x14ac:dyDescent="0.3">
      <c r="C73" s="724"/>
    </row>
  </sheetData>
  <mergeCells count="18">
    <mergeCell ref="N2:N3"/>
    <mergeCell ref="O2:O3"/>
    <mergeCell ref="P2:P3"/>
    <mergeCell ref="Q2:R3"/>
    <mergeCell ref="B4:C4"/>
    <mergeCell ref="Q4:R4"/>
    <mergeCell ref="H2:H3"/>
    <mergeCell ref="I2:I3"/>
    <mergeCell ref="J2:J3"/>
    <mergeCell ref="K2:K3"/>
    <mergeCell ref="L2:L3"/>
    <mergeCell ref="M2:M3"/>
    <mergeCell ref="G2:G3"/>
    <mergeCell ref="A2:A3"/>
    <mergeCell ref="B2:C3"/>
    <mergeCell ref="D2:D3"/>
    <mergeCell ref="E2:E3"/>
    <mergeCell ref="F2:F3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5386E-A6B7-44BE-A3D1-535E7C823588}">
  <sheetPr codeName="Sheet19"/>
  <dimension ref="C2:E13"/>
  <sheetViews>
    <sheetView workbookViewId="0">
      <selection activeCell="D4" sqref="D4"/>
    </sheetView>
  </sheetViews>
  <sheetFormatPr defaultRowHeight="14.4" x14ac:dyDescent="0.3"/>
  <sheetData>
    <row r="2" spans="3:5" x14ac:dyDescent="0.3">
      <c r="C2" s="70" t="s">
        <v>0</v>
      </c>
      <c r="D2" s="70">
        <v>1</v>
      </c>
      <c r="E2" s="70">
        <v>1</v>
      </c>
    </row>
    <row r="3" spans="3:5" x14ac:dyDescent="0.3">
      <c r="C3" s="70" t="s">
        <v>1</v>
      </c>
      <c r="D3" s="70">
        <v>2</v>
      </c>
      <c r="E3" s="70">
        <v>1</v>
      </c>
    </row>
    <row r="4" spans="3:5" x14ac:dyDescent="0.3">
      <c r="C4" s="70" t="s">
        <v>2</v>
      </c>
      <c r="D4" s="70">
        <v>3</v>
      </c>
      <c r="E4" s="70">
        <v>1</v>
      </c>
    </row>
    <row r="5" spans="3:5" x14ac:dyDescent="0.3">
      <c r="C5" s="70" t="s">
        <v>3</v>
      </c>
      <c r="D5" s="70">
        <v>4</v>
      </c>
      <c r="E5" s="70">
        <v>1</v>
      </c>
    </row>
    <row r="6" spans="3:5" x14ac:dyDescent="0.3">
      <c r="C6" s="70" t="s">
        <v>4</v>
      </c>
      <c r="D6" s="70">
        <v>5</v>
      </c>
      <c r="E6" s="70">
        <v>1</v>
      </c>
    </row>
    <row r="7" spans="3:5" x14ac:dyDescent="0.3">
      <c r="C7" s="70" t="s">
        <v>5</v>
      </c>
      <c r="D7" s="70">
        <v>6</v>
      </c>
      <c r="E7" s="70">
        <v>1</v>
      </c>
    </row>
    <row r="8" spans="3:5" x14ac:dyDescent="0.3">
      <c r="C8" s="70" t="s">
        <v>6</v>
      </c>
      <c r="D8" s="70">
        <v>7</v>
      </c>
      <c r="E8" s="70">
        <v>1</v>
      </c>
    </row>
    <row r="9" spans="3:5" x14ac:dyDescent="0.3">
      <c r="C9" s="70" t="s">
        <v>7</v>
      </c>
      <c r="D9" s="70">
        <v>8</v>
      </c>
      <c r="E9" s="70">
        <v>1</v>
      </c>
    </row>
    <row r="10" spans="3:5" x14ac:dyDescent="0.3">
      <c r="C10" s="70" t="s">
        <v>8</v>
      </c>
      <c r="D10" s="70">
        <v>9</v>
      </c>
      <c r="E10" s="70">
        <v>1</v>
      </c>
    </row>
    <row r="11" spans="3:5" x14ac:dyDescent="0.3">
      <c r="C11" s="70" t="s">
        <v>9</v>
      </c>
      <c r="D11" s="70">
        <v>10</v>
      </c>
      <c r="E11" s="70">
        <v>1</v>
      </c>
    </row>
    <row r="12" spans="3:5" x14ac:dyDescent="0.3">
      <c r="C12" s="70" t="s">
        <v>10</v>
      </c>
      <c r="D12" s="70">
        <v>11</v>
      </c>
      <c r="E12" s="70">
        <v>1</v>
      </c>
    </row>
    <row r="13" spans="3:5" x14ac:dyDescent="0.3">
      <c r="C13" s="70" t="s">
        <v>11</v>
      </c>
      <c r="D13" s="70">
        <v>12</v>
      </c>
      <c r="E13" s="70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2A7C2-489E-4D4D-A990-CA37BC60B769}">
  <sheetPr codeName="Sheet20"/>
  <dimension ref="A1:Y218"/>
  <sheetViews>
    <sheetView showGridLines="0" topLeftCell="A111" zoomScale="80" zoomScaleNormal="80" workbookViewId="0">
      <selection activeCell="G143" sqref="G143"/>
    </sheetView>
  </sheetViews>
  <sheetFormatPr defaultColWidth="8.88671875" defaultRowHeight="12" outlineLevelRow="1" x14ac:dyDescent="0.25"/>
  <cols>
    <col min="1" max="1" width="38" style="533" bestFit="1" customWidth="1"/>
    <col min="2" max="2" width="10.21875" style="533" bestFit="1" customWidth="1"/>
    <col min="3" max="8" width="9.109375" style="533" bestFit="1" customWidth="1"/>
    <col min="9" max="9" width="10" style="533" bestFit="1" customWidth="1"/>
    <col min="10" max="10" width="9.109375" style="533" bestFit="1" customWidth="1"/>
    <col min="11" max="11" width="9.109375" style="533" customWidth="1"/>
    <col min="12" max="12" width="8.88671875" style="533" bestFit="1" customWidth="1"/>
    <col min="13" max="13" width="9.109375" style="533" bestFit="1" customWidth="1"/>
    <col min="14" max="14" width="10.21875" style="533" bestFit="1" customWidth="1"/>
    <col min="15" max="15" width="8" style="533" bestFit="1" customWidth="1"/>
    <col min="16" max="16" width="8.88671875" style="533"/>
    <col min="17" max="17" width="9.109375" style="533" bestFit="1" customWidth="1"/>
    <col min="18" max="18" width="10.21875" style="533" bestFit="1" customWidth="1"/>
    <col min="19" max="21" width="8.88671875" style="533"/>
    <col min="22" max="22" width="9" style="533" bestFit="1" customWidth="1"/>
    <col min="23" max="23" width="6.6640625" style="533" bestFit="1" customWidth="1"/>
    <col min="24" max="24" width="4.88671875" style="533" bestFit="1" customWidth="1"/>
    <col min="25" max="25" width="10.77734375" style="533" customWidth="1"/>
    <col min="26" max="16384" width="8.88671875" style="533"/>
  </cols>
  <sheetData>
    <row r="1" spans="1:25" x14ac:dyDescent="0.25">
      <c r="A1" s="531" t="s">
        <v>95</v>
      </c>
      <c r="B1" s="715">
        <f>IF($X$3&gt;=B$2,1,0)</f>
        <v>1</v>
      </c>
      <c r="C1" s="715">
        <f t="shared" ref="C1:M1" si="0">IF($X$3&gt;=C$2,1,0)</f>
        <v>1</v>
      </c>
      <c r="D1" s="715">
        <f t="shared" si="0"/>
        <v>1</v>
      </c>
      <c r="E1" s="715">
        <f>IF($X$3&gt;=E$2,1,0)</f>
        <v>1</v>
      </c>
      <c r="F1" s="715">
        <f t="shared" si="0"/>
        <v>1</v>
      </c>
      <c r="G1" s="715">
        <f t="shared" si="0"/>
        <v>1</v>
      </c>
      <c r="H1" s="715">
        <f t="shared" si="0"/>
        <v>0</v>
      </c>
      <c r="I1" s="715">
        <f t="shared" si="0"/>
        <v>0</v>
      </c>
      <c r="J1" s="715">
        <f t="shared" si="0"/>
        <v>0</v>
      </c>
      <c r="K1" s="715">
        <f t="shared" si="0"/>
        <v>0</v>
      </c>
      <c r="L1" s="715">
        <f t="shared" si="0"/>
        <v>0</v>
      </c>
      <c r="M1" s="715">
        <f t="shared" si="0"/>
        <v>0</v>
      </c>
      <c r="N1" s="532"/>
    </row>
    <row r="2" spans="1:25" ht="12.6" thickBot="1" x14ac:dyDescent="0.3">
      <c r="A2" s="531" t="s">
        <v>176</v>
      </c>
      <c r="B2" s="715">
        <v>1</v>
      </c>
      <c r="C2" s="715">
        <v>2</v>
      </c>
      <c r="D2" s="715">
        <v>3</v>
      </c>
      <c r="E2" s="715">
        <v>4</v>
      </c>
      <c r="F2" s="715">
        <v>5</v>
      </c>
      <c r="G2" s="715">
        <v>6</v>
      </c>
      <c r="H2" s="715">
        <v>7</v>
      </c>
      <c r="I2" s="715">
        <v>8</v>
      </c>
      <c r="J2" s="715">
        <v>9</v>
      </c>
      <c r="K2" s="715">
        <v>10</v>
      </c>
      <c r="L2" s="715">
        <v>11</v>
      </c>
      <c r="M2" s="715">
        <v>12</v>
      </c>
      <c r="N2" s="532"/>
    </row>
    <row r="3" spans="1:25" ht="12.6" outlineLevel="1" thickBot="1" x14ac:dyDescent="0.3">
      <c r="A3" s="534" t="s">
        <v>96</v>
      </c>
      <c r="B3" s="535">
        <f>'Budget assumption'!B66</f>
        <v>50463</v>
      </c>
      <c r="C3" s="535">
        <f>'Budget assumption'!C66</f>
        <v>50446</v>
      </c>
      <c r="D3" s="535">
        <f>'Budget assumption'!D66</f>
        <v>50447</v>
      </c>
      <c r="E3" s="535">
        <f>'Budget assumption'!E66</f>
        <v>48050</v>
      </c>
      <c r="F3" s="535">
        <f>'Budget assumption'!F66</f>
        <v>36788</v>
      </c>
      <c r="G3" s="535">
        <f>'Budget assumption'!G66</f>
        <v>53265</v>
      </c>
      <c r="H3" s="535">
        <f>'Budget assumption'!H66</f>
        <v>42049</v>
      </c>
      <c r="I3" s="535">
        <f>'Budget assumption'!I66</f>
        <v>39150</v>
      </c>
      <c r="J3" s="535">
        <f>'Budget assumption'!J66</f>
        <v>53732</v>
      </c>
      <c r="K3" s="535">
        <f>'Budget assumption'!K66</f>
        <v>48548</v>
      </c>
      <c r="L3" s="535">
        <f>'Budget assumption'!L66</f>
        <v>51408</v>
      </c>
      <c r="M3" s="535">
        <f>'Budget assumption'!M66</f>
        <v>40676</v>
      </c>
      <c r="N3" s="535">
        <f>SUM(B3:M3)</f>
        <v>565022</v>
      </c>
      <c r="O3" s="536"/>
      <c r="P3" s="536"/>
      <c r="Q3" s="535">
        <f>SUMIFS(B3:M3,$B$2:$M$2,$X$3)</f>
        <v>53265</v>
      </c>
      <c r="R3" s="535">
        <f>SUMIFS(B3:M3,$B$1:$M$1,$Y$3)</f>
        <v>289459</v>
      </c>
      <c r="V3" s="537" t="s">
        <v>177</v>
      </c>
      <c r="W3" s="538" t="s">
        <v>5</v>
      </c>
      <c r="X3" s="538">
        <f>VLOOKUP(W3,List!$C$2:$D$13,2,0)</f>
        <v>6</v>
      </c>
      <c r="Y3" s="538">
        <f>VLOOKUP(W3,List!$C$2:$E$13,3,0)</f>
        <v>1</v>
      </c>
    </row>
    <row r="4" spans="1:25" outlineLevel="1" x14ac:dyDescent="0.25">
      <c r="A4" s="539" t="s">
        <v>178</v>
      </c>
      <c r="B4" s="540" t="s">
        <v>0</v>
      </c>
      <c r="C4" s="540" t="s">
        <v>1</v>
      </c>
      <c r="D4" s="540" t="s">
        <v>2</v>
      </c>
      <c r="E4" s="540" t="s">
        <v>3</v>
      </c>
      <c r="F4" s="540" t="s">
        <v>4</v>
      </c>
      <c r="G4" s="540" t="s">
        <v>5</v>
      </c>
      <c r="H4" s="540" t="s">
        <v>6</v>
      </c>
      <c r="I4" s="540" t="s">
        <v>7</v>
      </c>
      <c r="J4" s="540" t="s">
        <v>8</v>
      </c>
      <c r="K4" s="540" t="s">
        <v>9</v>
      </c>
      <c r="L4" s="540" t="s">
        <v>10</v>
      </c>
      <c r="M4" s="540" t="s">
        <v>11</v>
      </c>
      <c r="N4" s="540" t="s">
        <v>12</v>
      </c>
      <c r="Q4" s="540" t="s">
        <v>179</v>
      </c>
      <c r="R4" s="540" t="s">
        <v>94</v>
      </c>
    </row>
    <row r="5" spans="1:25" outlineLevel="1" x14ac:dyDescent="0.25">
      <c r="A5" s="513" t="s">
        <v>156</v>
      </c>
      <c r="B5" s="513">
        <f>'Budget assumption'!B211</f>
        <v>485</v>
      </c>
      <c r="C5" s="513">
        <f>'Budget assumption'!C211</f>
        <v>524</v>
      </c>
      <c r="D5" s="513">
        <f>'Budget assumption'!D211</f>
        <v>529</v>
      </c>
      <c r="E5" s="513">
        <f>'Budget assumption'!E211</f>
        <v>509</v>
      </c>
      <c r="F5" s="513">
        <f>'Budget assumption'!F211</f>
        <v>579</v>
      </c>
      <c r="G5" s="513">
        <f>'Budget assumption'!G211</f>
        <v>503</v>
      </c>
      <c r="H5" s="513">
        <f>'Budget assumption'!H211</f>
        <v>451</v>
      </c>
      <c r="I5" s="513">
        <f>'Budget assumption'!I211</f>
        <v>460</v>
      </c>
      <c r="J5" s="513">
        <f>'Budget assumption'!J211</f>
        <v>550</v>
      </c>
      <c r="K5" s="513">
        <f>'Budget assumption'!K211</f>
        <v>507</v>
      </c>
      <c r="L5" s="513">
        <f>'Budget assumption'!L211</f>
        <v>488</v>
      </c>
      <c r="M5" s="513">
        <f>'Budget assumption'!M211</f>
        <v>492</v>
      </c>
      <c r="N5" s="513">
        <f>SUM(B5:M5)</f>
        <v>6077</v>
      </c>
      <c r="Q5" s="561">
        <f>SUMIFS(B5:M5,$B$2:$M$2,$X$3)</f>
        <v>503</v>
      </c>
      <c r="R5" s="513">
        <f>SUMIFS(B5:M5,$B$1:$M$1,$Y$3)</f>
        <v>3129</v>
      </c>
    </row>
    <row r="6" spans="1:25" outlineLevel="1" x14ac:dyDescent="0.25">
      <c r="A6" s="513" t="s">
        <v>75</v>
      </c>
      <c r="B6" s="513">
        <f>'Budget assumption'!B212</f>
        <v>38.516776659017296</v>
      </c>
      <c r="C6" s="513">
        <f>'Budget assumption'!C212</f>
        <v>37.591301502266305</v>
      </c>
      <c r="D6" s="513">
        <f>'Budget assumption'!D212</f>
        <v>37.944558590183199</v>
      </c>
      <c r="E6" s="513">
        <f>'Budget assumption'!E212</f>
        <v>35.733561726016738</v>
      </c>
      <c r="F6" s="513">
        <f>'Budget assumption'!F212</f>
        <v>24.021199384866797</v>
      </c>
      <c r="G6" s="513">
        <f>'Budget assumption'!G212</f>
        <v>35.762038109159064</v>
      </c>
      <c r="H6" s="513">
        <f>'Budget assumption'!H212</f>
        <v>29.53026981632587</v>
      </c>
      <c r="I6" s="513">
        <f>'Budget assumption'!I212</f>
        <v>31.209684495803707</v>
      </c>
      <c r="J6" s="513">
        <f>'Budget assumption'!J212</f>
        <v>31.556185116300533</v>
      </c>
      <c r="K6" s="513">
        <f>'Budget assumption'!K212</f>
        <v>30.569231237002292</v>
      </c>
      <c r="L6" s="513">
        <f>'Budget assumption'!L212</f>
        <v>41.100252351313145</v>
      </c>
      <c r="M6" s="513">
        <f>'Budget assumption'!M212</f>
        <v>31.787008035188116</v>
      </c>
      <c r="N6" s="513">
        <f t="shared" ref="N6:N31" si="1">SUM(B6:M6)</f>
        <v>405.32206702344303</v>
      </c>
      <c r="Q6" s="513">
        <f>SUMIFS(B6:M6,$B$2:$M$2,$X$3)</f>
        <v>35.762038109159064</v>
      </c>
      <c r="R6" s="513">
        <f t="shared" ref="R6:R7" si="2">SUMIFS(B6:M6,$B$1:$M$1,$Y$3)</f>
        <v>209.56943597150939</v>
      </c>
    </row>
    <row r="7" spans="1:25" outlineLevel="1" x14ac:dyDescent="0.25">
      <c r="A7" s="514" t="s">
        <v>195</v>
      </c>
      <c r="B7" s="513">
        <f>'Budget assumption'!B213</f>
        <v>16.73</v>
      </c>
      <c r="C7" s="513">
        <f>'Budget assumption'!C213</f>
        <v>16.73</v>
      </c>
      <c r="D7" s="513">
        <f>'Budget assumption'!D213</f>
        <v>16.73</v>
      </c>
      <c r="E7" s="513">
        <f>'Budget assumption'!E213</f>
        <v>15.893499999999998</v>
      </c>
      <c r="F7" s="513">
        <f>'Budget assumption'!F213</f>
        <v>11.711</v>
      </c>
      <c r="G7" s="513">
        <f>'Budget assumption'!G213</f>
        <v>17.566500000000001</v>
      </c>
      <c r="H7" s="513">
        <f>'Budget assumption'!H213</f>
        <v>14.220499999999999</v>
      </c>
      <c r="I7" s="513">
        <f>'Budget assumption'!I213</f>
        <v>12.967499999999999</v>
      </c>
      <c r="J7" s="513">
        <f>'Budget assumption'!J213</f>
        <v>18.154499999999999</v>
      </c>
      <c r="K7" s="513">
        <f>'Budget assumption'!K213</f>
        <v>15.560999999999998</v>
      </c>
      <c r="L7" s="513">
        <f>'Budget assumption'!L213</f>
        <v>17.29</v>
      </c>
      <c r="M7" s="513">
        <f>'Budget assumption'!M213</f>
        <v>11.47725</v>
      </c>
      <c r="N7" s="514">
        <f t="shared" si="1"/>
        <v>185.03175000000002</v>
      </c>
      <c r="Q7" s="514">
        <f t="shared" ref="Q7" si="3">SUMIFS(B7:M7,$B$2:$M$2,$X$3)</f>
        <v>17.566500000000001</v>
      </c>
      <c r="R7" s="514">
        <f t="shared" si="2"/>
        <v>95.361000000000004</v>
      </c>
    </row>
    <row r="8" spans="1:25" ht="12.6" outlineLevel="1" thickBot="1" x14ac:dyDescent="0.3">
      <c r="A8" s="515" t="s">
        <v>196</v>
      </c>
      <c r="B8" s="515">
        <f>SUM(B5:B7)</f>
        <v>540.24677665901731</v>
      </c>
      <c r="C8" s="515">
        <f t="shared" ref="C8:M8" si="4">SUM(C5:C7)</f>
        <v>578.32130150226635</v>
      </c>
      <c r="D8" s="515">
        <f t="shared" si="4"/>
        <v>583.67455859018321</v>
      </c>
      <c r="E8" s="515">
        <f t="shared" si="4"/>
        <v>560.62706172601679</v>
      </c>
      <c r="F8" s="515">
        <f t="shared" si="4"/>
        <v>614.73219938486682</v>
      </c>
      <c r="G8" s="515">
        <f t="shared" si="4"/>
        <v>556.32853810915913</v>
      </c>
      <c r="H8" s="515">
        <f t="shared" si="4"/>
        <v>494.75076981632589</v>
      </c>
      <c r="I8" s="515">
        <f t="shared" si="4"/>
        <v>504.17718449580366</v>
      </c>
      <c r="J8" s="515">
        <f t="shared" si="4"/>
        <v>599.71068511630051</v>
      </c>
      <c r="K8" s="515">
        <f t="shared" si="4"/>
        <v>553.13023123700236</v>
      </c>
      <c r="L8" s="515">
        <f t="shared" si="4"/>
        <v>546.39025235131317</v>
      </c>
      <c r="M8" s="515">
        <f t="shared" si="4"/>
        <v>535.26425803518816</v>
      </c>
      <c r="N8" s="515">
        <f t="shared" si="1"/>
        <v>6667.3538170234442</v>
      </c>
      <c r="Q8" s="515">
        <f>SUM(Q5:Q7)</f>
        <v>556.32853810915913</v>
      </c>
      <c r="R8" s="515">
        <f>SUM(R5:R7)</f>
        <v>3433.9304359715093</v>
      </c>
    </row>
    <row r="9" spans="1:25" outlineLevel="1" x14ac:dyDescent="0.25">
      <c r="A9" s="516" t="s">
        <v>80</v>
      </c>
      <c r="B9" s="513">
        <f>'Budget assumption'!B215</f>
        <v>194.74895348822281</v>
      </c>
      <c r="C9" s="513">
        <f>'Budget assumption'!C215</f>
        <v>207.51638681160108</v>
      </c>
      <c r="D9" s="513">
        <f>'Budget assumption'!D215</f>
        <v>211.95318100516675</v>
      </c>
      <c r="E9" s="513">
        <f>'Budget assumption'!E215</f>
        <v>204.69927393420895</v>
      </c>
      <c r="F9" s="513">
        <f>'Budget assumption'!F215</f>
        <v>228.48498702853246</v>
      </c>
      <c r="G9" s="513">
        <f>'Budget assumption'!G215</f>
        <v>217.31855808470829</v>
      </c>
      <c r="H9" s="513">
        <f>'Budget assumption'!H215</f>
        <v>251.55222094085056</v>
      </c>
      <c r="I9" s="513">
        <f>'Budget assumption'!I215</f>
        <v>229.2465468183949</v>
      </c>
      <c r="J9" s="513">
        <f>'Budget assumption'!J215</f>
        <v>235.05248519491039</v>
      </c>
      <c r="K9" s="513">
        <f>'Budget assumption'!K215</f>
        <v>218.98304817934547</v>
      </c>
      <c r="L9" s="513">
        <f>'Budget assumption'!L215</f>
        <v>213.59590329869292</v>
      </c>
      <c r="M9" s="513">
        <f>'Budget assumption'!M215</f>
        <v>288.17726158033093</v>
      </c>
      <c r="N9" s="516">
        <f t="shared" si="1"/>
        <v>2701.3288063649657</v>
      </c>
      <c r="Q9" s="514">
        <f t="shared" ref="Q9:Q14" si="5">SUMIFS(B9:M9,$B$2:$M$2,$X$3)</f>
        <v>217.31855808470829</v>
      </c>
      <c r="R9" s="514">
        <f t="shared" ref="R9:R14" si="6">SUMIFS(B9:M9,$B$1:$M$1,$Y$3)</f>
        <v>1264.7213403524402</v>
      </c>
    </row>
    <row r="10" spans="1:25" outlineLevel="1" x14ac:dyDescent="0.25">
      <c r="A10" s="514" t="s">
        <v>81</v>
      </c>
      <c r="B10" s="513">
        <f>'Budget assumption'!B216</f>
        <v>106.57999537585221</v>
      </c>
      <c r="C10" s="513">
        <f>'Budget assumption'!C216</f>
        <v>112.97148558975951</v>
      </c>
      <c r="D10" s="513">
        <f>'Budget assumption'!D216</f>
        <v>102.64252545680378</v>
      </c>
      <c r="E10" s="513">
        <f>'Budget assumption'!E216</f>
        <v>104.32864647268644</v>
      </c>
      <c r="F10" s="513">
        <f>'Budget assumption'!F216</f>
        <v>110.7581698651679</v>
      </c>
      <c r="G10" s="513">
        <f>'Budget assumption'!G216</f>
        <v>107.62726490257862</v>
      </c>
      <c r="H10" s="513">
        <f>'Budget assumption'!H216</f>
        <v>100.46411351107851</v>
      </c>
      <c r="I10" s="513">
        <f>'Budget assumption'!I216</f>
        <v>101.53526503530082</v>
      </c>
      <c r="J10" s="513">
        <f>'Budget assumption'!J216</f>
        <v>106.97187608478409</v>
      </c>
      <c r="K10" s="513">
        <f>'Budget assumption'!K216</f>
        <v>100.2289107818811</v>
      </c>
      <c r="L10" s="513">
        <f>'Budget assumption'!L216</f>
        <v>98.505072021504759</v>
      </c>
      <c r="M10" s="513">
        <f>'Budget assumption'!M216</f>
        <v>96.810881593616458</v>
      </c>
      <c r="N10" s="514">
        <f t="shared" si="1"/>
        <v>1249.424206691014</v>
      </c>
      <c r="Q10" s="514">
        <f t="shared" si="5"/>
        <v>107.62726490257862</v>
      </c>
      <c r="R10" s="514">
        <f t="shared" si="6"/>
        <v>644.90808766284852</v>
      </c>
    </row>
    <row r="11" spans="1:25" outlineLevel="1" x14ac:dyDescent="0.25">
      <c r="A11" s="514" t="s">
        <v>82</v>
      </c>
      <c r="B11" s="513">
        <f>'Budget assumption'!B217</f>
        <v>183.02969054753996</v>
      </c>
      <c r="C11" s="513">
        <f>'Budget assumption'!C217</f>
        <v>179.83512620955838</v>
      </c>
      <c r="D11" s="513">
        <f>'Budget assumption'!D217</f>
        <v>176.70013645687774</v>
      </c>
      <c r="E11" s="513">
        <f>'Budget assumption'!E217</f>
        <v>177.19910679306849</v>
      </c>
      <c r="F11" s="513">
        <f>'Budget assumption'!F217</f>
        <v>155.71007432783014</v>
      </c>
      <c r="G11" s="513">
        <f>'Budget assumption'!G217</f>
        <v>188.37863537821647</v>
      </c>
      <c r="H11" s="513">
        <f>'Budget assumption'!H217</f>
        <v>178.57403780299023</v>
      </c>
      <c r="I11" s="513">
        <f>'Budget assumption'!I217</f>
        <v>171.83301981672696</v>
      </c>
      <c r="J11" s="513">
        <f>'Budget assumption'!J217</f>
        <v>193.12434208374361</v>
      </c>
      <c r="K11" s="513">
        <f>'Budget assumption'!K217</f>
        <v>189.78204766674821</v>
      </c>
      <c r="L11" s="513">
        <f>'Budget assumption'!L217</f>
        <v>184.92195074785559</v>
      </c>
      <c r="M11" s="513">
        <f>'Budget assumption'!M217</f>
        <v>176.72183216884383</v>
      </c>
      <c r="N11" s="514">
        <f t="shared" si="1"/>
        <v>2155.81</v>
      </c>
      <c r="Q11" s="514">
        <f t="shared" si="5"/>
        <v>188.37863537821647</v>
      </c>
      <c r="R11" s="514">
        <f t="shared" si="6"/>
        <v>1060.8527697130912</v>
      </c>
    </row>
    <row r="12" spans="1:25" outlineLevel="1" x14ac:dyDescent="0.25">
      <c r="A12" s="514" t="s">
        <v>83</v>
      </c>
      <c r="B12" s="513">
        <f>'Budget assumption'!B218</f>
        <v>5</v>
      </c>
      <c r="C12" s="513">
        <f>'Budget assumption'!C218</f>
        <v>6</v>
      </c>
      <c r="D12" s="513">
        <f>'Budget assumption'!D218</f>
        <v>6</v>
      </c>
      <c r="E12" s="513">
        <f>'Budget assumption'!E218</f>
        <v>5</v>
      </c>
      <c r="F12" s="513">
        <f>'Budget assumption'!F218</f>
        <v>4</v>
      </c>
      <c r="G12" s="513">
        <f>'Budget assumption'!G218</f>
        <v>6</v>
      </c>
      <c r="H12" s="513">
        <f>'Budget assumption'!H218</f>
        <v>5</v>
      </c>
      <c r="I12" s="513">
        <f>'Budget assumption'!I218</f>
        <v>4</v>
      </c>
      <c r="J12" s="513">
        <f>'Budget assumption'!J218</f>
        <v>7</v>
      </c>
      <c r="K12" s="513">
        <f>'Budget assumption'!K218</f>
        <v>6</v>
      </c>
      <c r="L12" s="513">
        <f>'Budget assumption'!L218</f>
        <v>7</v>
      </c>
      <c r="M12" s="513">
        <f>'Budget assumption'!M218</f>
        <v>5</v>
      </c>
      <c r="N12" s="514">
        <f t="shared" si="1"/>
        <v>66</v>
      </c>
      <c r="Q12" s="514">
        <f t="shared" si="5"/>
        <v>6</v>
      </c>
      <c r="R12" s="514">
        <f t="shared" si="6"/>
        <v>32</v>
      </c>
    </row>
    <row r="13" spans="1:25" outlineLevel="1" x14ac:dyDescent="0.25">
      <c r="A13" s="514" t="s">
        <v>84</v>
      </c>
      <c r="B13" s="513">
        <f>'Budget assumption'!B219</f>
        <v>44.860259341227689</v>
      </c>
      <c r="C13" s="513">
        <f>'Budget assumption'!C219</f>
        <v>44.262155388839702</v>
      </c>
      <c r="D13" s="513">
        <f>'Budget assumption'!D219</f>
        <v>43.675203521923159</v>
      </c>
      <c r="E13" s="513">
        <f>'Budget assumption'!E219</f>
        <v>43.218668494505586</v>
      </c>
      <c r="F13" s="513">
        <f>'Budget assumption'!F219</f>
        <v>42.768880290153291</v>
      </c>
      <c r="G13" s="513">
        <f>'Budget assumption'!G219</f>
        <v>43.825739202121468</v>
      </c>
      <c r="H13" s="513">
        <f>'Budget assumption'!H219</f>
        <v>42.091273017977642</v>
      </c>
      <c r="I13" s="513">
        <f>'Budget assumption'!I219</f>
        <v>41.85866767656519</v>
      </c>
      <c r="J13" s="513">
        <f>'Budget assumption'!J219</f>
        <v>41.627908409290846</v>
      </c>
      <c r="K13" s="513">
        <f>'Budget assumption'!K219</f>
        <v>41.13180433345525</v>
      </c>
      <c r="L13" s="513">
        <f>'Budget assumption'!L219</f>
        <v>40.644232760152626</v>
      </c>
      <c r="M13" s="513">
        <f>'Budget assumption'!M219</f>
        <v>43.146735371394186</v>
      </c>
      <c r="N13" s="514">
        <f t="shared" si="1"/>
        <v>513.11152780760665</v>
      </c>
      <c r="Q13" s="514">
        <f t="shared" si="5"/>
        <v>43.825739202121468</v>
      </c>
      <c r="R13" s="514">
        <f t="shared" si="6"/>
        <v>262.61090623877089</v>
      </c>
    </row>
    <row r="14" spans="1:25" outlineLevel="1" x14ac:dyDescent="0.25">
      <c r="A14" s="514" t="s">
        <v>86</v>
      </c>
      <c r="B14" s="513">
        <f>'Budget assumption'!B220</f>
        <v>161.79174177645808</v>
      </c>
      <c r="C14" s="513">
        <f>'Budget assumption'!C220</f>
        <v>149.59309131135126</v>
      </c>
      <c r="D14" s="513">
        <f>'Budget assumption'!D220</f>
        <v>160.35866848948228</v>
      </c>
      <c r="E14" s="513">
        <f>'Budget assumption'!E220</f>
        <v>155.09230143443955</v>
      </c>
      <c r="F14" s="513">
        <f>'Budget assumption'!F220</f>
        <v>155.61964591302961</v>
      </c>
      <c r="G14" s="513">
        <f>'Budget assumption'!G220</f>
        <v>152.87377994795827</v>
      </c>
      <c r="H14" s="513">
        <f>'Budget assumption'!H220</f>
        <v>171.2834116053059</v>
      </c>
      <c r="I14" s="513">
        <f>'Budget assumption'!I220</f>
        <v>170.288551936229</v>
      </c>
      <c r="J14" s="513">
        <f>'Budget assumption'!J220</f>
        <v>166.29043207502247</v>
      </c>
      <c r="K14" s="513">
        <f>'Budget assumption'!K220</f>
        <v>168.7459163292599</v>
      </c>
      <c r="L14" s="513">
        <f>'Budget assumption'!L220</f>
        <v>166.91753727657198</v>
      </c>
      <c r="M14" s="513">
        <f>'Budget assumption'!M220</f>
        <v>176.92268085373956</v>
      </c>
      <c r="N14" s="514">
        <f t="shared" si="1"/>
        <v>1955.7777589488476</v>
      </c>
      <c r="Q14" s="514">
        <f t="shared" si="5"/>
        <v>152.87377994795827</v>
      </c>
      <c r="R14" s="514">
        <f t="shared" si="6"/>
        <v>935.329228872719</v>
      </c>
    </row>
    <row r="15" spans="1:25" ht="12.6" outlineLevel="1" thickBot="1" x14ac:dyDescent="0.3">
      <c r="A15" s="515" t="s">
        <v>197</v>
      </c>
      <c r="B15" s="515">
        <f>SUM(B9:B14)</f>
        <v>696.01064052930064</v>
      </c>
      <c r="C15" s="515">
        <f t="shared" ref="C15:M15" si="7">SUM(C9:C14)</f>
        <v>700.17824531111</v>
      </c>
      <c r="D15" s="515">
        <f t="shared" si="7"/>
        <v>701.32971493025377</v>
      </c>
      <c r="E15" s="515">
        <f t="shared" si="7"/>
        <v>689.53799712890896</v>
      </c>
      <c r="F15" s="515">
        <f t="shared" si="7"/>
        <v>697.34175742471348</v>
      </c>
      <c r="G15" s="515">
        <f t="shared" si="7"/>
        <v>716.02397751558306</v>
      </c>
      <c r="H15" s="515">
        <f t="shared" si="7"/>
        <v>748.96505687820286</v>
      </c>
      <c r="I15" s="515">
        <f t="shared" si="7"/>
        <v>718.76205128321681</v>
      </c>
      <c r="J15" s="515">
        <f t="shared" si="7"/>
        <v>750.06704384775139</v>
      </c>
      <c r="K15" s="515">
        <f t="shared" si="7"/>
        <v>724.87172729068993</v>
      </c>
      <c r="L15" s="515">
        <f t="shared" si="7"/>
        <v>711.58469610477778</v>
      </c>
      <c r="M15" s="515">
        <f t="shared" si="7"/>
        <v>786.77939156792513</v>
      </c>
      <c r="N15" s="515">
        <f t="shared" si="1"/>
        <v>8641.4522998124339</v>
      </c>
      <c r="Q15" s="515">
        <f>SUM(Q9:Q14)</f>
        <v>716.02397751558306</v>
      </c>
      <c r="R15" s="515">
        <f>SUM(R9:R14)</f>
        <v>4200.4223328398703</v>
      </c>
    </row>
    <row r="16" spans="1:25" outlineLevel="1" x14ac:dyDescent="0.25">
      <c r="A16" s="517" t="s">
        <v>88</v>
      </c>
      <c r="B16" s="517">
        <f>B8+B15</f>
        <v>1236.257417188318</v>
      </c>
      <c r="C16" s="517">
        <f t="shared" ref="C16:M16" si="8">C8+C15</f>
        <v>1278.4995468133764</v>
      </c>
      <c r="D16" s="517">
        <f t="shared" si="8"/>
        <v>1285.004273520437</v>
      </c>
      <c r="E16" s="517">
        <f t="shared" si="8"/>
        <v>1250.1650588549257</v>
      </c>
      <c r="F16" s="517">
        <f t="shared" si="8"/>
        <v>1312.0739568095803</v>
      </c>
      <c r="G16" s="517">
        <f t="shared" si="8"/>
        <v>1272.3525156247422</v>
      </c>
      <c r="H16" s="517">
        <f t="shared" si="8"/>
        <v>1243.7158266945287</v>
      </c>
      <c r="I16" s="517">
        <f t="shared" si="8"/>
        <v>1222.9392357790205</v>
      </c>
      <c r="J16" s="517">
        <f t="shared" si="8"/>
        <v>1349.7777289640519</v>
      </c>
      <c r="K16" s="517">
        <f t="shared" si="8"/>
        <v>1278.0019585276923</v>
      </c>
      <c r="L16" s="517">
        <f t="shared" si="8"/>
        <v>1257.9749484560909</v>
      </c>
      <c r="M16" s="517">
        <f t="shared" si="8"/>
        <v>1322.0436496031134</v>
      </c>
      <c r="N16" s="517">
        <f t="shared" si="1"/>
        <v>15308.806116835876</v>
      </c>
      <c r="Q16" s="517">
        <f>+Q15+Q8</f>
        <v>1272.3525156247422</v>
      </c>
      <c r="R16" s="517">
        <f>+R15+R8</f>
        <v>7634.3527688113791</v>
      </c>
    </row>
    <row r="17" spans="1:18" outlineLevel="1" x14ac:dyDescent="0.25">
      <c r="A17" s="514" t="s">
        <v>89</v>
      </c>
      <c r="B17" s="513">
        <f>'Budget assumption'!B223</f>
        <v>21.132999944324133</v>
      </c>
      <c r="C17" s="513">
        <f>'Budget assumption'!C223</f>
        <v>21.209824845989694</v>
      </c>
      <c r="D17" s="513">
        <f>'Budget assumption'!D223</f>
        <v>20.932865432030379</v>
      </c>
      <c r="E17" s="513">
        <f>'Budget assumption'!E223</f>
        <v>20.567044044062953</v>
      </c>
      <c r="F17" s="513">
        <f>'Budget assumption'!F223</f>
        <v>21.018477905147854</v>
      </c>
      <c r="G17" s="513">
        <f>'Budget assumption'!G223</f>
        <v>20.474517363192625</v>
      </c>
      <c r="H17" s="513">
        <f>'Budget assumption'!H223</f>
        <v>20.217401383560873</v>
      </c>
      <c r="I17" s="513">
        <f>'Budget assumption'!I223</f>
        <v>20.038870481997296</v>
      </c>
      <c r="J17" s="513">
        <f>'Budget assumption'!J223</f>
        <v>20.590913799326586</v>
      </c>
      <c r="K17" s="513">
        <f>'Budget assumption'!K223</f>
        <v>19.944053381251166</v>
      </c>
      <c r="L17" s="513">
        <f>'Budget assumption'!L223</f>
        <v>19.54757649135723</v>
      </c>
      <c r="M17" s="513">
        <f>'Budget assumption'!M223</f>
        <v>19.789757418898503</v>
      </c>
      <c r="N17" s="514">
        <f t="shared" si="1"/>
        <v>245.46430249113934</v>
      </c>
      <c r="Q17" s="514">
        <f t="shared" ref="Q17" si="9">SUMIFS(B17:M17,$B$2:$M$2,$X$3)</f>
        <v>20.474517363192625</v>
      </c>
      <c r="R17" s="514">
        <f t="shared" ref="R17" si="10">SUMIFS(B17:M17,$B$1:$M$1,$Y$3)</f>
        <v>125.33572953474766</v>
      </c>
    </row>
    <row r="18" spans="1:18" outlineLevel="1" x14ac:dyDescent="0.25">
      <c r="A18" s="517" t="s">
        <v>90</v>
      </c>
      <c r="B18" s="517">
        <f>B16+B17</f>
        <v>1257.3904171326421</v>
      </c>
      <c r="C18" s="517">
        <f t="shared" ref="C18:M18" si="11">C16+C17</f>
        <v>1299.7093716593661</v>
      </c>
      <c r="D18" s="517">
        <f t="shared" si="11"/>
        <v>1305.9371389524674</v>
      </c>
      <c r="E18" s="517">
        <f t="shared" si="11"/>
        <v>1270.7321028989886</v>
      </c>
      <c r="F18" s="517">
        <f t="shared" si="11"/>
        <v>1333.0924347147281</v>
      </c>
      <c r="G18" s="517">
        <f t="shared" si="11"/>
        <v>1292.8270329879349</v>
      </c>
      <c r="H18" s="517">
        <f t="shared" si="11"/>
        <v>1263.9332280780895</v>
      </c>
      <c r="I18" s="517">
        <f t="shared" si="11"/>
        <v>1242.9781062610177</v>
      </c>
      <c r="J18" s="517">
        <f t="shared" si="11"/>
        <v>1370.3686427633784</v>
      </c>
      <c r="K18" s="517">
        <f t="shared" si="11"/>
        <v>1297.9460119089435</v>
      </c>
      <c r="L18" s="517">
        <f t="shared" si="11"/>
        <v>1277.5225249474481</v>
      </c>
      <c r="M18" s="517">
        <f t="shared" si="11"/>
        <v>1341.8334070220119</v>
      </c>
      <c r="N18" s="517">
        <f t="shared" si="1"/>
        <v>15554.270419327018</v>
      </c>
      <c r="Q18" s="517">
        <f>+Q17+Q16</f>
        <v>1292.8270329879349</v>
      </c>
      <c r="R18" s="517">
        <f>+R17+R16</f>
        <v>7759.6884983461268</v>
      </c>
    </row>
    <row r="19" spans="1:18" outlineLevel="1" x14ac:dyDescent="0.25">
      <c r="A19" s="514" t="s">
        <v>91</v>
      </c>
      <c r="B19" s="513">
        <f>'Budget assumption'!B225</f>
        <v>415.68863405687688</v>
      </c>
      <c r="C19" s="513">
        <f>'Budget assumption'!C225</f>
        <v>386.88891452198243</v>
      </c>
      <c r="D19" s="513">
        <f>'Budget assumption'!D225</f>
        <v>421.50115401051971</v>
      </c>
      <c r="E19" s="513">
        <f>'Budget assumption'!E225</f>
        <v>413.13905106556064</v>
      </c>
      <c r="F19" s="513">
        <f>'Budget assumption'!F225</f>
        <v>424.61563658697156</v>
      </c>
      <c r="G19" s="513">
        <f>'Budget assumption'!G225</f>
        <v>416.35266088537662</v>
      </c>
      <c r="H19" s="513">
        <f>'Budget assumption'!H225</f>
        <v>428.12059637899381</v>
      </c>
      <c r="I19" s="513">
        <f>'Budget assumption'!I225</f>
        <v>429.39435271473707</v>
      </c>
      <c r="J19" s="513">
        <f>'Budget assumption'!J225</f>
        <v>419.28873257594415</v>
      </c>
      <c r="K19" s="513">
        <f>'Budget assumption'!K225</f>
        <v>432.68993165503991</v>
      </c>
      <c r="L19" s="513">
        <f>'Budget assumption'!L225</f>
        <v>423.8033940410607</v>
      </c>
      <c r="M19" s="513">
        <f>'Budget assumption'!M225</f>
        <v>436.70918255808857</v>
      </c>
      <c r="N19" s="514">
        <f t="shared" si="1"/>
        <v>5048.1922410511525</v>
      </c>
      <c r="Q19" s="514">
        <f t="shared" ref="Q19" si="12">SUMIFS(B19:M19,$B$2:$M$2,$X$3)</f>
        <v>416.35266088537662</v>
      </c>
      <c r="R19" s="514">
        <f t="shared" ref="R19" si="13">SUMIFS(B19:M19,$B$1:$M$1,$Y$3)</f>
        <v>2478.186051127288</v>
      </c>
    </row>
    <row r="20" spans="1:18" outlineLevel="1" x14ac:dyDescent="0.25">
      <c r="A20" s="517" t="s">
        <v>92</v>
      </c>
      <c r="B20" s="517">
        <f>B18+B19</f>
        <v>1673.0790511895191</v>
      </c>
      <c r="C20" s="517">
        <f t="shared" ref="C20:M20" si="14">C18+C19</f>
        <v>1686.5982861813486</v>
      </c>
      <c r="D20" s="517">
        <f t="shared" si="14"/>
        <v>1727.4382929629871</v>
      </c>
      <c r="E20" s="517">
        <f t="shared" si="14"/>
        <v>1683.8711539645492</v>
      </c>
      <c r="F20" s="517">
        <f t="shared" si="14"/>
        <v>1757.7080713016996</v>
      </c>
      <c r="G20" s="517">
        <f t="shared" si="14"/>
        <v>1709.1796938733114</v>
      </c>
      <c r="H20" s="517">
        <f t="shared" si="14"/>
        <v>1692.0538244570835</v>
      </c>
      <c r="I20" s="517">
        <f t="shared" si="14"/>
        <v>1672.3724589757549</v>
      </c>
      <c r="J20" s="517">
        <f t="shared" si="14"/>
        <v>1789.6573753393225</v>
      </c>
      <c r="K20" s="517">
        <f t="shared" si="14"/>
        <v>1730.6359435639833</v>
      </c>
      <c r="L20" s="517">
        <f t="shared" si="14"/>
        <v>1701.3259189885089</v>
      </c>
      <c r="M20" s="517">
        <f t="shared" si="14"/>
        <v>1778.5425895801004</v>
      </c>
      <c r="N20" s="517">
        <f t="shared" si="1"/>
        <v>20602.462660378173</v>
      </c>
      <c r="Q20" s="517">
        <f>+Q18+Q19</f>
        <v>1709.1796938733114</v>
      </c>
      <c r="R20" s="517">
        <f>+R18+R19</f>
        <v>10237.874549473414</v>
      </c>
    </row>
    <row r="21" spans="1:18" outlineLevel="1" x14ac:dyDescent="0.25">
      <c r="A21" s="514" t="s">
        <v>76</v>
      </c>
      <c r="B21" s="513">
        <f>'Budget assumption'!B227</f>
        <v>27</v>
      </c>
      <c r="C21" s="513">
        <f>'Budget assumption'!C227</f>
        <v>27</v>
      </c>
      <c r="D21" s="513">
        <f>'Budget assumption'!D227</f>
        <v>27</v>
      </c>
      <c r="E21" s="513">
        <f>'Budget assumption'!E227</f>
        <v>19</v>
      </c>
      <c r="F21" s="513">
        <f>'Budget assumption'!F227</f>
        <v>15</v>
      </c>
      <c r="G21" s="513">
        <f>'Budget assumption'!G227</f>
        <v>21</v>
      </c>
      <c r="H21" s="513">
        <f>'Budget assumption'!H227</f>
        <v>17</v>
      </c>
      <c r="I21" s="513">
        <f>'Budget assumption'!I227</f>
        <v>16</v>
      </c>
      <c r="J21" s="513">
        <f>'Budget assumption'!J227</f>
        <v>22</v>
      </c>
      <c r="K21" s="513">
        <f>'Budget assumption'!K227</f>
        <v>19</v>
      </c>
      <c r="L21" s="513">
        <f>'Budget assumption'!L227</f>
        <v>21</v>
      </c>
      <c r="M21" s="513">
        <f>'Budget assumption'!M227</f>
        <v>16</v>
      </c>
      <c r="N21" s="514">
        <f t="shared" si="1"/>
        <v>247</v>
      </c>
      <c r="Q21" s="514">
        <f t="shared" ref="Q21:Q31" si="15">SUMIFS(B21:M21,$B$2:$M$2,$X$3)</f>
        <v>21</v>
      </c>
      <c r="R21" s="514">
        <f t="shared" ref="R21:R31" si="16">SUMIFS(B21:M21,$B$1:$M$1,$Y$3)</f>
        <v>136</v>
      </c>
    </row>
    <row r="22" spans="1:18" outlineLevel="1" x14ac:dyDescent="0.25">
      <c r="A22" s="514" t="s">
        <v>77</v>
      </c>
      <c r="B22" s="513">
        <f>'Budget assumption'!B228</f>
        <v>-55</v>
      </c>
      <c r="C22" s="513">
        <f>'Budget assumption'!C228</f>
        <v>-55</v>
      </c>
      <c r="D22" s="513">
        <f>'Budget assumption'!D228</f>
        <v>-56</v>
      </c>
      <c r="E22" s="513">
        <f>'Budget assumption'!E228</f>
        <v>-48</v>
      </c>
      <c r="F22" s="513">
        <f>'Budget assumption'!F228</f>
        <v>-36</v>
      </c>
      <c r="G22" s="513">
        <f>'Budget assumption'!G228</f>
        <v>-53</v>
      </c>
      <c r="H22" s="513">
        <f>'Budget assumption'!H228</f>
        <v>-44</v>
      </c>
      <c r="I22" s="513">
        <f>'Budget assumption'!I228</f>
        <v>-40</v>
      </c>
      <c r="J22" s="513">
        <f>'Budget assumption'!J228</f>
        <v>-56</v>
      </c>
      <c r="K22" s="513">
        <f>'Budget assumption'!K228</f>
        <v>-48</v>
      </c>
      <c r="L22" s="513">
        <f>'Budget assumption'!L228</f>
        <v>-53</v>
      </c>
      <c r="M22" s="513">
        <f>'Budget assumption'!M228</f>
        <v>-41</v>
      </c>
      <c r="N22" s="514">
        <f t="shared" si="1"/>
        <v>-585</v>
      </c>
      <c r="O22" s="518">
        <v>23.011402520083919</v>
      </c>
      <c r="Q22" s="514">
        <f t="shared" si="15"/>
        <v>-53</v>
      </c>
      <c r="R22" s="514">
        <f t="shared" si="16"/>
        <v>-303</v>
      </c>
    </row>
    <row r="23" spans="1:18" outlineLevel="1" x14ac:dyDescent="0.25">
      <c r="A23" s="514" t="s">
        <v>144</v>
      </c>
      <c r="B23" s="513">
        <f>'Budget assumption'!B229</f>
        <v>0</v>
      </c>
      <c r="C23" s="513">
        <f>'Budget assumption'!C229</f>
        <v>0</v>
      </c>
      <c r="D23" s="513">
        <f>'Budget assumption'!D229</f>
        <v>0</v>
      </c>
      <c r="E23" s="513">
        <f>'Budget assumption'!E229</f>
        <v>0</v>
      </c>
      <c r="F23" s="513">
        <f>'Budget assumption'!F229</f>
        <v>0</v>
      </c>
      <c r="G23" s="513">
        <f>'Budget assumption'!G229</f>
        <v>0</v>
      </c>
      <c r="H23" s="513">
        <f>'Budget assumption'!H229</f>
        <v>0</v>
      </c>
      <c r="I23" s="513">
        <f>'Budget assumption'!I229</f>
        <v>0</v>
      </c>
      <c r="J23" s="513">
        <f>'Budget assumption'!J229</f>
        <v>0</v>
      </c>
      <c r="K23" s="513">
        <f>'Budget assumption'!K229</f>
        <v>0</v>
      </c>
      <c r="L23" s="513">
        <f>'Budget assumption'!L229</f>
        <v>0</v>
      </c>
      <c r="M23" s="513">
        <f>'Budget assumption'!M229</f>
        <v>0</v>
      </c>
      <c r="N23" s="514">
        <f t="shared" si="1"/>
        <v>0</v>
      </c>
      <c r="O23" s="519"/>
      <c r="Q23" s="514">
        <f t="shared" si="15"/>
        <v>0</v>
      </c>
      <c r="R23" s="514">
        <f t="shared" si="16"/>
        <v>0</v>
      </c>
    </row>
    <row r="24" spans="1:18" outlineLevel="1" x14ac:dyDescent="0.25">
      <c r="A24" s="514" t="s">
        <v>85</v>
      </c>
      <c r="B24" s="513">
        <f>'Budget assumption'!B230</f>
        <v>9</v>
      </c>
      <c r="C24" s="513">
        <f>'Budget assumption'!C230</f>
        <v>9</v>
      </c>
      <c r="D24" s="513">
        <f>'Budget assumption'!D230</f>
        <v>9</v>
      </c>
      <c r="E24" s="513">
        <f>'Budget assumption'!E230</f>
        <v>9</v>
      </c>
      <c r="F24" s="513">
        <f>'Budget assumption'!F230</f>
        <v>8</v>
      </c>
      <c r="G24" s="513">
        <f>'Budget assumption'!G230</f>
        <v>8</v>
      </c>
      <c r="H24" s="513">
        <f>'Budget assumption'!H230</f>
        <v>8</v>
      </c>
      <c r="I24" s="513">
        <f>'Budget assumption'!I230</f>
        <v>8</v>
      </c>
      <c r="J24" s="513">
        <f>'Budget assumption'!J230</f>
        <v>8</v>
      </c>
      <c r="K24" s="513">
        <f>'Budget assumption'!K230</f>
        <v>8</v>
      </c>
      <c r="L24" s="513">
        <f>'Budget assumption'!L230</f>
        <v>8</v>
      </c>
      <c r="M24" s="513">
        <f>'Budget assumption'!M230</f>
        <v>8</v>
      </c>
      <c r="N24" s="514">
        <f t="shared" si="1"/>
        <v>100</v>
      </c>
      <c r="O24" s="519"/>
      <c r="Q24" s="514">
        <f t="shared" si="15"/>
        <v>8</v>
      </c>
      <c r="R24" s="514">
        <f t="shared" si="16"/>
        <v>52</v>
      </c>
    </row>
    <row r="25" spans="1:18" outlineLevel="1" x14ac:dyDescent="0.25">
      <c r="A25" s="514" t="s">
        <v>145</v>
      </c>
      <c r="B25" s="513">
        <f>'Budget assumption'!B231</f>
        <v>0</v>
      </c>
      <c r="C25" s="513">
        <f>'Budget assumption'!C231</f>
        <v>0</v>
      </c>
      <c r="D25" s="513">
        <f>'Budget assumption'!D231</f>
        <v>0</v>
      </c>
      <c r="E25" s="513">
        <f>'Budget assumption'!E231</f>
        <v>0</v>
      </c>
      <c r="F25" s="513">
        <f>'Budget assumption'!F231</f>
        <v>0</v>
      </c>
      <c r="G25" s="513">
        <f>'Budget assumption'!G231</f>
        <v>0</v>
      </c>
      <c r="H25" s="513">
        <f>'Budget assumption'!H231</f>
        <v>0</v>
      </c>
      <c r="I25" s="513">
        <f>'Budget assumption'!I231</f>
        <v>0</v>
      </c>
      <c r="J25" s="513">
        <f>'Budget assumption'!J231</f>
        <v>0</v>
      </c>
      <c r="K25" s="513">
        <f>'Budget assumption'!K231</f>
        <v>0</v>
      </c>
      <c r="L25" s="513">
        <f>'Budget assumption'!L231</f>
        <v>0</v>
      </c>
      <c r="M25" s="513">
        <f>'Budget assumption'!M231</f>
        <v>0</v>
      </c>
      <c r="N25" s="514">
        <f t="shared" si="1"/>
        <v>0</v>
      </c>
      <c r="O25" s="519"/>
      <c r="Q25" s="514">
        <f t="shared" si="15"/>
        <v>0</v>
      </c>
      <c r="R25" s="514">
        <f t="shared" si="16"/>
        <v>0</v>
      </c>
    </row>
    <row r="26" spans="1:18" outlineLevel="1" x14ac:dyDescent="0.25">
      <c r="A26" s="517" t="s">
        <v>146</v>
      </c>
      <c r="B26" s="517">
        <f>SUM(B21:B25)</f>
        <v>-19</v>
      </c>
      <c r="C26" s="517">
        <f t="shared" ref="C26:M26" si="17">SUM(C21:C25)</f>
        <v>-19</v>
      </c>
      <c r="D26" s="517">
        <f t="shared" si="17"/>
        <v>-20</v>
      </c>
      <c r="E26" s="517">
        <f t="shared" si="17"/>
        <v>-20</v>
      </c>
      <c r="F26" s="517">
        <f t="shared" si="17"/>
        <v>-13</v>
      </c>
      <c r="G26" s="517">
        <f t="shared" si="17"/>
        <v>-24</v>
      </c>
      <c r="H26" s="517">
        <f t="shared" si="17"/>
        <v>-19</v>
      </c>
      <c r="I26" s="517">
        <f t="shared" si="17"/>
        <v>-16</v>
      </c>
      <c r="J26" s="517">
        <f t="shared" si="17"/>
        <v>-26</v>
      </c>
      <c r="K26" s="517">
        <f t="shared" si="17"/>
        <v>-21</v>
      </c>
      <c r="L26" s="517">
        <f t="shared" si="17"/>
        <v>-24</v>
      </c>
      <c r="M26" s="517">
        <f t="shared" si="17"/>
        <v>-17</v>
      </c>
      <c r="N26" s="517">
        <f t="shared" si="1"/>
        <v>-238</v>
      </c>
      <c r="O26" s="519"/>
      <c r="Q26" s="517">
        <f t="shared" si="15"/>
        <v>-24</v>
      </c>
      <c r="R26" s="517">
        <f t="shared" si="16"/>
        <v>-115</v>
      </c>
    </row>
    <row r="27" spans="1:18" outlineLevel="1" x14ac:dyDescent="0.25">
      <c r="A27" s="514" t="s">
        <v>148</v>
      </c>
      <c r="B27" s="513">
        <f>'Budget assumption'!B233</f>
        <v>90.697222500000009</v>
      </c>
      <c r="C27" s="513">
        <f>'Budget assumption'!C233</f>
        <v>90.697222500000009</v>
      </c>
      <c r="D27" s="513">
        <f>'Budget assumption'!D233</f>
        <v>90.697222500000009</v>
      </c>
      <c r="E27" s="513">
        <f>'Budget assumption'!E233</f>
        <v>90.697222500000009</v>
      </c>
      <c r="F27" s="513">
        <f>'Budget assumption'!F233</f>
        <v>90.697222500000009</v>
      </c>
      <c r="G27" s="513">
        <f>'Budget assumption'!G233</f>
        <v>90.697222500000009</v>
      </c>
      <c r="H27" s="513">
        <f>'Budget assumption'!H233</f>
        <v>90.697222500000009</v>
      </c>
      <c r="I27" s="513">
        <f>'Budget assumption'!I233</f>
        <v>90.697222500000009</v>
      </c>
      <c r="J27" s="513">
        <f>'Budget assumption'!J233</f>
        <v>90.697222500000009</v>
      </c>
      <c r="K27" s="513">
        <f>'Budget assumption'!K233</f>
        <v>90.697222500000009</v>
      </c>
      <c r="L27" s="513">
        <f>'Budget assumption'!L233</f>
        <v>90.697222500000009</v>
      </c>
      <c r="M27" s="513">
        <f>'Budget assumption'!M233</f>
        <v>90.697222500000009</v>
      </c>
      <c r="N27" s="514">
        <f t="shared" si="1"/>
        <v>1088.3666699999999</v>
      </c>
      <c r="O27" s="519"/>
      <c r="Q27" s="514">
        <f t="shared" si="15"/>
        <v>90.697222500000009</v>
      </c>
      <c r="R27" s="514">
        <f t="shared" si="16"/>
        <v>544.18333500000006</v>
      </c>
    </row>
    <row r="28" spans="1:18" outlineLevel="1" x14ac:dyDescent="0.25">
      <c r="A28" s="514" t="s">
        <v>149</v>
      </c>
      <c r="B28" s="513">
        <f>'Budget assumption'!B234</f>
        <v>94.53200214118084</v>
      </c>
      <c r="C28" s="513">
        <f>'Budget assumption'!C234</f>
        <v>94.532002141180826</v>
      </c>
      <c r="D28" s="513">
        <f>'Budget assumption'!D234</f>
        <v>94.53200214118084</v>
      </c>
      <c r="E28" s="513">
        <f>'Budget assumption'!E234</f>
        <v>94.532002141180826</v>
      </c>
      <c r="F28" s="513">
        <f>'Budget assumption'!F234</f>
        <v>94.53200214118084</v>
      </c>
      <c r="G28" s="513">
        <f>'Budget assumption'!G234</f>
        <v>94.53200214118084</v>
      </c>
      <c r="H28" s="513">
        <f>'Budget assumption'!H234</f>
        <v>94.53200214118084</v>
      </c>
      <c r="I28" s="513">
        <f>'Budget assumption'!I234</f>
        <v>94.53200214118084</v>
      </c>
      <c r="J28" s="513">
        <f>'Budget assumption'!J234</f>
        <v>94.53200214118084</v>
      </c>
      <c r="K28" s="513">
        <f>'Budget assumption'!K234</f>
        <v>94.53200214118084</v>
      </c>
      <c r="L28" s="513">
        <f>'Budget assumption'!L234</f>
        <v>94.53200214118084</v>
      </c>
      <c r="M28" s="513">
        <f>'Budget assumption'!M234</f>
        <v>94.53200214118084</v>
      </c>
      <c r="N28" s="514">
        <f t="shared" si="1"/>
        <v>1134.3840256941698</v>
      </c>
      <c r="O28" s="519"/>
      <c r="Q28" s="514">
        <f t="shared" si="15"/>
        <v>94.53200214118084</v>
      </c>
      <c r="R28" s="514">
        <f t="shared" si="16"/>
        <v>567.19201284708504</v>
      </c>
    </row>
    <row r="29" spans="1:18" outlineLevel="1" x14ac:dyDescent="0.25">
      <c r="A29" s="517" t="s">
        <v>150</v>
      </c>
      <c r="B29" s="517">
        <f>SUM(B27:B28)</f>
        <v>185.22922464118085</v>
      </c>
      <c r="C29" s="517">
        <f t="shared" ref="C29:M29" si="18">SUM(C27:C28)</f>
        <v>185.22922464118085</v>
      </c>
      <c r="D29" s="517">
        <f t="shared" si="18"/>
        <v>185.22922464118085</v>
      </c>
      <c r="E29" s="517">
        <f t="shared" si="18"/>
        <v>185.22922464118085</v>
      </c>
      <c r="F29" s="517">
        <f t="shared" si="18"/>
        <v>185.22922464118085</v>
      </c>
      <c r="G29" s="517">
        <f t="shared" si="18"/>
        <v>185.22922464118085</v>
      </c>
      <c r="H29" s="517">
        <f t="shared" si="18"/>
        <v>185.22922464118085</v>
      </c>
      <c r="I29" s="517">
        <f t="shared" si="18"/>
        <v>185.22922464118085</v>
      </c>
      <c r="J29" s="517">
        <f t="shared" si="18"/>
        <v>185.22922464118085</v>
      </c>
      <c r="K29" s="517">
        <f t="shared" si="18"/>
        <v>185.22922464118085</v>
      </c>
      <c r="L29" s="517">
        <f t="shared" si="18"/>
        <v>185.22922464118085</v>
      </c>
      <c r="M29" s="517">
        <f t="shared" si="18"/>
        <v>185.22922464118085</v>
      </c>
      <c r="N29" s="517">
        <f t="shared" si="1"/>
        <v>2222.7506956941697</v>
      </c>
      <c r="O29" s="519"/>
      <c r="Q29" s="517">
        <f t="shared" si="15"/>
        <v>185.22922464118085</v>
      </c>
      <c r="R29" s="517">
        <f t="shared" si="16"/>
        <v>1111.3753478470851</v>
      </c>
    </row>
    <row r="30" spans="1:18" ht="12.6" outlineLevel="1" thickBot="1" x14ac:dyDescent="0.3">
      <c r="A30" s="520"/>
      <c r="B30" s="520"/>
      <c r="C30" s="520"/>
      <c r="D30" s="520"/>
      <c r="E30" s="520"/>
      <c r="F30" s="520"/>
      <c r="G30" s="520"/>
      <c r="H30" s="520"/>
      <c r="I30" s="520"/>
      <c r="J30" s="520"/>
      <c r="K30" s="520"/>
      <c r="L30" s="520"/>
      <c r="M30" s="520"/>
      <c r="N30" s="520">
        <f t="shared" si="1"/>
        <v>0</v>
      </c>
      <c r="O30" s="519"/>
      <c r="Q30" s="520">
        <f t="shared" si="15"/>
        <v>0</v>
      </c>
      <c r="R30" s="520">
        <f t="shared" si="16"/>
        <v>0</v>
      </c>
    </row>
    <row r="31" spans="1:18" outlineLevel="1" x14ac:dyDescent="0.25">
      <c r="A31" s="517" t="s">
        <v>152</v>
      </c>
      <c r="B31" s="517">
        <f>B20+B26+B29</f>
        <v>1839.3082758307</v>
      </c>
      <c r="C31" s="517">
        <f t="shared" ref="C31:M31" si="19">C20+C26+C29</f>
        <v>1852.8275108225293</v>
      </c>
      <c r="D31" s="517">
        <f t="shared" si="19"/>
        <v>1892.6675176041681</v>
      </c>
      <c r="E31" s="517">
        <f t="shared" si="19"/>
        <v>1849.1003786057299</v>
      </c>
      <c r="F31" s="517">
        <f t="shared" si="19"/>
        <v>1929.9372959428806</v>
      </c>
      <c r="G31" s="517">
        <f t="shared" si="19"/>
        <v>1870.4089185144921</v>
      </c>
      <c r="H31" s="517">
        <f t="shared" si="19"/>
        <v>1858.2830490982642</v>
      </c>
      <c r="I31" s="517">
        <f t="shared" si="19"/>
        <v>1841.6016836169356</v>
      </c>
      <c r="J31" s="517">
        <f t="shared" si="19"/>
        <v>1948.8865999805034</v>
      </c>
      <c r="K31" s="517">
        <f t="shared" si="19"/>
        <v>1894.8651682051641</v>
      </c>
      <c r="L31" s="517">
        <f t="shared" si="19"/>
        <v>1862.5551436296896</v>
      </c>
      <c r="M31" s="517">
        <f t="shared" si="19"/>
        <v>1946.7718142212811</v>
      </c>
      <c r="N31" s="517">
        <f t="shared" si="1"/>
        <v>22587.213356072334</v>
      </c>
      <c r="O31" s="519"/>
      <c r="Q31" s="517">
        <f t="shared" si="15"/>
        <v>1870.4089185144921</v>
      </c>
      <c r="R31" s="517">
        <f t="shared" si="16"/>
        <v>11234.2498973205</v>
      </c>
    </row>
    <row r="32" spans="1:18" outlineLevel="1" x14ac:dyDescent="0.25">
      <c r="A32" s="519"/>
      <c r="B32" s="519"/>
      <c r="C32" s="519"/>
      <c r="D32" s="519"/>
      <c r="E32" s="519"/>
      <c r="F32" s="519"/>
      <c r="G32" s="519"/>
      <c r="H32" s="519"/>
      <c r="I32" s="519"/>
      <c r="J32" s="519"/>
      <c r="K32" s="519"/>
      <c r="L32" s="519"/>
      <c r="M32" s="519"/>
      <c r="N32" s="519"/>
      <c r="O32" s="519"/>
      <c r="Q32" s="519"/>
      <c r="R32" s="519"/>
    </row>
    <row r="33" spans="1:18" outlineLevel="1" x14ac:dyDescent="0.25">
      <c r="A33" s="519"/>
      <c r="B33" s="519"/>
      <c r="C33" s="519"/>
      <c r="D33" s="519"/>
      <c r="E33" s="519"/>
      <c r="F33" s="519"/>
      <c r="G33" s="519"/>
      <c r="H33" s="519"/>
      <c r="I33" s="519"/>
      <c r="J33" s="519"/>
      <c r="K33" s="519"/>
      <c r="L33" s="519"/>
      <c r="M33" s="519"/>
      <c r="N33" s="519"/>
      <c r="O33" s="519"/>
      <c r="Q33" s="519"/>
      <c r="R33" s="519"/>
    </row>
    <row r="34" spans="1:18" outlineLevel="1" x14ac:dyDescent="0.25">
      <c r="A34" s="519"/>
      <c r="B34" s="519"/>
      <c r="C34" s="519"/>
      <c r="D34" s="519"/>
      <c r="E34" s="519"/>
      <c r="F34" s="519"/>
      <c r="G34" s="519"/>
      <c r="H34" s="519"/>
      <c r="I34" s="519"/>
      <c r="J34" s="519"/>
      <c r="K34" s="519"/>
      <c r="L34" s="519"/>
      <c r="M34" s="519"/>
      <c r="N34" s="519"/>
      <c r="O34" s="519"/>
      <c r="Q34" s="519"/>
      <c r="R34" s="519"/>
    </row>
    <row r="35" spans="1:18" outlineLevel="1" x14ac:dyDescent="0.25">
      <c r="A35" s="519"/>
      <c r="B35" s="519"/>
      <c r="C35" s="519"/>
      <c r="D35" s="519"/>
      <c r="E35" s="519"/>
      <c r="F35" s="519"/>
      <c r="G35" s="519"/>
      <c r="H35" s="519"/>
      <c r="I35" s="519"/>
      <c r="J35" s="519"/>
      <c r="K35" s="519"/>
      <c r="L35" s="519"/>
      <c r="M35" s="519"/>
      <c r="N35" s="519"/>
      <c r="O35" s="519"/>
      <c r="Q35" s="519"/>
      <c r="R35" s="519"/>
    </row>
    <row r="36" spans="1:18" outlineLevel="1" x14ac:dyDescent="0.25"/>
    <row r="37" spans="1:18" outlineLevel="1" x14ac:dyDescent="0.25"/>
    <row r="38" spans="1:18" outlineLevel="1" x14ac:dyDescent="0.25">
      <c r="A38" s="539" t="s">
        <v>487</v>
      </c>
      <c r="B38" s="540" t="s">
        <v>0</v>
      </c>
      <c r="C38" s="540" t="s">
        <v>1</v>
      </c>
      <c r="D38" s="540" t="s">
        <v>2</v>
      </c>
      <c r="E38" s="540" t="s">
        <v>3</v>
      </c>
      <c r="F38" s="540" t="s">
        <v>4</v>
      </c>
      <c r="G38" s="540" t="s">
        <v>5</v>
      </c>
      <c r="H38" s="540" t="s">
        <v>6</v>
      </c>
      <c r="I38" s="540" t="s">
        <v>7</v>
      </c>
      <c r="J38" s="540" t="s">
        <v>8</v>
      </c>
      <c r="K38" s="540" t="s">
        <v>9</v>
      </c>
      <c r="L38" s="540" t="s">
        <v>10</v>
      </c>
      <c r="M38" s="540" t="s">
        <v>11</v>
      </c>
      <c r="N38" s="540" t="s">
        <v>12</v>
      </c>
      <c r="Q38" s="540" t="s">
        <v>179</v>
      </c>
      <c r="R38" s="540" t="s">
        <v>94</v>
      </c>
    </row>
    <row r="39" spans="1:18" outlineLevel="1" x14ac:dyDescent="0.25">
      <c r="A39" s="513" t="s">
        <v>156</v>
      </c>
      <c r="B39" s="513">
        <f>'Budget assumption'!B118+'Budget assumption'!B149+'Budget assumption'!B180+'Budget assumption'!B242+'Budget assumption'!B273</f>
        <v>-89.182191155119767</v>
      </c>
      <c r="C39" s="513">
        <f>'Budget assumption'!C118+'Budget assumption'!C149+'Budget assumption'!C180+'Budget assumption'!C242+'Budget assumption'!C273</f>
        <v>-49.988760379112911</v>
      </c>
      <c r="D39" s="513">
        <f>'Budget assumption'!D118+'Budget assumption'!D149+'Budget assumption'!D180+'Budget assumption'!D242+'Budget assumption'!D273</f>
        <v>-45.000138660054432</v>
      </c>
      <c r="E39" s="513">
        <f>'Budget assumption'!E118+'Budget assumption'!E149+'Budget assumption'!E180+'Budget assumption'!E242+'Budget assumption'!E273</f>
        <v>-37.726399243079186</v>
      </c>
      <c r="F39" s="513">
        <f>'Budget assumption'!F118+'Budget assumption'!F149+'Budget assumption'!F180+'Budget assumption'!F242+'Budget assumption'!F273</f>
        <v>160.41580072103235</v>
      </c>
      <c r="G39" s="513">
        <f>'Budget assumption'!G118+'Budget assumption'!G149+'Budget assumption'!G180+'Budget assumption'!G242+'Budget assumption'!G273</f>
        <v>-103.06413435343633</v>
      </c>
      <c r="H39" s="513">
        <f>'Budget assumption'!H118+'Budget assumption'!H149+'Budget assumption'!H180+'Budget assumption'!H242+'Budget assumption'!H273</f>
        <v>-27.44533531263761</v>
      </c>
      <c r="I39" s="513">
        <f>'Budget assumption'!I118+'Budget assumption'!I149+'Budget assumption'!I180+'Budget assumption'!I242+'Budget assumption'!I273</f>
        <v>14.540301137012477</v>
      </c>
      <c r="J39" s="513">
        <f>'Budget assumption'!J118+'Budget assumption'!J149+'Budget assumption'!J180+'Budget assumption'!J242+'Budget assumption'!J273</f>
        <v>-61.377791553155703</v>
      </c>
      <c r="K39" s="513">
        <f>'Budget assumption'!K118+'Budget assumption'!K149+'Budget assumption'!K180+'Budget assumption'!K242+'Budget assumption'!K273</f>
        <v>-45.392783151987672</v>
      </c>
      <c r="L39" s="513">
        <f>'Budget assumption'!L118+'Budget assumption'!L149+'Budget assumption'!L180+'Budget assumption'!L242+'Budget assumption'!L273</f>
        <v>-96.934666644916135</v>
      </c>
      <c r="M39" s="513">
        <f>'Budget assumption'!M118+'Budget assumption'!M149+'Budget assumption'!M180+'Budget assumption'!M242+'Budget assumption'!M273</f>
        <v>29.177044420156264</v>
      </c>
      <c r="N39" s="513">
        <f>'Budget assumption'!N118+'Budget assumption'!N149+'Budget assumption'!N180+'Budget assumption'!N242+'Budget assumption'!N273</f>
        <v>-351.97905417529773</v>
      </c>
      <c r="Q39" s="513">
        <f t="shared" ref="Q39:Q65" si="20">SUMIFS(B39:M39,$B$2:$M$2,$X$3)</f>
        <v>-103.06413435343633</v>
      </c>
      <c r="R39" s="513">
        <f t="shared" ref="R39:R65" si="21">SUMIFS(B39:M39,$B$1:$M$1,$Y$3)</f>
        <v>-164.54582306977028</v>
      </c>
    </row>
    <row r="40" spans="1:18" outlineLevel="1" x14ac:dyDescent="0.25">
      <c r="A40" s="513" t="s">
        <v>75</v>
      </c>
      <c r="B40" s="513">
        <f>'Budget assumption'!B119+'Budget assumption'!B150+'Budget assumption'!B181+'Budget assumption'!B243+'Budget assumption'!B274</f>
        <v>-0.39814538733816107</v>
      </c>
      <c r="C40" s="513">
        <f>'Budget assumption'!C119+'Budget assumption'!C150+'Budget assumption'!C181+'Budget assumption'!C243+'Budget assumption'!C274</f>
        <v>-1.3105108662105565</v>
      </c>
      <c r="D40" s="513">
        <f>'Budget assumption'!D119+'Budget assumption'!D150+'Budget assumption'!D181+'Budget assumption'!D243+'Budget assumption'!D274</f>
        <v>-0.95802493581592785</v>
      </c>
      <c r="E40" s="513">
        <f>'Budget assumption'!E119+'Budget assumption'!E150+'Budget assumption'!E181+'Budget assumption'!E243+'Budget assumption'!E274</f>
        <v>-1.3205572190990864</v>
      </c>
      <c r="F40" s="513">
        <f>'Budget assumption'!F119+'Budget assumption'!F150+'Budget assumption'!F181+'Budget assumption'!F243+'Budget assumption'!F274</f>
        <v>-4.3481435444343681</v>
      </c>
      <c r="G40" s="513">
        <f>'Budget assumption'!G119+'Budget assumption'!G150+'Budget assumption'!G181+'Budget assumption'!G243+'Budget assumption'!G274</f>
        <v>-5.3136673145993996</v>
      </c>
      <c r="H40" s="513">
        <f>'Budget assumption'!H119+'Budget assumption'!H150+'Budget assumption'!H181+'Budget assumption'!H243+'Budget assumption'!H274</f>
        <v>-2.8961328376423978</v>
      </c>
      <c r="I40" s="513">
        <f>'Budget assumption'!I119+'Budget assumption'!I150+'Budget assumption'!I181+'Budget assumption'!I243+'Budget assumption'!I274</f>
        <v>1.0188674988987216</v>
      </c>
      <c r="J40" s="513">
        <f>'Budget assumption'!J119+'Budget assumption'!J150+'Budget assumption'!J181+'Budget assumption'!J243+'Budget assumption'!J274</f>
        <v>-9.8796508703584323</v>
      </c>
      <c r="K40" s="513">
        <f>'Budget assumption'!K119+'Budget assumption'!K150+'Budget assumption'!K181+'Budget assumption'!K243+'Budget assumption'!K274</f>
        <v>-6.8689241542044357</v>
      </c>
      <c r="L40" s="513">
        <f>'Budget assumption'!L119+'Budget assumption'!L150+'Budget assumption'!L181+'Budget assumption'!L243+'Budget assumption'!L274</f>
        <v>1.4565864464117055</v>
      </c>
      <c r="M40" s="513">
        <f>'Budget assumption'!M119+'Budget assumption'!M150+'Budget assumption'!M181+'Budget assumption'!M243+'Budget assumption'!M274</f>
        <v>0.41940465929776494</v>
      </c>
      <c r="N40" s="513">
        <f>'Budget assumption'!N119+'Budget assumption'!N150+'Budget assumption'!N181+'Budget assumption'!N243+'Budget assumption'!N274</f>
        <v>-30.398898525094552</v>
      </c>
      <c r="Q40" s="513">
        <f t="shared" si="20"/>
        <v>-5.3136673145993996</v>
      </c>
      <c r="R40" s="513">
        <f t="shared" si="21"/>
        <v>-13.649049267497499</v>
      </c>
    </row>
    <row r="41" spans="1:18" outlineLevel="1" x14ac:dyDescent="0.25">
      <c r="A41" s="514" t="s">
        <v>195</v>
      </c>
      <c r="B41" s="513">
        <f>'Budget assumption'!B120+'Budget assumption'!B151+'Budget assumption'!B182+'Budget assumption'!B244+'Budget assumption'!B275</f>
        <v>-1.0084691781685251</v>
      </c>
      <c r="C41" s="513">
        <f>'Budget assumption'!C120+'Budget assumption'!C151+'Budget assumption'!C182+'Budget assumption'!C244+'Budget assumption'!C275</f>
        <v>-1.0024934340385911</v>
      </c>
      <c r="D41" s="513">
        <f>'Budget assumption'!D120+'Budget assumption'!D151+'Budget assumption'!D182+'Budget assumption'!D244+'Budget assumption'!D275</f>
        <v>-1.0028449483991757</v>
      </c>
      <c r="E41" s="513">
        <f>'Budget assumption'!E120+'Budget assumption'!E151+'Budget assumption'!E182+'Budget assumption'!E244+'Budget assumption'!E275</f>
        <v>-0.99676502607846906</v>
      </c>
      <c r="F41" s="513">
        <f>'Budget assumption'!F120+'Budget assumption'!F151+'Budget assumption'!F182+'Budget assumption'!F244+'Budget assumption'!F275</f>
        <v>-1.2205102971774124</v>
      </c>
      <c r="G41" s="513">
        <f>'Budget assumption'!G120+'Budget assumption'!G151+'Budget assumption'!G182+'Budget assumption'!G244+'Budget assumption'!G275</f>
        <v>-1.1569124165259019</v>
      </c>
      <c r="H41" s="513">
        <f>'Budget assumption'!H120+'Budget assumption'!H151+'Budget assumption'!H182+'Budget assumption'!H244+'Budget assumption'!H275</f>
        <v>-0.5603273482117288</v>
      </c>
      <c r="I41" s="513">
        <f>'Budget assumption'!I120+'Budget assumption'!I151+'Budget assumption'!I182+'Budget assumption'!I244+'Budget assumption'!I275</f>
        <v>-0.79428721687766846</v>
      </c>
      <c r="J41" s="513">
        <f>'Budget assumption'!J120+'Budget assumption'!J151+'Budget assumption'!J182+'Budget assumption'!J244+'Budget assumption'!J275</f>
        <v>-0.73306962291879785</v>
      </c>
      <c r="K41" s="513">
        <f>'Budget assumption'!K120+'Budget assumption'!K151+'Budget assumption'!K182+'Budget assumption'!K244+'Budget assumption'!K275</f>
        <v>-1.5043191776494798</v>
      </c>
      <c r="L41" s="513">
        <f>'Budget assumption'!L120+'Budget assumption'!L151+'Budget assumption'!L182+'Budget assumption'!L244+'Budget assumption'!L275</f>
        <v>-0.78065024892074675</v>
      </c>
      <c r="M41" s="513">
        <f>'Budget assumption'!M120+'Budget assumption'!M151+'Budget assumption'!M182+'Budget assumption'!M244+'Budget assumption'!M275</f>
        <v>-2.820948131129402</v>
      </c>
      <c r="N41" s="513">
        <f>'Budget assumption'!N120+'Budget assumption'!N151+'Budget assumption'!N182+'Budget assumption'!N244+'Budget assumption'!N275</f>
        <v>-13.581597046095869</v>
      </c>
      <c r="Q41" s="514">
        <f t="shared" si="20"/>
        <v>-1.1569124165259019</v>
      </c>
      <c r="R41" s="514">
        <f t="shared" si="21"/>
        <v>-6.3879953003880754</v>
      </c>
    </row>
    <row r="42" spans="1:18" ht="12.6" outlineLevel="1" thickBot="1" x14ac:dyDescent="0.3">
      <c r="A42" s="515" t="s">
        <v>196</v>
      </c>
      <c r="B42" s="515">
        <f>SUM(B39:B41)</f>
        <v>-90.588805720626453</v>
      </c>
      <c r="C42" s="515">
        <f t="shared" ref="C42:N42" si="22">SUM(C39:C41)</f>
        <v>-52.301764679362059</v>
      </c>
      <c r="D42" s="515">
        <f t="shared" si="22"/>
        <v>-46.961008544269532</v>
      </c>
      <c r="E42" s="515">
        <f t="shared" si="22"/>
        <v>-40.043721488256743</v>
      </c>
      <c r="F42" s="515">
        <f t="shared" si="22"/>
        <v>154.84714687942056</v>
      </c>
      <c r="G42" s="515">
        <f t="shared" si="22"/>
        <v>-109.53471408456163</v>
      </c>
      <c r="H42" s="515">
        <f t="shared" si="22"/>
        <v>-30.901795498491737</v>
      </c>
      <c r="I42" s="515">
        <f t="shared" si="22"/>
        <v>14.76488141903353</v>
      </c>
      <c r="J42" s="515">
        <f t="shared" si="22"/>
        <v>-71.99051204643294</v>
      </c>
      <c r="K42" s="515">
        <f t="shared" si="22"/>
        <v>-53.766026483841586</v>
      </c>
      <c r="L42" s="515">
        <f t="shared" si="22"/>
        <v>-96.258730447425179</v>
      </c>
      <c r="M42" s="515">
        <f t="shared" si="22"/>
        <v>26.775500948324627</v>
      </c>
      <c r="N42" s="515">
        <f t="shared" si="22"/>
        <v>-395.95954974648811</v>
      </c>
      <c r="Q42" s="515">
        <f t="shared" si="20"/>
        <v>-109.53471408456163</v>
      </c>
      <c r="R42" s="515">
        <f t="shared" si="21"/>
        <v>-184.58286763765585</v>
      </c>
    </row>
    <row r="43" spans="1:18" outlineLevel="1" x14ac:dyDescent="0.25">
      <c r="A43" s="516" t="s">
        <v>80</v>
      </c>
      <c r="B43" s="513">
        <f>'Budget assumption'!B122+'Budget assumption'!B153+'Budget assumption'!B184+'Budget assumption'!B246+'Budget assumption'!B277</f>
        <v>-10.542907389028187</v>
      </c>
      <c r="C43" s="513">
        <f>'Budget assumption'!C122+'Budget assumption'!C153+'Budget assumption'!C184+'Budget assumption'!C246+'Budget assumption'!C277</f>
        <v>2.2245259343500834</v>
      </c>
      <c r="D43" s="513">
        <f>'Budget assumption'!D122+'Budget assumption'!D153+'Budget assumption'!D184+'Budget assumption'!D246+'Budget assumption'!D277</f>
        <v>6.6613201279157579</v>
      </c>
      <c r="E43" s="513">
        <f>'Budget assumption'!E122+'Budget assumption'!E153+'Budget assumption'!E184+'Budget assumption'!E246+'Budget assumption'!E277</f>
        <v>-10.857179986904583</v>
      </c>
      <c r="F43" s="513">
        <f>'Budget assumption'!F122+'Budget assumption'!F153+'Budget assumption'!F184+'Budget assumption'!F246+'Budget assumption'!F277</f>
        <v>84.780684414456772</v>
      </c>
      <c r="G43" s="513">
        <f>'Budget assumption'!G122+'Budget assumption'!G153+'Budget assumption'!G184+'Budget assumption'!G246+'Budget assumption'!G277</f>
        <v>-101.7763995831927</v>
      </c>
      <c r="H43" s="513">
        <f>'Budget assumption'!H122+'Budget assumption'!H153+'Budget assumption'!H184+'Budget assumption'!H246+'Budget assumption'!H277</f>
        <v>-6.1783217909156463</v>
      </c>
      <c r="I43" s="513">
        <f>'Budget assumption'!I122+'Budget assumption'!I153+'Budget assumption'!I184+'Budget assumption'!I246+'Budget assumption'!I277</f>
        <v>-3.9382299389173738</v>
      </c>
      <c r="J43" s="513">
        <f>'Budget assumption'!J122+'Budget assumption'!J153+'Budget assumption'!J184+'Budget assumption'!J246+'Budget assumption'!J277</f>
        <v>-84.042472472990596</v>
      </c>
      <c r="K43" s="513">
        <f>'Budget assumption'!K122+'Budget assumption'!K153+'Budget assumption'!K184+'Budget assumption'!K246+'Budget assumption'!K277</f>
        <v>-100.11190948855551</v>
      </c>
      <c r="L43" s="513">
        <f>'Budget assumption'!L122+'Budget assumption'!L153+'Budget assumption'!L184+'Budget assumption'!L246+'Budget assumption'!L277</f>
        <v>-93.226171381981089</v>
      </c>
      <c r="M43" s="513">
        <f>'Budget assumption'!M122+'Budget assumption'!M153+'Budget assumption'!M184+'Budget assumption'!M246+'Budget assumption'!M277</f>
        <v>8.9758679207287742</v>
      </c>
      <c r="N43" s="513">
        <f>'Budget assumption'!N122+'Budget assumption'!N153+'Budget assumption'!N184+'Budget assumption'!N246+'Budget assumption'!N277</f>
        <v>-308.03119363503436</v>
      </c>
      <c r="Q43" s="516">
        <f t="shared" si="20"/>
        <v>-101.7763995831927</v>
      </c>
      <c r="R43" s="516">
        <f t="shared" si="21"/>
        <v>-29.509956482402856</v>
      </c>
    </row>
    <row r="44" spans="1:18" outlineLevel="1" x14ac:dyDescent="0.25">
      <c r="A44" s="514" t="s">
        <v>81</v>
      </c>
      <c r="B44" s="513">
        <f>'Budget assumption'!B123+'Budget assumption'!B154+'Budget assumption'!B185+'Budget assumption'!B247+'Budget assumption'!B278</f>
        <v>32.322212246109402</v>
      </c>
      <c r="C44" s="513">
        <f>'Budget assumption'!C123+'Budget assumption'!C154+'Budget assumption'!C185+'Budget assumption'!C247+'Budget assumption'!C278</f>
        <v>38.713702460016705</v>
      </c>
      <c r="D44" s="513">
        <f>'Budget assumption'!D123+'Budget assumption'!D154+'Budget assumption'!D185+'Budget assumption'!D247+'Budget assumption'!D278</f>
        <v>28.384742327060977</v>
      </c>
      <c r="E44" s="513">
        <f>'Budget assumption'!E123+'Budget assumption'!E154+'Budget assumption'!E185+'Budget assumption'!E247+'Budget assumption'!E278</f>
        <v>26.357974186456488</v>
      </c>
      <c r="F44" s="513">
        <f>'Budget assumption'!F123+'Budget assumption'!F154+'Budget assumption'!F185+'Budget assumption'!F247+'Budget assumption'!F278</f>
        <v>58.777721674347937</v>
      </c>
      <c r="G44" s="513">
        <f>'Budget assumption'!G123+'Budget assumption'!G154+'Budget assumption'!G185+'Budget assumption'!G247+'Budget assumption'!G278</f>
        <v>-7.7951588751737972</v>
      </c>
      <c r="H44" s="513">
        <f>'Budget assumption'!H123+'Budget assumption'!H154+'Budget assumption'!H185+'Budget assumption'!H247+'Budget assumption'!H278</f>
        <v>7.2383096905861919</v>
      </c>
      <c r="I44" s="513">
        <f>'Budget assumption'!I123+'Budget assumption'!I154+'Budget assumption'!I185+'Budget assumption'!I247+'Budget assumption'!I278</f>
        <v>17.188109197712535</v>
      </c>
      <c r="J44" s="513">
        <f>'Budget assumption'!J123+'Budget assumption'!J154+'Budget assumption'!J185+'Budget assumption'!J247+'Budget assumption'!J278</f>
        <v>-8.4505476929683283</v>
      </c>
      <c r="K44" s="513">
        <f>'Budget assumption'!K123+'Budget assumption'!K154+'Budget assumption'!K185+'Budget assumption'!K247+'Budget assumption'!K278</f>
        <v>-15.193512995871316</v>
      </c>
      <c r="L44" s="513">
        <f>'Budget assumption'!L123+'Budget assumption'!L154+'Budget assumption'!L185+'Budget assumption'!L247+'Budget assumption'!L278</f>
        <v>-12.478027764795627</v>
      </c>
      <c r="M44" s="513">
        <f>'Budget assumption'!M123+'Budget assumption'!M154+'Budget assumption'!M185+'Budget assumption'!M247+'Budget assumption'!M278</f>
        <v>-4.1813177624670033</v>
      </c>
      <c r="N44" s="513">
        <f>'Budget assumption'!N123+'Budget assumption'!N154+'Budget assumption'!N185+'Budget assumption'!N247+'Budget assumption'!N278</f>
        <v>160.88420669101396</v>
      </c>
      <c r="Q44" s="514">
        <f t="shared" si="20"/>
        <v>-7.7951588751737972</v>
      </c>
      <c r="R44" s="514">
        <f t="shared" si="21"/>
        <v>176.76119401881772</v>
      </c>
    </row>
    <row r="45" spans="1:18" outlineLevel="1" x14ac:dyDescent="0.25">
      <c r="A45" s="514" t="s">
        <v>82</v>
      </c>
      <c r="B45" s="513">
        <f>'Budget assumption'!B124+'Budget assumption'!B155+'Budget assumption'!B186+'Budget assumption'!B248+'Budget assumption'!B279</f>
        <v>39.66388456187461</v>
      </c>
      <c r="C45" s="513">
        <f>'Budget assumption'!C124+'Budget assumption'!C155+'Budget assumption'!C186+'Budget assumption'!C248+'Budget assumption'!C279</f>
        <v>36.469320223893064</v>
      </c>
      <c r="D45" s="513">
        <f>'Budget assumption'!D124+'Budget assumption'!D155+'Budget assumption'!D186+'Budget assumption'!D248+'Budget assumption'!D279</f>
        <v>33.334330471212397</v>
      </c>
      <c r="E45" s="513">
        <f>'Budget assumption'!E124+'Budget assumption'!E155+'Budget assumption'!E186+'Budget assumption'!E248+'Budget assumption'!E279</f>
        <v>26.665010508119892</v>
      </c>
      <c r="F45" s="513">
        <f>'Budget assumption'!F124+'Budget assumption'!F155+'Budget assumption'!F186+'Budget assumption'!F248+'Budget assumption'!F279</f>
        <v>55.354010137864414</v>
      </c>
      <c r="G45" s="513">
        <f>'Budget assumption'!G124+'Budget assumption'!G155+'Budget assumption'!G186+'Budget assumption'!G248+'Budget assumption'!G279</f>
        <v>-34.46169349080683</v>
      </c>
      <c r="H45" s="513">
        <f>'Budget assumption'!H124+'Budget assumption'!H155+'Budget assumption'!H186+'Budget assumption'!H248+'Budget assumption'!H279</f>
        <v>-1.4123816681439756</v>
      </c>
      <c r="I45" s="513">
        <f>'Budget assumption'!I124+'Budget assumption'!I155+'Budget assumption'!I186+'Budget assumption'!I248+'Budget assumption'!I279</f>
        <v>8.9881641047484049</v>
      </c>
      <c r="J45" s="513">
        <f>'Budget assumption'!J124+'Budget assumption'!J155+'Budget assumption'!J186+'Budget assumption'!J248+'Budget assumption'!J279</f>
        <v>-29.715986785279675</v>
      </c>
      <c r="K45" s="513">
        <f>'Budget assumption'!K124+'Budget assumption'!K155+'Budget assumption'!K186+'Budget assumption'!K248+'Budget assumption'!K279</f>
        <v>-33.058281202275069</v>
      </c>
      <c r="L45" s="513">
        <f>'Budget assumption'!L124+'Budget assumption'!L155+'Budget assumption'!L186+'Budget assumption'!L248+'Budget assumption'!L279</f>
        <v>-29.347596241589869</v>
      </c>
      <c r="M45" s="513">
        <f>'Budget assumption'!M124+'Budget assumption'!M155+'Budget assumption'!M186+'Budget assumption'!M248+'Budget assumption'!M279</f>
        <v>-18.258780619617234</v>
      </c>
      <c r="N45" s="513">
        <f>'Budget assumption'!N124+'Budget assumption'!N155+'Budget assumption'!N186+'Budget assumption'!N248+'Budget assumption'!N279</f>
        <v>54.22000000000051</v>
      </c>
      <c r="Q45" s="514">
        <f t="shared" si="20"/>
        <v>-34.46169349080683</v>
      </c>
      <c r="R45" s="514">
        <f t="shared" si="21"/>
        <v>157.02486241215755</v>
      </c>
    </row>
    <row r="46" spans="1:18" outlineLevel="1" x14ac:dyDescent="0.25">
      <c r="A46" s="514" t="s">
        <v>83</v>
      </c>
      <c r="B46" s="513">
        <f>'Budget assumption'!B125+'Budget assumption'!B156+'Budget assumption'!B187+'Budget assumption'!B249+'Budget assumption'!B280</f>
        <v>-4.1207172951353304</v>
      </c>
      <c r="C46" s="513">
        <f>'Budget assumption'!C125+'Budget assumption'!C156+'Budget assumption'!C187+'Budget assumption'!C249+'Budget assumption'!C280</f>
        <v>-3.1207172951353308</v>
      </c>
      <c r="D46" s="513">
        <f>'Budget assumption'!D125+'Budget assumption'!D156+'Budget assumption'!D187+'Budget assumption'!D249+'Budget assumption'!D280</f>
        <v>-3.1207172951353308</v>
      </c>
      <c r="E46" s="513">
        <f>'Budget assumption'!E125+'Budget assumption'!E156+'Budget assumption'!E187+'Budget assumption'!E249+'Budget assumption'!E280</f>
        <v>-4.5767531598920961</v>
      </c>
      <c r="F46" s="513">
        <f>'Budget assumption'!F125+'Budget assumption'!F156+'Budget assumption'!F187+'Budget assumption'!F249+'Budget assumption'!F280</f>
        <v>-2.3845021065947312</v>
      </c>
      <c r="G46" s="513">
        <f>'Budget assumption'!G125+'Budget assumption'!G156+'Budget assumption'!G187+'Budget assumption'!G249+'Budget assumption'!G280</f>
        <v>-8.1767671000473054</v>
      </c>
      <c r="H46" s="513">
        <f>'Budget assumption'!H125+'Budget assumption'!H156+'Budget assumption'!H187+'Budget assumption'!H249+'Budget assumption'!H280</f>
        <v>-6.4504657346535925</v>
      </c>
      <c r="I46" s="513">
        <f>'Budget assumption'!I125+'Budget assumption'!I156+'Budget assumption'!I187+'Budget assumption'!I249+'Budget assumption'!I280</f>
        <v>-6.3599451884961073</v>
      </c>
      <c r="J46" s="513">
        <f>'Budget assumption'!J125+'Budget assumption'!J156+'Budget assumption'!J187+'Budget assumption'!J249+'Budget assumption'!J280</f>
        <v>-7.1767671000473054</v>
      </c>
      <c r="K46" s="513">
        <f>'Budget assumption'!K125+'Budget assumption'!K156+'Budget assumption'!K187+'Budget assumption'!K249+'Budget assumption'!K280</f>
        <v>-8.1767671000473054</v>
      </c>
      <c r="L46" s="513">
        <f>'Budget assumption'!L125+'Budget assumption'!L156+'Budget assumption'!L187+'Budget assumption'!L249+'Budget assumption'!L280</f>
        <v>-6.6315068269685629</v>
      </c>
      <c r="M46" s="513">
        <f>'Budget assumption'!M125+'Budget assumption'!M156+'Budget assumption'!M187+'Budget assumption'!M249+'Budget assumption'!M280</f>
        <v>-7.4043737978469846</v>
      </c>
      <c r="N46" s="513">
        <f>'Budget assumption'!N125+'Budget assumption'!N156+'Budget assumption'!N187+'Budget assumption'!N249+'Budget assumption'!N280</f>
        <v>-67.69999999999996</v>
      </c>
      <c r="Q46" s="514">
        <f t="shared" si="20"/>
        <v>-8.1767671000473054</v>
      </c>
      <c r="R46" s="514">
        <f t="shared" si="21"/>
        <v>-25.500174251940123</v>
      </c>
    </row>
    <row r="47" spans="1:18" outlineLevel="1" x14ac:dyDescent="0.25">
      <c r="A47" s="514" t="s">
        <v>84</v>
      </c>
      <c r="B47" s="513">
        <f>'Budget assumption'!B126+'Budget assumption'!B157+'Budget assumption'!B188+'Budget assumption'!B250+'Budget assumption'!B281</f>
        <v>12.859893219364047</v>
      </c>
      <c r="C47" s="513">
        <f>'Budget assumption'!C126+'Budget assumption'!C157+'Budget assumption'!C188+'Budget assumption'!C250+'Budget assumption'!C281</f>
        <v>12.261789266976059</v>
      </c>
      <c r="D47" s="513">
        <f>'Budget assumption'!D126+'Budget assumption'!D157+'Budget assumption'!D188+'Budget assumption'!D250+'Budget assumption'!D281</f>
        <v>11.674837400059516</v>
      </c>
      <c r="E47" s="513">
        <f>'Budget assumption'!E126+'Budget assumption'!E157+'Budget assumption'!E188+'Budget assumption'!E250+'Budget assumption'!E281</f>
        <v>9.6182840665487603</v>
      </c>
      <c r="F47" s="513">
        <f>'Budget assumption'!F126+'Budget assumption'!F157+'Budget assumption'!F188+'Budget assumption'!F250+'Budget assumption'!F281</f>
        <v>20.368624004848741</v>
      </c>
      <c r="G47" s="513">
        <f>'Budget assumption'!G126+'Budget assumption'!G157+'Budget assumption'!G188+'Budget assumption'!G250+'Budget assumption'!G281</f>
        <v>-5.9139603133839813</v>
      </c>
      <c r="H47" s="513">
        <f>'Budget assumption'!H126+'Budget assumption'!H157+'Budget assumption'!H188+'Budget assumption'!H250+'Budget assumption'!H281</f>
        <v>1.9169003323770895</v>
      </c>
      <c r="I47" s="513">
        <f>'Budget assumption'!I126+'Budget assumption'!I157+'Budget assumption'!I188+'Budget assumption'!I250+'Budget assumption'!I281</f>
        <v>5.5104257229265983</v>
      </c>
      <c r="J47" s="513">
        <f>'Budget assumption'!J126+'Budget assumption'!J157+'Budget assumption'!J188+'Budget assumption'!J250+'Budget assumption'!J281</f>
        <v>-8.1117911062146035</v>
      </c>
      <c r="K47" s="513">
        <f>'Budget assumption'!K126+'Budget assumption'!K157+'Budget assumption'!K188+'Budget assumption'!K250+'Budget assumption'!K281</f>
        <v>-8.6078951820501999</v>
      </c>
      <c r="L47" s="513">
        <f>'Budget assumption'!L126+'Budget assumption'!L157+'Budget assumption'!L188+'Budget assumption'!L250+'Budget assumption'!L281</f>
        <v>-7.1824013893718401</v>
      </c>
      <c r="M47" s="513">
        <f>'Budget assumption'!M126+'Budget assumption'!M157+'Budget assumption'!M188+'Budget assumption'!M250+'Budget assumption'!M281</f>
        <v>-0.3744582144734494</v>
      </c>
      <c r="N47" s="513">
        <f>'Budget assumption'!N126+'Budget assumption'!N157+'Budget assumption'!N188+'Budget assumption'!N250+'Budget assumption'!N281</f>
        <v>44.020247807606765</v>
      </c>
      <c r="Q47" s="514">
        <f t="shared" si="20"/>
        <v>-5.9139603133839813</v>
      </c>
      <c r="R47" s="514">
        <f t="shared" si="21"/>
        <v>60.869467644413149</v>
      </c>
    </row>
    <row r="48" spans="1:18" outlineLevel="1" x14ac:dyDescent="0.25">
      <c r="A48" s="514" t="s">
        <v>86</v>
      </c>
      <c r="B48" s="513">
        <f>'Budget assumption'!B127+'Budget assumption'!B158+'Budget assumption'!B189+'Budget assumption'!B251+'Budget assumption'!B282</f>
        <v>36.505164942256926</v>
      </c>
      <c r="C48" s="513">
        <f>'Budget assumption'!C127+'Budget assumption'!C158+'Budget assumption'!C189+'Budget assumption'!C251+'Budget assumption'!C282</f>
        <v>24.306514477150102</v>
      </c>
      <c r="D48" s="513">
        <f>'Budget assumption'!D127+'Budget assumption'!D158+'Budget assumption'!D189+'Budget assumption'!D251+'Budget assumption'!D282</f>
        <v>35.072091655281127</v>
      </c>
      <c r="E48" s="513">
        <f>'Budget assumption'!E127+'Budget assumption'!E158+'Budget assumption'!E189+'Budget assumption'!E251+'Budget assumption'!E282</f>
        <v>23.541395758528353</v>
      </c>
      <c r="F48" s="513">
        <f>'Budget assumption'!F127+'Budget assumption'!F158+'Budget assumption'!F189+'Budget assumption'!F251+'Budget assumption'!F282</f>
        <v>67.919042129088808</v>
      </c>
      <c r="G48" s="513">
        <f>'Budget assumption'!G127+'Budget assumption'!G158+'Budget assumption'!G189+'Budget assumption'!G251+'Budget assumption'!G282</f>
        <v>-41.865138392158741</v>
      </c>
      <c r="H48" s="513">
        <f>'Budget assumption'!H127+'Budget assumption'!H158+'Budget assumption'!H189+'Budget assumption'!H251+'Budget assumption'!H282</f>
        <v>13.994285253672928</v>
      </c>
      <c r="I48" s="513">
        <f>'Budget assumption'!I127+'Budget assumption'!I158+'Budget assumption'!I189+'Budget assumption'!I251+'Budget assumption'!I282</f>
        <v>27.979342379989646</v>
      </c>
      <c r="J48" s="513">
        <f>'Budget assumption'!J127+'Budget assumption'!J158+'Budget assumption'!J189+'Budget assumption'!J251+'Budget assumption'!J282</f>
        <v>-28.448486265094544</v>
      </c>
      <c r="K48" s="513">
        <f>'Budget assumption'!K127+'Budget assumption'!K158+'Budget assumption'!K189+'Budget assumption'!K251+'Budget assumption'!K282</f>
        <v>-25.993002010857111</v>
      </c>
      <c r="L48" s="513">
        <f>'Budget assumption'!L127+'Budget assumption'!L158+'Budget assumption'!L189+'Budget assumption'!L251+'Budget assumption'!L282</f>
        <v>-20.331422665848208</v>
      </c>
      <c r="M48" s="513">
        <f>'Budget assumption'!M127+'Budget assumption'!M158+'Budget assumption'!M189+'Budget assumption'!M251+'Budget assumption'!M282</f>
        <v>6.5302127379904675</v>
      </c>
      <c r="N48" s="513">
        <f>'Budget assumption'!N127+'Budget assumption'!N158+'Budget assumption'!N189+'Budget assumption'!N251+'Budget assumption'!N282</f>
        <v>119.20999999999958</v>
      </c>
      <c r="Q48" s="514">
        <f t="shared" si="20"/>
        <v>-41.865138392158741</v>
      </c>
      <c r="R48" s="514">
        <f t="shared" si="21"/>
        <v>145.47907057014658</v>
      </c>
    </row>
    <row r="49" spans="1:18" ht="12.6" outlineLevel="1" thickBot="1" x14ac:dyDescent="0.3">
      <c r="A49" s="515" t="s">
        <v>197</v>
      </c>
      <c r="B49" s="515">
        <f>SUM(B43:B48)</f>
        <v>106.68753028544147</v>
      </c>
      <c r="C49" s="515">
        <f t="shared" ref="C49:N49" si="23">SUM(C43:C48)</f>
        <v>110.85513506725067</v>
      </c>
      <c r="D49" s="515">
        <f t="shared" si="23"/>
        <v>112.00660468639444</v>
      </c>
      <c r="E49" s="515">
        <f t="shared" si="23"/>
        <v>70.74873137285681</v>
      </c>
      <c r="F49" s="515">
        <f t="shared" si="23"/>
        <v>284.81558025401193</v>
      </c>
      <c r="G49" s="515">
        <f t="shared" si="23"/>
        <v>-199.98911775476333</v>
      </c>
      <c r="H49" s="515">
        <f t="shared" si="23"/>
        <v>9.1083260829229946</v>
      </c>
      <c r="I49" s="515">
        <f t="shared" si="23"/>
        <v>49.367866277963707</v>
      </c>
      <c r="J49" s="515">
        <f t="shared" si="23"/>
        <v>-165.94605142259505</v>
      </c>
      <c r="K49" s="515">
        <f t="shared" si="23"/>
        <v>-191.14136797965651</v>
      </c>
      <c r="L49" s="515">
        <f t="shared" si="23"/>
        <v>-169.19712627055523</v>
      </c>
      <c r="M49" s="515">
        <f t="shared" si="23"/>
        <v>-14.712849735685431</v>
      </c>
      <c r="N49" s="515">
        <f t="shared" si="23"/>
        <v>2.6032608635864989</v>
      </c>
      <c r="Q49" s="515">
        <f t="shared" si="20"/>
        <v>-199.98911775476333</v>
      </c>
      <c r="R49" s="515">
        <f t="shared" si="21"/>
        <v>485.12446391119192</v>
      </c>
    </row>
    <row r="50" spans="1:18" outlineLevel="1" x14ac:dyDescent="0.25">
      <c r="A50" s="517" t="s">
        <v>88</v>
      </c>
      <c r="B50" s="517">
        <f>B42+B49</f>
        <v>16.098724564815015</v>
      </c>
      <c r="C50" s="517">
        <f t="shared" ref="C50:N50" si="24">C42+C49</f>
        <v>58.553370387888613</v>
      </c>
      <c r="D50" s="517">
        <f t="shared" si="24"/>
        <v>65.045596142124907</v>
      </c>
      <c r="E50" s="517">
        <f t="shared" si="24"/>
        <v>30.705009884600067</v>
      </c>
      <c r="F50" s="517">
        <f t="shared" si="24"/>
        <v>439.6627271334325</v>
      </c>
      <c r="G50" s="517">
        <f t="shared" si="24"/>
        <v>-309.52383183932494</v>
      </c>
      <c r="H50" s="517">
        <f t="shared" si="24"/>
        <v>-21.793469415568744</v>
      </c>
      <c r="I50" s="517">
        <f t="shared" si="24"/>
        <v>64.132747696997242</v>
      </c>
      <c r="J50" s="517">
        <f t="shared" si="24"/>
        <v>-237.93656346902799</v>
      </c>
      <c r="K50" s="517">
        <f t="shared" si="24"/>
        <v>-244.90739446349809</v>
      </c>
      <c r="L50" s="517">
        <f t="shared" si="24"/>
        <v>-265.4558567179804</v>
      </c>
      <c r="M50" s="517">
        <f t="shared" si="24"/>
        <v>12.062651212639196</v>
      </c>
      <c r="N50" s="517">
        <f t="shared" si="24"/>
        <v>-393.35628888290159</v>
      </c>
      <c r="Q50" s="517">
        <f t="shared" si="20"/>
        <v>-309.52383183932494</v>
      </c>
      <c r="R50" s="517">
        <f t="shared" si="21"/>
        <v>300.54159627353619</v>
      </c>
    </row>
    <row r="51" spans="1:18" outlineLevel="1" x14ac:dyDescent="0.25">
      <c r="A51" s="514" t="s">
        <v>89</v>
      </c>
      <c r="B51" s="513">
        <f>'Budget assumption'!B130+'Budget assumption'!B161+'Budget assumption'!B192+'Budget assumption'!B254+'Budget assumption'!B285</f>
        <v>12.908069430065876</v>
      </c>
      <c r="C51" s="513">
        <f>'Budget assumption'!C130+'Budget assumption'!C161+'Budget assumption'!C192+'Budget assumption'!C254+'Budget assumption'!C285</f>
        <v>12.984894331731436</v>
      </c>
      <c r="D51" s="513">
        <f>'Budget assumption'!D130+'Budget assumption'!D161+'Budget assumption'!D192+'Budget assumption'!D254+'Budget assumption'!D285</f>
        <v>12.707934917772121</v>
      </c>
      <c r="E51" s="513">
        <f>'Budget assumption'!E130+'Budget assumption'!E161+'Budget assumption'!E192+'Budget assumption'!E254+'Budget assumption'!E285</f>
        <v>11.930867004091784</v>
      </c>
      <c r="F51" s="513">
        <f>'Budget assumption'!F130+'Budget assumption'!F161+'Budget assumption'!F192+'Budget assumption'!F254+'Budget assumption'!F285</f>
        <v>15.261026545167073</v>
      </c>
      <c r="G51" s="513">
        <f>'Budget assumption'!G130+'Budget assumption'!G161+'Budget assumption'!G192+'Budget assumption'!G254+'Budget assumption'!G285</f>
        <v>7.6901144986390282</v>
      </c>
      <c r="H51" s="513">
        <f>'Budget assumption'!H130+'Budget assumption'!H161+'Budget assumption'!H192+'Budget assumption'!H254+'Budget assumption'!H285</f>
        <v>9.8915375314214309</v>
      </c>
      <c r="I51" s="513">
        <f>'Budget assumption'!I130+'Budget assumption'!I161+'Budget assumption'!I192+'Budget assumption'!I254+'Budget assumption'!I285</f>
        <v>10.696422234823515</v>
      </c>
      <c r="J51" s="513">
        <f>'Budget assumption'!J130+'Budget assumption'!J161+'Budget assumption'!J192+'Budget assumption'!J254+'Budget assumption'!J285</f>
        <v>7.8065109347729891</v>
      </c>
      <c r="K51" s="513">
        <f>'Budget assumption'!K130+'Budget assumption'!K161+'Budget assumption'!K192+'Budget assumption'!K254+'Budget assumption'!K285</f>
        <v>7.1596505166975692</v>
      </c>
      <c r="L51" s="513">
        <f>'Budget assumption'!L130+'Budget assumption'!L161+'Budget assumption'!L192+'Budget assumption'!L254+'Budget assumption'!L285</f>
        <v>7.2548814292864652</v>
      </c>
      <c r="M51" s="513">
        <f>'Budget assumption'!M130+'Budget assumption'!M161+'Budget assumption'!M192+'Budget assumption'!M254+'Budget assumption'!M285</f>
        <v>8.6036731166700058</v>
      </c>
      <c r="N51" s="513">
        <f>'Budget assumption'!N130+'Budget assumption'!N161+'Budget assumption'!N192+'Budget assumption'!N254+'Budget assumption'!N285</f>
        <v>124.89558249113932</v>
      </c>
      <c r="Q51" s="514">
        <f t="shared" si="20"/>
        <v>7.6901144986390282</v>
      </c>
      <c r="R51" s="514">
        <f t="shared" si="21"/>
        <v>73.482906727467324</v>
      </c>
    </row>
    <row r="52" spans="1:18" outlineLevel="1" x14ac:dyDescent="0.25">
      <c r="A52" s="517" t="s">
        <v>90</v>
      </c>
      <c r="B52" s="517">
        <f>B50+B51</f>
        <v>29.006793994880891</v>
      </c>
      <c r="C52" s="517">
        <f t="shared" ref="C52:N52" si="25">C50+C51</f>
        <v>71.538264719620045</v>
      </c>
      <c r="D52" s="517">
        <f t="shared" si="25"/>
        <v>77.753531059897028</v>
      </c>
      <c r="E52" s="517">
        <f t="shared" si="25"/>
        <v>42.635876888691854</v>
      </c>
      <c r="F52" s="517">
        <f t="shared" si="25"/>
        <v>454.92375367859955</v>
      </c>
      <c r="G52" s="517">
        <f t="shared" si="25"/>
        <v>-301.83371734068589</v>
      </c>
      <c r="H52" s="517">
        <f t="shared" si="25"/>
        <v>-11.901931884147313</v>
      </c>
      <c r="I52" s="517">
        <f t="shared" si="25"/>
        <v>74.829169931820758</v>
      </c>
      <c r="J52" s="517">
        <f t="shared" si="25"/>
        <v>-230.13005253425499</v>
      </c>
      <c r="K52" s="517">
        <f t="shared" si="25"/>
        <v>-237.74774394680051</v>
      </c>
      <c r="L52" s="517">
        <f t="shared" si="25"/>
        <v>-258.20097528869394</v>
      </c>
      <c r="M52" s="517">
        <f t="shared" si="25"/>
        <v>20.666324329309202</v>
      </c>
      <c r="N52" s="517">
        <f t="shared" si="25"/>
        <v>-268.4607063917623</v>
      </c>
      <c r="Q52" s="517">
        <f t="shared" si="20"/>
        <v>-301.83371734068589</v>
      </c>
      <c r="R52" s="517">
        <f t="shared" si="21"/>
        <v>374.0245030010035</v>
      </c>
    </row>
    <row r="53" spans="1:18" outlineLevel="1" x14ac:dyDescent="0.25">
      <c r="A53" s="514" t="s">
        <v>91</v>
      </c>
      <c r="B53" s="513">
        <f>'Budget assumption'!B132+'Budget assumption'!B163+'Budget assumption'!B194+'Budget assumption'!B256+'Budget assumption'!B287</f>
        <v>71.312162238453368</v>
      </c>
      <c r="C53" s="513">
        <f>'Budget assumption'!C132+'Budget assumption'!C163+'Budget assumption'!C194+'Budget assumption'!C256+'Budget assumption'!C287</f>
        <v>42.512442703558918</v>
      </c>
      <c r="D53" s="513">
        <f>'Budget assumption'!D132+'Budget assumption'!D163+'Budget assumption'!D194+'Budget assumption'!D256+'Budget assumption'!D287</f>
        <v>77.124682192096202</v>
      </c>
      <c r="E53" s="513">
        <f>'Budget assumption'!E132+'Budget assumption'!E163+'Budget assumption'!E194+'Budget assumption'!E256+'Budget assumption'!E287</f>
        <v>51.543755656215922</v>
      </c>
      <c r="F53" s="513">
        <f>'Budget assumption'!F132+'Budget assumption'!F163+'Budget assumption'!F194+'Budget assumption'!F256+'Budget assumption'!F287</f>
        <v>183.5521063140751</v>
      </c>
      <c r="G53" s="513">
        <f>'Budget assumption'!G132+'Budget assumption'!G163+'Budget assumption'!G194+'Budget assumption'!G256+'Budget assumption'!G287</f>
        <v>-118.928159441086</v>
      </c>
      <c r="H53" s="513">
        <f>'Budget assumption'!H132+'Budget assumption'!H163+'Budget assumption'!H194+'Budget assumption'!H256+'Budget assumption'!H287</f>
        <v>-4.2216046539182912</v>
      </c>
      <c r="I53" s="513">
        <f>'Budget assumption'!I132+'Budget assumption'!I163+'Budget assumption'!I194+'Budget assumption'!I256+'Budget assumption'!I287</f>
        <v>38.227599399245094</v>
      </c>
      <c r="J53" s="513">
        <f>'Budget assumption'!J132+'Budget assumption'!J163+'Budget assumption'!J194+'Budget assumption'!J256+'Budget assumption'!J287</f>
        <v>-115.99208775051846</v>
      </c>
      <c r="K53" s="513">
        <f>'Budget assumption'!K132+'Budget assumption'!K163+'Budget assumption'!K194+'Budget assumption'!K256+'Budget assumption'!K287</f>
        <v>-102.5908886714227</v>
      </c>
      <c r="L53" s="513">
        <f>'Budget assumption'!L132+'Budget assumption'!L163+'Budget assumption'!L194+'Budget assumption'!L256+'Budget assumption'!L287</f>
        <v>-90.889702426691827</v>
      </c>
      <c r="M53" s="513">
        <f>'Budget assumption'!M132+'Budget assumption'!M163+'Budget assumption'!M194+'Budget assumption'!M256+'Budget assumption'!M287</f>
        <v>-31.650305560006984</v>
      </c>
      <c r="N53" s="513">
        <f>'Budget assumption'!N132+'Budget assumption'!N163+'Budget assumption'!N194+'Budget assumption'!N256+'Budget assumption'!N287</f>
        <v>9.0949470177292824E-13</v>
      </c>
      <c r="Q53" s="514">
        <f t="shared" si="20"/>
        <v>-118.928159441086</v>
      </c>
      <c r="R53" s="514">
        <f t="shared" si="21"/>
        <v>307.11698966331352</v>
      </c>
    </row>
    <row r="54" spans="1:18" outlineLevel="1" x14ac:dyDescent="0.25">
      <c r="A54" s="517" t="s">
        <v>92</v>
      </c>
      <c r="B54" s="517">
        <f>B52+B53</f>
        <v>100.31895623333426</v>
      </c>
      <c r="C54" s="517">
        <f t="shared" ref="C54:N54" si="26">C52+C53</f>
        <v>114.05070742317896</v>
      </c>
      <c r="D54" s="517">
        <f t="shared" si="26"/>
        <v>154.87821325199323</v>
      </c>
      <c r="E54" s="517">
        <f t="shared" si="26"/>
        <v>94.179632544907776</v>
      </c>
      <c r="F54" s="517">
        <f t="shared" si="26"/>
        <v>638.47585999267471</v>
      </c>
      <c r="G54" s="517">
        <f t="shared" si="26"/>
        <v>-420.76187678177189</v>
      </c>
      <c r="H54" s="517">
        <f t="shared" si="26"/>
        <v>-16.123536538065604</v>
      </c>
      <c r="I54" s="517">
        <f t="shared" si="26"/>
        <v>113.05676933106585</v>
      </c>
      <c r="J54" s="517">
        <f t="shared" si="26"/>
        <v>-346.12214028477342</v>
      </c>
      <c r="K54" s="517">
        <f t="shared" si="26"/>
        <v>-340.33863261822319</v>
      </c>
      <c r="L54" s="517">
        <f t="shared" si="26"/>
        <v>-349.09067771538577</v>
      </c>
      <c r="M54" s="517">
        <f t="shared" si="26"/>
        <v>-10.983981230697783</v>
      </c>
      <c r="N54" s="517">
        <f t="shared" si="26"/>
        <v>-268.46070639176139</v>
      </c>
      <c r="Q54" s="517">
        <f t="shared" si="20"/>
        <v>-420.76187678177189</v>
      </c>
      <c r="R54" s="517">
        <f t="shared" si="21"/>
        <v>681.14149266431718</v>
      </c>
    </row>
    <row r="55" spans="1:18" outlineLevel="1" x14ac:dyDescent="0.25">
      <c r="A55" s="514" t="s">
        <v>76</v>
      </c>
      <c r="B55" s="513">
        <f>'Budget assumption'!B134+'Budget assumption'!B165+'Budget assumption'!B196+'Budget assumption'!B258+'Budget assumption'!B289</f>
        <v>1.7464606835718257</v>
      </c>
      <c r="C55" s="513">
        <f>'Budget assumption'!C134+'Budget assumption'!C165+'Budget assumption'!C196+'Budget assumption'!C258+'Budget assumption'!C289</f>
        <v>1.7549681081874695</v>
      </c>
      <c r="D55" s="513">
        <f>'Budget assumption'!D134+'Budget assumption'!D165+'Budget assumption'!D196+'Budget assumption'!D258+'Budget assumption'!D289</f>
        <v>1.7544676714453757</v>
      </c>
      <c r="E55" s="513">
        <f>'Budget assumption'!E134+'Budget assumption'!E165+'Budget assumption'!E196+'Budget assumption'!E258+'Budget assumption'!E289</f>
        <v>-5.0459854577487215</v>
      </c>
      <c r="F55" s="513">
        <f>'Budget assumption'!F134+'Budget assumption'!F165+'Budget assumption'!F196+'Budget assumption'!F258+'Budget assumption'!F289</f>
        <v>-3.41006686825515</v>
      </c>
      <c r="G55" s="513">
        <f>'Budget assumption'!G134+'Budget assumption'!G165+'Budget assumption'!G196+'Budget assumption'!G258+'Budget assumption'!G289</f>
        <v>-5.6557630677832611</v>
      </c>
      <c r="H55" s="513">
        <f>'Budget assumption'!H134+'Budget assumption'!H165+'Budget assumption'!H196+'Budget assumption'!H258+'Budget assumption'!H289</f>
        <v>-4.0428645684261397</v>
      </c>
      <c r="I55" s="513">
        <f>'Budget assumption'!I134+'Budget assumption'!I165+'Budget assumption'!I196+'Budget assumption'!I258+'Budget assumption'!I289</f>
        <v>-3.5920984530876678</v>
      </c>
      <c r="J55" s="513">
        <f>'Budget assumption'!J134+'Budget assumption'!J165+'Budget assumption'!J196+'Budget assumption'!J258+'Budget assumption'!J289</f>
        <v>-4.8894670263424409</v>
      </c>
      <c r="K55" s="513">
        <f>'Budget assumption'!K134+'Budget assumption'!K165+'Budget assumption'!K196+'Budget assumption'!K258+'Budget assumption'!K289</f>
        <v>-5.2952029553129014</v>
      </c>
      <c r="L55" s="513">
        <f>'Budget assumption'!L134+'Budget assumption'!L165+'Budget assumption'!L196+'Budget assumption'!L258+'Budget assumption'!L289</f>
        <v>-4.7264520377096026</v>
      </c>
      <c r="M55" s="513">
        <f>'Budget assumption'!M134+'Budget assumption'!M165+'Budget assumption'!M196+'Budget assumption'!M258+'Budget assumption'!M289</f>
        <v>-4.3557649215273067</v>
      </c>
      <c r="N55" s="513">
        <f>'Budget assumption'!N134+'Budget assumption'!N165+'Budget assumption'!N196+'Budget assumption'!N258+'Budget assumption'!N289</f>
        <v>-35.757768892988452</v>
      </c>
      <c r="Q55" s="514">
        <f t="shared" si="20"/>
        <v>-5.6557630677832611</v>
      </c>
      <c r="R55" s="514">
        <f t="shared" si="21"/>
        <v>-8.8559189305824617</v>
      </c>
    </row>
    <row r="56" spans="1:18" outlineLevel="1" x14ac:dyDescent="0.25">
      <c r="A56" s="514" t="s">
        <v>77</v>
      </c>
      <c r="B56" s="513">
        <f>'Budget assumption'!B135+'Budget assumption'!B166+'Budget assumption'!B197+'Budget assumption'!B259+'Budget assumption'!B290</f>
        <v>7.0694899999999876</v>
      </c>
      <c r="C56" s="513">
        <f>'Budget assumption'!C135+'Budget assumption'!C166+'Budget assumption'!C197+'Budget assumption'!C259+'Budget assumption'!C290</f>
        <v>7.048579999999987</v>
      </c>
      <c r="D56" s="513">
        <f>'Budget assumption'!D135+'Budget assumption'!D166+'Budget assumption'!D197+'Budget assumption'!D259+'Budget assumption'!D290</f>
        <v>6.0498099999999937</v>
      </c>
      <c r="E56" s="513">
        <f>'Budget assumption'!E135+'Budget assumption'!E166+'Budget assumption'!E197+'Budget assumption'!E259+'Budget assumption'!E290</f>
        <v>11.101499999999987</v>
      </c>
      <c r="F56" s="513">
        <f>'Budget assumption'!F135+'Budget assumption'!F166+'Budget assumption'!F197+'Budget assumption'!F259+'Budget assumption'!F290</f>
        <v>9.2492399999999932</v>
      </c>
      <c r="G56" s="513">
        <f>'Budget assumption'!G135+'Budget assumption'!G166+'Budget assumption'!G197+'Budget assumption'!G259+'Budget assumption'!G290</f>
        <v>12.515949999999989</v>
      </c>
      <c r="H56" s="513">
        <f>'Budget assumption'!H135+'Budget assumption'!H166+'Budget assumption'!H197+'Budget assumption'!H259+'Budget assumption'!H290</f>
        <v>7.7202699999999922</v>
      </c>
      <c r="I56" s="513">
        <f>'Budget assumption'!I135+'Budget assumption'!I166+'Budget assumption'!I197+'Budget assumption'!I259+'Budget assumption'!I290</f>
        <v>8.1544999999999916</v>
      </c>
      <c r="J56" s="513">
        <f>'Budget assumption'!J135+'Budget assumption'!J166+'Budget assumption'!J197+'Budget assumption'!J259+'Budget assumption'!J290</f>
        <v>10.09035999999999</v>
      </c>
      <c r="K56" s="513">
        <f>'Budget assumption'!K135+'Budget assumption'!K166+'Budget assumption'!K197+'Budget assumption'!K259+'Budget assumption'!K290</f>
        <v>11.714039999999983</v>
      </c>
      <c r="L56" s="513">
        <f>'Budget assumption'!L135+'Budget assumption'!L166+'Budget assumption'!L197+'Budget assumption'!L259+'Budget assumption'!L290</f>
        <v>10.231839999999991</v>
      </c>
      <c r="M56" s="513">
        <f>'Budget assumption'!M135+'Budget assumption'!M166+'Budget assumption'!M197+'Budget assumption'!M259+'Budget assumption'!M290</f>
        <v>9.0314799999999877</v>
      </c>
      <c r="N56" s="513">
        <f>'Budget assumption'!N135+'Budget assumption'!N166+'Budget assumption'!N197+'Budget assumption'!N259+'Budget assumption'!N290</f>
        <v>109.97705999999977</v>
      </c>
      <c r="Q56" s="514">
        <f t="shared" si="20"/>
        <v>12.515949999999989</v>
      </c>
      <c r="R56" s="514">
        <f t="shared" si="21"/>
        <v>53.034569999999938</v>
      </c>
    </row>
    <row r="57" spans="1:18" outlineLevel="1" x14ac:dyDescent="0.25">
      <c r="A57" s="514" t="s">
        <v>144</v>
      </c>
      <c r="B57" s="513">
        <f>'Budget assumption'!B136+'Budget assumption'!B167+'Budget assumption'!B198+'Budget assumption'!B260+'Budget assumption'!B291</f>
        <v>0</v>
      </c>
      <c r="C57" s="513">
        <f>'Budget assumption'!C136+'Budget assumption'!C167+'Budget assumption'!C198+'Budget assumption'!C260+'Budget assumption'!C291</f>
        <v>0</v>
      </c>
      <c r="D57" s="513">
        <f>'Budget assumption'!D136+'Budget assumption'!D167+'Budget assumption'!D198+'Budget assumption'!D260+'Budget assumption'!D291</f>
        <v>0</v>
      </c>
      <c r="E57" s="513">
        <f>'Budget assumption'!E136+'Budget assumption'!E167+'Budget assumption'!E198+'Budget assumption'!E260+'Budget assumption'!E291</f>
        <v>0</v>
      </c>
      <c r="F57" s="513">
        <f>'Budget assumption'!F136+'Budget assumption'!F167+'Budget assumption'!F198+'Budget assumption'!F260+'Budget assumption'!F291</f>
        <v>0</v>
      </c>
      <c r="G57" s="513">
        <f>'Budget assumption'!G136+'Budget assumption'!G167+'Budget assumption'!G198+'Budget assumption'!G260+'Budget assumption'!G291</f>
        <v>0</v>
      </c>
      <c r="H57" s="513">
        <f>'Budget assumption'!H136+'Budget assumption'!H167+'Budget assumption'!H198+'Budget assumption'!H260+'Budget assumption'!H291</f>
        <v>0</v>
      </c>
      <c r="I57" s="513">
        <f>'Budget assumption'!I136+'Budget assumption'!I167+'Budget assumption'!I198+'Budget assumption'!I260+'Budget assumption'!I291</f>
        <v>0</v>
      </c>
      <c r="J57" s="513">
        <f>'Budget assumption'!J136+'Budget assumption'!J167+'Budget assumption'!J198+'Budget assumption'!J260+'Budget assumption'!J291</f>
        <v>0</v>
      </c>
      <c r="K57" s="513">
        <f>'Budget assumption'!K136+'Budget assumption'!K167+'Budget assumption'!K198+'Budget assumption'!K260+'Budget assumption'!K291</f>
        <v>0</v>
      </c>
      <c r="L57" s="513">
        <f>'Budget assumption'!L136+'Budget assumption'!L167+'Budget assumption'!L198+'Budget assumption'!L260+'Budget assumption'!L291</f>
        <v>0</v>
      </c>
      <c r="M57" s="513">
        <f>'Budget assumption'!M136+'Budget assumption'!M167+'Budget assumption'!M198+'Budget assumption'!M260+'Budget assumption'!M291</f>
        <v>0</v>
      </c>
      <c r="N57" s="513">
        <f>'Budget assumption'!N136+'Budget assumption'!N167+'Budget assumption'!N198+'Budget assumption'!N260+'Budget assumption'!N291</f>
        <v>0</v>
      </c>
      <c r="Q57" s="514">
        <f t="shared" si="20"/>
        <v>0</v>
      </c>
      <c r="R57" s="514">
        <f t="shared" si="21"/>
        <v>0</v>
      </c>
    </row>
    <row r="58" spans="1:18" outlineLevel="1" x14ac:dyDescent="0.25">
      <c r="A58" s="514" t="s">
        <v>85</v>
      </c>
      <c r="B58" s="513">
        <f>'Budget assumption'!B137+'Budget assumption'!B168+'Budget assumption'!B199+'Budget assumption'!B261+'Budget assumption'!B292</f>
        <v>9</v>
      </c>
      <c r="C58" s="513">
        <f>'Budget assumption'!C137+'Budget assumption'!C168+'Budget assumption'!C199+'Budget assumption'!C261+'Budget assumption'!C292</f>
        <v>9</v>
      </c>
      <c r="D58" s="513">
        <f>'Budget assumption'!D137+'Budget assumption'!D168+'Budget assumption'!D199+'Budget assumption'!D261+'Budget assumption'!D292</f>
        <v>9</v>
      </c>
      <c r="E58" s="513">
        <f>'Budget assumption'!E137+'Budget assumption'!E168+'Budget assumption'!E199+'Budget assumption'!E261+'Budget assumption'!E292</f>
        <v>9</v>
      </c>
      <c r="F58" s="513">
        <f>'Budget assumption'!F137+'Budget assumption'!F168+'Budget assumption'!F199+'Budget assumption'!F261+'Budget assumption'!F292</f>
        <v>8</v>
      </c>
      <c r="G58" s="513">
        <f>'Budget assumption'!G137+'Budget assumption'!G168+'Budget assumption'!G199+'Budget assumption'!G261+'Budget assumption'!G292</f>
        <v>8</v>
      </c>
      <c r="H58" s="513">
        <f>'Budget assumption'!H137+'Budget assumption'!H168+'Budget assumption'!H199+'Budget assumption'!H261+'Budget assumption'!H292</f>
        <v>8</v>
      </c>
      <c r="I58" s="513">
        <f>'Budget assumption'!I137+'Budget assumption'!I168+'Budget assumption'!I199+'Budget assumption'!I261+'Budget assumption'!I292</f>
        <v>8</v>
      </c>
      <c r="J58" s="513">
        <f>'Budget assumption'!J137+'Budget assumption'!J168+'Budget assumption'!J199+'Budget assumption'!J261+'Budget assumption'!J292</f>
        <v>8</v>
      </c>
      <c r="K58" s="513">
        <f>'Budget assumption'!K137+'Budget assumption'!K168+'Budget assumption'!K199+'Budget assumption'!K261+'Budget assumption'!K292</f>
        <v>8</v>
      </c>
      <c r="L58" s="513">
        <f>'Budget assumption'!L137+'Budget assumption'!L168+'Budget assumption'!L199+'Budget assumption'!L261+'Budget assumption'!L292</f>
        <v>8</v>
      </c>
      <c r="M58" s="513">
        <f>'Budget assumption'!M137+'Budget assumption'!M168+'Budget assumption'!M199+'Budget assumption'!M261+'Budget assumption'!M292</f>
        <v>8</v>
      </c>
      <c r="N58" s="513">
        <f>'Budget assumption'!N137+'Budget assumption'!N168+'Budget assumption'!N199+'Budget assumption'!N261+'Budget assumption'!N292</f>
        <v>100</v>
      </c>
      <c r="Q58" s="514">
        <f t="shared" si="20"/>
        <v>8</v>
      </c>
      <c r="R58" s="514">
        <f t="shared" si="21"/>
        <v>52</v>
      </c>
    </row>
    <row r="59" spans="1:18" outlineLevel="1" x14ac:dyDescent="0.25">
      <c r="A59" s="514" t="s">
        <v>145</v>
      </c>
      <c r="B59" s="513">
        <f>'Budget assumption'!B138+'Budget assumption'!B169+'Budget assumption'!B200+'Budget assumption'!B262+'Budget assumption'!B293</f>
        <v>0</v>
      </c>
      <c r="C59" s="513">
        <f>'Budget assumption'!C138+'Budget assumption'!C169+'Budget assumption'!C200+'Budget assumption'!C262+'Budget assumption'!C293</f>
        <v>0</v>
      </c>
      <c r="D59" s="513">
        <f>'Budget assumption'!D138+'Budget assumption'!D169+'Budget assumption'!D200+'Budget assumption'!D262+'Budget assumption'!D293</f>
        <v>0</v>
      </c>
      <c r="E59" s="513">
        <f>'Budget assumption'!E138+'Budget assumption'!E169+'Budget assumption'!E200+'Budget assumption'!E262+'Budget assumption'!E293</f>
        <v>0</v>
      </c>
      <c r="F59" s="513">
        <f>'Budget assumption'!F138+'Budget assumption'!F169+'Budget assumption'!F200+'Budget assumption'!F262+'Budget assumption'!F293</f>
        <v>0</v>
      </c>
      <c r="G59" s="513">
        <f>'Budget assumption'!G138+'Budget assumption'!G169+'Budget assumption'!G200+'Budget assumption'!G262+'Budget assumption'!G293</f>
        <v>0</v>
      </c>
      <c r="H59" s="513">
        <f>'Budget assumption'!H138+'Budget assumption'!H169+'Budget assumption'!H200+'Budget assumption'!H262+'Budget assumption'!H293</f>
        <v>0</v>
      </c>
      <c r="I59" s="513">
        <f>'Budget assumption'!I138+'Budget assumption'!I169+'Budget assumption'!I200+'Budget assumption'!I262+'Budget assumption'!I293</f>
        <v>0</v>
      </c>
      <c r="J59" s="513">
        <f>'Budget assumption'!J138+'Budget assumption'!J169+'Budget assumption'!J200+'Budget assumption'!J262+'Budget assumption'!J293</f>
        <v>0</v>
      </c>
      <c r="K59" s="513">
        <f>'Budget assumption'!K138+'Budget assumption'!K169+'Budget assumption'!K200+'Budget assumption'!K262+'Budget assumption'!K293</f>
        <v>0</v>
      </c>
      <c r="L59" s="513">
        <f>'Budget assumption'!L138+'Budget assumption'!L169+'Budget assumption'!L200+'Budget assumption'!L262+'Budget assumption'!L293</f>
        <v>0</v>
      </c>
      <c r="M59" s="513">
        <f>'Budget assumption'!M138+'Budget assumption'!M169+'Budget assumption'!M200+'Budget assumption'!M262+'Budget assumption'!M293</f>
        <v>0</v>
      </c>
      <c r="N59" s="513">
        <f>'Budget assumption'!N138+'Budget assumption'!N169+'Budget assumption'!N200+'Budget assumption'!N262+'Budget assumption'!N293</f>
        <v>0</v>
      </c>
      <c r="Q59" s="514">
        <f t="shared" si="20"/>
        <v>0</v>
      </c>
      <c r="R59" s="514">
        <f t="shared" si="21"/>
        <v>0</v>
      </c>
    </row>
    <row r="60" spans="1:18" outlineLevel="1" x14ac:dyDescent="0.25">
      <c r="A60" s="517" t="s">
        <v>146</v>
      </c>
      <c r="B60" s="517">
        <f>SUM(B55:B59)</f>
        <v>17.815950683571813</v>
      </c>
      <c r="C60" s="517">
        <f t="shared" ref="C60:N60" si="27">SUM(C55:C59)</f>
        <v>17.803548108187456</v>
      </c>
      <c r="D60" s="517">
        <f t="shared" si="27"/>
        <v>16.804277671445369</v>
      </c>
      <c r="E60" s="517">
        <f t="shared" si="27"/>
        <v>15.055514542251267</v>
      </c>
      <c r="F60" s="517">
        <f t="shared" si="27"/>
        <v>13.839173131744843</v>
      </c>
      <c r="G60" s="517">
        <f t="shared" si="27"/>
        <v>14.860186932216727</v>
      </c>
      <c r="H60" s="517">
        <f t="shared" si="27"/>
        <v>11.677405431573852</v>
      </c>
      <c r="I60" s="517">
        <f t="shared" si="27"/>
        <v>12.562401546912323</v>
      </c>
      <c r="J60" s="517">
        <f t="shared" si="27"/>
        <v>13.200892973657549</v>
      </c>
      <c r="K60" s="517">
        <f t="shared" si="27"/>
        <v>14.418837044687081</v>
      </c>
      <c r="L60" s="517">
        <f t="shared" si="27"/>
        <v>13.505387962290389</v>
      </c>
      <c r="M60" s="517">
        <f t="shared" si="27"/>
        <v>12.675715078472681</v>
      </c>
      <c r="N60" s="517">
        <f t="shared" si="27"/>
        <v>174.21929110701132</v>
      </c>
      <c r="Q60" s="517">
        <f t="shared" si="20"/>
        <v>14.860186932216727</v>
      </c>
      <c r="R60" s="517">
        <f t="shared" si="21"/>
        <v>96.178651069417469</v>
      </c>
    </row>
    <row r="61" spans="1:18" outlineLevel="1" x14ac:dyDescent="0.25">
      <c r="A61" s="514" t="s">
        <v>148</v>
      </c>
      <c r="B61" s="513">
        <f>'Budget assumption'!B140+'Budget assumption'!B171+'Budget assumption'!B202+'Budget assumption'!B264+'Budget assumption'!B295</f>
        <v>11.164158379735035</v>
      </c>
      <c r="C61" s="513">
        <f>'Budget assumption'!C140+'Budget assumption'!C171+'Budget assumption'!C202+'Budget assumption'!C264+'Budget assumption'!C295</f>
        <v>11.164158379735042</v>
      </c>
      <c r="D61" s="513">
        <f>'Budget assumption'!D140+'Budget assumption'!D171+'Budget assumption'!D202+'Budget assumption'!D264+'Budget assumption'!D295</f>
        <v>11.164158379735042</v>
      </c>
      <c r="E61" s="513">
        <f>'Budget assumption'!E140+'Budget assumption'!E171+'Budget assumption'!E202+'Budget assumption'!E264+'Budget assumption'!E295</f>
        <v>7.1875051737217923</v>
      </c>
      <c r="F61" s="513">
        <f>'Budget assumption'!F140+'Budget assumption'!F171+'Budget assumption'!F202+'Budget assumption'!F264+'Budget assumption'!F295</f>
        <v>35.024077615814534</v>
      </c>
      <c r="G61" s="513">
        <f>'Budget assumption'!G140+'Budget assumption'!G171+'Budget assumption'!G202+'Budget assumption'!G264+'Budget assumption'!G295</f>
        <v>-32.924822817368366</v>
      </c>
      <c r="H61" s="513">
        <f>'Budget assumption'!H140+'Budget assumption'!H171+'Budget assumption'!H202+'Budget assumption'!H264+'Budget assumption'!H295</f>
        <v>-9.151352564028306</v>
      </c>
      <c r="I61" s="513">
        <f>'Budget assumption'!I140+'Budget assumption'!I171+'Budget assumption'!I202+'Budget assumption'!I264+'Budget assumption'!I295</f>
        <v>0.35803553730773885</v>
      </c>
      <c r="J61" s="513">
        <f>'Budget assumption'!J140+'Budget assumption'!J171+'Budget assumption'!J202+'Budget assumption'!J264+'Budget assumption'!J295</f>
        <v>-32.924822817368359</v>
      </c>
      <c r="K61" s="513">
        <f>'Budget assumption'!K140+'Budget assumption'!K171+'Budget assumption'!K202+'Budget assumption'!K264+'Budget assumption'!K295</f>
        <v>-32.924822817368366</v>
      </c>
      <c r="L61" s="513">
        <f>'Budget assumption'!L140+'Budget assumption'!L171+'Budget assumption'!L202+'Budget assumption'!L264+'Budget assumption'!L295</f>
        <v>-28.170128766700351</v>
      </c>
      <c r="M61" s="513">
        <f>'Budget assumption'!M140+'Budget assumption'!M171+'Budget assumption'!M202+'Budget assumption'!M264+'Budget assumption'!M295</f>
        <v>-17.469473683215128</v>
      </c>
      <c r="N61" s="513">
        <f>'Budget assumption'!N140+'Budget assumption'!N171+'Budget assumption'!N202+'Budget assumption'!N264+'Budget assumption'!N295</f>
        <v>-77.503330000000119</v>
      </c>
      <c r="Q61" s="514">
        <f t="shared" si="20"/>
        <v>-32.924822817368366</v>
      </c>
      <c r="R61" s="514">
        <f t="shared" si="21"/>
        <v>42.779235111373083</v>
      </c>
    </row>
    <row r="62" spans="1:18" outlineLevel="1" x14ac:dyDescent="0.25">
      <c r="A62" s="514" t="s">
        <v>149</v>
      </c>
      <c r="B62" s="513">
        <f>'Budget assumption'!B141+'Budget assumption'!B172+'Budget assumption'!B203+'Budget assumption'!B265+'Budget assumption'!B296</f>
        <v>27.352495948934234</v>
      </c>
      <c r="C62" s="513">
        <f>'Budget assumption'!C141+'Budget assumption'!C172+'Budget assumption'!C203+'Budget assumption'!C265+'Budget assumption'!C296</f>
        <v>27.352495948934219</v>
      </c>
      <c r="D62" s="513">
        <f>'Budget assumption'!D141+'Budget assumption'!D172+'Budget assumption'!D203+'Budget assumption'!D265+'Budget assumption'!D296</f>
        <v>27.352495948934234</v>
      </c>
      <c r="E62" s="513">
        <f>'Budget assumption'!E141+'Budget assumption'!E172+'Budget assumption'!E203+'Budget assumption'!E265+'Budget assumption'!E296</f>
        <v>23.993520639321886</v>
      </c>
      <c r="F62" s="513">
        <f>'Budget assumption'!F141+'Budget assumption'!F172+'Budget assumption'!F203+'Budget assumption'!F265+'Budget assumption'!F296</f>
        <v>47.506347806608211</v>
      </c>
      <c r="G62" s="513">
        <f>'Budget assumption'!G141+'Budget assumption'!G172+'Budget assumption'!G203+'Budget assumption'!G265+'Budget assumption'!G296</f>
        <v>-9.8883172663329333</v>
      </c>
      <c r="H62" s="513">
        <f>'Budget assumption'!H141+'Budget assumption'!H172+'Budget assumption'!H203+'Budget assumption'!H265+'Budget assumption'!H296</f>
        <v>10.192513388958176</v>
      </c>
      <c r="I62" s="513">
        <f>'Budget assumption'!I141+'Budget assumption'!I172+'Budget assumption'!I203+'Budget assumption'!I265+'Budget assumption'!I296</f>
        <v>18.224845651074631</v>
      </c>
      <c r="J62" s="513">
        <f>'Budget assumption'!J141+'Budget assumption'!J172+'Budget assumption'!J203+'Budget assumption'!J265+'Budget assumption'!J296</f>
        <v>-9.8883172663329333</v>
      </c>
      <c r="K62" s="513">
        <f>'Budget assumption'!K141+'Budget assumption'!K172+'Budget assumption'!K203+'Budget assumption'!K265+'Budget assumption'!K296</f>
        <v>-9.8883172663329333</v>
      </c>
      <c r="L62" s="513">
        <f>'Budget assumption'!L141+'Budget assumption'!L172+'Budget assumption'!L203+'Budget assumption'!L265+'Budget assumption'!L296</f>
        <v>-5.8721511352747058</v>
      </c>
      <c r="M62" s="513">
        <f>'Budget assumption'!M141+'Budget assumption'!M172+'Budget assumption'!M203+'Budget assumption'!M265+'Budget assumption'!M296</f>
        <v>3.1664132956777706</v>
      </c>
      <c r="N62" s="513">
        <f>'Budget assumption'!N141+'Budget assumption'!N172+'Budget assumption'!N203+'Budget assumption'!N265+'Budget assumption'!N296</f>
        <v>149.60402569416968</v>
      </c>
      <c r="Q62" s="514">
        <f t="shared" si="20"/>
        <v>-9.8883172663329333</v>
      </c>
      <c r="R62" s="514">
        <f t="shared" si="21"/>
        <v>143.66903902639984</v>
      </c>
    </row>
    <row r="63" spans="1:18" outlineLevel="1" x14ac:dyDescent="0.25">
      <c r="A63" s="517" t="s">
        <v>150</v>
      </c>
      <c r="B63" s="517">
        <f>SUM(B61:B62)</f>
        <v>38.516654328669269</v>
      </c>
      <c r="C63" s="517">
        <f t="shared" ref="C63:N63" si="28">SUM(C61:C62)</f>
        <v>38.516654328669262</v>
      </c>
      <c r="D63" s="517">
        <f t="shared" si="28"/>
        <v>38.516654328669276</v>
      </c>
      <c r="E63" s="517">
        <f t="shared" si="28"/>
        <v>31.181025813043679</v>
      </c>
      <c r="F63" s="517">
        <f t="shared" si="28"/>
        <v>82.530425422422752</v>
      </c>
      <c r="G63" s="517">
        <f t="shared" si="28"/>
        <v>-42.813140083701299</v>
      </c>
      <c r="H63" s="517">
        <f t="shared" si="28"/>
        <v>1.0411608249298698</v>
      </c>
      <c r="I63" s="517">
        <f t="shared" si="28"/>
        <v>18.58288118838237</v>
      </c>
      <c r="J63" s="517">
        <f t="shared" si="28"/>
        <v>-42.813140083701292</v>
      </c>
      <c r="K63" s="517">
        <f t="shared" si="28"/>
        <v>-42.813140083701299</v>
      </c>
      <c r="L63" s="517">
        <f t="shared" si="28"/>
        <v>-34.042279901975057</v>
      </c>
      <c r="M63" s="517">
        <f t="shared" si="28"/>
        <v>-14.303060387537357</v>
      </c>
      <c r="N63" s="517">
        <f t="shared" si="28"/>
        <v>72.100695694169559</v>
      </c>
      <c r="Q63" s="517">
        <f t="shared" si="20"/>
        <v>-42.813140083701299</v>
      </c>
      <c r="R63" s="517">
        <f t="shared" si="21"/>
        <v>186.44827413777296</v>
      </c>
    </row>
    <row r="64" spans="1:18" ht="12.6" outlineLevel="1" thickBot="1" x14ac:dyDescent="0.3">
      <c r="A64" s="520"/>
      <c r="B64" s="520"/>
      <c r="C64" s="520"/>
      <c r="D64" s="520"/>
      <c r="E64" s="520"/>
      <c r="F64" s="520"/>
      <c r="G64" s="520"/>
      <c r="H64" s="520"/>
      <c r="I64" s="520"/>
      <c r="J64" s="520"/>
      <c r="K64" s="520"/>
      <c r="L64" s="520"/>
      <c r="M64" s="520"/>
      <c r="N64" s="520"/>
      <c r="Q64" s="520">
        <f t="shared" si="20"/>
        <v>0</v>
      </c>
      <c r="R64" s="520">
        <f t="shared" si="21"/>
        <v>0</v>
      </c>
    </row>
    <row r="65" spans="1:18" outlineLevel="1" x14ac:dyDescent="0.25">
      <c r="A65" s="517" t="s">
        <v>152</v>
      </c>
      <c r="B65" s="517">
        <f>B54+B60+B63</f>
        <v>156.65156124557535</v>
      </c>
      <c r="C65" s="517">
        <f t="shared" ref="C65:M65" si="29">C54+C60+C63</f>
        <v>170.37090986003568</v>
      </c>
      <c r="D65" s="517">
        <f t="shared" si="29"/>
        <v>210.19914525210788</v>
      </c>
      <c r="E65" s="517">
        <f t="shared" si="29"/>
        <v>140.41617290020272</v>
      </c>
      <c r="F65" s="517">
        <f t="shared" si="29"/>
        <v>734.84545854684234</v>
      </c>
      <c r="G65" s="517">
        <f t="shared" si="29"/>
        <v>-448.71482993325645</v>
      </c>
      <c r="H65" s="517">
        <f t="shared" si="29"/>
        <v>-3.4049702815618819</v>
      </c>
      <c r="I65" s="517">
        <f t="shared" si="29"/>
        <v>144.20205206636055</v>
      </c>
      <c r="J65" s="517">
        <f t="shared" si="29"/>
        <v>-375.73438739481713</v>
      </c>
      <c r="K65" s="517">
        <f t="shared" si="29"/>
        <v>-368.73293565723742</v>
      </c>
      <c r="L65" s="517">
        <f t="shared" si="29"/>
        <v>-369.62756965507043</v>
      </c>
      <c r="M65" s="517">
        <f t="shared" si="29"/>
        <v>-12.611326539762459</v>
      </c>
      <c r="N65" s="517">
        <f>N54+N60+N63</f>
        <v>-22.140719590580517</v>
      </c>
      <c r="Q65" s="517">
        <f t="shared" si="20"/>
        <v>-448.71482993325645</v>
      </c>
      <c r="R65" s="517">
        <f t="shared" si="21"/>
        <v>963.76841787150738</v>
      </c>
    </row>
    <row r="66" spans="1:18" outlineLevel="1" x14ac:dyDescent="0.25">
      <c r="A66" s="519"/>
      <c r="B66" s="519"/>
      <c r="C66" s="519"/>
      <c r="D66" s="519"/>
      <c r="E66" s="519"/>
      <c r="F66" s="519"/>
      <c r="G66" s="519"/>
      <c r="H66" s="519"/>
      <c r="I66" s="519"/>
      <c r="J66" s="519"/>
      <c r="K66" s="519"/>
      <c r="L66" s="519"/>
      <c r="M66" s="519"/>
      <c r="N66" s="519"/>
      <c r="Q66" s="519"/>
      <c r="R66" s="519"/>
    </row>
    <row r="67" spans="1:18" outlineLevel="1" x14ac:dyDescent="0.25">
      <c r="A67" s="519"/>
      <c r="B67" s="519"/>
      <c r="C67" s="519"/>
      <c r="D67" s="519"/>
      <c r="E67" s="519"/>
      <c r="F67" s="519"/>
      <c r="G67" s="519"/>
      <c r="H67" s="519"/>
      <c r="I67" s="519"/>
      <c r="J67" s="519"/>
      <c r="K67" s="519"/>
      <c r="L67" s="519"/>
      <c r="M67" s="519"/>
      <c r="N67" s="519"/>
      <c r="Q67" s="519"/>
      <c r="R67" s="519"/>
    </row>
    <row r="68" spans="1:18" outlineLevel="1" x14ac:dyDescent="0.25">
      <c r="A68" s="519"/>
      <c r="B68" s="519"/>
      <c r="C68" s="519"/>
      <c r="D68" s="519"/>
      <c r="E68" s="519"/>
      <c r="F68" s="519"/>
      <c r="G68" s="519"/>
      <c r="H68" s="519"/>
      <c r="I68" s="519"/>
      <c r="J68" s="519"/>
      <c r="K68" s="519"/>
      <c r="L68" s="519"/>
      <c r="M68" s="519"/>
      <c r="N68" s="519"/>
      <c r="Q68" s="519"/>
      <c r="R68" s="519"/>
    </row>
    <row r="69" spans="1:18" outlineLevel="1" x14ac:dyDescent="0.25">
      <c r="A69" s="519"/>
      <c r="B69" s="519"/>
      <c r="C69" s="519"/>
      <c r="D69" s="519"/>
      <c r="E69" s="519"/>
      <c r="F69" s="519"/>
      <c r="G69" s="519"/>
      <c r="H69" s="519"/>
      <c r="I69" s="519"/>
      <c r="J69" s="519"/>
      <c r="K69" s="519"/>
      <c r="L69" s="519"/>
      <c r="M69" s="519"/>
      <c r="N69" s="519"/>
      <c r="Q69" s="519"/>
      <c r="R69" s="519"/>
    </row>
    <row r="70" spans="1:18" outlineLevel="1" x14ac:dyDescent="0.25"/>
    <row r="71" spans="1:18" outlineLevel="1" x14ac:dyDescent="0.25">
      <c r="A71" s="541" t="s">
        <v>180</v>
      </c>
      <c r="B71" s="540" t="s">
        <v>0</v>
      </c>
      <c r="C71" s="540" t="s">
        <v>1</v>
      </c>
      <c r="D71" s="540" t="s">
        <v>2</v>
      </c>
      <c r="E71" s="540" t="s">
        <v>3</v>
      </c>
      <c r="F71" s="540" t="s">
        <v>4</v>
      </c>
      <c r="G71" s="540" t="s">
        <v>5</v>
      </c>
      <c r="H71" s="540" t="s">
        <v>6</v>
      </c>
      <c r="I71" s="540" t="s">
        <v>7</v>
      </c>
      <c r="J71" s="540" t="s">
        <v>8</v>
      </c>
      <c r="K71" s="540" t="s">
        <v>9</v>
      </c>
      <c r="L71" s="540" t="s">
        <v>10</v>
      </c>
      <c r="M71" s="540" t="s">
        <v>11</v>
      </c>
      <c r="N71" s="540" t="s">
        <v>12</v>
      </c>
      <c r="Q71" s="540"/>
      <c r="R71" s="540"/>
    </row>
    <row r="72" spans="1:18" outlineLevel="1" x14ac:dyDescent="0.25">
      <c r="A72" s="533" t="str">
        <f>'Budget assumption'!A316</f>
        <v xml:space="preserve">mfg vs upload </v>
      </c>
      <c r="B72" s="533">
        <f>'Budget assumption'!B316</f>
        <v>0</v>
      </c>
      <c r="C72" s="533">
        <f>'Budget assumption'!C316</f>
        <v>0</v>
      </c>
      <c r="D72" s="533">
        <f>'Budget assumption'!D316</f>
        <v>0</v>
      </c>
      <c r="E72" s="533">
        <f>'Budget assumption'!E316</f>
        <v>0</v>
      </c>
      <c r="F72" s="533">
        <f>'Budget assumption'!F316</f>
        <v>0</v>
      </c>
      <c r="G72" s="533">
        <f>'Budget assumption'!G316</f>
        <v>0</v>
      </c>
      <c r="H72" s="533">
        <f>'Budget assumption'!H316</f>
        <v>0</v>
      </c>
      <c r="I72" s="533">
        <f>'Budget assumption'!I316</f>
        <v>0</v>
      </c>
      <c r="J72" s="533">
        <f>'Budget assumption'!J316</f>
        <v>0</v>
      </c>
      <c r="K72" s="533">
        <f>'Budget assumption'!K316</f>
        <v>0</v>
      </c>
      <c r="L72" s="533">
        <f>'Budget assumption'!L316</f>
        <v>0</v>
      </c>
      <c r="M72" s="533">
        <f>'Budget assumption'!M316</f>
        <v>0</v>
      </c>
      <c r="N72" s="542">
        <f>'Budget assumption'!N316</f>
        <v>0</v>
      </c>
      <c r="Q72" s="542">
        <f t="shared" ref="Q72:Q78" si="30">SUMIFS(B72:M72,$B$2:$M$2,$X$3)</f>
        <v>0</v>
      </c>
      <c r="R72" s="542">
        <f t="shared" ref="R72:R78" si="31">SUMIFS(B72:M72,$B$1:$M$1,$Y$3)</f>
        <v>0</v>
      </c>
    </row>
    <row r="73" spans="1:18" outlineLevel="1" x14ac:dyDescent="0.25">
      <c r="A73" s="533" t="s">
        <v>43</v>
      </c>
      <c r="B73" s="533">
        <f>'Budget assumption'!B306</f>
        <v>-6.7443971410000003</v>
      </c>
      <c r="C73" s="533">
        <f>'Budget assumption'!C306</f>
        <v>-7.110674586</v>
      </c>
      <c r="D73" s="533">
        <f>'Budget assumption'!D306</f>
        <v>-7.1575233750000002</v>
      </c>
      <c r="E73" s="533">
        <f>'Budget assumption'!E306</f>
        <v>-13.784255769000001</v>
      </c>
      <c r="F73" s="533">
        <f>'Budget assumption'!F306</f>
        <v>-22.499889510000003</v>
      </c>
      <c r="G73" s="533">
        <f>'Budget assumption'!G306</f>
        <v>-58.908533430000006</v>
      </c>
      <c r="H73" s="533">
        <f>'Budget assumption'!H306</f>
        <v>-57.523254780000002</v>
      </c>
      <c r="I73" s="533">
        <f>'Budget assumption'!I306</f>
        <v>-57.204807999999993</v>
      </c>
      <c r="J73" s="533">
        <f>'Budget assumption'!J306</f>
        <v>-68.485446039999999</v>
      </c>
      <c r="K73" s="533">
        <f>'Budget assumption'!K306</f>
        <v>-63.211466780000002</v>
      </c>
      <c r="L73" s="533">
        <f>'Budget assumption'!L306</f>
        <v>-61.94707133</v>
      </c>
      <c r="M73" s="533">
        <f>'Budget assumption'!M306</f>
        <v>-60.138508710000004</v>
      </c>
      <c r="N73" s="542">
        <f>'Budget assumption'!N306</f>
        <v>-484</v>
      </c>
      <c r="Q73" s="542">
        <f>SUMIFS(B73:M73,$B$2:$M$2,$X$3)</f>
        <v>-58.908533430000006</v>
      </c>
      <c r="R73" s="542">
        <f t="shared" si="31"/>
        <v>-116.20527381100001</v>
      </c>
    </row>
    <row r="74" spans="1:18" outlineLevel="1" x14ac:dyDescent="0.25">
      <c r="A74" s="533" t="s">
        <v>181</v>
      </c>
      <c r="B74" s="533">
        <f>'Budget assumption'!B308</f>
        <v>-67.734713934301453</v>
      </c>
      <c r="C74" s="533">
        <f>'Budget assumption'!C308</f>
        <v>-136.59810400625676</v>
      </c>
      <c r="D74" s="533">
        <f>'Budget assumption'!D308</f>
        <v>-106.87028077062521</v>
      </c>
      <c r="E74" s="533">
        <f>'Budget assumption'!E308</f>
        <v>-47.120573765839055</v>
      </c>
      <c r="F74" s="533">
        <f>'Budget assumption'!F308</f>
        <v>-70.370517793427254</v>
      </c>
      <c r="G74" s="533">
        <f>'Budget assumption'!G308</f>
        <v>-71.974600624891949</v>
      </c>
      <c r="H74" s="533">
        <f>'Budget assumption'!H308</f>
        <v>-11.001751376680557</v>
      </c>
      <c r="I74" s="533">
        <f>'Budget assumption'!I308</f>
        <v>-7.4535706962784793</v>
      </c>
      <c r="J74" s="533">
        <f>'Budget assumption'!J308</f>
        <v>-49.424680182121804</v>
      </c>
      <c r="K74" s="533">
        <f>'Budget assumption'!K308</f>
        <v>-40.99932315198992</v>
      </c>
      <c r="L74" s="533">
        <f>'Budget assumption'!L308</f>
        <v>-42.471503218980303</v>
      </c>
      <c r="M74" s="533">
        <f>'Budget assumption'!M308</f>
        <v>45.11883909940903</v>
      </c>
      <c r="N74" s="542">
        <f>'Budget assumption'!N308</f>
        <v>-605.66</v>
      </c>
      <c r="Q74" s="542">
        <f t="shared" si="30"/>
        <v>-71.974600624891949</v>
      </c>
      <c r="R74" s="542">
        <f>SUMIFS(B74:M74,$B$1:$M$1,$Y$3)</f>
        <v>-500.66879089534166</v>
      </c>
    </row>
    <row r="75" spans="1:18" outlineLevel="1" x14ac:dyDescent="0.25">
      <c r="A75" s="533" t="s">
        <v>479</v>
      </c>
      <c r="B75" s="533">
        <f>'Budget assumption'!B307</f>
        <v>97.042645189779662</v>
      </c>
      <c r="C75" s="533">
        <f>'Budget assumption'!C307</f>
        <v>95.20483641952984</v>
      </c>
      <c r="D75" s="533">
        <f>'Budget assumption'!D307</f>
        <v>141.08905677892977</v>
      </c>
      <c r="E75" s="533">
        <f>'Budget assumption'!E307</f>
        <v>167.09297684486717</v>
      </c>
      <c r="F75" s="533">
        <f>'Budget assumption'!F307</f>
        <v>147.51308691438058</v>
      </c>
      <c r="G75" s="533">
        <f>'Budget assumption'!G307</f>
        <v>62.061656892045562</v>
      </c>
      <c r="H75" s="533">
        <f>'Budget assumption'!H307</f>
        <v>-45.225420400532109</v>
      </c>
      <c r="I75" s="533">
        <f>'Budget assumption'!I307</f>
        <v>-65.234864621725322</v>
      </c>
      <c r="J75" s="533">
        <f>'Budget assumption'!J307</f>
        <v>95.732695161580821</v>
      </c>
      <c r="K75" s="533">
        <f>'Budget assumption'!K307</f>
        <v>109.26167102710407</v>
      </c>
      <c r="L75" s="533">
        <f>'Budget assumption'!L307</f>
        <v>21.39211353101696</v>
      </c>
      <c r="M75" s="533">
        <f>'Budget assumption'!M307</f>
        <v>118.64985405428432</v>
      </c>
      <c r="N75" s="542">
        <f>'Budget assumption'!N307</f>
        <v>944.58030779126136</v>
      </c>
      <c r="Q75" s="542">
        <f t="shared" si="30"/>
        <v>62.061656892045562</v>
      </c>
      <c r="R75" s="542">
        <f t="shared" si="31"/>
        <v>710.0042590395326</v>
      </c>
    </row>
    <row r="76" spans="1:18" outlineLevel="1" x14ac:dyDescent="0.25">
      <c r="A76" s="533" t="s">
        <v>66</v>
      </c>
      <c r="B76" s="533">
        <f>'Budget assumption'!B310</f>
        <v>-105.62146306377917</v>
      </c>
      <c r="C76" s="533">
        <f>'Budget assumption'!C310</f>
        <v>-105.21914066358104</v>
      </c>
      <c r="D76" s="533">
        <f>'Budget assumption'!D310</f>
        <v>-105.24280668712211</v>
      </c>
      <c r="E76" s="533">
        <f>'Budget assumption'!E310</f>
        <v>5.9165058852665906</v>
      </c>
      <c r="F76" s="533">
        <f>'Budget assumption'!F310</f>
        <v>-108.57971600641248</v>
      </c>
      <c r="G76" s="533">
        <f>'Budget assumption'!G310</f>
        <v>431.54993927134512</v>
      </c>
      <c r="H76" s="533">
        <f>'Budget assumption'!H310</f>
        <v>371.58023561828293</v>
      </c>
      <c r="I76" s="533">
        <f>'Budget assumption'!I310</f>
        <v>310.02490838796928</v>
      </c>
      <c r="J76" s="533">
        <f>'Budget assumption'!J310</f>
        <v>420.49790627766714</v>
      </c>
      <c r="K76" s="533">
        <f>'Budget assumption'!K310</f>
        <v>543.18257231455516</v>
      </c>
      <c r="L76" s="533">
        <f>'Budget assumption'!L310</f>
        <v>410.41618024917284</v>
      </c>
      <c r="M76" s="533">
        <f>'Budget assumption'!M310</f>
        <v>517.93092519623724</v>
      </c>
      <c r="N76" s="542">
        <f>'Budget assumption'!N310</f>
        <v>2586.4360467796018</v>
      </c>
      <c r="Q76" s="542">
        <f t="shared" si="30"/>
        <v>431.54993927134512</v>
      </c>
      <c r="R76" s="542">
        <f t="shared" si="31"/>
        <v>12.803318735716914</v>
      </c>
    </row>
    <row r="77" spans="1:18" outlineLevel="1" x14ac:dyDescent="0.25">
      <c r="A77" s="533" t="s">
        <v>488</v>
      </c>
      <c r="B77" s="533">
        <f>'Budget assumption'!B309</f>
        <v>134.08802713109714</v>
      </c>
      <c r="C77" s="533">
        <f>'Budget assumption'!C309</f>
        <v>218.87485203276265</v>
      </c>
      <c r="D77" s="533">
        <f>'Budget assumption'!D309</f>
        <v>183.13789261880333</v>
      </c>
      <c r="E77" s="533">
        <f>'Budget assumption'!E309</f>
        <v>34.22802559017461</v>
      </c>
      <c r="F77" s="533">
        <f>'Budget assumption'!F309</f>
        <v>680.20277893588911</v>
      </c>
      <c r="G77" s="533">
        <f>'Budget assumption'!G309</f>
        <v>-379.89335277041022</v>
      </c>
      <c r="H77" s="533">
        <f>'Budget assumption'!H309</f>
        <v>110.34545627565082</v>
      </c>
      <c r="I77" s="533">
        <f>'Budget assumption'!I309</f>
        <v>274.09529538436436</v>
      </c>
      <c r="J77" s="533">
        <f>'Budget assumption'!J309</f>
        <v>-353.55695633427626</v>
      </c>
      <c r="K77" s="533">
        <f>'Budget assumption'!K309</f>
        <v>-373.78381675235164</v>
      </c>
      <c r="L77" s="533">
        <f>'Budget assumption'!L309</f>
        <v>-286.60110863710707</v>
      </c>
      <c r="M77" s="533">
        <f>'Budget assumption'!M309</f>
        <v>-116.24151098345583</v>
      </c>
      <c r="N77" s="542">
        <f>'Budget assumption'!N309</f>
        <v>122.93897261815809</v>
      </c>
      <c r="Q77" s="533">
        <f t="shared" si="30"/>
        <v>-379.89335277041022</v>
      </c>
      <c r="R77" s="533">
        <f t="shared" si="31"/>
        <v>870.63822353831665</v>
      </c>
    </row>
    <row r="78" spans="1:18" outlineLevel="1" x14ac:dyDescent="0.25">
      <c r="A78" s="541" t="s">
        <v>182</v>
      </c>
      <c r="B78" s="541">
        <f>SUM(B72:B77)</f>
        <v>51.030098181796163</v>
      </c>
      <c r="C78" s="541">
        <f t="shared" ref="C78:N78" si="32">SUM(C72:C77)</f>
        <v>65.151769196454694</v>
      </c>
      <c r="D78" s="541">
        <f t="shared" si="32"/>
        <v>104.95633856498578</v>
      </c>
      <c r="E78" s="541">
        <f t="shared" si="32"/>
        <v>146.33267878546931</v>
      </c>
      <c r="F78" s="541">
        <f t="shared" si="32"/>
        <v>626.26574254042998</v>
      </c>
      <c r="G78" s="541">
        <f t="shared" si="32"/>
        <v>-17.1648906619115</v>
      </c>
      <c r="H78" s="541">
        <f t="shared" si="32"/>
        <v>368.17526533672105</v>
      </c>
      <c r="I78" s="541">
        <f t="shared" si="32"/>
        <v>454.22696045432986</v>
      </c>
      <c r="J78" s="541">
        <f t="shared" si="32"/>
        <v>44.763518882849894</v>
      </c>
      <c r="K78" s="541">
        <f t="shared" si="32"/>
        <v>174.44963665731768</v>
      </c>
      <c r="L78" s="541">
        <f t="shared" si="32"/>
        <v>40.788610594102408</v>
      </c>
      <c r="M78" s="541">
        <f t="shared" si="32"/>
        <v>505.31959865647474</v>
      </c>
      <c r="N78" s="541">
        <f t="shared" si="32"/>
        <v>2564.2953271890215</v>
      </c>
      <c r="Q78" s="541">
        <f t="shared" si="30"/>
        <v>-17.1648906619115</v>
      </c>
      <c r="R78" s="541">
        <f t="shared" si="31"/>
        <v>976.57173660722447</v>
      </c>
    </row>
    <row r="79" spans="1:18" outlineLevel="1" x14ac:dyDescent="0.25"/>
    <row r="80" spans="1:18" x14ac:dyDescent="0.25">
      <c r="F80" s="726"/>
    </row>
    <row r="81" spans="1:18" x14ac:dyDescent="0.25">
      <c r="B81" s="768"/>
      <c r="C81" s="768"/>
      <c r="D81" s="543">
        <v>5</v>
      </c>
      <c r="E81" s="543">
        <v>6</v>
      </c>
      <c r="F81" s="543">
        <v>7</v>
      </c>
      <c r="G81" s="543">
        <v>8</v>
      </c>
      <c r="H81" s="543">
        <v>9</v>
      </c>
      <c r="I81" s="543">
        <v>10</v>
      </c>
      <c r="J81" s="543">
        <v>11</v>
      </c>
      <c r="K81" s="543">
        <v>12</v>
      </c>
      <c r="L81" s="543">
        <v>13</v>
      </c>
      <c r="M81" s="543">
        <v>14</v>
      </c>
    </row>
    <row r="82" spans="1:18" x14ac:dyDescent="0.25">
      <c r="A82" s="544" t="s">
        <v>157</v>
      </c>
      <c r="B82" s="544">
        <f>+VOLUME!C7</f>
        <v>47357</v>
      </c>
      <c r="C82" s="544">
        <f>+VOLUME!D7</f>
        <v>42593</v>
      </c>
      <c r="D82" s="544">
        <f>+VOLUME!E7</f>
        <v>23002</v>
      </c>
      <c r="E82" s="544">
        <f>+VOLUME!F7</f>
        <v>40893</v>
      </c>
      <c r="F82" s="544">
        <f>+VOLUME!G7</f>
        <v>33043</v>
      </c>
      <c r="G82" s="544">
        <f>+VOLUME!H7</f>
        <v>53186</v>
      </c>
      <c r="H82" s="544">
        <f>+VOLUME!I7</f>
        <v>41500</v>
      </c>
      <c r="I82" s="544">
        <f>+VOLUME!J7</f>
        <v>39000</v>
      </c>
      <c r="J82" s="544">
        <f>+VOLUME!K7</f>
        <v>54085</v>
      </c>
      <c r="K82" s="544">
        <f>+VOLUME!L7</f>
        <v>49500</v>
      </c>
      <c r="L82" s="544">
        <f>+VOLUME!M7</f>
        <v>51936</v>
      </c>
      <c r="M82" s="544">
        <f>+VOLUME!N7</f>
        <v>42190</v>
      </c>
      <c r="N82" s="544">
        <f>+VOLUME!O7</f>
        <v>518285</v>
      </c>
      <c r="Q82" s="545">
        <f t="shared" ref="Q82" si="33">SUMIFS(B82:M82,$B$2:$M$2,$X$3)</f>
        <v>53186</v>
      </c>
      <c r="R82" s="545">
        <f t="shared" ref="R82" si="34">SUMIFS(B82:M82,$B$1:$M$1,$Y$3)</f>
        <v>240074</v>
      </c>
    </row>
    <row r="83" spans="1:18" x14ac:dyDescent="0.25">
      <c r="A83" s="546" t="s">
        <v>170</v>
      </c>
      <c r="B83" s="547" t="s">
        <v>0</v>
      </c>
      <c r="C83" s="547" t="s">
        <v>1</v>
      </c>
      <c r="D83" s="547" t="s">
        <v>2</v>
      </c>
      <c r="E83" s="547" t="s">
        <v>3</v>
      </c>
      <c r="F83" s="547" t="s">
        <v>4</v>
      </c>
      <c r="G83" s="547" t="s">
        <v>5</v>
      </c>
      <c r="H83" s="547" t="s">
        <v>6</v>
      </c>
      <c r="I83" s="547" t="s">
        <v>7</v>
      </c>
      <c r="J83" s="547" t="s">
        <v>8</v>
      </c>
      <c r="K83" s="547" t="s">
        <v>9</v>
      </c>
      <c r="L83" s="547" t="s">
        <v>10</v>
      </c>
      <c r="M83" s="547" t="s">
        <v>11</v>
      </c>
      <c r="N83" s="547" t="s">
        <v>12</v>
      </c>
      <c r="Q83" s="540" t="s">
        <v>179</v>
      </c>
      <c r="R83" s="540" t="s">
        <v>94</v>
      </c>
    </row>
    <row r="84" spans="1:18" x14ac:dyDescent="0.25">
      <c r="A84" s="513" t="s">
        <v>156</v>
      </c>
      <c r="B84" s="513">
        <v>536.4457998245615</v>
      </c>
      <c r="C84" s="513">
        <v>482.03677614035087</v>
      </c>
      <c r="D84" s="513">
        <v>276.12312350877193</v>
      </c>
      <c r="E84" s="513">
        <v>465.28736087719386</v>
      </c>
      <c r="F84" s="513">
        <v>379.06259473684275</v>
      </c>
      <c r="G84" s="513">
        <v>598.40414052631547</v>
      </c>
      <c r="H84" s="513">
        <v>475.70901731567096</v>
      </c>
      <c r="I84" s="513">
        <v>446.9637611682378</v>
      </c>
      <c r="J84" s="513">
        <v>619.9682017631028</v>
      </c>
      <c r="K84" s="513">
        <v>567.30015840584031</v>
      </c>
      <c r="L84" s="513">
        <v>597.65226099530287</v>
      </c>
      <c r="M84" s="513">
        <v>485.50040225261529</v>
      </c>
      <c r="N84" s="513">
        <f>SUM(B84:M84)</f>
        <v>5930.4535975148065</v>
      </c>
      <c r="Q84" s="513">
        <f t="shared" ref="Q84:Q110" si="35">SUMIFS(B84:M84,$B$2:$M$2,$X$3)</f>
        <v>598.40414052631547</v>
      </c>
      <c r="R84" s="513">
        <f t="shared" ref="R84:R110" si="36">SUMIFS(B84:M84,$B$1:$M$1,$Y$3)</f>
        <v>2737.3597956140366</v>
      </c>
    </row>
    <row r="85" spans="1:18" x14ac:dyDescent="0.25">
      <c r="A85" s="513" t="s">
        <v>75</v>
      </c>
      <c r="B85" s="513">
        <v>35.686211052631577</v>
      </c>
      <c r="C85" s="513">
        <v>32.002356315789477</v>
      </c>
      <c r="D85" s="513">
        <v>18.351187368421055</v>
      </c>
      <c r="E85" s="513">
        <v>30.9152736842106</v>
      </c>
      <c r="F85" s="513">
        <v>25.227419298245636</v>
      </c>
      <c r="G85" s="513">
        <v>39.841031929824631</v>
      </c>
      <c r="H85" s="513">
        <v>31.658025673327998</v>
      </c>
      <c r="I85" s="513">
        <v>29.744716299381018</v>
      </c>
      <c r="J85" s="513">
        <v>41.258346378894345</v>
      </c>
      <c r="K85" s="513">
        <v>37.752909149214368</v>
      </c>
      <c r="L85" s="513">
        <v>39.782115350061254</v>
      </c>
      <c r="M85" s="513">
        <v>32.316840854495616</v>
      </c>
      <c r="N85" s="513">
        <f t="shared" ref="N85:N86" si="37">SUM(B85:M85)</f>
        <v>394.5364333544976</v>
      </c>
      <c r="Q85" s="513">
        <f t="shared" si="35"/>
        <v>39.841031929824631</v>
      </c>
      <c r="R85" s="513">
        <f t="shared" si="36"/>
        <v>182.02347964912298</v>
      </c>
    </row>
    <row r="86" spans="1:18" x14ac:dyDescent="0.25">
      <c r="A86" s="514" t="s">
        <v>195</v>
      </c>
      <c r="B86" s="514">
        <v>15.171200000000001</v>
      </c>
      <c r="C86" s="514">
        <v>13.746192631578948</v>
      </c>
      <c r="D86" s="514">
        <v>7.8790031578947364</v>
      </c>
      <c r="E86" s="514">
        <v>13.272975789473675</v>
      </c>
      <c r="F86" s="514">
        <v>10.735484385964913</v>
      </c>
      <c r="G86" s="514">
        <v>17.021983333333335</v>
      </c>
      <c r="H86" s="514">
        <v>13.47335885212625</v>
      </c>
      <c r="I86" s="514">
        <v>12.659391380018981</v>
      </c>
      <c r="J86" s="514">
        <v>17.5591689677407</v>
      </c>
      <c r="K86" s="514">
        <v>16.06768905925486</v>
      </c>
      <c r="L86" s="514">
        <v>16.92250378547218</v>
      </c>
      <c r="M86" s="514">
        <v>13.746927655365667</v>
      </c>
      <c r="N86" s="514">
        <f t="shared" si="37"/>
        <v>168.25587899822426</v>
      </c>
      <c r="Q86" s="514">
        <f t="shared" si="35"/>
        <v>17.021983333333335</v>
      </c>
      <c r="R86" s="514">
        <f t="shared" si="36"/>
        <v>77.826839298245616</v>
      </c>
    </row>
    <row r="87" spans="1:18" ht="12.6" thickBot="1" x14ac:dyDescent="0.3">
      <c r="A87" s="515" t="s">
        <v>196</v>
      </c>
      <c r="B87" s="515">
        <f>SUM(B84:B86)</f>
        <v>587.30321087719312</v>
      </c>
      <c r="C87" s="515">
        <f t="shared" ref="C87:N87" si="38">SUM(C84:C86)</f>
        <v>527.78532508771934</v>
      </c>
      <c r="D87" s="515">
        <f t="shared" si="38"/>
        <v>302.35331403508769</v>
      </c>
      <c r="E87" s="515">
        <f t="shared" si="38"/>
        <v>509.47561035087813</v>
      </c>
      <c r="F87" s="515">
        <f t="shared" si="38"/>
        <v>415.02549842105333</v>
      </c>
      <c r="G87" s="515">
        <f t="shared" si="38"/>
        <v>655.26715578947346</v>
      </c>
      <c r="H87" s="515">
        <f t="shared" si="38"/>
        <v>520.84040184112519</v>
      </c>
      <c r="I87" s="515">
        <f t="shared" si="38"/>
        <v>489.36786884763779</v>
      </c>
      <c r="J87" s="515">
        <f t="shared" si="38"/>
        <v>678.78571710973779</v>
      </c>
      <c r="K87" s="515">
        <f t="shared" si="38"/>
        <v>621.12075661430958</v>
      </c>
      <c r="L87" s="515">
        <f t="shared" si="38"/>
        <v>654.35688013083632</v>
      </c>
      <c r="M87" s="515">
        <f t="shared" si="38"/>
        <v>531.56417076247658</v>
      </c>
      <c r="N87" s="515">
        <f t="shared" si="38"/>
        <v>6493.2459098675281</v>
      </c>
      <c r="Q87" s="515">
        <f t="shared" si="35"/>
        <v>655.26715578947346</v>
      </c>
      <c r="R87" s="515">
        <f t="shared" si="36"/>
        <v>2997.2101145614051</v>
      </c>
    </row>
    <row r="88" spans="1:18" x14ac:dyDescent="0.25">
      <c r="A88" s="516" t="s">
        <v>80</v>
      </c>
      <c r="B88" s="516">
        <v>212.14049263157892</v>
      </c>
      <c r="C88" s="516">
        <v>190.5489038596491</v>
      </c>
      <c r="D88" s="516">
        <v>109.11421649122808</v>
      </c>
      <c r="E88" s="516">
        <v>184.0365763157898</v>
      </c>
      <c r="F88" s="516">
        <v>149.83939561403511</v>
      </c>
      <c r="G88" s="516">
        <v>236.64471140350889</v>
      </c>
      <c r="H88" s="516">
        <v>188.03322803986413</v>
      </c>
      <c r="I88" s="516">
        <v>176.66885530633434</v>
      </c>
      <c r="J88" s="516">
        <v>245.05444664358726</v>
      </c>
      <c r="K88" s="516">
        <v>224.23354711957819</v>
      </c>
      <c r="L88" s="516">
        <v>236.29289223923899</v>
      </c>
      <c r="M88" s="516">
        <v>191.95157739474533</v>
      </c>
      <c r="N88" s="516">
        <f t="shared" ref="N88:N93" si="39">SUM(B88:M88)</f>
        <v>2344.5588430591383</v>
      </c>
      <c r="Q88" s="516">
        <f t="shared" si="35"/>
        <v>236.64471140350889</v>
      </c>
      <c r="R88" s="516">
        <f t="shared" si="36"/>
        <v>1082.32429631579</v>
      </c>
    </row>
    <row r="89" spans="1:18" x14ac:dyDescent="0.25">
      <c r="A89" s="514" t="s">
        <v>81</v>
      </c>
      <c r="B89" s="514">
        <v>74.965892280701766</v>
      </c>
      <c r="C89" s="514">
        <v>67.454868421052623</v>
      </c>
      <c r="D89" s="514">
        <v>38.698585964912283</v>
      </c>
      <c r="E89" s="514">
        <v>65.067655263157903</v>
      </c>
      <c r="F89" s="514">
        <v>53.040012631578954</v>
      </c>
      <c r="G89" s="514">
        <v>83.695494912280793</v>
      </c>
      <c r="H89" s="514">
        <v>66.553724118392537</v>
      </c>
      <c r="I89" s="514">
        <v>62.529890122427624</v>
      </c>
      <c r="J89" s="514">
        <v>86.736174665769354</v>
      </c>
      <c r="K89" s="514">
        <v>79.364860540004301</v>
      </c>
      <c r="L89" s="514">
        <v>83.673277787996255</v>
      </c>
      <c r="M89" s="514">
        <v>67.971649527795023</v>
      </c>
      <c r="N89" s="514">
        <f t="shared" si="39"/>
        <v>829.75208623606954</v>
      </c>
      <c r="Q89" s="514">
        <f t="shared" si="35"/>
        <v>83.695494912280793</v>
      </c>
      <c r="R89" s="514">
        <f t="shared" si="36"/>
        <v>382.92250947368439</v>
      </c>
    </row>
    <row r="90" spans="1:18" x14ac:dyDescent="0.25">
      <c r="A90" s="514" t="s">
        <v>82</v>
      </c>
      <c r="B90" s="514">
        <v>145.37436859649122</v>
      </c>
      <c r="C90" s="514">
        <v>130.62198842105263</v>
      </c>
      <c r="D90" s="514">
        <v>74.809422982456141</v>
      </c>
      <c r="E90" s="514">
        <v>126.16662157894729</v>
      </c>
      <c r="F90" s="514">
        <v>102.69277333333339</v>
      </c>
      <c r="G90" s="514">
        <v>162.06681438596488</v>
      </c>
      <c r="H90" s="514">
        <v>128.88785377015981</v>
      </c>
      <c r="I90" s="514">
        <v>121.10260007433727</v>
      </c>
      <c r="J90" s="514">
        <v>167.97324421032059</v>
      </c>
      <c r="K90" s="514">
        <v>153.70714624819729</v>
      </c>
      <c r="L90" s="514">
        <v>161.84961773298673</v>
      </c>
      <c r="M90" s="514">
        <v>131.47788378301584</v>
      </c>
      <c r="N90" s="514">
        <f t="shared" si="39"/>
        <v>1606.7303351172629</v>
      </c>
      <c r="Q90" s="514">
        <f t="shared" si="35"/>
        <v>162.06681438596488</v>
      </c>
      <c r="R90" s="514">
        <f t="shared" si="36"/>
        <v>741.73198929824559</v>
      </c>
    </row>
    <row r="91" spans="1:18" x14ac:dyDescent="0.25">
      <c r="A91" s="514" t="s">
        <v>83</v>
      </c>
      <c r="B91" s="514">
        <v>7.9977999999999989</v>
      </c>
      <c r="C91" s="514">
        <v>7.2339699999999993</v>
      </c>
      <c r="D91" s="514">
        <v>4.0822500000000002</v>
      </c>
      <c r="E91" s="514">
        <v>6.9506099999999975</v>
      </c>
      <c r="F91" s="514">
        <v>5.6473999999999975</v>
      </c>
      <c r="G91" s="514">
        <v>8.8590024561403418</v>
      </c>
      <c r="H91" s="514">
        <v>7.0880852982577611</v>
      </c>
      <c r="I91" s="514">
        <v>6.6599735766369585</v>
      </c>
      <c r="J91" s="514">
        <v>9.2375557148846745</v>
      </c>
      <c r="K91" s="514">
        <v>8.4530433857315241</v>
      </c>
      <c r="L91" s="514">
        <v>8.8999462916886287</v>
      </c>
      <c r="M91" s="514">
        <v>7.2298354522170207</v>
      </c>
      <c r="N91" s="514">
        <f t="shared" si="39"/>
        <v>88.339472175556878</v>
      </c>
      <c r="Q91" s="514">
        <f>SUMIFS(B91:M91,$B$2:$M$2,$X$3)</f>
        <v>8.8590024561403418</v>
      </c>
      <c r="R91" s="514">
        <f t="shared" si="36"/>
        <v>40.771032456140333</v>
      </c>
    </row>
    <row r="92" spans="1:18" x14ac:dyDescent="0.25">
      <c r="A92" s="514" t="s">
        <v>84</v>
      </c>
      <c r="B92" s="514">
        <v>37.110271052631582</v>
      </c>
      <c r="C92" s="514">
        <v>33.289206315789471</v>
      </c>
      <c r="D92" s="514">
        <v>19.053177368421053</v>
      </c>
      <c r="E92" s="514">
        <v>32.152643684210531</v>
      </c>
      <c r="F92" s="514">
        <v>26.221589298245622</v>
      </c>
      <c r="G92" s="514">
        <v>41.414629298245622</v>
      </c>
      <c r="H92" s="514">
        <v>32.906571321107954</v>
      </c>
      <c r="I92" s="514">
        <v>30.918031368000143</v>
      </c>
      <c r="J92" s="514">
        <v>42.885517060685117</v>
      </c>
      <c r="K92" s="514">
        <v>39.242116736307871</v>
      </c>
      <c r="L92" s="514">
        <v>41.345079366864901</v>
      </c>
      <c r="M92" s="514">
        <v>33.586508365835449</v>
      </c>
      <c r="N92" s="514">
        <f t="shared" si="39"/>
        <v>410.12534123634538</v>
      </c>
      <c r="Q92" s="514">
        <f t="shared" si="35"/>
        <v>41.414629298245622</v>
      </c>
      <c r="R92" s="514">
        <f t="shared" si="36"/>
        <v>189.24151701754388</v>
      </c>
    </row>
    <row r="93" spans="1:18" x14ac:dyDescent="0.25">
      <c r="A93" s="514" t="s">
        <v>86</v>
      </c>
      <c r="B93" s="514">
        <v>489.9565129824561</v>
      </c>
      <c r="C93" s="514">
        <v>441.20390842105269</v>
      </c>
      <c r="D93" s="514">
        <v>246.6326243859649</v>
      </c>
      <c r="E93" s="514">
        <v>424.54616210526245</v>
      </c>
      <c r="F93" s="514">
        <v>345.56337614035084</v>
      </c>
      <c r="G93" s="514">
        <v>543.42573701754384</v>
      </c>
      <c r="H93" s="514">
        <v>433.93081666755683</v>
      </c>
      <c r="I93" s="514">
        <v>407.77239156310611</v>
      </c>
      <c r="J93" s="514">
        <v>565.52143771551039</v>
      </c>
      <c r="K93" s="514">
        <v>517.5572662147116</v>
      </c>
      <c r="L93" s="514">
        <v>543.52514382890547</v>
      </c>
      <c r="M93" s="514">
        <v>441.53045706526342</v>
      </c>
      <c r="N93" s="514">
        <f t="shared" si="39"/>
        <v>5401.1658341076845</v>
      </c>
      <c r="Q93" s="514">
        <f t="shared" si="35"/>
        <v>543.42573701754384</v>
      </c>
      <c r="R93" s="514">
        <f t="shared" si="36"/>
        <v>2491.3283210526306</v>
      </c>
    </row>
    <row r="94" spans="1:18" ht="12.6" thickBot="1" x14ac:dyDescent="0.3">
      <c r="A94" s="515" t="s">
        <v>197</v>
      </c>
      <c r="B94" s="515">
        <f>SUM(B88:B93)</f>
        <v>967.54533754385966</v>
      </c>
      <c r="C94" s="515">
        <f>SUM(C88:C93)</f>
        <v>870.35284543859643</v>
      </c>
      <c r="D94" s="515">
        <f>SUM(D88:D93)</f>
        <v>492.39027719298247</v>
      </c>
      <c r="E94" s="515">
        <f t="shared" ref="E94:N94" si="40">SUM(E88:E93)</f>
        <v>838.92026894736796</v>
      </c>
      <c r="F94" s="515">
        <f t="shared" si="40"/>
        <v>683.00454701754393</v>
      </c>
      <c r="G94" s="515">
        <f t="shared" si="40"/>
        <v>1076.1063894736844</v>
      </c>
      <c r="H94" s="515">
        <f t="shared" si="40"/>
        <v>857.40027921533897</v>
      </c>
      <c r="I94" s="515">
        <f t="shared" si="40"/>
        <v>805.65174201084244</v>
      </c>
      <c r="J94" s="515">
        <f t="shared" si="40"/>
        <v>1117.4083760107574</v>
      </c>
      <c r="K94" s="515">
        <f t="shared" si="40"/>
        <v>1022.5579802445308</v>
      </c>
      <c r="L94" s="515">
        <f t="shared" si="40"/>
        <v>1075.5859572476811</v>
      </c>
      <c r="M94" s="515">
        <f t="shared" si="40"/>
        <v>873.74791158887206</v>
      </c>
      <c r="N94" s="515">
        <f t="shared" si="40"/>
        <v>10680.671911932059</v>
      </c>
      <c r="Q94" s="515">
        <f t="shared" si="35"/>
        <v>1076.1063894736844</v>
      </c>
      <c r="R94" s="515">
        <f t="shared" si="36"/>
        <v>4928.3196656140344</v>
      </c>
    </row>
    <row r="95" spans="1:18" x14ac:dyDescent="0.25">
      <c r="A95" s="517" t="s">
        <v>88</v>
      </c>
      <c r="B95" s="517">
        <f>B87+B94</f>
        <v>1554.8485484210528</v>
      </c>
      <c r="C95" s="517">
        <f t="shared" ref="C95:N95" si="41">C87+C94</f>
        <v>1398.1381705263157</v>
      </c>
      <c r="D95" s="517">
        <f t="shared" si="41"/>
        <v>794.74359122807016</v>
      </c>
      <c r="E95" s="517">
        <f t="shared" si="41"/>
        <v>1348.3958792982462</v>
      </c>
      <c r="F95" s="517">
        <f t="shared" si="41"/>
        <v>1098.0300454385972</v>
      </c>
      <c r="G95" s="517">
        <f t="shared" si="41"/>
        <v>1731.3735452631579</v>
      </c>
      <c r="H95" s="517">
        <f t="shared" si="41"/>
        <v>1378.2406810564642</v>
      </c>
      <c r="I95" s="517">
        <f t="shared" si="41"/>
        <v>1295.0196108584803</v>
      </c>
      <c r="J95" s="517">
        <f t="shared" si="41"/>
        <v>1796.1940931204952</v>
      </c>
      <c r="K95" s="517">
        <f t="shared" si="41"/>
        <v>1643.6787368588402</v>
      </c>
      <c r="L95" s="517">
        <f t="shared" si="41"/>
        <v>1729.9428373785174</v>
      </c>
      <c r="M95" s="517">
        <f t="shared" si="41"/>
        <v>1405.3120823513486</v>
      </c>
      <c r="N95" s="517">
        <f t="shared" si="41"/>
        <v>17173.917821799587</v>
      </c>
      <c r="Q95" s="517">
        <f t="shared" si="35"/>
        <v>1731.3735452631579</v>
      </c>
      <c r="R95" s="517">
        <f t="shared" si="36"/>
        <v>7925.5297801754405</v>
      </c>
    </row>
    <row r="96" spans="1:18" x14ac:dyDescent="0.25">
      <c r="A96" s="514" t="s">
        <v>89</v>
      </c>
      <c r="B96" s="514"/>
      <c r="C96" s="514"/>
      <c r="D96" s="514"/>
      <c r="E96" s="514"/>
      <c r="F96" s="514"/>
      <c r="G96" s="514"/>
      <c r="H96" s="514"/>
      <c r="I96" s="514"/>
      <c r="J96" s="514"/>
      <c r="K96" s="514"/>
      <c r="L96" s="514"/>
      <c r="M96" s="514"/>
      <c r="N96" s="514">
        <f>SUM(B96:M96)</f>
        <v>0</v>
      </c>
      <c r="Q96" s="514">
        <f t="shared" si="35"/>
        <v>0</v>
      </c>
      <c r="R96" s="514">
        <f t="shared" si="36"/>
        <v>0</v>
      </c>
    </row>
    <row r="97" spans="1:18" x14ac:dyDescent="0.25">
      <c r="A97" s="517" t="s">
        <v>90</v>
      </c>
      <c r="B97" s="517"/>
      <c r="C97" s="517"/>
      <c r="D97" s="517"/>
      <c r="E97" s="517"/>
      <c r="F97" s="517"/>
      <c r="G97" s="517"/>
      <c r="H97" s="517"/>
      <c r="I97" s="517"/>
      <c r="J97" s="517"/>
      <c r="K97" s="517"/>
      <c r="L97" s="517"/>
      <c r="M97" s="517"/>
      <c r="N97" s="517">
        <f>SUM(N95,N96)</f>
        <v>17173.917821799587</v>
      </c>
      <c r="Q97" s="517">
        <f t="shared" si="35"/>
        <v>0</v>
      </c>
      <c r="R97" s="517">
        <f t="shared" si="36"/>
        <v>0</v>
      </c>
    </row>
    <row r="98" spans="1:18" x14ac:dyDescent="0.25">
      <c r="A98" s="514" t="s">
        <v>91</v>
      </c>
      <c r="B98" s="514"/>
      <c r="C98" s="514"/>
      <c r="D98" s="514"/>
      <c r="E98" s="514"/>
      <c r="F98" s="514"/>
      <c r="G98" s="514"/>
      <c r="H98" s="514"/>
      <c r="I98" s="514"/>
      <c r="J98" s="514"/>
      <c r="K98" s="514"/>
      <c r="L98" s="514"/>
      <c r="M98" s="514"/>
      <c r="N98" s="514">
        <f>SUM(B98:M98)</f>
        <v>0</v>
      </c>
      <c r="P98" s="533">
        <v>1000</v>
      </c>
      <c r="Q98" s="514">
        <f t="shared" si="35"/>
        <v>0</v>
      </c>
      <c r="R98" s="514">
        <f t="shared" si="36"/>
        <v>0</v>
      </c>
    </row>
    <row r="99" spans="1:18" s="548" customFormat="1" x14ac:dyDescent="0.25">
      <c r="A99" s="517" t="s">
        <v>92</v>
      </c>
      <c r="B99" s="517"/>
      <c r="C99" s="517"/>
      <c r="D99" s="517"/>
      <c r="E99" s="517"/>
      <c r="F99" s="517"/>
      <c r="G99" s="517"/>
      <c r="H99" s="517"/>
      <c r="I99" s="517"/>
      <c r="J99" s="517"/>
      <c r="K99" s="517"/>
      <c r="L99" s="517"/>
      <c r="M99" s="517"/>
      <c r="N99" s="517">
        <f>SUM(N97,N98)</f>
        <v>17173.917821799587</v>
      </c>
      <c r="O99" s="533"/>
      <c r="Q99" s="517">
        <f t="shared" si="35"/>
        <v>0</v>
      </c>
      <c r="R99" s="517">
        <f t="shared" si="36"/>
        <v>0</v>
      </c>
    </row>
    <row r="100" spans="1:18" s="548" customFormat="1" x14ac:dyDescent="0.25">
      <c r="A100" s="514" t="s">
        <v>76</v>
      </c>
      <c r="B100" s="514">
        <v>22.8328149122807</v>
      </c>
      <c r="C100" s="514">
        <v>20.516916140350876</v>
      </c>
      <c r="D100" s="514">
        <v>11.691480877192983</v>
      </c>
      <c r="E100" s="514">
        <v>19.811557894736829</v>
      </c>
      <c r="F100" s="514">
        <v>16.154150701754382</v>
      </c>
      <c r="G100" s="514">
        <v>25.432898421052627</v>
      </c>
      <c r="H100" s="514">
        <v>20.273526388798629</v>
      </c>
      <c r="I100" s="514">
        <v>19.048638993600616</v>
      </c>
      <c r="J100" s="514">
        <v>26.421493246006698</v>
      </c>
      <c r="K100" s="514">
        <v>24.177118722646942</v>
      </c>
      <c r="L100" s="514">
        <v>25.466144373555593</v>
      </c>
      <c r="M100" s="514">
        <v>20.68731960721485</v>
      </c>
      <c r="N100" s="514">
        <f t="shared" ref="N100:N104" si="42">SUM(B100:M100)</f>
        <v>252.51406027919174</v>
      </c>
      <c r="O100" s="533"/>
      <c r="Q100" s="514">
        <f t="shared" si="35"/>
        <v>25.432898421052627</v>
      </c>
      <c r="R100" s="514">
        <f t="shared" si="36"/>
        <v>116.43981894736841</v>
      </c>
    </row>
    <row r="101" spans="1:18" x14ac:dyDescent="0.25">
      <c r="A101" s="514" t="s">
        <v>77</v>
      </c>
      <c r="B101" s="514">
        <v>-56.297268070175434</v>
      </c>
      <c r="C101" s="514">
        <v>-50.701756666666668</v>
      </c>
      <c r="D101" s="514">
        <v>-29.029937894736843</v>
      </c>
      <c r="E101" s="514">
        <v>-48.888272631578957</v>
      </c>
      <c r="F101" s="514">
        <v>-39.781346491228042</v>
      </c>
      <c r="G101" s="514">
        <v>-62.749350175438593</v>
      </c>
      <c r="H101" s="514">
        <v>-49.928924806799678</v>
      </c>
      <c r="I101" s="514">
        <v>-46.913069323408379</v>
      </c>
      <c r="J101" s="514">
        <v>-65.069929086777606</v>
      </c>
      <c r="K101" s="514">
        <v>-59.543511064326019</v>
      </c>
      <c r="L101" s="514">
        <v>-62.697291805650735</v>
      </c>
      <c r="M101" s="514">
        <v>-50.931891968584502</v>
      </c>
      <c r="N101" s="514">
        <f t="shared" si="42"/>
        <v>-622.53254998537147</v>
      </c>
      <c r="Q101" s="514">
        <f t="shared" si="35"/>
        <v>-62.749350175438593</v>
      </c>
      <c r="R101" s="514">
        <f t="shared" si="36"/>
        <v>-287.44793192982456</v>
      </c>
    </row>
    <row r="102" spans="1:18" x14ac:dyDescent="0.25">
      <c r="A102" s="514" t="s">
        <v>144</v>
      </c>
      <c r="B102" s="514"/>
      <c r="C102" s="514"/>
      <c r="D102" s="514"/>
      <c r="E102" s="514"/>
      <c r="F102" s="514"/>
      <c r="G102" s="514"/>
      <c r="H102" s="514"/>
      <c r="I102" s="514"/>
      <c r="J102" s="514"/>
      <c r="K102" s="514"/>
      <c r="L102" s="514"/>
      <c r="M102" s="514"/>
      <c r="N102" s="514">
        <f t="shared" si="42"/>
        <v>0</v>
      </c>
      <c r="Q102" s="514">
        <f t="shared" si="35"/>
        <v>0</v>
      </c>
      <c r="R102" s="514">
        <f t="shared" si="36"/>
        <v>0</v>
      </c>
    </row>
    <row r="103" spans="1:18" x14ac:dyDescent="0.25">
      <c r="A103" s="514" t="s">
        <v>85</v>
      </c>
      <c r="B103" s="514"/>
      <c r="C103" s="514"/>
      <c r="D103" s="514"/>
      <c r="E103" s="514"/>
      <c r="F103" s="514"/>
      <c r="G103" s="514"/>
      <c r="H103" s="514"/>
      <c r="I103" s="514"/>
      <c r="J103" s="514"/>
      <c r="K103" s="514"/>
      <c r="L103" s="514"/>
      <c r="M103" s="514"/>
      <c r="N103" s="514">
        <f t="shared" si="42"/>
        <v>0</v>
      </c>
      <c r="Q103" s="514">
        <f t="shared" si="35"/>
        <v>0</v>
      </c>
      <c r="R103" s="514">
        <f t="shared" si="36"/>
        <v>0</v>
      </c>
    </row>
    <row r="104" spans="1:18" x14ac:dyDescent="0.25">
      <c r="A104" s="514" t="s">
        <v>145</v>
      </c>
      <c r="B104" s="514"/>
      <c r="C104" s="514"/>
      <c r="D104" s="514"/>
      <c r="E104" s="514"/>
      <c r="F104" s="514"/>
      <c r="G104" s="514"/>
      <c r="H104" s="514"/>
      <c r="I104" s="514"/>
      <c r="J104" s="514"/>
      <c r="K104" s="514"/>
      <c r="L104" s="514"/>
      <c r="M104" s="514"/>
      <c r="N104" s="514">
        <f t="shared" si="42"/>
        <v>0</v>
      </c>
      <c r="Q104" s="514">
        <f t="shared" si="35"/>
        <v>0</v>
      </c>
      <c r="R104" s="514">
        <f t="shared" si="36"/>
        <v>0</v>
      </c>
    </row>
    <row r="105" spans="1:18" x14ac:dyDescent="0.25">
      <c r="A105" s="517" t="s">
        <v>146</v>
      </c>
      <c r="B105" s="517">
        <f>SUM(B100:B104)</f>
        <v>-33.464453157894738</v>
      </c>
      <c r="C105" s="517">
        <f t="shared" ref="C105:N105" si="43">SUM(C100:C104)</f>
        <v>-30.184840526315792</v>
      </c>
      <c r="D105" s="517">
        <f t="shared" si="43"/>
        <v>-17.33845701754386</v>
      </c>
      <c r="E105" s="517">
        <f t="shared" si="43"/>
        <v>-29.076714736842128</v>
      </c>
      <c r="F105" s="517">
        <f t="shared" si="43"/>
        <v>-23.62719578947366</v>
      </c>
      <c r="G105" s="517">
        <f t="shared" si="43"/>
        <v>-37.316451754385966</v>
      </c>
      <c r="H105" s="517">
        <f t="shared" si="43"/>
        <v>-29.655398418001049</v>
      </c>
      <c r="I105" s="517">
        <f t="shared" si="43"/>
        <v>-27.864430329807764</v>
      </c>
      <c r="J105" s="517">
        <f t="shared" si="43"/>
        <v>-38.648435840770908</v>
      </c>
      <c r="K105" s="517">
        <f t="shared" si="43"/>
        <v>-35.366392341679074</v>
      </c>
      <c r="L105" s="517">
        <f t="shared" si="43"/>
        <v>-37.231147432095142</v>
      </c>
      <c r="M105" s="517">
        <f t="shared" si="43"/>
        <v>-30.244572361369652</v>
      </c>
      <c r="N105" s="517">
        <f t="shared" si="43"/>
        <v>-370.01848970617971</v>
      </c>
      <c r="Q105" s="517">
        <f t="shared" si="35"/>
        <v>-37.316451754385966</v>
      </c>
      <c r="R105" s="517">
        <f t="shared" si="36"/>
        <v>-171.00811298245617</v>
      </c>
    </row>
    <row r="106" spans="1:18" x14ac:dyDescent="0.25">
      <c r="A106" s="514" t="s">
        <v>148</v>
      </c>
      <c r="B106" s="514">
        <f>+B108*('Budget assumption'!B233/'Budget assumption'!B235)</f>
        <v>74.699582793265066</v>
      </c>
      <c r="C106" s="514">
        <f>+C108*('Budget assumption'!C233/'Budget assumption'!C235)</f>
        <v>67.140322401581443</v>
      </c>
      <c r="D106" s="514">
        <f>+D108*('Budget assumption'!D233/'Budget assumption'!D235)</f>
        <v>38.43946504468159</v>
      </c>
      <c r="E106" s="514">
        <f>+E108*('Budget assumption'!E233/'Budget assumption'!E235)</f>
        <v>64.814166785348817</v>
      </c>
      <c r="F106" s="514">
        <f>+F108*('Budget assumption'!F233/'Budget assumption'!F235)</f>
        <v>52.788311642873907</v>
      </c>
      <c r="G106" s="514">
        <f>+G108*('Budget assumption'!G233/'Budget assumption'!G235)</f>
        <v>83.314994075403902</v>
      </c>
      <c r="H106" s="514">
        <f>+H108*('Budget assumption'!H233/'Budget assumption'!H235)</f>
        <v>66.249040043136489</v>
      </c>
      <c r="I106" s="514">
        <f>+I108*('Budget assumption'!I233/'Budget assumption'!I235)</f>
        <v>62.246279188283211</v>
      </c>
      <c r="J106" s="514">
        <f>+J108*('Budget assumption'!J233/'Budget assumption'!J235)</f>
        <v>86.339125334927544</v>
      </c>
      <c r="K106" s="514">
        <f>+K108*('Budget assumption'!K233/'Budget assumption'!K235)</f>
        <v>79.004892815897904</v>
      </c>
      <c r="L106" s="514">
        <f>+L108*('Budget assumption'!L233/'Budget assumption'!L235)</f>
        <v>83.220471084454047</v>
      </c>
      <c r="M106" s="514">
        <f>+M108*('Budget assumption'!M233/'Budget assumption'!M235)</f>
        <v>67.603813829580957</v>
      </c>
      <c r="N106" s="514">
        <f t="shared" ref="N106:N107" si="44">SUM(B106:M106)</f>
        <v>825.86046503943487</v>
      </c>
      <c r="Q106" s="514">
        <f t="shared" si="35"/>
        <v>83.314994075403902</v>
      </c>
      <c r="R106" s="514">
        <f t="shared" si="36"/>
        <v>381.19684274315466</v>
      </c>
    </row>
    <row r="107" spans="1:18" x14ac:dyDescent="0.25">
      <c r="A107" s="514" t="s">
        <v>149</v>
      </c>
      <c r="B107" s="514">
        <f>+B108*('Budget assumption'!B234/'Budget assumption'!B235)</f>
        <v>77.857964399717403</v>
      </c>
      <c r="C107" s="514">
        <f>+C108*('Budget assumption'!C234/'Budget assumption'!C235)</f>
        <v>69.979090054558924</v>
      </c>
      <c r="D107" s="514">
        <f>+D108*('Budget assumption'!D234/'Budget assumption'!D235)</f>
        <v>40.064728464090344</v>
      </c>
      <c r="E107" s="514">
        <f>+E108*('Budget assumption'!E234/'Budget assumption'!E235)</f>
        <v>67.554581986581184</v>
      </c>
      <c r="F107" s="514">
        <f>+F108*('Budget assumption'!F234/'Budget assumption'!F235)</f>
        <v>55.020260286950645</v>
      </c>
      <c r="G107" s="514">
        <f>+G108*('Budget assumption'!G234/'Budget assumption'!G235)</f>
        <v>86.837644871964514</v>
      </c>
      <c r="H107" s="514">
        <f>+H108*('Budget assumption'!H234/'Budget assumption'!H235)</f>
        <v>69.050123284745041</v>
      </c>
      <c r="I107" s="514">
        <f>+I108*('Budget assumption'!I234/'Budget assumption'!I235)</f>
        <v>64.878121240232332</v>
      </c>
      <c r="J107" s="514">
        <f>+J108*('Budget assumption'!J234/'Budget assumption'!J235)</f>
        <v>89.98963977126256</v>
      </c>
      <c r="K107" s="514">
        <f>+K108*('Budget assumption'!K234/'Budget assumption'!K235)</f>
        <v>82.345307727987176</v>
      </c>
      <c r="L107" s="514">
        <f>+L108*('Budget assumption'!L234/'Budget assumption'!L235)</f>
        <v>86.739125343619932</v>
      </c>
      <c r="M107" s="514">
        <f>+M108*('Budget assumption'!M234/'Budget assumption'!M235)</f>
        <v>70.462178416653671</v>
      </c>
      <c r="N107" s="514">
        <f t="shared" si="44"/>
        <v>860.77876584836372</v>
      </c>
      <c r="Q107" s="514">
        <f t="shared" si="35"/>
        <v>86.837644871964514</v>
      </c>
      <c r="R107" s="514">
        <f t="shared" si="36"/>
        <v>397.31427006386303</v>
      </c>
    </row>
    <row r="108" spans="1:18" x14ac:dyDescent="0.25">
      <c r="A108" s="517" t="s">
        <v>150</v>
      </c>
      <c r="B108" s="517">
        <v>152.55754719298247</v>
      </c>
      <c r="C108" s="517">
        <v>137.11941245614037</v>
      </c>
      <c r="D108" s="517">
        <v>78.504193508771934</v>
      </c>
      <c r="E108" s="517">
        <v>132.36874877193</v>
      </c>
      <c r="F108" s="517">
        <v>107.80857192982455</v>
      </c>
      <c r="G108" s="517">
        <v>170.15263894736842</v>
      </c>
      <c r="H108" s="517">
        <v>135.29916332788153</v>
      </c>
      <c r="I108" s="517">
        <v>127.12440042851554</v>
      </c>
      <c r="J108" s="517">
        <v>176.3287651061901</v>
      </c>
      <c r="K108" s="517">
        <v>161.35020054388508</v>
      </c>
      <c r="L108" s="517">
        <v>169.95959642807398</v>
      </c>
      <c r="M108" s="517">
        <v>138.06599224623463</v>
      </c>
      <c r="N108" s="517">
        <f>SUM(N106:N107)</f>
        <v>1686.6392308877985</v>
      </c>
      <c r="Q108" s="517">
        <f t="shared" si="35"/>
        <v>170.15263894736842</v>
      </c>
      <c r="R108" s="517">
        <f t="shared" si="36"/>
        <v>778.51111280701775</v>
      </c>
    </row>
    <row r="109" spans="1:18" ht="12.6" thickBot="1" x14ac:dyDescent="0.3">
      <c r="A109" s="520"/>
      <c r="B109" s="520"/>
      <c r="C109" s="520"/>
      <c r="D109" s="520"/>
      <c r="E109" s="520"/>
      <c r="F109" s="520"/>
      <c r="G109" s="520"/>
      <c r="H109" s="520"/>
      <c r="I109" s="520"/>
      <c r="J109" s="520"/>
      <c r="K109" s="520"/>
      <c r="L109" s="520"/>
      <c r="M109" s="520"/>
      <c r="N109" s="520"/>
      <c r="Q109" s="520">
        <f t="shared" si="35"/>
        <v>0</v>
      </c>
      <c r="R109" s="520">
        <f t="shared" si="36"/>
        <v>0</v>
      </c>
    </row>
    <row r="110" spans="1:18" x14ac:dyDescent="0.25">
      <c r="A110" s="517" t="s">
        <v>152</v>
      </c>
      <c r="B110" s="517">
        <f>+B95+B105+B108</f>
        <v>1673.9416424561405</v>
      </c>
      <c r="C110" s="517">
        <f t="shared" ref="C110:N110" si="45">+C95+C105+C108</f>
        <v>1505.0727424561401</v>
      </c>
      <c r="D110" s="517">
        <f t="shared" si="45"/>
        <v>855.90932771929818</v>
      </c>
      <c r="E110" s="517">
        <f t="shared" si="45"/>
        <v>1451.6879133333341</v>
      </c>
      <c r="F110" s="517">
        <f t="shared" si="45"/>
        <v>1182.2114215789479</v>
      </c>
      <c r="G110" s="517">
        <f t="shared" si="45"/>
        <v>1864.2097324561403</v>
      </c>
      <c r="H110" s="517">
        <f t="shared" si="45"/>
        <v>1483.8844459663446</v>
      </c>
      <c r="I110" s="517">
        <f t="shared" si="45"/>
        <v>1394.279580957188</v>
      </c>
      <c r="J110" s="517">
        <f t="shared" si="45"/>
        <v>1933.8744223859144</v>
      </c>
      <c r="K110" s="517">
        <f t="shared" si="45"/>
        <v>1769.6625450610463</v>
      </c>
      <c r="L110" s="517">
        <f t="shared" si="45"/>
        <v>1862.6712863744963</v>
      </c>
      <c r="M110" s="517">
        <f t="shared" si="45"/>
        <v>1513.1335022362136</v>
      </c>
      <c r="N110" s="517">
        <f t="shared" si="45"/>
        <v>18490.538562981204</v>
      </c>
      <c r="Q110" s="517">
        <f t="shared" si="35"/>
        <v>1864.2097324561403</v>
      </c>
      <c r="R110" s="517">
        <f t="shared" si="36"/>
        <v>8533.0327800000014</v>
      </c>
    </row>
    <row r="111" spans="1:18" x14ac:dyDescent="0.25">
      <c r="A111" s="519"/>
      <c r="B111" s="519"/>
      <c r="C111" s="519"/>
      <c r="D111" s="519"/>
      <c r="E111" s="519"/>
      <c r="F111" s="519"/>
      <c r="G111" s="999"/>
      <c r="H111" s="999"/>
      <c r="I111" s="999"/>
      <c r="J111" s="999"/>
      <c r="K111" s="999"/>
      <c r="L111" s="999"/>
      <c r="M111" s="999"/>
      <c r="N111" s="519"/>
      <c r="Q111" s="519"/>
      <c r="R111" s="519"/>
    </row>
    <row r="112" spans="1:18" x14ac:dyDescent="0.25">
      <c r="A112" s="519"/>
      <c r="B112" s="519"/>
      <c r="C112" s="519"/>
      <c r="D112" s="519"/>
      <c r="E112" s="519"/>
      <c r="F112" s="519"/>
      <c r="G112" s="999"/>
      <c r="H112" s="999"/>
      <c r="I112" s="999"/>
      <c r="J112" s="999"/>
      <c r="K112" s="999"/>
      <c r="L112" s="999"/>
      <c r="M112" s="999"/>
      <c r="N112" s="519"/>
      <c r="Q112" s="519"/>
      <c r="R112" s="519"/>
    </row>
    <row r="113" spans="1:18" x14ac:dyDescent="0.25">
      <c r="A113" s="549"/>
      <c r="B113" s="550"/>
      <c r="C113" s="550"/>
      <c r="D113" s="550"/>
      <c r="E113" s="550"/>
      <c r="F113" s="550"/>
      <c r="G113" s="550"/>
      <c r="H113" s="550"/>
      <c r="I113" s="550"/>
      <c r="J113" s="550"/>
      <c r="K113" s="550"/>
      <c r="L113" s="550"/>
      <c r="M113" s="550"/>
    </row>
    <row r="114" spans="1:18" x14ac:dyDescent="0.25">
      <c r="B114" s="543">
        <v>4</v>
      </c>
      <c r="C114" s="543">
        <v>5</v>
      </c>
      <c r="D114" s="543">
        <v>6</v>
      </c>
      <c r="E114" s="543">
        <v>7</v>
      </c>
      <c r="F114" s="543">
        <v>8</v>
      </c>
      <c r="G114" s="543">
        <v>9</v>
      </c>
      <c r="H114" s="543">
        <v>10</v>
      </c>
      <c r="I114" s="543">
        <v>11</v>
      </c>
      <c r="J114" s="543">
        <v>12</v>
      </c>
      <c r="K114" s="543">
        <v>13</v>
      </c>
      <c r="L114" s="543">
        <v>14</v>
      </c>
      <c r="M114" s="543">
        <v>15</v>
      </c>
    </row>
    <row r="115" spans="1:18" x14ac:dyDescent="0.25">
      <c r="A115" s="551" t="s">
        <v>157</v>
      </c>
      <c r="B115" s="544">
        <f>+VOLUME!C7</f>
        <v>47357</v>
      </c>
      <c r="C115" s="544">
        <f>+VOLUME!D7</f>
        <v>42593</v>
      </c>
      <c r="D115" s="544">
        <f>+VOLUME!E7</f>
        <v>23002</v>
      </c>
      <c r="E115" s="544">
        <f>+VOLUME!F7</f>
        <v>40893</v>
      </c>
      <c r="F115" s="544">
        <f>+VOLUME!G7</f>
        <v>33043</v>
      </c>
      <c r="G115" s="544">
        <f>+VOLUME!H7</f>
        <v>53186</v>
      </c>
      <c r="H115" s="544">
        <f>+VOLUME!I7</f>
        <v>41500</v>
      </c>
      <c r="I115" s="544">
        <f>+VOLUME!J7</f>
        <v>39000</v>
      </c>
      <c r="J115" s="544">
        <f>+VOLUME!K7</f>
        <v>54085</v>
      </c>
      <c r="K115" s="544">
        <f>+VOLUME!L7</f>
        <v>49500</v>
      </c>
      <c r="L115" s="544">
        <f>+VOLUME!M7</f>
        <v>51936</v>
      </c>
      <c r="M115" s="544">
        <f>+VOLUME!N7</f>
        <v>42190</v>
      </c>
      <c r="N115" s="544">
        <f>SUM(B115:M115)</f>
        <v>518285</v>
      </c>
      <c r="Q115" s="545">
        <f t="shared" ref="Q115" si="46">SUMIFS(B115:M115,$B$2:$M$2,$X$3)</f>
        <v>53186</v>
      </c>
      <c r="R115" s="545">
        <f t="shared" ref="R115" si="47">SUMIFS(B115:M115,$B$1:$M$1,$Y$3)</f>
        <v>240074</v>
      </c>
    </row>
    <row r="116" spans="1:18" x14ac:dyDescent="0.25">
      <c r="A116" s="546" t="s">
        <v>183</v>
      </c>
      <c r="B116" s="547" t="s">
        <v>0</v>
      </c>
      <c r="C116" s="547" t="s">
        <v>1</v>
      </c>
      <c r="D116" s="547" t="s">
        <v>2</v>
      </c>
      <c r="E116" s="547" t="s">
        <v>3</v>
      </c>
      <c r="F116" s="547" t="s">
        <v>4</v>
      </c>
      <c r="G116" s="547" t="s">
        <v>5</v>
      </c>
      <c r="H116" s="547" t="s">
        <v>6</v>
      </c>
      <c r="I116" s="547" t="s">
        <v>7</v>
      </c>
      <c r="J116" s="547" t="s">
        <v>8</v>
      </c>
      <c r="K116" s="547" t="s">
        <v>9</v>
      </c>
      <c r="L116" s="547" t="s">
        <v>10</v>
      </c>
      <c r="M116" s="547" t="s">
        <v>11</v>
      </c>
      <c r="N116" s="547" t="s">
        <v>12</v>
      </c>
      <c r="Q116" s="540" t="s">
        <v>179</v>
      </c>
      <c r="R116" s="540" t="s">
        <v>94</v>
      </c>
    </row>
    <row r="117" spans="1:18" x14ac:dyDescent="0.25">
      <c r="A117" s="513" t="s">
        <v>156</v>
      </c>
      <c r="B117" s="513">
        <f>(SAP_ACT_EUR!C20+SAP_ACT_EUR!C148)/1000</f>
        <v>451.11424</v>
      </c>
      <c r="C117" s="513">
        <f>(SAP_ACT_EUR!D20+SAP_ACT_EUR!D148)/1000</f>
        <v>457.78683000000007</v>
      </c>
      <c r="D117" s="513">
        <f>(SAP_ACT_EUR!E20+SAP_ACT_EUR!E148)/1000</f>
        <v>275.96458999999999</v>
      </c>
      <c r="E117" s="513">
        <f>(SAP_ACT_EUR!F20+SAP_ACT_EUR!F148)/1000</f>
        <v>363.73443262781774</v>
      </c>
      <c r="F117" s="513">
        <f>(SAP_ACT_EUR!G20+SAP_ACT_EUR!G148)/1000</f>
        <v>478.64787498667232</v>
      </c>
      <c r="G117" s="513">
        <f>(SAP_ACT_EUR!H20+SAP_ACT_EUR!H148)/1000</f>
        <v>391.63361000000003</v>
      </c>
      <c r="H117" s="513">
        <f>(SAP_ACT_EUR!I20+SAP_ACT_EUR!I148)/1000</f>
        <v>360.48535335875437</v>
      </c>
      <c r="I117" s="513">
        <f>(SAP_ACT_EUR!J20+SAP_ACT_EUR!J148)/1000</f>
        <v>360.44442061224976</v>
      </c>
      <c r="J117" s="513">
        <f>(SAP_ACT_EUR!K20+SAP_ACT_EUR!K148)/1000</f>
        <v>422.2837982057253</v>
      </c>
      <c r="K117" s="513">
        <f>(SAP_ACT_EUR!L20+SAP_ACT_EUR!L148)/1000</f>
        <v>552.70133384929204</v>
      </c>
      <c r="L117" s="513">
        <f>(SAP_ACT_EUR!M20+SAP_ACT_EUR!M148)/1000</f>
        <v>466.47652033121619</v>
      </c>
      <c r="M117" s="513">
        <f>(SAP_ACT_EUR!N20+SAP_ACT_EUR!N148)/1000</f>
        <v>470.82241610840612</v>
      </c>
      <c r="N117" s="513">
        <f>SUM(B117:M117)</f>
        <v>5052.0954200801343</v>
      </c>
      <c r="P117" s="533" t="s">
        <v>74</v>
      </c>
      <c r="Q117" s="513">
        <f t="shared" ref="Q117:Q143" si="48">SUMIFS(B117:M117,$B$2:$M$2,$X$3)</f>
        <v>391.63361000000003</v>
      </c>
      <c r="R117" s="513">
        <f t="shared" ref="R117:R143" si="49">SUMIFS(B117:M117,$B$1:$M$1,$Y$3)</f>
        <v>2418.8815776144902</v>
      </c>
    </row>
    <row r="118" spans="1:18" x14ac:dyDescent="0.25">
      <c r="A118" s="513" t="s">
        <v>75</v>
      </c>
      <c r="B118" s="513">
        <f>(SAP_ACT_EUR!C96+SAP_ACT_EUR!C216+SAP_ACT_EUR!C339)/1000</f>
        <v>25.342169999999999</v>
      </c>
      <c r="C118" s="513">
        <f>(SAP_ACT_EUR!D96+SAP_ACT_EUR!D216+SAP_ACT_EUR!D339)/1000</f>
        <v>16.14554</v>
      </c>
      <c r="D118" s="513">
        <f>(SAP_ACT_EUR!E96+SAP_ACT_EUR!E216+SAP_ACT_EUR!E339)/1000</f>
        <v>21.752949999999998</v>
      </c>
      <c r="E118" s="513">
        <f>(SAP_ACT_EUR!F96+SAP_ACT_EUR!F216+SAP_ACT_EUR!F339)/1000</f>
        <v>28.068419999999996</v>
      </c>
      <c r="F118" s="513">
        <f>(SAP_ACT_EUR!G96+SAP_ACT_EUR!G216+SAP_ACT_EUR!G339)/1000</f>
        <v>31.637620000000002</v>
      </c>
      <c r="G118" s="513">
        <f>(SAP_ACT_EUR!H96+SAP_ACT_EUR!H216+SAP_ACT_EUR!H339)/1000</f>
        <v>28.66065</v>
      </c>
      <c r="H118" s="513">
        <f>(SAP_ACT_EUR!I96+SAP_ACT_EUR!I216+SAP_ACT_EUR!I339)/1000</f>
        <v>31.448015438727513</v>
      </c>
      <c r="I118" s="513">
        <f>(SAP_ACT_EUR!J96+SAP_ACT_EUR!J216+SAP_ACT_EUR!J339)/1000</f>
        <v>35.122588016349333</v>
      </c>
      <c r="J118" s="513">
        <f>(SAP_ACT_EUR!K96+SAP_ACT_EUR!K216+SAP_ACT_EUR!K339)/1000</f>
        <v>37.338014907446556</v>
      </c>
      <c r="K118" s="513">
        <f>(SAP_ACT_EUR!L96+SAP_ACT_EUR!L216+SAP_ACT_EUR!L339)/1000</f>
        <v>34.245090547600171</v>
      </c>
      <c r="L118" s="513">
        <f>(SAP_ACT_EUR!M96+SAP_ACT_EUR!M216+SAP_ACT_EUR!M339)/1000</f>
        <v>38.982758210984152</v>
      </c>
      <c r="M118" s="513">
        <f>(SAP_ACT_EUR!N96+SAP_ACT_EUR!N216+SAP_ACT_EUR!N339)/1000</f>
        <v>32.158218139491829</v>
      </c>
      <c r="N118" s="513">
        <f t="shared" ref="N118:N143" si="50">SUM(B118:M118)</f>
        <v>360.90203526059958</v>
      </c>
      <c r="P118" s="533" t="s">
        <v>75</v>
      </c>
      <c r="Q118" s="513">
        <f t="shared" si="48"/>
        <v>28.66065</v>
      </c>
      <c r="R118" s="513">
        <f t="shared" si="49"/>
        <v>151.60735</v>
      </c>
    </row>
    <row r="119" spans="1:18" x14ac:dyDescent="0.25">
      <c r="A119" s="514" t="s">
        <v>195</v>
      </c>
      <c r="B119" s="514">
        <f>(SAP_ACT_EUR!C82+SAP_ACT_EUR!C202)/1000</f>
        <v>12.326379999999999</v>
      </c>
      <c r="C119" s="514">
        <f>(SAP_ACT_EUR!D82+SAP_ACT_EUR!D83+SAP_ACT_EUR!D202+SAP_ACT_EUR!D203)/1000</f>
        <v>10.969389999999999</v>
      </c>
      <c r="D119" s="514">
        <f>(SAP_ACT_EUR!E82+SAP_ACT_EUR!E83+SAP_ACT_EUR!E202+SAP_ACT_EUR!E203)/1000</f>
        <v>8.7221700000000002</v>
      </c>
      <c r="E119" s="514">
        <f>(SAP_ACT_EUR!F82+SAP_ACT_EUR!F83+SAP_ACT_EUR!F202+SAP_ACT_EUR!F203)/1000</f>
        <v>38.196779999999997</v>
      </c>
      <c r="F119" s="514">
        <f>(SAP_ACT_EUR!G82+SAP_ACT_EUR!G83+SAP_ACT_EUR!G202+SAP_ACT_EUR!G203)/1000</f>
        <v>14.04682</v>
      </c>
      <c r="G119" s="514">
        <f>(SAP_ACT_EUR!H82+SAP_ACT_EUR!H83+SAP_ACT_EUR!H202+SAP_ACT_EUR!H203)/1000</f>
        <v>28.885670000000001</v>
      </c>
      <c r="H119" s="514">
        <f>(SAP_ACT_EUR!I82+SAP_ACT_EUR!I83+SAP_ACT_EUR!I202+SAP_ACT_EUR!I203)/1000</f>
        <v>13.073574568055891</v>
      </c>
      <c r="I119" s="514">
        <f>(SAP_ACT_EUR!J82+SAP_ACT_EUR!J83+SAP_ACT_EUR!J202+SAP_ACT_EUR!J203)/1000</f>
        <v>12.800662019956771</v>
      </c>
      <c r="J119" s="514">
        <f>(SAP_ACT_EUR!K82+SAP_ACT_EUR!K83+SAP_ACT_EUR!K202+SAP_ACT_EUR!K203)/1000</f>
        <v>17.646071719028484</v>
      </c>
      <c r="K119" s="514">
        <f>(SAP_ACT_EUR!L82+SAP_ACT_EUR!L83+SAP_ACT_EUR!L202+SAP_ACT_EUR!L203)/1000</f>
        <v>16.030706536736275</v>
      </c>
      <c r="L119" s="514">
        <f>(SAP_ACT_EUR!M82+SAP_ACT_EUR!M83+SAP_ACT_EUR!M202+SAP_ACT_EUR!M203)/1000</f>
        <v>16.63385201758539</v>
      </c>
      <c r="M119" s="514">
        <f>(SAP_ACT_EUR!N82+SAP_ACT_EUR!N83+SAP_ACT_EUR!N202+SAP_ACT_EUR!N203)/1000</f>
        <v>13.490241091604958</v>
      </c>
      <c r="N119" s="514">
        <f t="shared" si="50"/>
        <v>202.82231795296772</v>
      </c>
      <c r="P119" s="533" t="s">
        <v>141</v>
      </c>
      <c r="Q119" s="514">
        <f t="shared" si="48"/>
        <v>28.885670000000001</v>
      </c>
      <c r="R119" s="514">
        <f t="shared" si="49"/>
        <v>113.14721</v>
      </c>
    </row>
    <row r="120" spans="1:18" ht="12.6" thickBot="1" x14ac:dyDescent="0.3">
      <c r="A120" s="515" t="s">
        <v>196</v>
      </c>
      <c r="B120" s="515">
        <f>SUM(B117:B119)</f>
        <v>488.78278999999998</v>
      </c>
      <c r="C120" s="515">
        <f t="shared" ref="C120:M120" si="51">SUM(C117:C119)</f>
        <v>484.90176000000002</v>
      </c>
      <c r="D120" s="515">
        <f t="shared" si="51"/>
        <v>306.43970999999999</v>
      </c>
      <c r="E120" s="515">
        <f t="shared" si="51"/>
        <v>429.99963262781773</v>
      </c>
      <c r="F120" s="515">
        <f t="shared" si="51"/>
        <v>524.33231498667237</v>
      </c>
      <c r="G120" s="515">
        <f t="shared" si="51"/>
        <v>449.17993000000001</v>
      </c>
      <c r="H120" s="515">
        <f t="shared" si="51"/>
        <v>405.00694336553778</v>
      </c>
      <c r="I120" s="515">
        <f t="shared" si="51"/>
        <v>408.36767064855582</v>
      </c>
      <c r="J120" s="515">
        <f t="shared" si="51"/>
        <v>477.26788483220037</v>
      </c>
      <c r="K120" s="515">
        <f t="shared" si="51"/>
        <v>602.97713093362847</v>
      </c>
      <c r="L120" s="515">
        <f t="shared" si="51"/>
        <v>522.09313055978578</v>
      </c>
      <c r="M120" s="515">
        <f t="shared" si="51"/>
        <v>516.47087533950298</v>
      </c>
      <c r="N120" s="515">
        <f t="shared" si="50"/>
        <v>5615.8197732937024</v>
      </c>
      <c r="P120" s="533" t="s">
        <v>79</v>
      </c>
      <c r="Q120" s="515">
        <f t="shared" si="48"/>
        <v>449.17993000000001</v>
      </c>
      <c r="R120" s="515">
        <f t="shared" si="49"/>
        <v>2683.6361376144905</v>
      </c>
    </row>
    <row r="121" spans="1:18" x14ac:dyDescent="0.25">
      <c r="A121" s="516" t="s">
        <v>80</v>
      </c>
      <c r="B121" s="516">
        <f>(SAP_ACT_EUR!C104+SAP_ACT_EUR!C224)/1000</f>
        <v>236.51712000000001</v>
      </c>
      <c r="C121" s="516">
        <f>(SAP_ACT_EUR!D104+SAP_ACT_EUR!D224)/1000</f>
        <v>210.33045999999996</v>
      </c>
      <c r="D121" s="516">
        <f>(SAP_ACT_EUR!E104+SAP_ACT_EUR!E224)/1000</f>
        <v>189.488</v>
      </c>
      <c r="E121" s="516">
        <f>(SAP_ACT_EUR!F104+SAP_ACT_EUR!F224)/1000</f>
        <v>211.9200073721822</v>
      </c>
      <c r="F121" s="516">
        <f>(SAP_ACT_EUR!G104+SAP_ACT_EUR!G224)/1000</f>
        <v>247.78061501332778</v>
      </c>
      <c r="G121" s="516">
        <f>(SAP_ACT_EUR!H104+SAP_ACT_EUR!H224)/1000</f>
        <v>229.24062000000001</v>
      </c>
      <c r="H121" s="516">
        <f>(SAP_ACT_EUR!I104+SAP_ACT_EUR!I224)/1000</f>
        <v>255.6751715061512</v>
      </c>
      <c r="I121" s="516">
        <f>(SAP_ACT_EUR!J104+SAP_ACT_EUR!J224)/1000</f>
        <v>230.80847328196182</v>
      </c>
      <c r="J121" s="516">
        <f>(SAP_ACT_EUR!K104+SAP_ACT_EUR!K224)/1000</f>
        <v>234.1264303783295</v>
      </c>
      <c r="K121" s="516">
        <f>(SAP_ACT_EUR!L104+SAP_ACT_EUR!L224)/1000</f>
        <v>218.02500602874605</v>
      </c>
      <c r="L121" s="516">
        <f>(SAP_ACT_EUR!M104+SAP_ACT_EUR!M224)/1000</f>
        <v>212.9837049411116</v>
      </c>
      <c r="M121" s="516">
        <f>(SAP_ACT_EUR!N104+SAP_ACT_EUR!N224)/1000</f>
        <v>289.53386816308102</v>
      </c>
      <c r="N121" s="516">
        <f t="shared" si="50"/>
        <v>2766.4294766848916</v>
      </c>
      <c r="P121" s="533" t="s">
        <v>80</v>
      </c>
      <c r="Q121" s="516">
        <f t="shared" si="48"/>
        <v>229.24062000000001</v>
      </c>
      <c r="R121" s="516">
        <f t="shared" si="49"/>
        <v>1325.2768223855101</v>
      </c>
    </row>
    <row r="122" spans="1:18" x14ac:dyDescent="0.25">
      <c r="A122" s="514" t="s">
        <v>81</v>
      </c>
      <c r="B122" s="514">
        <f>+(SAP_ACT_EUR!C112+SAP_ACT_EUR!C231)/1000</f>
        <v>115.16989000000001</v>
      </c>
      <c r="C122" s="514">
        <f>+(SAP_ACT_EUR!D112+SAP_ACT_EUR!D231)/1000</f>
        <v>111.05252999999999</v>
      </c>
      <c r="D122" s="514">
        <f>+(SAP_ACT_EUR!E112+SAP_ACT_EUR!E231)/1000</f>
        <v>104.43832999999998</v>
      </c>
      <c r="E122" s="514">
        <f>+(SAP_ACT_EUR!F112+SAP_ACT_EUR!F231)/1000</f>
        <v>86.264239999999987</v>
      </c>
      <c r="F122" s="514">
        <f>+(SAP_ACT_EUR!G112+SAP_ACT_EUR!G231)/1000</f>
        <v>107.57122999999999</v>
      </c>
      <c r="G122" s="514">
        <f>+(SAP_ACT_EUR!H112+SAP_ACT_EUR!H231)/1000</f>
        <v>111.60063</v>
      </c>
      <c r="H122" s="514">
        <f>+(SAP_ACT_EUR!I112+SAP_ACT_EUR!I231)/1000</f>
        <v>101.294838931247</v>
      </c>
      <c r="I122" s="514">
        <f>+(SAP_ACT_EUR!J112+SAP_ACT_EUR!J231)/1000</f>
        <v>101.87614670384187</v>
      </c>
      <c r="J122" s="514">
        <f>+(SAP_ACT_EUR!K112+SAP_ACT_EUR!K231)/1000</f>
        <v>109.10657602284873</v>
      </c>
      <c r="K122" s="514">
        <f>+(SAP_ACT_EUR!L112+SAP_ACT_EUR!L231)/1000</f>
        <v>102.31605548693042</v>
      </c>
      <c r="L122" s="514">
        <f>+(SAP_ACT_EUR!M112+SAP_ACT_EUR!M231)/1000</f>
        <v>100.66384322805285</v>
      </c>
      <c r="M122" s="514">
        <f>+(SAP_ACT_EUR!N112+SAP_ACT_EUR!N231)/1000</f>
        <v>99.064143248307602</v>
      </c>
      <c r="N122" s="514">
        <f t="shared" si="50"/>
        <v>1250.4184536212285</v>
      </c>
      <c r="P122" s="533" t="s">
        <v>81</v>
      </c>
      <c r="Q122" s="514">
        <f t="shared" si="48"/>
        <v>111.60063</v>
      </c>
      <c r="R122" s="514">
        <f t="shared" si="49"/>
        <v>636.09685000000002</v>
      </c>
    </row>
    <row r="123" spans="1:18" x14ac:dyDescent="0.25">
      <c r="A123" s="514" t="s">
        <v>82</v>
      </c>
      <c r="B123" s="514">
        <f>(SAP_ACT_EUR!C129+SAP_ACT_EUR!C247)/1000</f>
        <v>164.10092</v>
      </c>
      <c r="C123" s="514">
        <f>(SAP_ACT_EUR!D129+SAP_ACT_EUR!D247)/1000</f>
        <v>247.34623999999999</v>
      </c>
      <c r="D123" s="514">
        <f>(SAP_ACT_EUR!E129+SAP_ACT_EUR!E247)/1000</f>
        <v>129.98053999999999</v>
      </c>
      <c r="E123" s="514">
        <f>(SAP_ACT_EUR!F129+SAP_ACT_EUR!F247)/1000</f>
        <v>86.237830000000017</v>
      </c>
      <c r="F123" s="514">
        <f>(SAP_ACT_EUR!G129+SAP_ACT_EUR!G247)/1000</f>
        <v>167.19972999999999</v>
      </c>
      <c r="G123" s="514">
        <f>(SAP_ACT_EUR!H129+SAP_ACT_EUR!H247)/1000</f>
        <v>111.35076000000002</v>
      </c>
      <c r="H123" s="514">
        <f>(SAP_ACT_EUR!I129+SAP_ACT_EUR!I247)/1000</f>
        <v>184.27026685954993</v>
      </c>
      <c r="I123" s="514">
        <f>(SAP_ACT_EUR!J129+SAP_ACT_EUR!J247)/1000</f>
        <v>183.51646217738821</v>
      </c>
      <c r="J123" s="514">
        <f>(SAP_ACT_EUR!K129+SAP_ACT_EUR!K247)/1000</f>
        <v>228.95871205726104</v>
      </c>
      <c r="K123" s="514">
        <f>(SAP_ACT_EUR!L129+SAP_ACT_EUR!L247)/1000</f>
        <v>181.04144050634793</v>
      </c>
      <c r="L123" s="514">
        <f>(SAP_ACT_EUR!M129+SAP_ACT_EUR!M247)/1000</f>
        <v>182.2494103402089</v>
      </c>
      <c r="M123" s="514">
        <f>(SAP_ACT_EUR!N129+SAP_ACT_EUR!N247)/1000</f>
        <v>167.11053771041406</v>
      </c>
      <c r="N123" s="514">
        <f t="shared" si="50"/>
        <v>2033.3628496511701</v>
      </c>
      <c r="P123" s="533" t="s">
        <v>82</v>
      </c>
      <c r="Q123" s="514">
        <f t="shared" si="48"/>
        <v>111.35076000000002</v>
      </c>
      <c r="R123" s="514">
        <f t="shared" si="49"/>
        <v>906.21602000000007</v>
      </c>
    </row>
    <row r="124" spans="1:18" x14ac:dyDescent="0.25">
      <c r="A124" s="514" t="s">
        <v>83</v>
      </c>
      <c r="B124" s="514">
        <f>(SAP_ACT_EUR!C92+SAP_ACT_EUR!C212+SAP_ACT_EUR!C338)/1000</f>
        <v>4.2840400000000001</v>
      </c>
      <c r="C124" s="514">
        <f>(SAP_ACT_EUR!D92+SAP_ACT_EUR!D212+SAP_ACT_EUR!D338)/1000</f>
        <v>4.0777099999999997</v>
      </c>
      <c r="D124" s="514">
        <f>(SAP_ACT_EUR!E92+SAP_ACT_EUR!E212+SAP_ACT_EUR!E338)/1000</f>
        <v>3.5422699999999998</v>
      </c>
      <c r="E124" s="514">
        <f>(SAP_ACT_EUR!F92+SAP_ACT_EUR!F212+SAP_ACT_EUR!F338)/1000</f>
        <v>3.8053300000000001</v>
      </c>
      <c r="F124" s="514">
        <f>(SAP_ACT_EUR!G92+SAP_ACT_EUR!G212+SAP_ACT_EUR!G338)/1000</f>
        <v>-1.46038</v>
      </c>
      <c r="G124" s="514">
        <f>(SAP_ACT_EUR!H92+SAP_ACT_EUR!H212+SAP_ACT_EUR!H338)/1000</f>
        <v>2.0075799999999999</v>
      </c>
      <c r="H124" s="514">
        <f>(SAP_ACT_EUR!I92+SAP_ACT_EUR!I212+SAP_ACT_EUR!I338)/1000</f>
        <v>5.1629853573599798</v>
      </c>
      <c r="I124" s="514">
        <f>(SAP_ACT_EUR!J92+SAP_ACT_EUR!J212+SAP_ACT_EUR!J338)/1000</f>
        <v>5.0557236146813311</v>
      </c>
      <c r="J124" s="514">
        <f>(SAP_ACT_EUR!K92+SAP_ACT_EUR!K212+SAP_ACT_EUR!K338)/1000</f>
        <v>6.9785246868534969</v>
      </c>
      <c r="K124" s="514">
        <f>(SAP_ACT_EUR!L92+SAP_ACT_EUR!L212+SAP_ACT_EUR!L338)/1000</f>
        <v>6.3638679339231627</v>
      </c>
      <c r="L124" s="514">
        <f>(SAP_ACT_EUR!M92+SAP_ACT_EUR!M212+SAP_ACT_EUR!M338)/1000</f>
        <v>6.6425977453822442</v>
      </c>
      <c r="M124" s="514">
        <f>(SAP_ACT_EUR!N92+SAP_ACT_EUR!N212+SAP_ACT_EUR!N338)/1000</f>
        <v>5.4254564639467144</v>
      </c>
      <c r="N124" s="514">
        <f t="shared" si="50"/>
        <v>51.88570580214693</v>
      </c>
      <c r="P124" s="533" t="s">
        <v>83</v>
      </c>
      <c r="Q124" s="514">
        <f t="shared" si="48"/>
        <v>2.0075799999999999</v>
      </c>
      <c r="R124" s="514">
        <f t="shared" si="49"/>
        <v>16.256550000000001</v>
      </c>
    </row>
    <row r="125" spans="1:18" x14ac:dyDescent="0.25">
      <c r="A125" s="514" t="s">
        <v>84</v>
      </c>
      <c r="B125" s="514">
        <f>+(SAP_ACT_EUR!C81+SAP_ACT_EUR!C201)/1000-(SAP_ACT_EUR!C60+SAP_ACT_EUR!C72+SAP_ACT_EUR!C184+SAP_ACT_EUR!C195)/1000</f>
        <v>48.336139999999986</v>
      </c>
      <c r="C125" s="514">
        <f>+(SAP_ACT_EUR!D81+SAP_ACT_EUR!D201)/1000-(SAP_ACT_EUR!D60+SAP_ACT_EUR!D72+SAP_ACT_EUR!D184+SAP_ACT_EUR!D195)/1000</f>
        <v>36.683690000000027</v>
      </c>
      <c r="D125" s="514">
        <f>+(SAP_ACT_EUR!E81+SAP_ACT_EUR!E201)/1000-(SAP_ACT_EUR!E60+SAP_ACT_EUR!E72+SAP_ACT_EUR!E184+SAP_ACT_EUR!E195)/1000</f>
        <v>35.33921999999999</v>
      </c>
      <c r="E125" s="514">
        <f>+(SAP_ACT_EUR!F81+SAP_ACT_EUR!F201)/1000-(SAP_ACT_EUR!F60+SAP_ACT_EUR!F72+SAP_ACT_EUR!F184+SAP_ACT_EUR!F195)/1000</f>
        <v>-2.6982200000000036</v>
      </c>
      <c r="F125" s="514">
        <f>+(SAP_ACT_EUR!G81+SAP_ACT_EUR!G201)/1000-(SAP_ACT_EUR!G60+SAP_ACT_EUR!G72+SAP_ACT_EUR!G184+SAP_ACT_EUR!G195)/1000</f>
        <v>37.443190000000001</v>
      </c>
      <c r="G125" s="514">
        <f>+(SAP_ACT_EUR!H81+SAP_ACT_EUR!H201)/1000-(SAP_ACT_EUR!H60+SAP_ACT_EUR!H72+SAP_ACT_EUR!H184+SAP_ACT_EUR!H195)/1000</f>
        <v>50.431700000000006</v>
      </c>
      <c r="H125" s="514">
        <f>+(SAP_ACT_EUR!I81+SAP_ACT_EUR!I201)/1000-(SAP_ACT_EUR!I60+SAP_ACT_EUR!I72+SAP_ACT_EUR!I184+SAP_ACT_EUR!I195)/1000</f>
        <v>39.291946971088564</v>
      </c>
      <c r="I125" s="514">
        <f>+(SAP_ACT_EUR!J81+SAP_ACT_EUR!J201)/1000-(SAP_ACT_EUR!J60+SAP_ACT_EUR!J72+SAP_ACT_EUR!J184+SAP_ACT_EUR!J195)/1000</f>
        <v>39.093463264968818</v>
      </c>
      <c r="J125" s="514">
        <f>+(SAP_ACT_EUR!K81+SAP_ACT_EUR!K201)/1000-(SAP_ACT_EUR!K60+SAP_ACT_EUR!K72+SAP_ACT_EUR!K184+SAP_ACT_EUR!K195)/1000</f>
        <v>38.896554826357949</v>
      </c>
      <c r="K125" s="514">
        <f>+(SAP_ACT_EUR!L81+SAP_ACT_EUR!L201)/1000-(SAP_ACT_EUR!L60+SAP_ACT_EUR!L72+SAP_ACT_EUR!L184+SAP_ACT_EUR!L195)/1000</f>
        <v>46.304225873570459</v>
      </c>
      <c r="L125" s="514">
        <f>+(SAP_ACT_EUR!M81+SAP_ACT_EUR!M201)/1000-(SAP_ACT_EUR!M60+SAP_ACT_EUR!M72+SAP_ACT_EUR!M184+SAP_ACT_EUR!M195)/1000</f>
        <v>45.888177762722812</v>
      </c>
      <c r="M125" s="514">
        <f>+(SAP_ACT_EUR!N81+SAP_ACT_EUR!N201)/1000-(SAP_ACT_EUR!N60+SAP_ACT_EUR!N72+SAP_ACT_EUR!N184+SAP_ACT_EUR!N195)/1000</f>
        <v>48.460973703158473</v>
      </c>
      <c r="N125" s="514">
        <f t="shared" si="50"/>
        <v>463.47106240186702</v>
      </c>
      <c r="P125" s="533" t="s">
        <v>84</v>
      </c>
      <c r="Q125" s="514">
        <f t="shared" si="48"/>
        <v>50.431700000000006</v>
      </c>
      <c r="R125" s="514">
        <f t="shared" si="49"/>
        <v>205.53572</v>
      </c>
    </row>
    <row r="126" spans="1:18" x14ac:dyDescent="0.25">
      <c r="A126" s="514" t="s">
        <v>86</v>
      </c>
      <c r="B126" s="1134">
        <f>(SAP_ACT_EUR!C12+SAP_ACT_EUR!C140)/1000-B131</f>
        <v>171.34822992298916</v>
      </c>
      <c r="C126" s="1134">
        <f>(SAP_ACT_EUR!D12+SAP_ACT_EUR!D140)/1000-C131</f>
        <v>158.03624719540193</v>
      </c>
      <c r="D126" s="1134">
        <f>(SAP_ACT_EUR!E12+SAP_ACT_EUR!E140)/1000-D131</f>
        <v>171.02916982572503</v>
      </c>
      <c r="E126" s="1134">
        <f>(SAP_ACT_EUR!F12+SAP_ACT_EUR!F140)/1000-E131</f>
        <v>-7.097920000000002</v>
      </c>
      <c r="F126" s="1134">
        <f>(SAP_ACT_EUR!G12+SAP_ACT_EUR!G140)/1000-F131</f>
        <v>122.99840999999998</v>
      </c>
      <c r="G126" s="514">
        <f>(SAP_ACT_EUR!H12+SAP_ACT_EUR!H140)/1000-G131</f>
        <v>132.04277000000008</v>
      </c>
      <c r="H126" s="514">
        <f>(SAP_ACT_EUR!I12+SAP_ACT_EUR!I140)/1000-H131</f>
        <v>142.44902616968642</v>
      </c>
      <c r="I126" s="514">
        <f>(SAP_ACT_EUR!J12+SAP_ACT_EUR!J140)/1000-I131</f>
        <v>143.69356549754013</v>
      </c>
      <c r="J126" s="514">
        <f>(SAP_ACT_EUR!K12+SAP_ACT_EUR!K140)/1000-J131</f>
        <v>139.38974426055393</v>
      </c>
      <c r="K126" s="514">
        <f>(SAP_ACT_EUR!L12+SAP_ACT_EUR!L140)/1000-K131</f>
        <v>144.54917216420665</v>
      </c>
      <c r="L126" s="514">
        <f>(SAP_ACT_EUR!M12+SAP_ACT_EUR!M140)/1000-L131</f>
        <v>147.07859759388748</v>
      </c>
      <c r="M126" s="514">
        <f>(SAP_ACT_EUR!N12+SAP_ACT_EUR!N140)/1000-M131</f>
        <v>148.33879501324168</v>
      </c>
      <c r="N126" s="514">
        <f t="shared" si="50"/>
        <v>1613.8558076432325</v>
      </c>
      <c r="P126" s="533" t="s">
        <v>86</v>
      </c>
      <c r="Q126" s="514">
        <f t="shared" si="48"/>
        <v>132.04277000000008</v>
      </c>
      <c r="R126" s="514">
        <f t="shared" si="49"/>
        <v>748.35690694411619</v>
      </c>
    </row>
    <row r="127" spans="1:18" ht="12.6" thickBot="1" x14ac:dyDescent="0.3">
      <c r="A127" s="515" t="s">
        <v>197</v>
      </c>
      <c r="B127" s="515">
        <f>SUM(B121:B126)</f>
        <v>739.75633992298913</v>
      </c>
      <c r="C127" s="515">
        <f t="shared" ref="C127:M127" si="52">SUM(C121:C126)</f>
        <v>767.52687719540199</v>
      </c>
      <c r="D127" s="515">
        <f t="shared" si="52"/>
        <v>633.81752982572505</v>
      </c>
      <c r="E127" s="515">
        <f t="shared" si="52"/>
        <v>378.43126737218228</v>
      </c>
      <c r="F127" s="515">
        <f t="shared" si="52"/>
        <v>681.53279501332759</v>
      </c>
      <c r="G127" s="515">
        <f t="shared" si="52"/>
        <v>636.67406000000005</v>
      </c>
      <c r="H127" s="515">
        <f t="shared" si="52"/>
        <v>728.14423579508298</v>
      </c>
      <c r="I127" s="515">
        <f t="shared" si="52"/>
        <v>704.04383454038225</v>
      </c>
      <c r="J127" s="515">
        <f t="shared" si="52"/>
        <v>757.45654223220458</v>
      </c>
      <c r="K127" s="515">
        <f t="shared" si="52"/>
        <v>698.59976799372464</v>
      </c>
      <c r="L127" s="515">
        <f t="shared" si="52"/>
        <v>695.50633161136591</v>
      </c>
      <c r="M127" s="515">
        <f t="shared" si="52"/>
        <v>757.93377430214957</v>
      </c>
      <c r="N127" s="515">
        <f t="shared" si="50"/>
        <v>8179.4233558045353</v>
      </c>
      <c r="P127" s="533" t="s">
        <v>87</v>
      </c>
      <c r="Q127" s="515">
        <f t="shared" si="48"/>
        <v>636.67406000000005</v>
      </c>
      <c r="R127" s="515">
        <f t="shared" si="49"/>
        <v>3837.7388693296261</v>
      </c>
    </row>
    <row r="128" spans="1:18" x14ac:dyDescent="0.25">
      <c r="A128" s="517" t="s">
        <v>88</v>
      </c>
      <c r="B128" s="517">
        <f>B120+B127</f>
        <v>1228.5391299229891</v>
      </c>
      <c r="C128" s="517">
        <f>C120+C127</f>
        <v>1252.428637195402</v>
      </c>
      <c r="D128" s="517">
        <f t="shared" ref="D128:M128" si="53">D120+D127</f>
        <v>940.25723982572504</v>
      </c>
      <c r="E128" s="517">
        <f t="shared" si="53"/>
        <v>808.43090000000007</v>
      </c>
      <c r="F128" s="517">
        <f t="shared" si="53"/>
        <v>1205.86511</v>
      </c>
      <c r="G128" s="517">
        <f t="shared" si="53"/>
        <v>1085.8539900000001</v>
      </c>
      <c r="H128" s="517">
        <f t="shared" si="53"/>
        <v>1133.1511791606208</v>
      </c>
      <c r="I128" s="517">
        <f t="shared" si="53"/>
        <v>1112.411505188938</v>
      </c>
      <c r="J128" s="517">
        <f t="shared" si="53"/>
        <v>1234.7244270644051</v>
      </c>
      <c r="K128" s="517">
        <f t="shared" si="53"/>
        <v>1301.5768989273531</v>
      </c>
      <c r="L128" s="517">
        <f t="shared" si="53"/>
        <v>1217.5994621711516</v>
      </c>
      <c r="M128" s="517">
        <f t="shared" si="53"/>
        <v>1274.4046496416527</v>
      </c>
      <c r="N128" s="517">
        <f t="shared" si="50"/>
        <v>13795.243129098235</v>
      </c>
      <c r="P128" s="533" t="s">
        <v>88</v>
      </c>
      <c r="Q128" s="517">
        <f t="shared" si="48"/>
        <v>1085.8539900000001</v>
      </c>
      <c r="R128" s="517">
        <f t="shared" si="49"/>
        <v>6521.3750069441157</v>
      </c>
    </row>
    <row r="129" spans="1:18" x14ac:dyDescent="0.25">
      <c r="A129" s="514" t="s">
        <v>89</v>
      </c>
      <c r="B129" s="514">
        <f>(SAP_ACT_EUR!C60+SAP_ACT_EUR!C72+SAP_ACT_EUR!C184+SAP_ACT_EUR!C195+SAP_ACT_EUR!C290)/1000</f>
        <v>17.28707</v>
      </c>
      <c r="C129" s="514">
        <f>(SAP_ACT_EUR!D60+SAP_ACT_EUR!D72+SAP_ACT_EUR!D184+SAP_ACT_EUR!D195+SAP_ACT_EUR!D290)/1000</f>
        <v>14.930529999999997</v>
      </c>
      <c r="D129" s="514">
        <f>(SAP_ACT_EUR!E60+SAP_ACT_EUR!E72+SAP_ACT_EUR!E184+SAP_ACT_EUR!E195+SAP_ACT_EUR!E290)/1000</f>
        <v>35.234139999999996</v>
      </c>
      <c r="E129" s="514">
        <f>(SAP_ACT_EUR!F60+SAP_ACT_EUR!F72+SAP_ACT_EUR!F184+SAP_ACT_EUR!F195+SAP_ACT_EUR!F290)/1000</f>
        <v>13.047470000000001</v>
      </c>
      <c r="F129" s="514">
        <f>(SAP_ACT_EUR!G60+SAP_ACT_EUR!G72+SAP_ACT_EUR!G184+SAP_ACT_EUR!G195+SAP_ACT_EUR!G290)/1000</f>
        <v>16.863679999999999</v>
      </c>
      <c r="G129" s="514">
        <f>(SAP_ACT_EUR!H60+SAP_ACT_EUR!H72+SAP_ACT_EUR!H184+SAP_ACT_EUR!H195+SAP_ACT_EUR!H290)/1000</f>
        <v>5.071699999999999</v>
      </c>
      <c r="H129" s="514">
        <f>(SAP_ACT_EUR!I60+SAP_ACT_EUR!I72+SAP_ACT_EUR!I184+SAP_ACT_EUR!I195+SAP_ACT_EUR!I290)/1000</f>
        <v>21.632406266507196</v>
      </c>
      <c r="I129" s="514">
        <f>(SAP_ACT_EUR!J60+SAP_ACT_EUR!J72+SAP_ACT_EUR!J184+SAP_ACT_EUR!J195+SAP_ACT_EUR!J290)/1000</f>
        <v>21.453871079958802</v>
      </c>
      <c r="J129" s="514">
        <f>(SAP_ACT_EUR!K60+SAP_ACT_EUR!K72+SAP_ACT_EUR!K184+SAP_ACT_EUR!K195+SAP_ACT_EUR!K290)/1000</f>
        <v>22.005916569494119</v>
      </c>
      <c r="K129" s="514">
        <f>(SAP_ACT_EUR!L60+SAP_ACT_EUR!L72+SAP_ACT_EUR!L184+SAP_ACT_EUR!L195+SAP_ACT_EUR!L290)/1000</f>
        <v>21.359057781640075</v>
      </c>
      <c r="L129" s="514">
        <f>(SAP_ACT_EUR!M60+SAP_ACT_EUR!M72+SAP_ACT_EUR!M184+SAP_ACT_EUR!M195+SAP_ACT_EUR!M290)/1000</f>
        <v>20.962574574903918</v>
      </c>
      <c r="M129" s="514">
        <f>(SAP_ACT_EUR!N60+SAP_ACT_EUR!N72+SAP_ACT_EUR!N184+SAP_ACT_EUR!N195+SAP_ACT_EUR!N290)/1000</f>
        <v>21.204760121109167</v>
      </c>
      <c r="N129" s="514">
        <f t="shared" si="50"/>
        <v>231.05317639361326</v>
      </c>
      <c r="O129" s="533" t="s">
        <v>184</v>
      </c>
      <c r="P129" s="533" t="s">
        <v>89</v>
      </c>
      <c r="Q129" s="514">
        <f t="shared" si="48"/>
        <v>5.071699999999999</v>
      </c>
      <c r="R129" s="514">
        <f t="shared" si="49"/>
        <v>102.43459</v>
      </c>
    </row>
    <row r="130" spans="1:18" x14ac:dyDescent="0.25">
      <c r="A130" s="517" t="s">
        <v>90</v>
      </c>
      <c r="B130" s="517">
        <f>B128+B129</f>
        <v>1245.8261999229892</v>
      </c>
      <c r="C130" s="517">
        <f t="shared" ref="C130:M130" si="54">C128+C129</f>
        <v>1267.3591671954021</v>
      </c>
      <c r="D130" s="517">
        <f t="shared" si="54"/>
        <v>975.49137982572506</v>
      </c>
      <c r="E130" s="517">
        <f t="shared" si="54"/>
        <v>821.47837000000004</v>
      </c>
      <c r="F130" s="517">
        <f t="shared" si="54"/>
        <v>1222.7287899999999</v>
      </c>
      <c r="G130" s="517">
        <f t="shared" si="54"/>
        <v>1090.92569</v>
      </c>
      <c r="H130" s="517">
        <f t="shared" si="54"/>
        <v>1154.7835854271279</v>
      </c>
      <c r="I130" s="517">
        <f t="shared" si="54"/>
        <v>1133.8653762688969</v>
      </c>
      <c r="J130" s="517">
        <f t="shared" si="54"/>
        <v>1256.7303436338991</v>
      </c>
      <c r="K130" s="517">
        <f t="shared" si="54"/>
        <v>1322.9359567089932</v>
      </c>
      <c r="L130" s="517">
        <f t="shared" si="54"/>
        <v>1238.5620367460556</v>
      </c>
      <c r="M130" s="517">
        <f t="shared" si="54"/>
        <v>1295.6094097627617</v>
      </c>
      <c r="N130" s="517">
        <f t="shared" si="50"/>
        <v>14026.296305491849</v>
      </c>
      <c r="P130" s="533" t="s">
        <v>90</v>
      </c>
      <c r="Q130" s="517">
        <f t="shared" si="48"/>
        <v>1090.92569</v>
      </c>
      <c r="R130" s="517">
        <f t="shared" si="49"/>
        <v>6623.8095969441165</v>
      </c>
    </row>
    <row r="131" spans="1:18" x14ac:dyDescent="0.25">
      <c r="A131" s="514" t="s">
        <v>91</v>
      </c>
      <c r="B131" s="1135">
        <f>392902.980077011/1000</f>
        <v>392.90298007701097</v>
      </c>
      <c r="C131" s="1135">
        <f>366364.802804598/1000</f>
        <v>366.36480280459801</v>
      </c>
      <c r="D131" s="1135">
        <v>394.15364017427498</v>
      </c>
      <c r="E131" s="1135">
        <v>36.995220000000003</v>
      </c>
      <c r="F131" s="1135">
        <v>310.31661000000003</v>
      </c>
      <c r="G131" s="770">
        <v>301.40708999999998</v>
      </c>
      <c r="H131" s="770">
        <v>314.66699999999997</v>
      </c>
      <c r="I131" s="770">
        <v>316.649</v>
      </c>
      <c r="J131" s="770">
        <v>310.40199999999999</v>
      </c>
      <c r="K131" s="770">
        <v>320.34399999999999</v>
      </c>
      <c r="L131" s="770">
        <v>314.00220000000002</v>
      </c>
      <c r="M131" s="770">
        <v>323.846</v>
      </c>
      <c r="N131" s="514">
        <f t="shared" si="50"/>
        <v>3702.0505430558842</v>
      </c>
      <c r="P131" s="533" t="s">
        <v>91</v>
      </c>
      <c r="Q131" s="514">
        <f t="shared" si="48"/>
        <v>301.40708999999998</v>
      </c>
      <c r="R131" s="514">
        <f t="shared" si="49"/>
        <v>1802.1403430558842</v>
      </c>
    </row>
    <row r="132" spans="1:18" s="548" customFormat="1" x14ac:dyDescent="0.25">
      <c r="A132" s="517" t="s">
        <v>92</v>
      </c>
      <c r="B132" s="517">
        <f>B130+B131</f>
        <v>1638.7291800000003</v>
      </c>
      <c r="C132" s="517">
        <f t="shared" ref="C132:M132" si="55">C130+C131</f>
        <v>1633.72397</v>
      </c>
      <c r="D132" s="517">
        <f t="shared" si="55"/>
        <v>1369.6450199999999</v>
      </c>
      <c r="E132" s="517">
        <f t="shared" si="55"/>
        <v>858.47359000000006</v>
      </c>
      <c r="F132" s="517">
        <f t="shared" si="55"/>
        <v>1533.0454</v>
      </c>
      <c r="G132" s="1193">
        <f t="shared" si="55"/>
        <v>1392.33278</v>
      </c>
      <c r="H132" s="517">
        <f t="shared" si="55"/>
        <v>1469.4505854271279</v>
      </c>
      <c r="I132" s="517">
        <f t="shared" si="55"/>
        <v>1450.5143762688967</v>
      </c>
      <c r="J132" s="517">
        <f t="shared" si="55"/>
        <v>1567.1323436338992</v>
      </c>
      <c r="K132" s="517">
        <f t="shared" si="55"/>
        <v>1643.2799567089933</v>
      </c>
      <c r="L132" s="517">
        <f t="shared" si="55"/>
        <v>1552.5642367460555</v>
      </c>
      <c r="M132" s="517">
        <f t="shared" si="55"/>
        <v>1619.4554097627617</v>
      </c>
      <c r="N132" s="517">
        <f t="shared" si="50"/>
        <v>17728.346848547735</v>
      </c>
      <c r="O132" s="533"/>
      <c r="P132" s="548" t="s">
        <v>92</v>
      </c>
      <c r="Q132" s="517">
        <f t="shared" si="48"/>
        <v>1392.33278</v>
      </c>
      <c r="R132" s="517">
        <f t="shared" si="49"/>
        <v>8425.9499400000004</v>
      </c>
    </row>
    <row r="133" spans="1:18" s="548" customFormat="1" x14ac:dyDescent="0.25">
      <c r="A133" s="514" t="s">
        <v>76</v>
      </c>
      <c r="B133" s="514">
        <f>(SAP_ACT_EUR!C25+SAP_ACT_EUR!C153)/1000</f>
        <v>18.225650000000002</v>
      </c>
      <c r="C133" s="514">
        <f>(SAP_ACT_EUR!D25+SAP_ACT_EUR!D153)/1000</f>
        <v>14.337690000000006</v>
      </c>
      <c r="D133" s="514">
        <f>(SAP_ACT_EUR!E25+SAP_ACT_EUR!E153)/1000</f>
        <v>9.554800000000002</v>
      </c>
      <c r="E133" s="514">
        <f>(SAP_ACT_EUR!F25+SAP_ACT_EUR!F153)/1000</f>
        <v>50.457409999999996</v>
      </c>
      <c r="F133" s="514">
        <f>(SAP_ACT_EUR!G25+SAP_ACT_EUR!G153)/1000</f>
        <v>16.0852</v>
      </c>
      <c r="G133" s="514">
        <f>(SAP_ACT_EUR!H25+SAP_ACT_EUR!H153)/1000</f>
        <v>27.970379999999999</v>
      </c>
      <c r="H133" s="514">
        <f>(SAP_ACT_EUR!I25+SAP_ACT_EUR!I153)/1000</f>
        <v>17.86224</v>
      </c>
      <c r="I133" s="514">
        <f>(SAP_ACT_EUR!J25+SAP_ACT_EUR!J153)/1000</f>
        <v>17.5076</v>
      </c>
      <c r="J133" s="514">
        <f>(SAP_ACT_EUR!K25+SAP_ACT_EUR!K153)/1000</f>
        <v>24.159080000000003</v>
      </c>
      <c r="K133" s="514">
        <f>(SAP_ACT_EUR!L25+SAP_ACT_EUR!L153)/1000</f>
        <v>21.98592</v>
      </c>
      <c r="L133" s="514">
        <f>(SAP_ACT_EUR!M25+SAP_ACT_EUR!M153)/1000</f>
        <v>22.851839999999999</v>
      </c>
      <c r="M133" s="514">
        <f>(SAP_ACT_EUR!N25+SAP_ACT_EUR!N153)/1000</f>
        <v>18.563599999999997</v>
      </c>
      <c r="N133" s="514">
        <f t="shared" si="50"/>
        <v>259.56141000000002</v>
      </c>
      <c r="O133" s="533"/>
      <c r="Q133" s="514">
        <f t="shared" si="48"/>
        <v>27.970379999999999</v>
      </c>
      <c r="R133" s="514">
        <f t="shared" si="49"/>
        <v>136.63113000000001</v>
      </c>
    </row>
    <row r="134" spans="1:18" x14ac:dyDescent="0.25">
      <c r="A134" s="514" t="s">
        <v>77</v>
      </c>
      <c r="B134" s="514">
        <f>(SAP_ACT_EUR!C90+SAP_ACT_EUR!C210)/1000</f>
        <v>-56.35548</v>
      </c>
      <c r="C134" s="514">
        <f>(SAP_ACT_EUR!D90+SAP_ACT_EUR!D210)/1000</f>
        <v>-55.948819999999998</v>
      </c>
      <c r="D134" s="514">
        <f>(SAP_ACT_EUR!E90+SAP_ACT_EUR!E210)/1000</f>
        <v>-30.366419999999998</v>
      </c>
      <c r="E134" s="514">
        <f>(SAP_ACT_EUR!F90+SAP_ACT_EUR!F210)/1000</f>
        <v>-53.893480000000004</v>
      </c>
      <c r="F134" s="514">
        <f>(SAP_ACT_EUR!G90+SAP_ACT_EUR!G210)/1000</f>
        <v>-36.104849999999999</v>
      </c>
      <c r="G134" s="514">
        <f>(SAP_ACT_EUR!H90+SAP_ACT_EUR!H210)/1000</f>
        <v>-74.14161</v>
      </c>
      <c r="H134" s="514">
        <f>(SAP_ACT_EUR!I90+SAP_ACT_EUR!I210)/1000</f>
        <v>-39.488540813848189</v>
      </c>
      <c r="I134" s="514">
        <f>(SAP_ACT_EUR!J90+SAP_ACT_EUR!J210)/1000</f>
        <v>-38.658510144472473</v>
      </c>
      <c r="J134" s="514">
        <f>(SAP_ACT_EUR!K90+SAP_ACT_EUR!K210)/1000</f>
        <v>-53.347192542572024</v>
      </c>
      <c r="K134" s="514">
        <f>(SAP_ACT_EUR!L90+SAP_ACT_EUR!L210)/1000</f>
        <v>-48.635137103373353</v>
      </c>
      <c r="L134" s="514">
        <f>(SAP_ACT_EUR!M90+SAP_ACT_EUR!M210)/1000</f>
        <v>-50.750043862884446</v>
      </c>
      <c r="M134" s="514">
        <f>(SAP_ACT_EUR!N90+SAP_ACT_EUR!N210)/1000</f>
        <v>-41.118432317492008</v>
      </c>
      <c r="N134" s="514">
        <f>SUM(B134:M134)</f>
        <v>-578.80851678464251</v>
      </c>
      <c r="P134" s="533" t="s">
        <v>76</v>
      </c>
      <c r="Q134" s="514">
        <f t="shared" si="48"/>
        <v>-74.14161</v>
      </c>
      <c r="R134" s="514">
        <f t="shared" si="49"/>
        <v>-306.81065999999998</v>
      </c>
    </row>
    <row r="135" spans="1:18" x14ac:dyDescent="0.25">
      <c r="A135" s="514" t="s">
        <v>144</v>
      </c>
      <c r="B135" s="514">
        <f>(SAP_ACT_EUR!C84+SAP_ACT_EUR!C85+SAP_ACT_EUR!C204+SAP_ACT_EUR!C205+SAP_ACT_EUR!C203+SAP_ACT_EUR!C83)/1000</f>
        <v>-2.7324800000000007</v>
      </c>
      <c r="C135" s="514">
        <f>(SAP_ACT_EUR!D84+SAP_ACT_EUR!D85+SAP_ACT_EUR!D204+SAP_ACT_EUR!D205+SAP_ACT_EUR!D203+SAP_ACT_EUR!D83)/1000</f>
        <v>-0.15481999999999996</v>
      </c>
      <c r="D135" s="514">
        <f>(SAP_ACT_EUR!E84+SAP_ACT_EUR!E85+SAP_ACT_EUR!E204+SAP_ACT_EUR!E205+SAP_ACT_EUR!E203+SAP_ACT_EUR!E83)/1000</f>
        <v>-0.55567000000000011</v>
      </c>
      <c r="E135" s="514">
        <f>(SAP_ACT_EUR!F84+SAP_ACT_EUR!F85+SAP_ACT_EUR!F204+SAP_ACT_EUR!F205+SAP_ACT_EUR!F203+SAP_ACT_EUR!F83)/1000</f>
        <v>65.577179999999998</v>
      </c>
      <c r="F135" s="514">
        <f>(SAP_ACT_EUR!G84+SAP_ACT_EUR!G85+SAP_ACT_EUR!G204+SAP_ACT_EUR!G205+SAP_ACT_EUR!G203+SAP_ACT_EUR!G83)/1000</f>
        <v>10.062050000000001</v>
      </c>
      <c r="G135" s="514">
        <f>(SAP_ACT_EUR!H84+SAP_ACT_EUR!H85+SAP_ACT_EUR!H204+SAP_ACT_EUR!H205+SAP_ACT_EUR!H203+SAP_ACT_EUR!H83)/1000</f>
        <v>-8.9144199999999998</v>
      </c>
      <c r="H135" s="514">
        <f>(SAP_ACT_EUR!I84+SAP_ACT_EUR!I85+SAP_ACT_EUR!I204+SAP_ACT_EUR!I205+SAP_ACT_EUR!I203+SAP_ACT_EUR!I83)/1000</f>
        <v>0</v>
      </c>
      <c r="I135" s="514">
        <f>(SAP_ACT_EUR!J84+SAP_ACT_EUR!J85+SAP_ACT_EUR!J204+SAP_ACT_EUR!J205+SAP_ACT_EUR!J203+SAP_ACT_EUR!J83)/1000</f>
        <v>0</v>
      </c>
      <c r="J135" s="514">
        <f>(SAP_ACT_EUR!K84+SAP_ACT_EUR!K85+SAP_ACT_EUR!K204+SAP_ACT_EUR!K205+SAP_ACT_EUR!K203+SAP_ACT_EUR!K83)/1000</f>
        <v>0</v>
      </c>
      <c r="K135" s="514">
        <f>(SAP_ACT_EUR!L84+SAP_ACT_EUR!L85+SAP_ACT_EUR!L204+SAP_ACT_EUR!L205+SAP_ACT_EUR!L203+SAP_ACT_EUR!L83)/1000</f>
        <v>0</v>
      </c>
      <c r="L135" s="514">
        <f>(SAP_ACT_EUR!M84+SAP_ACT_EUR!M85+SAP_ACT_EUR!M204+SAP_ACT_EUR!M205+SAP_ACT_EUR!M203+SAP_ACT_EUR!M83)/1000</f>
        <v>0</v>
      </c>
      <c r="M135" s="514">
        <f>(SAP_ACT_EUR!N84+SAP_ACT_EUR!N85+SAP_ACT_EUR!N204+SAP_ACT_EUR!N205+SAP_ACT_EUR!N203+SAP_ACT_EUR!N83)/1000</f>
        <v>0</v>
      </c>
      <c r="N135" s="514">
        <f t="shared" si="50"/>
        <v>63.281839999999995</v>
      </c>
      <c r="P135" s="533" t="s">
        <v>77</v>
      </c>
      <c r="Q135" s="514">
        <f t="shared" si="48"/>
        <v>-8.9144199999999998</v>
      </c>
      <c r="R135" s="514">
        <f t="shared" si="49"/>
        <v>63.281839999999995</v>
      </c>
    </row>
    <row r="136" spans="1:18" x14ac:dyDescent="0.25">
      <c r="A136" s="514" t="s">
        <v>85</v>
      </c>
      <c r="B136" s="514">
        <f>(SAP_ACT_EUR!C88+SAP_ACT_EUR!C208)/1000</f>
        <v>-26.068060000000003</v>
      </c>
      <c r="C136" s="514">
        <f>(SAP_ACT_EUR!D88+SAP_ACT_EUR!D208)/1000</f>
        <v>5.0938100000000004</v>
      </c>
      <c r="D136" s="514">
        <f>(SAP_ACT_EUR!E88+SAP_ACT_EUR!E208)/1000</f>
        <v>200.17382999999998</v>
      </c>
      <c r="E136" s="514">
        <f>(SAP_ACT_EUR!F88+SAP_ACT_EUR!F208)/1000</f>
        <v>-177.1679</v>
      </c>
      <c r="F136" s="514">
        <f>(SAP_ACT_EUR!G88+SAP_ACT_EUR!G208)/1000</f>
        <v>46.021999999999998</v>
      </c>
      <c r="G136" s="514">
        <f>(SAP_ACT_EUR!H88+SAP_ACT_EUR!H208)/1000</f>
        <v>-30.71528</v>
      </c>
      <c r="H136" s="514">
        <f>(SAP_ACT_EUR!I88+SAP_ACT_EUR!I208)/1000</f>
        <v>8.2504731756004741</v>
      </c>
      <c r="I136" s="514">
        <f>(SAP_ACT_EUR!J88+SAP_ACT_EUR!J208)/1000</f>
        <v>8.1849932297623766</v>
      </c>
      <c r="J136" s="514">
        <f>(SAP_ACT_EUR!K88+SAP_ACT_EUR!K208)/1000</f>
        <v>8.1200329660341026</v>
      </c>
      <c r="K136" s="514">
        <f>(SAP_ACT_EUR!L88+SAP_ACT_EUR!L208)/1000</f>
        <v>7.9803763793946958</v>
      </c>
      <c r="L136" s="514">
        <f>(SAP_ACT_EUR!M88+SAP_ACT_EUR!M208)/1000</f>
        <v>7.8431217487908542</v>
      </c>
      <c r="M136" s="514">
        <f>(SAP_ACT_EUR!N88+SAP_ACT_EUR!N208)/1000</f>
        <v>7.7082277629394138</v>
      </c>
      <c r="N136" s="514">
        <f t="shared" si="50"/>
        <v>65.425625262521891</v>
      </c>
      <c r="P136" s="533" t="s">
        <v>144</v>
      </c>
      <c r="Q136" s="514">
        <f t="shared" si="48"/>
        <v>-30.71528</v>
      </c>
      <c r="R136" s="514">
        <f t="shared" si="49"/>
        <v>17.338399999999965</v>
      </c>
    </row>
    <row r="137" spans="1:18" x14ac:dyDescent="0.25">
      <c r="A137" s="514" t="s">
        <v>145</v>
      </c>
      <c r="B137" s="514">
        <v>0</v>
      </c>
      <c r="C137" s="514"/>
      <c r="D137" s="514"/>
      <c r="E137" s="514"/>
      <c r="F137" s="514"/>
      <c r="G137" s="514"/>
      <c r="H137" s="514"/>
      <c r="I137" s="514"/>
      <c r="J137" s="514"/>
      <c r="K137" s="514"/>
      <c r="L137" s="514"/>
      <c r="M137" s="514"/>
      <c r="N137" s="514">
        <f t="shared" si="50"/>
        <v>0</v>
      </c>
      <c r="P137" s="533" t="s">
        <v>85</v>
      </c>
      <c r="Q137" s="514">
        <f t="shared" si="48"/>
        <v>0</v>
      </c>
      <c r="R137" s="514">
        <f t="shared" si="49"/>
        <v>0</v>
      </c>
    </row>
    <row r="138" spans="1:18" x14ac:dyDescent="0.25">
      <c r="A138" s="517" t="s">
        <v>146</v>
      </c>
      <c r="B138" s="517">
        <f>SUM(B133:B137)</f>
        <v>-66.930370000000011</v>
      </c>
      <c r="C138" s="517">
        <f t="shared" ref="C138:M138" si="56">SUM(C133:C137)</f>
        <v>-36.672139999999992</v>
      </c>
      <c r="D138" s="517">
        <f t="shared" si="56"/>
        <v>178.80653999999998</v>
      </c>
      <c r="E138" s="517">
        <f t="shared" si="56"/>
        <v>-115.02679000000001</v>
      </c>
      <c r="F138" s="517">
        <f t="shared" si="56"/>
        <v>36.064399999999999</v>
      </c>
      <c r="G138" s="1193">
        <f t="shared" si="56"/>
        <v>-85.800929999999994</v>
      </c>
      <c r="H138" s="517">
        <f t="shared" si="56"/>
        <v>-13.375827638247715</v>
      </c>
      <c r="I138" s="517">
        <f t="shared" si="56"/>
        <v>-12.965916914710096</v>
      </c>
      <c r="J138" s="517">
        <f t="shared" si="56"/>
        <v>-21.068079576537919</v>
      </c>
      <c r="K138" s="517">
        <f t="shared" si="56"/>
        <v>-18.668840723978658</v>
      </c>
      <c r="L138" s="517">
        <f t="shared" si="56"/>
        <v>-20.055082114093594</v>
      </c>
      <c r="M138" s="517">
        <f t="shared" si="56"/>
        <v>-14.846604554552597</v>
      </c>
      <c r="N138" s="517">
        <f t="shared" si="50"/>
        <v>-190.53964152212058</v>
      </c>
      <c r="P138" s="533" t="s">
        <v>145</v>
      </c>
      <c r="Q138" s="517">
        <f t="shared" si="48"/>
        <v>-85.800929999999994</v>
      </c>
      <c r="R138" s="517">
        <f t="shared" si="49"/>
        <v>-89.559290000000004</v>
      </c>
    </row>
    <row r="139" spans="1:18" x14ac:dyDescent="0.25">
      <c r="A139" s="514" t="s">
        <v>148</v>
      </c>
      <c r="B139" s="514">
        <f>+SAP_ACT_EUR!C296/1000</f>
        <v>88.890339999999995</v>
      </c>
      <c r="C139" s="514">
        <f>+SAP_ACT_EUR!D296/1000</f>
        <v>89.415120000000002</v>
      </c>
      <c r="D139" s="514">
        <f>+SAP_ACT_EUR!E296/1000</f>
        <v>89.415120000000002</v>
      </c>
      <c r="E139" s="514">
        <f>+SAP_ACT_EUR!F296/1000</f>
        <v>89.415120000000002</v>
      </c>
      <c r="F139" s="514">
        <f>+SAP_ACT_EUR!G296/1000</f>
        <v>89.415120000000002</v>
      </c>
      <c r="G139" s="514">
        <f>+SAP_ACT_EUR!H296/1000</f>
        <v>89.415120000000002</v>
      </c>
      <c r="H139" s="514">
        <f>+SAP_ACT_EUR!I296/1000</f>
        <v>90.697222368004915</v>
      </c>
      <c r="I139" s="514">
        <f>+SAP_ACT_EUR!J296/1000</f>
        <v>90.697222368004915</v>
      </c>
      <c r="J139" s="514">
        <f>+SAP_ACT_EUR!K296/1000</f>
        <v>90.697222368004915</v>
      </c>
      <c r="K139" s="514">
        <f>+SAP_ACT_EUR!L296/1000</f>
        <v>90.697222368004915</v>
      </c>
      <c r="L139" s="514">
        <f>+SAP_ACT_EUR!M296/1000</f>
        <v>90.697222368004915</v>
      </c>
      <c r="M139" s="514">
        <f>+SAP_ACT_EUR!N296/1000</f>
        <v>90.697222368004915</v>
      </c>
      <c r="N139" s="514">
        <f t="shared" si="50"/>
        <v>1080.1492742080293</v>
      </c>
      <c r="P139" s="533" t="s">
        <v>146</v>
      </c>
      <c r="Q139" s="514">
        <f t="shared" si="48"/>
        <v>89.415120000000002</v>
      </c>
      <c r="R139" s="514">
        <f t="shared" si="49"/>
        <v>535.96594000000005</v>
      </c>
    </row>
    <row r="140" spans="1:18" x14ac:dyDescent="0.25">
      <c r="A140" s="514" t="s">
        <v>149</v>
      </c>
      <c r="B140" s="514">
        <f>+SAP_ACT_EUR!C335/1000-(SAP_ACT_EUR!C290/1000)-B139</f>
        <v>119.01565000000006</v>
      </c>
      <c r="C140" s="514">
        <f>+SAP_ACT_EUR!D335/1000-(SAP_ACT_EUR!D290/1000)-C139</f>
        <v>64.739339999999999</v>
      </c>
      <c r="D140" s="514">
        <f>+SAP_ACT_EUR!E335/1000-(SAP_ACT_EUR!E290/1000)-D139</f>
        <v>75.012450000000001</v>
      </c>
      <c r="E140" s="514">
        <f>+SAP_ACT_EUR!F335/1000-(SAP_ACT_EUR!F290/1000)-E139</f>
        <v>68.807230000000004</v>
      </c>
      <c r="F140" s="514">
        <f>+SAP_ACT_EUR!G335/1000-(SAP_ACT_EUR!G290/1000)-F139</f>
        <v>168.17930000000007</v>
      </c>
      <c r="G140" s="514">
        <f>+SAP_ACT_EUR!H335/1000-(SAP_ACT_EUR!H290/1000)-G139</f>
        <v>43.157319999999999</v>
      </c>
      <c r="H140" s="514">
        <f>+SAP_ACT_EUR!I335/1000-(SAP_ACT_EUR!I290/1000)-H139</f>
        <v>86.05488834787856</v>
      </c>
      <c r="I140" s="514">
        <f>+SAP_ACT_EUR!J335/1000-(SAP_ACT_EUR!J290/1000)-I139</f>
        <v>85.430293212680013</v>
      </c>
      <c r="J140" s="514">
        <f>+SAP_ACT_EUR!K335/1000-(SAP_ACT_EUR!K290/1000)-J139</f>
        <v>92.02293856103789</v>
      </c>
      <c r="K140" s="514">
        <f>+SAP_ACT_EUR!L335/1000-(SAP_ACT_EUR!L290/1000)-K139</f>
        <v>85.583037111793359</v>
      </c>
      <c r="L140" s="514">
        <f>+SAP_ACT_EUR!M335/1000-(SAP_ACT_EUR!M290/1000)-L139</f>
        <v>85.08561337132879</v>
      </c>
      <c r="M140" s="514">
        <f>+SAP_ACT_EUR!N335/1000-(SAP_ACT_EUR!N290/1000)-M139</f>
        <v>72.960430209187464</v>
      </c>
      <c r="N140" s="514">
        <f t="shared" si="50"/>
        <v>1046.0484908139063</v>
      </c>
      <c r="Q140" s="514">
        <f t="shared" si="48"/>
        <v>43.157319999999999</v>
      </c>
      <c r="R140" s="514">
        <f t="shared" si="49"/>
        <v>538.91129000000012</v>
      </c>
    </row>
    <row r="141" spans="1:18" x14ac:dyDescent="0.25">
      <c r="A141" s="517" t="s">
        <v>150</v>
      </c>
      <c r="B141" s="517">
        <f>SUM(B139:B140)</f>
        <v>207.90599000000006</v>
      </c>
      <c r="C141" s="517">
        <f t="shared" ref="C141:M141" si="57">SUM(C139:C140)</f>
        <v>154.15446</v>
      </c>
      <c r="D141" s="517">
        <f t="shared" si="57"/>
        <v>164.42757</v>
      </c>
      <c r="E141" s="517">
        <f t="shared" si="57"/>
        <v>158.22235000000001</v>
      </c>
      <c r="F141" s="517">
        <f t="shared" si="57"/>
        <v>257.59442000000007</v>
      </c>
      <c r="G141" s="517">
        <f t="shared" si="57"/>
        <v>132.57244</v>
      </c>
      <c r="H141" s="517">
        <f t="shared" si="57"/>
        <v>176.75211071588348</v>
      </c>
      <c r="I141" s="517">
        <f t="shared" si="57"/>
        <v>176.12751558068493</v>
      </c>
      <c r="J141" s="517">
        <f t="shared" si="57"/>
        <v>182.72016092904281</v>
      </c>
      <c r="K141" s="517">
        <f t="shared" si="57"/>
        <v>176.28025947979827</v>
      </c>
      <c r="L141" s="517">
        <f t="shared" si="57"/>
        <v>175.78283573933371</v>
      </c>
      <c r="M141" s="517">
        <f t="shared" si="57"/>
        <v>163.65765257719238</v>
      </c>
      <c r="N141" s="517">
        <f t="shared" si="50"/>
        <v>2126.1977650219355</v>
      </c>
      <c r="P141" s="533" t="s">
        <v>148</v>
      </c>
      <c r="Q141" s="517">
        <f t="shared" si="48"/>
        <v>132.57244</v>
      </c>
      <c r="R141" s="517">
        <f t="shared" si="49"/>
        <v>1074.8772300000001</v>
      </c>
    </row>
    <row r="142" spans="1:18" ht="12.6" thickBot="1" x14ac:dyDescent="0.3">
      <c r="A142" s="520"/>
      <c r="B142" s="520"/>
      <c r="C142" s="520"/>
      <c r="D142" s="520"/>
      <c r="E142" s="520"/>
      <c r="F142" s="520"/>
      <c r="G142" s="520"/>
      <c r="H142" s="520"/>
      <c r="I142" s="520"/>
      <c r="J142" s="520"/>
      <c r="K142" s="520"/>
      <c r="L142" s="520"/>
      <c r="M142" s="520"/>
      <c r="N142" s="520">
        <f t="shared" si="50"/>
        <v>0</v>
      </c>
      <c r="P142" s="533" t="s">
        <v>149</v>
      </c>
      <c r="Q142" s="520">
        <f t="shared" si="48"/>
        <v>0</v>
      </c>
      <c r="R142" s="520">
        <f t="shared" si="49"/>
        <v>0</v>
      </c>
    </row>
    <row r="143" spans="1:18" x14ac:dyDescent="0.25">
      <c r="A143" s="517" t="s">
        <v>152</v>
      </c>
      <c r="B143" s="517">
        <f>B132+B138+B141</f>
        <v>1779.7048000000002</v>
      </c>
      <c r="C143" s="517">
        <f>C132+C138+C141</f>
        <v>1751.2062900000001</v>
      </c>
      <c r="D143" s="517">
        <f t="shared" ref="D143:M143" si="58">D132+D138+D141</f>
        <v>1712.87913</v>
      </c>
      <c r="E143" s="517">
        <f t="shared" si="58"/>
        <v>901.66915000000006</v>
      </c>
      <c r="F143" s="517">
        <f t="shared" si="58"/>
        <v>1826.7042200000001</v>
      </c>
      <c r="G143" s="517">
        <f t="shared" si="58"/>
        <v>1439.1042899999998</v>
      </c>
      <c r="H143" s="517">
        <f t="shared" si="58"/>
        <v>1632.8268685047635</v>
      </c>
      <c r="I143" s="517">
        <f t="shared" si="58"/>
        <v>1613.6759749348716</v>
      </c>
      <c r="J143" s="517">
        <f t="shared" si="58"/>
        <v>1728.784424986404</v>
      </c>
      <c r="K143" s="517">
        <f t="shared" si="58"/>
        <v>1800.8913754648129</v>
      </c>
      <c r="L143" s="517">
        <f t="shared" si="58"/>
        <v>1708.2919903712955</v>
      </c>
      <c r="M143" s="517">
        <f t="shared" si="58"/>
        <v>1768.2664577854016</v>
      </c>
      <c r="N143" s="517">
        <f t="shared" si="50"/>
        <v>19664.004972047551</v>
      </c>
      <c r="P143" s="533" t="s">
        <v>150</v>
      </c>
      <c r="Q143" s="517">
        <f t="shared" si="48"/>
        <v>1439.1042899999998</v>
      </c>
      <c r="R143" s="517">
        <f t="shared" si="49"/>
        <v>9411.2678799999994</v>
      </c>
    </row>
    <row r="144" spans="1:18" x14ac:dyDescent="0.25">
      <c r="A144" s="519"/>
      <c r="B144" s="519"/>
      <c r="C144" s="519"/>
      <c r="D144" s="519"/>
      <c r="E144" s="519"/>
      <c r="F144" s="999"/>
      <c r="G144" s="999"/>
      <c r="H144" s="999"/>
      <c r="I144" s="999"/>
      <c r="J144" s="999"/>
      <c r="K144" s="999"/>
      <c r="L144" s="999"/>
      <c r="M144" s="519"/>
      <c r="N144" s="519"/>
      <c r="Q144" s="519"/>
      <c r="R144" s="519"/>
    </row>
    <row r="145" spans="1:18" x14ac:dyDescent="0.25">
      <c r="A145" s="519"/>
      <c r="B145" s="519"/>
      <c r="C145" s="519"/>
      <c r="D145" s="519"/>
      <c r="E145" s="519"/>
      <c r="F145" s="519"/>
      <c r="G145" s="519"/>
      <c r="H145" s="519"/>
      <c r="I145" s="519"/>
      <c r="J145" s="519"/>
      <c r="K145" s="519"/>
      <c r="L145" s="519"/>
      <c r="M145" s="519"/>
      <c r="N145" s="519"/>
      <c r="P145" s="533" t="s">
        <v>152</v>
      </c>
      <c r="Q145" s="519"/>
      <c r="R145" s="519"/>
    </row>
    <row r="146" spans="1:18" x14ac:dyDescent="0.25">
      <c r="A146" s="519"/>
      <c r="B146" s="519"/>
      <c r="C146" s="519"/>
      <c r="D146" s="519"/>
      <c r="E146" s="519"/>
      <c r="F146" s="519"/>
      <c r="G146" s="519"/>
      <c r="H146" s="519"/>
      <c r="I146" s="519"/>
      <c r="J146" s="519"/>
      <c r="K146" s="519"/>
      <c r="L146" s="519"/>
      <c r="M146" s="519"/>
      <c r="N146" s="519"/>
      <c r="Q146" s="519"/>
      <c r="R146" s="519"/>
    </row>
    <row r="147" spans="1:18" x14ac:dyDescent="0.25">
      <c r="A147" s="519"/>
      <c r="B147" s="519"/>
      <c r="C147" s="519"/>
      <c r="D147" s="519"/>
      <c r="E147" s="519"/>
      <c r="F147" s="519"/>
      <c r="G147" s="519"/>
      <c r="H147" s="519"/>
      <c r="I147" s="519"/>
      <c r="J147" s="519"/>
      <c r="K147" s="519"/>
      <c r="L147" s="519"/>
      <c r="M147" s="519"/>
      <c r="N147" s="519"/>
      <c r="Q147" s="519"/>
      <c r="R147" s="519"/>
    </row>
    <row r="148" spans="1:18" x14ac:dyDescent="0.25">
      <c r="A148" s="519"/>
      <c r="B148" s="519"/>
      <c r="C148" s="519"/>
      <c r="D148" s="519"/>
      <c r="E148" s="519"/>
      <c r="F148" s="519"/>
      <c r="G148" s="519"/>
      <c r="H148" s="519"/>
      <c r="I148" s="519"/>
      <c r="J148" s="519"/>
      <c r="K148" s="519"/>
      <c r="L148" s="519"/>
      <c r="M148" s="519"/>
      <c r="N148" s="519"/>
      <c r="Q148" s="519"/>
      <c r="R148" s="519"/>
    </row>
    <row r="149" spans="1:18" x14ac:dyDescent="0.25">
      <c r="A149" s="549" t="s">
        <v>153</v>
      </c>
      <c r="B149" s="550">
        <f>+B143*1000-SAP_ACT_EUR!C345</f>
        <v>-1.1399999996647239</v>
      </c>
      <c r="C149" s="550">
        <f>+C143*1000-SAP_ACT_EUR!D345</f>
        <v>-232.80999999935739</v>
      </c>
      <c r="D149" s="550"/>
      <c r="E149" s="550"/>
      <c r="F149" s="550"/>
      <c r="G149" s="550">
        <f>11566691</f>
        <v>11566691</v>
      </c>
      <c r="H149" s="550">
        <f>G149/56.99</f>
        <v>202960.01052816282</v>
      </c>
      <c r="I149" s="550"/>
      <c r="J149" s="550"/>
      <c r="K149" s="550"/>
      <c r="L149" s="550"/>
      <c r="M149" s="550"/>
    </row>
    <row r="150" spans="1:18" x14ac:dyDescent="0.25">
      <c r="B150" s="533" t="s">
        <v>630</v>
      </c>
      <c r="C150" s="533" t="s">
        <v>630</v>
      </c>
    </row>
    <row r="152" spans="1:18" x14ac:dyDescent="0.25">
      <c r="A152" s="546" t="s">
        <v>185</v>
      </c>
      <c r="B152" s="547" t="s">
        <v>0</v>
      </c>
      <c r="C152" s="547" t="s">
        <v>1</v>
      </c>
      <c r="D152" s="547" t="s">
        <v>2</v>
      </c>
      <c r="E152" s="547" t="s">
        <v>3</v>
      </c>
      <c r="F152" s="547" t="s">
        <v>4</v>
      </c>
      <c r="G152" s="547" t="s">
        <v>5</v>
      </c>
      <c r="H152" s="547" t="s">
        <v>6</v>
      </c>
      <c r="I152" s="547" t="s">
        <v>7</v>
      </c>
      <c r="J152" s="547" t="s">
        <v>8</v>
      </c>
      <c r="K152" s="547" t="s">
        <v>9</v>
      </c>
      <c r="L152" s="547" t="s">
        <v>10</v>
      </c>
      <c r="M152" s="547" t="s">
        <v>11</v>
      </c>
      <c r="N152" s="547" t="s">
        <v>12</v>
      </c>
      <c r="Q152" s="540" t="s">
        <v>179</v>
      </c>
      <c r="R152" s="540" t="s">
        <v>94</v>
      </c>
    </row>
    <row r="153" spans="1:18" x14ac:dyDescent="0.25">
      <c r="A153" s="513" t="s">
        <v>156</v>
      </c>
      <c r="B153" s="513">
        <f>B117-B84-B39</f>
        <v>3.850631330558258</v>
      </c>
      <c r="C153" s="513">
        <f t="shared" ref="C153:M153" si="59">C117-C84-C39</f>
        <v>25.73881423876211</v>
      </c>
      <c r="D153" s="513">
        <f t="shared" si="59"/>
        <v>44.841605151282494</v>
      </c>
      <c r="E153" s="513">
        <f t="shared" si="59"/>
        <v>-63.826529006296937</v>
      </c>
      <c r="F153" s="513">
        <f>F117-F84-F39</f>
        <v>-60.830520471202789</v>
      </c>
      <c r="G153" s="513">
        <f t="shared" si="59"/>
        <v>-103.70639617287911</v>
      </c>
      <c r="H153" s="513">
        <f t="shared" si="59"/>
        <v>-87.778328644278986</v>
      </c>
      <c r="I153" s="513">
        <f t="shared" si="59"/>
        <v>-101.05964169300051</v>
      </c>
      <c r="J153" s="513">
        <f t="shared" si="59"/>
        <v>-136.30661200422179</v>
      </c>
      <c r="K153" s="513">
        <f t="shared" si="59"/>
        <v>30.793958595439406</v>
      </c>
      <c r="L153" s="513">
        <f t="shared" si="59"/>
        <v>-34.24107401917054</v>
      </c>
      <c r="M153" s="513">
        <f t="shared" si="59"/>
        <v>-43.855030564365435</v>
      </c>
      <c r="N153" s="513">
        <f>SUM(B153:M153)</f>
        <v>-526.37912325937384</v>
      </c>
      <c r="Q153" s="513">
        <f t="shared" ref="Q153" si="60">SUMIFS(B153:M153,$B$2:$M$2,$X$3)</f>
        <v>-103.70639617287911</v>
      </c>
      <c r="R153" s="513">
        <f t="shared" ref="R153:R179" si="61">SUMIFS(B153:M153,$B$1:$M$1,$Y$3)</f>
        <v>-153.93239492977597</v>
      </c>
    </row>
    <row r="154" spans="1:18" x14ac:dyDescent="0.25">
      <c r="A154" s="513" t="s">
        <v>75</v>
      </c>
      <c r="B154" s="513">
        <f t="shared" ref="B154:M155" si="62">B118-B85-B40</f>
        <v>-9.945895665293417</v>
      </c>
      <c r="C154" s="513">
        <f t="shared" si="62"/>
        <v>-14.54630544957892</v>
      </c>
      <c r="D154" s="513">
        <f t="shared" si="62"/>
        <v>4.3597875673948714</v>
      </c>
      <c r="E154" s="513">
        <f t="shared" si="62"/>
        <v>-1.5262964651115176</v>
      </c>
      <c r="F154" s="513">
        <f t="shared" si="62"/>
        <v>10.758344246188734</v>
      </c>
      <c r="G154" s="513">
        <f t="shared" si="62"/>
        <v>-5.8667146152252307</v>
      </c>
      <c r="H154" s="513">
        <f t="shared" si="62"/>
        <v>2.6861226030419125</v>
      </c>
      <c r="I154" s="513">
        <f t="shared" si="62"/>
        <v>4.3590042180695932</v>
      </c>
      <c r="J154" s="513">
        <f t="shared" si="62"/>
        <v>5.9593193989106439</v>
      </c>
      <c r="K154" s="513">
        <f t="shared" si="62"/>
        <v>3.3611055525902387</v>
      </c>
      <c r="L154" s="513">
        <f t="shared" si="62"/>
        <v>-2.2559435854888079</v>
      </c>
      <c r="M154" s="513">
        <f t="shared" si="62"/>
        <v>-0.57802737430155204</v>
      </c>
      <c r="N154" s="513">
        <f t="shared" ref="N154:N155" si="63">SUM(B154:M154)</f>
        <v>-3.2354995688034514</v>
      </c>
      <c r="Q154" s="513">
        <f t="shared" ref="Q154:Q179" si="64">SUMIFS(B154:M154,$B$2:$M$2,$X$3)</f>
        <v>-5.8667146152252307</v>
      </c>
      <c r="R154" s="513">
        <f t="shared" si="61"/>
        <v>-16.76708038162548</v>
      </c>
    </row>
    <row r="155" spans="1:18" x14ac:dyDescent="0.25">
      <c r="A155" s="514" t="s">
        <v>195</v>
      </c>
      <c r="B155" s="513">
        <f t="shared" si="62"/>
        <v>-1.836350821831477</v>
      </c>
      <c r="C155" s="513">
        <f t="shared" si="62"/>
        <v>-1.774309197540358</v>
      </c>
      <c r="D155" s="513">
        <f t="shared" si="62"/>
        <v>1.8460117905044395</v>
      </c>
      <c r="E155" s="513">
        <f t="shared" si="62"/>
        <v>25.920569236604791</v>
      </c>
      <c r="F155" s="513">
        <f t="shared" si="62"/>
        <v>4.5318459112124998</v>
      </c>
      <c r="G155" s="513">
        <f t="shared" si="62"/>
        <v>13.020599083192568</v>
      </c>
      <c r="H155" s="513">
        <f t="shared" si="62"/>
        <v>0.1605430641413701</v>
      </c>
      <c r="I155" s="513">
        <f t="shared" si="62"/>
        <v>0.93555785681545878</v>
      </c>
      <c r="J155" s="513">
        <f t="shared" si="62"/>
        <v>0.81997237420658209</v>
      </c>
      <c r="K155" s="513">
        <f t="shared" si="62"/>
        <v>1.4673366551308948</v>
      </c>
      <c r="L155" s="513">
        <f t="shared" si="62"/>
        <v>0.49199848103395638</v>
      </c>
      <c r="M155" s="513">
        <f t="shared" si="62"/>
        <v>2.5642615673686926</v>
      </c>
      <c r="N155" s="513">
        <f t="shared" si="63"/>
        <v>48.148036000839426</v>
      </c>
      <c r="Q155" s="514">
        <f t="shared" si="64"/>
        <v>13.020599083192568</v>
      </c>
      <c r="R155" s="514">
        <f t="shared" si="61"/>
        <v>41.708366002142469</v>
      </c>
    </row>
    <row r="156" spans="1:18" ht="12.6" thickBot="1" x14ac:dyDescent="0.3">
      <c r="A156" s="515" t="s">
        <v>196</v>
      </c>
      <c r="B156" s="515">
        <f>SUM(B153:B155)</f>
        <v>-7.931615156566636</v>
      </c>
      <c r="C156" s="515">
        <f t="shared" ref="C156:N156" si="65">SUM(C153:C155)</f>
        <v>9.418199591642832</v>
      </c>
      <c r="D156" s="515">
        <f t="shared" si="65"/>
        <v>51.04740450918181</v>
      </c>
      <c r="E156" s="515">
        <f t="shared" si="65"/>
        <v>-39.43225623480366</v>
      </c>
      <c r="F156" s="515">
        <f t="shared" si="65"/>
        <v>-45.540330313801554</v>
      </c>
      <c r="G156" s="515">
        <f t="shared" si="65"/>
        <v>-96.55251170491178</v>
      </c>
      <c r="H156" s="515">
        <f t="shared" si="65"/>
        <v>-84.931662977095712</v>
      </c>
      <c r="I156" s="515">
        <f t="shared" si="65"/>
        <v>-95.76507961811545</v>
      </c>
      <c r="J156" s="515">
        <f t="shared" si="65"/>
        <v>-129.52732023110457</v>
      </c>
      <c r="K156" s="515">
        <f t="shared" si="65"/>
        <v>35.622400803160538</v>
      </c>
      <c r="L156" s="515">
        <f t="shared" si="65"/>
        <v>-36.005019123625388</v>
      </c>
      <c r="M156" s="515">
        <f t="shared" si="65"/>
        <v>-41.868796371298302</v>
      </c>
      <c r="N156" s="515">
        <f t="shared" si="65"/>
        <v>-481.46658682733789</v>
      </c>
      <c r="Q156" s="515">
        <f t="shared" si="64"/>
        <v>-96.55251170491178</v>
      </c>
      <c r="R156" s="515">
        <f t="shared" si="61"/>
        <v>-128.991109309259</v>
      </c>
    </row>
    <row r="157" spans="1:18" x14ac:dyDescent="0.25">
      <c r="A157" s="516" t="s">
        <v>80</v>
      </c>
      <c r="B157" s="513">
        <f>B121-B9</f>
        <v>41.768166511777196</v>
      </c>
      <c r="C157" s="513">
        <f t="shared" ref="C157:M157" si="66">C121-C9</f>
        <v>2.8140731883988792</v>
      </c>
      <c r="D157" s="513">
        <f t="shared" si="66"/>
        <v>-22.465181005166755</v>
      </c>
      <c r="E157" s="513">
        <f t="shared" si="66"/>
        <v>7.2207334379732515</v>
      </c>
      <c r="F157" s="513">
        <f t="shared" si="66"/>
        <v>19.295627984795317</v>
      </c>
      <c r="G157" s="513">
        <f t="shared" si="66"/>
        <v>11.922061915291721</v>
      </c>
      <c r="H157" s="513">
        <f t="shared" si="66"/>
        <v>4.1229505653006413</v>
      </c>
      <c r="I157" s="513">
        <f t="shared" si="66"/>
        <v>1.5619264635669197</v>
      </c>
      <c r="J157" s="513">
        <f t="shared" si="66"/>
        <v>-0.92605481658088706</v>
      </c>
      <c r="K157" s="513">
        <f t="shared" si="66"/>
        <v>-0.95804215059942521</v>
      </c>
      <c r="L157" s="513">
        <f t="shared" si="66"/>
        <v>-0.61219835758132035</v>
      </c>
      <c r="M157" s="513">
        <f t="shared" si="66"/>
        <v>1.3566065827500893</v>
      </c>
      <c r="N157" s="513">
        <f t="shared" ref="N157:N162" si="67">SUM(B157:M157)</f>
        <v>65.100670319925626</v>
      </c>
      <c r="Q157" s="516">
        <f t="shared" si="64"/>
        <v>11.922061915291721</v>
      </c>
      <c r="R157" s="516">
        <f t="shared" si="61"/>
        <v>60.555482033069609</v>
      </c>
    </row>
    <row r="158" spans="1:18" x14ac:dyDescent="0.25">
      <c r="A158" s="514" t="s">
        <v>81</v>
      </c>
      <c r="B158" s="513">
        <f t="shared" ref="B158:M162" si="68">B122-B10</f>
        <v>8.5898946241478029</v>
      </c>
      <c r="C158" s="513">
        <f t="shared" si="68"/>
        <v>-1.9189555897595199</v>
      </c>
      <c r="D158" s="513">
        <f t="shared" si="68"/>
        <v>1.7958045431961978</v>
      </c>
      <c r="E158" s="513">
        <f t="shared" si="68"/>
        <v>-18.064406472686457</v>
      </c>
      <c r="F158" s="513">
        <f t="shared" si="68"/>
        <v>-3.1869398651679148</v>
      </c>
      <c r="G158" s="513">
        <f t="shared" si="68"/>
        <v>3.9733650974213788</v>
      </c>
      <c r="H158" s="513">
        <f t="shared" si="68"/>
        <v>0.83072542016849127</v>
      </c>
      <c r="I158" s="513">
        <f t="shared" si="68"/>
        <v>0.34088166854104429</v>
      </c>
      <c r="J158" s="513">
        <f t="shared" si="68"/>
        <v>2.1346999380646423</v>
      </c>
      <c r="K158" s="513">
        <f t="shared" si="68"/>
        <v>2.0871447050493259</v>
      </c>
      <c r="L158" s="513">
        <f t="shared" si="68"/>
        <v>2.1587712065480957</v>
      </c>
      <c r="M158" s="513">
        <f t="shared" si="68"/>
        <v>2.2532616546911441</v>
      </c>
      <c r="N158" s="513">
        <f t="shared" si="67"/>
        <v>0.99424693021423138</v>
      </c>
      <c r="Q158" s="514">
        <f t="shared" si="64"/>
        <v>3.9733650974213788</v>
      </c>
      <c r="R158" s="514">
        <f t="shared" si="61"/>
        <v>-8.8112376628485123</v>
      </c>
    </row>
    <row r="159" spans="1:18" x14ac:dyDescent="0.25">
      <c r="A159" s="514" t="s">
        <v>82</v>
      </c>
      <c r="B159" s="513">
        <f t="shared" si="68"/>
        <v>-18.928770547539955</v>
      </c>
      <c r="C159" s="513">
        <f t="shared" si="68"/>
        <v>67.511113790441613</v>
      </c>
      <c r="D159" s="513">
        <f t="shared" si="68"/>
        <v>-46.719596456877753</v>
      </c>
      <c r="E159" s="513">
        <f t="shared" si="68"/>
        <v>-90.961276793068478</v>
      </c>
      <c r="F159" s="513">
        <f t="shared" si="68"/>
        <v>11.489655672169846</v>
      </c>
      <c r="G159" s="513">
        <f t="shared" si="68"/>
        <v>-77.02787537821645</v>
      </c>
      <c r="H159" s="513">
        <f t="shared" si="68"/>
        <v>5.6962290565597016</v>
      </c>
      <c r="I159" s="513">
        <f t="shared" si="68"/>
        <v>11.683442360661246</v>
      </c>
      <c r="J159" s="513">
        <f t="shared" si="68"/>
        <v>35.834369973517425</v>
      </c>
      <c r="K159" s="513">
        <f t="shared" si="68"/>
        <v>-8.7406071604002875</v>
      </c>
      <c r="L159" s="513">
        <f t="shared" si="68"/>
        <v>-2.672540407646693</v>
      </c>
      <c r="M159" s="513">
        <f t="shared" si="68"/>
        <v>-9.6112944584297679</v>
      </c>
      <c r="N159" s="513">
        <f t="shared" si="67"/>
        <v>-122.44715034882955</v>
      </c>
      <c r="Q159" s="514">
        <f t="shared" si="64"/>
        <v>-77.02787537821645</v>
      </c>
      <c r="R159" s="514">
        <f t="shared" si="61"/>
        <v>-154.63674971309118</v>
      </c>
    </row>
    <row r="160" spans="1:18" x14ac:dyDescent="0.25">
      <c r="A160" s="514" t="s">
        <v>83</v>
      </c>
      <c r="B160" s="513">
        <f t="shared" si="68"/>
        <v>-0.71595999999999993</v>
      </c>
      <c r="C160" s="513">
        <f t="shared" si="68"/>
        <v>-1.9222900000000003</v>
      </c>
      <c r="D160" s="513">
        <f t="shared" si="68"/>
        <v>-2.4577300000000002</v>
      </c>
      <c r="E160" s="513">
        <f t="shared" si="68"/>
        <v>-1.1946699999999999</v>
      </c>
      <c r="F160" s="513">
        <f t="shared" si="68"/>
        <v>-5.4603799999999998</v>
      </c>
      <c r="G160" s="513">
        <f t="shared" si="68"/>
        <v>-3.9924200000000001</v>
      </c>
      <c r="H160" s="513">
        <f t="shared" si="68"/>
        <v>0.16298535735997977</v>
      </c>
      <c r="I160" s="513">
        <f t="shared" si="68"/>
        <v>1.0557236146813311</v>
      </c>
      <c r="J160" s="513">
        <f t="shared" si="68"/>
        <v>-2.1475313146503083E-2</v>
      </c>
      <c r="K160" s="513">
        <f t="shared" si="68"/>
        <v>0.36386793392316275</v>
      </c>
      <c r="L160" s="513">
        <f t="shared" si="68"/>
        <v>-0.35740225461775577</v>
      </c>
      <c r="M160" s="513">
        <f t="shared" si="68"/>
        <v>0.42545646394671444</v>
      </c>
      <c r="N160" s="513">
        <f t="shared" si="67"/>
        <v>-14.114294197853072</v>
      </c>
      <c r="Q160" s="514">
        <f t="shared" si="64"/>
        <v>-3.9924200000000001</v>
      </c>
      <c r="R160" s="514">
        <f t="shared" si="61"/>
        <v>-15.743449999999999</v>
      </c>
    </row>
    <row r="161" spans="1:18" x14ac:dyDescent="0.25">
      <c r="A161" s="514" t="s">
        <v>84</v>
      </c>
      <c r="B161" s="513">
        <f t="shared" si="68"/>
        <v>3.4758806587722972</v>
      </c>
      <c r="C161" s="513">
        <f t="shared" si="68"/>
        <v>-7.5784653888396747</v>
      </c>
      <c r="D161" s="513">
        <f t="shared" si="68"/>
        <v>-8.3359835219231684</v>
      </c>
      <c r="E161" s="513">
        <f t="shared" si="68"/>
        <v>-45.916888494505592</v>
      </c>
      <c r="F161" s="513">
        <f t="shared" si="68"/>
        <v>-5.3256902901532897</v>
      </c>
      <c r="G161" s="513">
        <f t="shared" si="68"/>
        <v>6.605960797878538</v>
      </c>
      <c r="H161" s="513">
        <f t="shared" si="68"/>
        <v>-2.7993260468890782</v>
      </c>
      <c r="I161" s="513">
        <f t="shared" si="68"/>
        <v>-2.7652044115963719</v>
      </c>
      <c r="J161" s="513">
        <f t="shared" si="68"/>
        <v>-2.731353582932897</v>
      </c>
      <c r="K161" s="513">
        <f t="shared" si="68"/>
        <v>5.1724215401152094</v>
      </c>
      <c r="L161" s="513">
        <f t="shared" si="68"/>
        <v>5.2439450025701859</v>
      </c>
      <c r="M161" s="513">
        <f t="shared" si="68"/>
        <v>5.3142383317642867</v>
      </c>
      <c r="N161" s="513">
        <f t="shared" si="67"/>
        <v>-49.640465405739548</v>
      </c>
      <c r="Q161" s="514">
        <f t="shared" si="64"/>
        <v>6.605960797878538</v>
      </c>
      <c r="R161" s="514">
        <f t="shared" si="61"/>
        <v>-57.07518623877089</v>
      </c>
    </row>
    <row r="162" spans="1:18" x14ac:dyDescent="0.25">
      <c r="A162" s="514" t="s">
        <v>86</v>
      </c>
      <c r="B162" s="513">
        <f t="shared" si="68"/>
        <v>9.5564881465310805</v>
      </c>
      <c r="C162" s="513">
        <f t="shared" si="68"/>
        <v>8.4431558840506682</v>
      </c>
      <c r="D162" s="513">
        <f t="shared" si="68"/>
        <v>10.670501336242751</v>
      </c>
      <c r="E162" s="513">
        <f t="shared" si="68"/>
        <v>-162.19022143443954</v>
      </c>
      <c r="F162" s="513">
        <f t="shared" si="68"/>
        <v>-32.621235913029636</v>
      </c>
      <c r="G162" s="513">
        <f t="shared" si="68"/>
        <v>-20.831009947958194</v>
      </c>
      <c r="H162" s="513">
        <f t="shared" si="68"/>
        <v>-28.834385435619481</v>
      </c>
      <c r="I162" s="513">
        <f t="shared" si="68"/>
        <v>-26.594986438688863</v>
      </c>
      <c r="J162" s="513">
        <f t="shared" si="68"/>
        <v>-26.90068781446854</v>
      </c>
      <c r="K162" s="513">
        <f t="shared" si="68"/>
        <v>-24.196744165053246</v>
      </c>
      <c r="L162" s="513">
        <f t="shared" si="68"/>
        <v>-19.838939682684497</v>
      </c>
      <c r="M162" s="513">
        <f t="shared" si="68"/>
        <v>-28.583885840497885</v>
      </c>
      <c r="N162" s="513">
        <f t="shared" si="67"/>
        <v>-341.92195130561538</v>
      </c>
      <c r="Q162" s="514">
        <f t="shared" si="64"/>
        <v>-20.831009947958194</v>
      </c>
      <c r="R162" s="514">
        <f t="shared" si="61"/>
        <v>-186.97232192860287</v>
      </c>
    </row>
    <row r="163" spans="1:18" ht="12.6" thickBot="1" x14ac:dyDescent="0.3">
      <c r="A163" s="515" t="s">
        <v>197</v>
      </c>
      <c r="B163" s="515">
        <f>SUM(B157:B162)</f>
        <v>43.745699393688426</v>
      </c>
      <c r="C163" s="515">
        <f t="shared" ref="C163:N163" si="69">SUM(C157:C162)</f>
        <v>67.348631884291962</v>
      </c>
      <c r="D163" s="515">
        <f t="shared" si="69"/>
        <v>-67.512185104528726</v>
      </c>
      <c r="E163" s="515">
        <f t="shared" si="69"/>
        <v>-311.10672975672685</v>
      </c>
      <c r="F163" s="515">
        <f t="shared" si="69"/>
        <v>-15.808962411385679</v>
      </c>
      <c r="G163" s="515">
        <f t="shared" si="69"/>
        <v>-79.349917515583002</v>
      </c>
      <c r="H163" s="515">
        <f t="shared" si="69"/>
        <v>-20.820821083119746</v>
      </c>
      <c r="I163" s="515">
        <f t="shared" si="69"/>
        <v>-14.718216742834695</v>
      </c>
      <c r="J163" s="515">
        <f t="shared" si="69"/>
        <v>7.3894983844532405</v>
      </c>
      <c r="K163" s="515">
        <f t="shared" si="69"/>
        <v>-26.27195929696526</v>
      </c>
      <c r="L163" s="515">
        <f t="shared" si="69"/>
        <v>-16.078364493411986</v>
      </c>
      <c r="M163" s="515">
        <f t="shared" si="69"/>
        <v>-28.845617265775417</v>
      </c>
      <c r="N163" s="515">
        <f t="shared" si="69"/>
        <v>-462.02894400789768</v>
      </c>
      <c r="Q163" s="515">
        <f t="shared" si="64"/>
        <v>-79.349917515583002</v>
      </c>
      <c r="R163" s="515">
        <f t="shared" si="61"/>
        <v>-362.68346351024388</v>
      </c>
    </row>
    <row r="164" spans="1:18" x14ac:dyDescent="0.25">
      <c r="A164" s="517" t="s">
        <v>88</v>
      </c>
      <c r="B164" s="517">
        <f>B156+B163</f>
        <v>35.81408423712179</v>
      </c>
      <c r="C164" s="517">
        <f t="shared" ref="C164:N164" si="70">C156+C163</f>
        <v>76.766831475934794</v>
      </c>
      <c r="D164" s="517">
        <f t="shared" si="70"/>
        <v>-16.464780595346916</v>
      </c>
      <c r="E164" s="517">
        <f t="shared" si="70"/>
        <v>-350.53898599153052</v>
      </c>
      <c r="F164" s="517">
        <f t="shared" si="70"/>
        <v>-61.349292725187233</v>
      </c>
      <c r="G164" s="517">
        <f t="shared" si="70"/>
        <v>-175.90242922049478</v>
      </c>
      <c r="H164" s="517">
        <f t="shared" si="70"/>
        <v>-105.75248406021547</v>
      </c>
      <c r="I164" s="517">
        <f t="shared" si="70"/>
        <v>-110.48329636095015</v>
      </c>
      <c r="J164" s="517">
        <f t="shared" si="70"/>
        <v>-122.13782184665132</v>
      </c>
      <c r="K164" s="517">
        <f t="shared" si="70"/>
        <v>9.3504415061952777</v>
      </c>
      <c r="L164" s="517">
        <f t="shared" si="70"/>
        <v>-52.08338361703737</v>
      </c>
      <c r="M164" s="517">
        <f t="shared" si="70"/>
        <v>-70.714413637073719</v>
      </c>
      <c r="N164" s="517">
        <f t="shared" si="70"/>
        <v>-943.49553083523551</v>
      </c>
      <c r="Q164" s="517">
        <f t="shared" si="64"/>
        <v>-175.90242922049478</v>
      </c>
      <c r="R164" s="517">
        <f t="shared" si="61"/>
        <v>-491.67457281950283</v>
      </c>
    </row>
    <row r="165" spans="1:18" x14ac:dyDescent="0.25">
      <c r="A165" s="514" t="s">
        <v>89</v>
      </c>
      <c r="B165" s="513">
        <f t="shared" ref="B165:M165" si="71">B129-B17</f>
        <v>-3.8459299443241335</v>
      </c>
      <c r="C165" s="513">
        <f t="shared" si="71"/>
        <v>-6.2792948459896962</v>
      </c>
      <c r="D165" s="513">
        <f t="shared" si="71"/>
        <v>14.301274567969617</v>
      </c>
      <c r="E165" s="513">
        <f t="shared" si="71"/>
        <v>-7.5195740440629528</v>
      </c>
      <c r="F165" s="513">
        <f t="shared" si="71"/>
        <v>-4.1547979051478556</v>
      </c>
      <c r="G165" s="513">
        <f t="shared" si="71"/>
        <v>-15.402817363192625</v>
      </c>
      <c r="H165" s="513">
        <f t="shared" si="71"/>
        <v>1.4150048829463238</v>
      </c>
      <c r="I165" s="513">
        <f t="shared" si="71"/>
        <v>1.4150005979615052</v>
      </c>
      <c r="J165" s="513">
        <f t="shared" si="71"/>
        <v>1.4150027701675327</v>
      </c>
      <c r="K165" s="513">
        <f t="shared" si="71"/>
        <v>1.4150044003889093</v>
      </c>
      <c r="L165" s="513">
        <f t="shared" si="71"/>
        <v>1.4149980835466884</v>
      </c>
      <c r="M165" s="513">
        <f t="shared" si="71"/>
        <v>1.4150027022106642</v>
      </c>
      <c r="N165" s="513">
        <f>SUM(B165:M165)</f>
        <v>-14.411126097526022</v>
      </c>
      <c r="Q165" s="514">
        <f t="shared" si="64"/>
        <v>-15.402817363192625</v>
      </c>
      <c r="R165" s="514">
        <f t="shared" si="61"/>
        <v>-22.901139534747646</v>
      </c>
    </row>
    <row r="166" spans="1:18" x14ac:dyDescent="0.25">
      <c r="A166" s="517" t="s">
        <v>90</v>
      </c>
      <c r="B166" s="517">
        <f>B164+B165</f>
        <v>31.968154292797657</v>
      </c>
      <c r="C166" s="517">
        <f t="shared" ref="C166:N166" si="72">C164+C165</f>
        <v>70.487536629945097</v>
      </c>
      <c r="D166" s="517">
        <f t="shared" si="72"/>
        <v>-2.1635060273772986</v>
      </c>
      <c r="E166" s="517">
        <f t="shared" si="72"/>
        <v>-358.05856003559347</v>
      </c>
      <c r="F166" s="517">
        <f t="shared" si="72"/>
        <v>-65.504090630335085</v>
      </c>
      <c r="G166" s="517">
        <f t="shared" si="72"/>
        <v>-191.30524658368739</v>
      </c>
      <c r="H166" s="517">
        <f t="shared" si="72"/>
        <v>-104.33747917726915</v>
      </c>
      <c r="I166" s="517">
        <f t="shared" si="72"/>
        <v>-109.06829576298864</v>
      </c>
      <c r="J166" s="517">
        <f t="shared" si="72"/>
        <v>-120.72281907648379</v>
      </c>
      <c r="K166" s="517">
        <f t="shared" si="72"/>
        <v>10.765445906584187</v>
      </c>
      <c r="L166" s="517">
        <f t="shared" si="72"/>
        <v>-50.668385533490678</v>
      </c>
      <c r="M166" s="517">
        <f t="shared" si="72"/>
        <v>-69.299410934863062</v>
      </c>
      <c r="N166" s="517">
        <f t="shared" si="72"/>
        <v>-957.90665693276151</v>
      </c>
      <c r="Q166" s="517">
        <f t="shared" si="64"/>
        <v>-191.30524658368739</v>
      </c>
      <c r="R166" s="517">
        <f t="shared" si="61"/>
        <v>-514.57571235425053</v>
      </c>
    </row>
    <row r="167" spans="1:18" x14ac:dyDescent="0.25">
      <c r="A167" s="514" t="s">
        <v>91</v>
      </c>
      <c r="B167" s="513">
        <f t="shared" ref="B167:M167" si="73">B131-B19</f>
        <v>-22.785653979865913</v>
      </c>
      <c r="C167" s="513">
        <f t="shared" si="73"/>
        <v>-20.524111717384415</v>
      </c>
      <c r="D167" s="513">
        <f t="shared" si="73"/>
        <v>-27.34751383624473</v>
      </c>
      <c r="E167" s="513">
        <f t="shared" si="73"/>
        <v>-376.14383106556062</v>
      </c>
      <c r="F167" s="513">
        <f t="shared" si="73"/>
        <v>-114.29902658697154</v>
      </c>
      <c r="G167" s="513">
        <f t="shared" si="73"/>
        <v>-114.94557088537664</v>
      </c>
      <c r="H167" s="513">
        <f t="shared" si="73"/>
        <v>-113.45359637899384</v>
      </c>
      <c r="I167" s="513">
        <f t="shared" si="73"/>
        <v>-112.74535271473707</v>
      </c>
      <c r="J167" s="513">
        <f t="shared" si="73"/>
        <v>-108.88673257594417</v>
      </c>
      <c r="K167" s="513">
        <f t="shared" si="73"/>
        <v>-112.34593165503992</v>
      </c>
      <c r="L167" s="513">
        <f t="shared" si="73"/>
        <v>-109.80119404106068</v>
      </c>
      <c r="M167" s="513">
        <f t="shared" si="73"/>
        <v>-112.86318255808857</v>
      </c>
      <c r="N167" s="513">
        <f>SUM(B167:M167)</f>
        <v>-1346.1416979952678</v>
      </c>
      <c r="Q167" s="514">
        <f t="shared" si="64"/>
        <v>-114.94557088537664</v>
      </c>
      <c r="R167" s="514">
        <f t="shared" si="61"/>
        <v>-676.04570807140385</v>
      </c>
    </row>
    <row r="168" spans="1:18" x14ac:dyDescent="0.25">
      <c r="A168" s="517" t="s">
        <v>92</v>
      </c>
      <c r="B168" s="517">
        <f>B166+B167</f>
        <v>9.1825003129317437</v>
      </c>
      <c r="C168" s="517">
        <f t="shared" ref="C168:N168" si="74">C166+C167</f>
        <v>49.963424912560683</v>
      </c>
      <c r="D168" s="517">
        <f t="shared" si="74"/>
        <v>-29.511019863622028</v>
      </c>
      <c r="E168" s="517">
        <f t="shared" si="74"/>
        <v>-734.20239110115403</v>
      </c>
      <c r="F168" s="517">
        <f t="shared" si="74"/>
        <v>-179.80311721730664</v>
      </c>
      <c r="G168" s="517">
        <f t="shared" si="74"/>
        <v>-306.25081746906403</v>
      </c>
      <c r="H168" s="517">
        <f t="shared" si="74"/>
        <v>-217.79107555626297</v>
      </c>
      <c r="I168" s="517">
        <f t="shared" si="74"/>
        <v>-221.81364847772571</v>
      </c>
      <c r="J168" s="517">
        <f t="shared" si="74"/>
        <v>-229.60955165242797</v>
      </c>
      <c r="K168" s="517">
        <f t="shared" si="74"/>
        <v>-101.58048574845573</v>
      </c>
      <c r="L168" s="517">
        <f t="shared" si="74"/>
        <v>-160.46957957455135</v>
      </c>
      <c r="M168" s="517">
        <f t="shared" si="74"/>
        <v>-182.16259349295163</v>
      </c>
      <c r="N168" s="517">
        <f t="shared" si="74"/>
        <v>-2304.0483549280293</v>
      </c>
      <c r="Q168" s="517">
        <f t="shared" si="64"/>
        <v>-306.25081746906403</v>
      </c>
      <c r="R168" s="517">
        <f t="shared" si="61"/>
        <v>-1190.6214204256544</v>
      </c>
    </row>
    <row r="169" spans="1:18" x14ac:dyDescent="0.25">
      <c r="A169" s="514" t="s">
        <v>76</v>
      </c>
      <c r="B169" s="513">
        <f t="shared" ref="B169:M171" si="75">B133-B100-B55</f>
        <v>-6.3536255958525238</v>
      </c>
      <c r="C169" s="513">
        <f t="shared" si="75"/>
        <v>-7.9341942485383399</v>
      </c>
      <c r="D169" s="513">
        <f t="shared" si="75"/>
        <v>-3.8911485486383572</v>
      </c>
      <c r="E169" s="513">
        <f t="shared" si="75"/>
        <v>35.691837563011887</v>
      </c>
      <c r="F169" s="513">
        <f t="shared" si="75"/>
        <v>3.3411161665007683</v>
      </c>
      <c r="G169" s="513">
        <f t="shared" si="75"/>
        <v>8.1932446467306335</v>
      </c>
      <c r="H169" s="513">
        <f t="shared" si="75"/>
        <v>1.6315781796275104</v>
      </c>
      <c r="I169" s="513">
        <f t="shared" si="75"/>
        <v>2.0510594594870524</v>
      </c>
      <c r="J169" s="513">
        <f t="shared" si="75"/>
        <v>2.6270537803357463</v>
      </c>
      <c r="K169" s="513">
        <f t="shared" si="75"/>
        <v>3.10400423266596</v>
      </c>
      <c r="L169" s="513">
        <f t="shared" si="75"/>
        <v>2.1121476641540085</v>
      </c>
      <c r="M169" s="513">
        <f t="shared" si="75"/>
        <v>2.2320453143124546</v>
      </c>
      <c r="N169" s="513">
        <f t="shared" ref="N169:N173" si="76">SUM(B169:M169)</f>
        <v>42.805118613796793</v>
      </c>
      <c r="Q169" s="514">
        <f t="shared" si="64"/>
        <v>8.1932446467306335</v>
      </c>
      <c r="R169" s="514">
        <f t="shared" si="61"/>
        <v>29.047229983214066</v>
      </c>
    </row>
    <row r="170" spans="1:18" x14ac:dyDescent="0.25">
      <c r="A170" s="514" t="s">
        <v>77</v>
      </c>
      <c r="B170" s="513">
        <f t="shared" si="75"/>
        <v>-7.1277019298245534</v>
      </c>
      <c r="C170" s="513">
        <f>C134-C101-C56</f>
        <v>-12.295643333333317</v>
      </c>
      <c r="D170" s="513">
        <f t="shared" si="75"/>
        <v>-7.3862921052631485</v>
      </c>
      <c r="E170" s="513">
        <f t="shared" si="75"/>
        <v>-16.106707368421034</v>
      </c>
      <c r="F170" s="513">
        <f t="shared" si="75"/>
        <v>-5.5727435087719499</v>
      </c>
      <c r="G170" s="513">
        <f t="shared" si="75"/>
        <v>-23.908209824561396</v>
      </c>
      <c r="H170" s="513">
        <f t="shared" si="75"/>
        <v>2.7201139929514966</v>
      </c>
      <c r="I170" s="513">
        <f t="shared" si="75"/>
        <v>0.10005917893591487</v>
      </c>
      <c r="J170" s="513">
        <f t="shared" si="75"/>
        <v>1.6323765442055915</v>
      </c>
      <c r="K170" s="513">
        <f t="shared" si="75"/>
        <v>-0.80566603904731693</v>
      </c>
      <c r="L170" s="513">
        <f t="shared" si="75"/>
        <v>1.7154079427662978</v>
      </c>
      <c r="M170" s="513">
        <f t="shared" si="75"/>
        <v>0.78197965109250589</v>
      </c>
      <c r="N170" s="513">
        <f t="shared" si="76"/>
        <v>-66.253026799270913</v>
      </c>
      <c r="Q170" s="514">
        <f t="shared" si="64"/>
        <v>-23.908209824561396</v>
      </c>
      <c r="R170" s="514">
        <f t="shared" si="61"/>
        <v>-72.397298070175395</v>
      </c>
    </row>
    <row r="171" spans="1:18" x14ac:dyDescent="0.25">
      <c r="A171" s="514" t="s">
        <v>144</v>
      </c>
      <c r="B171" s="513">
        <f t="shared" si="75"/>
        <v>-2.7324800000000007</v>
      </c>
      <c r="C171" s="513">
        <f t="shared" si="75"/>
        <v>-0.15481999999999996</v>
      </c>
      <c r="D171" s="513">
        <f t="shared" si="75"/>
        <v>-0.55567000000000011</v>
      </c>
      <c r="E171" s="513">
        <f t="shared" si="75"/>
        <v>65.577179999999998</v>
      </c>
      <c r="F171" s="513">
        <f t="shared" si="75"/>
        <v>10.062050000000001</v>
      </c>
      <c r="G171" s="513">
        <f t="shared" si="75"/>
        <v>-8.9144199999999998</v>
      </c>
      <c r="H171" s="513">
        <f t="shared" si="75"/>
        <v>0</v>
      </c>
      <c r="I171" s="513">
        <f t="shared" si="75"/>
        <v>0</v>
      </c>
      <c r="J171" s="513">
        <f t="shared" si="75"/>
        <v>0</v>
      </c>
      <c r="K171" s="513">
        <f t="shared" si="75"/>
        <v>0</v>
      </c>
      <c r="L171" s="513">
        <f t="shared" si="75"/>
        <v>0</v>
      </c>
      <c r="M171" s="513">
        <f t="shared" si="75"/>
        <v>0</v>
      </c>
      <c r="N171" s="513">
        <f t="shared" si="76"/>
        <v>63.281839999999995</v>
      </c>
      <c r="Q171" s="514">
        <f t="shared" si="64"/>
        <v>-8.9144199999999998</v>
      </c>
      <c r="R171" s="514">
        <f t="shared" si="61"/>
        <v>63.281839999999995</v>
      </c>
    </row>
    <row r="172" spans="1:18" x14ac:dyDescent="0.25">
      <c r="A172" s="514" t="s">
        <v>85</v>
      </c>
      <c r="B172" s="513">
        <f>B136-B24</f>
        <v>-35.068060000000003</v>
      </c>
      <c r="C172" s="513">
        <f t="shared" ref="B172:M173" si="77">C136-C24</f>
        <v>-3.9061899999999996</v>
      </c>
      <c r="D172" s="513">
        <f t="shared" si="77"/>
        <v>191.17382999999998</v>
      </c>
      <c r="E172" s="513">
        <f t="shared" si="77"/>
        <v>-186.1679</v>
      </c>
      <c r="F172" s="513">
        <f t="shared" si="77"/>
        <v>38.021999999999998</v>
      </c>
      <c r="G172" s="513">
        <f t="shared" si="77"/>
        <v>-38.71528</v>
      </c>
      <c r="H172" s="513">
        <f t="shared" si="77"/>
        <v>0.25047317560047411</v>
      </c>
      <c r="I172" s="513">
        <f t="shared" si="77"/>
        <v>0.18499322976237664</v>
      </c>
      <c r="J172" s="513">
        <f t="shared" si="77"/>
        <v>0.12003296603410263</v>
      </c>
      <c r="K172" s="513">
        <f t="shared" si="77"/>
        <v>-1.9623620605304204E-2</v>
      </c>
      <c r="L172" s="513">
        <f t="shared" si="77"/>
        <v>-0.15687825120914578</v>
      </c>
      <c r="M172" s="513">
        <f t="shared" si="77"/>
        <v>-0.29177223706058619</v>
      </c>
      <c r="N172" s="513">
        <f t="shared" si="76"/>
        <v>-34.574374737478109</v>
      </c>
      <c r="Q172" s="514">
        <f t="shared" si="64"/>
        <v>-38.71528</v>
      </c>
      <c r="R172" s="514">
        <f t="shared" si="61"/>
        <v>-34.661600000000035</v>
      </c>
    </row>
    <row r="173" spans="1:18" x14ac:dyDescent="0.25">
      <c r="A173" s="514" t="s">
        <v>145</v>
      </c>
      <c r="B173" s="513">
        <f t="shared" si="77"/>
        <v>0</v>
      </c>
      <c r="C173" s="513">
        <f t="shared" si="77"/>
        <v>0</v>
      </c>
      <c r="D173" s="513">
        <f t="shared" si="77"/>
        <v>0</v>
      </c>
      <c r="E173" s="513">
        <f t="shared" si="77"/>
        <v>0</v>
      </c>
      <c r="F173" s="513">
        <f t="shared" si="77"/>
        <v>0</v>
      </c>
      <c r="G173" s="513">
        <f t="shared" si="77"/>
        <v>0</v>
      </c>
      <c r="H173" s="513">
        <f t="shared" si="77"/>
        <v>0</v>
      </c>
      <c r="I173" s="513">
        <f t="shared" si="77"/>
        <v>0</v>
      </c>
      <c r="J173" s="513">
        <f t="shared" si="77"/>
        <v>0</v>
      </c>
      <c r="K173" s="513">
        <f t="shared" si="77"/>
        <v>0</v>
      </c>
      <c r="L173" s="513">
        <f t="shared" si="77"/>
        <v>0</v>
      </c>
      <c r="M173" s="513">
        <f t="shared" si="77"/>
        <v>0</v>
      </c>
      <c r="N173" s="513">
        <f t="shared" si="76"/>
        <v>0</v>
      </c>
      <c r="Q173" s="514">
        <f t="shared" si="64"/>
        <v>0</v>
      </c>
      <c r="R173" s="514">
        <f t="shared" si="61"/>
        <v>0</v>
      </c>
    </row>
    <row r="174" spans="1:18" x14ac:dyDescent="0.25">
      <c r="A174" s="517" t="s">
        <v>146</v>
      </c>
      <c r="B174" s="517">
        <f>SUM(B169:B173)</f>
        <v>-51.281867525677079</v>
      </c>
      <c r="C174" s="517">
        <f t="shared" ref="C174:N174" si="78">SUM(C169:C173)</f>
        <v>-24.290847581871656</v>
      </c>
      <c r="D174" s="517">
        <f t="shared" si="78"/>
        <v>179.34071934609847</v>
      </c>
      <c r="E174" s="517">
        <f t="shared" si="78"/>
        <v>-101.00558980540916</v>
      </c>
      <c r="F174" s="517">
        <f t="shared" si="78"/>
        <v>45.852422657728816</v>
      </c>
      <c r="G174" s="517">
        <f t="shared" si="78"/>
        <v>-63.344665177830763</v>
      </c>
      <c r="H174" s="517">
        <f t="shared" si="78"/>
        <v>4.6021653481794811</v>
      </c>
      <c r="I174" s="517">
        <f t="shared" si="78"/>
        <v>2.3361118681853439</v>
      </c>
      <c r="J174" s="517">
        <f t="shared" si="78"/>
        <v>4.3794632905754405</v>
      </c>
      <c r="K174" s="517">
        <f t="shared" si="78"/>
        <v>2.2787145730133389</v>
      </c>
      <c r="L174" s="517">
        <f t="shared" si="78"/>
        <v>3.6706773557111605</v>
      </c>
      <c r="M174" s="517">
        <f t="shared" si="78"/>
        <v>2.7222527283443743</v>
      </c>
      <c r="N174" s="517">
        <f t="shared" si="78"/>
        <v>5.2595570770477664</v>
      </c>
      <c r="Q174" s="517">
        <f t="shared" si="64"/>
        <v>-63.344665177830763</v>
      </c>
      <c r="R174" s="517">
        <f t="shared" si="61"/>
        <v>-14.729828086961369</v>
      </c>
    </row>
    <row r="175" spans="1:18" x14ac:dyDescent="0.25">
      <c r="A175" s="514" t="s">
        <v>148</v>
      </c>
      <c r="B175" s="513">
        <f t="shared" ref="B175:M176" si="79">B139-B27</f>
        <v>-1.8068825000000146</v>
      </c>
      <c r="C175" s="513">
        <f t="shared" si="79"/>
        <v>-1.2821025000000077</v>
      </c>
      <c r="D175" s="513">
        <f t="shared" si="79"/>
        <v>-1.2821025000000077</v>
      </c>
      <c r="E175" s="513">
        <f t="shared" si="79"/>
        <v>-1.2821025000000077</v>
      </c>
      <c r="F175" s="513">
        <f t="shared" si="79"/>
        <v>-1.2821025000000077</v>
      </c>
      <c r="G175" s="513">
        <f t="shared" si="79"/>
        <v>-1.2821025000000077</v>
      </c>
      <c r="H175" s="513">
        <f t="shared" si="79"/>
        <v>-1.3199509396599751E-7</v>
      </c>
      <c r="I175" s="513">
        <f t="shared" si="79"/>
        <v>-1.3199509396599751E-7</v>
      </c>
      <c r="J175" s="513">
        <f t="shared" si="79"/>
        <v>-1.3199509396599751E-7</v>
      </c>
      <c r="K175" s="513">
        <f t="shared" si="79"/>
        <v>-1.3199509396599751E-7</v>
      </c>
      <c r="L175" s="513">
        <f t="shared" si="79"/>
        <v>-1.3199509396599751E-7</v>
      </c>
      <c r="M175" s="513">
        <f t="shared" si="79"/>
        <v>-1.3199509396599751E-7</v>
      </c>
      <c r="N175" s="513">
        <f>SUM(B175:M175)</f>
        <v>-8.2173957919706169</v>
      </c>
      <c r="Q175" s="514">
        <f t="shared" si="64"/>
        <v>-1.2821025000000077</v>
      </c>
      <c r="R175" s="514">
        <f t="shared" si="61"/>
        <v>-8.2173950000000531</v>
      </c>
    </row>
    <row r="176" spans="1:18" x14ac:dyDescent="0.25">
      <c r="A176" s="514" t="s">
        <v>149</v>
      </c>
      <c r="B176" s="513">
        <f t="shared" si="79"/>
        <v>24.483647858819225</v>
      </c>
      <c r="C176" s="513">
        <f t="shared" si="79"/>
        <v>-29.792662141180827</v>
      </c>
      <c r="D176" s="513">
        <f t="shared" si="79"/>
        <v>-19.519552141180839</v>
      </c>
      <c r="E176" s="513">
        <f t="shared" si="79"/>
        <v>-25.724772141180821</v>
      </c>
      <c r="F176" s="513">
        <f t="shared" si="79"/>
        <v>73.647297858819229</v>
      </c>
      <c r="G176" s="513">
        <f t="shared" si="79"/>
        <v>-51.374682141180841</v>
      </c>
      <c r="H176" s="513">
        <f t="shared" si="79"/>
        <v>-8.47711379330228</v>
      </c>
      <c r="I176" s="513">
        <f t="shared" si="79"/>
        <v>-9.1017089285008268</v>
      </c>
      <c r="J176" s="513">
        <f t="shared" si="79"/>
        <v>-2.5090635801429499</v>
      </c>
      <c r="K176" s="513">
        <f t="shared" si="79"/>
        <v>-8.9489650293874803</v>
      </c>
      <c r="L176" s="513">
        <f t="shared" si="79"/>
        <v>-9.4463887698520494</v>
      </c>
      <c r="M176" s="513">
        <f t="shared" si="79"/>
        <v>-21.571571931993375</v>
      </c>
      <c r="N176" s="513">
        <f>SUM(B176:M176)</f>
        <v>-88.335534880263836</v>
      </c>
      <c r="Q176" s="514">
        <f t="shared" si="64"/>
        <v>-51.374682141180841</v>
      </c>
      <c r="R176" s="514">
        <f t="shared" si="61"/>
        <v>-28.280722847084874</v>
      </c>
    </row>
    <row r="177" spans="1:18" x14ac:dyDescent="0.25">
      <c r="A177" s="517" t="s">
        <v>150</v>
      </c>
      <c r="B177" s="517">
        <f>SUM(B175:B176)</f>
        <v>22.67676535881921</v>
      </c>
      <c r="C177" s="517">
        <f t="shared" ref="C177:N177" si="80">SUM(C175:C176)</f>
        <v>-31.074764641180835</v>
      </c>
      <c r="D177" s="517">
        <f t="shared" si="80"/>
        <v>-20.801654641180846</v>
      </c>
      <c r="E177" s="517">
        <f t="shared" si="80"/>
        <v>-27.006874641180829</v>
      </c>
      <c r="F177" s="517">
        <f t="shared" si="80"/>
        <v>72.365195358819221</v>
      </c>
      <c r="G177" s="517">
        <f t="shared" si="80"/>
        <v>-52.656784641180849</v>
      </c>
      <c r="H177" s="517">
        <f t="shared" si="80"/>
        <v>-8.477113925297374</v>
      </c>
      <c r="I177" s="517">
        <f t="shared" si="80"/>
        <v>-9.1017090604959208</v>
      </c>
      <c r="J177" s="517">
        <f t="shared" si="80"/>
        <v>-2.5090637121380439</v>
      </c>
      <c r="K177" s="517">
        <f t="shared" si="80"/>
        <v>-8.9489651613825743</v>
      </c>
      <c r="L177" s="517">
        <f t="shared" si="80"/>
        <v>-9.4463889018471434</v>
      </c>
      <c r="M177" s="517">
        <f t="shared" si="80"/>
        <v>-21.571572063988469</v>
      </c>
      <c r="N177" s="517">
        <f t="shared" si="80"/>
        <v>-96.552930672234453</v>
      </c>
      <c r="Q177" s="517">
        <f t="shared" si="64"/>
        <v>-52.656784641180849</v>
      </c>
      <c r="R177" s="517">
        <f t="shared" si="61"/>
        <v>-36.498117847084927</v>
      </c>
    </row>
    <row r="178" spans="1:18" ht="12.6" thickBot="1" x14ac:dyDescent="0.3">
      <c r="A178" s="520"/>
      <c r="B178" s="513"/>
      <c r="C178" s="520"/>
      <c r="D178" s="520"/>
      <c r="E178" s="520"/>
      <c r="F178" s="520"/>
      <c r="G178" s="520"/>
      <c r="H178" s="520"/>
      <c r="I178" s="520"/>
      <c r="J178" s="520"/>
      <c r="K178" s="520"/>
      <c r="L178" s="520"/>
      <c r="M178" s="520"/>
      <c r="N178" s="513"/>
      <c r="Q178" s="520">
        <f t="shared" ref="Q178" si="81">B178</f>
        <v>0</v>
      </c>
      <c r="R178" s="520">
        <f t="shared" ref="R178" si="82">N178</f>
        <v>0</v>
      </c>
    </row>
    <row r="179" spans="1:18" x14ac:dyDescent="0.25">
      <c r="A179" s="517" t="s">
        <v>152</v>
      </c>
      <c r="B179" s="517">
        <f>B168+B174+B177</f>
        <v>-19.422601853926125</v>
      </c>
      <c r="C179" s="517">
        <f t="shared" ref="C179:N179" si="83">C168+C174+C177</f>
        <v>-5.4021873104918079</v>
      </c>
      <c r="D179" s="517">
        <f t="shared" si="83"/>
        <v>129.02804484129558</v>
      </c>
      <c r="E179" s="517">
        <f t="shared" si="83"/>
        <v>-862.21485554774404</v>
      </c>
      <c r="F179" s="517">
        <f t="shared" si="83"/>
        <v>-61.585499200758591</v>
      </c>
      <c r="G179" s="517">
        <f t="shared" si="83"/>
        <v>-422.25226728807559</v>
      </c>
      <c r="H179" s="517">
        <f t="shared" si="83"/>
        <v>-221.66602413338086</v>
      </c>
      <c r="I179" s="517">
        <f t="shared" si="83"/>
        <v>-228.57924567003627</v>
      </c>
      <c r="J179" s="517">
        <f t="shared" si="83"/>
        <v>-227.73915207399057</v>
      </c>
      <c r="K179" s="517">
        <f t="shared" si="83"/>
        <v>-108.25073633682496</v>
      </c>
      <c r="L179" s="517">
        <f t="shared" si="83"/>
        <v>-166.24529112068734</v>
      </c>
      <c r="M179" s="517">
        <f t="shared" si="83"/>
        <v>-201.01191282859571</v>
      </c>
      <c r="N179" s="517">
        <f t="shared" si="83"/>
        <v>-2395.3417285232163</v>
      </c>
      <c r="Q179" s="517">
        <f t="shared" si="64"/>
        <v>-422.25226728807559</v>
      </c>
      <c r="R179" s="517">
        <f t="shared" si="61"/>
        <v>-1241.8493663597005</v>
      </c>
    </row>
    <row r="182" spans="1:18" x14ac:dyDescent="0.25">
      <c r="A182" s="552" t="s">
        <v>186</v>
      </c>
      <c r="B182" s="552">
        <f>(SUM(B9,B10,B11,B12,B13,B14,B17,B19,B24,B27,B28)-SUM(B88,B89,B90,B91,B92,B93,B96,B98,B103,B106,B107)-SUM(B62,B61,B58,B59,B53,B51,B43:B48)-B76)</f>
        <v>74.155661215989426</v>
      </c>
      <c r="C182" s="552">
        <f t="shared" ref="C182:M182" si="84">(SUM(C9,C10,C11,C12,C13,C14,C17,C19,C24,C27,C28)-SUM(C88,C89,C90,C91,C92,C93,C96,C98,C103,C106,C107)-SUM(C62,C61,C58,C59,C53,C51,C43:C48)-C76)</f>
        <v>186.38396565789671</v>
      </c>
      <c r="D182" s="552">
        <f t="shared" si="84"/>
        <v>622.98541887442025</v>
      </c>
      <c r="E182" s="552">
        <f t="shared" si="84"/>
        <v>165.86341342894065</v>
      </c>
      <c r="F182" s="552">
        <f t="shared" si="84"/>
        <v>79.812555081380779</v>
      </c>
      <c r="G182" s="552">
        <f t="shared" si="84"/>
        <v>14.311715493846464</v>
      </c>
      <c r="H182" s="552">
        <f t="shared" si="84"/>
        <v>2.4331813350789844</v>
      </c>
      <c r="I182" s="552">
        <f t="shared" si="84"/>
        <v>-6.2513208066100105</v>
      </c>
      <c r="J182" s="552">
        <f t="shared" si="84"/>
        <v>-22.114364208369864</v>
      </c>
      <c r="K182" s="552">
        <f t="shared" si="84"/>
        <v>-34.970069916726402</v>
      </c>
      <c r="L182" s="552">
        <f t="shared" si="84"/>
        <v>-28.922615476615704</v>
      </c>
      <c r="M182" s="552">
        <f t="shared" si="84"/>
        <v>-49.174730278691243</v>
      </c>
      <c r="N182" s="552">
        <f>SUM(B182:M182)</f>
        <v>1004.5128104005407</v>
      </c>
      <c r="Q182" s="533">
        <f t="shared" ref="Q182" si="85">SUMIFS(B182:M182,$B$2:$M$2,$X$3)</f>
        <v>14.311715493846464</v>
      </c>
      <c r="R182" s="533">
        <f t="shared" ref="R182" si="86">SUMIFS(B182:M182,$B$1:$M$1,$Y$3)</f>
        <v>1143.5127297524746</v>
      </c>
    </row>
    <row r="184" spans="1:18" x14ac:dyDescent="0.25">
      <c r="A184" s="552"/>
      <c r="B184" s="552"/>
      <c r="C184" s="552"/>
      <c r="D184" s="552"/>
      <c r="E184" s="552"/>
      <c r="F184" s="552"/>
      <c r="G184" s="552"/>
      <c r="H184" s="552"/>
      <c r="I184" s="552"/>
      <c r="J184" s="552"/>
      <c r="K184" s="552"/>
      <c r="L184" s="552"/>
      <c r="M184" s="552"/>
      <c r="N184" s="552"/>
    </row>
    <row r="192" spans="1:18" x14ac:dyDescent="0.25">
      <c r="A192" s="540" t="s">
        <v>187</v>
      </c>
      <c r="B192" s="540" t="s">
        <v>0</v>
      </c>
      <c r="C192" s="540" t="s">
        <v>1</v>
      </c>
      <c r="D192" s="540" t="s">
        <v>2</v>
      </c>
      <c r="E192" s="540" t="s">
        <v>3</v>
      </c>
      <c r="F192" s="540" t="s">
        <v>4</v>
      </c>
      <c r="G192" s="540" t="s">
        <v>5</v>
      </c>
      <c r="H192" s="540" t="s">
        <v>6</v>
      </c>
      <c r="I192" s="540" t="s">
        <v>7</v>
      </c>
      <c r="J192" s="540" t="s">
        <v>8</v>
      </c>
      <c r="K192" s="540" t="s">
        <v>9</v>
      </c>
      <c r="L192" s="540" t="s">
        <v>10</v>
      </c>
      <c r="M192" s="540" t="s">
        <v>11</v>
      </c>
      <c r="N192" s="540" t="s">
        <v>12</v>
      </c>
      <c r="Q192" s="540" t="s">
        <v>179</v>
      </c>
      <c r="R192" s="540" t="s">
        <v>94</v>
      </c>
    </row>
    <row r="193" spans="1:18" x14ac:dyDescent="0.25">
      <c r="A193" s="521" t="s">
        <v>188</v>
      </c>
      <c r="B193" s="522">
        <v>13.094725739964174</v>
      </c>
      <c r="C193" s="522">
        <v>12.850565004871614</v>
      </c>
      <c r="D193" s="522">
        <v>12.61095682519295</v>
      </c>
      <c r="E193" s="522">
        <v>12.424588005116208</v>
      </c>
      <c r="F193" s="522">
        <v>12.24097340405538</v>
      </c>
      <c r="G193" s="522">
        <v>12.060072319266382</v>
      </c>
      <c r="H193" s="522">
        <v>11.964357459589666</v>
      </c>
      <c r="I193" s="522">
        <v>11.869402241656415</v>
      </c>
      <c r="J193" s="522">
        <v>11.775200636563902</v>
      </c>
      <c r="K193" s="522">
        <v>11.572678758293762</v>
      </c>
      <c r="L193" s="522">
        <v>11.373640057291164</v>
      </c>
      <c r="M193" s="522">
        <v>11.178024626330382</v>
      </c>
      <c r="N193" s="523">
        <f>SUM(B193:M193)</f>
        <v>145.01518507819199</v>
      </c>
      <c r="Q193" s="523">
        <f t="shared" ref="Q193:Q199" si="87">SUMIFS(B193:M193,$B$2:$M$2,$X$3)</f>
        <v>12.060072319266382</v>
      </c>
      <c r="R193" s="523">
        <f t="shared" ref="R193:R199" si="88">SUMIFS(B193:M193,$B$1:$M$1,$Y$3)</f>
        <v>75.281881298466715</v>
      </c>
    </row>
    <row r="194" spans="1:18" x14ac:dyDescent="0.25">
      <c r="A194" s="521" t="s">
        <v>189</v>
      </c>
      <c r="B194" s="522">
        <v>1.5128050202815124</v>
      </c>
      <c r="C194" s="522">
        <v>1.4845976646531036</v>
      </c>
      <c r="D194" s="522">
        <v>1.4569162557930362</v>
      </c>
      <c r="E194" s="522">
        <v>1.4353854736877203</v>
      </c>
      <c r="F194" s="522">
        <v>1.4141728804805129</v>
      </c>
      <c r="G194" s="522">
        <v>1.3932737738724266</v>
      </c>
      <c r="H194" s="522">
        <v>1.3822160455083596</v>
      </c>
      <c r="I194" s="522">
        <v>1.371246076893214</v>
      </c>
      <c r="J194" s="522">
        <v>1.3603631715210456</v>
      </c>
      <c r="K194" s="522">
        <v>1.3369662619371454</v>
      </c>
      <c r="L194" s="522">
        <v>1.3139717562035826</v>
      </c>
      <c r="M194" s="522">
        <v>1.2913727333696143</v>
      </c>
      <c r="N194" s="523">
        <f>SUM(B194:M194)</f>
        <v>16.753287114201274</v>
      </c>
      <c r="Q194" s="523">
        <f t="shared" si="87"/>
        <v>1.3932737738724266</v>
      </c>
      <c r="R194" s="523">
        <f t="shared" si="88"/>
        <v>8.6971510687683118</v>
      </c>
    </row>
    <row r="195" spans="1:18" x14ac:dyDescent="0.25">
      <c r="A195" s="521" t="s">
        <v>190</v>
      </c>
      <c r="B195" s="522">
        <v>6.5254691840784469</v>
      </c>
      <c r="C195" s="522">
        <v>6.8746621764649749</v>
      </c>
      <c r="D195" s="522">
        <v>6.8649923510443909</v>
      </c>
      <c r="E195" s="522">
        <v>6.7070705652590243</v>
      </c>
      <c r="F195" s="522">
        <v>7.3633316206119588</v>
      </c>
      <c r="G195" s="522">
        <v>7.0211712700538156</v>
      </c>
      <c r="H195" s="522">
        <v>6.8708278784628449</v>
      </c>
      <c r="I195" s="522">
        <v>6.7982221634476678</v>
      </c>
      <c r="J195" s="522">
        <v>7.4553499912416399</v>
      </c>
      <c r="K195" s="522">
        <v>7.034408361020259</v>
      </c>
      <c r="L195" s="522">
        <v>6.8599646778624859</v>
      </c>
      <c r="M195" s="522">
        <v>7.3203600591985065</v>
      </c>
      <c r="N195" s="523">
        <f t="shared" ref="N195:N199" si="89">SUM(B195:M195)</f>
        <v>83.695830298746003</v>
      </c>
      <c r="Q195" s="523">
        <f t="shared" si="87"/>
        <v>7.0211712700538156</v>
      </c>
      <c r="R195" s="523">
        <f t="shared" si="88"/>
        <v>41.356697167512607</v>
      </c>
    </row>
    <row r="196" spans="1:18" x14ac:dyDescent="0.25">
      <c r="A196" s="521" t="s">
        <v>191</v>
      </c>
      <c r="B196" s="522"/>
      <c r="C196" s="522"/>
      <c r="D196" s="522"/>
      <c r="E196" s="522"/>
      <c r="F196" s="522"/>
      <c r="G196" s="522"/>
      <c r="H196" s="522"/>
      <c r="I196" s="522"/>
      <c r="J196" s="522"/>
      <c r="K196" s="522"/>
      <c r="L196" s="522"/>
      <c r="M196" s="522"/>
      <c r="N196" s="523">
        <f t="shared" si="89"/>
        <v>0</v>
      </c>
      <c r="Q196" s="523">
        <f t="shared" si="87"/>
        <v>0</v>
      </c>
      <c r="R196" s="523">
        <f t="shared" si="88"/>
        <v>0</v>
      </c>
    </row>
    <row r="197" spans="1:18" x14ac:dyDescent="0.25">
      <c r="A197" s="521" t="s">
        <v>148</v>
      </c>
      <c r="B197" s="522"/>
      <c r="C197" s="522"/>
      <c r="D197" s="522"/>
      <c r="E197" s="522"/>
      <c r="F197" s="522"/>
      <c r="G197" s="522"/>
      <c r="H197" s="522"/>
      <c r="I197" s="522"/>
      <c r="J197" s="522"/>
      <c r="K197" s="522"/>
      <c r="L197" s="522"/>
      <c r="M197" s="522"/>
      <c r="N197" s="523">
        <f t="shared" si="89"/>
        <v>0</v>
      </c>
      <c r="Q197" s="523">
        <f t="shared" si="87"/>
        <v>0</v>
      </c>
      <c r="R197" s="523">
        <f t="shared" si="88"/>
        <v>0</v>
      </c>
    </row>
    <row r="198" spans="1:18" x14ac:dyDescent="0.25">
      <c r="A198" s="521" t="s">
        <v>149</v>
      </c>
      <c r="B198" s="522"/>
      <c r="C198" s="522"/>
      <c r="D198" s="522"/>
      <c r="E198" s="522"/>
      <c r="F198" s="522"/>
      <c r="G198" s="522"/>
      <c r="H198" s="522"/>
      <c r="I198" s="522"/>
      <c r="J198" s="522"/>
      <c r="K198" s="522"/>
      <c r="L198" s="522"/>
      <c r="M198" s="522"/>
      <c r="N198" s="523">
        <f t="shared" si="89"/>
        <v>0</v>
      </c>
      <c r="Q198" s="523">
        <f t="shared" si="87"/>
        <v>0</v>
      </c>
      <c r="R198" s="523">
        <f t="shared" si="88"/>
        <v>0</v>
      </c>
    </row>
    <row r="199" spans="1:18" x14ac:dyDescent="0.25">
      <c r="A199" s="521" t="s">
        <v>145</v>
      </c>
      <c r="B199" s="522"/>
      <c r="C199" s="522"/>
      <c r="D199" s="522"/>
      <c r="E199" s="522"/>
      <c r="F199" s="522"/>
      <c r="G199" s="522"/>
      <c r="H199" s="522"/>
      <c r="I199" s="522"/>
      <c r="J199" s="522"/>
      <c r="K199" s="522"/>
      <c r="L199" s="522"/>
      <c r="M199" s="522"/>
      <c r="N199" s="523">
        <f t="shared" si="89"/>
        <v>0</v>
      </c>
      <c r="Q199" s="523">
        <f t="shared" si="87"/>
        <v>0</v>
      </c>
      <c r="R199" s="523">
        <f t="shared" si="88"/>
        <v>0</v>
      </c>
    </row>
    <row r="201" spans="1:18" x14ac:dyDescent="0.25">
      <c r="A201" s="540" t="s">
        <v>192</v>
      </c>
      <c r="B201" s="540" t="s">
        <v>0</v>
      </c>
      <c r="C201" s="540" t="s">
        <v>1</v>
      </c>
      <c r="D201" s="540" t="s">
        <v>2</v>
      </c>
      <c r="E201" s="540" t="s">
        <v>3</v>
      </c>
      <c r="F201" s="540" t="s">
        <v>4</v>
      </c>
      <c r="G201" s="540" t="s">
        <v>5</v>
      </c>
      <c r="H201" s="540" t="s">
        <v>6</v>
      </c>
      <c r="I201" s="540" t="s">
        <v>7</v>
      </c>
      <c r="J201" s="540" t="s">
        <v>8</v>
      </c>
      <c r="K201" s="540" t="s">
        <v>9</v>
      </c>
      <c r="L201" s="540" t="s">
        <v>10</v>
      </c>
      <c r="M201" s="540" t="s">
        <v>11</v>
      </c>
      <c r="N201" s="540" t="s">
        <v>12</v>
      </c>
      <c r="Q201" s="540" t="s">
        <v>179</v>
      </c>
      <c r="R201" s="540" t="s">
        <v>94</v>
      </c>
    </row>
    <row r="202" spans="1:18" x14ac:dyDescent="0.25">
      <c r="A202" s="521" t="s">
        <v>188</v>
      </c>
      <c r="B202" s="522">
        <f>(SAP_ACT_EUR!C72+SAP_ACT_EUR!C195)/1000</f>
        <v>11.192729999999999</v>
      </c>
      <c r="C202" s="522">
        <f>(SAP_ACT_EUR!D72+SAP_ACT_EUR!D195)/1000</f>
        <v>11.39457</v>
      </c>
      <c r="D202" s="522">
        <f>(SAP_ACT_EUR!E72+SAP_ACT_EUR!E195)/1000</f>
        <v>27.28304</v>
      </c>
      <c r="E202" s="522">
        <f>(SAP_ACT_EUR!F72+SAP_ACT_EUR!F195)/1000</f>
        <v>1.27406</v>
      </c>
      <c r="F202" s="522">
        <f>(SAP_ACT_EUR!G72+SAP_ACT_EUR!G195)/1000</f>
        <v>2.4430200000000002</v>
      </c>
      <c r="G202" s="522">
        <f>(SAP_ACT_EUR!H72+SAP_ACT_EUR!H195)/1000</f>
        <v>2.41852</v>
      </c>
      <c r="H202" s="522">
        <f>(SAP_ACT_EUR!I72+SAP_ACT_EUR!I195)/1000</f>
        <v>11.964357459589666</v>
      </c>
      <c r="I202" s="522">
        <f>(SAP_ACT_EUR!J72+SAP_ACT_EUR!J195)/1000</f>
        <v>11.869402241656415</v>
      </c>
      <c r="J202" s="522">
        <f>(SAP_ACT_EUR!K72+SAP_ACT_EUR!K195)/1000</f>
        <v>11.775200636563902</v>
      </c>
      <c r="K202" s="522">
        <f>(SAP_ACT_EUR!L72+SAP_ACT_EUR!L195)/1000</f>
        <v>11.572678758293762</v>
      </c>
      <c r="L202" s="522">
        <f>(SAP_ACT_EUR!M72+SAP_ACT_EUR!M195)/1000</f>
        <v>11.373640057291164</v>
      </c>
      <c r="M202" s="522">
        <f>(SAP_ACT_EUR!N72+SAP_ACT_EUR!N195)/1000</f>
        <v>11.178024626330382</v>
      </c>
      <c r="N202" s="523">
        <f>SUM(B202:M202)</f>
        <v>125.7392437797253</v>
      </c>
      <c r="Q202" s="523">
        <f t="shared" ref="Q202:Q208" si="90">SUMIFS(B202:M202,$B$2:$M$2,$X$3)</f>
        <v>2.41852</v>
      </c>
      <c r="R202" s="523">
        <f t="shared" ref="R202:R208" si="91">SUMIFS(B202:M202,$B$1:$M$1,$Y$3)</f>
        <v>56.005939999999995</v>
      </c>
    </row>
    <row r="203" spans="1:18" x14ac:dyDescent="0.25">
      <c r="A203" s="521" t="s">
        <v>189</v>
      </c>
      <c r="B203" s="522">
        <f>(SAP_ACT_EUR!C60+SAP_ACT_EUR!C184)/1000</f>
        <v>1.4245999999999999</v>
      </c>
      <c r="C203" s="522">
        <f>(SAP_ACT_EUR!D60+SAP_ACT_EUR!D184)/1000</f>
        <v>1.2397199999999999</v>
      </c>
      <c r="D203" s="522">
        <f>(SAP_ACT_EUR!E60+SAP_ACT_EUR!E184)/1000</f>
        <v>1.19478</v>
      </c>
      <c r="E203" s="522">
        <f>(SAP_ACT_EUR!F60+SAP_ACT_EUR!F184)/1000</f>
        <v>1.3868800000000001</v>
      </c>
      <c r="F203" s="522">
        <f>(SAP_ACT_EUR!G60+SAP_ACT_EUR!G184)/1000</f>
        <v>1.68529</v>
      </c>
      <c r="G203" s="522">
        <f>(SAP_ACT_EUR!H60+SAP_ACT_EUR!H184)/1000</f>
        <v>1.4778900000000001</v>
      </c>
      <c r="H203" s="522">
        <f>(SAP_ACT_EUR!I60+SAP_ACT_EUR!I184)/1000</f>
        <v>1.3822160455083596</v>
      </c>
      <c r="I203" s="522">
        <f>(SAP_ACT_EUR!J60+SAP_ACT_EUR!J184)/1000</f>
        <v>1.371246076893214</v>
      </c>
      <c r="J203" s="522">
        <f>(SAP_ACT_EUR!K60+SAP_ACT_EUR!K184)/1000</f>
        <v>1.3603631715210456</v>
      </c>
      <c r="K203" s="522">
        <f>(SAP_ACT_EUR!L60+SAP_ACT_EUR!L184)/1000</f>
        <v>1.3369662619371454</v>
      </c>
      <c r="L203" s="522">
        <f>(SAP_ACT_EUR!M60+SAP_ACT_EUR!M184)/1000</f>
        <v>1.3139717562035826</v>
      </c>
      <c r="M203" s="522">
        <f>(SAP_ACT_EUR!N60+SAP_ACT_EUR!N184)/1000</f>
        <v>1.2913727333696143</v>
      </c>
      <c r="N203" s="523">
        <f>SUM(B203:M203)</f>
        <v>16.465296045432961</v>
      </c>
      <c r="Q203" s="523">
        <f t="shared" si="90"/>
        <v>1.4778900000000001</v>
      </c>
      <c r="R203" s="523">
        <f t="shared" si="91"/>
        <v>8.40916</v>
      </c>
    </row>
    <row r="204" spans="1:18" x14ac:dyDescent="0.25">
      <c r="A204" s="521" t="s">
        <v>190</v>
      </c>
      <c r="B204" s="522">
        <f>+SAP_ACT_EUR!C290/1000</f>
        <v>4.66974</v>
      </c>
      <c r="C204" s="522">
        <f>+SAP_ACT_EUR!D290/1000</f>
        <v>2.2962399999999996</v>
      </c>
      <c r="D204" s="522">
        <f>+SAP_ACT_EUR!E290/1000</f>
        <v>6.7563199999999997</v>
      </c>
      <c r="E204" s="522">
        <f>+SAP_ACT_EUR!F290/1000</f>
        <v>10.38653</v>
      </c>
      <c r="F204" s="522">
        <f>+SAP_ACT_EUR!G290/1000</f>
        <v>12.735370000000001</v>
      </c>
      <c r="G204" s="522">
        <f>+SAP_ACT_EUR!H290/1000</f>
        <v>1.1752899999999999</v>
      </c>
      <c r="H204" s="522">
        <f>+SAP_ACT_EUR!I290/1000</f>
        <v>8.2858327614091714</v>
      </c>
      <c r="I204" s="522">
        <f>+SAP_ACT_EUR!J290/1000</f>
        <v>8.2132227614091722</v>
      </c>
      <c r="J204" s="522">
        <f>+SAP_ACT_EUR!K290/1000</f>
        <v>8.8703527614091726</v>
      </c>
      <c r="K204" s="522">
        <f>+SAP_ACT_EUR!L290/1000</f>
        <v>8.4494127614091727</v>
      </c>
      <c r="L204" s="522">
        <f>+SAP_ACT_EUR!M290/1000</f>
        <v>8.2749627614091708</v>
      </c>
      <c r="M204" s="522">
        <f>+SAP_ACT_EUR!N290/1000</f>
        <v>8.7353627614091707</v>
      </c>
      <c r="N204" s="523">
        <f t="shared" ref="N204:N208" si="92">SUM(B204:M204)</f>
        <v>88.848636568455021</v>
      </c>
      <c r="Q204" s="523">
        <f t="shared" si="90"/>
        <v>1.1752899999999999</v>
      </c>
      <c r="R204" s="523">
        <f t="shared" si="91"/>
        <v>38.019489999999998</v>
      </c>
    </row>
    <row r="205" spans="1:18" x14ac:dyDescent="0.25">
      <c r="A205" s="521" t="s">
        <v>191</v>
      </c>
      <c r="B205" s="522"/>
      <c r="C205" s="522"/>
      <c r="D205" s="522"/>
      <c r="E205" s="522"/>
      <c r="F205" s="522"/>
      <c r="G205" s="522"/>
      <c r="H205" s="522"/>
      <c r="I205" s="522"/>
      <c r="J205" s="522"/>
      <c r="K205" s="522"/>
      <c r="L205" s="522"/>
      <c r="M205" s="507"/>
      <c r="N205" s="523">
        <f t="shared" si="92"/>
        <v>0</v>
      </c>
      <c r="Q205" s="523">
        <f t="shared" si="90"/>
        <v>0</v>
      </c>
      <c r="R205" s="523">
        <f t="shared" si="91"/>
        <v>0</v>
      </c>
    </row>
    <row r="206" spans="1:18" x14ac:dyDescent="0.25">
      <c r="A206" s="521" t="s">
        <v>148</v>
      </c>
      <c r="B206" s="522"/>
      <c r="C206" s="522"/>
      <c r="D206" s="522"/>
      <c r="E206" s="522"/>
      <c r="F206" s="522"/>
      <c r="G206" s="522"/>
      <c r="H206" s="522"/>
      <c r="I206" s="522"/>
      <c r="J206" s="522"/>
      <c r="K206" s="522"/>
      <c r="L206" s="522"/>
      <c r="M206" s="522"/>
      <c r="N206" s="523">
        <f t="shared" si="92"/>
        <v>0</v>
      </c>
      <c r="Q206" s="523">
        <f t="shared" si="90"/>
        <v>0</v>
      </c>
      <c r="R206" s="523">
        <f t="shared" si="91"/>
        <v>0</v>
      </c>
    </row>
    <row r="207" spans="1:18" x14ac:dyDescent="0.25">
      <c r="A207" s="521" t="s">
        <v>149</v>
      </c>
      <c r="B207" s="522"/>
      <c r="C207" s="522"/>
      <c r="D207" s="522"/>
      <c r="E207" s="522"/>
      <c r="F207" s="522"/>
      <c r="G207" s="522"/>
      <c r="H207" s="522"/>
      <c r="I207" s="522"/>
      <c r="J207" s="522"/>
      <c r="K207" s="522"/>
      <c r="L207" s="522"/>
      <c r="M207" s="522"/>
      <c r="N207" s="523">
        <f t="shared" si="92"/>
        <v>0</v>
      </c>
      <c r="Q207" s="523">
        <f t="shared" si="90"/>
        <v>0</v>
      </c>
      <c r="R207" s="523">
        <f t="shared" si="91"/>
        <v>0</v>
      </c>
    </row>
    <row r="208" spans="1:18" x14ac:dyDescent="0.25">
      <c r="A208" s="521" t="s">
        <v>145</v>
      </c>
      <c r="B208" s="522"/>
      <c r="C208" s="522"/>
      <c r="D208" s="522"/>
      <c r="E208" s="522"/>
      <c r="F208" s="522"/>
      <c r="G208" s="522"/>
      <c r="H208" s="522"/>
      <c r="I208" s="522"/>
      <c r="J208" s="522"/>
      <c r="K208" s="522"/>
      <c r="L208" s="522"/>
      <c r="M208" s="522"/>
      <c r="N208" s="523">
        <f t="shared" si="92"/>
        <v>0</v>
      </c>
      <c r="Q208" s="523">
        <f t="shared" si="90"/>
        <v>0</v>
      </c>
      <c r="R208" s="523">
        <f t="shared" si="91"/>
        <v>0</v>
      </c>
    </row>
    <row r="211" spans="1:18" x14ac:dyDescent="0.25">
      <c r="A211" s="524" t="s">
        <v>193</v>
      </c>
      <c r="B211" s="540" t="s">
        <v>0</v>
      </c>
      <c r="C211" s="540" t="s">
        <v>1</v>
      </c>
      <c r="D211" s="540" t="s">
        <v>2</v>
      </c>
      <c r="E211" s="540" t="s">
        <v>3</v>
      </c>
      <c r="F211" s="540" t="s">
        <v>4</v>
      </c>
      <c r="G211" s="540" t="s">
        <v>5</v>
      </c>
      <c r="H211" s="540" t="s">
        <v>6</v>
      </c>
      <c r="I211" s="540" t="s">
        <v>7</v>
      </c>
      <c r="J211" s="540" t="s">
        <v>8</v>
      </c>
      <c r="K211" s="540" t="s">
        <v>9</v>
      </c>
      <c r="L211" s="540" t="s">
        <v>10</v>
      </c>
      <c r="M211" s="540" t="s">
        <v>11</v>
      </c>
      <c r="N211" s="540" t="s">
        <v>12</v>
      </c>
      <c r="Q211" s="540" t="s">
        <v>179</v>
      </c>
      <c r="R211" s="540" t="s">
        <v>94</v>
      </c>
    </row>
    <row r="212" spans="1:18" x14ac:dyDescent="0.25">
      <c r="A212" s="521" t="s">
        <v>188</v>
      </c>
      <c r="B212" s="553"/>
      <c r="C212" s="554"/>
      <c r="D212" s="554"/>
      <c r="E212" s="554"/>
      <c r="F212" s="554"/>
      <c r="G212" s="554"/>
      <c r="H212" s="554"/>
      <c r="I212" s="554"/>
      <c r="J212" s="554"/>
      <c r="K212" s="555"/>
      <c r="L212" s="525"/>
      <c r="M212" s="525"/>
      <c r="N212" s="523"/>
      <c r="Q212" s="523">
        <f t="shared" ref="Q212:Q218" si="93">SUMIFS(B212:M212,$B$2:$M$2,$X$3)</f>
        <v>0</v>
      </c>
      <c r="R212" s="523">
        <f t="shared" ref="R212:R218" si="94">SUMIFS(B212:M212,$B$1:$M$1,$Y$3)</f>
        <v>0</v>
      </c>
    </row>
    <row r="213" spans="1:18" x14ac:dyDescent="0.25">
      <c r="A213" s="521" t="s">
        <v>189</v>
      </c>
      <c r="B213" s="556"/>
      <c r="C213" s="555"/>
      <c r="D213" s="555"/>
      <c r="E213" s="555"/>
      <c r="F213" s="555"/>
      <c r="G213" s="555"/>
      <c r="H213" s="555"/>
      <c r="I213" s="555"/>
      <c r="J213" s="555"/>
      <c r="K213" s="555"/>
      <c r="L213" s="525"/>
      <c r="M213" s="525"/>
      <c r="N213" s="523"/>
      <c r="Q213" s="523">
        <f t="shared" si="93"/>
        <v>0</v>
      </c>
      <c r="R213" s="523">
        <f t="shared" si="94"/>
        <v>0</v>
      </c>
    </row>
    <row r="214" spans="1:18" x14ac:dyDescent="0.25">
      <c r="A214" s="521" t="s">
        <v>190</v>
      </c>
      <c r="B214" s="557"/>
      <c r="C214" s="557"/>
      <c r="D214" s="557"/>
      <c r="E214" s="557"/>
      <c r="F214" s="557"/>
      <c r="G214" s="557"/>
      <c r="H214" s="557"/>
      <c r="I214" s="557"/>
      <c r="J214" s="557"/>
      <c r="K214" s="557"/>
      <c r="L214" s="557"/>
      <c r="M214" s="557"/>
      <c r="N214" s="523"/>
      <c r="Q214" s="523">
        <f t="shared" si="93"/>
        <v>0</v>
      </c>
      <c r="R214" s="523">
        <f t="shared" si="94"/>
        <v>0</v>
      </c>
    </row>
    <row r="215" spans="1:18" x14ac:dyDescent="0.25">
      <c r="A215" s="521" t="s">
        <v>191</v>
      </c>
      <c r="B215" s="556"/>
      <c r="C215" s="555"/>
      <c r="D215" s="555"/>
      <c r="E215" s="555"/>
      <c r="F215" s="555"/>
      <c r="G215" s="555"/>
      <c r="H215" s="555"/>
      <c r="I215" s="555"/>
      <c r="J215" s="555"/>
      <c r="K215" s="555"/>
      <c r="L215" s="555"/>
      <c r="M215" s="555"/>
      <c r="N215" s="523"/>
      <c r="Q215" s="523">
        <f t="shared" si="93"/>
        <v>0</v>
      </c>
      <c r="R215" s="523">
        <f t="shared" si="94"/>
        <v>0</v>
      </c>
    </row>
    <row r="216" spans="1:18" x14ac:dyDescent="0.25">
      <c r="A216" s="521" t="s">
        <v>148</v>
      </c>
      <c r="B216" s="557"/>
      <c r="C216" s="557"/>
      <c r="D216" s="557"/>
      <c r="E216" s="557"/>
      <c r="F216" s="557"/>
      <c r="G216" s="557"/>
      <c r="H216" s="557"/>
      <c r="I216" s="557"/>
      <c r="J216" s="557"/>
      <c r="K216" s="557"/>
      <c r="L216" s="557"/>
      <c r="M216" s="557"/>
      <c r="N216" s="523"/>
      <c r="Q216" s="523">
        <f t="shared" si="93"/>
        <v>0</v>
      </c>
      <c r="R216" s="523">
        <f t="shared" si="94"/>
        <v>0</v>
      </c>
    </row>
    <row r="217" spans="1:18" x14ac:dyDescent="0.25">
      <c r="A217" s="521" t="s">
        <v>149</v>
      </c>
      <c r="B217" s="558"/>
      <c r="C217" s="558"/>
      <c r="D217" s="558"/>
      <c r="E217" s="558"/>
      <c r="F217" s="558"/>
      <c r="G217" s="558"/>
      <c r="H217" s="558"/>
      <c r="I217" s="558"/>
      <c r="J217" s="558"/>
      <c r="K217" s="558"/>
      <c r="L217" s="558"/>
      <c r="M217" s="558"/>
      <c r="N217" s="523"/>
      <c r="Q217" s="523">
        <f t="shared" si="93"/>
        <v>0</v>
      </c>
      <c r="R217" s="523">
        <f t="shared" si="94"/>
        <v>0</v>
      </c>
    </row>
    <row r="218" spans="1:18" x14ac:dyDescent="0.25">
      <c r="A218" s="521" t="s">
        <v>145</v>
      </c>
      <c r="B218" s="559"/>
      <c r="C218" s="560"/>
      <c r="D218" s="560"/>
      <c r="E218" s="560"/>
      <c r="F218" s="560"/>
      <c r="G218" s="560"/>
      <c r="H218" s="560"/>
      <c r="I218" s="560"/>
      <c r="J218" s="560"/>
      <c r="K218" s="560"/>
      <c r="L218" s="560"/>
      <c r="M218" s="560"/>
      <c r="N218" s="523"/>
      <c r="Q218" s="523">
        <f t="shared" si="93"/>
        <v>0</v>
      </c>
      <c r="R218" s="523">
        <f t="shared" si="94"/>
        <v>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1C99E3D-F13F-420B-8787-58C8F7920481}">
          <x14:formula1>
            <xm:f>List!$C$2:$C$13</xm:f>
          </x14:formula1>
          <xm:sqref>W3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8E467-4E96-44D1-898E-0E7ADB100D85}">
  <sheetPr codeName="Sheet21">
    <tabColor rgb="FFFF0000"/>
  </sheetPr>
  <dimension ref="A1:AB342"/>
  <sheetViews>
    <sheetView showGridLines="0" topLeftCell="A170" zoomScale="70" zoomScaleNormal="70" workbookViewId="0">
      <selection activeCell="F211" sqref="F211"/>
    </sheetView>
  </sheetViews>
  <sheetFormatPr defaultRowHeight="14.4" x14ac:dyDescent="0.3"/>
  <cols>
    <col min="1" max="1" width="40.5546875" customWidth="1"/>
    <col min="2" max="2" width="10.5546875" bestFit="1" customWidth="1"/>
    <col min="3" max="3" width="10.21875" bestFit="1" customWidth="1"/>
    <col min="4" max="4" width="10.5546875" bestFit="1" customWidth="1"/>
    <col min="5" max="5" width="10.21875" bestFit="1" customWidth="1"/>
    <col min="6" max="7" width="10.5546875" bestFit="1" customWidth="1"/>
    <col min="8" max="8" width="9.33203125" customWidth="1"/>
    <col min="9" max="10" width="10.5546875" bestFit="1" customWidth="1"/>
    <col min="11" max="12" width="10.21875" bestFit="1" customWidth="1"/>
    <col min="13" max="13" width="11.88671875" bestFit="1" customWidth="1"/>
    <col min="14" max="14" width="13.44140625" customWidth="1"/>
    <col min="15" max="15" width="9" style="105" bestFit="1" customWidth="1"/>
    <col min="16" max="16" width="7.5546875" bestFit="1" customWidth="1"/>
    <col min="17" max="17" width="14" bestFit="1" customWidth="1"/>
    <col min="18" max="18" width="10.5546875" customWidth="1"/>
    <col min="24" max="25" width="3.77734375" bestFit="1" customWidth="1"/>
    <col min="26" max="26" width="5.5546875" bestFit="1" customWidth="1"/>
    <col min="28" max="28" width="13.77734375" bestFit="1" customWidth="1"/>
    <col min="30" max="30" width="10.21875" bestFit="1" customWidth="1"/>
  </cols>
  <sheetData>
    <row r="1" spans="1:25" x14ac:dyDescent="0.3">
      <c r="A1" s="531" t="s">
        <v>95</v>
      </c>
      <c r="B1" s="717">
        <f>IF($X$3&gt;=B$2,1,0)</f>
        <v>1</v>
      </c>
      <c r="C1" s="717">
        <f t="shared" ref="C1:M1" si="0">IF($X$3&gt;=C$2,1,0)</f>
        <v>1</v>
      </c>
      <c r="D1" s="717">
        <f t="shared" si="0"/>
        <v>1</v>
      </c>
      <c r="E1" s="717">
        <f>IF($X$3&gt;=E$2,1,0)</f>
        <v>1</v>
      </c>
      <c r="F1" s="717">
        <f t="shared" si="0"/>
        <v>1</v>
      </c>
      <c r="G1" s="717">
        <f t="shared" si="0"/>
        <v>1</v>
      </c>
      <c r="H1" s="717">
        <f t="shared" si="0"/>
        <v>0</v>
      </c>
      <c r="I1" s="717">
        <f t="shared" si="0"/>
        <v>0</v>
      </c>
      <c r="J1" s="717">
        <f t="shared" si="0"/>
        <v>0</v>
      </c>
      <c r="K1" s="717">
        <f t="shared" si="0"/>
        <v>0</v>
      </c>
      <c r="L1" s="717">
        <f t="shared" si="0"/>
        <v>0</v>
      </c>
      <c r="M1" s="717">
        <f t="shared" si="0"/>
        <v>0</v>
      </c>
      <c r="N1" s="718"/>
      <c r="O1" s="106"/>
      <c r="P1" s="6"/>
    </row>
    <row r="2" spans="1:25" ht="15" thickBot="1" x14ac:dyDescent="0.35">
      <c r="A2" s="531" t="s">
        <v>176</v>
      </c>
      <c r="B2" s="717">
        <v>1</v>
      </c>
      <c r="C2" s="717">
        <v>2</v>
      </c>
      <c r="D2" s="717">
        <v>3</v>
      </c>
      <c r="E2" s="717">
        <v>4</v>
      </c>
      <c r="F2" s="717">
        <v>5</v>
      </c>
      <c r="G2" s="717">
        <v>6</v>
      </c>
      <c r="H2" s="717">
        <v>7</v>
      </c>
      <c r="I2" s="717">
        <v>8</v>
      </c>
      <c r="J2" s="717">
        <v>9</v>
      </c>
      <c r="K2" s="717">
        <v>10</v>
      </c>
      <c r="L2" s="717">
        <v>11</v>
      </c>
      <c r="M2" s="717">
        <v>12</v>
      </c>
      <c r="N2" s="718"/>
      <c r="O2" s="106"/>
      <c r="P2" s="6"/>
    </row>
    <row r="3" spans="1:25" ht="15" thickBot="1" x14ac:dyDescent="0.35">
      <c r="A3" s="7" t="s">
        <v>194</v>
      </c>
      <c r="B3" s="9">
        <v>46000</v>
      </c>
      <c r="C3" s="9">
        <v>46000</v>
      </c>
      <c r="D3" s="9">
        <v>46000</v>
      </c>
      <c r="E3" s="9">
        <v>48300</v>
      </c>
      <c r="F3" s="9">
        <v>32200</v>
      </c>
      <c r="G3" s="9">
        <v>71500</v>
      </c>
      <c r="H3" s="9">
        <v>57750</v>
      </c>
      <c r="I3" s="9">
        <v>52250</v>
      </c>
      <c r="J3" s="9">
        <v>71500</v>
      </c>
      <c r="K3" s="9">
        <v>71500</v>
      </c>
      <c r="L3" s="9">
        <v>68750</v>
      </c>
      <c r="M3" s="9">
        <v>62561</v>
      </c>
      <c r="N3" s="9">
        <f>SUM(B3:M3)</f>
        <v>674311</v>
      </c>
      <c r="O3" s="106"/>
      <c r="P3" s="6"/>
      <c r="V3" s="537" t="s">
        <v>177</v>
      </c>
      <c r="W3" s="538" t="s">
        <v>5</v>
      </c>
      <c r="X3" s="538">
        <f>VLOOKUP(W3,List!$C$2:$D$13,2,0)</f>
        <v>6</v>
      </c>
      <c r="Y3" s="538">
        <f>VLOOKUP(W3,List!$C$2:$E$13,3,0)</f>
        <v>1</v>
      </c>
    </row>
    <row r="4" spans="1:25" ht="23.4" x14ac:dyDescent="0.45">
      <c r="A4" s="485" t="s">
        <v>475</v>
      </c>
      <c r="B4" s="22" t="s">
        <v>167</v>
      </c>
      <c r="C4" s="22" t="s">
        <v>167</v>
      </c>
      <c r="D4" s="22" t="s">
        <v>167</v>
      </c>
      <c r="E4" s="22" t="s">
        <v>167</v>
      </c>
      <c r="F4" s="22" t="s">
        <v>167</v>
      </c>
      <c r="G4" s="22" t="s">
        <v>167</v>
      </c>
      <c r="H4" s="22" t="s">
        <v>167</v>
      </c>
      <c r="I4" s="22" t="s">
        <v>167</v>
      </c>
      <c r="J4" s="22" t="s">
        <v>167</v>
      </c>
      <c r="K4" s="22" t="s">
        <v>167</v>
      </c>
      <c r="L4" s="22" t="s">
        <v>167</v>
      </c>
      <c r="M4" s="22" t="s">
        <v>167</v>
      </c>
      <c r="N4" s="22" t="s">
        <v>167</v>
      </c>
      <c r="O4" s="152"/>
    </row>
    <row r="5" spans="1:25" x14ac:dyDescent="0.3">
      <c r="A5" s="432" t="s">
        <v>156</v>
      </c>
      <c r="B5" s="507">
        <v>488.64499999999998</v>
      </c>
      <c r="C5" s="507">
        <v>521.78499999999997</v>
      </c>
      <c r="D5" s="507">
        <v>488.64499999999998</v>
      </c>
      <c r="E5" s="507">
        <v>488.64499999999998</v>
      </c>
      <c r="F5" s="507">
        <v>531.6</v>
      </c>
      <c r="G5" s="507">
        <v>732.38</v>
      </c>
      <c r="H5" s="507">
        <v>732.38</v>
      </c>
      <c r="I5" s="507">
        <v>732.38</v>
      </c>
      <c r="J5" s="507">
        <v>758.9</v>
      </c>
      <c r="K5" s="507">
        <v>732.38</v>
      </c>
      <c r="L5" s="507">
        <v>732.38</v>
      </c>
      <c r="M5" s="507">
        <v>732.38</v>
      </c>
      <c r="N5" s="13">
        <f>SUM(B5:M5)</f>
        <v>7672.5</v>
      </c>
      <c r="O5" s="21">
        <f>N5/$N$3*1000</f>
        <v>11.378280941583334</v>
      </c>
    </row>
    <row r="6" spans="1:25" x14ac:dyDescent="0.3">
      <c r="A6" s="432" t="s">
        <v>75</v>
      </c>
      <c r="B6" s="11">
        <v>37</v>
      </c>
      <c r="C6" s="11">
        <v>37</v>
      </c>
      <c r="D6" s="11">
        <v>37</v>
      </c>
      <c r="E6" s="11">
        <v>38</v>
      </c>
      <c r="F6" s="11">
        <v>23</v>
      </c>
      <c r="G6" s="11">
        <v>54</v>
      </c>
      <c r="H6" s="11">
        <v>44</v>
      </c>
      <c r="I6" s="11">
        <v>46</v>
      </c>
      <c r="J6" s="11">
        <v>45</v>
      </c>
      <c r="K6" s="11">
        <v>49</v>
      </c>
      <c r="L6" s="11">
        <v>57</v>
      </c>
      <c r="M6" s="11">
        <v>53</v>
      </c>
      <c r="N6" s="13">
        <f t="shared" ref="N6:N7" si="1">SUM(B6:M6)</f>
        <v>520</v>
      </c>
      <c r="O6" s="21">
        <f t="shared" ref="O6:O31" si="2">N6/$N$3*1000</f>
        <v>0.77115752227088086</v>
      </c>
    </row>
    <row r="7" spans="1:25" x14ac:dyDescent="0.3">
      <c r="A7" s="433" t="s">
        <v>195</v>
      </c>
      <c r="B7" s="502">
        <v>16.170000000000002</v>
      </c>
      <c r="C7" s="502">
        <v>16.170000000000002</v>
      </c>
      <c r="D7" s="502">
        <v>16.170000000000002</v>
      </c>
      <c r="E7" s="502">
        <v>16.98</v>
      </c>
      <c r="F7" s="502">
        <v>11.32</v>
      </c>
      <c r="G7" s="502">
        <v>25.13</v>
      </c>
      <c r="H7" s="502">
        <v>20.3</v>
      </c>
      <c r="I7" s="502">
        <v>18.37</v>
      </c>
      <c r="J7" s="502">
        <v>25.13</v>
      </c>
      <c r="K7" s="502">
        <v>25.13</v>
      </c>
      <c r="L7" s="502">
        <v>24.17</v>
      </c>
      <c r="M7" s="502">
        <v>21.99</v>
      </c>
      <c r="N7" s="13">
        <f t="shared" si="1"/>
        <v>237.02999999999997</v>
      </c>
      <c r="O7" s="21">
        <f t="shared" si="2"/>
        <v>0.35151436058435936</v>
      </c>
    </row>
    <row r="8" spans="1:25" ht="15" thickBot="1" x14ac:dyDescent="0.35">
      <c r="A8" s="435" t="s">
        <v>196</v>
      </c>
      <c r="B8" s="444">
        <f>SUM(B5:B7)</f>
        <v>541.81499999999994</v>
      </c>
      <c r="C8" s="444">
        <f t="shared" ref="C8:M8" si="3">SUM(C5:C7)</f>
        <v>574.95499999999993</v>
      </c>
      <c r="D8" s="444">
        <f t="shared" si="3"/>
        <v>541.81499999999994</v>
      </c>
      <c r="E8" s="444">
        <f t="shared" si="3"/>
        <v>543.625</v>
      </c>
      <c r="F8" s="444">
        <f t="shared" si="3"/>
        <v>565.92000000000007</v>
      </c>
      <c r="G8" s="444">
        <f t="shared" si="3"/>
        <v>811.51</v>
      </c>
      <c r="H8" s="444">
        <f t="shared" si="3"/>
        <v>796.68</v>
      </c>
      <c r="I8" s="444">
        <f t="shared" si="3"/>
        <v>796.75</v>
      </c>
      <c r="J8" s="444">
        <f t="shared" si="3"/>
        <v>829.03</v>
      </c>
      <c r="K8" s="444">
        <f t="shared" si="3"/>
        <v>806.51</v>
      </c>
      <c r="L8" s="444">
        <f t="shared" si="3"/>
        <v>813.55</v>
      </c>
      <c r="M8" s="444">
        <f t="shared" si="3"/>
        <v>807.37</v>
      </c>
      <c r="N8" s="444">
        <f>SUM(N5:N7)</f>
        <v>8429.5300000000007</v>
      </c>
      <c r="O8" s="437">
        <f t="shared" si="2"/>
        <v>12.500952824438576</v>
      </c>
    </row>
    <row r="9" spans="1:25" x14ac:dyDescent="0.3">
      <c r="A9" s="434" t="s">
        <v>80</v>
      </c>
      <c r="B9" s="11">
        <v>199.94</v>
      </c>
      <c r="C9" s="11">
        <v>212.35</v>
      </c>
      <c r="D9" s="11">
        <v>199.94</v>
      </c>
      <c r="E9" s="11">
        <v>199.94</v>
      </c>
      <c r="F9" s="11">
        <v>216.03</v>
      </c>
      <c r="G9" s="11">
        <v>278.18</v>
      </c>
      <c r="H9" s="11">
        <v>306.13</v>
      </c>
      <c r="I9" s="11">
        <v>278.18</v>
      </c>
      <c r="J9" s="11">
        <v>287.39999999999998</v>
      </c>
      <c r="K9" s="11">
        <v>278.18</v>
      </c>
      <c r="L9" s="11">
        <v>278.18</v>
      </c>
      <c r="M9" s="11">
        <v>274.91000000000003</v>
      </c>
      <c r="N9" s="13">
        <f t="shared" ref="N9:N14" si="4">SUM(B9:M9)</f>
        <v>3009.3599999999997</v>
      </c>
      <c r="O9" s="21">
        <f t="shared" si="2"/>
        <v>4.4628665408098041</v>
      </c>
    </row>
    <row r="10" spans="1:25" x14ac:dyDescent="0.3">
      <c r="A10" s="433" t="s">
        <v>81</v>
      </c>
      <c r="B10" s="11">
        <v>83.33</v>
      </c>
      <c r="C10" s="11">
        <v>92.97</v>
      </c>
      <c r="D10" s="11">
        <v>88.32</v>
      </c>
      <c r="E10" s="11">
        <v>88.32</v>
      </c>
      <c r="F10" s="11">
        <v>94.14</v>
      </c>
      <c r="G10" s="11">
        <v>88.33</v>
      </c>
      <c r="H10" s="11">
        <v>88.33</v>
      </c>
      <c r="I10" s="11">
        <v>91.82</v>
      </c>
      <c r="J10" s="11">
        <v>94.14</v>
      </c>
      <c r="K10" s="11">
        <v>92.92</v>
      </c>
      <c r="L10" s="11">
        <v>92.92</v>
      </c>
      <c r="M10" s="11">
        <v>93</v>
      </c>
      <c r="N10" s="13">
        <f t="shared" si="4"/>
        <v>1088.54</v>
      </c>
      <c r="O10" s="21">
        <f t="shared" si="2"/>
        <v>1.6142996332552784</v>
      </c>
    </row>
    <row r="11" spans="1:25" x14ac:dyDescent="0.3">
      <c r="A11" s="433" t="s">
        <v>82</v>
      </c>
      <c r="B11" s="11">
        <v>150.68</v>
      </c>
      <c r="C11" s="11">
        <v>150.68</v>
      </c>
      <c r="D11" s="11">
        <v>150.68</v>
      </c>
      <c r="E11" s="11">
        <v>154.21</v>
      </c>
      <c r="F11" s="11">
        <v>129.47999999999999</v>
      </c>
      <c r="G11" s="11">
        <v>206.14</v>
      </c>
      <c r="H11" s="11">
        <v>181.95</v>
      </c>
      <c r="I11" s="11">
        <v>172.45</v>
      </c>
      <c r="J11" s="11">
        <v>206.37</v>
      </c>
      <c r="K11" s="11">
        <v>206.37</v>
      </c>
      <c r="L11" s="11">
        <v>201.52</v>
      </c>
      <c r="M11" s="11">
        <v>191.06</v>
      </c>
      <c r="N11" s="13">
        <f t="shared" si="4"/>
        <v>2101.5899999999997</v>
      </c>
      <c r="O11" s="21">
        <f t="shared" si="2"/>
        <v>3.1166479562101159</v>
      </c>
    </row>
    <row r="12" spans="1:25" x14ac:dyDescent="0.3">
      <c r="A12" s="433" t="s">
        <v>83</v>
      </c>
      <c r="B12" s="11">
        <v>8.6999999999999993</v>
      </c>
      <c r="C12" s="11">
        <v>8.6999999999999993</v>
      </c>
      <c r="D12" s="11">
        <v>8.6999999999999993</v>
      </c>
      <c r="E12" s="11">
        <v>9.1300000000000008</v>
      </c>
      <c r="F12" s="11">
        <v>6</v>
      </c>
      <c r="G12" s="11">
        <v>14.27</v>
      </c>
      <c r="H12" s="11">
        <v>11.55</v>
      </c>
      <c r="I12" s="11">
        <v>10.46</v>
      </c>
      <c r="J12" s="11">
        <v>14.27</v>
      </c>
      <c r="K12" s="11">
        <v>14.78</v>
      </c>
      <c r="L12" s="11">
        <v>14.2</v>
      </c>
      <c r="M12" s="11">
        <v>12.94</v>
      </c>
      <c r="N12" s="13">
        <f t="shared" si="4"/>
        <v>133.69999999999999</v>
      </c>
      <c r="O12" s="21">
        <f t="shared" si="2"/>
        <v>0.19827646293772455</v>
      </c>
    </row>
    <row r="13" spans="1:25" x14ac:dyDescent="0.3">
      <c r="A13" s="433" t="s">
        <v>84</v>
      </c>
      <c r="B13" s="719">
        <v>39.090940000000003</v>
      </c>
      <c r="C13" s="719">
        <v>39.090940000000003</v>
      </c>
      <c r="D13" s="719">
        <v>39.090940000000003</v>
      </c>
      <c r="E13" s="719">
        <v>39.090940000000003</v>
      </c>
      <c r="F13" s="719">
        <v>39.090940000000003</v>
      </c>
      <c r="G13" s="719">
        <v>39.090940000000003</v>
      </c>
      <c r="H13" s="719">
        <v>39.090940000000003</v>
      </c>
      <c r="I13" s="719">
        <v>39.090940000000003</v>
      </c>
      <c r="J13" s="719">
        <v>39.090940000000003</v>
      </c>
      <c r="K13" s="719">
        <v>39.090940000000003</v>
      </c>
      <c r="L13" s="719">
        <v>39.090940000000003</v>
      </c>
      <c r="M13" s="719">
        <v>39.090940000000003</v>
      </c>
      <c r="N13" s="13">
        <f t="shared" si="4"/>
        <v>469.09127999999993</v>
      </c>
      <c r="O13" s="21">
        <f t="shared" si="2"/>
        <v>0.69566013308399222</v>
      </c>
    </row>
    <row r="14" spans="1:25" x14ac:dyDescent="0.3">
      <c r="A14" s="433" t="s">
        <v>86</v>
      </c>
      <c r="B14" s="507">
        <v>167.53136594312315</v>
      </c>
      <c r="C14" s="507">
        <v>156.90108547801754</v>
      </c>
      <c r="D14" s="507">
        <v>161.53884598948025</v>
      </c>
      <c r="E14" s="507">
        <v>156.8209489344394</v>
      </c>
      <c r="F14" s="507">
        <v>156.5543634130284</v>
      </c>
      <c r="G14" s="507">
        <v>151.73733911462341</v>
      </c>
      <c r="H14" s="507">
        <v>152.77940362100617</v>
      </c>
      <c r="I14" s="507">
        <v>151.49564728526292</v>
      </c>
      <c r="J14" s="507">
        <v>148.06126742405587</v>
      </c>
      <c r="K14" s="507">
        <v>147.53006834496011</v>
      </c>
      <c r="L14" s="507">
        <v>142.92660595893932</v>
      </c>
      <c r="M14" s="507">
        <v>142.69081744191141</v>
      </c>
      <c r="N14" s="13">
        <f t="shared" si="4"/>
        <v>1836.567758948848</v>
      </c>
      <c r="O14" s="21">
        <f t="shared" si="2"/>
        <v>2.723621235526112</v>
      </c>
    </row>
    <row r="15" spans="1:25" ht="15" thickBot="1" x14ac:dyDescent="0.35">
      <c r="A15" s="435" t="s">
        <v>197</v>
      </c>
      <c r="B15" s="444">
        <f>SUM(B9:B14)</f>
        <v>649.27230594312311</v>
      </c>
      <c r="C15" s="444">
        <f t="shared" ref="C15:M15" si="5">SUM(C9:C14)</f>
        <v>660.69202547801751</v>
      </c>
      <c r="D15" s="444">
        <f t="shared" si="5"/>
        <v>648.26978598948017</v>
      </c>
      <c r="E15" s="444">
        <f t="shared" si="5"/>
        <v>647.51188893443941</v>
      </c>
      <c r="F15" s="444">
        <f t="shared" si="5"/>
        <v>641.29530341302836</v>
      </c>
      <c r="G15" s="444">
        <f t="shared" si="5"/>
        <v>777.74827911462341</v>
      </c>
      <c r="H15" s="444">
        <f t="shared" si="5"/>
        <v>779.83034362100614</v>
      </c>
      <c r="I15" s="444">
        <f t="shared" si="5"/>
        <v>743.4965872852631</v>
      </c>
      <c r="J15" s="444">
        <f t="shared" si="5"/>
        <v>789.33220742405592</v>
      </c>
      <c r="K15" s="444">
        <f t="shared" si="5"/>
        <v>778.87100834496016</v>
      </c>
      <c r="L15" s="444">
        <f t="shared" si="5"/>
        <v>768.83754595893947</v>
      </c>
      <c r="M15" s="444">
        <f t="shared" si="5"/>
        <v>753.69175744191148</v>
      </c>
      <c r="N15" s="444">
        <f>SUM(N9:N14)</f>
        <v>8638.849038948847</v>
      </c>
      <c r="O15" s="437">
        <f t="shared" si="2"/>
        <v>12.811371961823026</v>
      </c>
    </row>
    <row r="16" spans="1:25" x14ac:dyDescent="0.3">
      <c r="A16" s="436" t="s">
        <v>88</v>
      </c>
      <c r="B16" s="445">
        <f>B8+B15</f>
        <v>1191.0873059431231</v>
      </c>
      <c r="C16" s="445">
        <f t="shared" ref="C16:M16" si="6">C8+C15</f>
        <v>1235.6470254780174</v>
      </c>
      <c r="D16" s="445">
        <f t="shared" si="6"/>
        <v>1190.0847859894802</v>
      </c>
      <c r="E16" s="445">
        <f t="shared" si="6"/>
        <v>1191.1368889344394</v>
      </c>
      <c r="F16" s="445">
        <f t="shared" si="6"/>
        <v>1207.2153034130283</v>
      </c>
      <c r="G16" s="445">
        <f t="shared" si="6"/>
        <v>1589.2582791146233</v>
      </c>
      <c r="H16" s="445">
        <f t="shared" si="6"/>
        <v>1576.5103436210061</v>
      </c>
      <c r="I16" s="445">
        <f t="shared" si="6"/>
        <v>1540.2465872852631</v>
      </c>
      <c r="J16" s="445">
        <f t="shared" si="6"/>
        <v>1618.3622074240559</v>
      </c>
      <c r="K16" s="445">
        <f t="shared" si="6"/>
        <v>1585.3810083449603</v>
      </c>
      <c r="L16" s="445">
        <f t="shared" si="6"/>
        <v>1582.3875459589394</v>
      </c>
      <c r="M16" s="445">
        <f t="shared" si="6"/>
        <v>1561.0617574419116</v>
      </c>
      <c r="N16" s="445">
        <f>N8+N15</f>
        <v>17068.379038948849</v>
      </c>
      <c r="O16" s="438">
        <f t="shared" si="2"/>
        <v>25.312324786261605</v>
      </c>
    </row>
    <row r="17" spans="1:17" x14ac:dyDescent="0.3">
      <c r="A17" s="433" t="s">
        <v>89</v>
      </c>
      <c r="B17" s="446">
        <v>10.719059999999999</v>
      </c>
      <c r="C17" s="446">
        <v>10.67906</v>
      </c>
      <c r="D17" s="446">
        <v>10.699059999999999</v>
      </c>
      <c r="E17" s="446">
        <v>10.699059999999999</v>
      </c>
      <c r="F17" s="446">
        <v>10.649059999999999</v>
      </c>
      <c r="G17" s="446">
        <v>9.7590599999999981</v>
      </c>
      <c r="H17" s="446">
        <v>9.0690600000000003</v>
      </c>
      <c r="I17" s="446">
        <v>9.0690600000000003</v>
      </c>
      <c r="J17" s="446">
        <v>10.029059999999998</v>
      </c>
      <c r="K17" s="446">
        <v>9.7790599999999976</v>
      </c>
      <c r="L17" s="446">
        <v>9.6190600000000011</v>
      </c>
      <c r="M17" s="446">
        <v>9.7990600000000008</v>
      </c>
      <c r="N17" s="13">
        <f t="shared" ref="N17" si="7">SUM(B17:M17)</f>
        <v>120.56872</v>
      </c>
      <c r="O17" s="439">
        <f t="shared" si="2"/>
        <v>0.17880283726648386</v>
      </c>
      <c r="Q17" t="s">
        <v>595</v>
      </c>
    </row>
    <row r="18" spans="1:17" x14ac:dyDescent="0.3">
      <c r="A18" s="436" t="s">
        <v>90</v>
      </c>
      <c r="B18" s="445">
        <f>B16+B17</f>
        <v>1201.806365943123</v>
      </c>
      <c r="C18" s="445">
        <f t="shared" ref="C18:M18" si="8">C16+C17</f>
        <v>1246.3260854780174</v>
      </c>
      <c r="D18" s="445">
        <f t="shared" si="8"/>
        <v>1200.7838459894801</v>
      </c>
      <c r="E18" s="445">
        <f t="shared" si="8"/>
        <v>1201.8359489344393</v>
      </c>
      <c r="F18" s="445">
        <f t="shared" si="8"/>
        <v>1217.8643634130283</v>
      </c>
      <c r="G18" s="445">
        <f t="shared" si="8"/>
        <v>1599.0173391146234</v>
      </c>
      <c r="H18" s="445">
        <f t="shared" si="8"/>
        <v>1585.5794036210061</v>
      </c>
      <c r="I18" s="445">
        <f t="shared" si="8"/>
        <v>1549.3156472852631</v>
      </c>
      <c r="J18" s="445">
        <f t="shared" si="8"/>
        <v>1628.391267424056</v>
      </c>
      <c r="K18" s="445">
        <f t="shared" si="8"/>
        <v>1595.1600683449603</v>
      </c>
      <c r="L18" s="445">
        <f t="shared" si="8"/>
        <v>1592.0066059589394</v>
      </c>
      <c r="M18" s="445">
        <f t="shared" si="8"/>
        <v>1570.8608174419116</v>
      </c>
      <c r="N18" s="445">
        <f>N16+N17</f>
        <v>17188.947758948849</v>
      </c>
      <c r="O18" s="438">
        <f t="shared" si="2"/>
        <v>25.49112762352809</v>
      </c>
    </row>
    <row r="19" spans="1:17" x14ac:dyDescent="0.3">
      <c r="A19" s="433" t="s">
        <v>91</v>
      </c>
      <c r="B19" s="446">
        <v>415.68863405687688</v>
      </c>
      <c r="C19" s="446">
        <v>386.88891452198243</v>
      </c>
      <c r="D19" s="446">
        <v>421.50115401051971</v>
      </c>
      <c r="E19" s="446">
        <v>413.13905106556064</v>
      </c>
      <c r="F19" s="446">
        <v>424.61563658697156</v>
      </c>
      <c r="G19" s="446">
        <v>416.35266088537662</v>
      </c>
      <c r="H19" s="446">
        <v>428.12059637899381</v>
      </c>
      <c r="I19" s="446">
        <v>429.39435271473707</v>
      </c>
      <c r="J19" s="446">
        <v>419.28873257594415</v>
      </c>
      <c r="K19" s="446">
        <v>432.68993165503991</v>
      </c>
      <c r="L19" s="446">
        <v>423.8033940410607</v>
      </c>
      <c r="M19" s="446">
        <v>436.70918255808857</v>
      </c>
      <c r="N19" s="13">
        <f t="shared" ref="N19" si="9">SUM(B19:M19)</f>
        <v>5048.1922410511525</v>
      </c>
      <c r="O19" s="439">
        <f>N19/$N$3*1000</f>
        <v>7.4864450395309463</v>
      </c>
    </row>
    <row r="20" spans="1:17" x14ac:dyDescent="0.3">
      <c r="A20" s="436" t="s">
        <v>92</v>
      </c>
      <c r="B20" s="445">
        <f>B18+B19</f>
        <v>1617.4949999999999</v>
      </c>
      <c r="C20" s="445">
        <f t="shared" ref="C20:M20" si="10">C18+C19</f>
        <v>1633.2149999999997</v>
      </c>
      <c r="D20" s="445">
        <f t="shared" si="10"/>
        <v>1622.2849999999999</v>
      </c>
      <c r="E20" s="445">
        <f t="shared" si="10"/>
        <v>1614.9749999999999</v>
      </c>
      <c r="F20" s="445">
        <f t="shared" si="10"/>
        <v>1642.4799999999998</v>
      </c>
      <c r="G20" s="445">
        <f t="shared" si="10"/>
        <v>2015.37</v>
      </c>
      <c r="H20" s="445">
        <f t="shared" si="10"/>
        <v>2013.6999999999998</v>
      </c>
      <c r="I20" s="445">
        <f t="shared" si="10"/>
        <v>1978.7100000000003</v>
      </c>
      <c r="J20" s="445">
        <f t="shared" si="10"/>
        <v>2047.68</v>
      </c>
      <c r="K20" s="445">
        <f t="shared" si="10"/>
        <v>2027.8500000000004</v>
      </c>
      <c r="L20" s="445">
        <f t="shared" si="10"/>
        <v>2015.8100000000002</v>
      </c>
      <c r="M20" s="445">
        <f t="shared" si="10"/>
        <v>2007.5700000000002</v>
      </c>
      <c r="N20" s="445">
        <f>N18+N19</f>
        <v>22237.14</v>
      </c>
      <c r="O20" s="438">
        <f t="shared" si="2"/>
        <v>32.977572663059036</v>
      </c>
    </row>
    <row r="21" spans="1:17" x14ac:dyDescent="0.3">
      <c r="A21" s="433" t="s">
        <v>76</v>
      </c>
      <c r="B21" s="11">
        <v>23.02</v>
      </c>
      <c r="C21" s="11">
        <v>23.02</v>
      </c>
      <c r="D21" s="11">
        <v>23.02</v>
      </c>
      <c r="E21" s="11">
        <v>24.17</v>
      </c>
      <c r="F21" s="11">
        <v>16.11</v>
      </c>
      <c r="G21" s="11">
        <v>35.78</v>
      </c>
      <c r="H21" s="11">
        <v>28.9</v>
      </c>
      <c r="I21" s="11">
        <v>26.15</v>
      </c>
      <c r="J21" s="11">
        <v>35.78</v>
      </c>
      <c r="K21" s="11">
        <v>35.78</v>
      </c>
      <c r="L21" s="11">
        <v>34.409999999999997</v>
      </c>
      <c r="M21" s="11">
        <v>31.31</v>
      </c>
      <c r="N21" s="21">
        <f t="shared" ref="N21:N22" si="11">SUM(B21:M21)</f>
        <v>337.45</v>
      </c>
      <c r="O21" s="21">
        <f t="shared" si="2"/>
        <v>0.5004367420967476</v>
      </c>
    </row>
    <row r="22" spans="1:17" x14ac:dyDescent="0.3">
      <c r="A22" s="433" t="s">
        <v>77</v>
      </c>
      <c r="B22" s="507">
        <v>-56.58</v>
      </c>
      <c r="C22" s="507">
        <v>-56.58</v>
      </c>
      <c r="D22" s="507">
        <v>-56.58</v>
      </c>
      <c r="E22" s="507">
        <v>-59.408999999999999</v>
      </c>
      <c r="F22" s="507">
        <v>-39.606000000000002</v>
      </c>
      <c r="G22" s="507">
        <v>-87.944999999999993</v>
      </c>
      <c r="H22" s="507">
        <v>-71.032499999999999</v>
      </c>
      <c r="I22" s="507">
        <v>-64.267499999999998</v>
      </c>
      <c r="J22" s="507">
        <v>-87.944999999999993</v>
      </c>
      <c r="K22" s="507">
        <v>-87.944999999999993</v>
      </c>
      <c r="L22" s="507">
        <v>-84.5625</v>
      </c>
      <c r="M22" s="507">
        <v>-76.950029999999998</v>
      </c>
      <c r="N22" s="21">
        <f t="shared" si="11"/>
        <v>-829.40252999999984</v>
      </c>
      <c r="O22" s="21">
        <f t="shared" si="2"/>
        <v>-1.2299999999999998</v>
      </c>
    </row>
    <row r="23" spans="1:17" x14ac:dyDescent="0.3">
      <c r="A23" s="433" t="s">
        <v>144</v>
      </c>
      <c r="B23" s="446"/>
      <c r="C23" s="446"/>
      <c r="D23" s="446"/>
      <c r="E23" s="446"/>
      <c r="F23" s="446"/>
      <c r="G23" s="446"/>
      <c r="H23" s="446"/>
      <c r="I23" s="446"/>
      <c r="J23" s="446"/>
      <c r="K23" s="446"/>
      <c r="L23" s="446"/>
      <c r="M23" s="446"/>
      <c r="N23" s="447"/>
      <c r="O23" s="439">
        <f t="shared" si="2"/>
        <v>0</v>
      </c>
    </row>
    <row r="24" spans="1:17" x14ac:dyDescent="0.3">
      <c r="A24" s="433" t="s">
        <v>85</v>
      </c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13"/>
      <c r="O24" s="439">
        <f t="shared" si="2"/>
        <v>0</v>
      </c>
    </row>
    <row r="25" spans="1:17" x14ac:dyDescent="0.3">
      <c r="A25" s="433" t="s">
        <v>145</v>
      </c>
      <c r="B25" s="446"/>
      <c r="C25" s="446"/>
      <c r="D25" s="446"/>
      <c r="E25" s="446"/>
      <c r="F25" s="446"/>
      <c r="G25" s="446"/>
      <c r="H25" s="446"/>
      <c r="I25" s="446"/>
      <c r="J25" s="446"/>
      <c r="K25" s="446"/>
      <c r="L25" s="446"/>
      <c r="M25" s="446"/>
      <c r="N25" s="447"/>
      <c r="O25" s="439">
        <f t="shared" si="2"/>
        <v>0</v>
      </c>
    </row>
    <row r="26" spans="1:17" x14ac:dyDescent="0.3">
      <c r="A26" s="436" t="s">
        <v>146</v>
      </c>
      <c r="B26" s="445">
        <f>SUM(B21:B25)</f>
        <v>-33.56</v>
      </c>
      <c r="C26" s="445">
        <f t="shared" ref="C26:M26" si="12">SUM(C21:C25)</f>
        <v>-33.56</v>
      </c>
      <c r="D26" s="445">
        <f t="shared" si="12"/>
        <v>-33.56</v>
      </c>
      <c r="E26" s="445">
        <f t="shared" si="12"/>
        <v>-35.238999999999997</v>
      </c>
      <c r="F26" s="445">
        <f t="shared" si="12"/>
        <v>-23.496000000000002</v>
      </c>
      <c r="G26" s="445">
        <f t="shared" si="12"/>
        <v>-52.164999999999992</v>
      </c>
      <c r="H26" s="445">
        <f t="shared" si="12"/>
        <v>-42.1325</v>
      </c>
      <c r="I26" s="445">
        <f t="shared" si="12"/>
        <v>-38.1175</v>
      </c>
      <c r="J26" s="445">
        <f t="shared" si="12"/>
        <v>-52.164999999999992</v>
      </c>
      <c r="K26" s="445">
        <f t="shared" si="12"/>
        <v>-52.164999999999992</v>
      </c>
      <c r="L26" s="445">
        <f t="shared" si="12"/>
        <v>-50.152500000000003</v>
      </c>
      <c r="M26" s="445">
        <f t="shared" si="12"/>
        <v>-45.640029999999996</v>
      </c>
      <c r="N26" s="445">
        <f>SUM(N21:N25)</f>
        <v>-491.95252999999985</v>
      </c>
      <c r="O26" s="438">
        <f t="shared" si="2"/>
        <v>-0.72956325790325216</v>
      </c>
    </row>
    <row r="27" spans="1:17" x14ac:dyDescent="0.3">
      <c r="A27" s="433" t="s">
        <v>148</v>
      </c>
      <c r="B27" s="507">
        <v>100.05</v>
      </c>
      <c r="C27" s="507">
        <v>100.69</v>
      </c>
      <c r="D27" s="507">
        <v>100.03</v>
      </c>
      <c r="E27" s="507">
        <v>100.04</v>
      </c>
      <c r="F27" s="507">
        <v>110.02</v>
      </c>
      <c r="G27" s="507">
        <v>100.04</v>
      </c>
      <c r="H27" s="507">
        <v>100.05</v>
      </c>
      <c r="I27" s="507">
        <v>100.05</v>
      </c>
      <c r="J27" s="507">
        <v>100.05</v>
      </c>
      <c r="K27" s="507">
        <v>100.05</v>
      </c>
      <c r="L27" s="507">
        <v>100.05</v>
      </c>
      <c r="M27" s="507">
        <v>54.75</v>
      </c>
      <c r="N27" s="447">
        <f t="shared" ref="N27:N28" si="13">SUM(B27:M27)</f>
        <v>1165.8699999999999</v>
      </c>
      <c r="O27" s="439">
        <f t="shared" si="2"/>
        <v>1.7289796547883689</v>
      </c>
    </row>
    <row r="28" spans="1:17" x14ac:dyDescent="0.3">
      <c r="A28" s="433" t="s">
        <v>149</v>
      </c>
      <c r="B28" s="507">
        <v>69.81</v>
      </c>
      <c r="C28" s="507">
        <v>138.12</v>
      </c>
      <c r="D28" s="507">
        <v>114.27000000000001</v>
      </c>
      <c r="E28" s="507">
        <v>56.21</v>
      </c>
      <c r="F28" s="507">
        <v>81.91</v>
      </c>
      <c r="G28" s="507">
        <v>79.92</v>
      </c>
      <c r="H28" s="507">
        <v>74.09</v>
      </c>
      <c r="I28" s="507">
        <v>74.09</v>
      </c>
      <c r="J28" s="507">
        <v>74.09</v>
      </c>
      <c r="K28" s="507">
        <v>74.09</v>
      </c>
      <c r="L28" s="507">
        <v>74.09</v>
      </c>
      <c r="M28" s="507">
        <v>74.09</v>
      </c>
      <c r="N28" s="447">
        <f t="shared" si="13"/>
        <v>984.7800000000002</v>
      </c>
      <c r="O28" s="439">
        <f t="shared" si="2"/>
        <v>1.4604240476575352</v>
      </c>
    </row>
    <row r="29" spans="1:17" x14ac:dyDescent="0.3">
      <c r="A29" s="436" t="s">
        <v>150</v>
      </c>
      <c r="B29" s="445">
        <f>B27</f>
        <v>100.05</v>
      </c>
      <c r="C29" s="445">
        <f t="shared" ref="C29:M29" si="14">C27</f>
        <v>100.69</v>
      </c>
      <c r="D29" s="445">
        <f t="shared" si="14"/>
        <v>100.03</v>
      </c>
      <c r="E29" s="445">
        <f t="shared" si="14"/>
        <v>100.04</v>
      </c>
      <c r="F29" s="445">
        <f t="shared" si="14"/>
        <v>110.02</v>
      </c>
      <c r="G29" s="445">
        <f t="shared" si="14"/>
        <v>100.04</v>
      </c>
      <c r="H29" s="445">
        <f t="shared" si="14"/>
        <v>100.05</v>
      </c>
      <c r="I29" s="445">
        <f t="shared" si="14"/>
        <v>100.05</v>
      </c>
      <c r="J29" s="445">
        <f t="shared" si="14"/>
        <v>100.05</v>
      </c>
      <c r="K29" s="445">
        <f t="shared" si="14"/>
        <v>100.05</v>
      </c>
      <c r="L29" s="445">
        <f t="shared" si="14"/>
        <v>100.05</v>
      </c>
      <c r="M29" s="445">
        <f t="shared" si="14"/>
        <v>54.75</v>
      </c>
      <c r="N29" s="445">
        <f>N27+N28</f>
        <v>2150.65</v>
      </c>
      <c r="O29" s="438">
        <f t="shared" si="2"/>
        <v>3.1894037024459045</v>
      </c>
    </row>
    <row r="30" spans="1:17" ht="15" thickBot="1" x14ac:dyDescent="0.35">
      <c r="A30" s="28"/>
      <c r="B30" s="448"/>
      <c r="C30" s="448"/>
      <c r="D30" s="448"/>
      <c r="E30" s="448"/>
      <c r="F30" s="448"/>
      <c r="G30" s="448"/>
      <c r="H30" s="448"/>
      <c r="I30" s="448"/>
      <c r="J30" s="448"/>
      <c r="K30" s="448"/>
      <c r="L30" s="448"/>
      <c r="M30" s="448"/>
      <c r="N30" s="448"/>
      <c r="O30" s="440">
        <f t="shared" si="2"/>
        <v>0</v>
      </c>
    </row>
    <row r="31" spans="1:17" x14ac:dyDescent="0.3">
      <c r="A31" s="436" t="s">
        <v>152</v>
      </c>
      <c r="B31" s="445">
        <f>B20+B26+B29</f>
        <v>1683.9849999999999</v>
      </c>
      <c r="C31" s="445">
        <f t="shared" ref="C31:M31" si="15">C20+C26+C29</f>
        <v>1700.3449999999998</v>
      </c>
      <c r="D31" s="445">
        <f t="shared" si="15"/>
        <v>1688.7549999999999</v>
      </c>
      <c r="E31" s="445">
        <f t="shared" si="15"/>
        <v>1679.7759999999998</v>
      </c>
      <c r="F31" s="445">
        <f t="shared" si="15"/>
        <v>1729.0039999999997</v>
      </c>
      <c r="G31" s="445">
        <f t="shared" si="15"/>
        <v>2063.2449999999999</v>
      </c>
      <c r="H31" s="445">
        <f t="shared" si="15"/>
        <v>2071.6174999999998</v>
      </c>
      <c r="I31" s="445">
        <f t="shared" si="15"/>
        <v>2040.6425000000002</v>
      </c>
      <c r="J31" s="445">
        <f t="shared" si="15"/>
        <v>2095.5650000000001</v>
      </c>
      <c r="K31" s="445">
        <f t="shared" si="15"/>
        <v>2075.7350000000006</v>
      </c>
      <c r="L31" s="445">
        <f t="shared" si="15"/>
        <v>2065.7075000000004</v>
      </c>
      <c r="M31" s="445">
        <f t="shared" si="15"/>
        <v>2016.6799700000001</v>
      </c>
      <c r="N31" s="445">
        <f>N20+N26+N29</f>
        <v>23895.837470000002</v>
      </c>
      <c r="O31" s="438">
        <f t="shared" si="2"/>
        <v>35.437413107601685</v>
      </c>
    </row>
    <row r="32" spans="1:17" x14ac:dyDescent="0.3">
      <c r="B32" s="82">
        <f>B31/B3*1000</f>
        <v>36.608369565217387</v>
      </c>
      <c r="C32" s="82">
        <f t="shared" ref="C32:N32" si="16">C31/C3*1000</f>
        <v>36.96402173913043</v>
      </c>
      <c r="D32" s="82">
        <f t="shared" si="16"/>
        <v>36.712065217391299</v>
      </c>
      <c r="E32" s="82">
        <f t="shared" si="16"/>
        <v>34.777971014492749</v>
      </c>
      <c r="F32" s="82">
        <f t="shared" si="16"/>
        <v>53.695776397515523</v>
      </c>
      <c r="G32" s="82">
        <f t="shared" si="16"/>
        <v>28.856573426573426</v>
      </c>
      <c r="H32" s="82">
        <f t="shared" si="16"/>
        <v>35.872164502164502</v>
      </c>
      <c r="I32" s="82">
        <f t="shared" si="16"/>
        <v>39.055358851674647</v>
      </c>
      <c r="J32" s="82">
        <f t="shared" si="16"/>
        <v>29.3086013986014</v>
      </c>
      <c r="K32" s="82">
        <f t="shared" si="16"/>
        <v>29.03125874125875</v>
      </c>
      <c r="L32" s="82">
        <f t="shared" si="16"/>
        <v>30.046654545454551</v>
      </c>
      <c r="M32" s="82">
        <f t="shared" si="16"/>
        <v>32.235417752273783</v>
      </c>
      <c r="N32" s="82">
        <f t="shared" si="16"/>
        <v>35.437413107601685</v>
      </c>
      <c r="O32" s="35"/>
    </row>
    <row r="33" spans="1:28" s="456" customFormat="1" x14ac:dyDescent="0.3">
      <c r="B33" s="457"/>
      <c r="C33" s="458"/>
      <c r="D33" s="457"/>
      <c r="E33" s="457"/>
      <c r="F33" s="457"/>
      <c r="G33" s="457"/>
      <c r="H33" s="457"/>
      <c r="I33" s="457"/>
      <c r="J33" s="457"/>
      <c r="K33" s="457"/>
      <c r="L33" s="457"/>
      <c r="M33" s="457"/>
      <c r="O33" s="459"/>
    </row>
    <row r="34" spans="1:28" x14ac:dyDescent="0.3">
      <c r="A34" s="6" t="s">
        <v>103</v>
      </c>
      <c r="B34" s="88"/>
      <c r="C34" s="88"/>
      <c r="D34" s="88"/>
      <c r="E34" s="88"/>
      <c r="F34" s="88"/>
      <c r="G34" s="88"/>
      <c r="H34" s="88"/>
      <c r="I34" s="88"/>
      <c r="J34" s="88"/>
      <c r="K34" s="88"/>
      <c r="L34" s="88"/>
      <c r="M34" s="88"/>
      <c r="N34" s="88"/>
    </row>
    <row r="35" spans="1:28" x14ac:dyDescent="0.3">
      <c r="A35" s="7" t="s">
        <v>194</v>
      </c>
      <c r="B35" s="9">
        <f>B3</f>
        <v>46000</v>
      </c>
      <c r="C35" s="9">
        <f t="shared" ref="C35:M35" si="17">C3</f>
        <v>46000</v>
      </c>
      <c r="D35" s="9">
        <f t="shared" si="17"/>
        <v>46000</v>
      </c>
      <c r="E35" s="9">
        <f t="shared" si="17"/>
        <v>48300</v>
      </c>
      <c r="F35" s="9">
        <f t="shared" si="17"/>
        <v>32200</v>
      </c>
      <c r="G35" s="9">
        <f t="shared" si="17"/>
        <v>71500</v>
      </c>
      <c r="H35" s="9">
        <f t="shared" si="17"/>
        <v>57750</v>
      </c>
      <c r="I35" s="9">
        <f t="shared" si="17"/>
        <v>52250</v>
      </c>
      <c r="J35" s="9">
        <f t="shared" si="17"/>
        <v>71500</v>
      </c>
      <c r="K35" s="9">
        <f t="shared" si="17"/>
        <v>71500</v>
      </c>
      <c r="L35" s="9">
        <f t="shared" si="17"/>
        <v>68750</v>
      </c>
      <c r="M35" s="9">
        <f t="shared" si="17"/>
        <v>62561</v>
      </c>
      <c r="N35" s="9">
        <f>N3</f>
        <v>674311</v>
      </c>
      <c r="Q35" s="104">
        <f>SUMIFS(B35:M35,$B$2:$M$2,$X$3)</f>
        <v>71500</v>
      </c>
      <c r="R35" s="104">
        <f>SUMIFS(B35:M35,$B$1:$M$1,$Y$3)</f>
        <v>290000</v>
      </c>
    </row>
    <row r="36" spans="1:28" ht="23.4" x14ac:dyDescent="0.45">
      <c r="A36" s="485" t="s">
        <v>476</v>
      </c>
      <c r="B36" s="22" t="s">
        <v>167</v>
      </c>
      <c r="C36" s="22" t="s">
        <v>167</v>
      </c>
      <c r="D36" s="22" t="s">
        <v>167</v>
      </c>
      <c r="E36" s="22" t="s">
        <v>167</v>
      </c>
      <c r="F36" s="22" t="s">
        <v>167</v>
      </c>
      <c r="G36" s="22" t="s">
        <v>167</v>
      </c>
      <c r="H36" s="22" t="s">
        <v>167</v>
      </c>
      <c r="I36" s="22" t="s">
        <v>167</v>
      </c>
      <c r="J36" s="22" t="s">
        <v>167</v>
      </c>
      <c r="K36" s="22" t="s">
        <v>167</v>
      </c>
      <c r="L36" s="22" t="s">
        <v>167</v>
      </c>
      <c r="M36" s="22" t="s">
        <v>167</v>
      </c>
      <c r="N36" s="22" t="s">
        <v>167</v>
      </c>
      <c r="Q36" s="64" t="s">
        <v>179</v>
      </c>
      <c r="R36" s="64" t="s">
        <v>94</v>
      </c>
      <c r="AB36" s="38" t="s">
        <v>66</v>
      </c>
    </row>
    <row r="37" spans="1:28" x14ac:dyDescent="0.3">
      <c r="A37" s="432" t="s">
        <v>156</v>
      </c>
      <c r="B37" s="30">
        <f>$O5*B$35/1000</f>
        <v>523.40092331283336</v>
      </c>
      <c r="C37" s="30">
        <f t="shared" ref="C37:L37" si="18">$O5*C$35/1000</f>
        <v>523.40092331283336</v>
      </c>
      <c r="D37" s="30">
        <f t="shared" si="18"/>
        <v>523.40092331283336</v>
      </c>
      <c r="E37" s="30">
        <f t="shared" si="18"/>
        <v>549.57096947847504</v>
      </c>
      <c r="F37" s="30">
        <f t="shared" si="18"/>
        <v>366.38064631898334</v>
      </c>
      <c r="G37" s="30">
        <f t="shared" si="18"/>
        <v>813.5470873232083</v>
      </c>
      <c r="H37" s="30">
        <f t="shared" si="18"/>
        <v>657.0957243764376</v>
      </c>
      <c r="I37" s="30">
        <f t="shared" si="18"/>
        <v>594.51517919772925</v>
      </c>
      <c r="J37" s="30">
        <f t="shared" si="18"/>
        <v>813.5470873232083</v>
      </c>
      <c r="K37" s="30">
        <f t="shared" si="18"/>
        <v>813.5470873232083</v>
      </c>
      <c r="L37" s="30">
        <f t="shared" si="18"/>
        <v>782.2568147338543</v>
      </c>
      <c r="M37" s="30">
        <f>$O5*M$35/1000</f>
        <v>711.83663398639499</v>
      </c>
      <c r="N37" s="13">
        <f>SUM(B37:M37)</f>
        <v>7672.5</v>
      </c>
      <c r="Q37" s="30">
        <f>SUMIFS(B37:M37,$B$2:$M$2,$X$3)</f>
        <v>813.5470873232083</v>
      </c>
      <c r="R37" s="30">
        <f>SUMIFS(B37:M37,$B$1:$M$1,$Y$3)</f>
        <v>3299.7014730591673</v>
      </c>
    </row>
    <row r="38" spans="1:28" x14ac:dyDescent="0.3">
      <c r="A38" s="432" t="s">
        <v>75</v>
      </c>
      <c r="B38" s="30">
        <f t="shared" ref="B38:M38" si="19">$O6*B$35/1000</f>
        <v>35.473246024460515</v>
      </c>
      <c r="C38" s="30">
        <f t="shared" si="19"/>
        <v>35.473246024460515</v>
      </c>
      <c r="D38" s="30">
        <f t="shared" si="19"/>
        <v>35.473246024460515</v>
      </c>
      <c r="E38" s="30">
        <f t="shared" si="19"/>
        <v>37.246908325683542</v>
      </c>
      <c r="F38" s="30">
        <f t="shared" si="19"/>
        <v>24.831272217122365</v>
      </c>
      <c r="G38" s="30">
        <f t="shared" si="19"/>
        <v>55.137762842367977</v>
      </c>
      <c r="H38" s="30">
        <f t="shared" si="19"/>
        <v>44.534346911143366</v>
      </c>
      <c r="I38" s="30">
        <f t="shared" si="19"/>
        <v>40.292980538653524</v>
      </c>
      <c r="J38" s="30">
        <f t="shared" si="19"/>
        <v>55.137762842367977</v>
      </c>
      <c r="K38" s="30">
        <f t="shared" si="19"/>
        <v>55.137762842367977</v>
      </c>
      <c r="L38" s="30">
        <f t="shared" si="19"/>
        <v>53.017079656123059</v>
      </c>
      <c r="M38" s="30">
        <f t="shared" si="19"/>
        <v>48.244385750788574</v>
      </c>
      <c r="N38" s="13">
        <f t="shared" ref="N38:N62" si="20">SUM(B38:M38)</f>
        <v>519.99999999999989</v>
      </c>
      <c r="Q38" s="30">
        <f t="shared" ref="Q38:Q63" si="21">SUMIFS(B38:M38,$B$2:$M$2,$X$3)</f>
        <v>55.137762842367977</v>
      </c>
      <c r="R38" s="30">
        <f t="shared" ref="R38:R63" si="22">SUMIFS(B38:M38,$B$1:$M$1,$Y$3)</f>
        <v>223.63568145855544</v>
      </c>
    </row>
    <row r="39" spans="1:28" x14ac:dyDescent="0.3">
      <c r="A39" s="433" t="s">
        <v>195</v>
      </c>
      <c r="B39" s="30">
        <f t="shared" ref="B39:M39" si="23">$O7*B$35/1000</f>
        <v>16.169660586880532</v>
      </c>
      <c r="C39" s="30">
        <f t="shared" si="23"/>
        <v>16.169660586880532</v>
      </c>
      <c r="D39" s="30">
        <f t="shared" si="23"/>
        <v>16.169660586880532</v>
      </c>
      <c r="E39" s="30">
        <f t="shared" si="23"/>
        <v>16.97814361622456</v>
      </c>
      <c r="F39" s="30">
        <f t="shared" si="23"/>
        <v>11.318762410816371</v>
      </c>
      <c r="G39" s="30">
        <f t="shared" si="23"/>
        <v>25.133276781781692</v>
      </c>
      <c r="H39" s="30">
        <f t="shared" si="23"/>
        <v>20.299954323746753</v>
      </c>
      <c r="I39" s="30">
        <f t="shared" si="23"/>
        <v>18.366625340532778</v>
      </c>
      <c r="J39" s="30">
        <f t="shared" si="23"/>
        <v>25.133276781781692</v>
      </c>
      <c r="K39" s="30">
        <f t="shared" si="23"/>
        <v>25.133276781781692</v>
      </c>
      <c r="L39" s="30">
        <f t="shared" si="23"/>
        <v>24.166612290174708</v>
      </c>
      <c r="M39" s="30">
        <f t="shared" si="23"/>
        <v>21.991089912518106</v>
      </c>
      <c r="N39" s="13">
        <f t="shared" si="20"/>
        <v>237.02999999999994</v>
      </c>
      <c r="Q39" s="30">
        <f t="shared" si="21"/>
        <v>25.133276781781692</v>
      </c>
      <c r="R39" s="30">
        <f t="shared" si="22"/>
        <v>101.93916456946422</v>
      </c>
    </row>
    <row r="40" spans="1:28" ht="15" thickBot="1" x14ac:dyDescent="0.35">
      <c r="A40" s="435" t="s">
        <v>196</v>
      </c>
      <c r="B40" s="444">
        <f>SUM(B37:B39)</f>
        <v>575.04382992417447</v>
      </c>
      <c r="C40" s="444">
        <f t="shared" ref="C40:N40" si="24">SUM(C37:C39)</f>
        <v>575.04382992417447</v>
      </c>
      <c r="D40" s="444">
        <f t="shared" si="24"/>
        <v>575.04382992417447</v>
      </c>
      <c r="E40" s="444">
        <f t="shared" si="24"/>
        <v>603.79602142038311</v>
      </c>
      <c r="F40" s="444">
        <f t="shared" si="24"/>
        <v>402.53068094692208</v>
      </c>
      <c r="G40" s="444">
        <f t="shared" si="24"/>
        <v>893.818126947358</v>
      </c>
      <c r="H40" s="444">
        <f t="shared" si="24"/>
        <v>721.93002561132778</v>
      </c>
      <c r="I40" s="444">
        <f t="shared" si="24"/>
        <v>653.17478507691555</v>
      </c>
      <c r="J40" s="444">
        <f t="shared" si="24"/>
        <v>893.818126947358</v>
      </c>
      <c r="K40" s="444">
        <f t="shared" si="24"/>
        <v>893.818126947358</v>
      </c>
      <c r="L40" s="444">
        <f t="shared" si="24"/>
        <v>859.44050668015211</v>
      </c>
      <c r="M40" s="444">
        <f t="shared" si="24"/>
        <v>782.07210964970159</v>
      </c>
      <c r="N40" s="444">
        <f t="shared" si="24"/>
        <v>8429.5300000000007</v>
      </c>
      <c r="Q40" s="444">
        <f t="shared" si="21"/>
        <v>893.818126947358</v>
      </c>
      <c r="R40" s="444">
        <f t="shared" si="22"/>
        <v>3625.2763190871865</v>
      </c>
    </row>
    <row r="41" spans="1:28" x14ac:dyDescent="0.3">
      <c r="A41" s="434" t="s">
        <v>80</v>
      </c>
      <c r="B41" s="30">
        <f t="shared" ref="B41:M41" si="25">$O9*B$35/1000</f>
        <v>205.291860877251</v>
      </c>
      <c r="C41" s="30">
        <f t="shared" si="25"/>
        <v>205.291860877251</v>
      </c>
      <c r="D41" s="30">
        <f t="shared" si="25"/>
        <v>205.291860877251</v>
      </c>
      <c r="E41" s="30">
        <f t="shared" si="25"/>
        <v>215.55645392111353</v>
      </c>
      <c r="F41" s="30">
        <f t="shared" si="25"/>
        <v>143.70430261407569</v>
      </c>
      <c r="G41" s="30">
        <f t="shared" si="25"/>
        <v>319.09495766790099</v>
      </c>
      <c r="H41" s="30">
        <f t="shared" si="25"/>
        <v>257.73054273176621</v>
      </c>
      <c r="I41" s="30">
        <f t="shared" si="25"/>
        <v>233.18477675731228</v>
      </c>
      <c r="J41" s="30">
        <f t="shared" si="25"/>
        <v>319.09495766790099</v>
      </c>
      <c r="K41" s="30">
        <f t="shared" si="25"/>
        <v>319.09495766790099</v>
      </c>
      <c r="L41" s="30">
        <f t="shared" si="25"/>
        <v>306.82207468067401</v>
      </c>
      <c r="M41" s="30">
        <f t="shared" si="25"/>
        <v>279.20139365960216</v>
      </c>
      <c r="N41" s="13">
        <f t="shared" si="20"/>
        <v>3009.36</v>
      </c>
      <c r="Q41" s="30">
        <f t="shared" si="21"/>
        <v>319.09495766790099</v>
      </c>
      <c r="R41" s="30">
        <f t="shared" si="22"/>
        <v>1294.2312968348433</v>
      </c>
    </row>
    <row r="42" spans="1:28" x14ac:dyDescent="0.3">
      <c r="A42" s="433" t="s">
        <v>81</v>
      </c>
      <c r="B42" s="30">
        <f t="shared" ref="B42:M42" si="26">$O10*B$35/1000</f>
        <v>74.257783129742805</v>
      </c>
      <c r="C42" s="30">
        <f t="shared" si="26"/>
        <v>74.257783129742805</v>
      </c>
      <c r="D42" s="30">
        <f t="shared" si="26"/>
        <v>74.257783129742805</v>
      </c>
      <c r="E42" s="30">
        <f t="shared" si="26"/>
        <v>77.970672286229956</v>
      </c>
      <c r="F42" s="30">
        <f t="shared" si="26"/>
        <v>51.980448190819963</v>
      </c>
      <c r="G42" s="30">
        <f t="shared" si="26"/>
        <v>115.42242377775241</v>
      </c>
      <c r="H42" s="30">
        <f t="shared" si="26"/>
        <v>93.225803820492317</v>
      </c>
      <c r="I42" s="30">
        <f t="shared" si="26"/>
        <v>84.347155837588289</v>
      </c>
      <c r="J42" s="30">
        <f t="shared" si="26"/>
        <v>115.42242377775241</v>
      </c>
      <c r="K42" s="30">
        <f t="shared" si="26"/>
        <v>115.42242377775241</v>
      </c>
      <c r="L42" s="30">
        <f t="shared" si="26"/>
        <v>110.98309978630039</v>
      </c>
      <c r="M42" s="30">
        <f t="shared" si="26"/>
        <v>100.99219935608346</v>
      </c>
      <c r="N42" s="13">
        <f t="shared" si="20"/>
        <v>1088.54</v>
      </c>
      <c r="Q42" s="30">
        <f t="shared" si="21"/>
        <v>115.42242377775241</v>
      </c>
      <c r="R42" s="30">
        <f t="shared" si="22"/>
        <v>468.1468936440308</v>
      </c>
    </row>
    <row r="43" spans="1:28" x14ac:dyDescent="0.3">
      <c r="A43" s="433" t="s">
        <v>82</v>
      </c>
      <c r="B43" s="30">
        <f t="shared" ref="B43:M43" si="27">$O11*B$35/1000</f>
        <v>143.36580598566533</v>
      </c>
      <c r="C43" s="30">
        <f t="shared" si="27"/>
        <v>143.36580598566533</v>
      </c>
      <c r="D43" s="30">
        <f t="shared" si="27"/>
        <v>143.36580598566533</v>
      </c>
      <c r="E43" s="30">
        <f t="shared" si="27"/>
        <v>150.53409628494862</v>
      </c>
      <c r="F43" s="30">
        <f t="shared" si="27"/>
        <v>100.35606418996574</v>
      </c>
      <c r="G43" s="30">
        <f t="shared" si="27"/>
        <v>222.8403288690233</v>
      </c>
      <c r="H43" s="30">
        <f t="shared" si="27"/>
        <v>179.98641947113421</v>
      </c>
      <c r="I43" s="30">
        <f t="shared" si="27"/>
        <v>162.84485571197857</v>
      </c>
      <c r="J43" s="30">
        <f t="shared" si="27"/>
        <v>222.8403288690233</v>
      </c>
      <c r="K43" s="30">
        <f t="shared" si="27"/>
        <v>222.8403288690233</v>
      </c>
      <c r="L43" s="30">
        <f t="shared" si="27"/>
        <v>214.26954698944544</v>
      </c>
      <c r="M43" s="30">
        <f t="shared" si="27"/>
        <v>194.98061278846106</v>
      </c>
      <c r="N43" s="13">
        <f t="shared" si="20"/>
        <v>2101.5899999999997</v>
      </c>
      <c r="Q43" s="30">
        <f t="shared" si="21"/>
        <v>222.8403288690233</v>
      </c>
      <c r="R43" s="30">
        <f t="shared" si="22"/>
        <v>903.8279073009337</v>
      </c>
    </row>
    <row r="44" spans="1:28" x14ac:dyDescent="0.3">
      <c r="A44" s="433" t="s">
        <v>83</v>
      </c>
      <c r="B44" s="30">
        <f t="shared" ref="B44:M44" si="28">$O12*B$35/1000</f>
        <v>9.1207172951353304</v>
      </c>
      <c r="C44" s="30">
        <f t="shared" si="28"/>
        <v>9.1207172951353304</v>
      </c>
      <c r="D44" s="30">
        <f t="shared" si="28"/>
        <v>9.1207172951353304</v>
      </c>
      <c r="E44" s="30">
        <f t="shared" si="28"/>
        <v>9.5767531598920961</v>
      </c>
      <c r="F44" s="30">
        <f t="shared" si="28"/>
        <v>6.3845021065947307</v>
      </c>
      <c r="G44" s="30">
        <f t="shared" si="28"/>
        <v>14.176767100047305</v>
      </c>
      <c r="H44" s="30">
        <f t="shared" si="28"/>
        <v>11.450465734653593</v>
      </c>
      <c r="I44" s="30">
        <f t="shared" si="28"/>
        <v>10.359945188496107</v>
      </c>
      <c r="J44" s="30">
        <f t="shared" si="28"/>
        <v>14.176767100047305</v>
      </c>
      <c r="K44" s="30">
        <f t="shared" si="28"/>
        <v>14.176767100047305</v>
      </c>
      <c r="L44" s="30">
        <f t="shared" si="28"/>
        <v>13.631506826968563</v>
      </c>
      <c r="M44" s="30">
        <f t="shared" si="28"/>
        <v>12.404373797846985</v>
      </c>
      <c r="N44" s="13">
        <f t="shared" si="20"/>
        <v>133.69999999999996</v>
      </c>
      <c r="Q44" s="30">
        <f t="shared" si="21"/>
        <v>14.176767100047305</v>
      </c>
      <c r="R44" s="30">
        <f t="shared" si="22"/>
        <v>57.500174251940123</v>
      </c>
      <c r="AB44" s="35">
        <v>4.1368100138106803</v>
      </c>
    </row>
    <row r="45" spans="1:28" x14ac:dyDescent="0.3">
      <c r="A45" s="433" t="s">
        <v>84</v>
      </c>
      <c r="B45" s="30">
        <f t="shared" ref="B45:M45" si="29">$O13*B$35/1000</f>
        <v>32.000366121863642</v>
      </c>
      <c r="C45" s="30">
        <f t="shared" si="29"/>
        <v>32.000366121863642</v>
      </c>
      <c r="D45" s="30">
        <f t="shared" si="29"/>
        <v>32.000366121863642</v>
      </c>
      <c r="E45" s="30">
        <f t="shared" si="29"/>
        <v>33.600384427956826</v>
      </c>
      <c r="F45" s="30">
        <f t="shared" si="29"/>
        <v>22.40025628530455</v>
      </c>
      <c r="G45" s="30">
        <f t="shared" si="29"/>
        <v>49.73969951550545</v>
      </c>
      <c r="H45" s="30">
        <f t="shared" si="29"/>
        <v>40.174372685600552</v>
      </c>
      <c r="I45" s="30">
        <f t="shared" si="29"/>
        <v>36.348241953638592</v>
      </c>
      <c r="J45" s="30">
        <f t="shared" si="29"/>
        <v>49.73969951550545</v>
      </c>
      <c r="K45" s="30">
        <f t="shared" si="29"/>
        <v>49.73969951550545</v>
      </c>
      <c r="L45" s="30">
        <f t="shared" si="29"/>
        <v>47.826634149524466</v>
      </c>
      <c r="M45" s="30">
        <f t="shared" si="29"/>
        <v>43.521193585867636</v>
      </c>
      <c r="N45" s="13">
        <f t="shared" si="20"/>
        <v>469.09127999999987</v>
      </c>
      <c r="Q45" s="30">
        <f t="shared" si="21"/>
        <v>49.73969951550545</v>
      </c>
      <c r="R45" s="30">
        <f t="shared" si="22"/>
        <v>201.74143859435776</v>
      </c>
      <c r="AB45" s="35">
        <v>1.7975010422624793</v>
      </c>
    </row>
    <row r="46" spans="1:28" x14ac:dyDescent="0.3">
      <c r="A46" s="433" t="s">
        <v>86</v>
      </c>
      <c r="B46" s="30">
        <f t="shared" ref="B46:M46" si="30">$O14*B$35/1000</f>
        <v>125.28657683420116</v>
      </c>
      <c r="C46" s="30">
        <f t="shared" si="30"/>
        <v>125.28657683420116</v>
      </c>
      <c r="D46" s="30">
        <f t="shared" si="30"/>
        <v>125.28657683420116</v>
      </c>
      <c r="E46" s="30">
        <f t="shared" si="30"/>
        <v>131.5509056759112</v>
      </c>
      <c r="F46" s="30">
        <f t="shared" si="30"/>
        <v>87.700603783940807</v>
      </c>
      <c r="G46" s="30">
        <f t="shared" si="30"/>
        <v>194.73891834011701</v>
      </c>
      <c r="H46" s="30">
        <f t="shared" si="30"/>
        <v>157.28912635163297</v>
      </c>
      <c r="I46" s="30">
        <f t="shared" si="30"/>
        <v>142.30920955623935</v>
      </c>
      <c r="J46" s="30">
        <f t="shared" si="30"/>
        <v>194.73891834011701</v>
      </c>
      <c r="K46" s="30">
        <f t="shared" si="30"/>
        <v>194.73891834011701</v>
      </c>
      <c r="L46" s="30">
        <f t="shared" si="30"/>
        <v>187.24895994242019</v>
      </c>
      <c r="M46" s="30">
        <f t="shared" si="30"/>
        <v>170.3924681157491</v>
      </c>
      <c r="N46" s="13">
        <f t="shared" si="20"/>
        <v>1836.567758948848</v>
      </c>
      <c r="Q46" s="30">
        <f t="shared" si="21"/>
        <v>194.73891834011701</v>
      </c>
      <c r="R46" s="30">
        <f t="shared" si="22"/>
        <v>789.85015830257248</v>
      </c>
      <c r="AB46" s="35">
        <v>3.6451880061715425</v>
      </c>
    </row>
    <row r="47" spans="1:28" ht="15" thickBot="1" x14ac:dyDescent="0.35">
      <c r="A47" s="435" t="s">
        <v>197</v>
      </c>
      <c r="B47" s="444">
        <f>SUM(B41:B46)</f>
        <v>589.32311024385922</v>
      </c>
      <c r="C47" s="444">
        <f t="shared" ref="C47:N47" si="31">SUM(C41:C46)</f>
        <v>589.32311024385922</v>
      </c>
      <c r="D47" s="444">
        <f t="shared" si="31"/>
        <v>589.32311024385922</v>
      </c>
      <c r="E47" s="444">
        <f t="shared" si="31"/>
        <v>618.78926575605226</v>
      </c>
      <c r="F47" s="444">
        <f t="shared" si="31"/>
        <v>412.52617717070143</v>
      </c>
      <c r="G47" s="444">
        <f t="shared" si="31"/>
        <v>916.01309527034653</v>
      </c>
      <c r="H47" s="444">
        <f t="shared" si="31"/>
        <v>739.85673079527987</v>
      </c>
      <c r="I47" s="444">
        <f t="shared" si="31"/>
        <v>669.39418500525323</v>
      </c>
      <c r="J47" s="444">
        <f t="shared" si="31"/>
        <v>916.01309527034653</v>
      </c>
      <c r="K47" s="444">
        <f t="shared" si="31"/>
        <v>916.01309527034653</v>
      </c>
      <c r="L47" s="444">
        <f t="shared" si="31"/>
        <v>880.78182237533315</v>
      </c>
      <c r="M47" s="444">
        <f t="shared" si="31"/>
        <v>801.49224130361051</v>
      </c>
      <c r="N47" s="444">
        <f t="shared" si="31"/>
        <v>8638.849038948847</v>
      </c>
      <c r="Q47" s="444">
        <f t="shared" si="21"/>
        <v>916.01309527034653</v>
      </c>
      <c r="R47" s="444">
        <f t="shared" si="22"/>
        <v>3715.2978689286779</v>
      </c>
      <c r="AB47" s="35">
        <v>0.10130454179219703</v>
      </c>
    </row>
    <row r="48" spans="1:28" x14ac:dyDescent="0.3">
      <c r="A48" s="436" t="s">
        <v>88</v>
      </c>
      <c r="B48" s="445">
        <f>B40+B47</f>
        <v>1164.3669401680336</v>
      </c>
      <c r="C48" s="445">
        <f t="shared" ref="C48:N48" si="32">C40+C47</f>
        <v>1164.3669401680336</v>
      </c>
      <c r="D48" s="445">
        <f t="shared" si="32"/>
        <v>1164.3669401680336</v>
      </c>
      <c r="E48" s="445">
        <f t="shared" si="32"/>
        <v>1222.5852871764355</v>
      </c>
      <c r="F48" s="445">
        <f t="shared" si="32"/>
        <v>815.05685811762351</v>
      </c>
      <c r="G48" s="445">
        <f t="shared" si="32"/>
        <v>1809.8312222177046</v>
      </c>
      <c r="H48" s="445">
        <f t="shared" si="32"/>
        <v>1461.7867564066078</v>
      </c>
      <c r="I48" s="445">
        <f t="shared" si="32"/>
        <v>1322.5689700821688</v>
      </c>
      <c r="J48" s="445">
        <f t="shared" si="32"/>
        <v>1809.8312222177046</v>
      </c>
      <c r="K48" s="445">
        <f t="shared" si="32"/>
        <v>1809.8312222177046</v>
      </c>
      <c r="L48" s="445">
        <f t="shared" si="32"/>
        <v>1740.2223290554853</v>
      </c>
      <c r="M48" s="445">
        <f t="shared" si="32"/>
        <v>1583.564350953312</v>
      </c>
      <c r="N48" s="445">
        <f t="shared" si="32"/>
        <v>17068.379038948849</v>
      </c>
      <c r="Q48" s="445">
        <f t="shared" si="21"/>
        <v>1809.8312222177046</v>
      </c>
      <c r="R48" s="445">
        <f t="shared" si="22"/>
        <v>7340.5741880158639</v>
      </c>
      <c r="AB48" s="35">
        <v>1.1195977934376233</v>
      </c>
    </row>
    <row r="49" spans="1:28" x14ac:dyDescent="0.3">
      <c r="A49" s="433" t="s">
        <v>89</v>
      </c>
      <c r="B49" s="30">
        <f>$O17*B$35/1000</f>
        <v>8.2249305142582578</v>
      </c>
      <c r="C49" s="30">
        <f t="shared" ref="C49:M49" si="33">$O17*C$35/1000</f>
        <v>8.2249305142582578</v>
      </c>
      <c r="D49" s="30">
        <f t="shared" si="33"/>
        <v>8.2249305142582578</v>
      </c>
      <c r="E49" s="30">
        <f t="shared" si="33"/>
        <v>8.6361770399711695</v>
      </c>
      <c r="F49" s="30">
        <f t="shared" si="33"/>
        <v>5.7574513599807808</v>
      </c>
      <c r="G49" s="30">
        <f t="shared" si="33"/>
        <v>12.784402864553597</v>
      </c>
      <c r="H49" s="30">
        <f t="shared" si="33"/>
        <v>10.325863852139442</v>
      </c>
      <c r="I49" s="30">
        <f t="shared" si="33"/>
        <v>9.3424482471737811</v>
      </c>
      <c r="J49" s="30">
        <f t="shared" si="33"/>
        <v>12.784402864553597</v>
      </c>
      <c r="K49" s="30">
        <f t="shared" si="33"/>
        <v>12.784402864553597</v>
      </c>
      <c r="L49" s="30">
        <f t="shared" si="33"/>
        <v>12.292695062070765</v>
      </c>
      <c r="M49" s="30">
        <f t="shared" si="33"/>
        <v>11.186084302228497</v>
      </c>
      <c r="N49" s="13">
        <f t="shared" si="20"/>
        <v>120.56872</v>
      </c>
      <c r="Q49" s="30">
        <f t="shared" si="21"/>
        <v>12.784402864553597</v>
      </c>
      <c r="R49" s="30">
        <f t="shared" si="22"/>
        <v>51.852822807280319</v>
      </c>
      <c r="AB49" s="35">
        <v>0.33711993940830953</v>
      </c>
    </row>
    <row r="50" spans="1:28" x14ac:dyDescent="0.3">
      <c r="A50" s="436" t="s">
        <v>90</v>
      </c>
      <c r="B50" s="445">
        <f>B48+B49</f>
        <v>1172.5918706822918</v>
      </c>
      <c r="C50" s="445">
        <f t="shared" ref="C50:N50" si="34">C48+C49</f>
        <v>1172.5918706822918</v>
      </c>
      <c r="D50" s="445">
        <f t="shared" si="34"/>
        <v>1172.5918706822918</v>
      </c>
      <c r="E50" s="445">
        <f t="shared" si="34"/>
        <v>1231.2214642164067</v>
      </c>
      <c r="F50" s="445">
        <f t="shared" si="34"/>
        <v>820.8143094776043</v>
      </c>
      <c r="G50" s="445">
        <f t="shared" si="34"/>
        <v>1822.6156250822582</v>
      </c>
      <c r="H50" s="445">
        <f t="shared" si="34"/>
        <v>1472.1126202587473</v>
      </c>
      <c r="I50" s="445">
        <f t="shared" si="34"/>
        <v>1331.9114183293425</v>
      </c>
      <c r="J50" s="445">
        <f t="shared" si="34"/>
        <v>1822.6156250822582</v>
      </c>
      <c r="K50" s="445">
        <f t="shared" si="34"/>
        <v>1822.6156250822582</v>
      </c>
      <c r="L50" s="445">
        <f t="shared" si="34"/>
        <v>1752.5150241175561</v>
      </c>
      <c r="M50" s="445">
        <f t="shared" si="34"/>
        <v>1594.7504352555404</v>
      </c>
      <c r="N50" s="445">
        <f t="shared" si="34"/>
        <v>17188.947758948849</v>
      </c>
      <c r="Q50" s="445">
        <f t="shared" si="21"/>
        <v>1822.6156250822582</v>
      </c>
      <c r="R50" s="445">
        <f t="shared" si="22"/>
        <v>7392.4270108231449</v>
      </c>
      <c r="AB50" s="35">
        <v>2.5085094691372314</v>
      </c>
    </row>
    <row r="51" spans="1:28" x14ac:dyDescent="0.3">
      <c r="A51" s="433" t="s">
        <v>91</v>
      </c>
      <c r="B51" s="30">
        <f>$O19*B$35/1000</f>
        <v>344.37647181842351</v>
      </c>
      <c r="C51" s="30">
        <f t="shared" ref="C51:M51" si="35">$O19*C$35/1000</f>
        <v>344.37647181842351</v>
      </c>
      <c r="D51" s="30">
        <f t="shared" si="35"/>
        <v>344.37647181842351</v>
      </c>
      <c r="E51" s="30">
        <f t="shared" si="35"/>
        <v>361.59529540934471</v>
      </c>
      <c r="F51" s="30">
        <f t="shared" si="35"/>
        <v>241.06353027289646</v>
      </c>
      <c r="G51" s="30">
        <f t="shared" si="35"/>
        <v>535.28082032646262</v>
      </c>
      <c r="H51" s="30">
        <f t="shared" si="35"/>
        <v>432.3422010329121</v>
      </c>
      <c r="I51" s="30">
        <f t="shared" si="35"/>
        <v>391.16675331549197</v>
      </c>
      <c r="J51" s="30">
        <f t="shared" si="35"/>
        <v>535.28082032646262</v>
      </c>
      <c r="K51" s="30">
        <f t="shared" si="35"/>
        <v>535.28082032646262</v>
      </c>
      <c r="L51" s="30">
        <f t="shared" si="35"/>
        <v>514.69309646775253</v>
      </c>
      <c r="M51" s="30">
        <f t="shared" si="35"/>
        <v>468.35948811809556</v>
      </c>
      <c r="N51" s="13">
        <f t="shared" si="20"/>
        <v>5048.1922410511515</v>
      </c>
      <c r="Q51" s="30">
        <f t="shared" si="21"/>
        <v>535.28082032646262</v>
      </c>
      <c r="R51" s="30">
        <f t="shared" si="22"/>
        <v>2171.0690614639743</v>
      </c>
      <c r="AB51" s="37">
        <v>13.646030806020063</v>
      </c>
    </row>
    <row r="52" spans="1:28" x14ac:dyDescent="0.3">
      <c r="A52" s="436" t="s">
        <v>92</v>
      </c>
      <c r="B52" s="445">
        <f>B50+B51</f>
        <v>1516.9683425007152</v>
      </c>
      <c r="C52" s="445">
        <f t="shared" ref="C52:N52" si="36">C50+C51</f>
        <v>1516.9683425007152</v>
      </c>
      <c r="D52" s="445">
        <f t="shared" si="36"/>
        <v>1516.9683425007152</v>
      </c>
      <c r="E52" s="445">
        <f t="shared" si="36"/>
        <v>1592.8167596257515</v>
      </c>
      <c r="F52" s="445">
        <f t="shared" si="36"/>
        <v>1061.8778397505007</v>
      </c>
      <c r="G52" s="445">
        <f t="shared" si="36"/>
        <v>2357.8964454087209</v>
      </c>
      <c r="H52" s="445">
        <f t="shared" si="36"/>
        <v>1904.4548212916593</v>
      </c>
      <c r="I52" s="445">
        <f t="shared" si="36"/>
        <v>1723.0781716448346</v>
      </c>
      <c r="J52" s="445">
        <f t="shared" si="36"/>
        <v>2357.8964454087209</v>
      </c>
      <c r="K52" s="445">
        <f t="shared" si="36"/>
        <v>2357.8964454087209</v>
      </c>
      <c r="L52" s="445">
        <f t="shared" si="36"/>
        <v>2267.2081205853087</v>
      </c>
      <c r="M52" s="445">
        <f t="shared" si="36"/>
        <v>2063.1099233736359</v>
      </c>
      <c r="N52" s="445">
        <f t="shared" si="36"/>
        <v>22237.14</v>
      </c>
      <c r="Q52" s="445">
        <f t="shared" si="21"/>
        <v>2357.8964454087209</v>
      </c>
      <c r="R52" s="445">
        <f t="shared" si="22"/>
        <v>9563.4960722871183</v>
      </c>
      <c r="AB52" s="35">
        <v>4.2009189889548271</v>
      </c>
    </row>
    <row r="53" spans="1:28" x14ac:dyDescent="0.3">
      <c r="A53" s="433" t="s">
        <v>76</v>
      </c>
      <c r="B53" s="30">
        <f>$O21*B$35/1000</f>
        <v>23.020090136450388</v>
      </c>
      <c r="C53" s="30">
        <f t="shared" ref="C53:M53" si="37">$O21*C$35/1000</f>
        <v>23.020090136450388</v>
      </c>
      <c r="D53" s="30">
        <f t="shared" si="37"/>
        <v>23.020090136450388</v>
      </c>
      <c r="E53" s="30">
        <f t="shared" si="37"/>
        <v>24.171094643272912</v>
      </c>
      <c r="F53" s="30">
        <f t="shared" si="37"/>
        <v>16.11406309551527</v>
      </c>
      <c r="G53" s="30">
        <f t="shared" si="37"/>
        <v>35.781227059917448</v>
      </c>
      <c r="H53" s="30">
        <f t="shared" si="37"/>
        <v>28.900221856087175</v>
      </c>
      <c r="I53" s="30">
        <f t="shared" si="37"/>
        <v>26.14781977455506</v>
      </c>
      <c r="J53" s="30">
        <f t="shared" si="37"/>
        <v>35.781227059917448</v>
      </c>
      <c r="K53" s="30">
        <f t="shared" si="37"/>
        <v>35.781227059917448</v>
      </c>
      <c r="L53" s="30">
        <f t="shared" si="37"/>
        <v>34.405026019151393</v>
      </c>
      <c r="M53" s="30">
        <f t="shared" si="37"/>
        <v>31.307823022314629</v>
      </c>
      <c r="N53" s="13">
        <f t="shared" si="20"/>
        <v>337.45</v>
      </c>
      <c r="Q53" s="30">
        <f t="shared" si="21"/>
        <v>35.781227059917448</v>
      </c>
      <c r="R53" s="30">
        <f t="shared" si="22"/>
        <v>145.1266552080568</v>
      </c>
      <c r="AB53" s="35">
        <v>0</v>
      </c>
    </row>
    <row r="54" spans="1:28" x14ac:dyDescent="0.3">
      <c r="A54" s="433" t="s">
        <v>77</v>
      </c>
      <c r="B54" s="30">
        <f t="shared" ref="B54:M54" si="38">$O22*B$35/1000</f>
        <v>-56.579999999999984</v>
      </c>
      <c r="C54" s="30">
        <f t="shared" si="38"/>
        <v>-56.579999999999984</v>
      </c>
      <c r="D54" s="30">
        <f t="shared" si="38"/>
        <v>-56.579999999999984</v>
      </c>
      <c r="E54" s="30">
        <f t="shared" si="38"/>
        <v>-59.408999999999985</v>
      </c>
      <c r="F54" s="30">
        <f t="shared" si="38"/>
        <v>-39.605999999999995</v>
      </c>
      <c r="G54" s="30">
        <f t="shared" si="38"/>
        <v>-87.944999999999979</v>
      </c>
      <c r="H54" s="30">
        <f t="shared" si="38"/>
        <v>-71.032499999999985</v>
      </c>
      <c r="I54" s="30">
        <f t="shared" si="38"/>
        <v>-64.267499999999984</v>
      </c>
      <c r="J54" s="30">
        <f t="shared" si="38"/>
        <v>-87.944999999999979</v>
      </c>
      <c r="K54" s="30">
        <f t="shared" si="38"/>
        <v>-87.944999999999979</v>
      </c>
      <c r="L54" s="30">
        <f t="shared" si="38"/>
        <v>-84.562499999999986</v>
      </c>
      <c r="M54" s="30">
        <f t="shared" si="38"/>
        <v>-76.950029999999984</v>
      </c>
      <c r="N54" s="13">
        <f t="shared" si="20"/>
        <v>-829.40252999999973</v>
      </c>
      <c r="Q54" s="30">
        <f t="shared" si="21"/>
        <v>-87.944999999999979</v>
      </c>
      <c r="R54" s="30">
        <f t="shared" si="22"/>
        <v>-356.69999999999993</v>
      </c>
      <c r="AB54" s="35">
        <v>0</v>
      </c>
    </row>
    <row r="55" spans="1:28" x14ac:dyDescent="0.3">
      <c r="A55" s="433" t="s">
        <v>144</v>
      </c>
      <c r="B55" s="30">
        <f t="shared" ref="B55:M55" si="39">$O23*B$35/1000</f>
        <v>0</v>
      </c>
      <c r="C55" s="30">
        <f t="shared" si="39"/>
        <v>0</v>
      </c>
      <c r="D55" s="30">
        <f t="shared" si="39"/>
        <v>0</v>
      </c>
      <c r="E55" s="30">
        <f t="shared" si="39"/>
        <v>0</v>
      </c>
      <c r="F55" s="30">
        <f t="shared" si="39"/>
        <v>0</v>
      </c>
      <c r="G55" s="30">
        <f t="shared" si="39"/>
        <v>0</v>
      </c>
      <c r="H55" s="30">
        <f t="shared" si="39"/>
        <v>0</v>
      </c>
      <c r="I55" s="30">
        <f t="shared" si="39"/>
        <v>0</v>
      </c>
      <c r="J55" s="30">
        <f t="shared" si="39"/>
        <v>0</v>
      </c>
      <c r="K55" s="30">
        <f t="shared" si="39"/>
        <v>0</v>
      </c>
      <c r="L55" s="30">
        <f t="shared" si="39"/>
        <v>0</v>
      </c>
      <c r="M55" s="30">
        <f t="shared" si="39"/>
        <v>0</v>
      </c>
      <c r="N55" s="13">
        <f t="shared" si="20"/>
        <v>0</v>
      </c>
      <c r="Q55" s="30">
        <f t="shared" si="21"/>
        <v>0</v>
      </c>
      <c r="R55" s="30">
        <f t="shared" si="22"/>
        <v>0</v>
      </c>
      <c r="AB55" s="37">
        <v>4.2009189889548271</v>
      </c>
    </row>
    <row r="56" spans="1:28" x14ac:dyDescent="0.3">
      <c r="A56" s="433" t="s">
        <v>85</v>
      </c>
      <c r="B56" s="30">
        <f t="shared" ref="B56:M56" si="40">$O24*B$35/1000</f>
        <v>0</v>
      </c>
      <c r="C56" s="30">
        <f t="shared" si="40"/>
        <v>0</v>
      </c>
      <c r="D56" s="30">
        <f t="shared" si="40"/>
        <v>0</v>
      </c>
      <c r="E56" s="30">
        <f t="shared" si="40"/>
        <v>0</v>
      </c>
      <c r="F56" s="30">
        <f t="shared" si="40"/>
        <v>0</v>
      </c>
      <c r="G56" s="30">
        <f t="shared" si="40"/>
        <v>0</v>
      </c>
      <c r="H56" s="30">
        <f t="shared" si="40"/>
        <v>0</v>
      </c>
      <c r="I56" s="30">
        <f t="shared" si="40"/>
        <v>0</v>
      </c>
      <c r="J56" s="30">
        <f t="shared" si="40"/>
        <v>0</v>
      </c>
      <c r="K56" s="30">
        <f t="shared" si="40"/>
        <v>0</v>
      </c>
      <c r="L56" s="30">
        <f t="shared" si="40"/>
        <v>0</v>
      </c>
      <c r="M56" s="30">
        <f t="shared" si="40"/>
        <v>0</v>
      </c>
      <c r="N56" s="13">
        <f t="shared" si="20"/>
        <v>0</v>
      </c>
      <c r="Q56" s="30">
        <f t="shared" si="21"/>
        <v>0</v>
      </c>
      <c r="R56" s="30">
        <f t="shared" si="22"/>
        <v>0</v>
      </c>
      <c r="AB56" s="37">
        <v>17.84694979497489</v>
      </c>
    </row>
    <row r="57" spans="1:28" x14ac:dyDescent="0.3">
      <c r="A57" s="433" t="s">
        <v>145</v>
      </c>
      <c r="B57" s="446"/>
      <c r="C57" s="446"/>
      <c r="D57" s="446"/>
      <c r="E57" s="446"/>
      <c r="F57" s="446"/>
      <c r="G57" s="446"/>
      <c r="H57" s="446"/>
      <c r="I57" s="446"/>
      <c r="J57" s="446"/>
      <c r="K57" s="446"/>
      <c r="L57" s="446"/>
      <c r="M57" s="446"/>
      <c r="N57" s="13">
        <f t="shared" si="20"/>
        <v>0</v>
      </c>
      <c r="Q57" s="446">
        <f t="shared" si="21"/>
        <v>0</v>
      </c>
      <c r="R57" s="446">
        <f t="shared" si="22"/>
        <v>0</v>
      </c>
      <c r="AB57" s="37"/>
    </row>
    <row r="58" spans="1:28" x14ac:dyDescent="0.3">
      <c r="A58" s="436" t="s">
        <v>146</v>
      </c>
      <c r="B58" s="445">
        <f>SUM(B53:B57)</f>
        <v>-33.559909863549592</v>
      </c>
      <c r="C58" s="445">
        <f t="shared" ref="C58:N58" si="41">SUM(C53:C57)</f>
        <v>-33.559909863549592</v>
      </c>
      <c r="D58" s="445">
        <f t="shared" si="41"/>
        <v>-33.559909863549592</v>
      </c>
      <c r="E58" s="445">
        <f t="shared" si="41"/>
        <v>-35.237905356727069</v>
      </c>
      <c r="F58" s="445">
        <f t="shared" si="41"/>
        <v>-23.491936904484724</v>
      </c>
      <c r="G58" s="445">
        <f t="shared" si="41"/>
        <v>-52.163772940082531</v>
      </c>
      <c r="H58" s="445">
        <f t="shared" si="41"/>
        <v>-42.132278143912814</v>
      </c>
      <c r="I58" s="445">
        <f t="shared" si="41"/>
        <v>-38.119680225444924</v>
      </c>
      <c r="J58" s="445">
        <f t="shared" si="41"/>
        <v>-52.163772940082531</v>
      </c>
      <c r="K58" s="445">
        <f t="shared" si="41"/>
        <v>-52.163772940082531</v>
      </c>
      <c r="L58" s="445">
        <f t="shared" si="41"/>
        <v>-50.157473980848593</v>
      </c>
      <c r="M58" s="445">
        <f t="shared" si="41"/>
        <v>-45.642206977685355</v>
      </c>
      <c r="N58" s="445">
        <f t="shared" si="41"/>
        <v>-491.95252999999974</v>
      </c>
      <c r="Q58" s="445">
        <f t="shared" si="21"/>
        <v>-52.163772940082531</v>
      </c>
      <c r="R58" s="445">
        <f t="shared" si="22"/>
        <v>-211.57334479194313</v>
      </c>
      <c r="AB58" s="37"/>
    </row>
    <row r="59" spans="1:28" x14ac:dyDescent="0.3">
      <c r="A59" s="433" t="s">
        <v>148</v>
      </c>
      <c r="B59" s="30">
        <f>$O27*B$35/1000</f>
        <v>79.533064120264967</v>
      </c>
      <c r="C59" s="30">
        <f t="shared" ref="C59:M59" si="42">$O27*C$35/1000</f>
        <v>79.533064120264967</v>
      </c>
      <c r="D59" s="30">
        <f t="shared" si="42"/>
        <v>79.533064120264967</v>
      </c>
      <c r="E59" s="30">
        <f t="shared" si="42"/>
        <v>83.509717326278221</v>
      </c>
      <c r="F59" s="30">
        <f t="shared" si="42"/>
        <v>55.673144884185483</v>
      </c>
      <c r="G59" s="30">
        <f t="shared" si="42"/>
        <v>123.62204531736838</v>
      </c>
      <c r="H59" s="30">
        <f t="shared" si="42"/>
        <v>99.84857506402831</v>
      </c>
      <c r="I59" s="30">
        <f t="shared" si="42"/>
        <v>90.339186962692267</v>
      </c>
      <c r="J59" s="30">
        <f t="shared" si="42"/>
        <v>123.62204531736838</v>
      </c>
      <c r="K59" s="30">
        <f t="shared" si="42"/>
        <v>123.62204531736838</v>
      </c>
      <c r="L59" s="30">
        <f t="shared" si="42"/>
        <v>118.86735126670037</v>
      </c>
      <c r="M59" s="30">
        <f t="shared" si="42"/>
        <v>108.16669618321514</v>
      </c>
      <c r="N59" s="13">
        <f t="shared" si="20"/>
        <v>1165.8699999999999</v>
      </c>
      <c r="Q59" s="30">
        <f t="shared" si="21"/>
        <v>123.62204531736838</v>
      </c>
      <c r="R59" s="30">
        <f t="shared" si="22"/>
        <v>501.404099888627</v>
      </c>
      <c r="AB59" s="37"/>
    </row>
    <row r="60" spans="1:28" x14ac:dyDescent="0.3">
      <c r="A60" s="433" t="s">
        <v>149</v>
      </c>
      <c r="B60" s="30">
        <f>$O28*B$35/1000</f>
        <v>67.179506192246606</v>
      </c>
      <c r="C60" s="30">
        <f t="shared" ref="C60:M60" si="43">$O28*C$35/1000</f>
        <v>67.179506192246606</v>
      </c>
      <c r="D60" s="30">
        <f t="shared" si="43"/>
        <v>67.179506192246606</v>
      </c>
      <c r="E60" s="30">
        <f t="shared" si="43"/>
        <v>70.538481501858939</v>
      </c>
      <c r="F60" s="30">
        <f t="shared" si="43"/>
        <v>47.025654334572629</v>
      </c>
      <c r="G60" s="30">
        <f t="shared" si="43"/>
        <v>104.42031940751377</v>
      </c>
      <c r="H60" s="30">
        <f t="shared" si="43"/>
        <v>84.339488752222664</v>
      </c>
      <c r="I60" s="30">
        <f t="shared" si="43"/>
        <v>76.307156490106209</v>
      </c>
      <c r="J60" s="30">
        <f t="shared" si="43"/>
        <v>104.42031940751377</v>
      </c>
      <c r="K60" s="30">
        <f t="shared" si="43"/>
        <v>104.42031940751377</v>
      </c>
      <c r="L60" s="30">
        <f t="shared" si="43"/>
        <v>100.40415327645555</v>
      </c>
      <c r="M60" s="30">
        <f t="shared" si="43"/>
        <v>91.365588845503069</v>
      </c>
      <c r="N60" s="13">
        <f t="shared" si="20"/>
        <v>984.7800000000002</v>
      </c>
      <c r="Q60" s="446">
        <f t="shared" si="21"/>
        <v>104.42031940751377</v>
      </c>
      <c r="R60" s="446">
        <f t="shared" si="22"/>
        <v>423.52297382068514</v>
      </c>
      <c r="AB60" s="37"/>
    </row>
    <row r="61" spans="1:28" x14ac:dyDescent="0.3">
      <c r="A61" s="436" t="s">
        <v>150</v>
      </c>
      <c r="B61" s="445">
        <f>B59+B60</f>
        <v>146.71257031251156</v>
      </c>
      <c r="C61" s="445">
        <f t="shared" ref="C61:N61" si="44">C59+C60</f>
        <v>146.71257031251156</v>
      </c>
      <c r="D61" s="445">
        <f t="shared" si="44"/>
        <v>146.71257031251156</v>
      </c>
      <c r="E61" s="445">
        <f t="shared" si="44"/>
        <v>154.04819882813717</v>
      </c>
      <c r="F61" s="445">
        <f t="shared" si="44"/>
        <v>102.69879921875811</v>
      </c>
      <c r="G61" s="445">
        <f t="shared" si="44"/>
        <v>228.04236472488213</v>
      </c>
      <c r="H61" s="445">
        <f t="shared" si="44"/>
        <v>184.18806381625097</v>
      </c>
      <c r="I61" s="445">
        <f t="shared" si="44"/>
        <v>166.64634345279848</v>
      </c>
      <c r="J61" s="445">
        <f t="shared" si="44"/>
        <v>228.04236472488213</v>
      </c>
      <c r="K61" s="445">
        <f t="shared" si="44"/>
        <v>228.04236472488213</v>
      </c>
      <c r="L61" s="445">
        <f t="shared" si="44"/>
        <v>219.27150454315591</v>
      </c>
      <c r="M61" s="445">
        <f t="shared" si="44"/>
        <v>199.53228502871821</v>
      </c>
      <c r="N61" s="445">
        <f t="shared" si="44"/>
        <v>2150.65</v>
      </c>
      <c r="Q61" s="445">
        <f t="shared" si="21"/>
        <v>228.04236472488213</v>
      </c>
      <c r="R61" s="445">
        <f t="shared" si="22"/>
        <v>924.92707370931203</v>
      </c>
      <c r="AB61" s="37"/>
    </row>
    <row r="62" spans="1:28" ht="15" thickBot="1" x14ac:dyDescent="0.35">
      <c r="A62" s="28"/>
      <c r="B62" s="448"/>
      <c r="C62" s="448"/>
      <c r="D62" s="448"/>
      <c r="E62" s="448"/>
      <c r="F62" s="448"/>
      <c r="G62" s="448"/>
      <c r="H62" s="448"/>
      <c r="I62" s="448"/>
      <c r="J62" s="448"/>
      <c r="K62" s="448"/>
      <c r="L62" s="448"/>
      <c r="M62" s="448"/>
      <c r="N62" s="13">
        <f t="shared" si="20"/>
        <v>0</v>
      </c>
      <c r="Q62" s="448">
        <f t="shared" si="21"/>
        <v>0</v>
      </c>
      <c r="R62" s="448">
        <f t="shared" si="22"/>
        <v>0</v>
      </c>
      <c r="AB62" s="37"/>
    </row>
    <row r="63" spans="1:28" x14ac:dyDescent="0.3">
      <c r="A63" s="436" t="s">
        <v>152</v>
      </c>
      <c r="B63" s="445">
        <f>B52+B58+B61</f>
        <v>1630.1210029496772</v>
      </c>
      <c r="C63" s="445">
        <f t="shared" ref="C63:N63" si="45">C52+C58+C61</f>
        <v>1630.1210029496772</v>
      </c>
      <c r="D63" s="445">
        <f t="shared" si="45"/>
        <v>1630.1210029496772</v>
      </c>
      <c r="E63" s="445">
        <f t="shared" si="45"/>
        <v>1711.6270530971617</v>
      </c>
      <c r="F63" s="445">
        <f t="shared" si="45"/>
        <v>1141.0847020647741</v>
      </c>
      <c r="G63" s="445">
        <f t="shared" si="45"/>
        <v>2533.7750371935203</v>
      </c>
      <c r="H63" s="445">
        <f t="shared" si="45"/>
        <v>2046.5106069639974</v>
      </c>
      <c r="I63" s="445">
        <f t="shared" si="45"/>
        <v>1851.6048348721881</v>
      </c>
      <c r="J63" s="445">
        <f t="shared" si="45"/>
        <v>2533.7750371935203</v>
      </c>
      <c r="K63" s="445">
        <f t="shared" si="45"/>
        <v>2533.7750371935203</v>
      </c>
      <c r="L63" s="445">
        <f t="shared" si="45"/>
        <v>2436.3221511476163</v>
      </c>
      <c r="M63" s="445">
        <f t="shared" si="45"/>
        <v>2217.0000014246689</v>
      </c>
      <c r="N63" s="445">
        <f t="shared" si="45"/>
        <v>23895.837470000002</v>
      </c>
      <c r="Q63" s="445">
        <f t="shared" si="21"/>
        <v>2533.7750371935203</v>
      </c>
      <c r="R63" s="445">
        <f t="shared" si="22"/>
        <v>10276.849801204487</v>
      </c>
      <c r="AB63" s="37"/>
    </row>
    <row r="64" spans="1:28" x14ac:dyDescent="0.3">
      <c r="A64" s="27"/>
      <c r="B64" s="441"/>
      <c r="C64" s="441"/>
      <c r="D64" s="441"/>
      <c r="E64" s="441"/>
      <c r="F64" s="441"/>
      <c r="G64" s="441"/>
      <c r="H64" s="441"/>
      <c r="I64" s="441"/>
      <c r="J64" s="441"/>
      <c r="K64" s="441"/>
      <c r="L64" s="441"/>
      <c r="M64" s="441"/>
      <c r="N64" s="441"/>
      <c r="O64" s="442"/>
      <c r="Q64" s="443"/>
      <c r="R64" s="443"/>
      <c r="AB64" s="35"/>
    </row>
    <row r="65" spans="1:28" s="456" customFormat="1" x14ac:dyDescent="0.3">
      <c r="A65" s="460"/>
      <c r="B65" s="461"/>
      <c r="C65" s="461"/>
      <c r="D65" s="461"/>
      <c r="E65" s="461"/>
      <c r="F65" s="461"/>
      <c r="G65" s="461"/>
      <c r="H65" s="461"/>
      <c r="I65" s="461"/>
      <c r="J65" s="461"/>
      <c r="K65" s="461"/>
      <c r="L65" s="461"/>
      <c r="M65" s="461"/>
      <c r="N65" s="461"/>
      <c r="O65" s="459"/>
      <c r="Q65" s="462"/>
      <c r="R65" s="462"/>
      <c r="AB65" s="463"/>
    </row>
    <row r="66" spans="1:28" x14ac:dyDescent="0.3">
      <c r="A66" s="153" t="s">
        <v>96</v>
      </c>
      <c r="B66" s="9">
        <v>50463</v>
      </c>
      <c r="C66" s="9">
        <v>50446</v>
      </c>
      <c r="D66" s="9">
        <v>50447</v>
      </c>
      <c r="E66" s="9">
        <v>48050</v>
      </c>
      <c r="F66" s="9">
        <v>36788</v>
      </c>
      <c r="G66" s="9">
        <v>53265</v>
      </c>
      <c r="H66" s="9">
        <v>42049</v>
      </c>
      <c r="I66" s="9">
        <v>39150</v>
      </c>
      <c r="J66" s="9">
        <v>53732</v>
      </c>
      <c r="K66" s="9">
        <v>48548</v>
      </c>
      <c r="L66" s="9">
        <v>51408</v>
      </c>
      <c r="M66" s="9">
        <f>40676</f>
        <v>40676</v>
      </c>
      <c r="N66" s="501">
        <f>SUM(B66:M66)-22</f>
        <v>565000</v>
      </c>
      <c r="Q66" s="104">
        <f>SUMIFS(B66:M66,$B$2:$M$2,$X$3)</f>
        <v>53265</v>
      </c>
      <c r="R66" s="104">
        <f>SUMIFS(B66:M66,$B$1:$M$1,$Y$3)</f>
        <v>289459</v>
      </c>
    </row>
    <row r="67" spans="1:28" x14ac:dyDescent="0.3">
      <c r="A67" s="25" t="s">
        <v>199</v>
      </c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6"/>
    </row>
    <row r="69" spans="1:28" ht="23.4" x14ac:dyDescent="0.45">
      <c r="A69" s="485" t="s">
        <v>200</v>
      </c>
      <c r="B69" s="22" t="s">
        <v>167</v>
      </c>
      <c r="C69" s="22" t="s">
        <v>167</v>
      </c>
      <c r="D69" s="22" t="s">
        <v>167</v>
      </c>
      <c r="E69" s="22" t="s">
        <v>167</v>
      </c>
      <c r="F69" s="22" t="s">
        <v>167</v>
      </c>
      <c r="G69" s="22" t="s">
        <v>167</v>
      </c>
      <c r="H69" s="22" t="s">
        <v>167</v>
      </c>
      <c r="I69" s="22" t="s">
        <v>167</v>
      </c>
      <c r="J69" s="22" t="s">
        <v>167</v>
      </c>
      <c r="K69" s="22" t="s">
        <v>167</v>
      </c>
      <c r="L69" s="22" t="s">
        <v>167</v>
      </c>
      <c r="M69" s="22" t="s">
        <v>167</v>
      </c>
      <c r="N69" s="22" t="s">
        <v>167</v>
      </c>
      <c r="Q69" s="64" t="s">
        <v>179</v>
      </c>
      <c r="R69" s="64" t="s">
        <v>94</v>
      </c>
    </row>
    <row r="70" spans="1:28" x14ac:dyDescent="0.3">
      <c r="A70" s="432" t="s">
        <v>156</v>
      </c>
      <c r="B70" s="30">
        <f>$O5*B$66/1000-B37</f>
        <v>50.781267842286411</v>
      </c>
      <c r="C70" s="30">
        <f t="shared" ref="C70:M70" si="46">$O5*C$66/1000-C37</f>
        <v>50.587837066279576</v>
      </c>
      <c r="D70" s="30">
        <f t="shared" si="46"/>
        <v>50.599215347221048</v>
      </c>
      <c r="E70" s="30">
        <f t="shared" si="46"/>
        <v>-2.8445702353958495</v>
      </c>
      <c r="F70" s="30">
        <f t="shared" si="46"/>
        <v>52.203552959984336</v>
      </c>
      <c r="G70" s="30">
        <f t="shared" si="46"/>
        <v>-207.48295296977199</v>
      </c>
      <c r="H70" s="30">
        <f t="shared" si="46"/>
        <v>-178.65038906379999</v>
      </c>
      <c r="I70" s="30">
        <f t="shared" si="46"/>
        <v>-149.05548033474173</v>
      </c>
      <c r="J70" s="30">
        <f t="shared" si="46"/>
        <v>-202.1692957700526</v>
      </c>
      <c r="K70" s="30">
        <f t="shared" si="46"/>
        <v>-261.15430417122059</v>
      </c>
      <c r="L70" s="30">
        <f t="shared" si="46"/>
        <v>-197.32214808893821</v>
      </c>
      <c r="M70" s="30">
        <f t="shared" si="46"/>
        <v>-249.01367840655126</v>
      </c>
      <c r="N70" s="13">
        <f>SUM(B70:M70)</f>
        <v>-1243.5209458247009</v>
      </c>
      <c r="Q70" s="30">
        <f>SUMIFS(B70:M70,$B$2:$M$2,$X$3)</f>
        <v>-207.48295296977199</v>
      </c>
      <c r="R70" s="30">
        <f>SUMIFS(B70:M70,$B$1:$M$1,$Y$3)</f>
        <v>-6.1556499893964656</v>
      </c>
    </row>
    <row r="71" spans="1:28" x14ac:dyDescent="0.3">
      <c r="A71" s="432" t="s">
        <v>75</v>
      </c>
      <c r="B71" s="30">
        <f>$O6*B$66/1000-B38</f>
        <v>3.441676021894942</v>
      </c>
      <c r="C71" s="30">
        <f t="shared" ref="C71:M71" si="47">$O6*C$66/1000-C38</f>
        <v>3.4285663440163461</v>
      </c>
      <c r="D71" s="30">
        <f t="shared" si="47"/>
        <v>3.4293375015386118</v>
      </c>
      <c r="E71" s="30">
        <f t="shared" si="47"/>
        <v>-0.19278938056771722</v>
      </c>
      <c r="F71" s="30">
        <f t="shared" si="47"/>
        <v>3.5380707121788006</v>
      </c>
      <c r="G71" s="30">
        <f t="shared" si="47"/>
        <v>-14.062057418609513</v>
      </c>
      <c r="H71" s="30">
        <f t="shared" si="47"/>
        <v>-12.107944257175099</v>
      </c>
      <c r="I71" s="30">
        <f t="shared" si="47"/>
        <v>-10.102163541748538</v>
      </c>
      <c r="J71" s="30">
        <f t="shared" si="47"/>
        <v>-13.701926855709011</v>
      </c>
      <c r="K71" s="30">
        <f t="shared" si="47"/>
        <v>-17.699607451161249</v>
      </c>
      <c r="L71" s="30">
        <f t="shared" si="47"/>
        <v>-13.373413751221619</v>
      </c>
      <c r="M71" s="30">
        <f t="shared" si="47"/>
        <v>-16.876782374898223</v>
      </c>
      <c r="N71" s="13">
        <f>SUM(B71:M71)</f>
        <v>-84.27903445146228</v>
      </c>
      <c r="Q71" s="30">
        <f t="shared" ref="Q71:Q81" si="48">SUMIFS(B71:M71,$B$2:$M$2,$X$3)</f>
        <v>-14.062057418609513</v>
      </c>
      <c r="R71" s="30">
        <f t="shared" ref="R71:R81" si="49">SUMIFS(B71:M71,$B$1:$M$1,$Y$3)</f>
        <v>-0.41719621954852926</v>
      </c>
    </row>
    <row r="72" spans="1:28" x14ac:dyDescent="0.3">
      <c r="A72" s="433" t="s">
        <v>195</v>
      </c>
      <c r="B72" s="30">
        <f>$O7*B$66/1000-B39</f>
        <v>1.5688085912879934</v>
      </c>
      <c r="C72" s="30">
        <f t="shared" ref="C72:M72" si="50">$O7*C$66/1000-C39</f>
        <v>1.5628328471580595</v>
      </c>
      <c r="D72" s="30">
        <f t="shared" si="50"/>
        <v>1.563184361518644</v>
      </c>
      <c r="E72" s="30">
        <f t="shared" si="50"/>
        <v>-8.7878590146093671E-2</v>
      </c>
      <c r="F72" s="30">
        <f t="shared" si="50"/>
        <v>1.612747886361042</v>
      </c>
      <c r="G72" s="30">
        <f t="shared" si="50"/>
        <v>-6.409864365255789</v>
      </c>
      <c r="H72" s="30">
        <f t="shared" si="50"/>
        <v>-5.5191269755350252</v>
      </c>
      <c r="I72" s="30">
        <f t="shared" si="50"/>
        <v>-4.6048381236551101</v>
      </c>
      <c r="J72" s="30">
        <f t="shared" si="50"/>
        <v>-6.2457071588628956</v>
      </c>
      <c r="K72" s="30">
        <f t="shared" si="50"/>
        <v>-8.0679576041322143</v>
      </c>
      <c r="L72" s="30">
        <f t="shared" si="50"/>
        <v>-6.0959620412539621</v>
      </c>
      <c r="M72" s="30">
        <f t="shared" si="50"/>
        <v>-7.6928917813887043</v>
      </c>
      <c r="N72" s="13">
        <f>SUM(B72:M72)</f>
        <v>-38.416652953904055</v>
      </c>
      <c r="Q72" s="30">
        <f t="shared" si="48"/>
        <v>-6.409864365255789</v>
      </c>
      <c r="R72" s="30">
        <f t="shared" si="49"/>
        <v>-0.19016926907614362</v>
      </c>
    </row>
    <row r="73" spans="1:28" ht="15" thickBot="1" x14ac:dyDescent="0.35">
      <c r="A73" s="449" t="s">
        <v>196</v>
      </c>
      <c r="B73" s="445">
        <f>SUM(B70:B72)</f>
        <v>55.79175245546935</v>
      </c>
      <c r="C73" s="445">
        <f t="shared" ref="C73:M73" si="51">SUM(C70:C72)</f>
        <v>55.579236257453985</v>
      </c>
      <c r="D73" s="445">
        <f t="shared" si="51"/>
        <v>55.591737210278303</v>
      </c>
      <c r="E73" s="445">
        <f t="shared" si="51"/>
        <v>-3.1252382061096604</v>
      </c>
      <c r="F73" s="445">
        <f t="shared" si="51"/>
        <v>57.354371558524178</v>
      </c>
      <c r="G73" s="445">
        <f t="shared" si="51"/>
        <v>-227.95487475363731</v>
      </c>
      <c r="H73" s="445">
        <f t="shared" si="51"/>
        <v>-196.2774602965101</v>
      </c>
      <c r="I73" s="445">
        <f t="shared" si="51"/>
        <v>-163.76248200014538</v>
      </c>
      <c r="J73" s="445">
        <f t="shared" si="51"/>
        <v>-222.11692978462452</v>
      </c>
      <c r="K73" s="445">
        <f t="shared" si="51"/>
        <v>-286.92186922651405</v>
      </c>
      <c r="L73" s="445">
        <f t="shared" si="51"/>
        <v>-216.79152388141378</v>
      </c>
      <c r="M73" s="445">
        <f t="shared" si="51"/>
        <v>-273.58335256283817</v>
      </c>
      <c r="N73" s="445">
        <f>SUM(N70:N72)</f>
        <v>-1366.2166332300674</v>
      </c>
      <c r="Q73" s="445">
        <f t="shared" si="48"/>
        <v>-227.95487475363731</v>
      </c>
      <c r="R73" s="445">
        <f t="shared" si="49"/>
        <v>-6.7630154780211456</v>
      </c>
    </row>
    <row r="74" spans="1:28" x14ac:dyDescent="0.3">
      <c r="A74" s="433" t="s">
        <v>76</v>
      </c>
      <c r="B74" s="30">
        <f>$O21*B$66/1000-B53</f>
        <v>2.2334491799777858</v>
      </c>
      <c r="C74" s="30">
        <f t="shared" ref="C74:M74" si="52">$O21*C$66/1000-C53</f>
        <v>2.224941755362142</v>
      </c>
      <c r="D74" s="30">
        <f t="shared" si="52"/>
        <v>2.2254421921042358</v>
      </c>
      <c r="E74" s="30">
        <f t="shared" si="52"/>
        <v>-0.1251091855241917</v>
      </c>
      <c r="F74" s="30">
        <f t="shared" si="52"/>
        <v>2.2960037727398799</v>
      </c>
      <c r="G74" s="30">
        <f t="shared" si="52"/>
        <v>-9.1254639921341862</v>
      </c>
      <c r="H74" s="30">
        <f t="shared" si="52"/>
        <v>-7.8573572876610349</v>
      </c>
      <c r="I74" s="30">
        <f t="shared" si="52"/>
        <v>-6.5557213214673915</v>
      </c>
      <c r="J74" s="30">
        <f t="shared" si="52"/>
        <v>-8.8917600335750073</v>
      </c>
      <c r="K74" s="30">
        <f t="shared" si="52"/>
        <v>-11.486024104604546</v>
      </c>
      <c r="L74" s="30">
        <f t="shared" si="52"/>
        <v>-8.6785739814417902</v>
      </c>
      <c r="M74" s="30">
        <f t="shared" si="52"/>
        <v>-10.952058100787323</v>
      </c>
      <c r="N74" s="13">
        <f>SUM(B74:M74)</f>
        <v>-54.692231107011423</v>
      </c>
      <c r="Q74" s="30">
        <f t="shared" si="48"/>
        <v>-9.1254639921341862</v>
      </c>
      <c r="R74" s="30">
        <f t="shared" si="49"/>
        <v>-0.27073627747433449</v>
      </c>
    </row>
    <row r="75" spans="1:28" x14ac:dyDescent="0.3">
      <c r="A75" s="433" t="s">
        <v>77</v>
      </c>
      <c r="B75" s="30">
        <f>$O22*B$66/1000-B54</f>
        <v>-5.4894900000000035</v>
      </c>
      <c r="C75" s="30">
        <f t="shared" ref="C75:M75" si="53">$O22*C$66/1000-C54</f>
        <v>-5.4685800000000029</v>
      </c>
      <c r="D75" s="30">
        <f t="shared" si="53"/>
        <v>-5.4698100000000096</v>
      </c>
      <c r="E75" s="30">
        <f t="shared" si="53"/>
        <v>0.30749999999999744</v>
      </c>
      <c r="F75" s="30">
        <f t="shared" si="53"/>
        <v>-5.6432399999999987</v>
      </c>
      <c r="G75" s="30">
        <f t="shared" si="53"/>
        <v>22.429049999999989</v>
      </c>
      <c r="H75" s="30">
        <f t="shared" si="53"/>
        <v>19.312229999999992</v>
      </c>
      <c r="I75" s="30">
        <f t="shared" si="53"/>
        <v>16.112999999999992</v>
      </c>
      <c r="J75" s="30">
        <f t="shared" si="53"/>
        <v>21.854639999999989</v>
      </c>
      <c r="K75" s="30">
        <f t="shared" si="53"/>
        <v>28.230959999999996</v>
      </c>
      <c r="L75" s="30">
        <f t="shared" si="53"/>
        <v>21.330659999999995</v>
      </c>
      <c r="M75" s="30">
        <f t="shared" si="53"/>
        <v>26.918549999999996</v>
      </c>
      <c r="N75" s="13">
        <f>SUM(B75:M75)</f>
        <v>134.42546999999993</v>
      </c>
      <c r="Q75" s="30">
        <f t="shared" si="48"/>
        <v>22.429049999999989</v>
      </c>
      <c r="R75" s="30">
        <f t="shared" si="49"/>
        <v>0.66542999999997221</v>
      </c>
    </row>
    <row r="76" spans="1:28" x14ac:dyDescent="0.3">
      <c r="A76" s="433" t="s">
        <v>144</v>
      </c>
      <c r="B76" s="30">
        <f>$O23*B$66/1000-B55</f>
        <v>0</v>
      </c>
      <c r="C76" s="30">
        <f t="shared" ref="C76:M76" si="54">$O23*C$66/1000-C55</f>
        <v>0</v>
      </c>
      <c r="D76" s="30">
        <f t="shared" si="54"/>
        <v>0</v>
      </c>
      <c r="E76" s="30">
        <f t="shared" si="54"/>
        <v>0</v>
      </c>
      <c r="F76" s="30">
        <f t="shared" si="54"/>
        <v>0</v>
      </c>
      <c r="G76" s="30">
        <f t="shared" si="54"/>
        <v>0</v>
      </c>
      <c r="H76" s="30">
        <f t="shared" si="54"/>
        <v>0</v>
      </c>
      <c r="I76" s="30">
        <f t="shared" si="54"/>
        <v>0</v>
      </c>
      <c r="J76" s="30">
        <f t="shared" si="54"/>
        <v>0</v>
      </c>
      <c r="K76" s="30">
        <f t="shared" si="54"/>
        <v>0</v>
      </c>
      <c r="L76" s="30">
        <f t="shared" si="54"/>
        <v>0</v>
      </c>
      <c r="M76" s="30">
        <f t="shared" si="54"/>
        <v>0</v>
      </c>
      <c r="N76" s="13">
        <f t="shared" ref="N76" si="55">SUM(B76:M76)</f>
        <v>0</v>
      </c>
      <c r="Q76" s="30">
        <f t="shared" si="48"/>
        <v>0</v>
      </c>
      <c r="R76" s="30">
        <f t="shared" si="49"/>
        <v>0</v>
      </c>
    </row>
    <row r="77" spans="1:28" x14ac:dyDescent="0.3">
      <c r="A77" s="433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13"/>
      <c r="Q77" s="30">
        <f t="shared" si="48"/>
        <v>0</v>
      </c>
      <c r="R77" s="30">
        <f t="shared" si="49"/>
        <v>0</v>
      </c>
    </row>
    <row r="78" spans="1:28" x14ac:dyDescent="0.3">
      <c r="A78" s="433"/>
      <c r="B78" s="446"/>
      <c r="C78" s="446"/>
      <c r="D78" s="446"/>
      <c r="E78" s="446"/>
      <c r="F78" s="446"/>
      <c r="G78" s="446"/>
      <c r="H78" s="446"/>
      <c r="I78" s="446"/>
      <c r="J78" s="446"/>
      <c r="K78" s="446"/>
      <c r="L78" s="446"/>
      <c r="M78" s="446"/>
      <c r="N78" s="13"/>
      <c r="Q78" s="446">
        <f t="shared" si="48"/>
        <v>0</v>
      </c>
      <c r="R78" s="446">
        <f t="shared" si="49"/>
        <v>0</v>
      </c>
    </row>
    <row r="79" spans="1:28" x14ac:dyDescent="0.3">
      <c r="A79" s="436" t="s">
        <v>146</v>
      </c>
      <c r="B79" s="445">
        <f>SUM(B74:B78)</f>
        <v>-3.2560408200222177</v>
      </c>
      <c r="C79" s="445">
        <f>SUM(C74:C78)</f>
        <v>-3.2436382446378609</v>
      </c>
      <c r="D79" s="445">
        <f t="shared" ref="D79" si="56">SUM(D74:D78)</f>
        <v>-3.2443678078957738</v>
      </c>
      <c r="E79" s="445">
        <f t="shared" ref="E79" si="57">SUM(E74:E78)</f>
        <v>0.18239081447580574</v>
      </c>
      <c r="F79" s="445">
        <f t="shared" ref="F79" si="58">SUM(F74:F78)</f>
        <v>-3.3472362272601188</v>
      </c>
      <c r="G79" s="445">
        <f t="shared" ref="G79" si="59">SUM(G74:G78)</f>
        <v>13.303586007865803</v>
      </c>
      <c r="H79" s="445">
        <f t="shared" ref="H79" si="60">SUM(H74:H78)</f>
        <v>11.454872712338958</v>
      </c>
      <c r="I79" s="445">
        <f t="shared" ref="I79" si="61">SUM(I74:I78)</f>
        <v>9.5572786785326009</v>
      </c>
      <c r="J79" s="445">
        <f t="shared" ref="J79" si="62">SUM(J74:J78)</f>
        <v>12.962879966424982</v>
      </c>
      <c r="K79" s="445">
        <f t="shared" ref="K79" si="63">SUM(K74:K78)</f>
        <v>16.74493589539545</v>
      </c>
      <c r="L79" s="445">
        <f t="shared" ref="L79" si="64">SUM(L74:L78)</f>
        <v>12.652086018558204</v>
      </c>
      <c r="M79" s="445">
        <f t="shared" ref="M79" si="65">SUM(M74:M78)</f>
        <v>15.966491899212674</v>
      </c>
      <c r="N79" s="445">
        <f t="shared" ref="N79" si="66">SUM(N74:N78)</f>
        <v>79.73323889298851</v>
      </c>
      <c r="Q79" s="445">
        <f t="shared" si="48"/>
        <v>13.303586007865803</v>
      </c>
      <c r="R79" s="445">
        <f t="shared" si="49"/>
        <v>0.39469372252563772</v>
      </c>
    </row>
    <row r="80" spans="1:28" ht="15" thickBot="1" x14ac:dyDescent="0.35">
      <c r="A80" s="28"/>
      <c r="B80" s="448"/>
      <c r="C80" s="448"/>
      <c r="D80" s="448"/>
      <c r="E80" s="448"/>
      <c r="F80" s="448"/>
      <c r="G80" s="448"/>
      <c r="H80" s="448"/>
      <c r="I80" s="448"/>
      <c r="J80" s="448"/>
      <c r="K80" s="448"/>
      <c r="L80" s="448"/>
      <c r="M80" s="448"/>
      <c r="N80" s="13">
        <f t="shared" ref="N80" si="67">SUM(B80:M80)</f>
        <v>0</v>
      </c>
      <c r="Q80" s="448">
        <f t="shared" si="48"/>
        <v>0</v>
      </c>
      <c r="R80" s="448">
        <f t="shared" si="49"/>
        <v>0</v>
      </c>
    </row>
    <row r="81" spans="1:18" x14ac:dyDescent="0.3">
      <c r="A81" s="436" t="s">
        <v>152</v>
      </c>
      <c r="B81" s="445">
        <f>B73+B79</f>
        <v>52.535711635447129</v>
      </c>
      <c r="C81" s="445">
        <f t="shared" ref="C81:M81" si="68">C73+C79</f>
        <v>52.335598012816121</v>
      </c>
      <c r="D81" s="445">
        <f t="shared" si="68"/>
        <v>52.347369402382526</v>
      </c>
      <c r="E81" s="445">
        <f t="shared" si="68"/>
        <v>-2.9428473916338547</v>
      </c>
      <c r="F81" s="445">
        <f t="shared" si="68"/>
        <v>54.00713533126406</v>
      </c>
      <c r="G81" s="445">
        <f t="shared" si="68"/>
        <v>-214.65128874577152</v>
      </c>
      <c r="H81" s="445">
        <f t="shared" si="68"/>
        <v>-184.82258758417115</v>
      </c>
      <c r="I81" s="445">
        <f t="shared" si="68"/>
        <v>-154.20520332161277</v>
      </c>
      <c r="J81" s="445">
        <f t="shared" si="68"/>
        <v>-209.15404981819952</v>
      </c>
      <c r="K81" s="445">
        <f t="shared" si="68"/>
        <v>-270.17693333111862</v>
      </c>
      <c r="L81" s="445">
        <f t="shared" si="68"/>
        <v>-204.13943786285557</v>
      </c>
      <c r="M81" s="445">
        <f t="shared" si="68"/>
        <v>-257.61686066362552</v>
      </c>
      <c r="N81" s="445">
        <f>N73+N79</f>
        <v>-1286.4833943370788</v>
      </c>
      <c r="Q81" s="445">
        <f t="shared" si="48"/>
        <v>-214.65128874577152</v>
      </c>
      <c r="R81" s="445">
        <f t="shared" si="49"/>
        <v>-6.3683217554955149</v>
      </c>
    </row>
    <row r="83" spans="1:18" s="456" customFormat="1" x14ac:dyDescent="0.3">
      <c r="O83" s="459"/>
    </row>
    <row r="85" spans="1:18" ht="23.4" x14ac:dyDescent="0.45">
      <c r="A85" s="485" t="s">
        <v>201</v>
      </c>
      <c r="B85" s="1" t="s">
        <v>0</v>
      </c>
      <c r="C85" s="1" t="s">
        <v>1</v>
      </c>
      <c r="D85" s="1" t="s">
        <v>2</v>
      </c>
      <c r="E85" s="1" t="s">
        <v>3</v>
      </c>
      <c r="F85" s="1" t="s">
        <v>4</v>
      </c>
      <c r="G85" s="1" t="s">
        <v>5</v>
      </c>
      <c r="H85" s="1" t="s">
        <v>6</v>
      </c>
      <c r="I85" s="1" t="s">
        <v>7</v>
      </c>
      <c r="J85" s="1" t="s">
        <v>8</v>
      </c>
      <c r="K85" s="1" t="s">
        <v>9</v>
      </c>
      <c r="L85" s="1" t="s">
        <v>10</v>
      </c>
      <c r="M85" s="1" t="s">
        <v>11</v>
      </c>
      <c r="N85" s="1" t="s">
        <v>12</v>
      </c>
      <c r="Q85" s="64" t="s">
        <v>179</v>
      </c>
      <c r="R85" s="64" t="s">
        <v>94</v>
      </c>
    </row>
    <row r="86" spans="1:18" x14ac:dyDescent="0.3">
      <c r="A86" s="432" t="s">
        <v>156</v>
      </c>
      <c r="B86" s="30">
        <f>B37+B70</f>
        <v>574.18219115511977</v>
      </c>
      <c r="C86" s="30">
        <f t="shared" ref="C86:M86" si="69">C37+C70</f>
        <v>573.98876037911293</v>
      </c>
      <c r="D86" s="30">
        <f t="shared" si="69"/>
        <v>574.0001386600544</v>
      </c>
      <c r="E86" s="30">
        <f t="shared" si="69"/>
        <v>546.72639924307919</v>
      </c>
      <c r="F86" s="30">
        <f t="shared" si="69"/>
        <v>418.58419927896767</v>
      </c>
      <c r="G86" s="30">
        <f t="shared" si="69"/>
        <v>606.06413435343632</v>
      </c>
      <c r="H86" s="30">
        <f t="shared" si="69"/>
        <v>478.44533531263761</v>
      </c>
      <c r="I86" s="30">
        <f t="shared" si="69"/>
        <v>445.45969886298752</v>
      </c>
      <c r="J86" s="30">
        <f t="shared" si="69"/>
        <v>611.3777915531557</v>
      </c>
      <c r="K86" s="30">
        <f t="shared" si="69"/>
        <v>552.39278315198771</v>
      </c>
      <c r="L86" s="30">
        <f t="shared" si="69"/>
        <v>584.93466664491609</v>
      </c>
      <c r="M86" s="30">
        <f t="shared" si="69"/>
        <v>462.82295557984372</v>
      </c>
      <c r="N86" s="13">
        <f t="shared" ref="N86:N88" si="70">SUM(B86:M86)</f>
        <v>6428.9790541752982</v>
      </c>
      <c r="Q86" s="30">
        <f>SUMIFS(B86:M86,$B$2:$M$2,$X$3)</f>
        <v>606.06413435343632</v>
      </c>
      <c r="R86" s="30">
        <f t="shared" ref="R86" si="71">SUMIFS(B86:M86,$B$1:$M$1,$Y$3)</f>
        <v>3293.54582306977</v>
      </c>
    </row>
    <row r="87" spans="1:18" x14ac:dyDescent="0.3">
      <c r="A87" s="432" t="s">
        <v>75</v>
      </c>
      <c r="B87" s="30">
        <f t="shared" ref="B87:M87" si="72">B38+B71</f>
        <v>38.914922046355457</v>
      </c>
      <c r="C87" s="30">
        <f t="shared" si="72"/>
        <v>38.901812368476861</v>
      </c>
      <c r="D87" s="30">
        <f t="shared" si="72"/>
        <v>38.902583525999127</v>
      </c>
      <c r="E87" s="30">
        <f t="shared" si="72"/>
        <v>37.054118945115825</v>
      </c>
      <c r="F87" s="30">
        <f t="shared" si="72"/>
        <v>28.369342929301165</v>
      </c>
      <c r="G87" s="30">
        <f t="shared" si="72"/>
        <v>41.075705423758464</v>
      </c>
      <c r="H87" s="30">
        <f t="shared" si="72"/>
        <v>32.426402653968267</v>
      </c>
      <c r="I87" s="30">
        <f t="shared" si="72"/>
        <v>30.190816996904985</v>
      </c>
      <c r="J87" s="30">
        <f t="shared" si="72"/>
        <v>41.435835986658965</v>
      </c>
      <c r="K87" s="30">
        <f t="shared" si="72"/>
        <v>37.438155391206728</v>
      </c>
      <c r="L87" s="30">
        <f t="shared" si="72"/>
        <v>39.643665904901439</v>
      </c>
      <c r="M87" s="30">
        <f t="shared" si="72"/>
        <v>31.367603375890351</v>
      </c>
      <c r="N87" s="13">
        <f t="shared" si="70"/>
        <v>435.72096554853761</v>
      </c>
      <c r="Q87" s="30">
        <f t="shared" ref="Q87:Q112" si="73">SUMIFS(B87:M87,$B$2:$M$2,$X$3)</f>
        <v>41.075705423758464</v>
      </c>
      <c r="R87" s="30">
        <f t="shared" ref="R87:R112" si="74">SUMIFS(B87:M87,$B$1:$M$1,$Y$3)</f>
        <v>223.2184852390069</v>
      </c>
    </row>
    <row r="88" spans="1:18" x14ac:dyDescent="0.3">
      <c r="A88" s="433" t="s">
        <v>195</v>
      </c>
      <c r="B88" s="30">
        <f t="shared" ref="B88:M88" si="75">B39+B72</f>
        <v>17.738469178168526</v>
      </c>
      <c r="C88" s="30">
        <f t="shared" si="75"/>
        <v>17.732493434038592</v>
      </c>
      <c r="D88" s="30">
        <f t="shared" si="75"/>
        <v>17.732844948399176</v>
      </c>
      <c r="E88" s="30">
        <f t="shared" si="75"/>
        <v>16.890265026078467</v>
      </c>
      <c r="F88" s="30">
        <f t="shared" si="75"/>
        <v>12.931510297177413</v>
      </c>
      <c r="G88" s="30">
        <f t="shared" si="75"/>
        <v>18.723412416525903</v>
      </c>
      <c r="H88" s="30">
        <f t="shared" si="75"/>
        <v>14.780827348211728</v>
      </c>
      <c r="I88" s="30">
        <f t="shared" si="75"/>
        <v>13.761787216877668</v>
      </c>
      <c r="J88" s="30">
        <f t="shared" si="75"/>
        <v>18.887569622918797</v>
      </c>
      <c r="K88" s="30">
        <f t="shared" si="75"/>
        <v>17.065319177649478</v>
      </c>
      <c r="L88" s="30">
        <f t="shared" si="75"/>
        <v>18.070650248920746</v>
      </c>
      <c r="M88" s="30">
        <f t="shared" si="75"/>
        <v>14.298198131129402</v>
      </c>
      <c r="N88" s="13">
        <f t="shared" si="70"/>
        <v>198.6133470460959</v>
      </c>
      <c r="Q88" s="30">
        <f t="shared" si="73"/>
        <v>18.723412416525903</v>
      </c>
      <c r="R88" s="30">
        <f t="shared" si="74"/>
        <v>101.74899530038807</v>
      </c>
    </row>
    <row r="89" spans="1:18" ht="15" thickBot="1" x14ac:dyDescent="0.35">
      <c r="A89" s="435" t="s">
        <v>196</v>
      </c>
      <c r="B89" s="444">
        <f>SUM(B86:B88)</f>
        <v>630.83558237964371</v>
      </c>
      <c r="C89" s="444">
        <f t="shared" ref="C89:N89" si="76">SUM(C86:C88)</f>
        <v>630.62306618162836</v>
      </c>
      <c r="D89" s="444">
        <f t="shared" si="76"/>
        <v>630.63556713445269</v>
      </c>
      <c r="E89" s="444">
        <f t="shared" si="76"/>
        <v>600.67078321427357</v>
      </c>
      <c r="F89" s="444">
        <f t="shared" si="76"/>
        <v>459.88505250544625</v>
      </c>
      <c r="G89" s="444">
        <f t="shared" si="76"/>
        <v>665.86325219372065</v>
      </c>
      <c r="H89" s="444">
        <f t="shared" si="76"/>
        <v>525.65256531481759</v>
      </c>
      <c r="I89" s="444">
        <f t="shared" si="76"/>
        <v>489.41230307677017</v>
      </c>
      <c r="J89" s="444">
        <f t="shared" si="76"/>
        <v>671.70119716273348</v>
      </c>
      <c r="K89" s="444">
        <f t="shared" si="76"/>
        <v>606.89625772084389</v>
      </c>
      <c r="L89" s="444">
        <f t="shared" si="76"/>
        <v>642.6489827987383</v>
      </c>
      <c r="M89" s="444">
        <f t="shared" si="76"/>
        <v>508.48875708686347</v>
      </c>
      <c r="N89" s="444">
        <f t="shared" si="76"/>
        <v>7063.3133667699312</v>
      </c>
      <c r="Q89" s="444">
        <f t="shared" si="73"/>
        <v>665.86325219372065</v>
      </c>
      <c r="R89" s="444">
        <f t="shared" si="74"/>
        <v>3618.5133036091652</v>
      </c>
    </row>
    <row r="90" spans="1:18" x14ac:dyDescent="0.3">
      <c r="A90" s="434" t="s">
        <v>80</v>
      </c>
      <c r="B90" s="30">
        <f>B41</f>
        <v>205.291860877251</v>
      </c>
      <c r="C90" s="30">
        <f t="shared" ref="C90:M90" si="77">C41</f>
        <v>205.291860877251</v>
      </c>
      <c r="D90" s="30">
        <f t="shared" si="77"/>
        <v>205.291860877251</v>
      </c>
      <c r="E90" s="30">
        <f t="shared" si="77"/>
        <v>215.55645392111353</v>
      </c>
      <c r="F90" s="30">
        <f t="shared" si="77"/>
        <v>143.70430261407569</v>
      </c>
      <c r="G90" s="30">
        <f t="shared" si="77"/>
        <v>319.09495766790099</v>
      </c>
      <c r="H90" s="30">
        <f t="shared" si="77"/>
        <v>257.73054273176621</v>
      </c>
      <c r="I90" s="30">
        <f t="shared" si="77"/>
        <v>233.18477675731228</v>
      </c>
      <c r="J90" s="30">
        <f t="shared" si="77"/>
        <v>319.09495766790099</v>
      </c>
      <c r="K90" s="30">
        <f t="shared" si="77"/>
        <v>319.09495766790099</v>
      </c>
      <c r="L90" s="30">
        <f t="shared" si="77"/>
        <v>306.82207468067401</v>
      </c>
      <c r="M90" s="30">
        <f t="shared" si="77"/>
        <v>279.20139365960216</v>
      </c>
      <c r="N90" s="13">
        <f t="shared" ref="N90:N95" si="78">SUM(B90:M90)</f>
        <v>3009.36</v>
      </c>
      <c r="Q90" s="30">
        <f t="shared" si="73"/>
        <v>319.09495766790099</v>
      </c>
      <c r="R90" s="30">
        <f t="shared" si="74"/>
        <v>1294.2312968348433</v>
      </c>
    </row>
    <row r="91" spans="1:18" x14ac:dyDescent="0.3">
      <c r="A91" s="433" t="s">
        <v>81</v>
      </c>
      <c r="B91" s="30">
        <f t="shared" ref="B91:M91" si="79">B42</f>
        <v>74.257783129742805</v>
      </c>
      <c r="C91" s="30">
        <f t="shared" si="79"/>
        <v>74.257783129742805</v>
      </c>
      <c r="D91" s="30">
        <f t="shared" si="79"/>
        <v>74.257783129742805</v>
      </c>
      <c r="E91" s="30">
        <f t="shared" si="79"/>
        <v>77.970672286229956</v>
      </c>
      <c r="F91" s="30">
        <f t="shared" si="79"/>
        <v>51.980448190819963</v>
      </c>
      <c r="G91" s="30">
        <f t="shared" si="79"/>
        <v>115.42242377775241</v>
      </c>
      <c r="H91" s="30">
        <f t="shared" si="79"/>
        <v>93.225803820492317</v>
      </c>
      <c r="I91" s="30">
        <f t="shared" si="79"/>
        <v>84.347155837588289</v>
      </c>
      <c r="J91" s="30">
        <f t="shared" si="79"/>
        <v>115.42242377775241</v>
      </c>
      <c r="K91" s="30">
        <f t="shared" si="79"/>
        <v>115.42242377775241</v>
      </c>
      <c r="L91" s="30">
        <f t="shared" si="79"/>
        <v>110.98309978630039</v>
      </c>
      <c r="M91" s="30">
        <f t="shared" si="79"/>
        <v>100.99219935608346</v>
      </c>
      <c r="N91" s="13">
        <f t="shared" si="78"/>
        <v>1088.54</v>
      </c>
      <c r="Q91" s="30">
        <f t="shared" si="73"/>
        <v>115.42242377775241</v>
      </c>
      <c r="R91" s="30">
        <f t="shared" si="74"/>
        <v>468.1468936440308</v>
      </c>
    </row>
    <row r="92" spans="1:18" x14ac:dyDescent="0.3">
      <c r="A92" s="433" t="s">
        <v>82</v>
      </c>
      <c r="B92" s="30">
        <f t="shared" ref="B92:M92" si="80">B43</f>
        <v>143.36580598566533</v>
      </c>
      <c r="C92" s="30">
        <f t="shared" si="80"/>
        <v>143.36580598566533</v>
      </c>
      <c r="D92" s="30">
        <f t="shared" si="80"/>
        <v>143.36580598566533</v>
      </c>
      <c r="E92" s="30">
        <f t="shared" si="80"/>
        <v>150.53409628494862</v>
      </c>
      <c r="F92" s="30">
        <f t="shared" si="80"/>
        <v>100.35606418996574</v>
      </c>
      <c r="G92" s="30">
        <f t="shared" si="80"/>
        <v>222.8403288690233</v>
      </c>
      <c r="H92" s="30">
        <f t="shared" si="80"/>
        <v>179.98641947113421</v>
      </c>
      <c r="I92" s="30">
        <f t="shared" si="80"/>
        <v>162.84485571197857</v>
      </c>
      <c r="J92" s="30">
        <f t="shared" si="80"/>
        <v>222.8403288690233</v>
      </c>
      <c r="K92" s="30">
        <f t="shared" si="80"/>
        <v>222.8403288690233</v>
      </c>
      <c r="L92" s="30">
        <f t="shared" si="80"/>
        <v>214.26954698944544</v>
      </c>
      <c r="M92" s="30">
        <f t="shared" si="80"/>
        <v>194.98061278846106</v>
      </c>
      <c r="N92" s="13">
        <f t="shared" si="78"/>
        <v>2101.5899999999997</v>
      </c>
      <c r="Q92" s="30">
        <f t="shared" si="73"/>
        <v>222.8403288690233</v>
      </c>
      <c r="R92" s="30">
        <f t="shared" si="74"/>
        <v>903.8279073009337</v>
      </c>
    </row>
    <row r="93" spans="1:18" x14ac:dyDescent="0.3">
      <c r="A93" s="433" t="s">
        <v>83</v>
      </c>
      <c r="B93" s="30">
        <f t="shared" ref="B93:M93" si="81">B44</f>
        <v>9.1207172951353304</v>
      </c>
      <c r="C93" s="30">
        <f t="shared" si="81"/>
        <v>9.1207172951353304</v>
      </c>
      <c r="D93" s="30">
        <f t="shared" si="81"/>
        <v>9.1207172951353304</v>
      </c>
      <c r="E93" s="30">
        <f t="shared" si="81"/>
        <v>9.5767531598920961</v>
      </c>
      <c r="F93" s="30">
        <f t="shared" si="81"/>
        <v>6.3845021065947307</v>
      </c>
      <c r="G93" s="30">
        <f t="shared" si="81"/>
        <v>14.176767100047305</v>
      </c>
      <c r="H93" s="30">
        <f t="shared" si="81"/>
        <v>11.450465734653593</v>
      </c>
      <c r="I93" s="30">
        <f t="shared" si="81"/>
        <v>10.359945188496107</v>
      </c>
      <c r="J93" s="30">
        <f t="shared" si="81"/>
        <v>14.176767100047305</v>
      </c>
      <c r="K93" s="30">
        <f t="shared" si="81"/>
        <v>14.176767100047305</v>
      </c>
      <c r="L93" s="30">
        <f t="shared" si="81"/>
        <v>13.631506826968563</v>
      </c>
      <c r="M93" s="30">
        <f t="shared" si="81"/>
        <v>12.404373797846985</v>
      </c>
      <c r="N93" s="13">
        <f t="shared" si="78"/>
        <v>133.69999999999996</v>
      </c>
      <c r="Q93" s="30">
        <f t="shared" si="73"/>
        <v>14.176767100047305</v>
      </c>
      <c r="R93" s="30">
        <f t="shared" si="74"/>
        <v>57.500174251940123</v>
      </c>
    </row>
    <row r="94" spans="1:18" x14ac:dyDescent="0.3">
      <c r="A94" s="433" t="s">
        <v>84</v>
      </c>
      <c r="B94" s="30">
        <f>B45</f>
        <v>32.000366121863642</v>
      </c>
      <c r="C94" s="30">
        <f t="shared" ref="C94:M94" si="82">C45</f>
        <v>32.000366121863642</v>
      </c>
      <c r="D94" s="30">
        <f t="shared" si="82"/>
        <v>32.000366121863642</v>
      </c>
      <c r="E94" s="30">
        <f t="shared" si="82"/>
        <v>33.600384427956826</v>
      </c>
      <c r="F94" s="30">
        <f t="shared" si="82"/>
        <v>22.40025628530455</v>
      </c>
      <c r="G94" s="30">
        <f t="shared" si="82"/>
        <v>49.73969951550545</v>
      </c>
      <c r="H94" s="30">
        <f t="shared" si="82"/>
        <v>40.174372685600552</v>
      </c>
      <c r="I94" s="30">
        <f t="shared" si="82"/>
        <v>36.348241953638592</v>
      </c>
      <c r="J94" s="30">
        <f t="shared" si="82"/>
        <v>49.73969951550545</v>
      </c>
      <c r="K94" s="30">
        <f t="shared" si="82"/>
        <v>49.73969951550545</v>
      </c>
      <c r="L94" s="30">
        <f t="shared" si="82"/>
        <v>47.826634149524466</v>
      </c>
      <c r="M94" s="30">
        <f t="shared" si="82"/>
        <v>43.521193585867636</v>
      </c>
      <c r="N94" s="13">
        <f t="shared" si="78"/>
        <v>469.09127999999987</v>
      </c>
      <c r="Q94" s="30">
        <f t="shared" si="73"/>
        <v>49.73969951550545</v>
      </c>
      <c r="R94" s="30">
        <f t="shared" si="74"/>
        <v>201.74143859435776</v>
      </c>
    </row>
    <row r="95" spans="1:18" x14ac:dyDescent="0.3">
      <c r="A95" s="433" t="s">
        <v>86</v>
      </c>
      <c r="B95" s="30">
        <f t="shared" ref="B95:M95" si="83">B46</f>
        <v>125.28657683420116</v>
      </c>
      <c r="C95" s="30">
        <f t="shared" si="83"/>
        <v>125.28657683420116</v>
      </c>
      <c r="D95" s="30">
        <f t="shared" si="83"/>
        <v>125.28657683420116</v>
      </c>
      <c r="E95" s="30">
        <f t="shared" si="83"/>
        <v>131.5509056759112</v>
      </c>
      <c r="F95" s="30">
        <f t="shared" si="83"/>
        <v>87.700603783940807</v>
      </c>
      <c r="G95" s="30">
        <f t="shared" si="83"/>
        <v>194.73891834011701</v>
      </c>
      <c r="H95" s="30">
        <f t="shared" si="83"/>
        <v>157.28912635163297</v>
      </c>
      <c r="I95" s="30">
        <f t="shared" si="83"/>
        <v>142.30920955623935</v>
      </c>
      <c r="J95" s="30">
        <f t="shared" si="83"/>
        <v>194.73891834011701</v>
      </c>
      <c r="K95" s="30">
        <f t="shared" si="83"/>
        <v>194.73891834011701</v>
      </c>
      <c r="L95" s="30">
        <f t="shared" si="83"/>
        <v>187.24895994242019</v>
      </c>
      <c r="M95" s="30">
        <f t="shared" si="83"/>
        <v>170.3924681157491</v>
      </c>
      <c r="N95" s="13">
        <f t="shared" si="78"/>
        <v>1836.567758948848</v>
      </c>
      <c r="Q95" s="30">
        <f t="shared" si="73"/>
        <v>194.73891834011701</v>
      </c>
      <c r="R95" s="30">
        <f t="shared" si="74"/>
        <v>789.85015830257248</v>
      </c>
    </row>
    <row r="96" spans="1:18" ht="15" thickBot="1" x14ac:dyDescent="0.35">
      <c r="A96" s="435" t="s">
        <v>197</v>
      </c>
      <c r="B96" s="444">
        <f>SUM(B90:B95)</f>
        <v>589.32311024385922</v>
      </c>
      <c r="C96" s="444">
        <f t="shared" ref="C96:N96" si="84">SUM(C90:C95)</f>
        <v>589.32311024385922</v>
      </c>
      <c r="D96" s="444">
        <f t="shared" si="84"/>
        <v>589.32311024385922</v>
      </c>
      <c r="E96" s="444">
        <f t="shared" si="84"/>
        <v>618.78926575605226</v>
      </c>
      <c r="F96" s="444">
        <f t="shared" si="84"/>
        <v>412.52617717070143</v>
      </c>
      <c r="G96" s="444">
        <f t="shared" si="84"/>
        <v>916.01309527034653</v>
      </c>
      <c r="H96" s="444">
        <f t="shared" si="84"/>
        <v>739.85673079527987</v>
      </c>
      <c r="I96" s="444">
        <f t="shared" si="84"/>
        <v>669.39418500525323</v>
      </c>
      <c r="J96" s="444">
        <f t="shared" si="84"/>
        <v>916.01309527034653</v>
      </c>
      <c r="K96" s="444">
        <f t="shared" si="84"/>
        <v>916.01309527034653</v>
      </c>
      <c r="L96" s="444">
        <f t="shared" si="84"/>
        <v>880.78182237533315</v>
      </c>
      <c r="M96" s="444">
        <f t="shared" si="84"/>
        <v>801.49224130361051</v>
      </c>
      <c r="N96" s="444">
        <f t="shared" si="84"/>
        <v>8638.849038948847</v>
      </c>
      <c r="Q96" s="444">
        <f t="shared" si="73"/>
        <v>916.01309527034653</v>
      </c>
      <c r="R96" s="444">
        <f t="shared" si="74"/>
        <v>3715.2978689286779</v>
      </c>
    </row>
    <row r="97" spans="1:18" x14ac:dyDescent="0.3">
      <c r="A97" s="436" t="s">
        <v>88</v>
      </c>
      <c r="B97" s="445">
        <f>B89+B96</f>
        <v>1220.1586926235029</v>
      </c>
      <c r="C97" s="445">
        <f t="shared" ref="C97:N97" si="85">C89+C96</f>
        <v>1219.9461764254875</v>
      </c>
      <c r="D97" s="445">
        <f t="shared" si="85"/>
        <v>1219.9586773783119</v>
      </c>
      <c r="E97" s="445">
        <f t="shared" si="85"/>
        <v>1219.4600489703257</v>
      </c>
      <c r="F97" s="445">
        <f t="shared" si="85"/>
        <v>872.41122967614774</v>
      </c>
      <c r="G97" s="445">
        <f t="shared" si="85"/>
        <v>1581.8763474640673</v>
      </c>
      <c r="H97" s="445">
        <f t="shared" si="85"/>
        <v>1265.5092961100975</v>
      </c>
      <c r="I97" s="445">
        <f t="shared" si="85"/>
        <v>1158.8064880820234</v>
      </c>
      <c r="J97" s="445">
        <f t="shared" si="85"/>
        <v>1587.7142924330801</v>
      </c>
      <c r="K97" s="445">
        <f t="shared" si="85"/>
        <v>1522.9093529911904</v>
      </c>
      <c r="L97" s="445">
        <f t="shared" si="85"/>
        <v>1523.4308051740713</v>
      </c>
      <c r="M97" s="445">
        <f t="shared" si="85"/>
        <v>1309.980998390474</v>
      </c>
      <c r="N97" s="445">
        <f t="shared" si="85"/>
        <v>15702.162405718778</v>
      </c>
      <c r="Q97" s="445">
        <f t="shared" si="73"/>
        <v>1581.8763474640673</v>
      </c>
      <c r="R97" s="445">
        <f t="shared" si="74"/>
        <v>7333.811172537843</v>
      </c>
    </row>
    <row r="98" spans="1:18" x14ac:dyDescent="0.3">
      <c r="A98" s="433" t="s">
        <v>89</v>
      </c>
      <c r="B98" s="446">
        <f>B49</f>
        <v>8.2249305142582578</v>
      </c>
      <c r="C98" s="446">
        <f t="shared" ref="C98:M98" si="86">C49</f>
        <v>8.2249305142582578</v>
      </c>
      <c r="D98" s="446">
        <f t="shared" si="86"/>
        <v>8.2249305142582578</v>
      </c>
      <c r="E98" s="446">
        <f t="shared" si="86"/>
        <v>8.6361770399711695</v>
      </c>
      <c r="F98" s="446">
        <f t="shared" si="86"/>
        <v>5.7574513599807808</v>
      </c>
      <c r="G98" s="446">
        <f t="shared" si="86"/>
        <v>12.784402864553597</v>
      </c>
      <c r="H98" s="446">
        <f t="shared" si="86"/>
        <v>10.325863852139442</v>
      </c>
      <c r="I98" s="446">
        <f t="shared" si="86"/>
        <v>9.3424482471737811</v>
      </c>
      <c r="J98" s="446">
        <f t="shared" si="86"/>
        <v>12.784402864553597</v>
      </c>
      <c r="K98" s="446">
        <f t="shared" si="86"/>
        <v>12.784402864553597</v>
      </c>
      <c r="L98" s="446">
        <f t="shared" si="86"/>
        <v>12.292695062070765</v>
      </c>
      <c r="M98" s="446">
        <f t="shared" si="86"/>
        <v>11.186084302228497</v>
      </c>
      <c r="N98" s="13">
        <f t="shared" ref="N98" si="87">SUM(B98:M98)</f>
        <v>120.56872</v>
      </c>
      <c r="Q98" s="446">
        <f t="shared" si="73"/>
        <v>12.784402864553597</v>
      </c>
      <c r="R98" s="446">
        <f t="shared" si="74"/>
        <v>51.852822807280319</v>
      </c>
    </row>
    <row r="99" spans="1:18" x14ac:dyDescent="0.3">
      <c r="A99" s="436" t="s">
        <v>90</v>
      </c>
      <c r="B99" s="445">
        <f>B97+B98</f>
        <v>1228.3836231377611</v>
      </c>
      <c r="C99" s="445">
        <f t="shared" ref="C99:N99" si="88">C97+C98</f>
        <v>1228.1711069397456</v>
      </c>
      <c r="D99" s="445">
        <f t="shared" si="88"/>
        <v>1228.1836078925701</v>
      </c>
      <c r="E99" s="445">
        <f t="shared" si="88"/>
        <v>1228.096226010297</v>
      </c>
      <c r="F99" s="445">
        <f t="shared" si="88"/>
        <v>878.16868103612853</v>
      </c>
      <c r="G99" s="445">
        <f t="shared" si="88"/>
        <v>1594.6607503286209</v>
      </c>
      <c r="H99" s="445">
        <f t="shared" si="88"/>
        <v>1275.835159962237</v>
      </c>
      <c r="I99" s="445">
        <f t="shared" si="88"/>
        <v>1168.1489363291971</v>
      </c>
      <c r="J99" s="445">
        <f t="shared" si="88"/>
        <v>1600.4986952976337</v>
      </c>
      <c r="K99" s="445">
        <f t="shared" si="88"/>
        <v>1535.693755855744</v>
      </c>
      <c r="L99" s="445">
        <f t="shared" si="88"/>
        <v>1535.7235002361422</v>
      </c>
      <c r="M99" s="445">
        <f t="shared" si="88"/>
        <v>1321.1670826927025</v>
      </c>
      <c r="N99" s="445">
        <f t="shared" si="88"/>
        <v>15822.731125718778</v>
      </c>
      <c r="Q99" s="445">
        <f t="shared" si="73"/>
        <v>1594.6607503286209</v>
      </c>
      <c r="R99" s="445">
        <f t="shared" si="74"/>
        <v>7385.6639953451231</v>
      </c>
    </row>
    <row r="100" spans="1:18" x14ac:dyDescent="0.3">
      <c r="A100" s="433" t="s">
        <v>91</v>
      </c>
      <c r="B100" s="446">
        <f>B51</f>
        <v>344.37647181842351</v>
      </c>
      <c r="C100" s="446">
        <f t="shared" ref="C100:M100" si="89">C51</f>
        <v>344.37647181842351</v>
      </c>
      <c r="D100" s="446">
        <f t="shared" si="89"/>
        <v>344.37647181842351</v>
      </c>
      <c r="E100" s="446">
        <f t="shared" si="89"/>
        <v>361.59529540934471</v>
      </c>
      <c r="F100" s="446">
        <f t="shared" si="89"/>
        <v>241.06353027289646</v>
      </c>
      <c r="G100" s="446">
        <f t="shared" si="89"/>
        <v>535.28082032646262</v>
      </c>
      <c r="H100" s="446">
        <f t="shared" si="89"/>
        <v>432.3422010329121</v>
      </c>
      <c r="I100" s="446">
        <f t="shared" si="89"/>
        <v>391.16675331549197</v>
      </c>
      <c r="J100" s="446">
        <f t="shared" si="89"/>
        <v>535.28082032646262</v>
      </c>
      <c r="K100" s="446">
        <f t="shared" si="89"/>
        <v>535.28082032646262</v>
      </c>
      <c r="L100" s="446">
        <f t="shared" si="89"/>
        <v>514.69309646775253</v>
      </c>
      <c r="M100" s="446">
        <f t="shared" si="89"/>
        <v>468.35948811809556</v>
      </c>
      <c r="N100" s="13">
        <f t="shared" ref="N100" si="90">SUM(B100:M100)</f>
        <v>5048.1922410511515</v>
      </c>
      <c r="Q100" s="446">
        <f t="shared" si="73"/>
        <v>535.28082032646262</v>
      </c>
      <c r="R100" s="446">
        <f t="shared" si="74"/>
        <v>2171.0690614639743</v>
      </c>
    </row>
    <row r="101" spans="1:18" x14ac:dyDescent="0.3">
      <c r="A101" s="436" t="s">
        <v>92</v>
      </c>
      <c r="B101" s="445">
        <f>B99+B100</f>
        <v>1572.7600949561847</v>
      </c>
      <c r="C101" s="445">
        <f t="shared" ref="C101:N101" si="91">C99+C100</f>
        <v>1572.547578758169</v>
      </c>
      <c r="D101" s="445">
        <f t="shared" si="91"/>
        <v>1572.5600797109937</v>
      </c>
      <c r="E101" s="445">
        <f t="shared" si="91"/>
        <v>1589.6915214196417</v>
      </c>
      <c r="F101" s="445">
        <f t="shared" si="91"/>
        <v>1119.2322113090249</v>
      </c>
      <c r="G101" s="445">
        <f t="shared" si="91"/>
        <v>2129.9415706550835</v>
      </c>
      <c r="H101" s="445">
        <f t="shared" si="91"/>
        <v>1708.177360995149</v>
      </c>
      <c r="I101" s="445">
        <f t="shared" si="91"/>
        <v>1559.315689644689</v>
      </c>
      <c r="J101" s="445">
        <f t="shared" si="91"/>
        <v>2135.7795156240963</v>
      </c>
      <c r="K101" s="445">
        <f t="shared" si="91"/>
        <v>2070.9745761822069</v>
      </c>
      <c r="L101" s="445">
        <f t="shared" si="91"/>
        <v>2050.4165967038948</v>
      </c>
      <c r="M101" s="445">
        <f t="shared" si="91"/>
        <v>1789.5265708107981</v>
      </c>
      <c r="N101" s="445">
        <f t="shared" si="91"/>
        <v>20870.92336676993</v>
      </c>
      <c r="Q101" s="445">
        <f t="shared" si="73"/>
        <v>2129.9415706550835</v>
      </c>
      <c r="R101" s="445">
        <f t="shared" si="74"/>
        <v>9556.7330568090983</v>
      </c>
    </row>
    <row r="102" spans="1:18" x14ac:dyDescent="0.3">
      <c r="A102" s="433" t="s">
        <v>76</v>
      </c>
      <c r="B102" s="30">
        <f>B53+B74</f>
        <v>25.253539316428174</v>
      </c>
      <c r="C102" s="30">
        <f t="shared" ref="C102:M102" si="92">C53+C74</f>
        <v>25.24503189181253</v>
      </c>
      <c r="D102" s="30">
        <f t="shared" si="92"/>
        <v>25.245532328554624</v>
      </c>
      <c r="E102" s="30">
        <f t="shared" si="92"/>
        <v>24.045985457748721</v>
      </c>
      <c r="F102" s="30">
        <f t="shared" si="92"/>
        <v>18.41006686825515</v>
      </c>
      <c r="G102" s="30">
        <f t="shared" si="92"/>
        <v>26.655763067783262</v>
      </c>
      <c r="H102" s="30">
        <f t="shared" si="92"/>
        <v>21.04286456842614</v>
      </c>
      <c r="I102" s="30">
        <f t="shared" si="92"/>
        <v>19.592098453087669</v>
      </c>
      <c r="J102" s="30">
        <f t="shared" si="92"/>
        <v>26.889467026342441</v>
      </c>
      <c r="K102" s="30">
        <f t="shared" si="92"/>
        <v>24.295202955312902</v>
      </c>
      <c r="L102" s="30">
        <f t="shared" si="92"/>
        <v>25.726452037709603</v>
      </c>
      <c r="M102" s="30">
        <f t="shared" si="92"/>
        <v>20.355764921527307</v>
      </c>
      <c r="N102" s="13">
        <f t="shared" ref="N102:N105" si="93">SUM(B102:M102)</f>
        <v>282.75776889298845</v>
      </c>
      <c r="Q102" s="30">
        <f t="shared" si="73"/>
        <v>26.655763067783262</v>
      </c>
      <c r="R102" s="30">
        <f t="shared" si="74"/>
        <v>144.85591893058245</v>
      </c>
    </row>
    <row r="103" spans="1:18" x14ac:dyDescent="0.3">
      <c r="A103" s="433" t="s">
        <v>77</v>
      </c>
      <c r="B103" s="30">
        <f t="shared" ref="B103:M104" si="94">B54+B75</f>
        <v>-62.069489999999988</v>
      </c>
      <c r="C103" s="30">
        <f t="shared" si="94"/>
        <v>-62.048579999999987</v>
      </c>
      <c r="D103" s="30">
        <f t="shared" si="94"/>
        <v>-62.049809999999994</v>
      </c>
      <c r="E103" s="30">
        <f t="shared" si="94"/>
        <v>-59.101499999999987</v>
      </c>
      <c r="F103" s="30">
        <f t="shared" si="94"/>
        <v>-45.249239999999993</v>
      </c>
      <c r="G103" s="30">
        <f t="shared" si="94"/>
        <v>-65.515949999999989</v>
      </c>
      <c r="H103" s="30">
        <f t="shared" si="94"/>
        <v>-51.720269999999992</v>
      </c>
      <c r="I103" s="30">
        <f t="shared" si="94"/>
        <v>-48.154499999999992</v>
      </c>
      <c r="J103" s="30">
        <f t="shared" si="94"/>
        <v>-66.09035999999999</v>
      </c>
      <c r="K103" s="30">
        <f t="shared" si="94"/>
        <v>-59.714039999999983</v>
      </c>
      <c r="L103" s="30">
        <f t="shared" si="94"/>
        <v>-63.231839999999991</v>
      </c>
      <c r="M103" s="30">
        <f t="shared" si="94"/>
        <v>-50.031479999999988</v>
      </c>
      <c r="N103" s="13">
        <f t="shared" si="93"/>
        <v>-694.97705999999982</v>
      </c>
      <c r="Q103" s="30">
        <f t="shared" si="73"/>
        <v>-65.515949999999989</v>
      </c>
      <c r="R103" s="30">
        <f t="shared" si="74"/>
        <v>-356.03456999999992</v>
      </c>
    </row>
    <row r="104" spans="1:18" x14ac:dyDescent="0.3">
      <c r="A104" s="433" t="s">
        <v>144</v>
      </c>
      <c r="B104" s="30">
        <f t="shared" si="94"/>
        <v>0</v>
      </c>
      <c r="C104" s="30">
        <f t="shared" si="94"/>
        <v>0</v>
      </c>
      <c r="D104" s="30">
        <f t="shared" si="94"/>
        <v>0</v>
      </c>
      <c r="E104" s="30">
        <f t="shared" si="94"/>
        <v>0</v>
      </c>
      <c r="F104" s="30">
        <f t="shared" si="94"/>
        <v>0</v>
      </c>
      <c r="G104" s="30">
        <f t="shared" si="94"/>
        <v>0</v>
      </c>
      <c r="H104" s="30">
        <f t="shared" si="94"/>
        <v>0</v>
      </c>
      <c r="I104" s="30">
        <f t="shared" si="94"/>
        <v>0</v>
      </c>
      <c r="J104" s="30">
        <f t="shared" si="94"/>
        <v>0</v>
      </c>
      <c r="K104" s="30">
        <f t="shared" si="94"/>
        <v>0</v>
      </c>
      <c r="L104" s="30">
        <f t="shared" si="94"/>
        <v>0</v>
      </c>
      <c r="M104" s="30">
        <f t="shared" si="94"/>
        <v>0</v>
      </c>
      <c r="N104" s="13">
        <f t="shared" si="93"/>
        <v>0</v>
      </c>
      <c r="Q104" s="30">
        <f t="shared" si="73"/>
        <v>0</v>
      </c>
      <c r="R104" s="30">
        <f t="shared" si="74"/>
        <v>0</v>
      </c>
    </row>
    <row r="105" spans="1:18" x14ac:dyDescent="0.3">
      <c r="A105" s="433" t="s">
        <v>85</v>
      </c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13">
        <f t="shared" si="93"/>
        <v>0</v>
      </c>
      <c r="Q105" s="30">
        <f t="shared" si="73"/>
        <v>0</v>
      </c>
      <c r="R105" s="30">
        <f t="shared" si="74"/>
        <v>0</v>
      </c>
    </row>
    <row r="106" spans="1:18" x14ac:dyDescent="0.3">
      <c r="A106" s="433" t="s">
        <v>145</v>
      </c>
      <c r="B106" s="446"/>
      <c r="C106" s="446"/>
      <c r="D106" s="446"/>
      <c r="E106" s="446"/>
      <c r="F106" s="446"/>
      <c r="G106" s="446"/>
      <c r="H106" s="446"/>
      <c r="I106" s="446"/>
      <c r="J106" s="446"/>
      <c r="K106" s="446"/>
      <c r="L106" s="446"/>
      <c r="M106" s="446"/>
      <c r="N106" s="447"/>
      <c r="Q106" s="446">
        <f t="shared" si="73"/>
        <v>0</v>
      </c>
      <c r="R106" s="446">
        <f t="shared" si="74"/>
        <v>0</v>
      </c>
    </row>
    <row r="107" spans="1:18" x14ac:dyDescent="0.3">
      <c r="A107" s="436" t="s">
        <v>146</v>
      </c>
      <c r="B107" s="445">
        <f>SUM(B102:B106)</f>
        <v>-36.815950683571813</v>
      </c>
      <c r="C107" s="445">
        <f t="shared" ref="C107:M107" si="95">SUM(C102:C106)</f>
        <v>-36.803548108187456</v>
      </c>
      <c r="D107" s="445">
        <f t="shared" si="95"/>
        <v>-36.804277671445369</v>
      </c>
      <c r="E107" s="445">
        <f t="shared" si="95"/>
        <v>-35.055514542251267</v>
      </c>
      <c r="F107" s="445">
        <f t="shared" si="95"/>
        <v>-26.839173131744843</v>
      </c>
      <c r="G107" s="445">
        <f t="shared" si="95"/>
        <v>-38.860186932216727</v>
      </c>
      <c r="H107" s="445">
        <f t="shared" si="95"/>
        <v>-30.677405431573852</v>
      </c>
      <c r="I107" s="445">
        <f t="shared" si="95"/>
        <v>-28.562401546912323</v>
      </c>
      <c r="J107" s="445">
        <f t="shared" si="95"/>
        <v>-39.200892973657545</v>
      </c>
      <c r="K107" s="445">
        <f t="shared" si="95"/>
        <v>-35.418837044687081</v>
      </c>
      <c r="L107" s="445">
        <f t="shared" si="95"/>
        <v>-37.505387962290385</v>
      </c>
      <c r="M107" s="445">
        <f t="shared" si="95"/>
        <v>-29.675715078472681</v>
      </c>
      <c r="N107" s="445">
        <f>SUM(N102:N106)</f>
        <v>-412.21929110701137</v>
      </c>
      <c r="Q107" s="445">
        <f t="shared" si="73"/>
        <v>-38.860186932216727</v>
      </c>
      <c r="R107" s="445">
        <f t="shared" si="74"/>
        <v>-211.17865106941747</v>
      </c>
    </row>
    <row r="108" spans="1:18" x14ac:dyDescent="0.3">
      <c r="A108" s="433" t="s">
        <v>148</v>
      </c>
      <c r="B108" s="446">
        <f>B59</f>
        <v>79.533064120264967</v>
      </c>
      <c r="C108" s="446">
        <f t="shared" ref="C108:M108" si="96">C59</f>
        <v>79.533064120264967</v>
      </c>
      <c r="D108" s="446">
        <f t="shared" si="96"/>
        <v>79.533064120264967</v>
      </c>
      <c r="E108" s="446">
        <f t="shared" si="96"/>
        <v>83.509717326278221</v>
      </c>
      <c r="F108" s="446">
        <f t="shared" si="96"/>
        <v>55.673144884185483</v>
      </c>
      <c r="G108" s="446">
        <f t="shared" si="96"/>
        <v>123.62204531736838</v>
      </c>
      <c r="H108" s="446">
        <f t="shared" si="96"/>
        <v>99.84857506402831</v>
      </c>
      <c r="I108" s="446">
        <f t="shared" si="96"/>
        <v>90.339186962692267</v>
      </c>
      <c r="J108" s="446">
        <f t="shared" si="96"/>
        <v>123.62204531736838</v>
      </c>
      <c r="K108" s="446">
        <f t="shared" si="96"/>
        <v>123.62204531736838</v>
      </c>
      <c r="L108" s="446">
        <f t="shared" si="96"/>
        <v>118.86735126670037</v>
      </c>
      <c r="M108" s="446">
        <f t="shared" si="96"/>
        <v>108.16669618321514</v>
      </c>
      <c r="N108" s="447">
        <f>+SUM(B108:M108)</f>
        <v>1165.8699999999999</v>
      </c>
      <c r="Q108" s="446">
        <f t="shared" si="73"/>
        <v>123.62204531736838</v>
      </c>
      <c r="R108" s="446">
        <f t="shared" si="74"/>
        <v>501.404099888627</v>
      </c>
    </row>
    <row r="109" spans="1:18" x14ac:dyDescent="0.3">
      <c r="A109" s="433" t="s">
        <v>149</v>
      </c>
      <c r="B109" s="446">
        <f>B60</f>
        <v>67.179506192246606</v>
      </c>
      <c r="C109" s="446">
        <f t="shared" ref="C109:M109" si="97">C60</f>
        <v>67.179506192246606</v>
      </c>
      <c r="D109" s="446">
        <f t="shared" si="97"/>
        <v>67.179506192246606</v>
      </c>
      <c r="E109" s="446">
        <f t="shared" si="97"/>
        <v>70.538481501858939</v>
      </c>
      <c r="F109" s="446">
        <f t="shared" si="97"/>
        <v>47.025654334572629</v>
      </c>
      <c r="G109" s="446">
        <f t="shared" si="97"/>
        <v>104.42031940751377</v>
      </c>
      <c r="H109" s="446">
        <f t="shared" si="97"/>
        <v>84.339488752222664</v>
      </c>
      <c r="I109" s="446">
        <f t="shared" si="97"/>
        <v>76.307156490106209</v>
      </c>
      <c r="J109" s="446">
        <f t="shared" si="97"/>
        <v>104.42031940751377</v>
      </c>
      <c r="K109" s="446">
        <f t="shared" si="97"/>
        <v>104.42031940751377</v>
      </c>
      <c r="L109" s="446">
        <f t="shared" si="97"/>
        <v>100.40415327645555</v>
      </c>
      <c r="M109" s="446">
        <f t="shared" si="97"/>
        <v>91.365588845503069</v>
      </c>
      <c r="N109" s="447">
        <f>+SUM(B109:M109)</f>
        <v>984.7800000000002</v>
      </c>
      <c r="Q109" s="446">
        <f t="shared" si="73"/>
        <v>104.42031940751377</v>
      </c>
      <c r="R109" s="446">
        <f t="shared" si="74"/>
        <v>423.52297382068514</v>
      </c>
    </row>
    <row r="110" spans="1:18" x14ac:dyDescent="0.3">
      <c r="A110" s="436" t="s">
        <v>150</v>
      </c>
      <c r="B110" s="445">
        <f>SUM(B108:B109)</f>
        <v>146.71257031251156</v>
      </c>
      <c r="C110" s="445">
        <f t="shared" ref="C110:M110" si="98">SUM(C108:C109)</f>
        <v>146.71257031251156</v>
      </c>
      <c r="D110" s="445">
        <f t="shared" si="98"/>
        <v>146.71257031251156</v>
      </c>
      <c r="E110" s="445">
        <f t="shared" si="98"/>
        <v>154.04819882813717</v>
      </c>
      <c r="F110" s="445">
        <f t="shared" si="98"/>
        <v>102.69879921875811</v>
      </c>
      <c r="G110" s="445">
        <f t="shared" si="98"/>
        <v>228.04236472488213</v>
      </c>
      <c r="H110" s="445">
        <f t="shared" si="98"/>
        <v>184.18806381625097</v>
      </c>
      <c r="I110" s="445">
        <f t="shared" si="98"/>
        <v>166.64634345279848</v>
      </c>
      <c r="J110" s="445">
        <f t="shared" si="98"/>
        <v>228.04236472488213</v>
      </c>
      <c r="K110" s="445">
        <f t="shared" si="98"/>
        <v>228.04236472488213</v>
      </c>
      <c r="L110" s="445">
        <f t="shared" si="98"/>
        <v>219.27150454315591</v>
      </c>
      <c r="M110" s="445">
        <f t="shared" si="98"/>
        <v>199.53228502871821</v>
      </c>
      <c r="N110" s="445">
        <f>N109+N108</f>
        <v>2150.65</v>
      </c>
      <c r="Q110" s="445">
        <f t="shared" si="73"/>
        <v>228.04236472488213</v>
      </c>
      <c r="R110" s="445">
        <f t="shared" si="74"/>
        <v>924.92707370931203</v>
      </c>
    </row>
    <row r="111" spans="1:18" ht="15" thickBot="1" x14ac:dyDescent="0.35">
      <c r="A111" s="28"/>
      <c r="B111" s="448"/>
      <c r="C111" s="448"/>
      <c r="D111" s="448"/>
      <c r="E111" s="448"/>
      <c r="F111" s="448"/>
      <c r="G111" s="448"/>
      <c r="H111" s="448"/>
      <c r="I111" s="448"/>
      <c r="J111" s="448"/>
      <c r="K111" s="448"/>
      <c r="L111" s="448"/>
      <c r="M111" s="448"/>
      <c r="N111" s="448"/>
      <c r="Q111" s="448">
        <f t="shared" si="73"/>
        <v>0</v>
      </c>
      <c r="R111" s="448">
        <f t="shared" si="74"/>
        <v>0</v>
      </c>
    </row>
    <row r="112" spans="1:18" x14ac:dyDescent="0.3">
      <c r="A112" s="436" t="s">
        <v>152</v>
      </c>
      <c r="B112" s="445">
        <f>B101+B107+B110</f>
        <v>1682.6567145851245</v>
      </c>
      <c r="C112" s="445">
        <f t="shared" ref="C112:N112" si="99">C101+C107+C110</f>
        <v>1682.4566009624932</v>
      </c>
      <c r="D112" s="445">
        <f t="shared" si="99"/>
        <v>1682.46837235206</v>
      </c>
      <c r="E112" s="445">
        <f t="shared" si="99"/>
        <v>1708.6842057055276</v>
      </c>
      <c r="F112" s="445">
        <f t="shared" si="99"/>
        <v>1195.091837396038</v>
      </c>
      <c r="G112" s="445">
        <f t="shared" si="99"/>
        <v>2319.1237484477488</v>
      </c>
      <c r="H112" s="445">
        <f t="shared" si="99"/>
        <v>1861.6880193798261</v>
      </c>
      <c r="I112" s="445">
        <f t="shared" si="99"/>
        <v>1697.3996315505751</v>
      </c>
      <c r="J112" s="445">
        <f t="shared" si="99"/>
        <v>2324.620987375321</v>
      </c>
      <c r="K112" s="445">
        <f t="shared" si="99"/>
        <v>2263.5981038624018</v>
      </c>
      <c r="L112" s="445">
        <f t="shared" si="99"/>
        <v>2232.1827132847602</v>
      </c>
      <c r="M112" s="445">
        <f t="shared" si="99"/>
        <v>1959.3831407610437</v>
      </c>
      <c r="N112" s="445">
        <f t="shared" si="99"/>
        <v>22609.354075662919</v>
      </c>
      <c r="Q112" s="445">
        <f t="shared" si="73"/>
        <v>2319.1237484477488</v>
      </c>
      <c r="R112" s="445">
        <f t="shared" si="74"/>
        <v>10270.48147944899</v>
      </c>
    </row>
    <row r="114" spans="1:18" s="456" customFormat="1" x14ac:dyDescent="0.3">
      <c r="O114" s="459"/>
    </row>
    <row r="116" spans="1:18" x14ac:dyDescent="0.3">
      <c r="B116">
        <v>-1000</v>
      </c>
    </row>
    <row r="117" spans="1:18" ht="23.4" x14ac:dyDescent="0.45">
      <c r="A117" s="485" t="s">
        <v>43</v>
      </c>
      <c r="B117" s="1" t="s">
        <v>0</v>
      </c>
      <c r="C117" s="1" t="s">
        <v>1</v>
      </c>
      <c r="D117" s="1" t="s">
        <v>2</v>
      </c>
      <c r="E117" s="1" t="s">
        <v>3</v>
      </c>
      <c r="F117" s="1" t="s">
        <v>4</v>
      </c>
      <c r="G117" s="1" t="s">
        <v>5</v>
      </c>
      <c r="H117" s="1" t="s">
        <v>6</v>
      </c>
      <c r="I117" s="1" t="s">
        <v>7</v>
      </c>
      <c r="J117" s="1" t="s">
        <v>8</v>
      </c>
      <c r="K117" s="1" t="s">
        <v>9</v>
      </c>
      <c r="L117" s="1" t="s">
        <v>10</v>
      </c>
      <c r="M117" s="1" t="s">
        <v>11</v>
      </c>
      <c r="N117" s="1" t="s">
        <v>12</v>
      </c>
      <c r="Q117" s="64" t="s">
        <v>179</v>
      </c>
      <c r="R117" s="64" t="s">
        <v>94</v>
      </c>
    </row>
    <row r="118" spans="1:18" x14ac:dyDescent="0.3">
      <c r="A118" s="432" t="s">
        <v>156</v>
      </c>
      <c r="B118" s="747">
        <v>-4.6443971410000007</v>
      </c>
      <c r="C118" s="747">
        <v>-5.0106745860000004</v>
      </c>
      <c r="D118" s="502">
        <v>-5.0575233749999997</v>
      </c>
      <c r="E118" s="502">
        <v>-4.8727557690000003</v>
      </c>
      <c r="F118" s="502">
        <v>-15.380889510000001</v>
      </c>
      <c r="G118" s="502">
        <v>-49.280033430000003</v>
      </c>
      <c r="H118" s="502">
        <v>-49.328754780000004</v>
      </c>
      <c r="I118" s="502">
        <v>-49.547307999999994</v>
      </c>
      <c r="J118" s="502">
        <v>-58.604946040000002</v>
      </c>
      <c r="K118" s="502">
        <v>-54.442466780000004</v>
      </c>
      <c r="L118" s="502">
        <v>-52.437071330000002</v>
      </c>
      <c r="M118" s="502">
        <v>-52.468258710000001</v>
      </c>
      <c r="N118" s="450">
        <v>-401</v>
      </c>
      <c r="Q118" s="30">
        <f>SUMIFS(B118:M118,$B$2:$M$2,$X$3)</f>
        <v>-49.280033430000003</v>
      </c>
      <c r="R118" s="30">
        <f>SUMIFS(B118:M118,$B$1:$M$1,$Y$3)</f>
        <v>-84.246273811000009</v>
      </c>
    </row>
    <row r="119" spans="1:18" x14ac:dyDescent="0.3">
      <c r="A119" s="432" t="s">
        <v>75</v>
      </c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13"/>
      <c r="Q119" s="30">
        <f t="shared" ref="Q119:Q144" si="100">SUMIFS(B119:M119,$B$2:$M$2,$X$3)</f>
        <v>0</v>
      </c>
      <c r="R119" s="30">
        <f t="shared" ref="R119:R144" si="101">SUMIFS(B119:M119,$B$1:$M$1,$Y$3)</f>
        <v>0</v>
      </c>
    </row>
    <row r="120" spans="1:18" x14ac:dyDescent="0.3">
      <c r="A120" s="433" t="s">
        <v>195</v>
      </c>
      <c r="B120" s="30">
        <v>-1</v>
      </c>
      <c r="C120" s="30">
        <v>-1</v>
      </c>
      <c r="D120" s="30">
        <v>-1</v>
      </c>
      <c r="E120" s="30">
        <v>-1</v>
      </c>
      <c r="F120" s="30">
        <v>-1</v>
      </c>
      <c r="G120" s="30">
        <v>-1</v>
      </c>
      <c r="H120" s="30">
        <v>-1</v>
      </c>
      <c r="I120" s="30">
        <v>-1</v>
      </c>
      <c r="J120" s="30">
        <v>-1</v>
      </c>
      <c r="K120" s="30">
        <v>-1</v>
      </c>
      <c r="L120" s="30">
        <v>-1</v>
      </c>
      <c r="M120" s="30">
        <v>-1</v>
      </c>
      <c r="N120" s="450">
        <v>-12</v>
      </c>
      <c r="Q120" s="30">
        <f t="shared" si="100"/>
        <v>-1</v>
      </c>
      <c r="R120" s="30">
        <f t="shared" si="101"/>
        <v>-6</v>
      </c>
    </row>
    <row r="121" spans="1:18" ht="15" thickBot="1" x14ac:dyDescent="0.35">
      <c r="A121" s="435" t="s">
        <v>196</v>
      </c>
      <c r="B121" s="444">
        <f>SUM(B118:B120)</f>
        <v>-5.6443971410000007</v>
      </c>
      <c r="C121" s="444">
        <f t="shared" ref="C121:N121" si="102">SUM(C118:C120)</f>
        <v>-6.0106745860000004</v>
      </c>
      <c r="D121" s="444">
        <f t="shared" si="102"/>
        <v>-6.0575233749999997</v>
      </c>
      <c r="E121" s="444">
        <f t="shared" si="102"/>
        <v>-5.8727557690000003</v>
      </c>
      <c r="F121" s="444">
        <f t="shared" si="102"/>
        <v>-16.380889510000003</v>
      </c>
      <c r="G121" s="444">
        <f t="shared" si="102"/>
        <v>-50.280033430000003</v>
      </c>
      <c r="H121" s="444">
        <f t="shared" si="102"/>
        <v>-50.328754780000004</v>
      </c>
      <c r="I121" s="444">
        <f t="shared" si="102"/>
        <v>-50.547307999999994</v>
      </c>
      <c r="J121" s="444">
        <f t="shared" si="102"/>
        <v>-59.604946040000002</v>
      </c>
      <c r="K121" s="444">
        <f t="shared" si="102"/>
        <v>-55.442466780000004</v>
      </c>
      <c r="L121" s="444">
        <f t="shared" si="102"/>
        <v>-53.437071330000002</v>
      </c>
      <c r="M121" s="444">
        <f t="shared" si="102"/>
        <v>-53.468258710000001</v>
      </c>
      <c r="N121" s="444">
        <f t="shared" si="102"/>
        <v>-413</v>
      </c>
      <c r="Q121" s="444">
        <f t="shared" si="100"/>
        <v>-50.280033430000003</v>
      </c>
      <c r="R121" s="444">
        <f t="shared" si="101"/>
        <v>-90.246273811000009</v>
      </c>
    </row>
    <row r="122" spans="1:18" x14ac:dyDescent="0.3">
      <c r="A122" s="434" t="s">
        <v>80</v>
      </c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450"/>
      <c r="Q122" s="30">
        <f t="shared" si="100"/>
        <v>0</v>
      </c>
      <c r="R122" s="30">
        <f t="shared" si="101"/>
        <v>0</v>
      </c>
    </row>
    <row r="123" spans="1:18" x14ac:dyDescent="0.3">
      <c r="A123" s="433" t="s">
        <v>81</v>
      </c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450"/>
      <c r="Q123" s="30">
        <f t="shared" si="100"/>
        <v>0</v>
      </c>
      <c r="R123" s="30">
        <f t="shared" si="101"/>
        <v>0</v>
      </c>
    </row>
    <row r="124" spans="1:18" x14ac:dyDescent="0.3">
      <c r="A124" s="433" t="s">
        <v>82</v>
      </c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13"/>
      <c r="Q124" s="30">
        <f t="shared" si="100"/>
        <v>0</v>
      </c>
      <c r="R124" s="30">
        <f t="shared" si="101"/>
        <v>0</v>
      </c>
    </row>
    <row r="125" spans="1:18" x14ac:dyDescent="0.3">
      <c r="A125" s="433" t="s">
        <v>83</v>
      </c>
      <c r="B125" s="30">
        <v>-1.1000000000000001</v>
      </c>
      <c r="C125" s="30">
        <v>-1.1000000000000001</v>
      </c>
      <c r="D125" s="30">
        <v>-1.1000000000000001</v>
      </c>
      <c r="E125" s="30">
        <v>-1.1000000000000001</v>
      </c>
      <c r="F125" s="30">
        <v>-1.1000000000000001</v>
      </c>
      <c r="G125" s="30">
        <v>-1.1000000000000001</v>
      </c>
      <c r="H125" s="30">
        <v>-1.1000000000000001</v>
      </c>
      <c r="I125" s="30">
        <v>-1.1000000000000001</v>
      </c>
      <c r="J125" s="30">
        <v>-1.1000000000000001</v>
      </c>
      <c r="K125" s="30">
        <v>-1.1000000000000001</v>
      </c>
      <c r="L125" s="30">
        <v>-1.1000000000000001</v>
      </c>
      <c r="M125" s="30">
        <v>-1.1000000000000001</v>
      </c>
      <c r="N125" s="13">
        <v>-13</v>
      </c>
      <c r="Q125" s="30">
        <f t="shared" si="100"/>
        <v>-1.1000000000000001</v>
      </c>
      <c r="R125" s="30">
        <f t="shared" si="101"/>
        <v>-6.6</v>
      </c>
    </row>
    <row r="126" spans="1:18" x14ac:dyDescent="0.3">
      <c r="A126" s="433" t="s">
        <v>84</v>
      </c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450"/>
      <c r="Q126" s="30">
        <f t="shared" si="100"/>
        <v>0</v>
      </c>
      <c r="R126" s="30">
        <f t="shared" si="101"/>
        <v>0</v>
      </c>
    </row>
    <row r="127" spans="1:18" x14ac:dyDescent="0.3">
      <c r="A127" s="433" t="s">
        <v>86</v>
      </c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13"/>
      <c r="Q127" s="30">
        <f t="shared" si="100"/>
        <v>0</v>
      </c>
      <c r="R127" s="30">
        <f t="shared" si="101"/>
        <v>0</v>
      </c>
    </row>
    <row r="128" spans="1:18" ht="15" thickBot="1" x14ac:dyDescent="0.35">
      <c r="A128" s="435" t="s">
        <v>197</v>
      </c>
      <c r="B128" s="444">
        <f>SUM(B122:B127)</f>
        <v>-1.1000000000000001</v>
      </c>
      <c r="C128" s="444">
        <f t="shared" ref="C128:N128" si="103">SUM(C122:C127)</f>
        <v>-1.1000000000000001</v>
      </c>
      <c r="D128" s="444">
        <f t="shared" si="103"/>
        <v>-1.1000000000000001</v>
      </c>
      <c r="E128" s="444">
        <f t="shared" si="103"/>
        <v>-1.1000000000000001</v>
      </c>
      <c r="F128" s="444">
        <f t="shared" si="103"/>
        <v>-1.1000000000000001</v>
      </c>
      <c r="G128" s="444">
        <f t="shared" si="103"/>
        <v>-1.1000000000000001</v>
      </c>
      <c r="H128" s="444">
        <f t="shared" si="103"/>
        <v>-1.1000000000000001</v>
      </c>
      <c r="I128" s="444">
        <f t="shared" si="103"/>
        <v>-1.1000000000000001</v>
      </c>
      <c r="J128" s="444">
        <f t="shared" si="103"/>
        <v>-1.1000000000000001</v>
      </c>
      <c r="K128" s="444">
        <f t="shared" si="103"/>
        <v>-1.1000000000000001</v>
      </c>
      <c r="L128" s="444">
        <f t="shared" si="103"/>
        <v>-1.1000000000000001</v>
      </c>
      <c r="M128" s="444">
        <f t="shared" si="103"/>
        <v>-1.1000000000000001</v>
      </c>
      <c r="N128" s="444">
        <f t="shared" si="103"/>
        <v>-13</v>
      </c>
      <c r="Q128" s="444">
        <f t="shared" si="100"/>
        <v>-1.1000000000000001</v>
      </c>
      <c r="R128" s="444">
        <f t="shared" si="101"/>
        <v>-6.6</v>
      </c>
    </row>
    <row r="129" spans="1:18" x14ac:dyDescent="0.3">
      <c r="A129" s="436" t="s">
        <v>88</v>
      </c>
      <c r="B129" s="445">
        <f>B121+B128</f>
        <v>-6.7443971410000003</v>
      </c>
      <c r="C129" s="445">
        <f t="shared" ref="C129:N129" si="104">C121+C128</f>
        <v>-7.110674586</v>
      </c>
      <c r="D129" s="445">
        <f t="shared" si="104"/>
        <v>-7.1575233750000002</v>
      </c>
      <c r="E129" s="445">
        <f t="shared" si="104"/>
        <v>-6.9727557690000008</v>
      </c>
      <c r="F129" s="445">
        <f t="shared" si="104"/>
        <v>-17.480889510000004</v>
      </c>
      <c r="G129" s="445">
        <f t="shared" si="104"/>
        <v>-51.380033430000005</v>
      </c>
      <c r="H129" s="445">
        <f t="shared" si="104"/>
        <v>-51.428754780000006</v>
      </c>
      <c r="I129" s="445">
        <f t="shared" si="104"/>
        <v>-51.647307999999995</v>
      </c>
      <c r="J129" s="445">
        <f t="shared" si="104"/>
        <v>-60.704946040000003</v>
      </c>
      <c r="K129" s="445">
        <f t="shared" si="104"/>
        <v>-56.542466780000005</v>
      </c>
      <c r="L129" s="445">
        <f t="shared" si="104"/>
        <v>-54.537071330000003</v>
      </c>
      <c r="M129" s="445">
        <f t="shared" si="104"/>
        <v>-54.568258710000002</v>
      </c>
      <c r="N129" s="445">
        <f t="shared" si="104"/>
        <v>-426</v>
      </c>
      <c r="Q129" s="445">
        <f t="shared" si="100"/>
        <v>-51.380033430000005</v>
      </c>
      <c r="R129" s="445">
        <f t="shared" si="101"/>
        <v>-96.846273811000003</v>
      </c>
    </row>
    <row r="130" spans="1:18" x14ac:dyDescent="0.3">
      <c r="A130" s="433" t="s">
        <v>89</v>
      </c>
      <c r="B130" s="446"/>
      <c r="C130" s="446"/>
      <c r="D130" s="446"/>
      <c r="E130" s="446"/>
      <c r="F130" s="446"/>
      <c r="G130" s="446"/>
      <c r="H130" s="446"/>
      <c r="I130" s="446"/>
      <c r="J130" s="446"/>
      <c r="K130" s="446"/>
      <c r="L130" s="446"/>
      <c r="M130" s="446"/>
      <c r="N130" s="13">
        <f t="shared" ref="N130" si="105">SUM(B130:M130)</f>
        <v>0</v>
      </c>
      <c r="Q130" s="446">
        <f t="shared" si="100"/>
        <v>0</v>
      </c>
      <c r="R130" s="446">
        <f t="shared" si="101"/>
        <v>0</v>
      </c>
    </row>
    <row r="131" spans="1:18" x14ac:dyDescent="0.3">
      <c r="A131" s="436" t="s">
        <v>90</v>
      </c>
      <c r="B131" s="445">
        <f>B129+B130</f>
        <v>-6.7443971410000003</v>
      </c>
      <c r="C131" s="445">
        <f t="shared" ref="C131:N131" si="106">C129+C130</f>
        <v>-7.110674586</v>
      </c>
      <c r="D131" s="445">
        <f t="shared" si="106"/>
        <v>-7.1575233750000002</v>
      </c>
      <c r="E131" s="445">
        <f t="shared" si="106"/>
        <v>-6.9727557690000008</v>
      </c>
      <c r="F131" s="445">
        <f t="shared" si="106"/>
        <v>-17.480889510000004</v>
      </c>
      <c r="G131" s="445">
        <f t="shared" si="106"/>
        <v>-51.380033430000005</v>
      </c>
      <c r="H131" s="445">
        <f t="shared" si="106"/>
        <v>-51.428754780000006</v>
      </c>
      <c r="I131" s="445">
        <f t="shared" si="106"/>
        <v>-51.647307999999995</v>
      </c>
      <c r="J131" s="445">
        <f t="shared" si="106"/>
        <v>-60.704946040000003</v>
      </c>
      <c r="K131" s="445">
        <f t="shared" si="106"/>
        <v>-56.542466780000005</v>
      </c>
      <c r="L131" s="445">
        <f t="shared" si="106"/>
        <v>-54.537071330000003</v>
      </c>
      <c r="M131" s="445">
        <f t="shared" si="106"/>
        <v>-54.568258710000002</v>
      </c>
      <c r="N131" s="445">
        <f t="shared" si="106"/>
        <v>-426</v>
      </c>
      <c r="Q131" s="445">
        <f t="shared" si="100"/>
        <v>-51.380033430000005</v>
      </c>
      <c r="R131" s="445">
        <f t="shared" si="101"/>
        <v>-96.846273811000003</v>
      </c>
    </row>
    <row r="132" spans="1:18" x14ac:dyDescent="0.3">
      <c r="A132" s="433" t="s">
        <v>91</v>
      </c>
      <c r="B132" s="446">
        <f>B83</f>
        <v>0</v>
      </c>
      <c r="C132" s="446">
        <f t="shared" ref="C132:M132" si="107">C83</f>
        <v>0</v>
      </c>
      <c r="D132" s="446">
        <f t="shared" si="107"/>
        <v>0</v>
      </c>
      <c r="E132" s="446">
        <f t="shared" si="107"/>
        <v>0</v>
      </c>
      <c r="F132" s="446">
        <f t="shared" si="107"/>
        <v>0</v>
      </c>
      <c r="G132" s="446">
        <f t="shared" si="107"/>
        <v>0</v>
      </c>
      <c r="H132" s="446">
        <f t="shared" si="107"/>
        <v>0</v>
      </c>
      <c r="I132" s="446">
        <f t="shared" si="107"/>
        <v>0</v>
      </c>
      <c r="J132" s="446">
        <f t="shared" si="107"/>
        <v>0</v>
      </c>
      <c r="K132" s="446">
        <f t="shared" si="107"/>
        <v>0</v>
      </c>
      <c r="L132" s="446">
        <f t="shared" si="107"/>
        <v>0</v>
      </c>
      <c r="M132" s="446">
        <f t="shared" si="107"/>
        <v>0</v>
      </c>
      <c r="N132" s="13">
        <f t="shared" ref="N132" si="108">SUM(B132:M132)</f>
        <v>0</v>
      </c>
      <c r="Q132" s="446">
        <f t="shared" si="100"/>
        <v>0</v>
      </c>
      <c r="R132" s="446">
        <f t="shared" si="101"/>
        <v>0</v>
      </c>
    </row>
    <row r="133" spans="1:18" x14ac:dyDescent="0.3">
      <c r="A133" s="436" t="s">
        <v>92</v>
      </c>
      <c r="B133" s="445">
        <f>B131+B132</f>
        <v>-6.7443971410000003</v>
      </c>
      <c r="C133" s="445">
        <f t="shared" ref="C133:N133" si="109">C131+C132</f>
        <v>-7.110674586</v>
      </c>
      <c r="D133" s="445">
        <f t="shared" si="109"/>
        <v>-7.1575233750000002</v>
      </c>
      <c r="E133" s="445">
        <f t="shared" si="109"/>
        <v>-6.9727557690000008</v>
      </c>
      <c r="F133" s="445">
        <f t="shared" si="109"/>
        <v>-17.480889510000004</v>
      </c>
      <c r="G133" s="445">
        <f t="shared" si="109"/>
        <v>-51.380033430000005</v>
      </c>
      <c r="H133" s="445">
        <f t="shared" si="109"/>
        <v>-51.428754780000006</v>
      </c>
      <c r="I133" s="445">
        <f t="shared" si="109"/>
        <v>-51.647307999999995</v>
      </c>
      <c r="J133" s="445">
        <f t="shared" si="109"/>
        <v>-60.704946040000003</v>
      </c>
      <c r="K133" s="445">
        <f t="shared" si="109"/>
        <v>-56.542466780000005</v>
      </c>
      <c r="L133" s="445">
        <f t="shared" si="109"/>
        <v>-54.537071330000003</v>
      </c>
      <c r="M133" s="445">
        <f t="shared" si="109"/>
        <v>-54.568258710000002</v>
      </c>
      <c r="N133" s="445">
        <f t="shared" si="109"/>
        <v>-426</v>
      </c>
      <c r="Q133" s="445">
        <f t="shared" si="100"/>
        <v>-51.380033430000005</v>
      </c>
      <c r="R133" s="445">
        <f t="shared" si="101"/>
        <v>-96.846273811000003</v>
      </c>
    </row>
    <row r="134" spans="1:18" x14ac:dyDescent="0.3">
      <c r="A134" s="433" t="s">
        <v>76</v>
      </c>
      <c r="B134" s="30"/>
      <c r="C134" s="30"/>
      <c r="D134" s="30"/>
      <c r="E134" s="502">
        <v>-6.8114999999999997</v>
      </c>
      <c r="F134" s="502">
        <v>-5.0190000000000001</v>
      </c>
      <c r="G134" s="502">
        <v>-7.5285000000000002</v>
      </c>
      <c r="H134" s="502">
        <v>-6.0945</v>
      </c>
      <c r="I134" s="502">
        <v>-5.5575000000000001</v>
      </c>
      <c r="J134" s="502">
        <v>-7.7805</v>
      </c>
      <c r="K134" s="502">
        <v>-6.6689999999999996</v>
      </c>
      <c r="L134" s="502">
        <v>-7.41</v>
      </c>
      <c r="M134" s="502">
        <v>-5.5702499999999997</v>
      </c>
      <c r="N134" s="13">
        <v>-58</v>
      </c>
      <c r="Q134" s="30">
        <f t="shared" si="100"/>
        <v>-7.5285000000000002</v>
      </c>
      <c r="R134" s="30">
        <f t="shared" si="101"/>
        <v>-19.359000000000002</v>
      </c>
    </row>
    <row r="135" spans="1:18" x14ac:dyDescent="0.3">
      <c r="A135" s="433" t="s">
        <v>77</v>
      </c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13">
        <f t="shared" ref="N135:N136" si="110">SUM(B135:M135)</f>
        <v>0</v>
      </c>
      <c r="Q135" s="30">
        <f t="shared" si="100"/>
        <v>0</v>
      </c>
      <c r="R135" s="30">
        <f t="shared" si="101"/>
        <v>0</v>
      </c>
    </row>
    <row r="136" spans="1:18" x14ac:dyDescent="0.3">
      <c r="A136" s="433" t="s">
        <v>144</v>
      </c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13">
        <f t="shared" si="110"/>
        <v>0</v>
      </c>
      <c r="Q136" s="30">
        <f t="shared" si="100"/>
        <v>0</v>
      </c>
      <c r="R136" s="30">
        <f t="shared" si="101"/>
        <v>0</v>
      </c>
    </row>
    <row r="137" spans="1:18" x14ac:dyDescent="0.3">
      <c r="A137" s="433" t="s">
        <v>85</v>
      </c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13"/>
      <c r="Q137" s="30">
        <f t="shared" si="100"/>
        <v>0</v>
      </c>
      <c r="R137" s="30">
        <f t="shared" si="101"/>
        <v>0</v>
      </c>
    </row>
    <row r="138" spans="1:18" x14ac:dyDescent="0.3">
      <c r="A138" s="433" t="s">
        <v>145</v>
      </c>
      <c r="B138" s="446"/>
      <c r="C138" s="446"/>
      <c r="D138" s="446"/>
      <c r="E138" s="446"/>
      <c r="F138" s="446"/>
      <c r="G138" s="446"/>
      <c r="H138" s="446"/>
      <c r="I138" s="446"/>
      <c r="J138" s="446"/>
      <c r="K138" s="446"/>
      <c r="L138" s="446"/>
      <c r="M138" s="446"/>
      <c r="N138" s="447"/>
      <c r="Q138" s="446">
        <f t="shared" si="100"/>
        <v>0</v>
      </c>
      <c r="R138" s="446">
        <f t="shared" si="101"/>
        <v>0</v>
      </c>
    </row>
    <row r="139" spans="1:18" x14ac:dyDescent="0.3">
      <c r="A139" s="436" t="s">
        <v>146</v>
      </c>
      <c r="B139" s="445">
        <f>SUM(B134:B138)</f>
        <v>0</v>
      </c>
      <c r="C139" s="445">
        <f t="shared" ref="C139:M139" si="111">SUM(C134:C138)</f>
        <v>0</v>
      </c>
      <c r="D139" s="445">
        <f t="shared" si="111"/>
        <v>0</v>
      </c>
      <c r="E139" s="445">
        <f t="shared" si="111"/>
        <v>-6.8114999999999997</v>
      </c>
      <c r="F139" s="445">
        <f t="shared" si="111"/>
        <v>-5.0190000000000001</v>
      </c>
      <c r="G139" s="445">
        <f t="shared" si="111"/>
        <v>-7.5285000000000002</v>
      </c>
      <c r="H139" s="445">
        <f t="shared" si="111"/>
        <v>-6.0945</v>
      </c>
      <c r="I139" s="445">
        <f t="shared" si="111"/>
        <v>-5.5575000000000001</v>
      </c>
      <c r="J139" s="445">
        <f t="shared" si="111"/>
        <v>-7.7805</v>
      </c>
      <c r="K139" s="445">
        <f t="shared" si="111"/>
        <v>-6.6689999999999996</v>
      </c>
      <c r="L139" s="445">
        <f t="shared" si="111"/>
        <v>-7.41</v>
      </c>
      <c r="M139" s="445">
        <f t="shared" si="111"/>
        <v>-5.5702499999999997</v>
      </c>
      <c r="N139" s="445">
        <f>SUM(N134:N138)</f>
        <v>-58</v>
      </c>
      <c r="Q139" s="445">
        <f t="shared" si="100"/>
        <v>-7.5285000000000002</v>
      </c>
      <c r="R139" s="445">
        <f t="shared" si="101"/>
        <v>-19.359000000000002</v>
      </c>
    </row>
    <row r="140" spans="1:18" x14ac:dyDescent="0.3">
      <c r="A140" s="433" t="s">
        <v>148</v>
      </c>
      <c r="B140" s="446"/>
      <c r="C140" s="446"/>
      <c r="D140" s="446"/>
      <c r="E140" s="446"/>
      <c r="F140" s="446"/>
      <c r="G140" s="446"/>
      <c r="H140" s="446"/>
      <c r="I140" s="446"/>
      <c r="J140" s="446"/>
      <c r="K140" s="446"/>
      <c r="L140" s="446"/>
      <c r="M140" s="446"/>
      <c r="N140" s="447"/>
      <c r="Q140" s="446">
        <f t="shared" si="100"/>
        <v>0</v>
      </c>
      <c r="R140" s="446">
        <f t="shared" si="101"/>
        <v>0</v>
      </c>
    </row>
    <row r="141" spans="1:18" x14ac:dyDescent="0.3">
      <c r="A141" s="433" t="s">
        <v>149</v>
      </c>
      <c r="B141" s="446"/>
      <c r="C141" s="446"/>
      <c r="D141" s="446"/>
      <c r="E141" s="446"/>
      <c r="F141" s="446"/>
      <c r="G141" s="446"/>
      <c r="H141" s="446"/>
      <c r="I141" s="446"/>
      <c r="J141" s="446"/>
      <c r="K141" s="446"/>
      <c r="L141" s="446"/>
      <c r="M141" s="446"/>
      <c r="N141" s="447">
        <v>0</v>
      </c>
      <c r="Q141" s="446">
        <f t="shared" si="100"/>
        <v>0</v>
      </c>
      <c r="R141" s="446">
        <f t="shared" si="101"/>
        <v>0</v>
      </c>
    </row>
    <row r="142" spans="1:18" x14ac:dyDescent="0.3">
      <c r="A142" s="436" t="s">
        <v>150</v>
      </c>
      <c r="B142" s="445">
        <f>SUM(B140:B141)</f>
        <v>0</v>
      </c>
      <c r="C142" s="445">
        <f t="shared" ref="C142:N142" si="112">SUM(C140:C141)</f>
        <v>0</v>
      </c>
      <c r="D142" s="445">
        <f t="shared" si="112"/>
        <v>0</v>
      </c>
      <c r="E142" s="445">
        <f t="shared" si="112"/>
        <v>0</v>
      </c>
      <c r="F142" s="445">
        <f t="shared" si="112"/>
        <v>0</v>
      </c>
      <c r="G142" s="445">
        <f t="shared" si="112"/>
        <v>0</v>
      </c>
      <c r="H142" s="445">
        <f t="shared" si="112"/>
        <v>0</v>
      </c>
      <c r="I142" s="445">
        <f t="shared" si="112"/>
        <v>0</v>
      </c>
      <c r="J142" s="445">
        <f t="shared" si="112"/>
        <v>0</v>
      </c>
      <c r="K142" s="445">
        <f t="shared" si="112"/>
        <v>0</v>
      </c>
      <c r="L142" s="445">
        <f t="shared" si="112"/>
        <v>0</v>
      </c>
      <c r="M142" s="445">
        <f t="shared" si="112"/>
        <v>0</v>
      </c>
      <c r="N142" s="445">
        <f t="shared" si="112"/>
        <v>0</v>
      </c>
      <c r="Q142" s="445">
        <f t="shared" si="100"/>
        <v>0</v>
      </c>
      <c r="R142" s="445">
        <f t="shared" si="101"/>
        <v>0</v>
      </c>
    </row>
    <row r="143" spans="1:18" ht="15" thickBot="1" x14ac:dyDescent="0.35">
      <c r="A143" s="28"/>
      <c r="B143" s="448"/>
      <c r="C143" s="448"/>
      <c r="D143" s="448"/>
      <c r="E143" s="448"/>
      <c r="F143" s="448"/>
      <c r="G143" s="448"/>
      <c r="H143" s="448"/>
      <c r="I143" s="448"/>
      <c r="J143" s="448"/>
      <c r="K143" s="448"/>
      <c r="L143" s="448"/>
      <c r="M143" s="448"/>
      <c r="N143" s="448"/>
      <c r="Q143" s="448">
        <f t="shared" si="100"/>
        <v>0</v>
      </c>
      <c r="R143" s="448">
        <f t="shared" si="101"/>
        <v>0</v>
      </c>
    </row>
    <row r="144" spans="1:18" x14ac:dyDescent="0.3">
      <c r="A144" s="436" t="s">
        <v>152</v>
      </c>
      <c r="B144" s="445">
        <f>B133+B139+B142</f>
        <v>-6.7443971410000003</v>
      </c>
      <c r="C144" s="445">
        <f t="shared" ref="C144:N144" si="113">C133+C139+C142</f>
        <v>-7.110674586</v>
      </c>
      <c r="D144" s="445">
        <f t="shared" si="113"/>
        <v>-7.1575233750000002</v>
      </c>
      <c r="E144" s="445">
        <f t="shared" si="113"/>
        <v>-13.784255769000001</v>
      </c>
      <c r="F144" s="445">
        <f t="shared" si="113"/>
        <v>-22.499889510000003</v>
      </c>
      <c r="G144" s="445">
        <f t="shared" si="113"/>
        <v>-58.908533430000006</v>
      </c>
      <c r="H144" s="445">
        <f t="shared" si="113"/>
        <v>-57.523254780000002</v>
      </c>
      <c r="I144" s="445">
        <f t="shared" si="113"/>
        <v>-57.204807999999993</v>
      </c>
      <c r="J144" s="445">
        <f t="shared" si="113"/>
        <v>-68.485446039999999</v>
      </c>
      <c r="K144" s="445">
        <f t="shared" si="113"/>
        <v>-63.211466780000002</v>
      </c>
      <c r="L144" s="445">
        <f t="shared" si="113"/>
        <v>-61.94707133</v>
      </c>
      <c r="M144" s="445">
        <f t="shared" si="113"/>
        <v>-60.138508710000004</v>
      </c>
      <c r="N144" s="451">
        <f t="shared" si="113"/>
        <v>-484</v>
      </c>
      <c r="Q144" s="445">
        <f t="shared" si="100"/>
        <v>-58.908533430000006</v>
      </c>
      <c r="R144" s="445">
        <f t="shared" si="101"/>
        <v>-116.20527381100001</v>
      </c>
    </row>
    <row r="146" spans="1:25" s="456" customFormat="1" x14ac:dyDescent="0.3">
      <c r="A146" s="460"/>
      <c r="B146" s="464"/>
      <c r="C146" s="464"/>
      <c r="D146" s="464"/>
      <c r="E146" s="464"/>
      <c r="F146" s="464"/>
      <c r="G146" s="464"/>
      <c r="H146" s="464"/>
      <c r="I146" s="464"/>
      <c r="J146" s="464"/>
      <c r="K146" s="464"/>
      <c r="L146" s="464"/>
      <c r="M146" s="464"/>
      <c r="N146" s="464"/>
      <c r="O146" s="459"/>
    </row>
    <row r="147" spans="1:25" x14ac:dyDescent="0.3">
      <c r="A147" s="27"/>
    </row>
    <row r="148" spans="1:25" ht="23.4" x14ac:dyDescent="0.45">
      <c r="A148" s="485" t="s">
        <v>477</v>
      </c>
      <c r="B148" s="1" t="s">
        <v>0</v>
      </c>
      <c r="C148" s="1" t="s">
        <v>1</v>
      </c>
      <c r="D148" s="1" t="s">
        <v>2</v>
      </c>
      <c r="E148" s="1" t="s">
        <v>3</v>
      </c>
      <c r="F148" s="1" t="s">
        <v>4</v>
      </c>
      <c r="G148" s="1" t="s">
        <v>5</v>
      </c>
      <c r="H148" s="1" t="s">
        <v>6</v>
      </c>
      <c r="I148" s="1" t="s">
        <v>7</v>
      </c>
      <c r="J148" s="1" t="s">
        <v>8</v>
      </c>
      <c r="K148" s="1" t="s">
        <v>9</v>
      </c>
      <c r="L148" s="1" t="s">
        <v>10</v>
      </c>
      <c r="M148" s="1" t="s">
        <v>11</v>
      </c>
      <c r="N148" s="1" t="s">
        <v>12</v>
      </c>
      <c r="Q148" s="64" t="s">
        <v>179</v>
      </c>
      <c r="R148" s="64" t="s">
        <v>94</v>
      </c>
    </row>
    <row r="149" spans="1:25" ht="18" x14ac:dyDescent="0.35">
      <c r="A149" s="432" t="s">
        <v>156</v>
      </c>
      <c r="B149" s="746">
        <f t="shared" ref="B149:M149" si="114">+$N$149/$N$66*B66</f>
        <v>-36.708483185840713</v>
      </c>
      <c r="C149" s="746">
        <f t="shared" si="114"/>
        <v>-36.696116814159296</v>
      </c>
      <c r="D149" s="508">
        <f t="shared" si="114"/>
        <v>-36.69684424778761</v>
      </c>
      <c r="E149" s="508">
        <f t="shared" si="114"/>
        <v>-34.953185840707967</v>
      </c>
      <c r="F149" s="508">
        <f t="shared" si="114"/>
        <v>-26.760828318584071</v>
      </c>
      <c r="G149" s="508">
        <f t="shared" si="114"/>
        <v>-38.746752212389381</v>
      </c>
      <c r="H149" s="508">
        <f t="shared" si="114"/>
        <v>-30.587856637168144</v>
      </c>
      <c r="I149" s="508">
        <f t="shared" si="114"/>
        <v>-28.479026548672568</v>
      </c>
      <c r="J149" s="508">
        <f t="shared" si="114"/>
        <v>-39.086463716814158</v>
      </c>
      <c r="K149" s="508">
        <f t="shared" si="114"/>
        <v>-35.315447787610623</v>
      </c>
      <c r="L149" s="508">
        <f t="shared" si="114"/>
        <v>-37.395907964601768</v>
      </c>
      <c r="M149" s="508">
        <f t="shared" si="114"/>
        <v>-29.589090265486728</v>
      </c>
      <c r="N149" s="450">
        <v>-411</v>
      </c>
      <c r="O149" s="105" t="s">
        <v>594</v>
      </c>
      <c r="Q149" s="30">
        <f>SUMIFS(B149:M149,$B$2:$M$2,$X$3)</f>
        <v>-38.746752212389381</v>
      </c>
      <c r="R149" s="30">
        <f>SUMIFS(B149:M149,$B$1:$M$1,$Y$3)</f>
        <v>-210.56221061946906</v>
      </c>
      <c r="T149" s="512" t="s">
        <v>492</v>
      </c>
      <c r="U149" s="512"/>
      <c r="V149" s="512"/>
      <c r="W149" s="512"/>
      <c r="X149" s="512"/>
      <c r="Y149" s="512"/>
    </row>
    <row r="150" spans="1:25" x14ac:dyDescent="0.3">
      <c r="A150" s="432" t="s">
        <v>75</v>
      </c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13"/>
      <c r="Q150" s="30">
        <f t="shared" ref="Q150:Q175" si="115">SUMIFS(B150:M150,$B$2:$M$2,$X$3)</f>
        <v>0</v>
      </c>
      <c r="R150" s="30">
        <f t="shared" ref="R150:R175" si="116">SUMIFS(B150:M150,$B$1:$M$1,$Y$3)</f>
        <v>0</v>
      </c>
    </row>
    <row r="151" spans="1:25" x14ac:dyDescent="0.3">
      <c r="A151" s="433" t="s">
        <v>195</v>
      </c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450">
        <v>0</v>
      </c>
      <c r="Q151" s="30">
        <f t="shared" si="115"/>
        <v>0</v>
      </c>
      <c r="R151" s="30">
        <f t="shared" si="116"/>
        <v>0</v>
      </c>
    </row>
    <row r="152" spans="1:25" ht="15" thickBot="1" x14ac:dyDescent="0.35">
      <c r="A152" s="435" t="s">
        <v>196</v>
      </c>
      <c r="B152" s="444">
        <f>SUM(B149:B151)</f>
        <v>-36.708483185840713</v>
      </c>
      <c r="C152" s="444">
        <f t="shared" ref="C152:N152" si="117">SUM(C149:C151)</f>
        <v>-36.696116814159296</v>
      </c>
      <c r="D152" s="444">
        <f t="shared" si="117"/>
        <v>-36.69684424778761</v>
      </c>
      <c r="E152" s="444">
        <f t="shared" si="117"/>
        <v>-34.953185840707967</v>
      </c>
      <c r="F152" s="444">
        <f t="shared" si="117"/>
        <v>-26.760828318584071</v>
      </c>
      <c r="G152" s="444">
        <f t="shared" si="117"/>
        <v>-38.746752212389381</v>
      </c>
      <c r="H152" s="444">
        <f t="shared" si="117"/>
        <v>-30.587856637168144</v>
      </c>
      <c r="I152" s="444">
        <f t="shared" si="117"/>
        <v>-28.479026548672568</v>
      </c>
      <c r="J152" s="444">
        <f t="shared" si="117"/>
        <v>-39.086463716814158</v>
      </c>
      <c r="K152" s="444">
        <f t="shared" si="117"/>
        <v>-35.315447787610623</v>
      </c>
      <c r="L152" s="444">
        <f t="shared" si="117"/>
        <v>-37.395907964601768</v>
      </c>
      <c r="M152" s="444">
        <f t="shared" si="117"/>
        <v>-29.589090265486728</v>
      </c>
      <c r="N152" s="444">
        <f t="shared" si="117"/>
        <v>-411</v>
      </c>
      <c r="Q152" s="444">
        <f t="shared" si="115"/>
        <v>-38.746752212389381</v>
      </c>
      <c r="R152" s="444">
        <f t="shared" si="116"/>
        <v>-210.56221061946906</v>
      </c>
    </row>
    <row r="153" spans="1:25" x14ac:dyDescent="0.3">
      <c r="A153" s="434" t="s">
        <v>80</v>
      </c>
      <c r="B153" s="503">
        <v>-42</v>
      </c>
      <c r="C153" s="503">
        <v>-42</v>
      </c>
      <c r="D153" s="503">
        <v>-42</v>
      </c>
      <c r="E153" s="503">
        <v>-42</v>
      </c>
      <c r="F153" s="503">
        <v>-42</v>
      </c>
      <c r="G153" s="503">
        <v>-42</v>
      </c>
      <c r="H153" s="503">
        <v>-15</v>
      </c>
      <c r="I153" s="503">
        <v>-15</v>
      </c>
      <c r="J153" s="503">
        <v>-42</v>
      </c>
      <c r="K153" s="503">
        <v>-42</v>
      </c>
      <c r="L153" s="503">
        <v>-42</v>
      </c>
      <c r="M153" s="503">
        <v>-21</v>
      </c>
      <c r="N153" s="452">
        <v>-428.4</v>
      </c>
      <c r="Q153" s="30">
        <f t="shared" si="115"/>
        <v>-42</v>
      </c>
      <c r="R153" s="30">
        <f t="shared" si="116"/>
        <v>-252</v>
      </c>
    </row>
    <row r="154" spans="1:25" x14ac:dyDescent="0.3">
      <c r="A154" s="433" t="s">
        <v>81</v>
      </c>
      <c r="B154" s="503">
        <v>7</v>
      </c>
      <c r="C154" s="503">
        <v>8</v>
      </c>
      <c r="D154" s="503">
        <v>7</v>
      </c>
      <c r="E154" s="503">
        <v>7</v>
      </c>
      <c r="F154" s="503">
        <v>7</v>
      </c>
      <c r="G154" s="503">
        <v>7</v>
      </c>
      <c r="H154" s="503">
        <v>7</v>
      </c>
      <c r="I154" s="503">
        <v>7</v>
      </c>
      <c r="J154" s="503">
        <v>7</v>
      </c>
      <c r="K154" s="503">
        <v>7</v>
      </c>
      <c r="L154" s="503">
        <v>6</v>
      </c>
      <c r="M154" s="503">
        <v>6</v>
      </c>
      <c r="N154" s="452">
        <v>83</v>
      </c>
      <c r="Q154" s="30">
        <f t="shared" si="115"/>
        <v>7</v>
      </c>
      <c r="R154" s="30">
        <f t="shared" si="116"/>
        <v>43</v>
      </c>
    </row>
    <row r="155" spans="1:25" x14ac:dyDescent="0.3">
      <c r="A155" s="433" t="s">
        <v>82</v>
      </c>
      <c r="B155" s="504">
        <v>-13.179533531022013</v>
      </c>
      <c r="C155" s="504">
        <v>-13.04711058027776</v>
      </c>
      <c r="D155" s="504">
        <v>-12.917156752265736</v>
      </c>
      <c r="E155" s="504">
        <v>-12.259796368771944</v>
      </c>
      <c r="F155" s="504">
        <v>-9.611331647457158</v>
      </c>
      <c r="G155" s="504">
        <v>-13.429082459356131</v>
      </c>
      <c r="H155" s="504">
        <v>-12.076772981911315</v>
      </c>
      <c r="I155" s="504">
        <v>-10.835903269054016</v>
      </c>
      <c r="J155" s="504">
        <v>-14.349496021060355</v>
      </c>
      <c r="K155" s="504">
        <v>-12.462086434645601</v>
      </c>
      <c r="L155" s="504">
        <v>-13.687672810313115</v>
      </c>
      <c r="M155" s="504">
        <v>-10.700239140466527</v>
      </c>
      <c r="N155" s="452">
        <v>-149.76</v>
      </c>
      <c r="Q155" s="30">
        <f t="shared" si="115"/>
        <v>-13.429082459356131</v>
      </c>
      <c r="R155" s="30">
        <f t="shared" si="116"/>
        <v>-74.444011339150734</v>
      </c>
    </row>
    <row r="156" spans="1:25" x14ac:dyDescent="0.3">
      <c r="A156" s="433" t="s">
        <v>83</v>
      </c>
      <c r="B156" s="503">
        <v>-2</v>
      </c>
      <c r="C156" s="503">
        <v>-2</v>
      </c>
      <c r="D156" s="503">
        <v>-2</v>
      </c>
      <c r="E156" s="503">
        <v>-2</v>
      </c>
      <c r="F156" s="503">
        <v>-2</v>
      </c>
      <c r="G156" s="503">
        <v>-2</v>
      </c>
      <c r="H156" s="503">
        <v>-2</v>
      </c>
      <c r="I156" s="503">
        <v>-2</v>
      </c>
      <c r="J156" s="503">
        <v>-2</v>
      </c>
      <c r="K156" s="503">
        <v>-2</v>
      </c>
      <c r="L156" s="503">
        <v>-2</v>
      </c>
      <c r="M156" s="503">
        <v>-2</v>
      </c>
      <c r="N156" s="30">
        <v>-22</v>
      </c>
      <c r="Q156" s="30">
        <f t="shared" si="115"/>
        <v>-2</v>
      </c>
      <c r="R156" s="30">
        <f t="shared" si="116"/>
        <v>-12</v>
      </c>
    </row>
    <row r="157" spans="1:25" x14ac:dyDescent="0.3">
      <c r="A157" s="433" t="s">
        <v>84</v>
      </c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450"/>
      <c r="Q157" s="30">
        <f t="shared" si="115"/>
        <v>0</v>
      </c>
      <c r="R157" s="30">
        <f t="shared" si="116"/>
        <v>0</v>
      </c>
    </row>
    <row r="158" spans="1:25" x14ac:dyDescent="0.3">
      <c r="A158" s="433" t="s">
        <v>86</v>
      </c>
      <c r="B158" s="504">
        <v>-5.7388241666646991</v>
      </c>
      <c r="C158" s="504">
        <v>-7.3085941666662393</v>
      </c>
      <c r="D158" s="504">
        <v>-1.1846774999978607</v>
      </c>
      <c r="E158" s="504">
        <v>-1.728747499999713</v>
      </c>
      <c r="F158" s="504">
        <v>-0.93481749999864405</v>
      </c>
      <c r="G158" s="504">
        <v>1.1397408333348267</v>
      </c>
      <c r="H158" s="504">
        <v>18.503307984299909</v>
      </c>
      <c r="I158" s="504">
        <v>18.796504650966426</v>
      </c>
      <c r="J158" s="504">
        <v>18.228764650966696</v>
      </c>
      <c r="K158" s="504">
        <v>21.213347984300071</v>
      </c>
      <c r="L158" s="504">
        <v>23.99143131763276</v>
      </c>
      <c r="M158" s="504">
        <v>34.23176341182841</v>
      </c>
      <c r="N158" s="30">
        <v>119</v>
      </c>
      <c r="Q158" s="30">
        <f t="shared" si="115"/>
        <v>1.1397408333348267</v>
      </c>
      <c r="R158" s="30">
        <f t="shared" si="116"/>
        <v>-15.755919999992329</v>
      </c>
    </row>
    <row r="159" spans="1:25" ht="15" thickBot="1" x14ac:dyDescent="0.35">
      <c r="A159" s="435" t="s">
        <v>197</v>
      </c>
      <c r="B159" s="444">
        <f>SUM(B153:B158)</f>
        <v>-55.918357697686716</v>
      </c>
      <c r="C159" s="444">
        <f t="shared" ref="C159:N159" si="118">SUM(C153:C158)</f>
        <v>-56.355704746943999</v>
      </c>
      <c r="D159" s="444">
        <f t="shared" si="118"/>
        <v>-51.1018342522636</v>
      </c>
      <c r="E159" s="444">
        <f t="shared" si="118"/>
        <v>-50.988543868771657</v>
      </c>
      <c r="F159" s="444">
        <f t="shared" si="118"/>
        <v>-47.5461491474558</v>
      </c>
      <c r="G159" s="444">
        <f t="shared" si="118"/>
        <v>-49.289341626021304</v>
      </c>
      <c r="H159" s="444">
        <f t="shared" si="118"/>
        <v>-3.5734649976114063</v>
      </c>
      <c r="I159" s="444">
        <f t="shared" si="118"/>
        <v>-2.0393986180875885</v>
      </c>
      <c r="J159" s="444">
        <f t="shared" si="118"/>
        <v>-33.120731370093658</v>
      </c>
      <c r="K159" s="444">
        <f t="shared" si="118"/>
        <v>-28.248738450345527</v>
      </c>
      <c r="L159" s="444">
        <f t="shared" si="118"/>
        <v>-27.696241492680358</v>
      </c>
      <c r="M159" s="444">
        <f t="shared" si="118"/>
        <v>6.5315242713618815</v>
      </c>
      <c r="N159" s="444">
        <f t="shared" si="118"/>
        <v>-398.15999999999997</v>
      </c>
      <c r="Q159" s="444">
        <f t="shared" si="115"/>
        <v>-49.289341626021304</v>
      </c>
      <c r="R159" s="444">
        <f t="shared" si="116"/>
        <v>-311.19993133914312</v>
      </c>
    </row>
    <row r="160" spans="1:25" x14ac:dyDescent="0.3">
      <c r="A160" s="436" t="s">
        <v>88</v>
      </c>
      <c r="B160" s="445">
        <f>B152+B159</f>
        <v>-92.626840883527422</v>
      </c>
      <c r="C160" s="445">
        <f t="shared" ref="C160:N160" si="119">C152+C159</f>
        <v>-93.051821561103296</v>
      </c>
      <c r="D160" s="445">
        <f t="shared" si="119"/>
        <v>-87.79867850005121</v>
      </c>
      <c r="E160" s="445">
        <f t="shared" si="119"/>
        <v>-85.941729709479631</v>
      </c>
      <c r="F160" s="445">
        <f t="shared" si="119"/>
        <v>-74.306977466039868</v>
      </c>
      <c r="G160" s="445">
        <f t="shared" si="119"/>
        <v>-88.036093838410693</v>
      </c>
      <c r="H160" s="445">
        <f t="shared" si="119"/>
        <v>-34.161321634779554</v>
      </c>
      <c r="I160" s="445">
        <f t="shared" si="119"/>
        <v>-30.518425166760156</v>
      </c>
      <c r="J160" s="445">
        <f t="shared" si="119"/>
        <v>-72.207195086907817</v>
      </c>
      <c r="K160" s="445">
        <f t="shared" si="119"/>
        <v>-63.56418623795615</v>
      </c>
      <c r="L160" s="445">
        <f t="shared" si="119"/>
        <v>-65.092149457282119</v>
      </c>
      <c r="M160" s="445">
        <f t="shared" si="119"/>
        <v>-23.057565994124847</v>
      </c>
      <c r="N160" s="445">
        <f t="shared" si="119"/>
        <v>-809.16</v>
      </c>
      <c r="Q160" s="445">
        <f t="shared" si="115"/>
        <v>-88.036093838410693</v>
      </c>
      <c r="R160" s="445">
        <f t="shared" si="116"/>
        <v>-521.76214195861212</v>
      </c>
    </row>
    <row r="161" spans="1:18" x14ac:dyDescent="0.3">
      <c r="A161" s="433" t="s">
        <v>89</v>
      </c>
      <c r="B161" s="446"/>
      <c r="C161" s="446"/>
      <c r="D161" s="446"/>
      <c r="E161" s="446"/>
      <c r="F161" s="446"/>
      <c r="G161" s="446"/>
      <c r="H161" s="446"/>
      <c r="I161" s="446"/>
      <c r="J161" s="446"/>
      <c r="K161" s="446"/>
      <c r="L161" s="446"/>
      <c r="M161" s="446"/>
      <c r="N161" s="13">
        <f t="shared" ref="N161" si="120">SUM(B161:M161)</f>
        <v>0</v>
      </c>
      <c r="Q161" s="446">
        <f t="shared" si="115"/>
        <v>0</v>
      </c>
      <c r="R161" s="446">
        <f t="shared" si="116"/>
        <v>0</v>
      </c>
    </row>
    <row r="162" spans="1:18" x14ac:dyDescent="0.3">
      <c r="A162" s="436" t="s">
        <v>90</v>
      </c>
      <c r="B162" s="445">
        <f>B160+B161</f>
        <v>-92.626840883527422</v>
      </c>
      <c r="C162" s="445">
        <f t="shared" ref="C162:N162" si="121">C160+C161</f>
        <v>-93.051821561103296</v>
      </c>
      <c r="D162" s="445">
        <f t="shared" si="121"/>
        <v>-87.79867850005121</v>
      </c>
      <c r="E162" s="445">
        <f t="shared" si="121"/>
        <v>-85.941729709479631</v>
      </c>
      <c r="F162" s="445">
        <f t="shared" si="121"/>
        <v>-74.306977466039868</v>
      </c>
      <c r="G162" s="445">
        <f t="shared" si="121"/>
        <v>-88.036093838410693</v>
      </c>
      <c r="H162" s="445">
        <f t="shared" si="121"/>
        <v>-34.161321634779554</v>
      </c>
      <c r="I162" s="445">
        <f t="shared" si="121"/>
        <v>-30.518425166760156</v>
      </c>
      <c r="J162" s="445">
        <f t="shared" si="121"/>
        <v>-72.207195086907817</v>
      </c>
      <c r="K162" s="445">
        <f t="shared" si="121"/>
        <v>-63.56418623795615</v>
      </c>
      <c r="L162" s="445">
        <f t="shared" si="121"/>
        <v>-65.092149457282119</v>
      </c>
      <c r="M162" s="445">
        <f t="shared" si="121"/>
        <v>-23.057565994124847</v>
      </c>
      <c r="N162" s="445">
        <f t="shared" si="121"/>
        <v>-809.16</v>
      </c>
      <c r="Q162" s="445">
        <f t="shared" si="115"/>
        <v>-88.036093838410693</v>
      </c>
      <c r="R162" s="445">
        <f t="shared" si="116"/>
        <v>-521.76214195861212</v>
      </c>
    </row>
    <row r="163" spans="1:18" x14ac:dyDescent="0.3">
      <c r="A163" s="433" t="s">
        <v>91</v>
      </c>
      <c r="B163" s="446">
        <f>B114</f>
        <v>0</v>
      </c>
      <c r="C163" s="446">
        <f t="shared" ref="C163:M163" si="122">C114</f>
        <v>0</v>
      </c>
      <c r="D163" s="446">
        <f t="shared" si="122"/>
        <v>0</v>
      </c>
      <c r="E163" s="446">
        <f t="shared" si="122"/>
        <v>0</v>
      </c>
      <c r="F163" s="446">
        <f t="shared" si="122"/>
        <v>0</v>
      </c>
      <c r="G163" s="446">
        <f t="shared" si="122"/>
        <v>0</v>
      </c>
      <c r="H163" s="446">
        <f t="shared" si="122"/>
        <v>0</v>
      </c>
      <c r="I163" s="446">
        <f t="shared" si="122"/>
        <v>0</v>
      </c>
      <c r="J163" s="446">
        <f t="shared" si="122"/>
        <v>0</v>
      </c>
      <c r="K163" s="446">
        <f t="shared" si="122"/>
        <v>0</v>
      </c>
      <c r="L163" s="446">
        <f t="shared" si="122"/>
        <v>0</v>
      </c>
      <c r="M163" s="446">
        <f t="shared" si="122"/>
        <v>0</v>
      </c>
      <c r="N163" s="13">
        <f t="shared" ref="N163" si="123">SUM(B163:M163)</f>
        <v>0</v>
      </c>
      <c r="Q163" s="446">
        <f t="shared" si="115"/>
        <v>0</v>
      </c>
      <c r="R163" s="446">
        <f t="shared" si="116"/>
        <v>0</v>
      </c>
    </row>
    <row r="164" spans="1:18" x14ac:dyDescent="0.3">
      <c r="A164" s="436" t="s">
        <v>92</v>
      </c>
      <c r="B164" s="445">
        <f>B162+B163</f>
        <v>-92.626840883527422</v>
      </c>
      <c r="C164" s="445">
        <f t="shared" ref="C164:N164" si="124">C162+C163</f>
        <v>-93.051821561103296</v>
      </c>
      <c r="D164" s="445">
        <f t="shared" si="124"/>
        <v>-87.79867850005121</v>
      </c>
      <c r="E164" s="445">
        <f t="shared" si="124"/>
        <v>-85.941729709479631</v>
      </c>
      <c r="F164" s="445">
        <f t="shared" si="124"/>
        <v>-74.306977466039868</v>
      </c>
      <c r="G164" s="445">
        <f t="shared" si="124"/>
        <v>-88.036093838410693</v>
      </c>
      <c r="H164" s="445">
        <f t="shared" si="124"/>
        <v>-34.161321634779554</v>
      </c>
      <c r="I164" s="445">
        <f t="shared" si="124"/>
        <v>-30.518425166760156</v>
      </c>
      <c r="J164" s="445">
        <f t="shared" si="124"/>
        <v>-72.207195086907817</v>
      </c>
      <c r="K164" s="445">
        <f t="shared" si="124"/>
        <v>-63.56418623795615</v>
      </c>
      <c r="L164" s="445">
        <f t="shared" si="124"/>
        <v>-65.092149457282119</v>
      </c>
      <c r="M164" s="445">
        <f t="shared" si="124"/>
        <v>-23.057565994124847</v>
      </c>
      <c r="N164" s="445">
        <f t="shared" si="124"/>
        <v>-809.16</v>
      </c>
      <c r="Q164" s="445">
        <f t="shared" si="115"/>
        <v>-88.036093838410693</v>
      </c>
      <c r="R164" s="445">
        <f t="shared" si="116"/>
        <v>-521.76214195861212</v>
      </c>
    </row>
    <row r="165" spans="1:18" x14ac:dyDescent="0.3">
      <c r="A165" s="433" t="s">
        <v>76</v>
      </c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13"/>
      <c r="Q165" s="30">
        <f t="shared" si="115"/>
        <v>0</v>
      </c>
      <c r="R165" s="30">
        <f t="shared" si="116"/>
        <v>0</v>
      </c>
    </row>
    <row r="166" spans="1:18" x14ac:dyDescent="0.3">
      <c r="A166" s="433" t="s">
        <v>77</v>
      </c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13"/>
      <c r="Q166" s="30">
        <f t="shared" si="115"/>
        <v>0</v>
      </c>
      <c r="R166" s="30">
        <f t="shared" si="116"/>
        <v>0</v>
      </c>
    </row>
    <row r="167" spans="1:18" x14ac:dyDescent="0.3">
      <c r="A167" s="433" t="s">
        <v>144</v>
      </c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13">
        <f t="shared" ref="N167" si="125">SUM(B167:M167)</f>
        <v>0</v>
      </c>
      <c r="Q167" s="30">
        <f t="shared" si="115"/>
        <v>0</v>
      </c>
      <c r="R167" s="30">
        <f t="shared" si="116"/>
        <v>0</v>
      </c>
    </row>
    <row r="168" spans="1:18" x14ac:dyDescent="0.3">
      <c r="A168" s="433" t="s">
        <v>85</v>
      </c>
      <c r="B168" s="504">
        <f>+N168/12</f>
        <v>8.3333333333333339</v>
      </c>
      <c r="C168" s="504">
        <f>+B168</f>
        <v>8.3333333333333339</v>
      </c>
      <c r="D168" s="504">
        <f t="shared" ref="D168:M168" si="126">+C168</f>
        <v>8.3333333333333339</v>
      </c>
      <c r="E168" s="504">
        <f t="shared" si="126"/>
        <v>8.3333333333333339</v>
      </c>
      <c r="F168" s="504">
        <f t="shared" si="126"/>
        <v>8.3333333333333339</v>
      </c>
      <c r="G168" s="504">
        <f t="shared" si="126"/>
        <v>8.3333333333333339</v>
      </c>
      <c r="H168" s="504">
        <f t="shared" si="126"/>
        <v>8.3333333333333339</v>
      </c>
      <c r="I168" s="504">
        <f t="shared" si="126"/>
        <v>8.3333333333333339</v>
      </c>
      <c r="J168" s="504">
        <f t="shared" si="126"/>
        <v>8.3333333333333339</v>
      </c>
      <c r="K168" s="504">
        <f t="shared" si="126"/>
        <v>8.3333333333333339</v>
      </c>
      <c r="L168" s="504">
        <f t="shared" si="126"/>
        <v>8.3333333333333339</v>
      </c>
      <c r="M168" s="504">
        <f t="shared" si="126"/>
        <v>8.3333333333333339</v>
      </c>
      <c r="N168" s="13">
        <v>100</v>
      </c>
      <c r="Q168" s="30">
        <f t="shared" si="115"/>
        <v>8.3333333333333339</v>
      </c>
      <c r="R168" s="30">
        <f t="shared" si="116"/>
        <v>50.000000000000007</v>
      </c>
    </row>
    <row r="169" spans="1:18" x14ac:dyDescent="0.3">
      <c r="A169" s="433" t="s">
        <v>145</v>
      </c>
      <c r="B169" s="446"/>
      <c r="C169" s="446"/>
      <c r="D169" s="446"/>
      <c r="E169" s="446"/>
      <c r="F169" s="446"/>
      <c r="G169" s="446"/>
      <c r="H169" s="446"/>
      <c r="I169" s="446"/>
      <c r="J169" s="446"/>
      <c r="K169" s="446"/>
      <c r="L169" s="446"/>
      <c r="M169" s="446"/>
      <c r="N169" s="447"/>
      <c r="Q169" s="446">
        <f t="shared" si="115"/>
        <v>0</v>
      </c>
      <c r="R169" s="446">
        <f t="shared" si="116"/>
        <v>0</v>
      </c>
    </row>
    <row r="170" spans="1:18" x14ac:dyDescent="0.3">
      <c r="A170" s="436" t="s">
        <v>146</v>
      </c>
      <c r="B170" s="445">
        <f>SUM(B165:B169)</f>
        <v>8.3333333333333339</v>
      </c>
      <c r="C170" s="445">
        <f t="shared" ref="C170:M170" si="127">SUM(C165:C169)</f>
        <v>8.3333333333333339</v>
      </c>
      <c r="D170" s="445">
        <f t="shared" si="127"/>
        <v>8.3333333333333339</v>
      </c>
      <c r="E170" s="445">
        <f t="shared" si="127"/>
        <v>8.3333333333333339</v>
      </c>
      <c r="F170" s="445">
        <f t="shared" si="127"/>
        <v>8.3333333333333339</v>
      </c>
      <c r="G170" s="445">
        <f t="shared" si="127"/>
        <v>8.3333333333333339</v>
      </c>
      <c r="H170" s="445">
        <f t="shared" si="127"/>
        <v>8.3333333333333339</v>
      </c>
      <c r="I170" s="445">
        <f t="shared" si="127"/>
        <v>8.3333333333333339</v>
      </c>
      <c r="J170" s="445">
        <f t="shared" si="127"/>
        <v>8.3333333333333339</v>
      </c>
      <c r="K170" s="445">
        <f t="shared" si="127"/>
        <v>8.3333333333333339</v>
      </c>
      <c r="L170" s="445">
        <f t="shared" si="127"/>
        <v>8.3333333333333339</v>
      </c>
      <c r="M170" s="445">
        <f t="shared" si="127"/>
        <v>8.3333333333333339</v>
      </c>
      <c r="N170" s="445">
        <f>SUM(N165:N169)</f>
        <v>100</v>
      </c>
      <c r="Q170" s="445">
        <f t="shared" si="115"/>
        <v>8.3333333333333339</v>
      </c>
      <c r="R170" s="445">
        <f t="shared" si="116"/>
        <v>50.000000000000007</v>
      </c>
    </row>
    <row r="171" spans="1:18" x14ac:dyDescent="0.3">
      <c r="A171" s="433" t="s">
        <v>148</v>
      </c>
      <c r="B171" s="506">
        <v>16.558793615892647</v>
      </c>
      <c r="C171" s="506">
        <v>-51.879615778486794</v>
      </c>
      <c r="D171" s="506">
        <v>-27.404935603907333</v>
      </c>
      <c r="E171" s="506">
        <v>30.487822610307251</v>
      </c>
      <c r="F171" s="506">
        <v>-4.3968736607207104</v>
      </c>
      <c r="G171" s="506">
        <v>7.7281598801854123</v>
      </c>
      <c r="H171" s="506">
        <v>14.826236924765661</v>
      </c>
      <c r="I171" s="506">
        <v>14.731521137148345</v>
      </c>
      <c r="J171" s="506">
        <v>14.449181571452675</v>
      </c>
      <c r="K171" s="506">
        <v>14.231529752632895</v>
      </c>
      <c r="L171" s="506">
        <v>14.287312904968479</v>
      </c>
      <c r="M171" s="506">
        <v>59.843071760200544</v>
      </c>
      <c r="N171" s="447">
        <v>103.5</v>
      </c>
      <c r="Q171" s="446">
        <f t="shared" si="115"/>
        <v>7.7281598801854123</v>
      </c>
      <c r="R171" s="446">
        <f t="shared" si="116"/>
        <v>-28.906648936729521</v>
      </c>
    </row>
    <row r="172" spans="1:18" x14ac:dyDescent="0.3">
      <c r="A172" s="433" t="s">
        <v>149</v>
      </c>
      <c r="B172" s="446"/>
      <c r="C172" s="446"/>
      <c r="D172" s="446"/>
      <c r="E172" s="446"/>
      <c r="F172" s="446"/>
      <c r="G172" s="446"/>
      <c r="H172" s="446"/>
      <c r="I172" s="446"/>
      <c r="J172" s="446"/>
      <c r="K172" s="446"/>
      <c r="L172" s="446"/>
      <c r="M172" s="446"/>
      <c r="N172" s="447">
        <v>0</v>
      </c>
      <c r="Q172" s="446">
        <f t="shared" si="115"/>
        <v>0</v>
      </c>
      <c r="R172" s="446">
        <f t="shared" si="116"/>
        <v>0</v>
      </c>
    </row>
    <row r="173" spans="1:18" x14ac:dyDescent="0.3">
      <c r="A173" s="436" t="s">
        <v>150</v>
      </c>
      <c r="B173" s="445">
        <f>SUM(B171:B172)</f>
        <v>16.558793615892647</v>
      </c>
      <c r="C173" s="445">
        <f t="shared" ref="C173" si="128">SUM(C171:C172)</f>
        <v>-51.879615778486794</v>
      </c>
      <c r="D173" s="445">
        <f t="shared" ref="D173" si="129">SUM(D171:D172)</f>
        <v>-27.404935603907333</v>
      </c>
      <c r="E173" s="445">
        <f t="shared" ref="E173" si="130">SUM(E171:E172)</f>
        <v>30.487822610307251</v>
      </c>
      <c r="F173" s="445">
        <f t="shared" ref="F173" si="131">SUM(F171:F172)</f>
        <v>-4.3968736607207104</v>
      </c>
      <c r="G173" s="445">
        <f t="shared" ref="G173" si="132">SUM(G171:G172)</f>
        <v>7.7281598801854123</v>
      </c>
      <c r="H173" s="445">
        <f t="shared" ref="H173" si="133">SUM(H171:H172)</f>
        <v>14.826236924765661</v>
      </c>
      <c r="I173" s="445">
        <f t="shared" ref="I173" si="134">SUM(I171:I172)</f>
        <v>14.731521137148345</v>
      </c>
      <c r="J173" s="445">
        <f t="shared" ref="J173" si="135">SUM(J171:J172)</f>
        <v>14.449181571452675</v>
      </c>
      <c r="K173" s="445">
        <f t="shared" ref="K173" si="136">SUM(K171:K172)</f>
        <v>14.231529752632895</v>
      </c>
      <c r="L173" s="445">
        <f t="shared" ref="L173" si="137">SUM(L171:L172)</f>
        <v>14.287312904968479</v>
      </c>
      <c r="M173" s="445">
        <f t="shared" ref="M173" si="138">SUM(M171:M172)</f>
        <v>59.843071760200544</v>
      </c>
      <c r="N173" s="445">
        <f t="shared" ref="N173" si="139">SUM(N171:N172)</f>
        <v>103.5</v>
      </c>
      <c r="Q173" s="445">
        <f t="shared" si="115"/>
        <v>7.7281598801854123</v>
      </c>
      <c r="R173" s="445">
        <f t="shared" si="116"/>
        <v>-28.906648936729521</v>
      </c>
    </row>
    <row r="174" spans="1:18" ht="15" thickBot="1" x14ac:dyDescent="0.35">
      <c r="A174" s="509" t="s">
        <v>491</v>
      </c>
      <c r="B174" s="510"/>
      <c r="C174" s="510"/>
      <c r="D174" s="510"/>
      <c r="E174" s="510"/>
      <c r="F174" s="510"/>
      <c r="G174" s="510"/>
      <c r="H174" s="510"/>
      <c r="I174" s="510"/>
      <c r="J174" s="510"/>
      <c r="K174" s="510"/>
      <c r="L174" s="510"/>
      <c r="M174" s="510"/>
      <c r="N174" s="448"/>
      <c r="Q174" s="448">
        <f t="shared" si="115"/>
        <v>0</v>
      </c>
      <c r="R174" s="448">
        <f t="shared" si="116"/>
        <v>0</v>
      </c>
    </row>
    <row r="175" spans="1:18" x14ac:dyDescent="0.3">
      <c r="A175" s="436" t="s">
        <v>152</v>
      </c>
      <c r="B175" s="445">
        <f>B164+B170+B173</f>
        <v>-67.734713934301453</v>
      </c>
      <c r="C175" s="445">
        <f t="shared" ref="C175:N175" si="140">C164+C170+C173</f>
        <v>-136.59810400625676</v>
      </c>
      <c r="D175" s="445">
        <f t="shared" si="140"/>
        <v>-106.87028077062521</v>
      </c>
      <c r="E175" s="445">
        <f t="shared" si="140"/>
        <v>-47.120573765839055</v>
      </c>
      <c r="F175" s="445">
        <f t="shared" si="140"/>
        <v>-70.370517793427254</v>
      </c>
      <c r="G175" s="445">
        <f t="shared" si="140"/>
        <v>-71.974600624891949</v>
      </c>
      <c r="H175" s="445">
        <f t="shared" si="140"/>
        <v>-11.001751376680557</v>
      </c>
      <c r="I175" s="445">
        <f t="shared" si="140"/>
        <v>-7.4535706962784793</v>
      </c>
      <c r="J175" s="445">
        <f t="shared" si="140"/>
        <v>-49.424680182121804</v>
      </c>
      <c r="K175" s="445">
        <f t="shared" si="140"/>
        <v>-40.99932315198992</v>
      </c>
      <c r="L175" s="445">
        <f t="shared" si="140"/>
        <v>-42.471503218980303</v>
      </c>
      <c r="M175" s="445">
        <f t="shared" si="140"/>
        <v>45.11883909940903</v>
      </c>
      <c r="N175" s="451">
        <f t="shared" si="140"/>
        <v>-605.66</v>
      </c>
      <c r="Q175" s="445">
        <f t="shared" si="115"/>
        <v>-71.974600624891949</v>
      </c>
      <c r="R175" s="445">
        <f t="shared" si="116"/>
        <v>-500.66879089534166</v>
      </c>
    </row>
    <row r="176" spans="1:18" x14ac:dyDescent="0.3">
      <c r="A176" s="27"/>
      <c r="B176" s="87"/>
      <c r="C176" s="87"/>
      <c r="D176" s="87"/>
      <c r="E176" s="87"/>
      <c r="F176" s="87"/>
      <c r="G176" s="87"/>
      <c r="H176" s="87"/>
      <c r="I176" s="87"/>
      <c r="J176" s="87"/>
      <c r="K176" s="87"/>
      <c r="L176" s="87"/>
      <c r="M176" s="87"/>
    </row>
    <row r="177" spans="1:18" s="456" customFormat="1" x14ac:dyDescent="0.3">
      <c r="B177" s="465"/>
      <c r="C177" s="465"/>
      <c r="D177" s="465"/>
      <c r="E177" s="465"/>
      <c r="F177" s="465"/>
      <c r="G177" s="465"/>
      <c r="H177" s="465"/>
      <c r="I177" s="465"/>
      <c r="J177" s="465"/>
      <c r="K177" s="465"/>
      <c r="L177" s="465"/>
      <c r="M177" s="465"/>
      <c r="O177" s="459"/>
    </row>
    <row r="178" spans="1:18" x14ac:dyDescent="0.3">
      <c r="A178" s="27"/>
    </row>
    <row r="179" spans="1:18" ht="23.4" x14ac:dyDescent="0.45">
      <c r="A179" s="485" t="s">
        <v>478</v>
      </c>
      <c r="B179" s="1" t="s">
        <v>0</v>
      </c>
      <c r="C179" s="1" t="s">
        <v>1</v>
      </c>
      <c r="D179" s="1" t="s">
        <v>2</v>
      </c>
      <c r="E179" s="1" t="s">
        <v>3</v>
      </c>
      <c r="F179" s="1" t="s">
        <v>4</v>
      </c>
      <c r="G179" s="1" t="s">
        <v>5</v>
      </c>
      <c r="H179" s="1" t="s">
        <v>6</v>
      </c>
      <c r="I179" s="1" t="s">
        <v>7</v>
      </c>
      <c r="J179" s="1" t="s">
        <v>8</v>
      </c>
      <c r="K179" s="1" t="s">
        <v>9</v>
      </c>
      <c r="L179" s="1" t="s">
        <v>10</v>
      </c>
      <c r="M179" s="1" t="s">
        <v>11</v>
      </c>
      <c r="N179" s="1" t="s">
        <v>12</v>
      </c>
      <c r="Q179" s="64" t="s">
        <v>179</v>
      </c>
      <c r="R179" s="64" t="s">
        <v>94</v>
      </c>
    </row>
    <row r="180" spans="1:18" x14ac:dyDescent="0.3">
      <c r="A180" s="432" t="s">
        <v>156</v>
      </c>
      <c r="B180" s="748">
        <f>B211-(B5+B70+B118+B149)</f>
        <v>-13.073387515445688</v>
      </c>
      <c r="C180" s="748">
        <f t="shared" ref="C180:M180" si="141">C211-(C5+C70+C118+C149)</f>
        <v>-6.6660456661202261</v>
      </c>
      <c r="D180" s="504">
        <f t="shared" si="141"/>
        <v>31.510152275566554</v>
      </c>
      <c r="E180" s="504">
        <f t="shared" si="141"/>
        <v>63.025511845103836</v>
      </c>
      <c r="F180" s="504">
        <f t="shared" si="141"/>
        <v>37.338164868599733</v>
      </c>
      <c r="G180" s="504">
        <f t="shared" si="141"/>
        <v>66.129738612161361</v>
      </c>
      <c r="H180" s="504">
        <f t="shared" si="141"/>
        <v>-22.812999519031905</v>
      </c>
      <c r="I180" s="504">
        <f t="shared" si="141"/>
        <v>-45.298185116585728</v>
      </c>
      <c r="J180" s="504">
        <f t="shared" si="141"/>
        <v>90.960705526866775</v>
      </c>
      <c r="K180" s="504">
        <f t="shared" si="141"/>
        <v>125.53221873883126</v>
      </c>
      <c r="L180" s="504">
        <f t="shared" si="141"/>
        <v>42.775127383539939</v>
      </c>
      <c r="M180" s="504">
        <f t="shared" si="141"/>
        <v>90.691027382037987</v>
      </c>
      <c r="N180" s="720">
        <f t="shared" ref="N180:N205" si="142">SUM(B180:M180)</f>
        <v>460.1120288155239</v>
      </c>
      <c r="O180" s="105">
        <f>+SUM(B180:M180)-N180</f>
        <v>0</v>
      </c>
      <c r="Q180" s="30">
        <f>SUMIFS(B180:M180,$B$2:$M$2,$X$3)</f>
        <v>66.129738612161361</v>
      </c>
      <c r="R180" s="30">
        <f>SUMIFS(B180:M180,$B$1:$M$1,$Y$3)</f>
        <v>178.26413441986557</v>
      </c>
    </row>
    <row r="181" spans="1:18" x14ac:dyDescent="0.3">
      <c r="A181" s="432" t="s">
        <v>75</v>
      </c>
      <c r="B181" s="504">
        <f t="shared" ref="B181:M181" si="143">B212-(B6+B71+B119+B150)</f>
        <v>-1.9248993628776461</v>
      </c>
      <c r="C181" s="504">
        <f t="shared" si="143"/>
        <v>-2.8372648417500415</v>
      </c>
      <c r="D181" s="504">
        <f t="shared" si="143"/>
        <v>-2.4847789113554128</v>
      </c>
      <c r="E181" s="504">
        <f t="shared" si="143"/>
        <v>-2.0736488934155446</v>
      </c>
      <c r="F181" s="504">
        <f t="shared" si="143"/>
        <v>-2.5168713273120034</v>
      </c>
      <c r="G181" s="504">
        <f t="shared" si="143"/>
        <v>-4.1759044722314229</v>
      </c>
      <c r="H181" s="504">
        <f t="shared" si="143"/>
        <v>-2.3617859264990315</v>
      </c>
      <c r="I181" s="504">
        <f t="shared" si="143"/>
        <v>-4.6881519624477548</v>
      </c>
      <c r="J181" s="504">
        <f t="shared" si="143"/>
        <v>0.25811197200954439</v>
      </c>
      <c r="K181" s="504">
        <f t="shared" si="143"/>
        <v>-0.73116131183645905</v>
      </c>
      <c r="L181" s="504">
        <f t="shared" si="143"/>
        <v>-2.5263338974652356</v>
      </c>
      <c r="M181" s="504">
        <f t="shared" si="143"/>
        <v>-4.3362095899136577</v>
      </c>
      <c r="N181" s="523">
        <f t="shared" si="142"/>
        <v>-30.398898525094666</v>
      </c>
      <c r="O181" s="105">
        <f t="shared" ref="O181:O206" si="144">+SUM(B181:M181)-N181</f>
        <v>0</v>
      </c>
      <c r="Q181" s="30">
        <f t="shared" ref="Q181:Q206" si="145">SUMIFS(B181:M181,$B$2:$M$2,$X$3)</f>
        <v>-4.1759044722314229</v>
      </c>
      <c r="R181" s="30">
        <f t="shared" ref="R181:R206" si="146">SUMIFS(B181:M181,$B$1:$M$1,$Y$3)</f>
        <v>-16.013367808942071</v>
      </c>
    </row>
    <row r="182" spans="1:18" x14ac:dyDescent="0.3">
      <c r="A182" s="433" t="s">
        <v>195</v>
      </c>
      <c r="B182" s="504">
        <f t="shared" ref="B182:M182" si="147">B213-(B7+B72+B120+B151)</f>
        <v>-8.8085912879947159E-3</v>
      </c>
      <c r="C182" s="504">
        <f t="shared" si="147"/>
        <v>-2.8328471580607584E-3</v>
      </c>
      <c r="D182" s="504">
        <f t="shared" si="147"/>
        <v>-3.1843615186453178E-3</v>
      </c>
      <c r="E182" s="504">
        <f t="shared" si="147"/>
        <v>1.3785901460909855E-3</v>
      </c>
      <c r="F182" s="504">
        <f t="shared" si="147"/>
        <v>-0.22174788636104203</v>
      </c>
      <c r="G182" s="504">
        <f t="shared" si="147"/>
        <v>-0.15363563474420872</v>
      </c>
      <c r="H182" s="504">
        <f t="shared" si="147"/>
        <v>0.43962697553502394</v>
      </c>
      <c r="I182" s="504">
        <f t="shared" si="147"/>
        <v>0.2023381236551085</v>
      </c>
      <c r="J182" s="504">
        <f t="shared" si="147"/>
        <v>0.27020715886289537</v>
      </c>
      <c r="K182" s="504">
        <f t="shared" si="147"/>
        <v>-0.50104239586778654</v>
      </c>
      <c r="L182" s="504">
        <f t="shared" si="147"/>
        <v>0.21596204125395957</v>
      </c>
      <c r="M182" s="504">
        <f t="shared" si="147"/>
        <v>-1.8198582186112944</v>
      </c>
      <c r="N182" s="720">
        <f t="shared" si="142"/>
        <v>-1.5815970460959541</v>
      </c>
      <c r="O182" s="105">
        <f t="shared" si="144"/>
        <v>0</v>
      </c>
      <c r="Q182" s="30">
        <f t="shared" si="145"/>
        <v>-0.15363563474420872</v>
      </c>
      <c r="R182" s="30">
        <f t="shared" si="146"/>
        <v>-0.38883073092386056</v>
      </c>
    </row>
    <row r="183" spans="1:18" ht="15" thickBot="1" x14ac:dyDescent="0.35">
      <c r="A183" s="435" t="s">
        <v>196</v>
      </c>
      <c r="B183" s="444">
        <f>SUM(B180:B182)</f>
        <v>-15.007095469611329</v>
      </c>
      <c r="C183" s="444">
        <f t="shared" ref="C183:M183" si="148">SUM(C180:C182)</f>
        <v>-9.5061433550283283</v>
      </c>
      <c r="D183" s="444">
        <f t="shared" si="148"/>
        <v>29.022189002692496</v>
      </c>
      <c r="E183" s="444">
        <f t="shared" si="148"/>
        <v>60.95324154183438</v>
      </c>
      <c r="F183" s="444">
        <f t="shared" si="148"/>
        <v>34.599545654926686</v>
      </c>
      <c r="G183" s="444">
        <f t="shared" si="148"/>
        <v>61.800198505185733</v>
      </c>
      <c r="H183" s="444">
        <f t="shared" si="148"/>
        <v>-24.735158469995913</v>
      </c>
      <c r="I183" s="444">
        <f t="shared" si="148"/>
        <v>-49.783998955378372</v>
      </c>
      <c r="J183" s="444">
        <f t="shared" si="148"/>
        <v>91.489024657739208</v>
      </c>
      <c r="K183" s="444">
        <f t="shared" si="148"/>
        <v>124.30001503112702</v>
      </c>
      <c r="L183" s="444">
        <f t="shared" si="148"/>
        <v>40.464755527328663</v>
      </c>
      <c r="M183" s="444">
        <f t="shared" si="148"/>
        <v>84.534959573513021</v>
      </c>
      <c r="N183" s="444">
        <f>SUM(N180:N182)</f>
        <v>428.1315332443333</v>
      </c>
      <c r="O183" s="105">
        <f t="shared" si="144"/>
        <v>0</v>
      </c>
      <c r="Q183" s="444">
        <f t="shared" si="145"/>
        <v>61.800198505185733</v>
      </c>
      <c r="R183" s="444">
        <f t="shared" si="146"/>
        <v>161.86193587999963</v>
      </c>
    </row>
    <row r="184" spans="1:18" x14ac:dyDescent="0.3">
      <c r="A184" s="434" t="s">
        <v>80</v>
      </c>
      <c r="B184" s="504">
        <f>B215-(B9+B122+B153)</f>
        <v>36.808953488222812</v>
      </c>
      <c r="C184" s="504">
        <f t="shared" ref="C184:M184" si="149">C215-(C9+C122+C153)</f>
        <v>37.166386811601086</v>
      </c>
      <c r="D184" s="504">
        <f t="shared" si="149"/>
        <v>54.013181005166757</v>
      </c>
      <c r="E184" s="504">
        <f t="shared" si="149"/>
        <v>46.759273934208949</v>
      </c>
      <c r="F184" s="504">
        <f t="shared" si="149"/>
        <v>54.454987028532457</v>
      </c>
      <c r="G184" s="504">
        <f t="shared" si="149"/>
        <v>-18.861441915291721</v>
      </c>
      <c r="H184" s="504">
        <f t="shared" si="149"/>
        <v>-39.577779059149435</v>
      </c>
      <c r="I184" s="504">
        <f t="shared" si="149"/>
        <v>-33.933453181605103</v>
      </c>
      <c r="J184" s="504">
        <f t="shared" si="149"/>
        <v>-10.347514805089588</v>
      </c>
      <c r="K184" s="504">
        <f t="shared" si="149"/>
        <v>-17.196951820654533</v>
      </c>
      <c r="L184" s="504">
        <f t="shared" si="149"/>
        <v>-22.584096701307089</v>
      </c>
      <c r="M184" s="504">
        <f t="shared" si="149"/>
        <v>34.26726158033091</v>
      </c>
      <c r="N184" s="721">
        <f t="shared" si="142"/>
        <v>120.9688063649655</v>
      </c>
      <c r="O184" s="105">
        <f t="shared" si="144"/>
        <v>0</v>
      </c>
      <c r="Q184" s="30">
        <f t="shared" si="145"/>
        <v>-18.861441915291721</v>
      </c>
      <c r="R184" s="30">
        <f t="shared" si="146"/>
        <v>210.34134035244034</v>
      </c>
    </row>
    <row r="185" spans="1:18" x14ac:dyDescent="0.3">
      <c r="A185" s="433" t="s">
        <v>81</v>
      </c>
      <c r="B185" s="504">
        <f t="shared" ref="B185:M185" si="150">B216-(B10+B123+B154)</f>
        <v>16.249995375852208</v>
      </c>
      <c r="C185" s="504">
        <f t="shared" si="150"/>
        <v>12.001485589759511</v>
      </c>
      <c r="D185" s="504">
        <f t="shared" si="150"/>
        <v>7.3225254568037883</v>
      </c>
      <c r="E185" s="504">
        <f t="shared" si="150"/>
        <v>9.0086464726864506</v>
      </c>
      <c r="F185" s="504">
        <f t="shared" si="150"/>
        <v>9.6181698651679</v>
      </c>
      <c r="G185" s="504">
        <f t="shared" si="150"/>
        <v>12.297264902578618</v>
      </c>
      <c r="H185" s="504">
        <f t="shared" si="150"/>
        <v>5.1341135110785103</v>
      </c>
      <c r="I185" s="504">
        <f t="shared" si="150"/>
        <v>2.7152650353008312</v>
      </c>
      <c r="J185" s="504">
        <f t="shared" si="150"/>
        <v>5.8318760847840849</v>
      </c>
      <c r="K185" s="504">
        <f t="shared" si="150"/>
        <v>0.30891078188109589</v>
      </c>
      <c r="L185" s="504">
        <f t="shared" si="150"/>
        <v>-0.41492797849524266</v>
      </c>
      <c r="M185" s="504">
        <f t="shared" si="150"/>
        <v>-2.1891184063835425</v>
      </c>
      <c r="N185" s="721">
        <f t="shared" si="142"/>
        <v>77.884206691014214</v>
      </c>
      <c r="O185" s="105">
        <f t="shared" si="144"/>
        <v>0</v>
      </c>
      <c r="Q185" s="30">
        <f t="shared" si="145"/>
        <v>12.297264902578618</v>
      </c>
      <c r="R185" s="30">
        <f t="shared" si="146"/>
        <v>66.498087662848476</v>
      </c>
    </row>
    <row r="186" spans="1:18" x14ac:dyDescent="0.3">
      <c r="A186" s="433" t="s">
        <v>82</v>
      </c>
      <c r="B186" s="504">
        <f t="shared" ref="B186:M186" si="151">B217-(B11+B124+B155)</f>
        <v>45.529224078561953</v>
      </c>
      <c r="C186" s="504">
        <f t="shared" si="151"/>
        <v>42.202236789836149</v>
      </c>
      <c r="D186" s="504">
        <f t="shared" si="151"/>
        <v>38.937293209143462</v>
      </c>
      <c r="E186" s="504">
        <f t="shared" si="151"/>
        <v>35.248903161840417</v>
      </c>
      <c r="F186" s="504">
        <f t="shared" si="151"/>
        <v>35.841405975287316</v>
      </c>
      <c r="G186" s="504">
        <f t="shared" si="151"/>
        <v>-4.3322821624273899</v>
      </c>
      <c r="H186" s="504">
        <f t="shared" si="151"/>
        <v>8.700810784901563</v>
      </c>
      <c r="I186" s="504">
        <f t="shared" si="151"/>
        <v>10.218923085781</v>
      </c>
      <c r="J186" s="504">
        <f t="shared" si="151"/>
        <v>1.1038381048039696</v>
      </c>
      <c r="K186" s="504">
        <f t="shared" si="151"/>
        <v>-4.1258658986061789</v>
      </c>
      <c r="L186" s="504">
        <f t="shared" si="151"/>
        <v>-2.9103764418313176</v>
      </c>
      <c r="M186" s="504">
        <f t="shared" si="151"/>
        <v>-3.6379286906896482</v>
      </c>
      <c r="N186" s="721">
        <f t="shared" si="142"/>
        <v>202.77618199660131</v>
      </c>
      <c r="O186" s="105">
        <f t="shared" si="144"/>
        <v>0</v>
      </c>
      <c r="Q186" s="30">
        <f t="shared" si="145"/>
        <v>-4.3322821624273899</v>
      </c>
      <c r="R186" s="30">
        <f t="shared" si="146"/>
        <v>193.42678105224192</v>
      </c>
    </row>
    <row r="187" spans="1:18" x14ac:dyDescent="0.3">
      <c r="A187" s="433" t="s">
        <v>83</v>
      </c>
      <c r="B187" s="504">
        <f t="shared" ref="B187:M187" si="152">B218-(B12+B125+B156)</f>
        <v>-0.59999999999999964</v>
      </c>
      <c r="C187" s="504">
        <f t="shared" si="152"/>
        <v>0.40000000000000036</v>
      </c>
      <c r="D187" s="504">
        <f t="shared" si="152"/>
        <v>0.40000000000000036</v>
      </c>
      <c r="E187" s="504">
        <f t="shared" si="152"/>
        <v>-1.0300000000000011</v>
      </c>
      <c r="F187" s="504">
        <f t="shared" si="152"/>
        <v>1.0999999999999996</v>
      </c>
      <c r="G187" s="504">
        <f t="shared" si="152"/>
        <v>-5.17</v>
      </c>
      <c r="H187" s="504">
        <f t="shared" si="152"/>
        <v>-3.4500000000000011</v>
      </c>
      <c r="I187" s="504">
        <f t="shared" si="152"/>
        <v>-3.3600000000000012</v>
      </c>
      <c r="J187" s="504">
        <f t="shared" si="152"/>
        <v>-4.17</v>
      </c>
      <c r="K187" s="504">
        <f t="shared" si="152"/>
        <v>-5.68</v>
      </c>
      <c r="L187" s="504">
        <f t="shared" si="152"/>
        <v>-4.0999999999999996</v>
      </c>
      <c r="M187" s="504">
        <f t="shared" si="152"/>
        <v>-4.84</v>
      </c>
      <c r="N187" s="507">
        <f t="shared" si="142"/>
        <v>-30.500000000000004</v>
      </c>
      <c r="O187" s="105">
        <f t="shared" si="144"/>
        <v>0</v>
      </c>
      <c r="Q187" s="30">
        <f t="shared" si="145"/>
        <v>-5.17</v>
      </c>
      <c r="R187" s="30">
        <f t="shared" si="146"/>
        <v>-4.9000000000000004</v>
      </c>
    </row>
    <row r="188" spans="1:18" x14ac:dyDescent="0.3">
      <c r="A188" s="433" t="s">
        <v>84</v>
      </c>
      <c r="B188" s="504">
        <f t="shared" ref="B188:M188" si="153">B219-(B13+B126+B157)</f>
        <v>5.7693193412276855</v>
      </c>
      <c r="C188" s="504">
        <f t="shared" si="153"/>
        <v>5.1712153888396983</v>
      </c>
      <c r="D188" s="504">
        <f t="shared" si="153"/>
        <v>4.5842635219231553</v>
      </c>
      <c r="E188" s="504">
        <f t="shared" si="153"/>
        <v>4.1277284945055825</v>
      </c>
      <c r="F188" s="504">
        <f t="shared" si="153"/>
        <v>3.6779402901532876</v>
      </c>
      <c r="G188" s="504">
        <f t="shared" si="153"/>
        <v>4.7347992021214651</v>
      </c>
      <c r="H188" s="504">
        <f t="shared" si="153"/>
        <v>3.0003330179776384</v>
      </c>
      <c r="I188" s="504">
        <f t="shared" si="153"/>
        <v>2.7677276765651868</v>
      </c>
      <c r="J188" s="504">
        <f t="shared" si="153"/>
        <v>2.5369684092908429</v>
      </c>
      <c r="K188" s="504">
        <f t="shared" si="153"/>
        <v>2.0408643334552465</v>
      </c>
      <c r="L188" s="504">
        <f t="shared" si="153"/>
        <v>1.5532927601526225</v>
      </c>
      <c r="M188" s="504">
        <f t="shared" si="153"/>
        <v>4.0557953713941828</v>
      </c>
      <c r="N188" s="720">
        <f t="shared" si="142"/>
        <v>44.020247807606594</v>
      </c>
      <c r="O188" s="105">
        <f t="shared" si="144"/>
        <v>0</v>
      </c>
      <c r="Q188" s="30">
        <f t="shared" si="145"/>
        <v>4.7347992021214651</v>
      </c>
      <c r="R188" s="30">
        <f t="shared" si="146"/>
        <v>28.065266238770874</v>
      </c>
    </row>
    <row r="189" spans="1:18" x14ac:dyDescent="0.3">
      <c r="A189" s="433" t="s">
        <v>86</v>
      </c>
      <c r="B189" s="504">
        <f t="shared" ref="B189:M189" si="154">B220-(B14+B127+B158)</f>
        <v>-8.0000000036761776E-4</v>
      </c>
      <c r="C189" s="504">
        <f t="shared" si="154"/>
        <v>5.9999999996307452E-4</v>
      </c>
      <c r="D189" s="504">
        <f t="shared" si="154"/>
        <v>4.4999999998935891E-3</v>
      </c>
      <c r="E189" s="504">
        <f t="shared" si="154"/>
        <v>9.9999999861211109E-5</v>
      </c>
      <c r="F189" s="504">
        <f t="shared" si="154"/>
        <v>9.9999999861211109E-5</v>
      </c>
      <c r="G189" s="504">
        <f t="shared" si="154"/>
        <v>-3.2999999999674401E-3</v>
      </c>
      <c r="H189" s="504">
        <f t="shared" si="154"/>
        <v>6.9999999982428562E-4</v>
      </c>
      <c r="I189" s="504">
        <f t="shared" si="154"/>
        <v>-3.6000000003468813E-3</v>
      </c>
      <c r="J189" s="504">
        <f t="shared" si="154"/>
        <v>3.9999999989959178E-4</v>
      </c>
      <c r="K189" s="504">
        <f t="shared" si="154"/>
        <v>2.4999999997135092E-3</v>
      </c>
      <c r="L189" s="504">
        <f t="shared" si="154"/>
        <v>-5.0000000010186341E-4</v>
      </c>
      <c r="M189" s="504">
        <f t="shared" si="154"/>
        <v>9.9999999747524271E-5</v>
      </c>
      <c r="N189" s="507">
        <f t="shared" si="142"/>
        <v>7.9999999798019417E-4</v>
      </c>
      <c r="O189" s="105">
        <f t="shared" si="144"/>
        <v>0</v>
      </c>
      <c r="Q189" s="30">
        <f t="shared" si="145"/>
        <v>-3.2999999999674401E-3</v>
      </c>
      <c r="R189" s="30">
        <f t="shared" si="146"/>
        <v>1.199999999244028E-3</v>
      </c>
    </row>
    <row r="190" spans="1:18" ht="15" thickBot="1" x14ac:dyDescent="0.35">
      <c r="A190" s="435" t="s">
        <v>197</v>
      </c>
      <c r="B190" s="444">
        <f>SUM(B184:B189)</f>
        <v>103.7566922838643</v>
      </c>
      <c r="C190" s="444">
        <f t="shared" ref="C190:M190" si="155">SUM(C184:C189)</f>
        <v>96.941924580036414</v>
      </c>
      <c r="D190" s="444">
        <f t="shared" si="155"/>
        <v>105.26176319303707</v>
      </c>
      <c r="E190" s="444">
        <f t="shared" si="155"/>
        <v>94.114652063241266</v>
      </c>
      <c r="F190" s="444">
        <f t="shared" si="155"/>
        <v>104.69260315914082</v>
      </c>
      <c r="G190" s="444">
        <f t="shared" si="155"/>
        <v>-11.334959973018996</v>
      </c>
      <c r="H190" s="444">
        <f t="shared" si="155"/>
        <v>-26.191821745191902</v>
      </c>
      <c r="I190" s="444">
        <f t="shared" si="155"/>
        <v>-21.595137383958431</v>
      </c>
      <c r="J190" s="444">
        <f t="shared" si="155"/>
        <v>-5.0444322062107911</v>
      </c>
      <c r="K190" s="444">
        <f t="shared" si="155"/>
        <v>-24.650542603924656</v>
      </c>
      <c r="L190" s="444">
        <f t="shared" si="155"/>
        <v>-28.45660836148113</v>
      </c>
      <c r="M190" s="444">
        <f t="shared" si="155"/>
        <v>27.65610985465165</v>
      </c>
      <c r="N190" s="444">
        <f t="shared" si="142"/>
        <v>415.15024286018559</v>
      </c>
      <c r="O190" s="105">
        <f>+SUM(B190:M190)-N190</f>
        <v>0</v>
      </c>
      <c r="Q190" s="444">
        <f t="shared" si="145"/>
        <v>-11.334959973018996</v>
      </c>
      <c r="R190" s="444">
        <f t="shared" si="146"/>
        <v>493.43267530630084</v>
      </c>
    </row>
    <row r="191" spans="1:18" x14ac:dyDescent="0.3">
      <c r="A191" s="436" t="s">
        <v>88</v>
      </c>
      <c r="B191" s="445">
        <f>B183+B190</f>
        <v>88.749596814252968</v>
      </c>
      <c r="C191" s="445">
        <f t="shared" ref="C191:M191" si="156">C183+C190</f>
        <v>87.435781225008085</v>
      </c>
      <c r="D191" s="445">
        <f t="shared" si="156"/>
        <v>134.28395219572957</v>
      </c>
      <c r="E191" s="445">
        <f t="shared" si="156"/>
        <v>155.06789360507565</v>
      </c>
      <c r="F191" s="445">
        <f t="shared" si="156"/>
        <v>139.2921488140675</v>
      </c>
      <c r="G191" s="445">
        <f t="shared" si="156"/>
        <v>50.465238532166737</v>
      </c>
      <c r="H191" s="445">
        <f t="shared" si="156"/>
        <v>-50.926980215187811</v>
      </c>
      <c r="I191" s="445">
        <f t="shared" si="156"/>
        <v>-71.37913633933681</v>
      </c>
      <c r="J191" s="445">
        <f t="shared" si="156"/>
        <v>86.444592451528422</v>
      </c>
      <c r="K191" s="445">
        <f t="shared" si="156"/>
        <v>99.649472427202369</v>
      </c>
      <c r="L191" s="445">
        <f t="shared" si="156"/>
        <v>12.008147165847532</v>
      </c>
      <c r="M191" s="445">
        <f t="shared" si="156"/>
        <v>112.19106942816467</v>
      </c>
      <c r="N191" s="445">
        <f t="shared" si="142"/>
        <v>843.28177610451894</v>
      </c>
      <c r="O191" s="105">
        <f t="shared" si="144"/>
        <v>0</v>
      </c>
      <c r="Q191" s="445">
        <f t="shared" si="145"/>
        <v>50.465238532166737</v>
      </c>
      <c r="R191" s="445">
        <f t="shared" si="146"/>
        <v>655.29461118630047</v>
      </c>
    </row>
    <row r="192" spans="1:18" x14ac:dyDescent="0.3">
      <c r="A192" s="433" t="s">
        <v>89</v>
      </c>
      <c r="B192" s="446"/>
      <c r="C192" s="446"/>
      <c r="D192" s="446"/>
      <c r="E192" s="446"/>
      <c r="F192" s="446"/>
      <c r="G192" s="446"/>
      <c r="H192" s="446"/>
      <c r="I192" s="446"/>
      <c r="J192" s="446"/>
      <c r="K192" s="446"/>
      <c r="L192" s="446"/>
      <c r="M192" s="446"/>
      <c r="N192" s="13">
        <f t="shared" si="142"/>
        <v>0</v>
      </c>
      <c r="O192" s="105">
        <f t="shared" si="144"/>
        <v>0</v>
      </c>
      <c r="Q192" s="446">
        <f t="shared" si="145"/>
        <v>0</v>
      </c>
      <c r="R192" s="446">
        <f t="shared" si="146"/>
        <v>0</v>
      </c>
    </row>
    <row r="193" spans="1:18" x14ac:dyDescent="0.3">
      <c r="A193" s="436" t="s">
        <v>90</v>
      </c>
      <c r="B193" s="445">
        <f>B191+B192</f>
        <v>88.749596814252968</v>
      </c>
      <c r="C193" s="445">
        <f t="shared" ref="C193:M193" si="157">C191+C192</f>
        <v>87.435781225008085</v>
      </c>
      <c r="D193" s="445">
        <f t="shared" si="157"/>
        <v>134.28395219572957</v>
      </c>
      <c r="E193" s="445">
        <f t="shared" si="157"/>
        <v>155.06789360507565</v>
      </c>
      <c r="F193" s="445">
        <f t="shared" si="157"/>
        <v>139.2921488140675</v>
      </c>
      <c r="G193" s="445">
        <f t="shared" si="157"/>
        <v>50.465238532166737</v>
      </c>
      <c r="H193" s="445">
        <f t="shared" si="157"/>
        <v>-50.926980215187811</v>
      </c>
      <c r="I193" s="445">
        <f t="shared" si="157"/>
        <v>-71.37913633933681</v>
      </c>
      <c r="J193" s="445">
        <f t="shared" si="157"/>
        <v>86.444592451528422</v>
      </c>
      <c r="K193" s="445">
        <f t="shared" si="157"/>
        <v>99.649472427202369</v>
      </c>
      <c r="L193" s="445">
        <f t="shared" si="157"/>
        <v>12.008147165847532</v>
      </c>
      <c r="M193" s="445">
        <f t="shared" si="157"/>
        <v>112.19106942816467</v>
      </c>
      <c r="N193" s="445">
        <f t="shared" si="142"/>
        <v>843.28177610451894</v>
      </c>
      <c r="O193" s="105">
        <f t="shared" si="144"/>
        <v>0</v>
      </c>
      <c r="Q193" s="445">
        <f t="shared" si="145"/>
        <v>50.465238532166737</v>
      </c>
      <c r="R193" s="445">
        <f t="shared" si="146"/>
        <v>655.29461118630047</v>
      </c>
    </row>
    <row r="194" spans="1:18" x14ac:dyDescent="0.3">
      <c r="A194" s="433" t="s">
        <v>91</v>
      </c>
      <c r="B194" s="446">
        <f>B145</f>
        <v>0</v>
      </c>
      <c r="C194" s="446">
        <f t="shared" ref="C194:M194" si="158">C145</f>
        <v>0</v>
      </c>
      <c r="D194" s="446">
        <f t="shared" si="158"/>
        <v>0</v>
      </c>
      <c r="E194" s="446">
        <f t="shared" si="158"/>
        <v>0</v>
      </c>
      <c r="F194" s="446">
        <f t="shared" si="158"/>
        <v>0</v>
      </c>
      <c r="G194" s="446">
        <f t="shared" si="158"/>
        <v>0</v>
      </c>
      <c r="H194" s="446">
        <f t="shared" si="158"/>
        <v>0</v>
      </c>
      <c r="I194" s="446">
        <f t="shared" si="158"/>
        <v>0</v>
      </c>
      <c r="J194" s="446">
        <f t="shared" si="158"/>
        <v>0</v>
      </c>
      <c r="K194" s="446">
        <f t="shared" si="158"/>
        <v>0</v>
      </c>
      <c r="L194" s="446">
        <f t="shared" si="158"/>
        <v>0</v>
      </c>
      <c r="M194" s="446">
        <f t="shared" si="158"/>
        <v>0</v>
      </c>
      <c r="N194" s="13">
        <f t="shared" si="142"/>
        <v>0</v>
      </c>
      <c r="O194" s="105">
        <f t="shared" si="144"/>
        <v>0</v>
      </c>
      <c r="Q194" s="446">
        <f t="shared" si="145"/>
        <v>0</v>
      </c>
      <c r="R194" s="446">
        <f t="shared" si="146"/>
        <v>0</v>
      </c>
    </row>
    <row r="195" spans="1:18" x14ac:dyDescent="0.3">
      <c r="A195" s="436" t="s">
        <v>92</v>
      </c>
      <c r="B195" s="445">
        <f>B193+B194</f>
        <v>88.749596814252968</v>
      </c>
      <c r="C195" s="445">
        <f t="shared" ref="C195:M195" si="159">C193+C194</f>
        <v>87.435781225008085</v>
      </c>
      <c r="D195" s="445">
        <f t="shared" si="159"/>
        <v>134.28395219572957</v>
      </c>
      <c r="E195" s="445">
        <f t="shared" si="159"/>
        <v>155.06789360507565</v>
      </c>
      <c r="F195" s="445">
        <f t="shared" si="159"/>
        <v>139.2921488140675</v>
      </c>
      <c r="G195" s="445">
        <f t="shared" si="159"/>
        <v>50.465238532166737</v>
      </c>
      <c r="H195" s="445">
        <f t="shared" si="159"/>
        <v>-50.926980215187811</v>
      </c>
      <c r="I195" s="445">
        <f t="shared" si="159"/>
        <v>-71.37913633933681</v>
      </c>
      <c r="J195" s="445">
        <f t="shared" si="159"/>
        <v>86.444592451528422</v>
      </c>
      <c r="K195" s="445">
        <f t="shared" si="159"/>
        <v>99.649472427202369</v>
      </c>
      <c r="L195" s="445">
        <f t="shared" si="159"/>
        <v>12.008147165847532</v>
      </c>
      <c r="M195" s="445">
        <f t="shared" si="159"/>
        <v>112.19106942816467</v>
      </c>
      <c r="N195" s="445">
        <f t="shared" si="142"/>
        <v>843.28177610451894</v>
      </c>
      <c r="O195" s="105">
        <f t="shared" si="144"/>
        <v>0</v>
      </c>
      <c r="Q195" s="445">
        <f t="shared" si="145"/>
        <v>50.465238532166737</v>
      </c>
      <c r="R195" s="445">
        <f t="shared" si="146"/>
        <v>655.29461118630047</v>
      </c>
    </row>
    <row r="196" spans="1:18" x14ac:dyDescent="0.3">
      <c r="A196" s="433" t="s">
        <v>76</v>
      </c>
      <c r="B196" s="504">
        <f>B227-(B53+B74+B134)</f>
        <v>1.7464606835718257</v>
      </c>
      <c r="C196" s="504">
        <f t="shared" ref="C196:M197" si="160">C227-(C53+C74+C134)</f>
        <v>1.7549681081874695</v>
      </c>
      <c r="D196" s="504">
        <f t="shared" si="160"/>
        <v>1.7544676714453757</v>
      </c>
      <c r="E196" s="504">
        <f t="shared" si="160"/>
        <v>1.7655145422512781</v>
      </c>
      <c r="F196" s="504">
        <f t="shared" si="160"/>
        <v>1.6089331317448501</v>
      </c>
      <c r="G196" s="504">
        <f t="shared" si="160"/>
        <v>1.8727369322167391</v>
      </c>
      <c r="H196" s="504">
        <f t="shared" si="160"/>
        <v>2.0516354315738603</v>
      </c>
      <c r="I196" s="504">
        <f t="shared" si="160"/>
        <v>1.9654015469123323</v>
      </c>
      <c r="J196" s="504">
        <f t="shared" si="160"/>
        <v>2.8910329736575591</v>
      </c>
      <c r="K196" s="504">
        <f t="shared" si="160"/>
        <v>1.3737970446870982</v>
      </c>
      <c r="L196" s="504">
        <f t="shared" si="160"/>
        <v>2.6835479622903975</v>
      </c>
      <c r="M196" s="504">
        <f t="shared" si="160"/>
        <v>1.214485078472693</v>
      </c>
      <c r="N196" s="13">
        <f t="shared" si="142"/>
        <v>22.682981107011479</v>
      </c>
      <c r="O196" s="105">
        <f t="shared" si="144"/>
        <v>0</v>
      </c>
      <c r="Q196" s="30">
        <f t="shared" si="145"/>
        <v>1.8727369322167391</v>
      </c>
      <c r="R196" s="30">
        <f t="shared" si="146"/>
        <v>10.503081069417538</v>
      </c>
    </row>
    <row r="197" spans="1:18" x14ac:dyDescent="0.3">
      <c r="A197" s="433" t="s">
        <v>77</v>
      </c>
      <c r="B197" s="504">
        <f>B228-(B54+B75+B135)</f>
        <v>7.0694899999999876</v>
      </c>
      <c r="C197" s="504">
        <f t="shared" si="160"/>
        <v>7.048579999999987</v>
      </c>
      <c r="D197" s="504">
        <f t="shared" si="160"/>
        <v>6.0498099999999937</v>
      </c>
      <c r="E197" s="504">
        <f t="shared" si="160"/>
        <v>11.101499999999987</v>
      </c>
      <c r="F197" s="504">
        <f t="shared" si="160"/>
        <v>9.2492399999999932</v>
      </c>
      <c r="G197" s="504">
        <f t="shared" si="160"/>
        <v>12.515949999999989</v>
      </c>
      <c r="H197" s="504">
        <f t="shared" si="160"/>
        <v>7.7202699999999922</v>
      </c>
      <c r="I197" s="504">
        <f t="shared" si="160"/>
        <v>8.1544999999999916</v>
      </c>
      <c r="J197" s="504">
        <f t="shared" si="160"/>
        <v>10.09035999999999</v>
      </c>
      <c r="K197" s="504">
        <f t="shared" si="160"/>
        <v>11.714039999999983</v>
      </c>
      <c r="L197" s="504">
        <f t="shared" si="160"/>
        <v>10.231839999999991</v>
      </c>
      <c r="M197" s="504">
        <f t="shared" si="160"/>
        <v>9.0314799999999877</v>
      </c>
      <c r="N197" s="13">
        <f t="shared" si="142"/>
        <v>109.97705999999988</v>
      </c>
      <c r="O197" s="105">
        <f t="shared" si="144"/>
        <v>0</v>
      </c>
      <c r="Q197" s="30">
        <f t="shared" si="145"/>
        <v>12.515949999999989</v>
      </c>
      <c r="R197" s="30">
        <f t="shared" si="146"/>
        <v>53.034569999999938</v>
      </c>
    </row>
    <row r="198" spans="1:18" x14ac:dyDescent="0.3">
      <c r="A198" s="433" t="s">
        <v>144</v>
      </c>
      <c r="B198" s="504">
        <f t="shared" ref="B198:M198" si="161">B229-(B23+B136+B167)</f>
        <v>0</v>
      </c>
      <c r="C198" s="504">
        <f t="shared" si="161"/>
        <v>0</v>
      </c>
      <c r="D198" s="504">
        <f t="shared" si="161"/>
        <v>0</v>
      </c>
      <c r="E198" s="504">
        <f t="shared" si="161"/>
        <v>0</v>
      </c>
      <c r="F198" s="504">
        <f t="shared" si="161"/>
        <v>0</v>
      </c>
      <c r="G198" s="504">
        <f t="shared" si="161"/>
        <v>0</v>
      </c>
      <c r="H198" s="504">
        <f t="shared" si="161"/>
        <v>0</v>
      </c>
      <c r="I198" s="504">
        <f t="shared" si="161"/>
        <v>0</v>
      </c>
      <c r="J198" s="504">
        <f t="shared" si="161"/>
        <v>0</v>
      </c>
      <c r="K198" s="504">
        <f t="shared" si="161"/>
        <v>0</v>
      </c>
      <c r="L198" s="504">
        <f t="shared" si="161"/>
        <v>0</v>
      </c>
      <c r="M198" s="504">
        <f t="shared" si="161"/>
        <v>0</v>
      </c>
      <c r="N198" s="13">
        <f t="shared" si="142"/>
        <v>0</v>
      </c>
      <c r="O198" s="105">
        <f t="shared" si="144"/>
        <v>0</v>
      </c>
      <c r="Q198" s="30">
        <f t="shared" si="145"/>
        <v>0</v>
      </c>
      <c r="R198" s="30">
        <f t="shared" si="146"/>
        <v>0</v>
      </c>
    </row>
    <row r="199" spans="1:18" x14ac:dyDescent="0.3">
      <c r="A199" s="433" t="s">
        <v>85</v>
      </c>
      <c r="B199" s="504">
        <f t="shared" ref="B199:M199" si="162">B230-(B24+B137+B168)</f>
        <v>0.66666666666666607</v>
      </c>
      <c r="C199" s="504">
        <f t="shared" si="162"/>
        <v>0.66666666666666607</v>
      </c>
      <c r="D199" s="504">
        <f t="shared" si="162"/>
        <v>0.66666666666666607</v>
      </c>
      <c r="E199" s="504">
        <f t="shared" si="162"/>
        <v>0.66666666666666607</v>
      </c>
      <c r="F199" s="504">
        <f t="shared" si="162"/>
        <v>-0.33333333333333393</v>
      </c>
      <c r="G199" s="504">
        <f t="shared" si="162"/>
        <v>-0.33333333333333393</v>
      </c>
      <c r="H199" s="504">
        <f t="shared" si="162"/>
        <v>-0.33333333333333393</v>
      </c>
      <c r="I199" s="504">
        <f t="shared" si="162"/>
        <v>-0.33333333333333393</v>
      </c>
      <c r="J199" s="504">
        <f t="shared" si="162"/>
        <v>-0.33333333333333393</v>
      </c>
      <c r="K199" s="504">
        <f t="shared" si="162"/>
        <v>-0.33333333333333393</v>
      </c>
      <c r="L199" s="504">
        <f t="shared" si="162"/>
        <v>-0.33333333333333393</v>
      </c>
      <c r="M199" s="504">
        <f t="shared" si="162"/>
        <v>-0.33333333333333393</v>
      </c>
      <c r="N199" s="13">
        <f t="shared" si="142"/>
        <v>-7.1054273576010019E-15</v>
      </c>
      <c r="O199" s="105">
        <f t="shared" si="144"/>
        <v>0</v>
      </c>
      <c r="Q199" s="30">
        <f t="shared" si="145"/>
        <v>-0.33333333333333393</v>
      </c>
      <c r="R199" s="30">
        <f t="shared" si="146"/>
        <v>1.9999999999999964</v>
      </c>
    </row>
    <row r="200" spans="1:18" x14ac:dyDescent="0.3">
      <c r="A200" s="433" t="s">
        <v>145</v>
      </c>
      <c r="B200" s="504">
        <f t="shared" ref="B200:M200" si="163">B231-(B25+B138+B169)</f>
        <v>0</v>
      </c>
      <c r="C200" s="504">
        <f t="shared" si="163"/>
        <v>0</v>
      </c>
      <c r="D200" s="504">
        <f t="shared" si="163"/>
        <v>0</v>
      </c>
      <c r="E200" s="504">
        <f t="shared" si="163"/>
        <v>0</v>
      </c>
      <c r="F200" s="504">
        <f t="shared" si="163"/>
        <v>0</v>
      </c>
      <c r="G200" s="504">
        <f t="shared" si="163"/>
        <v>0</v>
      </c>
      <c r="H200" s="504">
        <f t="shared" si="163"/>
        <v>0</v>
      </c>
      <c r="I200" s="504">
        <f t="shared" si="163"/>
        <v>0</v>
      </c>
      <c r="J200" s="504">
        <f t="shared" si="163"/>
        <v>0</v>
      </c>
      <c r="K200" s="504">
        <f t="shared" si="163"/>
        <v>0</v>
      </c>
      <c r="L200" s="504">
        <f t="shared" si="163"/>
        <v>0</v>
      </c>
      <c r="M200" s="504">
        <f t="shared" si="163"/>
        <v>0</v>
      </c>
      <c r="N200" s="447">
        <f t="shared" si="142"/>
        <v>0</v>
      </c>
      <c r="O200" s="105">
        <f t="shared" si="144"/>
        <v>0</v>
      </c>
      <c r="Q200" s="446">
        <f t="shared" si="145"/>
        <v>0</v>
      </c>
      <c r="R200" s="446">
        <f t="shared" si="146"/>
        <v>0</v>
      </c>
    </row>
    <row r="201" spans="1:18" x14ac:dyDescent="0.3">
      <c r="A201" s="436" t="s">
        <v>146</v>
      </c>
      <c r="B201" s="445">
        <f>SUM(B196:B200)</f>
        <v>9.4826173502384794</v>
      </c>
      <c r="C201" s="445">
        <f t="shared" ref="C201:M201" si="164">SUM(C196:C200)</f>
        <v>9.4702147748541226</v>
      </c>
      <c r="D201" s="445">
        <f t="shared" si="164"/>
        <v>8.4709443381120355</v>
      </c>
      <c r="E201" s="445">
        <f t="shared" si="164"/>
        <v>13.533681208917931</v>
      </c>
      <c r="F201" s="445">
        <f t="shared" si="164"/>
        <v>10.524839798411509</v>
      </c>
      <c r="G201" s="445">
        <f t="shared" si="164"/>
        <v>14.055353598883395</v>
      </c>
      <c r="H201" s="445">
        <f t="shared" si="164"/>
        <v>9.4385720982405186</v>
      </c>
      <c r="I201" s="445">
        <f t="shared" si="164"/>
        <v>9.78656821357899</v>
      </c>
      <c r="J201" s="445">
        <f t="shared" si="164"/>
        <v>12.648059640324215</v>
      </c>
      <c r="K201" s="445">
        <f t="shared" si="164"/>
        <v>12.754503711353747</v>
      </c>
      <c r="L201" s="445">
        <f t="shared" si="164"/>
        <v>12.582054628957055</v>
      </c>
      <c r="M201" s="445">
        <f t="shared" si="164"/>
        <v>9.9126317451393469</v>
      </c>
      <c r="N201" s="445">
        <f t="shared" si="142"/>
        <v>132.66004110701135</v>
      </c>
      <c r="O201" s="105">
        <f t="shared" si="144"/>
        <v>0</v>
      </c>
      <c r="Q201" s="445">
        <f t="shared" si="145"/>
        <v>14.055353598883395</v>
      </c>
      <c r="R201" s="445">
        <f t="shared" si="146"/>
        <v>65.537651069417478</v>
      </c>
    </row>
    <row r="202" spans="1:18" x14ac:dyDescent="0.3">
      <c r="A202" s="433" t="s">
        <v>148</v>
      </c>
      <c r="B202" s="446">
        <f>B233-(B27+B140+B171)</f>
        <v>-25.911571115892627</v>
      </c>
      <c r="C202" s="446">
        <f t="shared" ref="C202:M203" si="165">C233-(C27+C140+C171)</f>
        <v>41.886838278486806</v>
      </c>
      <c r="D202" s="446">
        <f t="shared" si="165"/>
        <v>18.072158103907341</v>
      </c>
      <c r="E202" s="446">
        <f t="shared" si="165"/>
        <v>-39.830600110307245</v>
      </c>
      <c r="F202" s="446">
        <f t="shared" si="165"/>
        <v>-14.925903839279272</v>
      </c>
      <c r="G202" s="446">
        <f t="shared" si="165"/>
        <v>-17.070937380185413</v>
      </c>
      <c r="H202" s="446">
        <f t="shared" si="165"/>
        <v>-24.179014424765654</v>
      </c>
      <c r="I202" s="446">
        <f t="shared" si="165"/>
        <v>-24.084298637148336</v>
      </c>
      <c r="J202" s="446">
        <f t="shared" si="165"/>
        <v>-23.801959071452657</v>
      </c>
      <c r="K202" s="446">
        <f t="shared" si="165"/>
        <v>-23.584307252632883</v>
      </c>
      <c r="L202" s="446">
        <f t="shared" si="165"/>
        <v>-23.640090404968461</v>
      </c>
      <c r="M202" s="446">
        <f t="shared" si="165"/>
        <v>-23.895849260200535</v>
      </c>
      <c r="N202" s="447">
        <f t="shared" si="142"/>
        <v>-180.96553511443892</v>
      </c>
      <c r="O202" s="105">
        <f t="shared" si="144"/>
        <v>0</v>
      </c>
      <c r="Q202" s="446">
        <f t="shared" si="145"/>
        <v>-17.070937380185413</v>
      </c>
      <c r="R202" s="446">
        <f t="shared" si="146"/>
        <v>-37.780016063270409</v>
      </c>
    </row>
    <row r="203" spans="1:18" x14ac:dyDescent="0.3">
      <c r="A203" s="433" t="s">
        <v>149</v>
      </c>
      <c r="B203" s="446">
        <f>B234-(B28+B141+B172)</f>
        <v>24.722002141180837</v>
      </c>
      <c r="C203" s="446">
        <f t="shared" si="165"/>
        <v>-43.587997858819179</v>
      </c>
      <c r="D203" s="446">
        <f t="shared" si="165"/>
        <v>-19.73799785881917</v>
      </c>
      <c r="E203" s="446">
        <f t="shared" si="165"/>
        <v>38.322002141180825</v>
      </c>
      <c r="F203" s="446">
        <f t="shared" si="165"/>
        <v>12.622002141180843</v>
      </c>
      <c r="G203" s="446">
        <f t="shared" si="165"/>
        <v>14.612002141180838</v>
      </c>
      <c r="H203" s="446">
        <f t="shared" si="165"/>
        <v>20.442002141180836</v>
      </c>
      <c r="I203" s="446">
        <f t="shared" si="165"/>
        <v>20.442002141180836</v>
      </c>
      <c r="J203" s="446">
        <f t="shared" si="165"/>
        <v>20.442002141180836</v>
      </c>
      <c r="K203" s="446">
        <f t="shared" si="165"/>
        <v>20.442002141180836</v>
      </c>
      <c r="L203" s="446">
        <f t="shared" si="165"/>
        <v>20.442002141180836</v>
      </c>
      <c r="M203" s="446">
        <f t="shared" si="165"/>
        <v>20.442002141180836</v>
      </c>
      <c r="N203" s="447">
        <f t="shared" si="142"/>
        <v>149.60402569417002</v>
      </c>
      <c r="O203" s="105">
        <f t="shared" si="144"/>
        <v>0</v>
      </c>
      <c r="Q203" s="446">
        <f t="shared" si="145"/>
        <v>14.612002141180838</v>
      </c>
      <c r="R203" s="446">
        <f t="shared" si="146"/>
        <v>26.952012847084994</v>
      </c>
    </row>
    <row r="204" spans="1:18" x14ac:dyDescent="0.3">
      <c r="A204" s="436" t="s">
        <v>150</v>
      </c>
      <c r="B204" s="445">
        <f>SUM(B202:B203)</f>
        <v>-1.1895689747117899</v>
      </c>
      <c r="C204" s="445">
        <f t="shared" ref="C204" si="166">SUM(C202:C203)</f>
        <v>-1.7011595803323729</v>
      </c>
      <c r="D204" s="445">
        <f t="shared" ref="D204" si="167">SUM(D202:D203)</f>
        <v>-1.6658397549118291</v>
      </c>
      <c r="E204" s="445">
        <f t="shared" ref="E204" si="168">SUM(E202:E203)</f>
        <v>-1.50859796912642</v>
      </c>
      <c r="F204" s="445">
        <f t="shared" ref="F204" si="169">SUM(F202:F203)</f>
        <v>-2.3039016980984286</v>
      </c>
      <c r="G204" s="445">
        <f t="shared" ref="G204" si="170">SUM(G202:G203)</f>
        <v>-2.4589352390045747</v>
      </c>
      <c r="H204" s="445">
        <f t="shared" ref="H204" si="171">SUM(H202:H203)</f>
        <v>-3.7370122835848179</v>
      </c>
      <c r="I204" s="445">
        <f t="shared" ref="I204" si="172">SUM(I202:I203)</f>
        <v>-3.6422964959674999</v>
      </c>
      <c r="J204" s="445">
        <f t="shared" ref="J204" si="173">SUM(J202:J203)</f>
        <v>-3.3599569302718209</v>
      </c>
      <c r="K204" s="445">
        <f t="shared" ref="K204" si="174">SUM(K202:K203)</f>
        <v>-3.1423051114520462</v>
      </c>
      <c r="L204" s="445">
        <f t="shared" ref="L204" si="175">SUM(L202:L203)</f>
        <v>-3.1980882637876249</v>
      </c>
      <c r="M204" s="445">
        <f t="shared" ref="M204" si="176">SUM(M202:M203)</f>
        <v>-3.4538471190196987</v>
      </c>
      <c r="N204" s="445">
        <f t="shared" si="142"/>
        <v>-31.361509420268924</v>
      </c>
      <c r="O204" s="105">
        <f t="shared" si="144"/>
        <v>0</v>
      </c>
      <c r="Q204" s="445">
        <f t="shared" si="145"/>
        <v>-2.4589352390045747</v>
      </c>
      <c r="R204" s="445">
        <f t="shared" si="146"/>
        <v>-10.828003216185415</v>
      </c>
    </row>
    <row r="205" spans="1:18" x14ac:dyDescent="0.3">
      <c r="A205" s="433" t="s">
        <v>91</v>
      </c>
      <c r="B205" s="446">
        <f>B225-(B19+B132+B163)</f>
        <v>0</v>
      </c>
      <c r="C205" s="446">
        <f t="shared" ref="C205:M205" si="177">C225-(C19+C132+C163)</f>
        <v>0</v>
      </c>
      <c r="D205" s="446">
        <f t="shared" si="177"/>
        <v>0</v>
      </c>
      <c r="E205" s="446">
        <f t="shared" si="177"/>
        <v>0</v>
      </c>
      <c r="F205" s="446">
        <f t="shared" si="177"/>
        <v>0</v>
      </c>
      <c r="G205" s="446">
        <f t="shared" si="177"/>
        <v>0</v>
      </c>
      <c r="H205" s="446">
        <f t="shared" si="177"/>
        <v>0</v>
      </c>
      <c r="I205" s="446">
        <f t="shared" si="177"/>
        <v>0</v>
      </c>
      <c r="J205" s="446">
        <f t="shared" si="177"/>
        <v>0</v>
      </c>
      <c r="K205" s="446">
        <f t="shared" si="177"/>
        <v>0</v>
      </c>
      <c r="L205" s="446">
        <f t="shared" si="177"/>
        <v>0</v>
      </c>
      <c r="M205" s="446">
        <f t="shared" si="177"/>
        <v>0</v>
      </c>
      <c r="N205" s="447">
        <f t="shared" si="142"/>
        <v>0</v>
      </c>
      <c r="O205" s="105">
        <f t="shared" si="144"/>
        <v>0</v>
      </c>
      <c r="Q205" s="448">
        <f t="shared" si="145"/>
        <v>0</v>
      </c>
      <c r="R205" s="448">
        <f t="shared" si="146"/>
        <v>0</v>
      </c>
    </row>
    <row r="206" spans="1:18" x14ac:dyDescent="0.3">
      <c r="A206" s="436" t="s">
        <v>152</v>
      </c>
      <c r="B206" s="445">
        <f>B195+B201+B204</f>
        <v>97.042645189779662</v>
      </c>
      <c r="C206" s="445">
        <f t="shared" ref="C206:M206" si="178">C195+C201+C204</f>
        <v>95.20483641952984</v>
      </c>
      <c r="D206" s="445">
        <f t="shared" si="178"/>
        <v>141.08905677892977</v>
      </c>
      <c r="E206" s="445">
        <f t="shared" si="178"/>
        <v>167.09297684486717</v>
      </c>
      <c r="F206" s="445">
        <f t="shared" si="178"/>
        <v>147.51308691438058</v>
      </c>
      <c r="G206" s="445">
        <f t="shared" si="178"/>
        <v>62.061656892045562</v>
      </c>
      <c r="H206" s="445">
        <f t="shared" si="178"/>
        <v>-45.225420400532109</v>
      </c>
      <c r="I206" s="445">
        <f t="shared" si="178"/>
        <v>-65.234864621725322</v>
      </c>
      <c r="J206" s="445">
        <f t="shared" si="178"/>
        <v>95.732695161580821</v>
      </c>
      <c r="K206" s="445">
        <f t="shared" si="178"/>
        <v>109.26167102710407</v>
      </c>
      <c r="L206" s="445">
        <f t="shared" si="178"/>
        <v>21.39211353101696</v>
      </c>
      <c r="M206" s="445">
        <f t="shared" si="178"/>
        <v>118.64985405428432</v>
      </c>
      <c r="N206" s="451">
        <f>N195+N201+N204</f>
        <v>944.58030779126136</v>
      </c>
      <c r="O206" s="105">
        <f t="shared" si="144"/>
        <v>0</v>
      </c>
      <c r="Q206" s="445">
        <f t="shared" si="145"/>
        <v>62.061656892045562</v>
      </c>
      <c r="R206" s="445">
        <f t="shared" si="146"/>
        <v>710.0042590395326</v>
      </c>
    </row>
    <row r="207" spans="1:18" x14ac:dyDescent="0.3">
      <c r="A207" s="433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</row>
    <row r="208" spans="1:18" s="456" customFormat="1" x14ac:dyDescent="0.3">
      <c r="B208" s="466"/>
      <c r="C208" s="466"/>
      <c r="D208" s="466"/>
      <c r="E208" s="466"/>
      <c r="F208" s="466"/>
      <c r="G208" s="466"/>
      <c r="H208" s="466"/>
      <c r="I208" s="466"/>
      <c r="J208" s="466"/>
      <c r="K208" s="466"/>
      <c r="L208" s="466"/>
      <c r="M208" s="466"/>
      <c r="O208" s="459"/>
    </row>
    <row r="209" spans="1:18" x14ac:dyDescent="0.3"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</row>
    <row r="210" spans="1:18" ht="23.4" x14ac:dyDescent="0.45">
      <c r="A210" s="485" t="s">
        <v>41</v>
      </c>
      <c r="B210" s="1" t="s">
        <v>0</v>
      </c>
      <c r="C210" s="1" t="s">
        <v>1</v>
      </c>
      <c r="D210" s="1" t="s">
        <v>2</v>
      </c>
      <c r="E210" s="1" t="s">
        <v>3</v>
      </c>
      <c r="F210" s="1" t="s">
        <v>4</v>
      </c>
      <c r="G210" s="1" t="s">
        <v>5</v>
      </c>
      <c r="H210" s="1" t="s">
        <v>6</v>
      </c>
      <c r="I210" s="1" t="s">
        <v>7</v>
      </c>
      <c r="J210" s="1" t="s">
        <v>8</v>
      </c>
      <c r="K210" s="1" t="s">
        <v>9</v>
      </c>
      <c r="L210" s="1" t="s">
        <v>10</v>
      </c>
      <c r="M210" s="1" t="s">
        <v>11</v>
      </c>
      <c r="N210" s="1" t="s">
        <v>12</v>
      </c>
      <c r="Q210" s="64" t="s">
        <v>179</v>
      </c>
      <c r="R210" s="64" t="s">
        <v>94</v>
      </c>
    </row>
    <row r="211" spans="1:18" x14ac:dyDescent="0.3">
      <c r="A211" s="432" t="s">
        <v>156</v>
      </c>
      <c r="B211" s="11">
        <v>485</v>
      </c>
      <c r="C211" s="11">
        <v>524</v>
      </c>
      <c r="D211" s="11">
        <v>529</v>
      </c>
      <c r="E211" s="11">
        <v>509</v>
      </c>
      <c r="F211" s="11">
        <v>579</v>
      </c>
      <c r="G211" s="11">
        <v>503</v>
      </c>
      <c r="H211" s="11">
        <v>451</v>
      </c>
      <c r="I211" s="11">
        <v>460</v>
      </c>
      <c r="J211" s="11">
        <v>550</v>
      </c>
      <c r="K211" s="11">
        <v>507</v>
      </c>
      <c r="L211" s="11">
        <v>488</v>
      </c>
      <c r="M211" s="11">
        <v>492</v>
      </c>
      <c r="N211" s="13">
        <f>SUM(B211:M211)</f>
        <v>6077</v>
      </c>
      <c r="O211" s="105">
        <f>N211-SUM(B211:M211)</f>
        <v>0</v>
      </c>
      <c r="Q211" s="30">
        <f>SUMIFS(B211:M211,$B$2:$M$2,$X$3)</f>
        <v>503</v>
      </c>
      <c r="R211" s="30">
        <f>SUMIFS(B211:M211,$B$1:$M$1,$Y$3)</f>
        <v>3129</v>
      </c>
    </row>
    <row r="212" spans="1:18" x14ac:dyDescent="0.3">
      <c r="A212" s="432" t="s">
        <v>75</v>
      </c>
      <c r="B212" s="507">
        <v>38.516776659017296</v>
      </c>
      <c r="C212" s="507">
        <v>37.591301502266305</v>
      </c>
      <c r="D212" s="507">
        <v>37.944558590183199</v>
      </c>
      <c r="E212" s="507">
        <v>35.733561726016738</v>
      </c>
      <c r="F212" s="507">
        <v>24.021199384866797</v>
      </c>
      <c r="G212" s="507">
        <v>35.762038109159064</v>
      </c>
      <c r="H212" s="507">
        <v>29.53026981632587</v>
      </c>
      <c r="I212" s="507">
        <v>31.209684495803707</v>
      </c>
      <c r="J212" s="507">
        <v>31.556185116300533</v>
      </c>
      <c r="K212" s="507">
        <v>30.569231237002292</v>
      </c>
      <c r="L212" s="507">
        <v>41.100252351313145</v>
      </c>
      <c r="M212" s="507">
        <v>31.787008035188116</v>
      </c>
      <c r="N212" s="13">
        <f t="shared" ref="N212:N213" si="179">SUM(B212:M212)</f>
        <v>405.32206702344303</v>
      </c>
      <c r="O212" s="105">
        <f t="shared" ref="O212:O237" si="180">N212-SUM(B212:M212)</f>
        <v>0</v>
      </c>
      <c r="Q212" s="30">
        <f t="shared" ref="Q212:Q237" si="181">SUMIFS(B212:M212,$B$2:$M$2,$X$3)</f>
        <v>35.762038109159064</v>
      </c>
      <c r="R212" s="30">
        <f t="shared" ref="R212:R237" si="182">SUMIFS(B212:M212,$B$1:$M$1,$Y$3)</f>
        <v>209.56943597150939</v>
      </c>
    </row>
    <row r="213" spans="1:18" x14ac:dyDescent="0.3">
      <c r="A213" s="433" t="s">
        <v>195</v>
      </c>
      <c r="B213" s="507">
        <v>16.73</v>
      </c>
      <c r="C213" s="507">
        <v>16.73</v>
      </c>
      <c r="D213" s="507">
        <v>16.73</v>
      </c>
      <c r="E213" s="507">
        <v>15.893499999999998</v>
      </c>
      <c r="F213" s="507">
        <v>11.711</v>
      </c>
      <c r="G213" s="507">
        <v>17.566500000000001</v>
      </c>
      <c r="H213" s="507">
        <v>14.220499999999999</v>
      </c>
      <c r="I213" s="507">
        <v>12.967499999999999</v>
      </c>
      <c r="J213" s="507">
        <v>18.154499999999999</v>
      </c>
      <c r="K213" s="507">
        <v>15.560999999999998</v>
      </c>
      <c r="L213" s="507">
        <v>17.29</v>
      </c>
      <c r="M213" s="507">
        <v>11.47725</v>
      </c>
      <c r="N213" s="13">
        <f t="shared" si="179"/>
        <v>185.03175000000002</v>
      </c>
      <c r="O213" s="105">
        <f t="shared" si="180"/>
        <v>0</v>
      </c>
      <c r="Q213" s="30">
        <f t="shared" si="181"/>
        <v>17.566500000000001</v>
      </c>
      <c r="R213" s="30">
        <f t="shared" si="182"/>
        <v>95.361000000000004</v>
      </c>
    </row>
    <row r="214" spans="1:18" ht="15" thickBot="1" x14ac:dyDescent="0.35">
      <c r="A214" s="435" t="s">
        <v>196</v>
      </c>
      <c r="B214" s="444">
        <f>SUM(B211:B213)</f>
        <v>540.24677665901731</v>
      </c>
      <c r="C214" s="444">
        <f t="shared" ref="C214:N214" si="183">SUM(C211:C213)</f>
        <v>578.32130150226635</v>
      </c>
      <c r="D214" s="444">
        <f t="shared" si="183"/>
        <v>583.67455859018321</v>
      </c>
      <c r="E214" s="444">
        <f t="shared" si="183"/>
        <v>560.62706172601679</v>
      </c>
      <c r="F214" s="444">
        <f t="shared" si="183"/>
        <v>614.73219938486682</v>
      </c>
      <c r="G214" s="444">
        <f t="shared" si="183"/>
        <v>556.32853810915913</v>
      </c>
      <c r="H214" s="444">
        <f t="shared" si="183"/>
        <v>494.75076981632589</v>
      </c>
      <c r="I214" s="444">
        <f t="shared" si="183"/>
        <v>504.17718449580366</v>
      </c>
      <c r="J214" s="444">
        <f t="shared" si="183"/>
        <v>599.71068511630051</v>
      </c>
      <c r="K214" s="444">
        <f t="shared" si="183"/>
        <v>553.13023123700236</v>
      </c>
      <c r="L214" s="444">
        <f t="shared" si="183"/>
        <v>546.39025235131317</v>
      </c>
      <c r="M214" s="444">
        <f t="shared" si="183"/>
        <v>535.26425803518816</v>
      </c>
      <c r="N214" s="444">
        <f t="shared" si="183"/>
        <v>6667.3538170234433</v>
      </c>
      <c r="O214" s="105">
        <f t="shared" si="180"/>
        <v>0</v>
      </c>
      <c r="Q214" s="444">
        <f t="shared" si="181"/>
        <v>556.32853810915913</v>
      </c>
      <c r="R214" s="444">
        <f t="shared" si="182"/>
        <v>3433.9304359715093</v>
      </c>
    </row>
    <row r="215" spans="1:18" x14ac:dyDescent="0.3">
      <c r="A215" s="434" t="s">
        <v>80</v>
      </c>
      <c r="B215" s="507">
        <v>194.74895348822281</v>
      </c>
      <c r="C215" s="507">
        <v>207.51638681160108</v>
      </c>
      <c r="D215" s="507">
        <v>211.95318100516675</v>
      </c>
      <c r="E215" s="507">
        <v>204.69927393420895</v>
      </c>
      <c r="F215" s="507">
        <v>228.48498702853246</v>
      </c>
      <c r="G215" s="507">
        <v>217.31855808470829</v>
      </c>
      <c r="H215" s="507">
        <v>251.55222094085056</v>
      </c>
      <c r="I215" s="507">
        <v>229.2465468183949</v>
      </c>
      <c r="J215" s="507">
        <v>235.05248519491039</v>
      </c>
      <c r="K215" s="507">
        <v>218.98304817934547</v>
      </c>
      <c r="L215" s="507">
        <v>213.59590329869292</v>
      </c>
      <c r="M215" s="507">
        <v>288.17726158033093</v>
      </c>
      <c r="N215" s="13">
        <f t="shared" ref="N215:N220" si="184">SUM(B215:M215)</f>
        <v>2701.3288063649657</v>
      </c>
      <c r="O215" s="105">
        <f t="shared" si="180"/>
        <v>0</v>
      </c>
      <c r="Q215" s="30">
        <f t="shared" si="181"/>
        <v>217.31855808470829</v>
      </c>
      <c r="R215" s="30">
        <f t="shared" si="182"/>
        <v>1264.7213403524402</v>
      </c>
    </row>
    <row r="216" spans="1:18" x14ac:dyDescent="0.3">
      <c r="A216" s="433" t="s">
        <v>81</v>
      </c>
      <c r="B216" s="507">
        <v>106.57999537585221</v>
      </c>
      <c r="C216" s="507">
        <v>112.97148558975951</v>
      </c>
      <c r="D216" s="507">
        <v>102.64252545680378</v>
      </c>
      <c r="E216" s="507">
        <v>104.32864647268644</v>
      </c>
      <c r="F216" s="507">
        <v>110.7581698651679</v>
      </c>
      <c r="G216" s="507">
        <v>107.62726490257862</v>
      </c>
      <c r="H216" s="507">
        <v>100.46411351107851</v>
      </c>
      <c r="I216" s="507">
        <v>101.53526503530082</v>
      </c>
      <c r="J216" s="507">
        <v>106.97187608478409</v>
      </c>
      <c r="K216" s="507">
        <v>100.2289107818811</v>
      </c>
      <c r="L216" s="507">
        <v>98.505072021504759</v>
      </c>
      <c r="M216" s="507">
        <v>96.810881593616458</v>
      </c>
      <c r="N216" s="13">
        <f t="shared" si="184"/>
        <v>1249.424206691014</v>
      </c>
      <c r="O216" s="105">
        <f t="shared" si="180"/>
        <v>0</v>
      </c>
      <c r="Q216" s="30">
        <f t="shared" si="181"/>
        <v>107.62726490257862</v>
      </c>
      <c r="R216" s="30">
        <f t="shared" si="182"/>
        <v>644.90808766284852</v>
      </c>
    </row>
    <row r="217" spans="1:18" x14ac:dyDescent="0.3">
      <c r="A217" s="433" t="s">
        <v>82</v>
      </c>
      <c r="B217" s="507">
        <v>183.02969054753996</v>
      </c>
      <c r="C217" s="507">
        <v>179.83512620955838</v>
      </c>
      <c r="D217" s="507">
        <v>176.70013645687774</v>
      </c>
      <c r="E217" s="507">
        <v>177.19910679306849</v>
      </c>
      <c r="F217" s="507">
        <v>155.71007432783014</v>
      </c>
      <c r="G217" s="507">
        <v>188.37863537821647</v>
      </c>
      <c r="H217" s="507">
        <v>178.57403780299023</v>
      </c>
      <c r="I217" s="507">
        <v>171.83301981672696</v>
      </c>
      <c r="J217" s="507">
        <v>193.12434208374361</v>
      </c>
      <c r="K217" s="507">
        <v>189.78204766674821</v>
      </c>
      <c r="L217" s="507">
        <v>184.92195074785559</v>
      </c>
      <c r="M217" s="507">
        <v>176.72183216884383</v>
      </c>
      <c r="N217" s="13">
        <f t="shared" si="184"/>
        <v>2155.81</v>
      </c>
      <c r="O217" s="105">
        <f t="shared" si="180"/>
        <v>0</v>
      </c>
      <c r="Q217" s="30">
        <f t="shared" si="181"/>
        <v>188.37863537821647</v>
      </c>
      <c r="R217" s="30">
        <f t="shared" si="182"/>
        <v>1060.8527697130912</v>
      </c>
    </row>
    <row r="218" spans="1:18" x14ac:dyDescent="0.3">
      <c r="A218" s="433" t="s">
        <v>83</v>
      </c>
      <c r="B218" s="11">
        <v>5</v>
      </c>
      <c r="C218" s="11">
        <v>6</v>
      </c>
      <c r="D218" s="11">
        <v>6</v>
      </c>
      <c r="E218" s="11">
        <v>5</v>
      </c>
      <c r="F218" s="11">
        <v>4</v>
      </c>
      <c r="G218" s="11">
        <v>6</v>
      </c>
      <c r="H218" s="11">
        <v>5</v>
      </c>
      <c r="I218" s="11">
        <v>4</v>
      </c>
      <c r="J218" s="11">
        <v>7</v>
      </c>
      <c r="K218" s="11">
        <v>6</v>
      </c>
      <c r="L218" s="11">
        <v>7</v>
      </c>
      <c r="M218" s="11">
        <v>5</v>
      </c>
      <c r="N218" s="13">
        <f t="shared" si="184"/>
        <v>66</v>
      </c>
      <c r="O218" s="105">
        <f t="shared" si="180"/>
        <v>0</v>
      </c>
      <c r="Q218" s="30">
        <f t="shared" si="181"/>
        <v>6</v>
      </c>
      <c r="R218" s="30">
        <f t="shared" si="182"/>
        <v>32</v>
      </c>
    </row>
    <row r="219" spans="1:18" x14ac:dyDescent="0.3">
      <c r="A219" s="433" t="s">
        <v>84</v>
      </c>
      <c r="B219" s="507">
        <f>((59.4677901014734)-1.51280502028151)-13.0947257399642</f>
        <v>44.860259341227689</v>
      </c>
      <c r="C219" s="507">
        <f>((58.5973180583644)-1.4845976646531)-12.8505650048716</f>
        <v>44.262155388839702</v>
      </c>
      <c r="D219" s="507">
        <f>((57.7430766029092)-1.45691625579304)-12.610956825193</f>
        <v>43.675203521923159</v>
      </c>
      <c r="E219" s="507">
        <f>((57.0786419733095)-1.43538547368772)-12.4245880051162</f>
        <v>43.218668494505586</v>
      </c>
      <c r="F219" s="507">
        <f>((56.4240265746892)-1.41417288048051)-12.2409734040554</f>
        <v>42.768880290153291</v>
      </c>
      <c r="G219" s="507">
        <f>((57.2790852952603)-1.39327377387243)-12.0600723192664</f>
        <v>43.825739202121468</v>
      </c>
      <c r="H219" s="507">
        <f>((55.4378465230757)-1.38221604550836)-11.9643574595897</f>
        <v>42.091273017977642</v>
      </c>
      <c r="I219" s="507">
        <f>((55.0993159951148)-1.37124607689321)-11.8694022416564</f>
        <v>41.85866767656519</v>
      </c>
      <c r="J219" s="507">
        <f>((54.7634722173758)-1.36036317152105)-11.7752006365639</f>
        <v>41.627908409290846</v>
      </c>
      <c r="K219" s="507">
        <f>((54.0414493536862)-1.33696626193715)-11.5726787582938</f>
        <v>41.13180433345525</v>
      </c>
      <c r="L219" s="507">
        <f>((53.3318445736474)-1.31397175620358)-11.3736400572912</f>
        <v>40.644232760152626</v>
      </c>
      <c r="M219" s="507">
        <f>((55.6161327310942)-1.29137273336961)-11.1780246263304</f>
        <v>43.146735371394186</v>
      </c>
      <c r="N219" s="13">
        <f t="shared" si="184"/>
        <v>513.11152780760665</v>
      </c>
      <c r="O219" s="105">
        <f>N219-SUM(B219:M219)</f>
        <v>0</v>
      </c>
      <c r="Q219" s="30">
        <f t="shared" si="181"/>
        <v>43.825739202121468</v>
      </c>
      <c r="R219" s="30">
        <f t="shared" si="182"/>
        <v>262.61090623877089</v>
      </c>
    </row>
    <row r="220" spans="1:18" x14ac:dyDescent="0.3">
      <c r="A220" s="433" t="s">
        <v>86</v>
      </c>
      <c r="B220" s="507">
        <f>577.480375833335-B225</f>
        <v>161.79174177645808</v>
      </c>
      <c r="C220" s="507">
        <v>149.59309131135126</v>
      </c>
      <c r="D220" s="507">
        <v>160.35866848948228</v>
      </c>
      <c r="E220" s="507">
        <v>155.09230143443955</v>
      </c>
      <c r="F220" s="507">
        <v>155.61964591302961</v>
      </c>
      <c r="G220" s="507">
        <v>152.87377994795827</v>
      </c>
      <c r="H220" s="507">
        <v>171.2834116053059</v>
      </c>
      <c r="I220" s="507">
        <v>170.288551936229</v>
      </c>
      <c r="J220" s="507">
        <v>166.29043207502247</v>
      </c>
      <c r="K220" s="507">
        <v>168.7459163292599</v>
      </c>
      <c r="L220" s="507">
        <v>166.91753727657198</v>
      </c>
      <c r="M220" s="507">
        <v>176.92268085373956</v>
      </c>
      <c r="N220" s="13">
        <f t="shared" si="184"/>
        <v>1955.7777589488476</v>
      </c>
      <c r="O220" s="105">
        <f t="shared" si="180"/>
        <v>0</v>
      </c>
      <c r="Q220" s="30">
        <f t="shared" si="181"/>
        <v>152.87377994795827</v>
      </c>
      <c r="R220" s="30">
        <f t="shared" si="182"/>
        <v>935.329228872719</v>
      </c>
    </row>
    <row r="221" spans="1:18" ht="15" thickBot="1" x14ac:dyDescent="0.35">
      <c r="A221" s="435" t="s">
        <v>197</v>
      </c>
      <c r="B221" s="444">
        <f t="shared" ref="B221:M221" si="185">SUM(B215:B220)</f>
        <v>696.01064052930064</v>
      </c>
      <c r="C221" s="444">
        <f t="shared" si="185"/>
        <v>700.17824531111</v>
      </c>
      <c r="D221" s="444">
        <f t="shared" si="185"/>
        <v>701.32971493025377</v>
      </c>
      <c r="E221" s="444">
        <f t="shared" si="185"/>
        <v>689.53799712890896</v>
      </c>
      <c r="F221" s="444">
        <f t="shared" si="185"/>
        <v>697.34175742471348</v>
      </c>
      <c r="G221" s="444">
        <f t="shared" si="185"/>
        <v>716.02397751558306</v>
      </c>
      <c r="H221" s="444">
        <f t="shared" si="185"/>
        <v>748.96505687820286</v>
      </c>
      <c r="I221" s="444">
        <f t="shared" si="185"/>
        <v>718.76205128321681</v>
      </c>
      <c r="J221" s="444">
        <f t="shared" si="185"/>
        <v>750.06704384775139</v>
      </c>
      <c r="K221" s="444">
        <f t="shared" si="185"/>
        <v>724.87172729068993</v>
      </c>
      <c r="L221" s="444">
        <f t="shared" si="185"/>
        <v>711.58469610477778</v>
      </c>
      <c r="M221" s="444">
        <f t="shared" si="185"/>
        <v>786.77939156792513</v>
      </c>
      <c r="N221" s="444">
        <f t="shared" ref="N221" si="186">SUM(N215:N220)</f>
        <v>8641.4522998124339</v>
      </c>
      <c r="O221" s="105">
        <f t="shared" si="180"/>
        <v>0</v>
      </c>
      <c r="Q221" s="444">
        <f t="shared" si="181"/>
        <v>716.02397751558306</v>
      </c>
      <c r="R221" s="444">
        <f t="shared" si="182"/>
        <v>4200.4223328398703</v>
      </c>
    </row>
    <row r="222" spans="1:18" x14ac:dyDescent="0.3">
      <c r="A222" s="436" t="s">
        <v>88</v>
      </c>
      <c r="B222" s="445">
        <f>B214+B221</f>
        <v>1236.257417188318</v>
      </c>
      <c r="C222" s="445">
        <f t="shared" ref="C222:N222" si="187">C214+C221</f>
        <v>1278.4995468133764</v>
      </c>
      <c r="D222" s="445">
        <f t="shared" si="187"/>
        <v>1285.004273520437</v>
      </c>
      <c r="E222" s="445">
        <f t="shared" si="187"/>
        <v>1250.1650588549257</v>
      </c>
      <c r="F222" s="445">
        <f t="shared" si="187"/>
        <v>1312.0739568095803</v>
      </c>
      <c r="G222" s="445">
        <f t="shared" si="187"/>
        <v>1272.3525156247422</v>
      </c>
      <c r="H222" s="445">
        <f t="shared" si="187"/>
        <v>1243.7158266945287</v>
      </c>
      <c r="I222" s="445">
        <f t="shared" si="187"/>
        <v>1222.9392357790205</v>
      </c>
      <c r="J222" s="445">
        <f t="shared" si="187"/>
        <v>1349.7777289640519</v>
      </c>
      <c r="K222" s="445">
        <f t="shared" si="187"/>
        <v>1278.0019585276923</v>
      </c>
      <c r="L222" s="445">
        <f t="shared" si="187"/>
        <v>1257.9749484560909</v>
      </c>
      <c r="M222" s="445">
        <f t="shared" si="187"/>
        <v>1322.0436496031134</v>
      </c>
      <c r="N222" s="445">
        <f t="shared" si="187"/>
        <v>15308.806116835876</v>
      </c>
      <c r="O222" s="105">
        <f t="shared" si="180"/>
        <v>0</v>
      </c>
      <c r="Q222" s="445">
        <f t="shared" si="181"/>
        <v>1272.3525156247422</v>
      </c>
      <c r="R222" s="445">
        <f t="shared" si="182"/>
        <v>7634.35276881138</v>
      </c>
    </row>
    <row r="223" spans="1:18" x14ac:dyDescent="0.3">
      <c r="A223" s="433" t="s">
        <v>89</v>
      </c>
      <c r="B223" s="446">
        <v>21.132999944324133</v>
      </c>
      <c r="C223" s="446">
        <v>21.209824845989694</v>
      </c>
      <c r="D223" s="446">
        <v>20.932865432030379</v>
      </c>
      <c r="E223" s="446">
        <v>20.567044044062953</v>
      </c>
      <c r="F223" s="446">
        <v>21.018477905147854</v>
      </c>
      <c r="G223" s="446">
        <v>20.474517363192625</v>
      </c>
      <c r="H223" s="446">
        <v>20.217401383560873</v>
      </c>
      <c r="I223" s="446">
        <v>20.038870481997296</v>
      </c>
      <c r="J223" s="446">
        <v>20.590913799326586</v>
      </c>
      <c r="K223" s="446">
        <v>19.944053381251166</v>
      </c>
      <c r="L223" s="446">
        <v>19.54757649135723</v>
      </c>
      <c r="M223" s="446">
        <v>19.789757418898503</v>
      </c>
      <c r="N223" s="13">
        <f>SUM(B223:M223)</f>
        <v>245.46430249113934</v>
      </c>
      <c r="O223" s="105">
        <f t="shared" si="180"/>
        <v>0</v>
      </c>
      <c r="Q223" s="446">
        <f t="shared" si="181"/>
        <v>20.474517363192625</v>
      </c>
      <c r="R223" s="446">
        <f t="shared" si="182"/>
        <v>125.33572953474766</v>
      </c>
    </row>
    <row r="224" spans="1:18" x14ac:dyDescent="0.3">
      <c r="A224" s="436" t="s">
        <v>90</v>
      </c>
      <c r="B224" s="445">
        <f>B222+B223</f>
        <v>1257.3904171326421</v>
      </c>
      <c r="C224" s="445">
        <f t="shared" ref="C224:N224" si="188">C222+C223</f>
        <v>1299.7093716593661</v>
      </c>
      <c r="D224" s="445">
        <f t="shared" si="188"/>
        <v>1305.9371389524674</v>
      </c>
      <c r="E224" s="445">
        <f t="shared" si="188"/>
        <v>1270.7321028989886</v>
      </c>
      <c r="F224" s="445">
        <f t="shared" si="188"/>
        <v>1333.0924347147281</v>
      </c>
      <c r="G224" s="445">
        <f t="shared" si="188"/>
        <v>1292.8270329879349</v>
      </c>
      <c r="H224" s="445">
        <f t="shared" si="188"/>
        <v>1263.9332280780895</v>
      </c>
      <c r="I224" s="445">
        <f t="shared" si="188"/>
        <v>1242.9781062610177</v>
      </c>
      <c r="J224" s="445">
        <f t="shared" si="188"/>
        <v>1370.3686427633784</v>
      </c>
      <c r="K224" s="445">
        <f t="shared" si="188"/>
        <v>1297.9460119089435</v>
      </c>
      <c r="L224" s="445">
        <f t="shared" si="188"/>
        <v>1277.5225249474481</v>
      </c>
      <c r="M224" s="445">
        <f t="shared" si="188"/>
        <v>1341.8334070220119</v>
      </c>
      <c r="N224" s="445">
        <f t="shared" si="188"/>
        <v>15554.270419327016</v>
      </c>
      <c r="O224" s="105">
        <f t="shared" si="180"/>
        <v>0</v>
      </c>
      <c r="Q224" s="445">
        <f t="shared" si="181"/>
        <v>1292.8270329879349</v>
      </c>
      <c r="R224" s="445">
        <f t="shared" si="182"/>
        <v>7759.6884983461287</v>
      </c>
    </row>
    <row r="225" spans="1:20" ht="15.6" x14ac:dyDescent="0.3">
      <c r="A225" s="433" t="s">
        <v>91</v>
      </c>
      <c r="B225" s="716">
        <v>415.68863405687688</v>
      </c>
      <c r="C225" s="716">
        <v>386.88891452198243</v>
      </c>
      <c r="D225" s="716">
        <v>421.50115401051971</v>
      </c>
      <c r="E225" s="716">
        <v>413.13905106556064</v>
      </c>
      <c r="F225" s="716">
        <v>424.61563658697156</v>
      </c>
      <c r="G225" s="716">
        <v>416.35266088537662</v>
      </c>
      <c r="H225" s="716">
        <v>428.12059637899381</v>
      </c>
      <c r="I225" s="716">
        <v>429.39435271473707</v>
      </c>
      <c r="J225" s="716">
        <v>419.28873257594415</v>
      </c>
      <c r="K225" s="716">
        <v>432.68993165503991</v>
      </c>
      <c r="L225" s="716">
        <v>423.8033940410607</v>
      </c>
      <c r="M225" s="716">
        <v>436.70918255808857</v>
      </c>
      <c r="N225" s="13">
        <f>SUM(B225:M225)</f>
        <v>5048.1922410511525</v>
      </c>
      <c r="O225" s="105">
        <f t="shared" si="180"/>
        <v>0</v>
      </c>
      <c r="Q225" s="446">
        <f t="shared" si="181"/>
        <v>416.35266088537662</v>
      </c>
      <c r="R225" s="446">
        <f t="shared" si="182"/>
        <v>2478.186051127288</v>
      </c>
      <c r="T225" s="511"/>
    </row>
    <row r="226" spans="1:20" x14ac:dyDescent="0.3">
      <c r="A226" s="436" t="s">
        <v>92</v>
      </c>
      <c r="B226" s="445">
        <f>B224+B225</f>
        <v>1673.0790511895191</v>
      </c>
      <c r="C226" s="445">
        <f t="shared" ref="C226:N226" si="189">C224+C225</f>
        <v>1686.5982861813486</v>
      </c>
      <c r="D226" s="445">
        <f t="shared" si="189"/>
        <v>1727.4382929629871</v>
      </c>
      <c r="E226" s="445">
        <f t="shared" si="189"/>
        <v>1683.8711539645492</v>
      </c>
      <c r="F226" s="445">
        <f t="shared" si="189"/>
        <v>1757.7080713016996</v>
      </c>
      <c r="G226" s="445">
        <f t="shared" si="189"/>
        <v>1709.1796938733114</v>
      </c>
      <c r="H226" s="445">
        <f t="shared" si="189"/>
        <v>1692.0538244570835</v>
      </c>
      <c r="I226" s="445">
        <f t="shared" si="189"/>
        <v>1672.3724589757549</v>
      </c>
      <c r="J226" s="445">
        <f t="shared" si="189"/>
        <v>1789.6573753393225</v>
      </c>
      <c r="K226" s="445">
        <f t="shared" si="189"/>
        <v>1730.6359435639833</v>
      </c>
      <c r="L226" s="445">
        <f t="shared" si="189"/>
        <v>1701.3259189885089</v>
      </c>
      <c r="M226" s="445">
        <f t="shared" si="189"/>
        <v>1778.5425895801004</v>
      </c>
      <c r="N226" s="445">
        <f t="shared" si="189"/>
        <v>20602.462660378169</v>
      </c>
      <c r="O226" s="105">
        <f t="shared" si="180"/>
        <v>0</v>
      </c>
      <c r="Q226" s="445">
        <f t="shared" si="181"/>
        <v>1709.1796938733114</v>
      </c>
      <c r="R226" s="445">
        <f t="shared" si="182"/>
        <v>10237.874549473416</v>
      </c>
      <c r="T226" s="8">
        <v>16258</v>
      </c>
    </row>
    <row r="227" spans="1:20" x14ac:dyDescent="0.3">
      <c r="A227" s="433" t="s">
        <v>76</v>
      </c>
      <c r="B227" s="11">
        <v>27</v>
      </c>
      <c r="C227" s="11">
        <v>27</v>
      </c>
      <c r="D227" s="11">
        <v>27</v>
      </c>
      <c r="E227" s="11">
        <v>19</v>
      </c>
      <c r="F227" s="11">
        <v>15</v>
      </c>
      <c r="G227" s="11">
        <v>21</v>
      </c>
      <c r="H227" s="11">
        <v>17</v>
      </c>
      <c r="I227" s="11">
        <v>16</v>
      </c>
      <c r="J227" s="11">
        <v>22</v>
      </c>
      <c r="K227" s="11">
        <v>19</v>
      </c>
      <c r="L227" s="11">
        <v>21</v>
      </c>
      <c r="M227" s="11">
        <v>16</v>
      </c>
      <c r="N227" s="13">
        <f t="shared" ref="N227:N231" si="190">SUM(B227:M227)</f>
        <v>247</v>
      </c>
      <c r="O227" s="105">
        <f t="shared" si="180"/>
        <v>0</v>
      </c>
      <c r="Q227" s="30">
        <f t="shared" si="181"/>
        <v>21</v>
      </c>
      <c r="R227" s="30">
        <f t="shared" si="182"/>
        <v>136</v>
      </c>
    </row>
    <row r="228" spans="1:20" x14ac:dyDescent="0.3">
      <c r="A228" s="433" t="s">
        <v>77</v>
      </c>
      <c r="B228" s="11">
        <v>-55</v>
      </c>
      <c r="C228" s="11">
        <v>-55</v>
      </c>
      <c r="D228" s="11">
        <v>-56</v>
      </c>
      <c r="E228" s="11">
        <v>-48</v>
      </c>
      <c r="F228" s="11">
        <v>-36</v>
      </c>
      <c r="G228" s="11">
        <v>-53</v>
      </c>
      <c r="H228" s="11">
        <v>-44</v>
      </c>
      <c r="I228" s="11">
        <v>-40</v>
      </c>
      <c r="J228" s="11">
        <v>-56</v>
      </c>
      <c r="K228" s="11">
        <v>-48</v>
      </c>
      <c r="L228" s="11">
        <v>-53</v>
      </c>
      <c r="M228" s="11">
        <v>-41</v>
      </c>
      <c r="N228" s="13">
        <f t="shared" si="190"/>
        <v>-585</v>
      </c>
      <c r="O228" s="105">
        <f t="shared" si="180"/>
        <v>0</v>
      </c>
      <c r="Q228" s="30">
        <f t="shared" si="181"/>
        <v>-53</v>
      </c>
      <c r="R228" s="30">
        <f t="shared" si="182"/>
        <v>-303</v>
      </c>
    </row>
    <row r="229" spans="1:20" x14ac:dyDescent="0.3">
      <c r="A229" s="433" t="s">
        <v>144</v>
      </c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13">
        <f t="shared" si="190"/>
        <v>0</v>
      </c>
      <c r="O229" s="105">
        <f t="shared" si="180"/>
        <v>0</v>
      </c>
      <c r="Q229" s="30">
        <f t="shared" si="181"/>
        <v>0</v>
      </c>
      <c r="R229" s="30">
        <f t="shared" si="182"/>
        <v>0</v>
      </c>
    </row>
    <row r="230" spans="1:20" x14ac:dyDescent="0.3">
      <c r="A230" s="433" t="s">
        <v>85</v>
      </c>
      <c r="B230" s="11">
        <v>9</v>
      </c>
      <c r="C230" s="11">
        <v>9</v>
      </c>
      <c r="D230" s="11">
        <v>9</v>
      </c>
      <c r="E230" s="11">
        <v>9</v>
      </c>
      <c r="F230" s="11">
        <v>8</v>
      </c>
      <c r="G230" s="11">
        <v>8</v>
      </c>
      <c r="H230" s="11">
        <v>8</v>
      </c>
      <c r="I230" s="11">
        <v>8</v>
      </c>
      <c r="J230" s="11">
        <v>8</v>
      </c>
      <c r="K230" s="11">
        <v>8</v>
      </c>
      <c r="L230" s="11">
        <v>8</v>
      </c>
      <c r="M230" s="11">
        <v>8</v>
      </c>
      <c r="N230" s="13">
        <f t="shared" si="190"/>
        <v>100</v>
      </c>
      <c r="O230" s="105">
        <f t="shared" si="180"/>
        <v>0</v>
      </c>
      <c r="Q230" s="30">
        <f t="shared" si="181"/>
        <v>8</v>
      </c>
      <c r="R230" s="30">
        <f t="shared" si="182"/>
        <v>52</v>
      </c>
    </row>
    <row r="231" spans="1:20" x14ac:dyDescent="0.3">
      <c r="A231" s="433" t="s">
        <v>145</v>
      </c>
      <c r="B231" s="446"/>
      <c r="C231" s="446"/>
      <c r="D231" s="446"/>
      <c r="E231" s="446"/>
      <c r="F231" s="446"/>
      <c r="G231" s="446"/>
      <c r="H231" s="446"/>
      <c r="I231" s="446"/>
      <c r="J231" s="446"/>
      <c r="K231" s="446"/>
      <c r="L231" s="446"/>
      <c r="M231" s="446"/>
      <c r="N231" s="13">
        <f t="shared" si="190"/>
        <v>0</v>
      </c>
      <c r="O231" s="105">
        <f t="shared" si="180"/>
        <v>0</v>
      </c>
      <c r="Q231" s="446">
        <f t="shared" si="181"/>
        <v>0</v>
      </c>
      <c r="R231" s="446">
        <f t="shared" si="182"/>
        <v>0</v>
      </c>
    </row>
    <row r="232" spans="1:20" x14ac:dyDescent="0.3">
      <c r="A232" s="436" t="s">
        <v>146</v>
      </c>
      <c r="B232" s="445">
        <f>SUM(B227:B231)</f>
        <v>-19</v>
      </c>
      <c r="C232" s="445">
        <f t="shared" ref="C232:M232" si="191">SUM(C227:C231)</f>
        <v>-19</v>
      </c>
      <c r="D232" s="445">
        <f t="shared" si="191"/>
        <v>-20</v>
      </c>
      <c r="E232" s="445">
        <f t="shared" si="191"/>
        <v>-20</v>
      </c>
      <c r="F232" s="445">
        <f t="shared" si="191"/>
        <v>-13</v>
      </c>
      <c r="G232" s="445">
        <f t="shared" si="191"/>
        <v>-24</v>
      </c>
      <c r="H232" s="445">
        <f t="shared" si="191"/>
        <v>-19</v>
      </c>
      <c r="I232" s="445">
        <f t="shared" si="191"/>
        <v>-16</v>
      </c>
      <c r="J232" s="445">
        <f t="shared" si="191"/>
        <v>-26</v>
      </c>
      <c r="K232" s="445">
        <f t="shared" si="191"/>
        <v>-21</v>
      </c>
      <c r="L232" s="445">
        <f t="shared" si="191"/>
        <v>-24</v>
      </c>
      <c r="M232" s="445">
        <f t="shared" si="191"/>
        <v>-17</v>
      </c>
      <c r="N232" s="445">
        <f>SUM(N227:N231)</f>
        <v>-238</v>
      </c>
      <c r="O232" s="105">
        <f t="shared" si="180"/>
        <v>0</v>
      </c>
      <c r="Q232" s="445">
        <f t="shared" si="181"/>
        <v>-24</v>
      </c>
      <c r="R232" s="445">
        <f t="shared" si="182"/>
        <v>-115</v>
      </c>
    </row>
    <row r="233" spans="1:20" x14ac:dyDescent="0.3">
      <c r="A233" s="433" t="s">
        <v>148</v>
      </c>
      <c r="B233" s="507">
        <v>90.697222500000009</v>
      </c>
      <c r="C233" s="507">
        <v>90.697222500000009</v>
      </c>
      <c r="D233" s="507">
        <v>90.697222500000009</v>
      </c>
      <c r="E233" s="507">
        <v>90.697222500000009</v>
      </c>
      <c r="F233" s="507">
        <v>90.697222500000009</v>
      </c>
      <c r="G233" s="507">
        <v>90.697222500000009</v>
      </c>
      <c r="H233" s="507">
        <v>90.697222500000009</v>
      </c>
      <c r="I233" s="507">
        <v>90.697222500000009</v>
      </c>
      <c r="J233" s="507">
        <v>90.697222500000009</v>
      </c>
      <c r="K233" s="507">
        <v>90.697222500000009</v>
      </c>
      <c r="L233" s="507">
        <v>90.697222500000009</v>
      </c>
      <c r="M233" s="507">
        <v>90.697222500000009</v>
      </c>
      <c r="N233" s="13">
        <f t="shared" ref="N233:N234" si="192">SUM(B233:M233)</f>
        <v>1088.3666699999999</v>
      </c>
      <c r="O233" s="105">
        <f t="shared" si="180"/>
        <v>0</v>
      </c>
      <c r="Q233" s="446">
        <f t="shared" si="181"/>
        <v>90.697222500000009</v>
      </c>
      <c r="R233" s="446">
        <f t="shared" si="182"/>
        <v>544.18333500000006</v>
      </c>
    </row>
    <row r="234" spans="1:20" x14ac:dyDescent="0.3">
      <c r="A234" s="433" t="s">
        <v>149</v>
      </c>
      <c r="B234" s="716">
        <v>94.53200214118084</v>
      </c>
      <c r="C234" s="716">
        <v>94.532002141180826</v>
      </c>
      <c r="D234" s="716">
        <v>94.53200214118084</v>
      </c>
      <c r="E234" s="716">
        <v>94.532002141180826</v>
      </c>
      <c r="F234" s="716">
        <v>94.53200214118084</v>
      </c>
      <c r="G234" s="716">
        <v>94.53200214118084</v>
      </c>
      <c r="H234" s="716">
        <v>94.53200214118084</v>
      </c>
      <c r="I234" s="716">
        <v>94.53200214118084</v>
      </c>
      <c r="J234" s="716">
        <v>94.53200214118084</v>
      </c>
      <c r="K234" s="716">
        <v>94.53200214118084</v>
      </c>
      <c r="L234" s="716">
        <v>94.53200214118084</v>
      </c>
      <c r="M234" s="716">
        <v>94.53200214118084</v>
      </c>
      <c r="N234" s="13">
        <f t="shared" si="192"/>
        <v>1134.3840256941698</v>
      </c>
      <c r="O234" s="105">
        <f t="shared" si="180"/>
        <v>0</v>
      </c>
      <c r="Q234" s="446">
        <f t="shared" si="181"/>
        <v>94.53200214118084</v>
      </c>
      <c r="R234" s="446">
        <f t="shared" si="182"/>
        <v>567.19201284708504</v>
      </c>
    </row>
    <row r="235" spans="1:20" x14ac:dyDescent="0.3">
      <c r="A235" s="436" t="s">
        <v>150</v>
      </c>
      <c r="B235" s="445">
        <f>SUM(B233:B234)</f>
        <v>185.22922464118085</v>
      </c>
      <c r="C235" s="445">
        <f t="shared" ref="C235:N235" si="193">SUM(C233:C234)</f>
        <v>185.22922464118085</v>
      </c>
      <c r="D235" s="445">
        <f t="shared" si="193"/>
        <v>185.22922464118085</v>
      </c>
      <c r="E235" s="445">
        <f t="shared" si="193"/>
        <v>185.22922464118085</v>
      </c>
      <c r="F235" s="445">
        <f t="shared" si="193"/>
        <v>185.22922464118085</v>
      </c>
      <c r="G235" s="445">
        <f t="shared" si="193"/>
        <v>185.22922464118085</v>
      </c>
      <c r="H235" s="445">
        <f t="shared" si="193"/>
        <v>185.22922464118085</v>
      </c>
      <c r="I235" s="445">
        <f t="shared" si="193"/>
        <v>185.22922464118085</v>
      </c>
      <c r="J235" s="445">
        <f t="shared" si="193"/>
        <v>185.22922464118085</v>
      </c>
      <c r="K235" s="445">
        <f t="shared" si="193"/>
        <v>185.22922464118085</v>
      </c>
      <c r="L235" s="445">
        <f t="shared" si="193"/>
        <v>185.22922464118085</v>
      </c>
      <c r="M235" s="445">
        <f t="shared" si="193"/>
        <v>185.22922464118085</v>
      </c>
      <c r="N235" s="445">
        <f t="shared" si="193"/>
        <v>2222.7506956941697</v>
      </c>
      <c r="O235" s="105">
        <f t="shared" si="180"/>
        <v>0</v>
      </c>
      <c r="Q235" s="445">
        <f t="shared" si="181"/>
        <v>185.22922464118085</v>
      </c>
      <c r="R235" s="445">
        <f t="shared" si="182"/>
        <v>1111.3753478470851</v>
      </c>
    </row>
    <row r="236" spans="1:20" x14ac:dyDescent="0.3">
      <c r="B236" s="151"/>
      <c r="C236" s="151"/>
      <c r="D236" s="151"/>
      <c r="E236" s="151"/>
      <c r="F236" s="151"/>
      <c r="G236" s="151"/>
      <c r="H236" s="151"/>
      <c r="I236" s="151"/>
      <c r="J236" s="151"/>
      <c r="K236" s="151"/>
      <c r="L236" s="151"/>
      <c r="M236" s="151"/>
      <c r="O236" s="105">
        <f t="shared" si="180"/>
        <v>0</v>
      </c>
      <c r="Q236" s="448">
        <f t="shared" si="181"/>
        <v>0</v>
      </c>
      <c r="R236" s="448">
        <f t="shared" si="182"/>
        <v>0</v>
      </c>
    </row>
    <row r="237" spans="1:20" x14ac:dyDescent="0.3">
      <c r="A237" s="436" t="s">
        <v>152</v>
      </c>
      <c r="B237" s="445">
        <f>B226+B232+B235</f>
        <v>1839.3082758307</v>
      </c>
      <c r="C237" s="445">
        <f t="shared" ref="C237:M237" si="194">C226+C232+C235</f>
        <v>1852.8275108225293</v>
      </c>
      <c r="D237" s="445">
        <f t="shared" si="194"/>
        <v>1892.6675176041681</v>
      </c>
      <c r="E237" s="445">
        <f t="shared" si="194"/>
        <v>1849.1003786057299</v>
      </c>
      <c r="F237" s="445">
        <f t="shared" si="194"/>
        <v>1929.9372959428806</v>
      </c>
      <c r="G237" s="445">
        <f t="shared" si="194"/>
        <v>1870.4089185144921</v>
      </c>
      <c r="H237" s="445">
        <f t="shared" si="194"/>
        <v>1858.2830490982642</v>
      </c>
      <c r="I237" s="445">
        <f t="shared" si="194"/>
        <v>1841.6016836169356</v>
      </c>
      <c r="J237" s="445">
        <f t="shared" si="194"/>
        <v>1948.8865999805034</v>
      </c>
      <c r="K237" s="445">
        <f t="shared" si="194"/>
        <v>1894.8651682051641</v>
      </c>
      <c r="L237" s="445">
        <f t="shared" si="194"/>
        <v>1862.5551436296896</v>
      </c>
      <c r="M237" s="445">
        <f t="shared" si="194"/>
        <v>1946.7718142212811</v>
      </c>
      <c r="N237" s="451">
        <f>N226+N232+N235</f>
        <v>22587.213356072338</v>
      </c>
      <c r="O237" s="105">
        <f t="shared" si="180"/>
        <v>0</v>
      </c>
      <c r="Q237" s="445">
        <f t="shared" si="181"/>
        <v>1870.4089185144921</v>
      </c>
      <c r="R237" s="445">
        <f t="shared" si="182"/>
        <v>11234.2498973205</v>
      </c>
    </row>
    <row r="238" spans="1:20" x14ac:dyDescent="0.3">
      <c r="A238" s="453"/>
      <c r="B238" s="454"/>
      <c r="C238" s="454"/>
      <c r="D238" s="454"/>
      <c r="E238" s="454"/>
      <c r="F238" s="454"/>
      <c r="G238" s="454"/>
      <c r="H238" s="454"/>
      <c r="I238" s="454"/>
      <c r="J238" s="454"/>
      <c r="K238" s="454"/>
      <c r="L238" s="454"/>
      <c r="M238" s="454"/>
      <c r="N238" s="454"/>
      <c r="O238" s="442"/>
      <c r="Q238" s="454"/>
      <c r="R238" s="454"/>
    </row>
    <row r="239" spans="1:20" s="456" customFormat="1" x14ac:dyDescent="0.3">
      <c r="B239" s="466"/>
      <c r="C239" s="466"/>
      <c r="D239" s="466"/>
      <c r="E239" s="466"/>
      <c r="F239" s="466"/>
      <c r="G239" s="466"/>
      <c r="H239" s="466"/>
      <c r="I239" s="466"/>
      <c r="J239" s="466"/>
      <c r="K239" s="466"/>
      <c r="L239" s="466"/>
      <c r="M239" s="466"/>
      <c r="O239" s="459"/>
    </row>
    <row r="240" spans="1:20" x14ac:dyDescent="0.3"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O240" s="442"/>
    </row>
    <row r="241" spans="1:18" ht="23.4" x14ac:dyDescent="0.45">
      <c r="A241" s="485" t="s">
        <v>98</v>
      </c>
      <c r="B241" s="1" t="s">
        <v>0</v>
      </c>
      <c r="C241" s="1" t="s">
        <v>1</v>
      </c>
      <c r="D241" s="1" t="s">
        <v>2</v>
      </c>
      <c r="E241" s="1" t="s">
        <v>3</v>
      </c>
      <c r="F241" s="1" t="s">
        <v>4</v>
      </c>
      <c r="G241" s="1" t="s">
        <v>5</v>
      </c>
      <c r="H241" s="1" t="s">
        <v>6</v>
      </c>
      <c r="I241" s="1" t="s">
        <v>7</v>
      </c>
      <c r="J241" s="1" t="s">
        <v>8</v>
      </c>
      <c r="K241" s="1" t="s">
        <v>9</v>
      </c>
      <c r="L241" s="1" t="s">
        <v>10</v>
      </c>
      <c r="M241" s="1" t="s">
        <v>11</v>
      </c>
      <c r="N241" s="1" t="s">
        <v>12</v>
      </c>
      <c r="Q241" s="64" t="s">
        <v>179</v>
      </c>
      <c r="R241" s="64" t="s">
        <v>94</v>
      </c>
    </row>
    <row r="242" spans="1:18" x14ac:dyDescent="0.3">
      <c r="A242" s="432" t="s">
        <v>156</v>
      </c>
      <c r="B242" s="748">
        <f>B37-B5</f>
        <v>34.755923312833374</v>
      </c>
      <c r="C242" s="748">
        <f t="shared" ref="C242:M242" si="195">C37-C5</f>
        <v>1.6159233128333881</v>
      </c>
      <c r="D242" s="30">
        <f t="shared" si="195"/>
        <v>34.755923312833374</v>
      </c>
      <c r="E242" s="30">
        <f t="shared" si="195"/>
        <v>60.925969478475054</v>
      </c>
      <c r="F242" s="30">
        <f t="shared" si="195"/>
        <v>-165.21935368101668</v>
      </c>
      <c r="G242" s="30">
        <f t="shared" si="195"/>
        <v>81.167087323208307</v>
      </c>
      <c r="H242" s="30">
        <f t="shared" si="195"/>
        <v>-75.284275623562394</v>
      </c>
      <c r="I242" s="30">
        <f t="shared" si="195"/>
        <v>-137.86482080227074</v>
      </c>
      <c r="J242" s="30">
        <f t="shared" si="195"/>
        <v>54.647087323208325</v>
      </c>
      <c r="K242" s="30">
        <f t="shared" si="195"/>
        <v>81.167087323208307</v>
      </c>
      <c r="L242" s="30">
        <f t="shared" si="195"/>
        <v>49.876814733854303</v>
      </c>
      <c r="M242" s="30">
        <f t="shared" si="195"/>
        <v>-20.543366013605009</v>
      </c>
      <c r="N242" s="30">
        <f>SUM(B242:M242)</f>
        <v>-3.979039320256561E-13</v>
      </c>
      <c r="Q242" s="30">
        <f>SUMIFS(B242:M242,$B$2:$M$2,$X$3)</f>
        <v>81.167087323208307</v>
      </c>
      <c r="R242" s="30">
        <f>SUMIFS(B242:M242,$B$1:$M$1,$Y$3)</f>
        <v>48.001473059166813</v>
      </c>
    </row>
    <row r="243" spans="1:18" x14ac:dyDescent="0.3">
      <c r="A243" s="432" t="s">
        <v>75</v>
      </c>
      <c r="B243" s="30">
        <f t="shared" ref="B243:M243" si="196">B38-B6</f>
        <v>-1.526753975539485</v>
      </c>
      <c r="C243" s="30">
        <f t="shared" si="196"/>
        <v>-1.526753975539485</v>
      </c>
      <c r="D243" s="30">
        <f t="shared" si="196"/>
        <v>-1.526753975539485</v>
      </c>
      <c r="E243" s="30">
        <f t="shared" si="196"/>
        <v>-0.75309167431645818</v>
      </c>
      <c r="F243" s="30">
        <f t="shared" si="196"/>
        <v>1.8312722171223648</v>
      </c>
      <c r="G243" s="30">
        <f t="shared" si="196"/>
        <v>1.1377628423679766</v>
      </c>
      <c r="H243" s="30">
        <f t="shared" si="196"/>
        <v>0.5343469111433663</v>
      </c>
      <c r="I243" s="30">
        <f t="shared" si="196"/>
        <v>-5.7070194613464764</v>
      </c>
      <c r="J243" s="30">
        <f t="shared" si="196"/>
        <v>10.137762842367977</v>
      </c>
      <c r="K243" s="30">
        <f t="shared" si="196"/>
        <v>6.1377628423679766</v>
      </c>
      <c r="L243" s="30">
        <f t="shared" si="196"/>
        <v>-3.9829203438769412</v>
      </c>
      <c r="M243" s="30">
        <f t="shared" si="196"/>
        <v>-4.7556142492114262</v>
      </c>
      <c r="N243" s="30">
        <f t="shared" ref="N243:N244" si="197">SUM(B243:M243)</f>
        <v>-9.5923269327613525E-14</v>
      </c>
      <c r="Q243" s="30">
        <f t="shared" ref="Q243:Q268" si="198">SUMIFS(B243:M243,$B$2:$M$2,$X$3)</f>
        <v>1.1377628423679766</v>
      </c>
      <c r="R243" s="30">
        <f t="shared" ref="R243:R268" si="199">SUMIFS(B243:M243,$B$1:$M$1,$Y$3)</f>
        <v>-2.3643185414445718</v>
      </c>
    </row>
    <row r="244" spans="1:18" x14ac:dyDescent="0.3">
      <c r="A244" s="433" t="s">
        <v>195</v>
      </c>
      <c r="B244" s="30">
        <f t="shared" ref="B244:M244" si="200">B39-B7</f>
        <v>-3.394131194696115E-4</v>
      </c>
      <c r="C244" s="30">
        <f t="shared" si="200"/>
        <v>-3.394131194696115E-4</v>
      </c>
      <c r="D244" s="30">
        <f t="shared" si="200"/>
        <v>-3.394131194696115E-4</v>
      </c>
      <c r="E244" s="30">
        <f t="shared" si="200"/>
        <v>-1.8563837754399515E-3</v>
      </c>
      <c r="F244" s="30">
        <f t="shared" si="200"/>
        <v>-1.2375891836295949E-3</v>
      </c>
      <c r="G244" s="30">
        <f t="shared" si="200"/>
        <v>3.2767817816932165E-3</v>
      </c>
      <c r="H244" s="30">
        <f t="shared" si="200"/>
        <v>-4.5676253247250997E-5</v>
      </c>
      <c r="I244" s="30">
        <f t="shared" si="200"/>
        <v>-3.3746594672230401E-3</v>
      </c>
      <c r="J244" s="30">
        <f t="shared" si="200"/>
        <v>3.2767817816932165E-3</v>
      </c>
      <c r="K244" s="30">
        <f t="shared" si="200"/>
        <v>3.2767817816932165E-3</v>
      </c>
      <c r="L244" s="30">
        <f t="shared" si="200"/>
        <v>-3.3877098252936833E-3</v>
      </c>
      <c r="M244" s="30">
        <f t="shared" si="200"/>
        <v>1.0899125181076386E-3</v>
      </c>
      <c r="N244" s="30">
        <f t="shared" si="197"/>
        <v>-5.5067062021407764E-14</v>
      </c>
      <c r="Q244" s="30">
        <f t="shared" si="198"/>
        <v>3.2767817816932165E-3</v>
      </c>
      <c r="R244" s="30">
        <f t="shared" si="199"/>
        <v>-8.3543053578516435E-4</v>
      </c>
    </row>
    <row r="245" spans="1:18" ht="15" thickBot="1" x14ac:dyDescent="0.35">
      <c r="A245" s="435" t="s">
        <v>196</v>
      </c>
      <c r="B245" s="444">
        <f>SUM(B242:B244)</f>
        <v>33.22882992417442</v>
      </c>
      <c r="C245" s="444">
        <f t="shared" ref="C245:N245" si="201">SUM(C242:C244)</f>
        <v>8.8829924174433472E-2</v>
      </c>
      <c r="D245" s="444">
        <f t="shared" si="201"/>
        <v>33.22882992417442</v>
      </c>
      <c r="E245" s="444">
        <f t="shared" si="201"/>
        <v>60.171021420383155</v>
      </c>
      <c r="F245" s="444">
        <f t="shared" si="201"/>
        <v>-163.38931905307794</v>
      </c>
      <c r="G245" s="444">
        <f t="shared" si="201"/>
        <v>82.308126947357977</v>
      </c>
      <c r="H245" s="444">
        <f t="shared" si="201"/>
        <v>-74.749974388672285</v>
      </c>
      <c r="I245" s="444">
        <f t="shared" si="201"/>
        <v>-143.57521492308445</v>
      </c>
      <c r="J245" s="444">
        <f t="shared" si="201"/>
        <v>64.788126947357995</v>
      </c>
      <c r="K245" s="444">
        <f t="shared" si="201"/>
        <v>87.308126947357977</v>
      </c>
      <c r="L245" s="444">
        <f t="shared" si="201"/>
        <v>45.890506680152072</v>
      </c>
      <c r="M245" s="444">
        <f t="shared" si="201"/>
        <v>-25.297890350298328</v>
      </c>
      <c r="N245" s="444">
        <f t="shared" si="201"/>
        <v>-5.4889426337467739E-13</v>
      </c>
      <c r="Q245" s="444">
        <f t="shared" si="198"/>
        <v>82.308126947357977</v>
      </c>
      <c r="R245" s="444">
        <f t="shared" si="199"/>
        <v>45.636319087186465</v>
      </c>
    </row>
    <row r="246" spans="1:18" x14ac:dyDescent="0.3">
      <c r="A246" s="434" t="s">
        <v>80</v>
      </c>
      <c r="B246" s="30">
        <f t="shared" ref="B246:M246" si="202">B41-B9</f>
        <v>5.3518608772509992</v>
      </c>
      <c r="C246" s="30">
        <f t="shared" si="202"/>
        <v>-7.0581391227489974</v>
      </c>
      <c r="D246" s="30">
        <f t="shared" si="202"/>
        <v>5.3518608772509992</v>
      </c>
      <c r="E246" s="30">
        <f t="shared" si="202"/>
        <v>15.616453921113532</v>
      </c>
      <c r="F246" s="30">
        <f t="shared" si="202"/>
        <v>-72.325697385924315</v>
      </c>
      <c r="G246" s="30">
        <f t="shared" si="202"/>
        <v>40.914957667900978</v>
      </c>
      <c r="H246" s="30">
        <f t="shared" si="202"/>
        <v>-48.399457268233789</v>
      </c>
      <c r="I246" s="30">
        <f t="shared" si="202"/>
        <v>-44.995223242687729</v>
      </c>
      <c r="J246" s="30">
        <f t="shared" si="202"/>
        <v>31.694957667901008</v>
      </c>
      <c r="K246" s="30">
        <f t="shared" si="202"/>
        <v>40.914957667900978</v>
      </c>
      <c r="L246" s="30">
        <f t="shared" si="202"/>
        <v>28.642074680674</v>
      </c>
      <c r="M246" s="30">
        <f t="shared" si="202"/>
        <v>4.2913936596021358</v>
      </c>
      <c r="N246" s="30">
        <f t="shared" ref="N246:N251" si="203">SUM(B246:M246)</f>
        <v>-1.9895196601282805E-13</v>
      </c>
      <c r="Q246" s="30">
        <f t="shared" si="198"/>
        <v>40.914957667900978</v>
      </c>
      <c r="R246" s="30">
        <f t="shared" si="199"/>
        <v>-12.148703165156803</v>
      </c>
    </row>
    <row r="247" spans="1:18" x14ac:dyDescent="0.3">
      <c r="A247" s="433" t="s">
        <v>81</v>
      </c>
      <c r="B247" s="30">
        <f t="shared" ref="B247:M247" si="204">B42-B10</f>
        <v>-9.0722168702571935</v>
      </c>
      <c r="C247" s="30">
        <f t="shared" si="204"/>
        <v>-18.712216870257194</v>
      </c>
      <c r="D247" s="30">
        <f t="shared" si="204"/>
        <v>-14.062216870257188</v>
      </c>
      <c r="E247" s="30">
        <f t="shared" si="204"/>
        <v>-10.349327713770037</v>
      </c>
      <c r="F247" s="30">
        <f t="shared" si="204"/>
        <v>-42.159551809180037</v>
      </c>
      <c r="G247" s="30">
        <f t="shared" si="204"/>
        <v>27.092423777752416</v>
      </c>
      <c r="H247" s="30">
        <f t="shared" si="204"/>
        <v>4.8958038204923184</v>
      </c>
      <c r="I247" s="30">
        <f t="shared" si="204"/>
        <v>-7.4728441624117039</v>
      </c>
      <c r="J247" s="30">
        <f t="shared" si="204"/>
        <v>21.282423777752413</v>
      </c>
      <c r="K247" s="30">
        <f t="shared" si="204"/>
        <v>22.502423777752412</v>
      </c>
      <c r="L247" s="30">
        <f t="shared" si="204"/>
        <v>18.063099786300384</v>
      </c>
      <c r="M247" s="30">
        <f t="shared" si="204"/>
        <v>7.9921993560834608</v>
      </c>
      <c r="N247" s="30">
        <f t="shared" si="203"/>
        <v>4.2632564145606011E-14</v>
      </c>
      <c r="Q247" s="30">
        <f t="shared" si="198"/>
        <v>27.092423777752416</v>
      </c>
      <c r="R247" s="30">
        <f t="shared" si="199"/>
        <v>-67.263106355969242</v>
      </c>
    </row>
    <row r="248" spans="1:18" x14ac:dyDescent="0.3">
      <c r="A248" s="433" t="s">
        <v>82</v>
      </c>
      <c r="B248" s="30">
        <f t="shared" ref="B248:M248" si="205">B43-B11</f>
        <v>-7.3141940143346744</v>
      </c>
      <c r="C248" s="30">
        <f t="shared" si="205"/>
        <v>-7.3141940143346744</v>
      </c>
      <c r="D248" s="30">
        <f t="shared" si="205"/>
        <v>-7.3141940143346744</v>
      </c>
      <c r="E248" s="30">
        <f t="shared" si="205"/>
        <v>-3.6759037150513905</v>
      </c>
      <c r="F248" s="30">
        <f t="shared" si="205"/>
        <v>-29.123935810034254</v>
      </c>
      <c r="G248" s="30">
        <f t="shared" si="205"/>
        <v>16.700328869023309</v>
      </c>
      <c r="H248" s="30">
        <f t="shared" si="205"/>
        <v>-1.9635805288657764</v>
      </c>
      <c r="I248" s="30">
        <f t="shared" si="205"/>
        <v>-9.6051442880214211</v>
      </c>
      <c r="J248" s="30">
        <f t="shared" si="205"/>
        <v>16.470328869023291</v>
      </c>
      <c r="K248" s="30">
        <f t="shared" si="205"/>
        <v>16.470328869023291</v>
      </c>
      <c r="L248" s="30">
        <f t="shared" si="205"/>
        <v>12.749546989445435</v>
      </c>
      <c r="M248" s="30">
        <f t="shared" si="205"/>
        <v>3.9206127884610567</v>
      </c>
      <c r="N248" s="30">
        <f t="shared" si="203"/>
        <v>-4.8316906031686813E-13</v>
      </c>
      <c r="Q248" s="30">
        <f t="shared" si="198"/>
        <v>16.700328869023309</v>
      </c>
      <c r="R248" s="30">
        <f t="shared" si="199"/>
        <v>-38.042092699066359</v>
      </c>
    </row>
    <row r="249" spans="1:18" x14ac:dyDescent="0.3">
      <c r="A249" s="433" t="s">
        <v>83</v>
      </c>
      <c r="B249" s="30">
        <f t="shared" ref="B249:M249" si="206">B44-B12</f>
        <v>0.42071729513533107</v>
      </c>
      <c r="C249" s="30">
        <f t="shared" si="206"/>
        <v>0.42071729513533107</v>
      </c>
      <c r="D249" s="30">
        <f t="shared" si="206"/>
        <v>0.42071729513533107</v>
      </c>
      <c r="E249" s="30">
        <f t="shared" si="206"/>
        <v>0.4467531598920953</v>
      </c>
      <c r="F249" s="30">
        <f t="shared" si="206"/>
        <v>0.38450210659473072</v>
      </c>
      <c r="G249" s="30">
        <f t="shared" si="206"/>
        <v>-9.3232899952694126E-2</v>
      </c>
      <c r="H249" s="30">
        <f t="shared" si="206"/>
        <v>-9.9534265346408191E-2</v>
      </c>
      <c r="I249" s="30">
        <f t="shared" si="206"/>
        <v>-0.1000548115038935</v>
      </c>
      <c r="J249" s="30">
        <f t="shared" si="206"/>
        <v>-9.3232899952694126E-2</v>
      </c>
      <c r="K249" s="30">
        <f t="shared" si="206"/>
        <v>-0.60323289995269391</v>
      </c>
      <c r="L249" s="30">
        <f t="shared" si="206"/>
        <v>-0.56849317303143643</v>
      </c>
      <c r="M249" s="30">
        <f t="shared" si="206"/>
        <v>-0.53562620215301493</v>
      </c>
      <c r="N249" s="30">
        <f t="shared" si="203"/>
        <v>-1.5987211554602254E-14</v>
      </c>
      <c r="Q249" s="30">
        <f t="shared" si="198"/>
        <v>-9.3232899952694126E-2</v>
      </c>
      <c r="R249" s="30">
        <f t="shared" si="199"/>
        <v>2.0001742519401251</v>
      </c>
    </row>
    <row r="250" spans="1:18" x14ac:dyDescent="0.3">
      <c r="A250" s="433" t="s">
        <v>84</v>
      </c>
      <c r="B250" s="30">
        <f t="shared" ref="B250:M250" si="207">B45-B13</f>
        <v>-7.090573878136361</v>
      </c>
      <c r="C250" s="30">
        <f t="shared" si="207"/>
        <v>-7.090573878136361</v>
      </c>
      <c r="D250" s="30">
        <f t="shared" si="207"/>
        <v>-7.090573878136361</v>
      </c>
      <c r="E250" s="30">
        <f t="shared" si="207"/>
        <v>-5.4905555720431778</v>
      </c>
      <c r="F250" s="30">
        <f t="shared" si="207"/>
        <v>-16.690683714695453</v>
      </c>
      <c r="G250" s="30">
        <f t="shared" si="207"/>
        <v>10.648759515505446</v>
      </c>
      <c r="H250" s="30">
        <f t="shared" si="207"/>
        <v>1.083432685600549</v>
      </c>
      <c r="I250" s="30">
        <f t="shared" si="207"/>
        <v>-2.7426980463614115</v>
      </c>
      <c r="J250" s="30">
        <f t="shared" si="207"/>
        <v>10.648759515505446</v>
      </c>
      <c r="K250" s="30">
        <f t="shared" si="207"/>
        <v>10.648759515505446</v>
      </c>
      <c r="L250" s="30">
        <f t="shared" si="207"/>
        <v>8.7356941495244627</v>
      </c>
      <c r="M250" s="30">
        <f t="shared" si="207"/>
        <v>4.4302535858676322</v>
      </c>
      <c r="N250" s="30">
        <f t="shared" si="203"/>
        <v>-1.4210854715202004E-13</v>
      </c>
      <c r="Q250" s="30">
        <f t="shared" si="198"/>
        <v>10.648759515505446</v>
      </c>
      <c r="R250" s="30">
        <f t="shared" si="199"/>
        <v>-32.804201405642267</v>
      </c>
    </row>
    <row r="251" spans="1:18" x14ac:dyDescent="0.3">
      <c r="A251" s="433" t="s">
        <v>86</v>
      </c>
      <c r="B251" s="30">
        <f t="shared" ref="B251:M251" si="208">B46-B14</f>
        <v>-42.244789108921992</v>
      </c>
      <c r="C251" s="30">
        <f t="shared" si="208"/>
        <v>-31.614508643816379</v>
      </c>
      <c r="D251" s="30">
        <f t="shared" si="208"/>
        <v>-36.252269155279095</v>
      </c>
      <c r="E251" s="30">
        <f t="shared" si="208"/>
        <v>-25.270043258528204</v>
      </c>
      <c r="F251" s="30">
        <f t="shared" si="208"/>
        <v>-68.853759629087591</v>
      </c>
      <c r="G251" s="30">
        <f t="shared" si="208"/>
        <v>43.0015792254936</v>
      </c>
      <c r="H251" s="30">
        <f t="shared" si="208"/>
        <v>4.5097227306268053</v>
      </c>
      <c r="I251" s="30">
        <f t="shared" si="208"/>
        <v>-9.1864377290235666</v>
      </c>
      <c r="J251" s="30">
        <f t="shared" si="208"/>
        <v>46.67765091606114</v>
      </c>
      <c r="K251" s="30">
        <f t="shared" si="208"/>
        <v>47.208849995156896</v>
      </c>
      <c r="L251" s="30">
        <f t="shared" si="208"/>
        <v>44.322353983480866</v>
      </c>
      <c r="M251" s="30">
        <f t="shared" si="208"/>
        <v>27.70165067383769</v>
      </c>
      <c r="N251" s="30">
        <f t="shared" si="203"/>
        <v>1.7053025658242404E-13</v>
      </c>
      <c r="Q251" s="30">
        <f t="shared" si="198"/>
        <v>43.0015792254936</v>
      </c>
      <c r="R251" s="30">
        <f t="shared" si="199"/>
        <v>-161.23379057013966</v>
      </c>
    </row>
    <row r="252" spans="1:18" ht="15" thickBot="1" x14ac:dyDescent="0.35">
      <c r="A252" s="435" t="s">
        <v>197</v>
      </c>
      <c r="B252" s="444">
        <f>SUM(B246:B251)</f>
        <v>-59.949195699263889</v>
      </c>
      <c r="C252" s="444">
        <f t="shared" ref="C252:N252" si="209">SUM(C246:C251)</f>
        <v>-71.368915234158266</v>
      </c>
      <c r="D252" s="444">
        <f t="shared" si="209"/>
        <v>-58.946675745620986</v>
      </c>
      <c r="E252" s="444">
        <f t="shared" si="209"/>
        <v>-28.722623178387181</v>
      </c>
      <c r="F252" s="444">
        <f t="shared" si="209"/>
        <v>-228.76912624232691</v>
      </c>
      <c r="G252" s="444">
        <f t="shared" si="209"/>
        <v>138.26481615572305</v>
      </c>
      <c r="H252" s="444">
        <f t="shared" si="209"/>
        <v>-39.973612825726299</v>
      </c>
      <c r="I252" s="444">
        <f t="shared" si="209"/>
        <v>-74.102402280009727</v>
      </c>
      <c r="J252" s="444">
        <f t="shared" si="209"/>
        <v>126.6808878462906</v>
      </c>
      <c r="K252" s="444">
        <f t="shared" si="209"/>
        <v>137.14208692538634</v>
      </c>
      <c r="L252" s="444">
        <f t="shared" si="209"/>
        <v>111.94427641639371</v>
      </c>
      <c r="M252" s="444">
        <f t="shared" si="209"/>
        <v>47.800483861698964</v>
      </c>
      <c r="N252" s="444">
        <f t="shared" si="209"/>
        <v>-6.2705396430828841E-13</v>
      </c>
      <c r="Q252" s="444">
        <f t="shared" si="198"/>
        <v>138.26481615572305</v>
      </c>
      <c r="R252" s="444">
        <f t="shared" si="199"/>
        <v>-309.49171994403417</v>
      </c>
    </row>
    <row r="253" spans="1:18" x14ac:dyDescent="0.3">
      <c r="A253" s="436" t="s">
        <v>88</v>
      </c>
      <c r="B253" s="445">
        <f>B245+B252</f>
        <v>-26.720365775089469</v>
      </c>
      <c r="C253" s="445">
        <f t="shared" ref="C253:N253" si="210">C245+C252</f>
        <v>-71.280085309983832</v>
      </c>
      <c r="D253" s="445">
        <f t="shared" si="210"/>
        <v>-25.717845821446566</v>
      </c>
      <c r="E253" s="445">
        <f t="shared" si="210"/>
        <v>31.448398241995974</v>
      </c>
      <c r="F253" s="445">
        <f t="shared" si="210"/>
        <v>-392.15844529540482</v>
      </c>
      <c r="G253" s="445">
        <f t="shared" si="210"/>
        <v>220.57294310308103</v>
      </c>
      <c r="H253" s="445">
        <f t="shared" si="210"/>
        <v>-114.72358721439858</v>
      </c>
      <c r="I253" s="445">
        <f t="shared" si="210"/>
        <v>-217.67761720309417</v>
      </c>
      <c r="J253" s="445">
        <f t="shared" si="210"/>
        <v>191.4690147936486</v>
      </c>
      <c r="K253" s="445">
        <f t="shared" si="210"/>
        <v>224.45021387274431</v>
      </c>
      <c r="L253" s="445">
        <f t="shared" si="210"/>
        <v>157.83478309654578</v>
      </c>
      <c r="M253" s="445">
        <f t="shared" si="210"/>
        <v>22.502593511400637</v>
      </c>
      <c r="N253" s="445">
        <f t="shared" si="210"/>
        <v>-1.1759482276829658E-12</v>
      </c>
      <c r="Q253" s="445">
        <f t="shared" si="198"/>
        <v>220.57294310308103</v>
      </c>
      <c r="R253" s="445">
        <f t="shared" si="199"/>
        <v>-263.85540085684772</v>
      </c>
    </row>
    <row r="254" spans="1:18" x14ac:dyDescent="0.3">
      <c r="A254" s="433" t="s">
        <v>89</v>
      </c>
      <c r="B254" s="30">
        <f t="shared" ref="B254:M254" si="211">B49-B17</f>
        <v>-2.4941294857417411</v>
      </c>
      <c r="C254" s="30">
        <f t="shared" si="211"/>
        <v>-2.4541294857417419</v>
      </c>
      <c r="D254" s="30">
        <f t="shared" si="211"/>
        <v>-2.4741294857417415</v>
      </c>
      <c r="E254" s="30">
        <f t="shared" si="211"/>
        <v>-2.0628829600288299</v>
      </c>
      <c r="F254" s="30">
        <f t="shared" si="211"/>
        <v>-4.8916086400192178</v>
      </c>
      <c r="G254" s="30">
        <f t="shared" si="211"/>
        <v>3.0253428645535987</v>
      </c>
      <c r="H254" s="30">
        <f t="shared" si="211"/>
        <v>1.2568038521394413</v>
      </c>
      <c r="I254" s="30">
        <f t="shared" si="211"/>
        <v>0.27338824717378074</v>
      </c>
      <c r="J254" s="30">
        <f t="shared" si="211"/>
        <v>2.7553428645535991</v>
      </c>
      <c r="K254" s="30">
        <f t="shared" si="211"/>
        <v>3.0053428645535991</v>
      </c>
      <c r="L254" s="30">
        <f t="shared" si="211"/>
        <v>2.6736350620707636</v>
      </c>
      <c r="M254" s="30">
        <f t="shared" si="211"/>
        <v>1.3870243022284967</v>
      </c>
      <c r="N254" s="30">
        <f>SUM(B254:M254)</f>
        <v>7.1054273576010019E-15</v>
      </c>
      <c r="Q254" s="446">
        <f t="shared" si="198"/>
        <v>3.0253428645535987</v>
      </c>
      <c r="R254" s="446">
        <f t="shared" si="199"/>
        <v>-11.351537192719674</v>
      </c>
    </row>
    <row r="255" spans="1:18" x14ac:dyDescent="0.3">
      <c r="A255" s="436" t="s">
        <v>90</v>
      </c>
      <c r="B255" s="445">
        <f>B253+B254</f>
        <v>-29.21449526083121</v>
      </c>
      <c r="C255" s="445">
        <f t="shared" ref="C255:N255" si="212">C253+C254</f>
        <v>-73.734214795725578</v>
      </c>
      <c r="D255" s="445">
        <f t="shared" si="212"/>
        <v>-28.191975307188308</v>
      </c>
      <c r="E255" s="445">
        <f t="shared" si="212"/>
        <v>29.385515281967145</v>
      </c>
      <c r="F255" s="445">
        <f t="shared" si="212"/>
        <v>-397.05005393542405</v>
      </c>
      <c r="G255" s="445">
        <f t="shared" si="212"/>
        <v>223.59828596763464</v>
      </c>
      <c r="H255" s="445">
        <f t="shared" si="212"/>
        <v>-113.46678336225914</v>
      </c>
      <c r="I255" s="445">
        <f t="shared" si="212"/>
        <v>-217.40422895592039</v>
      </c>
      <c r="J255" s="445">
        <f t="shared" si="212"/>
        <v>194.22435765820219</v>
      </c>
      <c r="K255" s="445">
        <f t="shared" si="212"/>
        <v>227.45555673729791</v>
      </c>
      <c r="L255" s="445">
        <f t="shared" si="212"/>
        <v>160.50841815861654</v>
      </c>
      <c r="M255" s="445">
        <f t="shared" si="212"/>
        <v>23.889617813629133</v>
      </c>
      <c r="N255" s="445">
        <f t="shared" si="212"/>
        <v>-1.1688428003253648E-12</v>
      </c>
      <c r="Q255" s="445">
        <f t="shared" si="198"/>
        <v>223.59828596763464</v>
      </c>
      <c r="R255" s="445">
        <f t="shared" si="199"/>
        <v>-275.20693804956738</v>
      </c>
    </row>
    <row r="256" spans="1:18" x14ac:dyDescent="0.3">
      <c r="A256" s="433" t="s">
        <v>91</v>
      </c>
      <c r="B256" s="30">
        <f>B51-B19</f>
        <v>-71.312162238453368</v>
      </c>
      <c r="C256" s="30">
        <f t="shared" ref="C256:M256" si="213">C51-C19</f>
        <v>-42.512442703558918</v>
      </c>
      <c r="D256" s="30">
        <f t="shared" si="213"/>
        <v>-77.124682192096202</v>
      </c>
      <c r="E256" s="30">
        <f t="shared" si="213"/>
        <v>-51.543755656215922</v>
      </c>
      <c r="F256" s="30">
        <f t="shared" si="213"/>
        <v>-183.5521063140751</v>
      </c>
      <c r="G256" s="30">
        <f t="shared" si="213"/>
        <v>118.928159441086</v>
      </c>
      <c r="H256" s="30">
        <f t="shared" si="213"/>
        <v>4.2216046539182912</v>
      </c>
      <c r="I256" s="30">
        <f t="shared" si="213"/>
        <v>-38.227599399245094</v>
      </c>
      <c r="J256" s="30">
        <f t="shared" si="213"/>
        <v>115.99208775051846</v>
      </c>
      <c r="K256" s="30">
        <f t="shared" si="213"/>
        <v>102.5908886714227</v>
      </c>
      <c r="L256" s="30">
        <f t="shared" si="213"/>
        <v>90.889702426691827</v>
      </c>
      <c r="M256" s="30">
        <f t="shared" si="213"/>
        <v>31.650305560006984</v>
      </c>
      <c r="N256" s="30">
        <f>SUM(B256:M256)</f>
        <v>-3.4106051316484809E-13</v>
      </c>
      <c r="Q256" s="446">
        <f t="shared" si="198"/>
        <v>118.928159441086</v>
      </c>
      <c r="R256" s="446">
        <f t="shared" si="199"/>
        <v>-307.11698966331352</v>
      </c>
    </row>
    <row r="257" spans="1:18" x14ac:dyDescent="0.3">
      <c r="A257" s="436" t="s">
        <v>92</v>
      </c>
      <c r="B257" s="445">
        <f>B255+B256</f>
        <v>-100.52665749928458</v>
      </c>
      <c r="C257" s="445">
        <f t="shared" ref="C257:N257" si="214">C255+C256</f>
        <v>-116.2466574992845</v>
      </c>
      <c r="D257" s="445">
        <f t="shared" si="214"/>
        <v>-105.3166574992845</v>
      </c>
      <c r="E257" s="445">
        <f t="shared" si="214"/>
        <v>-22.158240374248777</v>
      </c>
      <c r="F257" s="445">
        <f t="shared" si="214"/>
        <v>-580.60216024949909</v>
      </c>
      <c r="G257" s="445">
        <f t="shared" si="214"/>
        <v>342.52644540872063</v>
      </c>
      <c r="H257" s="445">
        <f t="shared" si="214"/>
        <v>-109.24517870834084</v>
      </c>
      <c r="I257" s="445">
        <f t="shared" si="214"/>
        <v>-255.63182835516548</v>
      </c>
      <c r="J257" s="445">
        <f t="shared" si="214"/>
        <v>310.21644540872069</v>
      </c>
      <c r="K257" s="445">
        <f t="shared" si="214"/>
        <v>330.04644540872061</v>
      </c>
      <c r="L257" s="445">
        <f t="shared" si="214"/>
        <v>251.39812058530836</v>
      </c>
      <c r="M257" s="445">
        <f t="shared" si="214"/>
        <v>55.539923373636114</v>
      </c>
      <c r="N257" s="445">
        <f t="shared" si="214"/>
        <v>-1.5099033134902129E-12</v>
      </c>
      <c r="Q257" s="445">
        <f t="shared" si="198"/>
        <v>342.52644540872063</v>
      </c>
      <c r="R257" s="445">
        <f t="shared" si="199"/>
        <v>-582.32392771288085</v>
      </c>
    </row>
    <row r="258" spans="1:18" x14ac:dyDescent="0.3">
      <c r="A258" s="433" t="s">
        <v>76</v>
      </c>
      <c r="B258" s="30">
        <f>B53-B21</f>
        <v>9.0136450388911271E-5</v>
      </c>
      <c r="C258" s="30">
        <f t="shared" ref="C258:M258" si="215">C53-C21</f>
        <v>9.0136450388911271E-5</v>
      </c>
      <c r="D258" s="30">
        <f t="shared" si="215"/>
        <v>9.0136450388911271E-5</v>
      </c>
      <c r="E258" s="30">
        <f t="shared" si="215"/>
        <v>1.0946432729106448E-3</v>
      </c>
      <c r="F258" s="30">
        <f t="shared" si="215"/>
        <v>4.0630955152707315E-3</v>
      </c>
      <c r="G258" s="30">
        <f t="shared" si="215"/>
        <v>1.2270599174470931E-3</v>
      </c>
      <c r="H258" s="30">
        <f t="shared" si="215"/>
        <v>2.2185608717606442E-4</v>
      </c>
      <c r="I258" s="30">
        <f t="shared" si="215"/>
        <v>-2.180225444938344E-3</v>
      </c>
      <c r="J258" s="30">
        <f t="shared" si="215"/>
        <v>1.2270599174470931E-3</v>
      </c>
      <c r="K258" s="30">
        <f t="shared" si="215"/>
        <v>1.2270599174470931E-3</v>
      </c>
      <c r="L258" s="30">
        <f t="shared" si="215"/>
        <v>-4.9739808486037873E-3</v>
      </c>
      <c r="M258" s="30">
        <f t="shared" si="215"/>
        <v>-2.1769776853695078E-3</v>
      </c>
      <c r="N258" s="30">
        <f t="shared" ref="N258:N262" si="216">SUM(B258:M258)</f>
        <v>-4.6185277824406512E-14</v>
      </c>
      <c r="Q258" s="30">
        <f t="shared" si="198"/>
        <v>1.2270599174470931E-3</v>
      </c>
      <c r="R258" s="30">
        <f t="shared" si="199"/>
        <v>6.6552080567952032E-3</v>
      </c>
    </row>
    <row r="259" spans="1:18" x14ac:dyDescent="0.3">
      <c r="A259" s="433" t="s">
        <v>77</v>
      </c>
      <c r="B259" s="30">
        <f t="shared" ref="B259:M259" si="217">B54-B22</f>
        <v>0</v>
      </c>
      <c r="C259" s="30">
        <f t="shared" si="217"/>
        <v>0</v>
      </c>
      <c r="D259" s="30">
        <f t="shared" si="217"/>
        <v>0</v>
      </c>
      <c r="E259" s="30">
        <f t="shared" si="217"/>
        <v>0</v>
      </c>
      <c r="F259" s="30">
        <f t="shared" si="217"/>
        <v>0</v>
      </c>
      <c r="G259" s="30">
        <f t="shared" si="217"/>
        <v>0</v>
      </c>
      <c r="H259" s="30">
        <f t="shared" si="217"/>
        <v>0</v>
      </c>
      <c r="I259" s="30">
        <f t="shared" si="217"/>
        <v>0</v>
      </c>
      <c r="J259" s="30">
        <f t="shared" si="217"/>
        <v>0</v>
      </c>
      <c r="K259" s="30">
        <f t="shared" si="217"/>
        <v>0</v>
      </c>
      <c r="L259" s="30">
        <f t="shared" si="217"/>
        <v>0</v>
      </c>
      <c r="M259" s="30">
        <f t="shared" si="217"/>
        <v>0</v>
      </c>
      <c r="N259" s="30">
        <f t="shared" si="216"/>
        <v>0</v>
      </c>
      <c r="Q259" s="30">
        <f t="shared" si="198"/>
        <v>0</v>
      </c>
      <c r="R259" s="30">
        <f t="shared" si="199"/>
        <v>0</v>
      </c>
    </row>
    <row r="260" spans="1:18" x14ac:dyDescent="0.3">
      <c r="A260" s="433" t="s">
        <v>144</v>
      </c>
      <c r="B260" s="30">
        <f t="shared" ref="B260:M260" si="218">B55-B23</f>
        <v>0</v>
      </c>
      <c r="C260" s="30">
        <f t="shared" si="218"/>
        <v>0</v>
      </c>
      <c r="D260" s="30">
        <f t="shared" si="218"/>
        <v>0</v>
      </c>
      <c r="E260" s="30">
        <f t="shared" si="218"/>
        <v>0</v>
      </c>
      <c r="F260" s="30">
        <f t="shared" si="218"/>
        <v>0</v>
      </c>
      <c r="G260" s="30">
        <f t="shared" si="218"/>
        <v>0</v>
      </c>
      <c r="H260" s="30">
        <f t="shared" si="218"/>
        <v>0</v>
      </c>
      <c r="I260" s="30">
        <f t="shared" si="218"/>
        <v>0</v>
      </c>
      <c r="J260" s="30">
        <f t="shared" si="218"/>
        <v>0</v>
      </c>
      <c r="K260" s="30">
        <f t="shared" si="218"/>
        <v>0</v>
      </c>
      <c r="L260" s="30">
        <f t="shared" si="218"/>
        <v>0</v>
      </c>
      <c r="M260" s="30">
        <f t="shared" si="218"/>
        <v>0</v>
      </c>
      <c r="N260" s="30">
        <f t="shared" si="216"/>
        <v>0</v>
      </c>
      <c r="Q260" s="30">
        <f t="shared" si="198"/>
        <v>0</v>
      </c>
      <c r="R260" s="30">
        <f t="shared" si="199"/>
        <v>0</v>
      </c>
    </row>
    <row r="261" spans="1:18" x14ac:dyDescent="0.3">
      <c r="A261" s="433" t="s">
        <v>85</v>
      </c>
      <c r="B261" s="30">
        <f t="shared" ref="B261:M261" si="219">B56-B24</f>
        <v>0</v>
      </c>
      <c r="C261" s="30">
        <f t="shared" si="219"/>
        <v>0</v>
      </c>
      <c r="D261" s="30">
        <f t="shared" si="219"/>
        <v>0</v>
      </c>
      <c r="E261" s="30">
        <f t="shared" si="219"/>
        <v>0</v>
      </c>
      <c r="F261" s="30">
        <f t="shared" si="219"/>
        <v>0</v>
      </c>
      <c r="G261" s="30">
        <f t="shared" si="219"/>
        <v>0</v>
      </c>
      <c r="H261" s="30">
        <f t="shared" si="219"/>
        <v>0</v>
      </c>
      <c r="I261" s="30">
        <f t="shared" si="219"/>
        <v>0</v>
      </c>
      <c r="J261" s="30">
        <f t="shared" si="219"/>
        <v>0</v>
      </c>
      <c r="K261" s="30">
        <f t="shared" si="219"/>
        <v>0</v>
      </c>
      <c r="L261" s="30">
        <f t="shared" si="219"/>
        <v>0</v>
      </c>
      <c r="M261" s="30">
        <f t="shared" si="219"/>
        <v>0</v>
      </c>
      <c r="N261" s="30">
        <f t="shared" si="216"/>
        <v>0</v>
      </c>
      <c r="Q261" s="30">
        <f t="shared" si="198"/>
        <v>0</v>
      </c>
      <c r="R261" s="30">
        <f t="shared" si="199"/>
        <v>0</v>
      </c>
    </row>
    <row r="262" spans="1:18" x14ac:dyDescent="0.3">
      <c r="A262" s="433" t="s">
        <v>145</v>
      </c>
      <c r="B262" s="30">
        <f t="shared" ref="B262:N265" si="220">B57-B25</f>
        <v>0</v>
      </c>
      <c r="C262" s="30">
        <f t="shared" si="220"/>
        <v>0</v>
      </c>
      <c r="D262" s="30">
        <f t="shared" si="220"/>
        <v>0</v>
      </c>
      <c r="E262" s="30">
        <f t="shared" si="220"/>
        <v>0</v>
      </c>
      <c r="F262" s="30">
        <f t="shared" si="220"/>
        <v>0</v>
      </c>
      <c r="G262" s="30">
        <f t="shared" si="220"/>
        <v>0</v>
      </c>
      <c r="H262" s="30">
        <f t="shared" si="220"/>
        <v>0</v>
      </c>
      <c r="I262" s="30">
        <f t="shared" si="220"/>
        <v>0</v>
      </c>
      <c r="J262" s="30">
        <f t="shared" si="220"/>
        <v>0</v>
      </c>
      <c r="K262" s="30">
        <f t="shared" si="220"/>
        <v>0</v>
      </c>
      <c r="L262" s="30">
        <f t="shared" si="220"/>
        <v>0</v>
      </c>
      <c r="M262" s="30">
        <f t="shared" si="220"/>
        <v>0</v>
      </c>
      <c r="N262" s="30">
        <f t="shared" si="216"/>
        <v>0</v>
      </c>
      <c r="Q262" s="446">
        <f t="shared" si="198"/>
        <v>0</v>
      </c>
      <c r="R262" s="446">
        <f t="shared" si="199"/>
        <v>0</v>
      </c>
    </row>
    <row r="263" spans="1:18" x14ac:dyDescent="0.3">
      <c r="A263" s="436" t="s">
        <v>146</v>
      </c>
      <c r="B263" s="445">
        <f>SUM(B258:B262)</f>
        <v>9.0136450388911271E-5</v>
      </c>
      <c r="C263" s="445">
        <f t="shared" ref="C263:M263" si="221">SUM(C258:C262)</f>
        <v>9.0136450388911271E-5</v>
      </c>
      <c r="D263" s="445">
        <f t="shared" si="221"/>
        <v>9.0136450388911271E-5</v>
      </c>
      <c r="E263" s="445">
        <f t="shared" si="221"/>
        <v>1.0946432729106448E-3</v>
      </c>
      <c r="F263" s="445">
        <f t="shared" si="221"/>
        <v>4.0630955152707315E-3</v>
      </c>
      <c r="G263" s="445">
        <f t="shared" si="221"/>
        <v>1.2270599174470931E-3</v>
      </c>
      <c r="H263" s="445">
        <f t="shared" si="221"/>
        <v>2.2185608717606442E-4</v>
      </c>
      <c r="I263" s="445">
        <f t="shared" si="221"/>
        <v>-2.180225444938344E-3</v>
      </c>
      <c r="J263" s="445">
        <f t="shared" si="221"/>
        <v>1.2270599174470931E-3</v>
      </c>
      <c r="K263" s="445">
        <f t="shared" si="221"/>
        <v>1.2270599174470931E-3</v>
      </c>
      <c r="L263" s="445">
        <f t="shared" si="221"/>
        <v>-4.9739808486037873E-3</v>
      </c>
      <c r="M263" s="445">
        <f t="shared" si="221"/>
        <v>-2.1769776853695078E-3</v>
      </c>
      <c r="N263" s="445">
        <f>SUM(N258:N262)</f>
        <v>-4.6185277824406512E-14</v>
      </c>
      <c r="Q263" s="445">
        <f t="shared" si="198"/>
        <v>1.2270599174470931E-3</v>
      </c>
      <c r="R263" s="445">
        <f t="shared" si="199"/>
        <v>6.6552080567952032E-3</v>
      </c>
    </row>
    <row r="264" spans="1:18" x14ac:dyDescent="0.3">
      <c r="A264" s="433" t="s">
        <v>148</v>
      </c>
      <c r="B264" s="30">
        <f>B59-B27</f>
        <v>-20.51693587973503</v>
      </c>
      <c r="C264" s="30">
        <f t="shared" si="220"/>
        <v>-21.15693587973503</v>
      </c>
      <c r="D264" s="30">
        <f t="shared" si="220"/>
        <v>-20.496935879735034</v>
      </c>
      <c r="E264" s="30">
        <f t="shared" si="220"/>
        <v>-16.530282673721786</v>
      </c>
      <c r="F264" s="30">
        <f t="shared" si="220"/>
        <v>-54.346855115814513</v>
      </c>
      <c r="G264" s="30">
        <f t="shared" si="220"/>
        <v>23.582045317368369</v>
      </c>
      <c r="H264" s="30">
        <f t="shared" si="220"/>
        <v>-0.20142493597168709</v>
      </c>
      <c r="I264" s="30">
        <f t="shared" si="220"/>
        <v>-9.7108130373077302</v>
      </c>
      <c r="J264" s="30">
        <f t="shared" si="220"/>
        <v>23.572045317368378</v>
      </c>
      <c r="K264" s="30">
        <f t="shared" si="220"/>
        <v>23.572045317368378</v>
      </c>
      <c r="L264" s="30">
        <f t="shared" si="220"/>
        <v>18.817351266700371</v>
      </c>
      <c r="M264" s="30">
        <f t="shared" si="220"/>
        <v>53.416696183215137</v>
      </c>
      <c r="N264" s="30">
        <f t="shared" si="220"/>
        <v>0</v>
      </c>
      <c r="Q264" s="446">
        <f t="shared" si="198"/>
        <v>23.582045317368369</v>
      </c>
      <c r="R264" s="446">
        <f t="shared" si="199"/>
        <v>-109.46590011137303</v>
      </c>
    </row>
    <row r="265" spans="1:18" x14ac:dyDescent="0.3">
      <c r="A265" s="433" t="s">
        <v>149</v>
      </c>
      <c r="B265" s="446">
        <f t="shared" si="220"/>
        <v>-2.6304938077533961</v>
      </c>
      <c r="C265" s="446">
        <f t="shared" si="220"/>
        <v>-70.940493807753398</v>
      </c>
      <c r="D265" s="446">
        <f t="shared" si="220"/>
        <v>-47.090493807753404</v>
      </c>
      <c r="E265" s="446">
        <f t="shared" si="220"/>
        <v>14.328481501858938</v>
      </c>
      <c r="F265" s="446">
        <f t="shared" si="220"/>
        <v>-34.884345665427368</v>
      </c>
      <c r="G265" s="446">
        <f t="shared" si="220"/>
        <v>24.500319407513771</v>
      </c>
      <c r="H265" s="446">
        <f t="shared" si="220"/>
        <v>10.249488752222661</v>
      </c>
      <c r="I265" s="446">
        <f t="shared" si="220"/>
        <v>2.2171564901062055</v>
      </c>
      <c r="J265" s="446">
        <f t="shared" si="220"/>
        <v>30.33031940751377</v>
      </c>
      <c r="K265" s="446">
        <f t="shared" si="220"/>
        <v>30.33031940751377</v>
      </c>
      <c r="L265" s="446">
        <f t="shared" si="220"/>
        <v>26.314153276455542</v>
      </c>
      <c r="M265" s="30">
        <f t="shared" si="220"/>
        <v>17.275588845503066</v>
      </c>
      <c r="N265" s="30">
        <f t="shared" si="220"/>
        <v>0</v>
      </c>
      <c r="P265" s="107">
        <v>0</v>
      </c>
      <c r="Q265" s="446">
        <f t="shared" si="198"/>
        <v>24.500319407513771</v>
      </c>
      <c r="R265" s="446">
        <f t="shared" si="199"/>
        <v>-116.71702617931486</v>
      </c>
    </row>
    <row r="266" spans="1:18" x14ac:dyDescent="0.3">
      <c r="A266" s="436" t="s">
        <v>150</v>
      </c>
      <c r="B266" s="445">
        <f>B264+B265</f>
        <v>-23.147429687488426</v>
      </c>
      <c r="C266" s="445">
        <f t="shared" ref="C266:N266" si="222">C264+C265</f>
        <v>-92.097429687488429</v>
      </c>
      <c r="D266" s="445">
        <f t="shared" si="222"/>
        <v>-67.587429687488438</v>
      </c>
      <c r="E266" s="445">
        <f t="shared" si="222"/>
        <v>-2.2018011718628472</v>
      </c>
      <c r="F266" s="445">
        <f t="shared" si="222"/>
        <v>-89.231200781241881</v>
      </c>
      <c r="G266" s="445">
        <f t="shared" si="222"/>
        <v>48.08236472488214</v>
      </c>
      <c r="H266" s="445">
        <f t="shared" si="222"/>
        <v>10.048063816250973</v>
      </c>
      <c r="I266" s="445">
        <f t="shared" si="222"/>
        <v>-7.4936565472015246</v>
      </c>
      <c r="J266" s="445">
        <f t="shared" si="222"/>
        <v>53.902364724882148</v>
      </c>
      <c r="K266" s="445">
        <f t="shared" si="222"/>
        <v>53.902364724882148</v>
      </c>
      <c r="L266" s="445">
        <f t="shared" si="222"/>
        <v>45.131504543155913</v>
      </c>
      <c r="M266" s="445">
        <f t="shared" si="222"/>
        <v>70.692285028718203</v>
      </c>
      <c r="N266" s="445">
        <f t="shared" si="222"/>
        <v>0</v>
      </c>
      <c r="Q266" s="445">
        <f t="shared" si="198"/>
        <v>48.08236472488214</v>
      </c>
      <c r="R266" s="445">
        <f t="shared" si="199"/>
        <v>-226.18292629068787</v>
      </c>
    </row>
    <row r="267" spans="1:18" x14ac:dyDescent="0.3">
      <c r="B267" s="151"/>
      <c r="C267" s="151"/>
      <c r="D267" s="151"/>
      <c r="E267" s="151"/>
      <c r="F267" s="151"/>
      <c r="G267" s="151"/>
      <c r="H267" s="151"/>
      <c r="I267" s="151"/>
      <c r="J267" s="151"/>
      <c r="K267" s="151"/>
      <c r="L267" s="151"/>
      <c r="M267" s="151"/>
      <c r="Q267" s="448">
        <f t="shared" si="198"/>
        <v>0</v>
      </c>
      <c r="R267" s="448">
        <f t="shared" si="199"/>
        <v>0</v>
      </c>
    </row>
    <row r="268" spans="1:18" x14ac:dyDescent="0.3">
      <c r="A268" s="436" t="s">
        <v>152</v>
      </c>
      <c r="B268" s="445">
        <f>B257+B263+B266</f>
        <v>-123.67399705032261</v>
      </c>
      <c r="C268" s="445">
        <f>C257+C263+C266</f>
        <v>-208.34399705032251</v>
      </c>
      <c r="D268" s="445">
        <f t="shared" ref="D268:M268" si="223">D257+D263+D266</f>
        <v>-172.90399705032257</v>
      </c>
      <c r="E268" s="445">
        <f t="shared" si="223"/>
        <v>-24.358946902838714</v>
      </c>
      <c r="F268" s="445">
        <f t="shared" si="223"/>
        <v>-669.82929793522578</v>
      </c>
      <c r="G268" s="445">
        <f t="shared" si="223"/>
        <v>390.61003719352021</v>
      </c>
      <c r="H268" s="445">
        <f t="shared" si="223"/>
        <v>-99.196893036002692</v>
      </c>
      <c r="I268" s="445">
        <f t="shared" si="223"/>
        <v>-263.12766512781195</v>
      </c>
      <c r="J268" s="445">
        <f t="shared" si="223"/>
        <v>364.12003719352026</v>
      </c>
      <c r="K268" s="445">
        <f t="shared" si="223"/>
        <v>383.95003719352019</v>
      </c>
      <c r="L268" s="445">
        <f t="shared" si="223"/>
        <v>296.52465114761566</v>
      </c>
      <c r="M268" s="445">
        <f t="shared" si="223"/>
        <v>126.23003142466895</v>
      </c>
      <c r="N268" s="451">
        <f>N257+N263+N266</f>
        <v>-1.5560885913146194E-12</v>
      </c>
      <c r="Q268" s="445">
        <f t="shared" si="198"/>
        <v>390.61003719352021</v>
      </c>
      <c r="R268" s="445">
        <f t="shared" si="199"/>
        <v>-808.50019879551201</v>
      </c>
    </row>
    <row r="269" spans="1:18" x14ac:dyDescent="0.3">
      <c r="A269" s="453"/>
      <c r="B269" s="491">
        <f t="shared" ref="B269:N269" si="224">B112+B144+B175+B206-B237+B299</f>
        <v>123.67399705032244</v>
      </c>
      <c r="C269" s="491">
        <f t="shared" si="224"/>
        <v>208.34399705032206</v>
      </c>
      <c r="D269" s="491">
        <f t="shared" si="224"/>
        <v>172.90399705032235</v>
      </c>
      <c r="E269" s="491">
        <f t="shared" si="224"/>
        <v>24.358946902839136</v>
      </c>
      <c r="F269" s="491">
        <f t="shared" si="224"/>
        <v>669.82929793522567</v>
      </c>
      <c r="G269" s="491">
        <f t="shared" si="224"/>
        <v>-390.61003719352016</v>
      </c>
      <c r="H269" s="491">
        <f t="shared" si="224"/>
        <v>99.196893036002479</v>
      </c>
      <c r="I269" s="491">
        <f t="shared" si="224"/>
        <v>263.12766512781195</v>
      </c>
      <c r="J269" s="491">
        <f t="shared" si="224"/>
        <v>-364.12003719352003</v>
      </c>
      <c r="K269" s="491">
        <f t="shared" si="224"/>
        <v>-383.95003719351996</v>
      </c>
      <c r="L269" s="491">
        <f t="shared" si="224"/>
        <v>-296.52465114761549</v>
      </c>
      <c r="M269" s="491">
        <f t="shared" si="224"/>
        <v>-126.23003142466877</v>
      </c>
      <c r="N269" s="491">
        <f t="shared" si="224"/>
        <v>1.6484591469634324E-12</v>
      </c>
      <c r="O269" s="442"/>
    </row>
    <row r="270" spans="1:18" s="470" customFormat="1" x14ac:dyDescent="0.3">
      <c r="A270" s="467"/>
      <c r="B270" s="468"/>
      <c r="C270" s="468"/>
      <c r="D270" s="468"/>
      <c r="E270" s="468"/>
      <c r="F270" s="468"/>
      <c r="G270" s="468"/>
      <c r="H270" s="468"/>
      <c r="I270" s="468"/>
      <c r="J270" s="468"/>
      <c r="K270" s="468"/>
      <c r="L270" s="468"/>
      <c r="M270" s="468"/>
      <c r="N270" s="468"/>
      <c r="O270" s="469"/>
    </row>
    <row r="271" spans="1:18" x14ac:dyDescent="0.3"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O271" s="442"/>
    </row>
    <row r="272" spans="1:18" ht="23.4" x14ac:dyDescent="0.45">
      <c r="A272" s="485" t="s">
        <v>484</v>
      </c>
      <c r="B272" s="1" t="s">
        <v>0</v>
      </c>
      <c r="C272" s="1" t="s">
        <v>1</v>
      </c>
      <c r="D272" s="1" t="s">
        <v>2</v>
      </c>
      <c r="E272" s="1" t="s">
        <v>3</v>
      </c>
      <c r="F272" s="1" t="s">
        <v>4</v>
      </c>
      <c r="G272" s="1" t="s">
        <v>5</v>
      </c>
      <c r="H272" s="1" t="s">
        <v>6</v>
      </c>
      <c r="I272" s="1" t="s">
        <v>7</v>
      </c>
      <c r="J272" s="1" t="s">
        <v>8</v>
      </c>
      <c r="K272" s="1" t="s">
        <v>9</v>
      </c>
      <c r="L272" s="1" t="s">
        <v>10</v>
      </c>
      <c r="M272" s="1" t="s">
        <v>11</v>
      </c>
      <c r="N272" s="1" t="s">
        <v>12</v>
      </c>
      <c r="Q272" s="64" t="s">
        <v>179</v>
      </c>
      <c r="R272" s="64" t="s">
        <v>94</v>
      </c>
    </row>
    <row r="273" spans="1:21" x14ac:dyDescent="0.3">
      <c r="A273" s="432" t="s">
        <v>156</v>
      </c>
      <c r="B273" s="748">
        <f>B211-B180-B149-B118-B86-B242</f>
        <v>-69.511846625666749</v>
      </c>
      <c r="C273" s="748">
        <f t="shared" ref="C273:N273" si="225">C211-C180-C149-C118-C86-C242</f>
        <v>-3.2318466256667762</v>
      </c>
      <c r="D273" s="30">
        <f t="shared" si="225"/>
        <v>-69.511846625666749</v>
      </c>
      <c r="E273" s="30">
        <f t="shared" si="225"/>
        <v>-121.85193895695011</v>
      </c>
      <c r="F273" s="30">
        <f t="shared" si="225"/>
        <v>330.43870736203337</v>
      </c>
      <c r="G273" s="30">
        <f t="shared" si="225"/>
        <v>-162.33417464641661</v>
      </c>
      <c r="H273" s="30">
        <f t="shared" si="225"/>
        <v>150.56855124712484</v>
      </c>
      <c r="I273" s="30">
        <f t="shared" si="225"/>
        <v>275.72964160454154</v>
      </c>
      <c r="J273" s="30">
        <f t="shared" si="225"/>
        <v>-109.29417464641665</v>
      </c>
      <c r="K273" s="30">
        <f t="shared" si="225"/>
        <v>-162.33417464641661</v>
      </c>
      <c r="L273" s="30">
        <f t="shared" si="225"/>
        <v>-99.753629467708606</v>
      </c>
      <c r="M273" s="30">
        <f t="shared" si="225"/>
        <v>41.086732027210019</v>
      </c>
      <c r="N273" s="30">
        <f t="shared" si="225"/>
        <v>-9.1082990821234944E-2</v>
      </c>
      <c r="Q273" s="30">
        <f>SUMIFS(B273:M273,$B$2:$M$2,$X$3)</f>
        <v>-162.33417464641661</v>
      </c>
      <c r="R273" s="30">
        <f>SUMIFS(B273:M273,$B$1:$M$1,$Y$3)</f>
        <v>-96.002946118333625</v>
      </c>
      <c r="T273" s="8">
        <f>Q242+Q273</f>
        <v>-81.167087323208307</v>
      </c>
      <c r="U273" s="8">
        <f t="shared" ref="U273:U299" si="226">R242+R273</f>
        <v>-48.001473059166813</v>
      </c>
    </row>
    <row r="274" spans="1:21" x14ac:dyDescent="0.3">
      <c r="A274" s="432" t="s">
        <v>75</v>
      </c>
      <c r="B274" s="30">
        <f t="shared" ref="B274:N274" si="227">B212-B181-B150-B119-B87-B243</f>
        <v>3.05350795107897</v>
      </c>
      <c r="C274" s="30">
        <f t="shared" si="227"/>
        <v>3.05350795107897</v>
      </c>
      <c r="D274" s="30">
        <f t="shared" si="227"/>
        <v>3.05350795107897</v>
      </c>
      <c r="E274" s="30">
        <f t="shared" si="227"/>
        <v>1.5061833486329164</v>
      </c>
      <c r="F274" s="30">
        <f t="shared" si="227"/>
        <v>-3.6625444342447295</v>
      </c>
      <c r="G274" s="30">
        <f t="shared" si="227"/>
        <v>-2.2755256847359533</v>
      </c>
      <c r="H274" s="30">
        <f t="shared" si="227"/>
        <v>-1.0686938222867326</v>
      </c>
      <c r="I274" s="30">
        <f t="shared" si="227"/>
        <v>11.414038922692953</v>
      </c>
      <c r="J274" s="30">
        <f t="shared" si="227"/>
        <v>-20.275525684735953</v>
      </c>
      <c r="K274" s="30">
        <f t="shared" si="227"/>
        <v>-12.275525684735953</v>
      </c>
      <c r="L274" s="30">
        <f t="shared" si="227"/>
        <v>7.9658406877538823</v>
      </c>
      <c r="M274" s="30">
        <f t="shared" si="227"/>
        <v>9.5112284984228488</v>
      </c>
      <c r="N274" s="30">
        <f t="shared" si="227"/>
        <v>2.0961010704922955E-13</v>
      </c>
      <c r="Q274" s="30">
        <f t="shared" ref="Q274:Q299" si="228">SUMIFS(B274:M274,$B$2:$M$2,$X$3)</f>
        <v>-2.2755256847359533</v>
      </c>
      <c r="R274" s="30">
        <f t="shared" ref="R274:R299" si="229">SUMIFS(B274:M274,$B$1:$M$1,$Y$3)</f>
        <v>4.7286370828891435</v>
      </c>
      <c r="T274" s="8">
        <f t="shared" ref="T274:T299" si="230">Q243+Q274</f>
        <v>-1.1377628423679766</v>
      </c>
      <c r="U274" s="8">
        <f t="shared" si="226"/>
        <v>2.3643185414445718</v>
      </c>
    </row>
    <row r="275" spans="1:21" x14ac:dyDescent="0.3">
      <c r="A275" s="433" t="s">
        <v>195</v>
      </c>
      <c r="B275" s="30">
        <f t="shared" ref="B275:N275" si="231">B213-B182-B151-B120-B88-B244</f>
        <v>6.78826238939223E-4</v>
      </c>
      <c r="C275" s="30">
        <f t="shared" si="231"/>
        <v>6.78826238939223E-4</v>
      </c>
      <c r="D275" s="30">
        <f t="shared" si="231"/>
        <v>6.78826238939223E-4</v>
      </c>
      <c r="E275" s="30">
        <f t="shared" si="231"/>
        <v>3.712767550879903E-3</v>
      </c>
      <c r="F275" s="30">
        <f t="shared" si="231"/>
        <v>2.4751783672591898E-3</v>
      </c>
      <c r="G275" s="30">
        <f t="shared" si="231"/>
        <v>-6.5535635633864331E-3</v>
      </c>
      <c r="H275" s="30">
        <f t="shared" si="231"/>
        <v>9.1352506494501995E-5</v>
      </c>
      <c r="I275" s="30">
        <f t="shared" si="231"/>
        <v>6.7493189344460802E-3</v>
      </c>
      <c r="J275" s="30">
        <f t="shared" si="231"/>
        <v>-6.5535635633864331E-3</v>
      </c>
      <c r="K275" s="30">
        <f t="shared" si="231"/>
        <v>-6.5535635633864331E-3</v>
      </c>
      <c r="L275" s="30">
        <f t="shared" si="231"/>
        <v>6.7754196505873665E-3</v>
      </c>
      <c r="M275" s="30">
        <f t="shared" si="231"/>
        <v>-2.1798250362152771E-3</v>
      </c>
      <c r="N275" s="30">
        <f t="shared" si="231"/>
        <v>1.4033219031261979E-13</v>
      </c>
      <c r="Q275" s="30">
        <f t="shared" si="228"/>
        <v>-6.5535635633864331E-3</v>
      </c>
      <c r="R275" s="30">
        <f t="shared" si="229"/>
        <v>1.6708610715703287E-3</v>
      </c>
      <c r="T275" s="8">
        <f t="shared" si="230"/>
        <v>-3.2767817816932165E-3</v>
      </c>
      <c r="U275" s="8">
        <f t="shared" si="226"/>
        <v>8.3543053578516435E-4</v>
      </c>
    </row>
    <row r="276" spans="1:21" ht="15" thickBot="1" x14ac:dyDescent="0.35">
      <c r="A276" s="435" t="s">
        <v>196</v>
      </c>
      <c r="B276" s="444">
        <f>SUM(B273:B275)</f>
        <v>-66.45765984834884</v>
      </c>
      <c r="C276" s="444">
        <f t="shared" ref="C276:M276" si="232">SUM(C273:C275)</f>
        <v>-0.17765984834886694</v>
      </c>
      <c r="D276" s="444">
        <f t="shared" si="232"/>
        <v>-66.45765984834884</v>
      </c>
      <c r="E276" s="444">
        <f t="shared" si="232"/>
        <v>-120.34204284076631</v>
      </c>
      <c r="F276" s="444">
        <f t="shared" si="232"/>
        <v>326.77863810615588</v>
      </c>
      <c r="G276" s="444">
        <f t="shared" si="232"/>
        <v>-164.61625389471595</v>
      </c>
      <c r="H276" s="444">
        <f t="shared" si="232"/>
        <v>149.49994877734463</v>
      </c>
      <c r="I276" s="444">
        <f t="shared" si="232"/>
        <v>287.15042984616895</v>
      </c>
      <c r="J276" s="444">
        <f t="shared" si="232"/>
        <v>-129.57625389471599</v>
      </c>
      <c r="K276" s="444">
        <f t="shared" si="232"/>
        <v>-174.61625389471595</v>
      </c>
      <c r="L276" s="444">
        <f t="shared" si="232"/>
        <v>-91.781013360304144</v>
      </c>
      <c r="M276" s="444">
        <f t="shared" si="232"/>
        <v>50.595780700596656</v>
      </c>
      <c r="N276" s="444">
        <f t="shared" ref="N276" si="233">SUM(N273:N275)</f>
        <v>-9.1082990820885001E-2</v>
      </c>
      <c r="Q276" s="444">
        <f t="shared" si="228"/>
        <v>-164.61625389471595</v>
      </c>
      <c r="R276" s="444">
        <f t="shared" si="229"/>
        <v>-91.272638174372929</v>
      </c>
      <c r="T276" s="8">
        <f t="shared" si="230"/>
        <v>-82.308126947357977</v>
      </c>
      <c r="U276" s="8">
        <f t="shared" si="226"/>
        <v>-45.636319087186465</v>
      </c>
    </row>
    <row r="277" spans="1:21" x14ac:dyDescent="0.3">
      <c r="A277" s="434" t="s">
        <v>80</v>
      </c>
      <c r="B277" s="30">
        <f t="shared" ref="B277:M277" si="234">B215-B184-B153-B122-B90-B246</f>
        <v>-10.703721754501998</v>
      </c>
      <c r="C277" s="30">
        <f t="shared" si="234"/>
        <v>14.116278245497995</v>
      </c>
      <c r="D277" s="30">
        <f t="shared" si="234"/>
        <v>-10.703721754501998</v>
      </c>
      <c r="E277" s="30">
        <f t="shared" si="234"/>
        <v>-31.232907842227064</v>
      </c>
      <c r="F277" s="30">
        <f t="shared" si="234"/>
        <v>144.65139477184863</v>
      </c>
      <c r="G277" s="30">
        <f t="shared" si="234"/>
        <v>-81.829915335801957</v>
      </c>
      <c r="H277" s="30">
        <f t="shared" si="234"/>
        <v>96.798914536467578</v>
      </c>
      <c r="I277" s="30">
        <f t="shared" si="234"/>
        <v>89.990446485375458</v>
      </c>
      <c r="J277" s="30">
        <f t="shared" si="234"/>
        <v>-63.389915335802016</v>
      </c>
      <c r="K277" s="30">
        <f t="shared" si="234"/>
        <v>-81.829915335801957</v>
      </c>
      <c r="L277" s="30">
        <f t="shared" si="234"/>
        <v>-57.284149361348</v>
      </c>
      <c r="M277" s="30">
        <f t="shared" si="234"/>
        <v>-8.5827873192042716</v>
      </c>
      <c r="N277" s="30">
        <f t="shared" ref="N277" si="235">N215-N184-N153-N122-N90-N246</f>
        <v>-0.5999999999997101</v>
      </c>
      <c r="Q277" s="30">
        <f t="shared" si="228"/>
        <v>-81.829915335801957</v>
      </c>
      <c r="R277" s="30">
        <f t="shared" si="229"/>
        <v>24.297406330313606</v>
      </c>
      <c r="T277" s="8">
        <f t="shared" si="230"/>
        <v>-40.914957667900978</v>
      </c>
      <c r="U277" s="8">
        <f t="shared" si="226"/>
        <v>12.148703165156803</v>
      </c>
    </row>
    <row r="278" spans="1:21" x14ac:dyDescent="0.3">
      <c r="A278" s="433" t="s">
        <v>81</v>
      </c>
      <c r="B278" s="30">
        <f t="shared" ref="B278:N278" si="236">B216-B185-B154-B123-B91-B247</f>
        <v>18.144433740514387</v>
      </c>
      <c r="C278" s="30">
        <f t="shared" si="236"/>
        <v>37.424433740514388</v>
      </c>
      <c r="D278" s="30">
        <f t="shared" si="236"/>
        <v>28.124433740514377</v>
      </c>
      <c r="E278" s="30">
        <f t="shared" si="236"/>
        <v>20.698655427540075</v>
      </c>
      <c r="F278" s="30">
        <f t="shared" si="236"/>
        <v>84.319103618360074</v>
      </c>
      <c r="G278" s="30">
        <f t="shared" si="236"/>
        <v>-54.184847555504831</v>
      </c>
      <c r="H278" s="30">
        <f t="shared" si="236"/>
        <v>-9.7916076409846369</v>
      </c>
      <c r="I278" s="30">
        <f t="shared" si="236"/>
        <v>14.945688324823408</v>
      </c>
      <c r="J278" s="30">
        <f t="shared" si="236"/>
        <v>-42.564847555504826</v>
      </c>
      <c r="K278" s="30">
        <f t="shared" si="236"/>
        <v>-45.004847555504824</v>
      </c>
      <c r="L278" s="30">
        <f t="shared" si="236"/>
        <v>-36.126199572600768</v>
      </c>
      <c r="M278" s="30">
        <f t="shared" si="236"/>
        <v>-15.984398712166922</v>
      </c>
      <c r="N278" s="30">
        <f t="shared" si="236"/>
        <v>-2.7000623958883807E-13</v>
      </c>
      <c r="Q278" s="30">
        <f t="shared" si="228"/>
        <v>-54.184847555504831</v>
      </c>
      <c r="R278" s="30">
        <f t="shared" si="229"/>
        <v>134.52621271193848</v>
      </c>
      <c r="T278" s="8">
        <f t="shared" si="230"/>
        <v>-27.092423777752416</v>
      </c>
      <c r="U278" s="8">
        <f t="shared" si="226"/>
        <v>67.263106355969242</v>
      </c>
    </row>
    <row r="279" spans="1:21" x14ac:dyDescent="0.3">
      <c r="A279" s="433" t="s">
        <v>82</v>
      </c>
      <c r="B279" s="30">
        <f t="shared" ref="B279:N279" si="237">B217-B186-B155-B124-B92-B248</f>
        <v>14.628388028669349</v>
      </c>
      <c r="C279" s="30">
        <f t="shared" si="237"/>
        <v>14.628388028669349</v>
      </c>
      <c r="D279" s="30">
        <f t="shared" si="237"/>
        <v>14.628388028669349</v>
      </c>
      <c r="E279" s="30">
        <f t="shared" si="237"/>
        <v>7.3518074301028093</v>
      </c>
      <c r="F279" s="30">
        <f t="shared" si="237"/>
        <v>58.247871620068508</v>
      </c>
      <c r="G279" s="30">
        <f t="shared" si="237"/>
        <v>-33.400657738046618</v>
      </c>
      <c r="H279" s="30">
        <f t="shared" si="237"/>
        <v>3.9271610577315528</v>
      </c>
      <c r="I279" s="30">
        <f t="shared" si="237"/>
        <v>19.210288576042842</v>
      </c>
      <c r="J279" s="30">
        <f t="shared" si="237"/>
        <v>-32.940657738046582</v>
      </c>
      <c r="K279" s="30">
        <f t="shared" si="237"/>
        <v>-32.940657738046582</v>
      </c>
      <c r="L279" s="30">
        <f t="shared" si="237"/>
        <v>-25.499093978890869</v>
      </c>
      <c r="M279" s="30">
        <f t="shared" si="237"/>
        <v>-7.8412255769221133</v>
      </c>
      <c r="N279" s="30">
        <f t="shared" si="237"/>
        <v>1.2038180033996753</v>
      </c>
      <c r="Q279" s="30">
        <f t="shared" si="228"/>
        <v>-33.400657738046618</v>
      </c>
      <c r="R279" s="30">
        <f t="shared" si="229"/>
        <v>76.084185398132746</v>
      </c>
      <c r="T279" s="8">
        <f t="shared" si="230"/>
        <v>-16.700328869023309</v>
      </c>
      <c r="U279" s="8">
        <f t="shared" si="226"/>
        <v>38.042092699066387</v>
      </c>
    </row>
    <row r="280" spans="1:21" x14ac:dyDescent="0.3">
      <c r="A280" s="433" t="s">
        <v>83</v>
      </c>
      <c r="B280" s="30">
        <f t="shared" ref="B280:N280" si="238">B218-B187-B156-B125-B93-B249</f>
        <v>-0.84143459027066214</v>
      </c>
      <c r="C280" s="30">
        <f t="shared" si="238"/>
        <v>-0.84143459027066214</v>
      </c>
      <c r="D280" s="30">
        <f t="shared" si="238"/>
        <v>-0.84143459027066214</v>
      </c>
      <c r="E280" s="30">
        <f t="shared" si="238"/>
        <v>-0.89350631978419059</v>
      </c>
      <c r="F280" s="30">
        <f t="shared" si="238"/>
        <v>-0.76900421318946144</v>
      </c>
      <c r="G280" s="30">
        <f t="shared" si="238"/>
        <v>0.18646579990538825</v>
      </c>
      <c r="H280" s="30">
        <f t="shared" si="238"/>
        <v>0.19906853069281638</v>
      </c>
      <c r="I280" s="30">
        <f t="shared" si="238"/>
        <v>0.20010962300778701</v>
      </c>
      <c r="J280" s="30">
        <f t="shared" si="238"/>
        <v>0.18646579990538825</v>
      </c>
      <c r="K280" s="30">
        <f t="shared" si="238"/>
        <v>1.2064657999053878</v>
      </c>
      <c r="L280" s="30">
        <f t="shared" si="238"/>
        <v>1.1369863460628729</v>
      </c>
      <c r="M280" s="30">
        <f t="shared" si="238"/>
        <v>1.0712524043060299</v>
      </c>
      <c r="N280" s="30">
        <f t="shared" si="238"/>
        <v>-2.1999999999999442</v>
      </c>
      <c r="Q280" s="30">
        <f t="shared" si="228"/>
        <v>0.18646579990538825</v>
      </c>
      <c r="R280" s="30">
        <f t="shared" si="229"/>
        <v>-4.0003485038802502</v>
      </c>
      <c r="T280" s="8">
        <f t="shared" si="230"/>
        <v>9.3232899952694126E-2</v>
      </c>
      <c r="U280" s="8">
        <f t="shared" si="226"/>
        <v>-2.0001742519401251</v>
      </c>
    </row>
    <row r="281" spans="1:21" x14ac:dyDescent="0.3">
      <c r="A281" s="433" t="s">
        <v>84</v>
      </c>
      <c r="B281" s="30">
        <f t="shared" ref="B281:N281" si="239">B219-B188-B157-B126-B94-B250</f>
        <v>14.181147756272722</v>
      </c>
      <c r="C281" s="30">
        <f t="shared" si="239"/>
        <v>14.181147756272722</v>
      </c>
      <c r="D281" s="30">
        <f t="shared" si="239"/>
        <v>14.181147756272722</v>
      </c>
      <c r="E281" s="30">
        <f t="shared" si="239"/>
        <v>10.981111144086356</v>
      </c>
      <c r="F281" s="30">
        <f t="shared" si="239"/>
        <v>33.381367429390906</v>
      </c>
      <c r="G281" s="30">
        <f t="shared" si="239"/>
        <v>-21.297519031010893</v>
      </c>
      <c r="H281" s="30">
        <f t="shared" si="239"/>
        <v>-2.1668653712010979</v>
      </c>
      <c r="I281" s="30">
        <f t="shared" si="239"/>
        <v>5.4853960927228229</v>
      </c>
      <c r="J281" s="30">
        <f t="shared" si="239"/>
        <v>-21.297519031010893</v>
      </c>
      <c r="K281" s="30">
        <f t="shared" si="239"/>
        <v>-21.297519031010893</v>
      </c>
      <c r="L281" s="30">
        <f t="shared" si="239"/>
        <v>-17.471388299048925</v>
      </c>
      <c r="M281" s="30">
        <f t="shared" si="239"/>
        <v>-8.8605071717352644</v>
      </c>
      <c r="N281" s="30">
        <f t="shared" si="239"/>
        <v>3.1263880373444408E-13</v>
      </c>
      <c r="Q281" s="30">
        <f t="shared" si="228"/>
        <v>-21.297519031010893</v>
      </c>
      <c r="R281" s="30">
        <f t="shared" si="229"/>
        <v>65.608402811284535</v>
      </c>
      <c r="T281" s="8">
        <f t="shared" si="230"/>
        <v>-10.648759515505446</v>
      </c>
      <c r="U281" s="8">
        <f t="shared" si="226"/>
        <v>32.804201405642267</v>
      </c>
    </row>
    <row r="282" spans="1:21" x14ac:dyDescent="0.3">
      <c r="A282" s="433" t="s">
        <v>86</v>
      </c>
      <c r="B282" s="30">
        <f t="shared" ref="B282:N282" si="240">B220-B189-B158-B127-B95-B251</f>
        <v>84.489578217843984</v>
      </c>
      <c r="C282" s="30">
        <f t="shared" si="240"/>
        <v>63.229017287632757</v>
      </c>
      <c r="D282" s="30">
        <f t="shared" si="240"/>
        <v>72.504538310558189</v>
      </c>
      <c r="E282" s="30">
        <f t="shared" si="240"/>
        <v>50.540086517056409</v>
      </c>
      <c r="F282" s="30">
        <f t="shared" si="240"/>
        <v>137.70751925817518</v>
      </c>
      <c r="G282" s="30">
        <f t="shared" si="240"/>
        <v>-86.0031584509872</v>
      </c>
      <c r="H282" s="30">
        <f t="shared" si="240"/>
        <v>-9.0194454612536106</v>
      </c>
      <c r="I282" s="30">
        <f t="shared" si="240"/>
        <v>18.372875458047133</v>
      </c>
      <c r="J282" s="30">
        <f t="shared" si="240"/>
        <v>-93.355301832122279</v>
      </c>
      <c r="K282" s="30">
        <f t="shared" si="240"/>
        <v>-94.417699990313793</v>
      </c>
      <c r="L282" s="30">
        <f t="shared" si="240"/>
        <v>-88.644707966961732</v>
      </c>
      <c r="M282" s="30">
        <f t="shared" si="240"/>
        <v>-55.403301347675381</v>
      </c>
      <c r="N282" s="30">
        <f t="shared" si="240"/>
        <v>0.20920000000143091</v>
      </c>
      <c r="Q282" s="30">
        <f t="shared" si="228"/>
        <v>-86.0031584509872</v>
      </c>
      <c r="R282" s="30">
        <f t="shared" si="229"/>
        <v>322.46758114027932</v>
      </c>
      <c r="T282" s="8">
        <f t="shared" si="230"/>
        <v>-43.0015792254936</v>
      </c>
      <c r="U282" s="8">
        <f>R251+R282</f>
        <v>161.23379057013966</v>
      </c>
    </row>
    <row r="283" spans="1:21" ht="15" thickBot="1" x14ac:dyDescent="0.35">
      <c r="A283" s="435" t="s">
        <v>197</v>
      </c>
      <c r="B283" s="444">
        <f>SUM(B277:B282)</f>
        <v>119.89839139852778</v>
      </c>
      <c r="C283" s="444">
        <f t="shared" ref="C283:M283" si="241">SUM(C277:C282)</f>
        <v>142.73783046831653</v>
      </c>
      <c r="D283" s="444">
        <f t="shared" si="241"/>
        <v>117.89335149124197</v>
      </c>
      <c r="E283" s="444">
        <f t="shared" si="241"/>
        <v>57.445246356774391</v>
      </c>
      <c r="F283" s="444">
        <f t="shared" si="241"/>
        <v>457.53825248465381</v>
      </c>
      <c r="G283" s="444">
        <f t="shared" si="241"/>
        <v>-276.52963231144611</v>
      </c>
      <c r="H283" s="444">
        <f t="shared" si="241"/>
        <v>79.947225651452598</v>
      </c>
      <c r="I283" s="444">
        <f t="shared" si="241"/>
        <v>148.20480456001945</v>
      </c>
      <c r="J283" s="444">
        <f t="shared" si="241"/>
        <v>-253.3617756925812</v>
      </c>
      <c r="K283" s="444">
        <f t="shared" si="241"/>
        <v>-274.28417385077267</v>
      </c>
      <c r="L283" s="444">
        <f t="shared" si="241"/>
        <v>-223.88855283278741</v>
      </c>
      <c r="M283" s="444">
        <f t="shared" si="241"/>
        <v>-95.600967723397929</v>
      </c>
      <c r="N283" s="444">
        <f t="shared" ref="N283" si="242">SUM(N277:N282)</f>
        <v>-1.3869819965985055</v>
      </c>
      <c r="Q283" s="444">
        <f t="shared" si="228"/>
        <v>-276.52963231144611</v>
      </c>
      <c r="R283" s="444">
        <f t="shared" si="229"/>
        <v>618.98343988806835</v>
      </c>
      <c r="T283" s="8">
        <f t="shared" si="230"/>
        <v>-138.26481615572305</v>
      </c>
      <c r="U283" s="8">
        <f t="shared" si="226"/>
        <v>309.49171994403417</v>
      </c>
    </row>
    <row r="284" spans="1:21" x14ac:dyDescent="0.3">
      <c r="A284" s="436" t="s">
        <v>88</v>
      </c>
      <c r="B284" s="445">
        <f>B276+B283</f>
        <v>53.440731550178938</v>
      </c>
      <c r="C284" s="445">
        <f t="shared" ref="C284:M284" si="243">C276+C283</f>
        <v>142.56017061996766</v>
      </c>
      <c r="D284" s="445">
        <f t="shared" si="243"/>
        <v>51.435691642893133</v>
      </c>
      <c r="E284" s="445">
        <f t="shared" si="243"/>
        <v>-62.89679648399192</v>
      </c>
      <c r="F284" s="445">
        <f t="shared" si="243"/>
        <v>784.31689059080963</v>
      </c>
      <c r="G284" s="445">
        <f t="shared" si="243"/>
        <v>-441.14588620616206</v>
      </c>
      <c r="H284" s="445">
        <f t="shared" si="243"/>
        <v>229.44717442879721</v>
      </c>
      <c r="I284" s="445">
        <f t="shared" si="243"/>
        <v>435.3552344061884</v>
      </c>
      <c r="J284" s="445">
        <f t="shared" si="243"/>
        <v>-382.93802958729719</v>
      </c>
      <c r="K284" s="445">
        <f t="shared" si="243"/>
        <v>-448.90042774548863</v>
      </c>
      <c r="L284" s="445">
        <f t="shared" si="243"/>
        <v>-315.66956619309155</v>
      </c>
      <c r="M284" s="445">
        <f t="shared" si="243"/>
        <v>-45.005187022801273</v>
      </c>
      <c r="N284" s="445">
        <f t="shared" ref="N284" si="244">N276+N283</f>
        <v>-1.4780649874193905</v>
      </c>
      <c r="Q284" s="445">
        <f t="shared" si="228"/>
        <v>-441.14588620616206</v>
      </c>
      <c r="R284" s="445">
        <f t="shared" si="229"/>
        <v>527.71080171369545</v>
      </c>
      <c r="T284" s="8">
        <f t="shared" si="230"/>
        <v>-220.57294310308103</v>
      </c>
      <c r="U284" s="8">
        <f t="shared" si="226"/>
        <v>263.85540085684772</v>
      </c>
    </row>
    <row r="285" spans="1:21" x14ac:dyDescent="0.3">
      <c r="A285" s="433" t="s">
        <v>89</v>
      </c>
      <c r="B285" s="30">
        <f t="shared" ref="B285:N285" si="245">B223-B192-B161-B130-B98-B254</f>
        <v>15.402198915807617</v>
      </c>
      <c r="C285" s="30">
        <f t="shared" si="245"/>
        <v>15.439023817473178</v>
      </c>
      <c r="D285" s="30">
        <f t="shared" si="245"/>
        <v>15.182064403513863</v>
      </c>
      <c r="E285" s="30">
        <f t="shared" si="245"/>
        <v>13.993749964120614</v>
      </c>
      <c r="F285" s="30">
        <f t="shared" si="245"/>
        <v>20.152635185186291</v>
      </c>
      <c r="G285" s="30">
        <f t="shared" si="245"/>
        <v>4.6647716340854295</v>
      </c>
      <c r="H285" s="30">
        <f t="shared" si="245"/>
        <v>8.6347336792819895</v>
      </c>
      <c r="I285" s="30">
        <f t="shared" si="245"/>
        <v>10.423033987649735</v>
      </c>
      <c r="J285" s="30">
        <f t="shared" si="245"/>
        <v>5.05116807021939</v>
      </c>
      <c r="K285" s="30">
        <f t="shared" si="245"/>
        <v>4.1543076521439701</v>
      </c>
      <c r="L285" s="30">
        <f t="shared" si="245"/>
        <v>4.5812463672157016</v>
      </c>
      <c r="M285" s="30">
        <f t="shared" si="245"/>
        <v>7.2166488144415091</v>
      </c>
      <c r="N285" s="30">
        <f t="shared" si="245"/>
        <v>124.89558249113932</v>
      </c>
      <c r="Q285" s="446">
        <f t="shared" si="228"/>
        <v>4.6647716340854295</v>
      </c>
      <c r="R285" s="446">
        <f t="shared" si="229"/>
        <v>84.834443920186985</v>
      </c>
      <c r="T285" s="8">
        <f t="shared" si="230"/>
        <v>7.6901144986390282</v>
      </c>
      <c r="U285" s="8">
        <f t="shared" si="226"/>
        <v>73.482906727467309</v>
      </c>
    </row>
    <row r="286" spans="1:21" x14ac:dyDescent="0.3">
      <c r="A286" s="436" t="s">
        <v>90</v>
      </c>
      <c r="B286" s="445">
        <f>B284+B285</f>
        <v>68.842930465986555</v>
      </c>
      <c r="C286" s="445">
        <f t="shared" ref="C286:M286" si="246">C284+C285</f>
        <v>157.99919443744085</v>
      </c>
      <c r="D286" s="445">
        <f t="shared" si="246"/>
        <v>66.617756046406996</v>
      </c>
      <c r="E286" s="445">
        <f t="shared" si="246"/>
        <v>-48.90304651987131</v>
      </c>
      <c r="F286" s="445">
        <f t="shared" si="246"/>
        <v>804.46952577599598</v>
      </c>
      <c r="G286" s="445">
        <f t="shared" si="246"/>
        <v>-436.48111457207665</v>
      </c>
      <c r="H286" s="445">
        <f t="shared" si="246"/>
        <v>238.0819081080792</v>
      </c>
      <c r="I286" s="445">
        <f t="shared" si="246"/>
        <v>445.77826839383812</v>
      </c>
      <c r="J286" s="445">
        <f t="shared" si="246"/>
        <v>-377.88686151707782</v>
      </c>
      <c r="K286" s="445">
        <f t="shared" si="246"/>
        <v>-444.74612009334464</v>
      </c>
      <c r="L286" s="445">
        <f t="shared" si="246"/>
        <v>-311.08831982587583</v>
      </c>
      <c r="M286" s="445">
        <f t="shared" si="246"/>
        <v>-37.788538208359768</v>
      </c>
      <c r="N286" s="445">
        <f t="shared" ref="N286" si="247">N284+N285</f>
        <v>123.41751750371994</v>
      </c>
      <c r="Q286" s="445">
        <f t="shared" si="228"/>
        <v>-436.48111457207665</v>
      </c>
      <c r="R286" s="445">
        <f t="shared" si="229"/>
        <v>612.54524563388236</v>
      </c>
      <c r="T286" s="8">
        <f t="shared" si="230"/>
        <v>-212.88282860444201</v>
      </c>
      <c r="U286" s="8">
        <f t="shared" si="226"/>
        <v>337.33830758431498</v>
      </c>
    </row>
    <row r="287" spans="1:21" x14ac:dyDescent="0.3">
      <c r="A287" s="433" t="s">
        <v>91</v>
      </c>
      <c r="B287" s="30">
        <f t="shared" ref="B287:N287" si="248">B225-B194-B163-B132-B100-B256</f>
        <v>142.62432447690674</v>
      </c>
      <c r="C287" s="30">
        <f t="shared" si="248"/>
        <v>85.024885407117836</v>
      </c>
      <c r="D287" s="30">
        <f t="shared" si="248"/>
        <v>154.2493643841924</v>
      </c>
      <c r="E287" s="30">
        <f t="shared" si="248"/>
        <v>103.08751131243184</v>
      </c>
      <c r="F287" s="30">
        <f t="shared" si="248"/>
        <v>367.10421262815021</v>
      </c>
      <c r="G287" s="30">
        <f t="shared" si="248"/>
        <v>-237.85631888217199</v>
      </c>
      <c r="H287" s="30">
        <f t="shared" si="248"/>
        <v>-8.4432093078365824</v>
      </c>
      <c r="I287" s="30">
        <f t="shared" si="248"/>
        <v>76.455198798490187</v>
      </c>
      <c r="J287" s="30">
        <f t="shared" si="248"/>
        <v>-231.98417550103693</v>
      </c>
      <c r="K287" s="30">
        <f t="shared" si="248"/>
        <v>-205.18177734284541</v>
      </c>
      <c r="L287" s="30">
        <f t="shared" si="248"/>
        <v>-181.77940485338365</v>
      </c>
      <c r="M287" s="30">
        <f t="shared" si="248"/>
        <v>-63.300611120013969</v>
      </c>
      <c r="N287" s="30">
        <f t="shared" si="248"/>
        <v>1.2505552149377763E-12</v>
      </c>
      <c r="Q287" s="446">
        <f t="shared" si="228"/>
        <v>-237.85631888217199</v>
      </c>
      <c r="R287" s="446">
        <f t="shared" si="229"/>
        <v>614.23397932662704</v>
      </c>
      <c r="T287" s="8">
        <f t="shared" si="230"/>
        <v>-118.928159441086</v>
      </c>
      <c r="U287" s="8">
        <f t="shared" si="226"/>
        <v>307.11698966331352</v>
      </c>
    </row>
    <row r="288" spans="1:21" x14ac:dyDescent="0.3">
      <c r="A288" s="436" t="s">
        <v>92</v>
      </c>
      <c r="B288" s="445">
        <f>B286+B287</f>
        <v>211.46725494289331</v>
      </c>
      <c r="C288" s="445">
        <f t="shared" ref="C288:M288" si="249">C286+C287</f>
        <v>243.02407984455868</v>
      </c>
      <c r="D288" s="445">
        <f t="shared" si="249"/>
        <v>220.86712043059941</v>
      </c>
      <c r="E288" s="445">
        <f t="shared" si="249"/>
        <v>54.184464792560533</v>
      </c>
      <c r="F288" s="445">
        <f t="shared" si="249"/>
        <v>1171.5737384041463</v>
      </c>
      <c r="G288" s="445">
        <f t="shared" si="249"/>
        <v>-674.33743345424864</v>
      </c>
      <c r="H288" s="445">
        <f t="shared" si="249"/>
        <v>229.63869880024262</v>
      </c>
      <c r="I288" s="445">
        <f t="shared" si="249"/>
        <v>522.23346719232836</v>
      </c>
      <c r="J288" s="445">
        <f t="shared" si="249"/>
        <v>-609.87103701811475</v>
      </c>
      <c r="K288" s="445">
        <f t="shared" si="249"/>
        <v>-649.92789743619005</v>
      </c>
      <c r="L288" s="445">
        <f t="shared" si="249"/>
        <v>-492.86772467925948</v>
      </c>
      <c r="M288" s="445">
        <f t="shared" si="249"/>
        <v>-101.08914932837374</v>
      </c>
      <c r="N288" s="445">
        <f t="shared" ref="N288" si="250">N286+N287</f>
        <v>123.41751750372119</v>
      </c>
      <c r="Q288" s="445">
        <f t="shared" si="228"/>
        <v>-674.33743345424864</v>
      </c>
      <c r="R288" s="445">
        <f t="shared" si="229"/>
        <v>1226.7792249605095</v>
      </c>
      <c r="T288" s="8">
        <f t="shared" si="230"/>
        <v>-331.81098804552801</v>
      </c>
      <c r="U288" s="8">
        <f t="shared" si="226"/>
        <v>644.45529724762866</v>
      </c>
    </row>
    <row r="289" spans="1:21" x14ac:dyDescent="0.3">
      <c r="A289" s="433" t="s">
        <v>76</v>
      </c>
      <c r="B289" s="30">
        <f t="shared" ref="B289:N289" si="251">B227-B196-B165-B134-B102-B258</f>
        <v>-9.0136450388911271E-5</v>
      </c>
      <c r="C289" s="30">
        <f t="shared" si="251"/>
        <v>-9.0136450388911271E-5</v>
      </c>
      <c r="D289" s="30">
        <f t="shared" si="251"/>
        <v>-9.0136450388911271E-5</v>
      </c>
      <c r="E289" s="30">
        <f t="shared" si="251"/>
        <v>-1.0946432729106448E-3</v>
      </c>
      <c r="F289" s="30">
        <f t="shared" si="251"/>
        <v>-4.0630955152707315E-3</v>
      </c>
      <c r="G289" s="30">
        <f t="shared" si="251"/>
        <v>-1.2270599174470931E-3</v>
      </c>
      <c r="H289" s="30">
        <f t="shared" si="251"/>
        <v>-2.2185608717606442E-4</v>
      </c>
      <c r="I289" s="30">
        <f t="shared" si="251"/>
        <v>2.180225444938344E-3</v>
      </c>
      <c r="J289" s="30">
        <f t="shared" si="251"/>
        <v>-1.2270599174470931E-3</v>
      </c>
      <c r="K289" s="30">
        <f t="shared" si="251"/>
        <v>-1.2270599174470931E-3</v>
      </c>
      <c r="L289" s="30">
        <f t="shared" si="251"/>
        <v>4.9739808486037873E-3</v>
      </c>
      <c r="M289" s="30">
        <f t="shared" si="251"/>
        <v>2.1769776853695078E-3</v>
      </c>
      <c r="N289" s="30">
        <f t="shared" si="251"/>
        <v>-0.44074999999987696</v>
      </c>
      <c r="Q289" s="30">
        <f t="shared" si="228"/>
        <v>-1.2270599174470931E-3</v>
      </c>
      <c r="R289" s="30">
        <f t="shared" si="229"/>
        <v>-6.6552080567952032E-3</v>
      </c>
      <c r="T289" s="8">
        <f t="shared" si="230"/>
        <v>0</v>
      </c>
      <c r="U289" s="8">
        <f t="shared" si="226"/>
        <v>0</v>
      </c>
    </row>
    <row r="290" spans="1:21" x14ac:dyDescent="0.3">
      <c r="A290" s="433" t="s">
        <v>77</v>
      </c>
      <c r="B290" s="30">
        <f t="shared" ref="B290:N290" si="252">B228-B197-B166-B135-B103-B259</f>
        <v>0</v>
      </c>
      <c r="C290" s="30">
        <f t="shared" si="252"/>
        <v>0</v>
      </c>
      <c r="D290" s="30">
        <f t="shared" si="252"/>
        <v>0</v>
      </c>
      <c r="E290" s="30">
        <f t="shared" si="252"/>
        <v>0</v>
      </c>
      <c r="F290" s="30">
        <f t="shared" si="252"/>
        <v>0</v>
      </c>
      <c r="G290" s="30">
        <f t="shared" si="252"/>
        <v>0</v>
      </c>
      <c r="H290" s="30">
        <f t="shared" si="252"/>
        <v>0</v>
      </c>
      <c r="I290" s="30">
        <f t="shared" si="252"/>
        <v>0</v>
      </c>
      <c r="J290" s="30">
        <f t="shared" si="252"/>
        <v>0</v>
      </c>
      <c r="K290" s="30">
        <f t="shared" si="252"/>
        <v>0</v>
      </c>
      <c r="L290" s="30">
        <f t="shared" si="252"/>
        <v>0</v>
      </c>
      <c r="M290" s="30">
        <f t="shared" si="252"/>
        <v>0</v>
      </c>
      <c r="N290" s="30">
        <f t="shared" si="252"/>
        <v>-1.1368683772161603E-13</v>
      </c>
      <c r="Q290" s="30">
        <f t="shared" si="228"/>
        <v>0</v>
      </c>
      <c r="R290" s="30">
        <f t="shared" si="229"/>
        <v>0</v>
      </c>
      <c r="T290" s="8">
        <f t="shared" si="230"/>
        <v>0</v>
      </c>
      <c r="U290" s="8">
        <f t="shared" si="226"/>
        <v>0</v>
      </c>
    </row>
    <row r="291" spans="1:21" x14ac:dyDescent="0.3">
      <c r="A291" s="433" t="s">
        <v>144</v>
      </c>
      <c r="B291" s="30">
        <f t="shared" ref="B291:N291" si="253">B229-B198-B167-B136-B104-B260</f>
        <v>0</v>
      </c>
      <c r="C291" s="30">
        <f t="shared" si="253"/>
        <v>0</v>
      </c>
      <c r="D291" s="30">
        <f t="shared" si="253"/>
        <v>0</v>
      </c>
      <c r="E291" s="30">
        <f t="shared" si="253"/>
        <v>0</v>
      </c>
      <c r="F291" s="30">
        <f t="shared" si="253"/>
        <v>0</v>
      </c>
      <c r="G291" s="30">
        <f t="shared" si="253"/>
        <v>0</v>
      </c>
      <c r="H291" s="30">
        <f t="shared" si="253"/>
        <v>0</v>
      </c>
      <c r="I291" s="30">
        <f t="shared" si="253"/>
        <v>0</v>
      </c>
      <c r="J291" s="30">
        <f t="shared" si="253"/>
        <v>0</v>
      </c>
      <c r="K291" s="30">
        <f t="shared" si="253"/>
        <v>0</v>
      </c>
      <c r="L291" s="30">
        <f t="shared" si="253"/>
        <v>0</v>
      </c>
      <c r="M291" s="30">
        <f t="shared" si="253"/>
        <v>0</v>
      </c>
      <c r="N291" s="30">
        <f t="shared" si="253"/>
        <v>0</v>
      </c>
      <c r="Q291" s="30">
        <f t="shared" si="228"/>
        <v>0</v>
      </c>
      <c r="R291" s="30">
        <f t="shared" si="229"/>
        <v>0</v>
      </c>
      <c r="T291" s="8">
        <f t="shared" si="230"/>
        <v>0</v>
      </c>
      <c r="U291" s="8">
        <f t="shared" si="226"/>
        <v>0</v>
      </c>
    </row>
    <row r="292" spans="1:21" x14ac:dyDescent="0.3">
      <c r="A292" s="433" t="s">
        <v>85</v>
      </c>
      <c r="B292" s="30">
        <f t="shared" ref="B292:N292" si="254">B230-B199-B168-B137-B105-B261</f>
        <v>0</v>
      </c>
      <c r="C292" s="30">
        <f t="shared" si="254"/>
        <v>0</v>
      </c>
      <c r="D292" s="30">
        <f t="shared" si="254"/>
        <v>0</v>
      </c>
      <c r="E292" s="30">
        <f t="shared" si="254"/>
        <v>0</v>
      </c>
      <c r="F292" s="30">
        <f t="shared" si="254"/>
        <v>0</v>
      </c>
      <c r="G292" s="30">
        <f t="shared" si="254"/>
        <v>0</v>
      </c>
      <c r="H292" s="30">
        <f t="shared" si="254"/>
        <v>0</v>
      </c>
      <c r="I292" s="30">
        <f t="shared" si="254"/>
        <v>0</v>
      </c>
      <c r="J292" s="30">
        <f t="shared" si="254"/>
        <v>0</v>
      </c>
      <c r="K292" s="30">
        <f t="shared" si="254"/>
        <v>0</v>
      </c>
      <c r="L292" s="30">
        <f t="shared" si="254"/>
        <v>0</v>
      </c>
      <c r="M292" s="30">
        <f t="shared" si="254"/>
        <v>0</v>
      </c>
      <c r="N292" s="30">
        <f t="shared" si="254"/>
        <v>0</v>
      </c>
      <c r="Q292" s="30">
        <f t="shared" si="228"/>
        <v>0</v>
      </c>
      <c r="R292" s="30">
        <f t="shared" si="229"/>
        <v>0</v>
      </c>
      <c r="T292" s="8">
        <f t="shared" si="230"/>
        <v>0</v>
      </c>
      <c r="U292" s="8">
        <f t="shared" si="226"/>
        <v>0</v>
      </c>
    </row>
    <row r="293" spans="1:21" x14ac:dyDescent="0.3">
      <c r="A293" s="433" t="s">
        <v>145</v>
      </c>
      <c r="B293" s="30">
        <f t="shared" ref="B293:N293" si="255">B231-B200-B169-B138-B106-B262</f>
        <v>0</v>
      </c>
      <c r="C293" s="30">
        <f t="shared" si="255"/>
        <v>0</v>
      </c>
      <c r="D293" s="30">
        <f t="shared" si="255"/>
        <v>0</v>
      </c>
      <c r="E293" s="30">
        <f t="shared" si="255"/>
        <v>0</v>
      </c>
      <c r="F293" s="30">
        <f t="shared" si="255"/>
        <v>0</v>
      </c>
      <c r="G293" s="30">
        <f t="shared" si="255"/>
        <v>0</v>
      </c>
      <c r="H293" s="30">
        <f t="shared" si="255"/>
        <v>0</v>
      </c>
      <c r="I293" s="30">
        <f t="shared" si="255"/>
        <v>0</v>
      </c>
      <c r="J293" s="30">
        <f t="shared" si="255"/>
        <v>0</v>
      </c>
      <c r="K293" s="30">
        <f t="shared" si="255"/>
        <v>0</v>
      </c>
      <c r="L293" s="30">
        <f t="shared" si="255"/>
        <v>0</v>
      </c>
      <c r="M293" s="30">
        <f t="shared" si="255"/>
        <v>0</v>
      </c>
      <c r="N293" s="30">
        <f t="shared" si="255"/>
        <v>0</v>
      </c>
      <c r="Q293" s="446">
        <f t="shared" si="228"/>
        <v>0</v>
      </c>
      <c r="R293" s="446">
        <f t="shared" si="229"/>
        <v>0</v>
      </c>
      <c r="T293" s="8">
        <f t="shared" si="230"/>
        <v>0</v>
      </c>
      <c r="U293" s="8">
        <f t="shared" si="226"/>
        <v>0</v>
      </c>
    </row>
    <row r="294" spans="1:21" x14ac:dyDescent="0.3">
      <c r="A294" s="436" t="s">
        <v>146</v>
      </c>
      <c r="B294" s="445">
        <f>SUM(B289:B293)</f>
        <v>-9.0136450388911271E-5</v>
      </c>
      <c r="C294" s="445">
        <f t="shared" ref="C294:M294" si="256">SUM(C289:C293)</f>
        <v>-9.0136450388911271E-5</v>
      </c>
      <c r="D294" s="445">
        <f t="shared" si="256"/>
        <v>-9.0136450388911271E-5</v>
      </c>
      <c r="E294" s="445">
        <f t="shared" si="256"/>
        <v>-1.0946432729106448E-3</v>
      </c>
      <c r="F294" s="445">
        <f t="shared" si="256"/>
        <v>-4.0630955152707315E-3</v>
      </c>
      <c r="G294" s="445">
        <f t="shared" si="256"/>
        <v>-1.2270599174470931E-3</v>
      </c>
      <c r="H294" s="445">
        <f t="shared" si="256"/>
        <v>-2.2185608717606442E-4</v>
      </c>
      <c r="I294" s="445">
        <f t="shared" si="256"/>
        <v>2.180225444938344E-3</v>
      </c>
      <c r="J294" s="445">
        <f t="shared" si="256"/>
        <v>-1.2270599174470931E-3</v>
      </c>
      <c r="K294" s="445">
        <f t="shared" si="256"/>
        <v>-1.2270599174470931E-3</v>
      </c>
      <c r="L294" s="445">
        <f t="shared" si="256"/>
        <v>4.9739808486037873E-3</v>
      </c>
      <c r="M294" s="445">
        <f t="shared" si="256"/>
        <v>2.1769776853695078E-3</v>
      </c>
      <c r="N294" s="445">
        <f t="shared" ref="N294" si="257">SUM(N289:N293)</f>
        <v>-0.44074999999999065</v>
      </c>
      <c r="Q294" s="445">
        <f t="shared" si="228"/>
        <v>-1.2270599174470931E-3</v>
      </c>
      <c r="R294" s="445">
        <f t="shared" si="229"/>
        <v>-6.6552080567952032E-3</v>
      </c>
      <c r="T294" s="8">
        <f t="shared" si="230"/>
        <v>0</v>
      </c>
      <c r="U294" s="8">
        <f t="shared" si="226"/>
        <v>0</v>
      </c>
    </row>
    <row r="295" spans="1:21" x14ac:dyDescent="0.3">
      <c r="A295" s="433" t="s">
        <v>148</v>
      </c>
      <c r="B295" s="30">
        <f>B233-B202-B171-B140-B108-B264</f>
        <v>41.033871759470046</v>
      </c>
      <c r="C295" s="30">
        <f t="shared" ref="C295:M296" si="258">C233-C202-C171-C140-C108-C264</f>
        <v>42.313871759470061</v>
      </c>
      <c r="D295" s="30">
        <f t="shared" si="258"/>
        <v>40.993871759470068</v>
      </c>
      <c r="E295" s="30">
        <f t="shared" si="258"/>
        <v>33.060565347443571</v>
      </c>
      <c r="F295" s="30">
        <f t="shared" si="258"/>
        <v>108.69371023162903</v>
      </c>
      <c r="G295" s="30">
        <f t="shared" si="258"/>
        <v>-47.164090634736738</v>
      </c>
      <c r="H295" s="30">
        <f t="shared" si="258"/>
        <v>0.40284987194337418</v>
      </c>
      <c r="I295" s="30">
        <f t="shared" si="258"/>
        <v>19.42162607461546</v>
      </c>
      <c r="J295" s="30">
        <f t="shared" si="258"/>
        <v>-47.144090634736756</v>
      </c>
      <c r="K295" s="30">
        <f t="shared" si="258"/>
        <v>-47.144090634736756</v>
      </c>
      <c r="L295" s="30">
        <f t="shared" si="258"/>
        <v>-37.634702533400741</v>
      </c>
      <c r="M295" s="30">
        <f t="shared" si="258"/>
        <v>-106.83339236643027</v>
      </c>
      <c r="N295" s="30">
        <f>N233-N202-N171-N140-N108-N264</f>
        <v>-3.7794885561197589E-2</v>
      </c>
      <c r="Q295" s="446">
        <f t="shared" si="228"/>
        <v>-47.164090634736738</v>
      </c>
      <c r="R295" s="446">
        <f t="shared" si="229"/>
        <v>218.93180022274606</v>
      </c>
      <c r="T295" s="8">
        <f t="shared" si="230"/>
        <v>-23.582045317368369</v>
      </c>
      <c r="U295" s="8">
        <f t="shared" si="226"/>
        <v>109.46590011137303</v>
      </c>
    </row>
    <row r="296" spans="1:21" x14ac:dyDescent="0.3">
      <c r="A296" s="433" t="s">
        <v>149</v>
      </c>
      <c r="B296" s="30">
        <f>B234-B203-B172-B141-B109-B265</f>
        <v>5.2609876155067923</v>
      </c>
      <c r="C296" s="30">
        <f t="shared" si="258"/>
        <v>141.8809876155068</v>
      </c>
      <c r="D296" s="30">
        <f t="shared" si="258"/>
        <v>94.180987615506808</v>
      </c>
      <c r="E296" s="30">
        <f t="shared" si="258"/>
        <v>-28.656963003717877</v>
      </c>
      <c r="F296" s="30">
        <f t="shared" si="258"/>
        <v>69.768691330854736</v>
      </c>
      <c r="G296" s="30">
        <f t="shared" si="258"/>
        <v>-49.000638815027543</v>
      </c>
      <c r="H296" s="30">
        <f t="shared" si="258"/>
        <v>-20.498977504445321</v>
      </c>
      <c r="I296" s="30">
        <f t="shared" si="258"/>
        <v>-4.434312980212411</v>
      </c>
      <c r="J296" s="30">
        <f t="shared" si="258"/>
        <v>-60.660638815027539</v>
      </c>
      <c r="K296" s="30">
        <f t="shared" si="258"/>
        <v>-60.660638815027539</v>
      </c>
      <c r="L296" s="30">
        <f t="shared" si="258"/>
        <v>-52.628306552911084</v>
      </c>
      <c r="M296" s="30">
        <f t="shared" si="258"/>
        <v>-34.551177691006131</v>
      </c>
      <c r="N296" s="447">
        <f>N234-N203-N172-N141-N109-N265</f>
        <v>-3.4106051316484809E-13</v>
      </c>
      <c r="P296" s="107">
        <v>0</v>
      </c>
      <c r="Q296" s="446">
        <f t="shared" si="228"/>
        <v>-49.000638815027543</v>
      </c>
      <c r="R296" s="446">
        <f t="shared" si="229"/>
        <v>233.43405235862971</v>
      </c>
      <c r="T296" s="8">
        <f t="shared" si="230"/>
        <v>-24.500319407513771</v>
      </c>
      <c r="U296" s="8">
        <f t="shared" si="226"/>
        <v>116.71702617931486</v>
      </c>
    </row>
    <row r="297" spans="1:21" x14ac:dyDescent="0.3">
      <c r="A297" s="436" t="s">
        <v>150</v>
      </c>
      <c r="B297" s="445">
        <f>B295+B296</f>
        <v>46.294859374976838</v>
      </c>
      <c r="C297" s="445">
        <f t="shared" ref="C297:M297" si="259">C295+C296</f>
        <v>184.19485937497686</v>
      </c>
      <c r="D297" s="445">
        <f t="shared" si="259"/>
        <v>135.17485937497688</v>
      </c>
      <c r="E297" s="445">
        <f t="shared" si="259"/>
        <v>4.4036023437256944</v>
      </c>
      <c r="F297" s="445">
        <f t="shared" si="259"/>
        <v>178.46240156248376</v>
      </c>
      <c r="G297" s="445">
        <f t="shared" si="259"/>
        <v>-96.16472944976428</v>
      </c>
      <c r="H297" s="445">
        <f t="shared" si="259"/>
        <v>-20.096127632501947</v>
      </c>
      <c r="I297" s="445">
        <f t="shared" si="259"/>
        <v>14.987313094403049</v>
      </c>
      <c r="J297" s="445">
        <f t="shared" si="259"/>
        <v>-107.8047294497643</v>
      </c>
      <c r="K297" s="445">
        <f t="shared" si="259"/>
        <v>-107.8047294497643</v>
      </c>
      <c r="L297" s="445">
        <f t="shared" si="259"/>
        <v>-90.263009086311826</v>
      </c>
      <c r="M297" s="445">
        <f t="shared" si="259"/>
        <v>-141.38457005743641</v>
      </c>
      <c r="N297" s="445">
        <f t="shared" ref="N297" si="260">N295+N296</f>
        <v>-3.7794885561538649E-2</v>
      </c>
      <c r="Q297" s="445">
        <f t="shared" si="228"/>
        <v>-96.16472944976428</v>
      </c>
      <c r="R297" s="445">
        <f t="shared" si="229"/>
        <v>452.36585258137575</v>
      </c>
      <c r="T297" s="8">
        <f t="shared" si="230"/>
        <v>-48.08236472488214</v>
      </c>
      <c r="U297" s="8">
        <f t="shared" si="226"/>
        <v>226.18292629068787</v>
      </c>
    </row>
    <row r="298" spans="1:21" x14ac:dyDescent="0.3">
      <c r="B298" s="151"/>
      <c r="C298" s="151"/>
      <c r="D298" s="151"/>
      <c r="E298" s="151"/>
      <c r="F298" s="151"/>
      <c r="G298" s="151"/>
      <c r="H298" s="151"/>
      <c r="I298" s="151"/>
      <c r="J298" s="151"/>
      <c r="K298" s="151"/>
      <c r="L298" s="151"/>
      <c r="M298" s="151"/>
      <c r="Q298" s="448">
        <f t="shared" si="228"/>
        <v>0</v>
      </c>
      <c r="R298" s="448">
        <f t="shared" si="229"/>
        <v>0</v>
      </c>
      <c r="T298" s="8">
        <f t="shared" si="230"/>
        <v>0</v>
      </c>
      <c r="U298" s="8">
        <f t="shared" si="226"/>
        <v>0</v>
      </c>
    </row>
    <row r="299" spans="1:21" x14ac:dyDescent="0.3">
      <c r="A299" s="436" t="s">
        <v>152</v>
      </c>
      <c r="B299" s="445">
        <f>B288+B294+B297</f>
        <v>257.76202418141975</v>
      </c>
      <c r="C299" s="445">
        <f t="shared" ref="C299:M299" si="261">C288+C294+C297</f>
        <v>427.21884908308516</v>
      </c>
      <c r="D299" s="445">
        <f t="shared" si="261"/>
        <v>356.04188966912591</v>
      </c>
      <c r="E299" s="445">
        <f t="shared" si="261"/>
        <v>58.58697249301332</v>
      </c>
      <c r="F299" s="445">
        <f t="shared" si="261"/>
        <v>1350.0320768711149</v>
      </c>
      <c r="G299" s="445">
        <f t="shared" si="261"/>
        <v>-770.50338996393043</v>
      </c>
      <c r="H299" s="445">
        <f t="shared" si="261"/>
        <v>209.54234931165351</v>
      </c>
      <c r="I299" s="445">
        <f t="shared" si="261"/>
        <v>537.22296051217631</v>
      </c>
      <c r="J299" s="445">
        <f t="shared" si="261"/>
        <v>-717.67699352779653</v>
      </c>
      <c r="K299" s="445">
        <f t="shared" si="261"/>
        <v>-757.73385394587183</v>
      </c>
      <c r="L299" s="445">
        <f t="shared" si="261"/>
        <v>-583.12575978472273</v>
      </c>
      <c r="M299" s="445">
        <f t="shared" si="261"/>
        <v>-242.47154240812478</v>
      </c>
      <c r="N299" s="451">
        <f>N288+N294+N297</f>
        <v>122.93897261815965</v>
      </c>
      <c r="Q299" s="445">
        <f t="shared" si="228"/>
        <v>-770.50338996393043</v>
      </c>
      <c r="R299" s="445">
        <f t="shared" si="229"/>
        <v>1679.1384223338289</v>
      </c>
      <c r="T299" s="8">
        <f t="shared" si="230"/>
        <v>-379.89335277041022</v>
      </c>
      <c r="U299" s="8">
        <f t="shared" si="226"/>
        <v>870.63822353831688</v>
      </c>
    </row>
    <row r="300" spans="1:21" x14ac:dyDescent="0.3">
      <c r="A300" s="453"/>
      <c r="B300" s="454"/>
      <c r="C300" s="454"/>
      <c r="D300" s="454"/>
      <c r="E300" s="454"/>
      <c r="F300" s="454"/>
      <c r="G300" s="454"/>
      <c r="H300" s="454"/>
      <c r="I300" s="454"/>
      <c r="J300" s="454"/>
      <c r="K300" s="454"/>
      <c r="L300" s="454"/>
      <c r="M300" s="454"/>
      <c r="N300" s="454"/>
      <c r="O300" s="442"/>
    </row>
    <row r="301" spans="1:21" s="470" customFormat="1" x14ac:dyDescent="0.3">
      <c r="A301" s="467"/>
      <c r="B301" s="468"/>
      <c r="C301" s="468"/>
      <c r="D301" s="468"/>
      <c r="E301" s="468"/>
      <c r="F301" s="468"/>
      <c r="G301" s="468"/>
      <c r="H301" s="468"/>
      <c r="I301" s="468"/>
      <c r="J301" s="468"/>
      <c r="K301" s="468"/>
      <c r="L301" s="468"/>
      <c r="M301" s="468"/>
      <c r="N301" s="468"/>
      <c r="O301" s="469"/>
    </row>
    <row r="302" spans="1:21" x14ac:dyDescent="0.3">
      <c r="A302" s="453"/>
      <c r="B302" s="454"/>
      <c r="C302" s="454"/>
      <c r="D302" s="454"/>
      <c r="E302" s="454"/>
      <c r="F302" s="454"/>
      <c r="G302" s="454"/>
      <c r="H302" s="454"/>
      <c r="I302" s="454"/>
      <c r="J302" s="454"/>
      <c r="K302" s="454"/>
      <c r="L302" s="454"/>
      <c r="M302" s="454"/>
      <c r="N302" s="454"/>
      <c r="O302" s="442"/>
    </row>
    <row r="303" spans="1:21" ht="15" thickBot="1" x14ac:dyDescent="0.35">
      <c r="A303" s="453"/>
      <c r="B303" s="454"/>
      <c r="C303" s="454"/>
      <c r="D303" s="454"/>
      <c r="E303" s="454"/>
      <c r="F303" s="454"/>
      <c r="G303" s="454"/>
      <c r="H303" s="454"/>
      <c r="I303" s="454"/>
      <c r="J303" s="454"/>
      <c r="K303" s="454"/>
      <c r="L303" s="454"/>
      <c r="M303" s="454"/>
      <c r="N303" s="454"/>
      <c r="O303" s="442"/>
    </row>
    <row r="304" spans="1:21" x14ac:dyDescent="0.3">
      <c r="A304" s="471" t="s">
        <v>481</v>
      </c>
      <c r="B304" s="472" t="s">
        <v>0</v>
      </c>
      <c r="C304" s="472" t="s">
        <v>1</v>
      </c>
      <c r="D304" s="472" t="s">
        <v>2</v>
      </c>
      <c r="E304" s="472" t="s">
        <v>3</v>
      </c>
      <c r="F304" s="472" t="s">
        <v>4</v>
      </c>
      <c r="G304" s="472" t="s">
        <v>5</v>
      </c>
      <c r="H304" s="472" t="s">
        <v>6</v>
      </c>
      <c r="I304" s="472" t="s">
        <v>7</v>
      </c>
      <c r="J304" s="472" t="s">
        <v>8</v>
      </c>
      <c r="K304" s="472" t="s">
        <v>9</v>
      </c>
      <c r="L304" s="472" t="s">
        <v>10</v>
      </c>
      <c r="M304" s="472" t="s">
        <v>11</v>
      </c>
      <c r="N304" s="473" t="s">
        <v>12</v>
      </c>
    </row>
    <row r="305" spans="1:18" x14ac:dyDescent="0.3">
      <c r="A305" s="474"/>
      <c r="B305" s="475"/>
      <c r="C305" s="475"/>
      <c r="D305" s="475"/>
      <c r="E305" s="475"/>
      <c r="F305" s="475"/>
      <c r="G305" s="475"/>
      <c r="H305" s="475"/>
      <c r="I305" s="475"/>
      <c r="J305" s="475"/>
      <c r="K305" s="475"/>
      <c r="L305" s="475"/>
      <c r="M305" s="475"/>
      <c r="N305" s="476"/>
    </row>
    <row r="306" spans="1:18" x14ac:dyDescent="0.3">
      <c r="A306" s="474" t="s">
        <v>43</v>
      </c>
      <c r="B306" s="475">
        <f>B144</f>
        <v>-6.7443971410000003</v>
      </c>
      <c r="C306" s="475">
        <f t="shared" ref="C306:N306" si="262">C144</f>
        <v>-7.110674586</v>
      </c>
      <c r="D306" s="475">
        <f t="shared" si="262"/>
        <v>-7.1575233750000002</v>
      </c>
      <c r="E306" s="475">
        <f t="shared" si="262"/>
        <v>-13.784255769000001</v>
      </c>
      <c r="F306" s="475">
        <f t="shared" si="262"/>
        <v>-22.499889510000003</v>
      </c>
      <c r="G306" s="475">
        <f t="shared" si="262"/>
        <v>-58.908533430000006</v>
      </c>
      <c r="H306" s="475">
        <f t="shared" si="262"/>
        <v>-57.523254780000002</v>
      </c>
      <c r="I306" s="475">
        <f t="shared" si="262"/>
        <v>-57.204807999999993</v>
      </c>
      <c r="J306" s="475">
        <f t="shared" si="262"/>
        <v>-68.485446039999999</v>
      </c>
      <c r="K306" s="475">
        <f t="shared" si="262"/>
        <v>-63.211466780000002</v>
      </c>
      <c r="L306" s="475">
        <f t="shared" si="262"/>
        <v>-61.94707133</v>
      </c>
      <c r="M306" s="475">
        <f t="shared" si="262"/>
        <v>-60.138508710000004</v>
      </c>
      <c r="N306" s="476">
        <f t="shared" si="262"/>
        <v>-484</v>
      </c>
    </row>
    <row r="307" spans="1:18" x14ac:dyDescent="0.3">
      <c r="A307" s="474" t="s">
        <v>479</v>
      </c>
      <c r="B307" s="475">
        <f t="shared" ref="B307:N307" si="263">B206</f>
        <v>97.042645189779662</v>
      </c>
      <c r="C307" s="475">
        <f t="shared" si="263"/>
        <v>95.20483641952984</v>
      </c>
      <c r="D307" s="475">
        <f t="shared" si="263"/>
        <v>141.08905677892977</v>
      </c>
      <c r="E307" s="475">
        <f t="shared" si="263"/>
        <v>167.09297684486717</v>
      </c>
      <c r="F307" s="475">
        <f t="shared" si="263"/>
        <v>147.51308691438058</v>
      </c>
      <c r="G307" s="475">
        <f t="shared" si="263"/>
        <v>62.061656892045562</v>
      </c>
      <c r="H307" s="475">
        <f t="shared" si="263"/>
        <v>-45.225420400532109</v>
      </c>
      <c r="I307" s="475">
        <f t="shared" si="263"/>
        <v>-65.234864621725322</v>
      </c>
      <c r="J307" s="475">
        <f t="shared" si="263"/>
        <v>95.732695161580821</v>
      </c>
      <c r="K307" s="475">
        <f t="shared" si="263"/>
        <v>109.26167102710407</v>
      </c>
      <c r="L307" s="475">
        <f t="shared" si="263"/>
        <v>21.39211353101696</v>
      </c>
      <c r="M307" s="475">
        <f t="shared" si="263"/>
        <v>118.64985405428432</v>
      </c>
      <c r="N307" s="476">
        <f t="shared" si="263"/>
        <v>944.58030779126136</v>
      </c>
    </row>
    <row r="308" spans="1:18" x14ac:dyDescent="0.3">
      <c r="A308" s="474" t="s">
        <v>181</v>
      </c>
      <c r="B308" s="475">
        <f t="shared" ref="B308:N308" si="264">B175</f>
        <v>-67.734713934301453</v>
      </c>
      <c r="C308" s="475">
        <f t="shared" si="264"/>
        <v>-136.59810400625676</v>
      </c>
      <c r="D308" s="475">
        <f t="shared" si="264"/>
        <v>-106.87028077062521</v>
      </c>
      <c r="E308" s="475">
        <f t="shared" si="264"/>
        <v>-47.120573765839055</v>
      </c>
      <c r="F308" s="475">
        <f t="shared" si="264"/>
        <v>-70.370517793427254</v>
      </c>
      <c r="G308" s="475">
        <f t="shared" si="264"/>
        <v>-71.974600624891949</v>
      </c>
      <c r="H308" s="475">
        <f t="shared" si="264"/>
        <v>-11.001751376680557</v>
      </c>
      <c r="I308" s="475">
        <f t="shared" si="264"/>
        <v>-7.4535706962784793</v>
      </c>
      <c r="J308" s="475">
        <f t="shared" si="264"/>
        <v>-49.424680182121804</v>
      </c>
      <c r="K308" s="475">
        <f t="shared" si="264"/>
        <v>-40.99932315198992</v>
      </c>
      <c r="L308" s="475">
        <f t="shared" si="264"/>
        <v>-42.471503218980303</v>
      </c>
      <c r="M308" s="475">
        <f t="shared" si="264"/>
        <v>45.11883909940903</v>
      </c>
      <c r="N308" s="476">
        <f t="shared" si="264"/>
        <v>-605.66</v>
      </c>
    </row>
    <row r="309" spans="1:18" x14ac:dyDescent="0.3">
      <c r="A309" s="474" t="s">
        <v>485</v>
      </c>
      <c r="B309" s="475">
        <f>B268+B299</f>
        <v>134.08802713109714</v>
      </c>
      <c r="C309" s="475">
        <f t="shared" ref="C309:N309" si="265">C268+C299</f>
        <v>218.87485203276265</v>
      </c>
      <c r="D309" s="475">
        <f t="shared" si="265"/>
        <v>183.13789261880333</v>
      </c>
      <c r="E309" s="475">
        <f t="shared" si="265"/>
        <v>34.22802559017461</v>
      </c>
      <c r="F309" s="475">
        <f t="shared" si="265"/>
        <v>680.20277893588911</v>
      </c>
      <c r="G309" s="475">
        <f t="shared" si="265"/>
        <v>-379.89335277041022</v>
      </c>
      <c r="H309" s="475">
        <f t="shared" si="265"/>
        <v>110.34545627565082</v>
      </c>
      <c r="I309" s="475">
        <f t="shared" si="265"/>
        <v>274.09529538436436</v>
      </c>
      <c r="J309" s="475">
        <f t="shared" si="265"/>
        <v>-353.55695633427626</v>
      </c>
      <c r="K309" s="475">
        <f t="shared" si="265"/>
        <v>-373.78381675235164</v>
      </c>
      <c r="L309" s="475">
        <f t="shared" si="265"/>
        <v>-286.60110863710707</v>
      </c>
      <c r="M309" s="475">
        <f t="shared" si="265"/>
        <v>-116.24151098345583</v>
      </c>
      <c r="N309" s="475">
        <f t="shared" si="265"/>
        <v>122.93897261815809</v>
      </c>
    </row>
    <row r="310" spans="1:18" x14ac:dyDescent="0.3">
      <c r="A310" s="474" t="s">
        <v>66</v>
      </c>
      <c r="B310" s="475">
        <f>B339</f>
        <v>-105.62146306377917</v>
      </c>
      <c r="C310" s="475">
        <f t="shared" ref="C310:M310" si="266">C339</f>
        <v>-105.21914066358104</v>
      </c>
      <c r="D310" s="475">
        <f t="shared" si="266"/>
        <v>-105.24280668712211</v>
      </c>
      <c r="E310" s="475">
        <f>E339</f>
        <v>5.9165058852665906</v>
      </c>
      <c r="F310" s="475">
        <f t="shared" si="266"/>
        <v>-108.57971600641248</v>
      </c>
      <c r="G310" s="475">
        <f t="shared" si="266"/>
        <v>431.54993927134512</v>
      </c>
      <c r="H310" s="475">
        <f t="shared" si="266"/>
        <v>371.58023561828293</v>
      </c>
      <c r="I310" s="475">
        <f t="shared" si="266"/>
        <v>310.02490838796928</v>
      </c>
      <c r="J310" s="475">
        <f t="shared" si="266"/>
        <v>420.49790627766714</v>
      </c>
      <c r="K310" s="475">
        <f t="shared" si="266"/>
        <v>543.18257231455516</v>
      </c>
      <c r="L310" s="475">
        <f t="shared" si="266"/>
        <v>410.41618024917284</v>
      </c>
      <c r="M310" s="475">
        <f t="shared" si="266"/>
        <v>517.93092519623724</v>
      </c>
      <c r="N310" s="477">
        <f>SUM(B310:M310)</f>
        <v>2586.4360467796018</v>
      </c>
    </row>
    <row r="311" spans="1:18" x14ac:dyDescent="0.3">
      <c r="A311" s="474"/>
      <c r="B311" s="475"/>
      <c r="C311" s="475"/>
      <c r="D311" s="475"/>
      <c r="E311" s="475"/>
      <c r="F311" s="475"/>
      <c r="G311" s="475"/>
      <c r="H311" s="475"/>
      <c r="I311" s="475"/>
      <c r="J311" s="475"/>
      <c r="K311" s="475"/>
      <c r="L311" s="475"/>
      <c r="M311" s="475"/>
      <c r="N311" s="477"/>
    </row>
    <row r="312" spans="1:18" x14ac:dyDescent="0.3">
      <c r="A312" s="478" t="s">
        <v>182</v>
      </c>
      <c r="B312" s="479">
        <f>SUM(B306:B311)</f>
        <v>51.030098181796177</v>
      </c>
      <c r="C312" s="479">
        <f t="shared" ref="C312:M312" si="267">SUM(C306:C311)</f>
        <v>65.151769196454694</v>
      </c>
      <c r="D312" s="479">
        <f t="shared" si="267"/>
        <v>104.95633856498577</v>
      </c>
      <c r="E312" s="479">
        <f t="shared" si="267"/>
        <v>146.33267878546931</v>
      </c>
      <c r="F312" s="479">
        <f t="shared" si="267"/>
        <v>626.26574254042998</v>
      </c>
      <c r="G312" s="479">
        <f t="shared" si="267"/>
        <v>-17.1648906619115</v>
      </c>
      <c r="H312" s="479">
        <f t="shared" si="267"/>
        <v>368.17526533672105</v>
      </c>
      <c r="I312" s="479">
        <f t="shared" si="267"/>
        <v>454.22696045432986</v>
      </c>
      <c r="J312" s="479">
        <f t="shared" si="267"/>
        <v>44.763518882849894</v>
      </c>
      <c r="K312" s="479">
        <f t="shared" si="267"/>
        <v>174.44963665731768</v>
      </c>
      <c r="L312" s="479">
        <f t="shared" si="267"/>
        <v>40.788610594102408</v>
      </c>
      <c r="M312" s="479">
        <f t="shared" si="267"/>
        <v>505.31959865647474</v>
      </c>
      <c r="N312" s="480">
        <f>SUM(N306:N311)</f>
        <v>2564.2953271890215</v>
      </c>
    </row>
    <row r="313" spans="1:18" x14ac:dyDescent="0.3">
      <c r="A313" s="474"/>
      <c r="B313" s="475"/>
      <c r="C313" s="475"/>
      <c r="D313" s="475"/>
      <c r="E313" s="475"/>
      <c r="F313" s="475"/>
      <c r="G313" s="475"/>
      <c r="H313" s="475"/>
      <c r="I313" s="475"/>
      <c r="J313" s="475"/>
      <c r="K313" s="475"/>
      <c r="L313" s="475"/>
      <c r="M313" s="475"/>
      <c r="N313" s="476"/>
    </row>
    <row r="314" spans="1:18" x14ac:dyDescent="0.3">
      <c r="A314" s="481" t="s">
        <v>480</v>
      </c>
      <c r="B314" s="505">
        <v>195.488</v>
      </c>
      <c r="C314" s="505">
        <v>197.85</v>
      </c>
      <c r="D314" s="505">
        <v>217.62799999999999</v>
      </c>
      <c r="E314" s="505">
        <v>110.264</v>
      </c>
      <c r="F314" s="505">
        <v>728.17600000000004</v>
      </c>
      <c r="G314" s="505">
        <v>81.587000000000003</v>
      </c>
      <c r="H314" s="505">
        <v>444.988</v>
      </c>
      <c r="I314" s="505">
        <v>482.28399999999999</v>
      </c>
      <c r="J314" s="505">
        <v>16.420000000000002</v>
      </c>
      <c r="K314" s="505">
        <v>191.74700000000001</v>
      </c>
      <c r="L314" s="505">
        <v>-91.462000000000003</v>
      </c>
      <c r="M314" s="505">
        <v>-6.9269999999999996</v>
      </c>
      <c r="N314" s="616">
        <v>2568.0430000000001</v>
      </c>
      <c r="O314" s="455"/>
    </row>
    <row r="315" spans="1:18" x14ac:dyDescent="0.3">
      <c r="A315" s="474"/>
      <c r="B315" s="475"/>
      <c r="C315" s="475"/>
      <c r="D315" s="475"/>
      <c r="E315" s="475"/>
      <c r="F315" s="475"/>
      <c r="G315" s="475"/>
      <c r="H315" s="475"/>
      <c r="I315" s="475"/>
      <c r="J315" s="475"/>
      <c r="K315" s="475"/>
      <c r="L315" s="475"/>
      <c r="M315" s="475"/>
      <c r="N315" s="476"/>
    </row>
    <row r="316" spans="1:18" ht="15" thickBot="1" x14ac:dyDescent="0.35">
      <c r="A316" s="482" t="s">
        <v>486</v>
      </c>
      <c r="B316" s="483"/>
      <c r="C316" s="483"/>
      <c r="D316" s="483"/>
      <c r="E316" s="483"/>
      <c r="F316" s="483"/>
      <c r="G316" s="483"/>
      <c r="H316" s="483"/>
      <c r="I316" s="483"/>
      <c r="J316" s="483"/>
      <c r="K316" s="483"/>
      <c r="L316" s="483"/>
      <c r="M316" s="483"/>
      <c r="N316" s="484"/>
    </row>
    <row r="318" spans="1:18" s="470" customFormat="1" x14ac:dyDescent="0.3">
      <c r="O318" s="469"/>
    </row>
    <row r="320" spans="1:18" x14ac:dyDescent="0.3">
      <c r="A320" t="s">
        <v>203</v>
      </c>
      <c r="Q320" s="8"/>
      <c r="R320" s="8"/>
    </row>
    <row r="321" spans="1:18" x14ac:dyDescent="0.3">
      <c r="B321" s="8">
        <f t="shared" ref="B321:M321" si="268">B66-B35</f>
        <v>4463</v>
      </c>
      <c r="C321" s="8">
        <f t="shared" si="268"/>
        <v>4446</v>
      </c>
      <c r="D321" s="8">
        <f t="shared" si="268"/>
        <v>4447</v>
      </c>
      <c r="E321" s="8">
        <f t="shared" si="268"/>
        <v>-250</v>
      </c>
      <c r="F321" s="8">
        <f t="shared" si="268"/>
        <v>4588</v>
      </c>
      <c r="G321" s="8">
        <f t="shared" si="268"/>
        <v>-18235</v>
      </c>
      <c r="H321" s="8">
        <f t="shared" si="268"/>
        <v>-15701</v>
      </c>
      <c r="I321" s="8">
        <f t="shared" si="268"/>
        <v>-13100</v>
      </c>
      <c r="J321" s="8">
        <f t="shared" si="268"/>
        <v>-17768</v>
      </c>
      <c r="K321" s="8">
        <f t="shared" si="268"/>
        <v>-22952</v>
      </c>
      <c r="L321" s="8">
        <f t="shared" si="268"/>
        <v>-17342</v>
      </c>
      <c r="M321" s="8">
        <f t="shared" si="268"/>
        <v>-21885</v>
      </c>
      <c r="N321" s="8">
        <f>N66-N35</f>
        <v>-109311</v>
      </c>
      <c r="Q321" s="8"/>
      <c r="R321" s="8"/>
    </row>
    <row r="322" spans="1:18" ht="21" x14ac:dyDescent="0.4">
      <c r="A322" s="36" t="s">
        <v>204</v>
      </c>
      <c r="B322" s="1" t="s">
        <v>0</v>
      </c>
      <c r="C322" s="1" t="s">
        <v>1</v>
      </c>
      <c r="D322" s="1" t="s">
        <v>2</v>
      </c>
      <c r="E322" s="1" t="s">
        <v>3</v>
      </c>
      <c r="F322" s="1" t="s">
        <v>4</v>
      </c>
      <c r="G322" s="1" t="s">
        <v>5</v>
      </c>
      <c r="H322" s="1" t="s">
        <v>6</v>
      </c>
      <c r="I322" s="1" t="s">
        <v>7</v>
      </c>
      <c r="J322" s="1" t="s">
        <v>8</v>
      </c>
      <c r="K322" s="1" t="s">
        <v>9</v>
      </c>
      <c r="L322" s="1" t="s">
        <v>10</v>
      </c>
      <c r="M322" s="1" t="s">
        <v>11</v>
      </c>
      <c r="N322" s="1" t="s">
        <v>12</v>
      </c>
      <c r="Q322" s="1" t="s">
        <v>179</v>
      </c>
      <c r="R322" s="1" t="s">
        <v>94</v>
      </c>
    </row>
    <row r="323" spans="1:18" x14ac:dyDescent="0.3">
      <c r="A323" s="17" t="s">
        <v>80</v>
      </c>
      <c r="B323" s="12">
        <f>B$321*$O9/-1000</f>
        <v>-19.917773371634159</v>
      </c>
      <c r="C323" s="12">
        <f t="shared" ref="C323:M323" si="269">C$321*$O9/-1000</f>
        <v>-19.84190464044039</v>
      </c>
      <c r="D323" s="12">
        <f t="shared" si="269"/>
        <v>-19.846367506981199</v>
      </c>
      <c r="E323" s="12">
        <f t="shared" si="269"/>
        <v>1.115716635202451</v>
      </c>
      <c r="F323" s="12">
        <f t="shared" si="269"/>
        <v>-20.475631689235382</v>
      </c>
      <c r="G323" s="12">
        <f t="shared" si="269"/>
        <v>81.380371371666769</v>
      </c>
      <c r="H323" s="12">
        <f t="shared" si="269"/>
        <v>70.071467557254721</v>
      </c>
      <c r="I323" s="12">
        <f t="shared" si="269"/>
        <v>58.463551684608433</v>
      </c>
      <c r="J323" s="12">
        <f t="shared" si="269"/>
        <v>79.296212697108601</v>
      </c>
      <c r="K323" s="12">
        <f t="shared" si="269"/>
        <v>102.43171284466662</v>
      </c>
      <c r="L323" s="12">
        <f t="shared" si="269"/>
        <v>77.39503155072363</v>
      </c>
      <c r="M323" s="12">
        <f t="shared" si="269"/>
        <v>97.669834245622567</v>
      </c>
      <c r="N323" s="13">
        <f>SUM(B323:M323)</f>
        <v>487.74222137856265</v>
      </c>
      <c r="O323" s="103"/>
      <c r="Q323" s="13">
        <f t="shared" ref="Q323:Q339" si="270">SUMIFS(B323:M323,$B$2:$M$2,$X$3)</f>
        <v>81.380371371666769</v>
      </c>
      <c r="R323" s="13">
        <f>SUMIFS(B323:M323,$B$1:$M$1,$Y$3)</f>
        <v>2.4144107985781034</v>
      </c>
    </row>
    <row r="324" spans="1:18" x14ac:dyDescent="0.3">
      <c r="A324" s="14" t="s">
        <v>81</v>
      </c>
      <c r="B324" s="12">
        <f>B$321*$O10/-1000</f>
        <v>-7.2046192632183077</v>
      </c>
      <c r="C324" s="12">
        <f t="shared" ref="C324:M324" si="271">C$321*$O10/-1000</f>
        <v>-7.1771761694529674</v>
      </c>
      <c r="D324" s="12">
        <f t="shared" si="271"/>
        <v>-7.1787904690862234</v>
      </c>
      <c r="E324" s="12">
        <f t="shared" si="271"/>
        <v>0.40357490831381959</v>
      </c>
      <c r="F324" s="12">
        <f t="shared" si="271"/>
        <v>-7.4064067173752175</v>
      </c>
      <c r="G324" s="12">
        <f t="shared" si="271"/>
        <v>29.43675381241</v>
      </c>
      <c r="H324" s="12">
        <f t="shared" si="271"/>
        <v>25.346118541741124</v>
      </c>
      <c r="I324" s="12">
        <f t="shared" si="271"/>
        <v>21.147325195644147</v>
      </c>
      <c r="J324" s="12">
        <f t="shared" si="271"/>
        <v>28.682875883679785</v>
      </c>
      <c r="K324" s="12">
        <f t="shared" si="271"/>
        <v>37.05140518247515</v>
      </c>
      <c r="L324" s="12">
        <f t="shared" si="271"/>
        <v>27.995184239913037</v>
      </c>
      <c r="M324" s="12">
        <f t="shared" si="271"/>
        <v>35.328947473791771</v>
      </c>
      <c r="N324" s="13">
        <f t="shared" ref="N324:N333" si="272">SUM(B324:M324)</f>
        <v>176.42519261883612</v>
      </c>
      <c r="O324" s="103"/>
      <c r="Q324" s="13">
        <f t="shared" si="270"/>
        <v>29.43675381241</v>
      </c>
      <c r="R324" s="13">
        <f t="shared" ref="R324:R339" si="273">SUMIFS(B324:M324,$B$1:$M$1,$Y$3)</f>
        <v>0.87333610159110364</v>
      </c>
    </row>
    <row r="325" spans="1:18" x14ac:dyDescent="0.3">
      <c r="A325" s="14" t="s">
        <v>82</v>
      </c>
      <c r="B325" s="12">
        <f>B$321*$O11/-1000</f>
        <v>-13.909599828565748</v>
      </c>
      <c r="C325" s="12">
        <f t="shared" ref="C325:M325" si="274">C$321*$O11/-1000</f>
        <v>-13.856616813310175</v>
      </c>
      <c r="D325" s="12">
        <f t="shared" si="274"/>
        <v>-13.859733461266385</v>
      </c>
      <c r="E325" s="12">
        <f t="shared" si="274"/>
        <v>0.77916198905252898</v>
      </c>
      <c r="F325" s="12">
        <f t="shared" si="274"/>
        <v>-14.299180823092012</v>
      </c>
      <c r="G325" s="12">
        <f t="shared" si="274"/>
        <v>56.832075481491465</v>
      </c>
      <c r="H325" s="12">
        <f t="shared" si="274"/>
        <v>48.934489560455035</v>
      </c>
      <c r="I325" s="12">
        <f t="shared" si="274"/>
        <v>40.82808822635252</v>
      </c>
      <c r="J325" s="12">
        <f t="shared" si="274"/>
        <v>55.376600885941343</v>
      </c>
      <c r="K325" s="12">
        <f t="shared" si="274"/>
        <v>71.533303890934576</v>
      </c>
      <c r="L325" s="12">
        <f t="shared" si="274"/>
        <v>54.04890885659583</v>
      </c>
      <c r="M325" s="12">
        <f t="shared" si="274"/>
        <v>68.207840521658397</v>
      </c>
      <c r="N325" s="13">
        <f t="shared" si="272"/>
        <v>340.61533848624737</v>
      </c>
      <c r="O325" s="103"/>
      <c r="Q325" s="13">
        <f t="shared" si="270"/>
        <v>56.832075481491465</v>
      </c>
      <c r="R325" s="13">
        <f t="shared" si="273"/>
        <v>1.6861065443096734</v>
      </c>
    </row>
    <row r="326" spans="1:18" x14ac:dyDescent="0.3">
      <c r="A326" s="14" t="s">
        <v>83</v>
      </c>
      <c r="B326" s="12">
        <f>B$321*$O12/-1000</f>
        <v>-0.88490785409106465</v>
      </c>
      <c r="C326" s="12">
        <f t="shared" ref="C326:M326" si="275">C$321*$O12/-1000</f>
        <v>-0.88153715422112344</v>
      </c>
      <c r="D326" s="12">
        <f t="shared" si="275"/>
        <v>-0.88173543068406102</v>
      </c>
      <c r="E326" s="12">
        <f t="shared" si="275"/>
        <v>4.9569115734431138E-2</v>
      </c>
      <c r="F326" s="12">
        <f t="shared" si="275"/>
        <v>-0.90969241195828021</v>
      </c>
      <c r="G326" s="12">
        <f t="shared" si="275"/>
        <v>3.6155713016694073</v>
      </c>
      <c r="H326" s="12">
        <f t="shared" si="275"/>
        <v>3.1131387445852132</v>
      </c>
      <c r="I326" s="12">
        <f t="shared" si="275"/>
        <v>2.5974216644841919</v>
      </c>
      <c r="J326" s="12">
        <f t="shared" si="275"/>
        <v>3.5229761934774895</v>
      </c>
      <c r="K326" s="12">
        <f t="shared" si="275"/>
        <v>4.5508413773466536</v>
      </c>
      <c r="L326" s="12">
        <f t="shared" si="275"/>
        <v>3.4385104202660193</v>
      </c>
      <c r="M326" s="12">
        <f t="shared" si="275"/>
        <v>4.3392803913921014</v>
      </c>
      <c r="N326" s="13">
        <f t="shared" si="272"/>
        <v>21.669436358000979</v>
      </c>
      <c r="O326" s="103"/>
      <c r="Q326" s="13">
        <f t="shared" si="270"/>
        <v>3.6155713016694073</v>
      </c>
      <c r="R326" s="13">
        <f t="shared" si="273"/>
        <v>0.10726756644930946</v>
      </c>
    </row>
    <row r="327" spans="1:18" x14ac:dyDescent="0.3">
      <c r="A327" s="14" t="s">
        <v>84</v>
      </c>
      <c r="B327" s="12">
        <f>B$321*$O13/-1000</f>
        <v>-3.1047311739538572</v>
      </c>
      <c r="C327" s="12">
        <f t="shared" ref="C327:M327" si="276">C$321*$O13/-1000</f>
        <v>-3.0929049516914291</v>
      </c>
      <c r="D327" s="12">
        <f t="shared" si="276"/>
        <v>-3.0936006118245132</v>
      </c>
      <c r="E327" s="12">
        <f t="shared" si="276"/>
        <v>0.17391503327099805</v>
      </c>
      <c r="F327" s="12">
        <f t="shared" si="276"/>
        <v>-3.191688690589356</v>
      </c>
      <c r="G327" s="12">
        <f t="shared" si="276"/>
        <v>12.685362526786598</v>
      </c>
      <c r="H327" s="12">
        <f t="shared" si="276"/>
        <v>10.922559749551761</v>
      </c>
      <c r="I327" s="12">
        <f t="shared" si="276"/>
        <v>9.1131477434002974</v>
      </c>
      <c r="J327" s="12">
        <f t="shared" si="276"/>
        <v>12.360489244636375</v>
      </c>
      <c r="K327" s="12">
        <f t="shared" si="276"/>
        <v>15.966791374543789</v>
      </c>
      <c r="L327" s="12">
        <f t="shared" si="276"/>
        <v>12.064138027942594</v>
      </c>
      <c r="M327" s="12">
        <f t="shared" si="276"/>
        <v>15.22452201254317</v>
      </c>
      <c r="N327" s="13">
        <f t="shared" si="272"/>
        <v>76.028000284616439</v>
      </c>
      <c r="O327" s="103"/>
      <c r="Q327" s="13">
        <f t="shared" si="270"/>
        <v>12.685362526786598</v>
      </c>
      <c r="R327" s="13">
        <f t="shared" si="273"/>
        <v>0.37635213199844131</v>
      </c>
    </row>
    <row r="328" spans="1:18" x14ac:dyDescent="0.3">
      <c r="A328" s="14" t="s">
        <v>85</v>
      </c>
      <c r="B328" s="12">
        <f>B$321*$O24/-1000</f>
        <v>0</v>
      </c>
      <c r="C328" s="12">
        <f t="shared" ref="C328:M328" si="277">C$321*$O24/-1000</f>
        <v>0</v>
      </c>
      <c r="D328" s="12">
        <f t="shared" si="277"/>
        <v>0</v>
      </c>
      <c r="E328" s="12">
        <f t="shared" si="277"/>
        <v>0</v>
      </c>
      <c r="F328" s="12">
        <f t="shared" si="277"/>
        <v>0</v>
      </c>
      <c r="G328" s="12">
        <f t="shared" si="277"/>
        <v>0</v>
      </c>
      <c r="H328" s="12">
        <f t="shared" si="277"/>
        <v>0</v>
      </c>
      <c r="I328" s="12">
        <f t="shared" si="277"/>
        <v>0</v>
      </c>
      <c r="J328" s="12">
        <f t="shared" si="277"/>
        <v>0</v>
      </c>
      <c r="K328" s="12">
        <f t="shared" si="277"/>
        <v>0</v>
      </c>
      <c r="L328" s="12">
        <f t="shared" si="277"/>
        <v>0</v>
      </c>
      <c r="M328" s="12">
        <f t="shared" si="277"/>
        <v>0</v>
      </c>
      <c r="N328" s="13">
        <f t="shared" si="272"/>
        <v>0</v>
      </c>
      <c r="O328" s="103"/>
      <c r="Q328" s="13">
        <f t="shared" si="270"/>
        <v>0</v>
      </c>
      <c r="R328" s="13">
        <f t="shared" si="273"/>
        <v>0</v>
      </c>
    </row>
    <row r="329" spans="1:18" x14ac:dyDescent="0.3">
      <c r="A329" s="14" t="s">
        <v>86</v>
      </c>
      <c r="B329" s="12">
        <f>B$321*$O14/-1000</f>
        <v>-12.155521574153038</v>
      </c>
      <c r="C329" s="12">
        <f t="shared" ref="C329:M329" si="278">C$321*$O14/-1000</f>
        <v>-12.109220013149093</v>
      </c>
      <c r="D329" s="12">
        <f t="shared" si="278"/>
        <v>-12.111943634384621</v>
      </c>
      <c r="E329" s="12">
        <f t="shared" si="278"/>
        <v>0.680905308881528</v>
      </c>
      <c r="F329" s="12">
        <f t="shared" si="278"/>
        <v>-12.495974228593802</v>
      </c>
      <c r="G329" s="12">
        <f t="shared" si="278"/>
        <v>49.665233229818654</v>
      </c>
      <c r="H329" s="12">
        <f t="shared" si="278"/>
        <v>42.763577018995484</v>
      </c>
      <c r="I329" s="12">
        <f t="shared" si="278"/>
        <v>35.679438185392065</v>
      </c>
      <c r="J329" s="12">
        <f t="shared" si="278"/>
        <v>48.393302112827961</v>
      </c>
      <c r="K329" s="12">
        <f t="shared" si="278"/>
        <v>62.512554597795322</v>
      </c>
      <c r="L329" s="12">
        <f t="shared" si="278"/>
        <v>47.233039466493835</v>
      </c>
      <c r="M329" s="12">
        <f t="shared" si="278"/>
        <v>59.606450739488956</v>
      </c>
      <c r="N329" s="13">
        <f t="shared" si="272"/>
        <v>297.66184120941324</v>
      </c>
      <c r="O329" s="103"/>
      <c r="Q329" s="13">
        <f t="shared" si="270"/>
        <v>49.665233229818654</v>
      </c>
      <c r="R329" s="13">
        <f t="shared" si="273"/>
        <v>1.4734790884196229</v>
      </c>
    </row>
    <row r="330" spans="1:18" ht="15" thickBot="1" x14ac:dyDescent="0.35">
      <c r="A330" s="15" t="s">
        <v>87</v>
      </c>
      <c r="B330" s="16">
        <f>SUM(B323:B329)</f>
        <v>-57.177153065616167</v>
      </c>
      <c r="C330" s="16">
        <f t="shared" ref="C330:N330" si="279">SUM(C323:C329)</f>
        <v>-56.959359742265178</v>
      </c>
      <c r="D330" s="16">
        <f t="shared" si="279"/>
        <v>-56.972171114227002</v>
      </c>
      <c r="E330" s="16">
        <f t="shared" si="279"/>
        <v>3.2028429904557569</v>
      </c>
      <c r="F330" s="16">
        <f t="shared" si="279"/>
        <v>-58.778574560844049</v>
      </c>
      <c r="G330" s="16">
        <f t="shared" si="279"/>
        <v>233.61536772384289</v>
      </c>
      <c r="H330" s="16">
        <f t="shared" si="279"/>
        <v>201.1513511725833</v>
      </c>
      <c r="I330" s="16">
        <f t="shared" si="279"/>
        <v>167.82897269988163</v>
      </c>
      <c r="J330" s="16">
        <f t="shared" si="279"/>
        <v>227.63245701767156</v>
      </c>
      <c r="K330" s="16">
        <f t="shared" si="279"/>
        <v>294.04660926776211</v>
      </c>
      <c r="L330" s="16">
        <f t="shared" si="279"/>
        <v>222.17481256193494</v>
      </c>
      <c r="M330" s="16">
        <f t="shared" si="279"/>
        <v>280.37687538449694</v>
      </c>
      <c r="N330" s="16">
        <f t="shared" si="279"/>
        <v>1400.1420303356767</v>
      </c>
      <c r="O330" s="103"/>
      <c r="Q330" s="16">
        <f t="shared" si="270"/>
        <v>233.61536772384289</v>
      </c>
      <c r="R330" s="16">
        <f t="shared" si="273"/>
        <v>6.9309522313462537</v>
      </c>
    </row>
    <row r="331" spans="1:18" x14ac:dyDescent="0.3">
      <c r="A331" s="433" t="s">
        <v>89</v>
      </c>
      <c r="B331" s="722">
        <f>+B321*$O$17/-1000</f>
        <v>-0.79799706272031745</v>
      </c>
      <c r="C331" s="722">
        <f t="shared" ref="C331:M331" si="280">+C321*$O$17/-1000</f>
        <v>-0.79495741448678725</v>
      </c>
      <c r="D331" s="722">
        <f t="shared" si="280"/>
        <v>-0.79513621732405371</v>
      </c>
      <c r="E331" s="722">
        <f t="shared" si="280"/>
        <v>4.4700709316620964E-2</v>
      </c>
      <c r="F331" s="722">
        <f t="shared" si="280"/>
        <v>-0.82034741737862793</v>
      </c>
      <c r="G331" s="722">
        <f t="shared" si="280"/>
        <v>3.2604697375543332</v>
      </c>
      <c r="H331" s="722">
        <f t="shared" si="280"/>
        <v>2.8073833479210628</v>
      </c>
      <c r="I331" s="722">
        <f t="shared" si="280"/>
        <v>2.3423171681909385</v>
      </c>
      <c r="J331" s="722">
        <f t="shared" si="280"/>
        <v>3.1769688125508853</v>
      </c>
      <c r="K331" s="722">
        <f t="shared" si="280"/>
        <v>4.1038827209403372</v>
      </c>
      <c r="L331" s="722">
        <f t="shared" si="280"/>
        <v>3.1007988038753629</v>
      </c>
      <c r="M331" s="722">
        <f t="shared" si="280"/>
        <v>3.9131000935769995</v>
      </c>
      <c r="N331" s="722">
        <f t="shared" si="272"/>
        <v>19.541183282016757</v>
      </c>
      <c r="O331" s="103"/>
      <c r="Q331" s="103">
        <f t="shared" si="270"/>
        <v>3.2604697375543332</v>
      </c>
      <c r="R331" s="103">
        <f t="shared" si="273"/>
        <v>9.6732334961167954E-2</v>
      </c>
    </row>
    <row r="332" spans="1:18" x14ac:dyDescent="0.3">
      <c r="A332" s="436" t="s">
        <v>90</v>
      </c>
      <c r="B332" s="722">
        <f>+B331+B330</f>
        <v>-57.975150128336487</v>
      </c>
      <c r="C332" s="722">
        <f t="shared" ref="C332:N332" si="281">+C331+C330</f>
        <v>-57.754317156751966</v>
      </c>
      <c r="D332" s="722">
        <f t="shared" si="281"/>
        <v>-57.767307331551059</v>
      </c>
      <c r="E332" s="722">
        <f t="shared" si="281"/>
        <v>3.2475436997723781</v>
      </c>
      <c r="F332" s="722">
        <f t="shared" si="281"/>
        <v>-59.598921978222677</v>
      </c>
      <c r="G332" s="722">
        <f t="shared" si="281"/>
        <v>236.87583746139723</v>
      </c>
      <c r="H332" s="722">
        <f t="shared" si="281"/>
        <v>203.95873452050438</v>
      </c>
      <c r="I332" s="722">
        <f t="shared" si="281"/>
        <v>170.17128986807256</v>
      </c>
      <c r="J332" s="722">
        <f t="shared" si="281"/>
        <v>230.80942583022244</v>
      </c>
      <c r="K332" s="722">
        <f t="shared" si="281"/>
        <v>298.15049198870247</v>
      </c>
      <c r="L332" s="722">
        <f t="shared" si="281"/>
        <v>225.27561136581031</v>
      </c>
      <c r="M332" s="722">
        <f t="shared" si="281"/>
        <v>284.28997547807393</v>
      </c>
      <c r="N332" s="722">
        <f t="shared" si="281"/>
        <v>1419.6832136176936</v>
      </c>
      <c r="O332" s="103"/>
      <c r="Q332" s="103">
        <f t="shared" ref="Q332:Q334" si="282">SUMIFS(B332:M332,$B$2:$M$2,$X$3)</f>
        <v>236.87583746139723</v>
      </c>
      <c r="R332" s="103">
        <f t="shared" ref="R332:R334" si="283">SUMIFS(B332:M332,$B$1:$M$1,$Y$3)</f>
        <v>7.0276845663074141</v>
      </c>
    </row>
    <row r="333" spans="1:18" x14ac:dyDescent="0.3">
      <c r="A333" s="433" t="s">
        <v>91</v>
      </c>
      <c r="B333" s="722">
        <f>+B321*$O$19/-1000</f>
        <v>-33.412004211426613</v>
      </c>
      <c r="C333" s="722">
        <f t="shared" ref="C333:M333" si="284">+C321*$O$19/-1000</f>
        <v>-33.28473464575459</v>
      </c>
      <c r="D333" s="722">
        <f t="shared" si="284"/>
        <v>-33.292221090794122</v>
      </c>
      <c r="E333" s="722">
        <f t="shared" si="284"/>
        <v>1.8716112598827366</v>
      </c>
      <c r="F333" s="722">
        <f t="shared" si="284"/>
        <v>-34.347809841367983</v>
      </c>
      <c r="G333" s="722">
        <f t="shared" si="284"/>
        <v>136.51532529584679</v>
      </c>
      <c r="H333" s="722">
        <f t="shared" si="284"/>
        <v>117.54467356567538</v>
      </c>
      <c r="I333" s="722">
        <f t="shared" si="284"/>
        <v>98.072430017855396</v>
      </c>
      <c r="J333" s="722">
        <f t="shared" si="284"/>
        <v>133.01915546238587</v>
      </c>
      <c r="K333" s="722">
        <f t="shared" si="284"/>
        <v>171.82888654731428</v>
      </c>
      <c r="L333" s="722">
        <f t="shared" si="284"/>
        <v>129.82992987554567</v>
      </c>
      <c r="M333" s="722">
        <f t="shared" si="284"/>
        <v>163.84084969013475</v>
      </c>
      <c r="N333" s="722">
        <f t="shared" si="272"/>
        <v>818.18609192529755</v>
      </c>
      <c r="O333" s="103"/>
      <c r="Q333" s="103">
        <f t="shared" si="282"/>
        <v>136.51532529584679</v>
      </c>
      <c r="R333" s="103">
        <f t="shared" si="283"/>
        <v>4.0501667663862122</v>
      </c>
    </row>
    <row r="334" spans="1:18" x14ac:dyDescent="0.3">
      <c r="A334" s="436" t="s">
        <v>92</v>
      </c>
      <c r="B334" s="722">
        <f>+B333+B332</f>
        <v>-91.3871543397631</v>
      </c>
      <c r="C334" s="722">
        <f t="shared" ref="C334:N334" si="285">+C333+C332</f>
        <v>-91.039051802506549</v>
      </c>
      <c r="D334" s="722">
        <f t="shared" si="285"/>
        <v>-91.059528422345181</v>
      </c>
      <c r="E334" s="722">
        <f t="shared" si="285"/>
        <v>5.1191549596551145</v>
      </c>
      <c r="F334" s="722">
        <f t="shared" si="285"/>
        <v>-93.946731819590667</v>
      </c>
      <c r="G334" s="722">
        <f t="shared" si="285"/>
        <v>373.39116275724405</v>
      </c>
      <c r="H334" s="722">
        <f t="shared" si="285"/>
        <v>321.50340808617977</v>
      </c>
      <c r="I334" s="722">
        <f t="shared" si="285"/>
        <v>268.24371988592793</v>
      </c>
      <c r="J334" s="722">
        <f t="shared" si="285"/>
        <v>363.82858129260831</v>
      </c>
      <c r="K334" s="722">
        <f t="shared" si="285"/>
        <v>469.97937853601672</v>
      </c>
      <c r="L334" s="722">
        <f t="shared" si="285"/>
        <v>355.10554124135598</v>
      </c>
      <c r="M334" s="722">
        <f t="shared" si="285"/>
        <v>448.13082516820867</v>
      </c>
      <c r="N334" s="722">
        <f t="shared" si="285"/>
        <v>2237.8693055429912</v>
      </c>
      <c r="O334" s="103"/>
      <c r="Q334" s="103">
        <f t="shared" si="282"/>
        <v>373.39116275724405</v>
      </c>
      <c r="R334" s="103">
        <f t="shared" si="283"/>
        <v>11.077851332693626</v>
      </c>
    </row>
    <row r="335" spans="1:18" x14ac:dyDescent="0.3">
      <c r="A335" s="433" t="s">
        <v>148</v>
      </c>
      <c r="B335" s="722">
        <f>+B321*$O$27/-1000</f>
        <v>-7.7164361993204906</v>
      </c>
      <c r="C335" s="722">
        <f t="shared" ref="C335:M335" si="286">+C321*$O$27/-1000</f>
        <v>-7.6870435451890877</v>
      </c>
      <c r="D335" s="722">
        <f t="shared" si="286"/>
        <v>-7.6887725248438761</v>
      </c>
      <c r="E335" s="722">
        <f t="shared" si="286"/>
        <v>0.43224491369709223</v>
      </c>
      <c r="F335" s="722">
        <f t="shared" si="286"/>
        <v>-7.9325586561690358</v>
      </c>
      <c r="G335" s="722">
        <f t="shared" si="286"/>
        <v>31.527944005065908</v>
      </c>
      <c r="H335" s="722">
        <f t="shared" si="286"/>
        <v>27.146709559832178</v>
      </c>
      <c r="I335" s="722">
        <f t="shared" si="286"/>
        <v>22.649633477727633</v>
      </c>
      <c r="J335" s="722">
        <f t="shared" si="286"/>
        <v>30.720510506279737</v>
      </c>
      <c r="K335" s="722">
        <f t="shared" si="286"/>
        <v>39.683541036702643</v>
      </c>
      <c r="L335" s="722">
        <f t="shared" si="286"/>
        <v>29.983965173339893</v>
      </c>
      <c r="M335" s="722">
        <f t="shared" si="286"/>
        <v>37.838719745043456</v>
      </c>
      <c r="N335" s="722">
        <f>SUM(B335:M335)</f>
        <v>188.95845749216605</v>
      </c>
      <c r="O335" s="103"/>
      <c r="Q335" s="103">
        <f t="shared" ref="Q335:Q336" si="287">SUMIFS(B335:M335,$B$2:$M$2,$X$3)</f>
        <v>31.527944005065908</v>
      </c>
      <c r="R335" s="103">
        <f t="shared" ref="R335:R336" si="288">SUMIFS(B335:M335,$B$1:$M$1,$Y$3)</f>
        <v>0.93537799324051107</v>
      </c>
    </row>
    <row r="336" spans="1:18" x14ac:dyDescent="0.3">
      <c r="A336" s="433" t="s">
        <v>149</v>
      </c>
      <c r="B336" s="722">
        <f>+B321*$O$28/-1000</f>
        <v>-6.5178725246955791</v>
      </c>
      <c r="C336" s="722">
        <f t="shared" ref="C336:M336" si="289">+C321*$O$28/-1000</f>
        <v>-6.4930453158854018</v>
      </c>
      <c r="D336" s="722">
        <f t="shared" si="289"/>
        <v>-6.494505739933059</v>
      </c>
      <c r="E336" s="722">
        <f t="shared" si="289"/>
        <v>0.36510601191438374</v>
      </c>
      <c r="F336" s="722">
        <f t="shared" si="289"/>
        <v>-6.7004255306527716</v>
      </c>
      <c r="G336" s="722">
        <f t="shared" si="289"/>
        <v>26.630832509035155</v>
      </c>
      <c r="H336" s="722">
        <f t="shared" si="289"/>
        <v>22.93011797227096</v>
      </c>
      <c r="I336" s="722">
        <f t="shared" si="289"/>
        <v>19.131555024313712</v>
      </c>
      <c r="J336" s="722">
        <f t="shared" si="289"/>
        <v>25.948814478779084</v>
      </c>
      <c r="K336" s="722">
        <f t="shared" si="289"/>
        <v>33.519652741835749</v>
      </c>
      <c r="L336" s="722">
        <f t="shared" si="289"/>
        <v>25.326673834476978</v>
      </c>
      <c r="M336" s="722">
        <f t="shared" si="289"/>
        <v>31.961380282985161</v>
      </c>
      <c r="N336" s="722">
        <f>SUM(B336:M336)</f>
        <v>159.60828374444438</v>
      </c>
      <c r="O336" s="103"/>
      <c r="Q336" s="103">
        <f t="shared" si="287"/>
        <v>26.630832509035155</v>
      </c>
      <c r="R336" s="103">
        <f t="shared" si="288"/>
        <v>0.7900894097827269</v>
      </c>
    </row>
    <row r="337" spans="1:18" x14ac:dyDescent="0.3">
      <c r="A337" s="14" t="s">
        <v>93</v>
      </c>
      <c r="B337" s="12">
        <f t="shared" ref="B337:M337" si="290">B$321*$O29/-1000</f>
        <v>-14.234308724016071</v>
      </c>
      <c r="C337" s="12">
        <f t="shared" si="290"/>
        <v>-14.180088861074491</v>
      </c>
      <c r="D337" s="12">
        <f t="shared" si="290"/>
        <v>-14.183278264776938</v>
      </c>
      <c r="E337" s="12">
        <f t="shared" si="290"/>
        <v>0.79735092561147614</v>
      </c>
      <c r="F337" s="12">
        <f t="shared" si="290"/>
        <v>-14.63298418682181</v>
      </c>
      <c r="G337" s="12">
        <f t="shared" si="290"/>
        <v>58.158776514101071</v>
      </c>
      <c r="H337" s="12">
        <f t="shared" si="290"/>
        <v>50.076827532103145</v>
      </c>
      <c r="I337" s="12">
        <f t="shared" si="290"/>
        <v>41.781188502041346</v>
      </c>
      <c r="J337" s="12">
        <f t="shared" si="290"/>
        <v>56.669324985058836</v>
      </c>
      <c r="K337" s="12">
        <f t="shared" si="290"/>
        <v>73.203193778538406</v>
      </c>
      <c r="L337" s="12">
        <f t="shared" si="290"/>
        <v>55.310639007816874</v>
      </c>
      <c r="M337" s="12">
        <f t="shared" si="290"/>
        <v>69.800100028028623</v>
      </c>
      <c r="N337" s="13">
        <f t="shared" ref="N337" si="291">SUM(B337:M337)</f>
        <v>348.56674123661048</v>
      </c>
      <c r="O337" s="103"/>
      <c r="Q337" s="13">
        <f>SUMIFS(B337:M337,$B$2:$M$2,$X$3)</f>
        <v>58.158776514101071</v>
      </c>
      <c r="R337" s="13">
        <f t="shared" si="273"/>
        <v>1.725467403023238</v>
      </c>
    </row>
    <row r="338" spans="1:18" x14ac:dyDescent="0.3">
      <c r="A338" s="33"/>
      <c r="O338" s="103"/>
      <c r="Q338">
        <f t="shared" si="270"/>
        <v>0</v>
      </c>
      <c r="R338">
        <f t="shared" si="273"/>
        <v>0</v>
      </c>
    </row>
    <row r="339" spans="1:18" ht="15" thickBot="1" x14ac:dyDescent="0.35">
      <c r="A339" s="19" t="s">
        <v>174</v>
      </c>
      <c r="B339" s="723">
        <f>+B334+B337</f>
        <v>-105.62146306377917</v>
      </c>
      <c r="C339" s="723">
        <f t="shared" ref="C339:M339" si="292">+C334+C337</f>
        <v>-105.21914066358104</v>
      </c>
      <c r="D339" s="723">
        <f t="shared" si="292"/>
        <v>-105.24280668712211</v>
      </c>
      <c r="E339" s="723">
        <f t="shared" si="292"/>
        <v>5.9165058852665906</v>
      </c>
      <c r="F339" s="723">
        <f t="shared" si="292"/>
        <v>-108.57971600641248</v>
      </c>
      <c r="G339" s="723">
        <f t="shared" si="292"/>
        <v>431.54993927134512</v>
      </c>
      <c r="H339" s="723">
        <f t="shared" si="292"/>
        <v>371.58023561828293</v>
      </c>
      <c r="I339" s="723">
        <f t="shared" si="292"/>
        <v>310.02490838796928</v>
      </c>
      <c r="J339" s="723">
        <f t="shared" si="292"/>
        <v>420.49790627766714</v>
      </c>
      <c r="K339" s="723">
        <f t="shared" si="292"/>
        <v>543.18257231455516</v>
      </c>
      <c r="L339" s="723">
        <f t="shared" si="292"/>
        <v>410.41618024917284</v>
      </c>
      <c r="M339" s="723">
        <f t="shared" si="292"/>
        <v>517.93092519623724</v>
      </c>
      <c r="N339" s="723">
        <f>SUM(B339:M339)</f>
        <v>2586.4360467796018</v>
      </c>
      <c r="O339" s="103"/>
      <c r="Q339" s="49">
        <f t="shared" si="270"/>
        <v>431.54993927134512</v>
      </c>
      <c r="R339" s="49">
        <f t="shared" si="273"/>
        <v>12.803318735716914</v>
      </c>
    </row>
    <row r="340" spans="1:18" x14ac:dyDescent="0.3">
      <c r="O340" s="103"/>
    </row>
    <row r="341" spans="1:18" x14ac:dyDescent="0.3">
      <c r="O341" s="103"/>
    </row>
    <row r="342" spans="1:18" x14ac:dyDescent="0.3">
      <c r="O342" s="103"/>
    </row>
  </sheetData>
  <autoFilter ref="A1:AB339" xr:uid="{D8D8E467-4E96-44D1-898E-0E7ADB100D85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7FA850D-70F0-4385-8A79-8CD032E7E49B}">
          <x14:formula1>
            <xm:f>List!$C$2:$C$13</xm:f>
          </x14:formula1>
          <xm:sqref>W3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B1F5E-E9E1-46B6-BBF5-EC4DFD498BC0}">
  <sheetPr codeName="Sheet22">
    <tabColor theme="8" tint="0.59999389629810485"/>
  </sheetPr>
  <dimension ref="A1:W356"/>
  <sheetViews>
    <sheetView showGridLines="0" topLeftCell="A216" zoomScale="55" zoomScaleNormal="55" workbookViewId="0">
      <selection activeCell="H237" activeCellId="1" sqref="H118 H237"/>
    </sheetView>
  </sheetViews>
  <sheetFormatPr defaultRowHeight="14.4" x14ac:dyDescent="0.3"/>
  <cols>
    <col min="1" max="1" width="21.44140625" style="657" bestFit="1" customWidth="1"/>
    <col min="2" max="2" width="59.33203125" style="657" bestFit="1" customWidth="1"/>
    <col min="3" max="11" width="19.109375" style="657" bestFit="1" customWidth="1"/>
    <col min="12" max="13" width="16.77734375" style="657" bestFit="1" customWidth="1"/>
    <col min="14" max="14" width="16.77734375" style="657" customWidth="1"/>
    <col min="15" max="15" width="18.109375" style="657" bestFit="1" customWidth="1"/>
    <col min="16" max="16" width="11.44140625" style="657" bestFit="1" customWidth="1"/>
    <col min="17" max="17" width="8.88671875" style="657"/>
    <col min="18" max="18" width="10.44140625" style="657" bestFit="1" customWidth="1"/>
    <col min="19" max="19" width="8.88671875" style="657"/>
    <col min="20" max="20" width="10.44140625" style="657" bestFit="1" customWidth="1"/>
    <col min="21" max="22" width="8.88671875" style="657"/>
    <col min="23" max="23" width="11.5546875" style="657" bestFit="1" customWidth="1"/>
    <col min="24" max="16384" width="8.88671875" style="657"/>
  </cols>
  <sheetData>
    <row r="1" spans="1:16" x14ac:dyDescent="0.3">
      <c r="C1" s="658" t="s">
        <v>179</v>
      </c>
      <c r="D1" s="658" t="s">
        <v>179</v>
      </c>
      <c r="E1" s="659" t="s">
        <v>179</v>
      </c>
      <c r="F1" s="659" t="s">
        <v>179</v>
      </c>
      <c r="G1" s="659" t="s">
        <v>179</v>
      </c>
      <c r="H1" s="659" t="s">
        <v>179</v>
      </c>
      <c r="I1" s="659" t="s">
        <v>179</v>
      </c>
      <c r="J1" s="659" t="s">
        <v>179</v>
      </c>
      <c r="K1" s="659" t="s">
        <v>179</v>
      </c>
      <c r="L1" s="659" t="s">
        <v>179</v>
      </c>
      <c r="M1" s="659" t="s">
        <v>179</v>
      </c>
      <c r="N1" s="659" t="s">
        <v>179</v>
      </c>
      <c r="O1" s="658" t="s">
        <v>94</v>
      </c>
    </row>
    <row r="2" spans="1:16" x14ac:dyDescent="0.3">
      <c r="C2" s="658" t="s">
        <v>554</v>
      </c>
      <c r="D2" s="658" t="s">
        <v>555</v>
      </c>
      <c r="E2" s="659" t="s">
        <v>556</v>
      </c>
      <c r="F2" s="659" t="s">
        <v>557</v>
      </c>
      <c r="G2" s="659" t="s">
        <v>558</v>
      </c>
      <c r="H2" s="659" t="s">
        <v>559</v>
      </c>
      <c r="I2" s="659" t="s">
        <v>560</v>
      </c>
      <c r="J2" s="659" t="s">
        <v>561</v>
      </c>
      <c r="K2" s="659" t="s">
        <v>562</v>
      </c>
      <c r="L2" s="659" t="s">
        <v>563</v>
      </c>
      <c r="M2" s="659" t="s">
        <v>564</v>
      </c>
      <c r="N2" s="659" t="s">
        <v>565</v>
      </c>
      <c r="O2" s="658"/>
    </row>
    <row r="3" spans="1:16" x14ac:dyDescent="0.3">
      <c r="C3" s="660"/>
      <c r="D3" s="660"/>
      <c r="E3" s="661"/>
      <c r="F3" s="661"/>
      <c r="G3" s="661">
        <v>53.158395000000006</v>
      </c>
      <c r="H3" s="661">
        <v>54.404999999999994</v>
      </c>
      <c r="I3" s="661">
        <v>55.346666666666664</v>
      </c>
      <c r="J3" s="661">
        <v>56.288333333333334</v>
      </c>
      <c r="K3" s="661">
        <v>57.23</v>
      </c>
      <c r="L3" s="661">
        <v>58.184999999999995</v>
      </c>
      <c r="M3" s="661">
        <v>59.139999999999993</v>
      </c>
      <c r="N3" s="661">
        <v>60.094999999999999</v>
      </c>
      <c r="O3" s="660"/>
    </row>
    <row r="4" spans="1:16" x14ac:dyDescent="0.3">
      <c r="B4" s="662" t="s">
        <v>166</v>
      </c>
      <c r="C4" s="663" t="s">
        <v>566</v>
      </c>
      <c r="D4" s="663" t="s">
        <v>567</v>
      </c>
      <c r="E4" s="663" t="s">
        <v>568</v>
      </c>
      <c r="F4" s="663" t="s">
        <v>569</v>
      </c>
      <c r="G4" s="663" t="s">
        <v>570</v>
      </c>
      <c r="H4" s="663" t="s">
        <v>571</v>
      </c>
      <c r="I4" s="663" t="s">
        <v>572</v>
      </c>
      <c r="J4" s="663" t="s">
        <v>573</v>
      </c>
      <c r="K4" s="663" t="s">
        <v>574</v>
      </c>
      <c r="L4" s="663" t="s">
        <v>575</v>
      </c>
      <c r="M4" s="663" t="s">
        <v>576</v>
      </c>
      <c r="N4" s="663" t="s">
        <v>577</v>
      </c>
      <c r="O4" s="664" t="s">
        <v>171</v>
      </c>
    </row>
    <row r="5" spans="1:16" ht="15" x14ac:dyDescent="0.3">
      <c r="A5">
        <v>6666110101</v>
      </c>
      <c r="B5" s="665" t="s">
        <v>225</v>
      </c>
      <c r="C5" s="666">
        <v>62830.89</v>
      </c>
      <c r="D5" s="667">
        <v>56946.53</v>
      </c>
      <c r="E5" s="667">
        <v>62853.55</v>
      </c>
      <c r="F5" s="666">
        <v>55791.7</v>
      </c>
      <c r="G5" s="667">
        <v>61545.23</v>
      </c>
      <c r="H5" s="667">
        <v>59869.18</v>
      </c>
      <c r="I5" s="667">
        <v>29665.226863698561</v>
      </c>
      <c r="J5" s="667">
        <v>29766.013028082121</v>
      </c>
      <c r="K5" s="667">
        <v>28856.306801369843</v>
      </c>
      <c r="L5" s="667">
        <v>29765.993028082117</v>
      </c>
      <c r="M5" s="667">
        <v>28856.67680136978</v>
      </c>
      <c r="N5" s="667">
        <v>29765.74302808219</v>
      </c>
      <c r="O5" s="668">
        <f>C5+D5+E5+F5+G5+H5+I5+J5+K5+L5+M5+N5</f>
        <v>536513.03955068463</v>
      </c>
      <c r="P5" s="660">
        <v>0</v>
      </c>
    </row>
    <row r="6" spans="1:16" ht="15" x14ac:dyDescent="0.3">
      <c r="A6">
        <v>6666110107</v>
      </c>
      <c r="B6" s="665" t="s">
        <v>227</v>
      </c>
      <c r="C6" s="666">
        <v>264453.89</v>
      </c>
      <c r="D6" s="667">
        <v>253031.67</v>
      </c>
      <c r="E6" s="667">
        <v>264929.64</v>
      </c>
      <c r="F6" s="666">
        <v>-37228.74</v>
      </c>
      <c r="G6" s="667">
        <v>197113.06</v>
      </c>
      <c r="H6" s="667">
        <v>194097.51</v>
      </c>
      <c r="I6" s="667">
        <v>165280.4051321919</v>
      </c>
      <c r="J6" s="667">
        <v>167483.47879794519</v>
      </c>
      <c r="K6" s="667">
        <v>165019.96496575343</v>
      </c>
      <c r="L6" s="667">
        <v>167483.8787979451</v>
      </c>
      <c r="M6" s="667">
        <v>165019.74496575372</v>
      </c>
      <c r="N6" s="667">
        <v>167483.95879794526</v>
      </c>
      <c r="O6" s="668">
        <f t="shared" ref="O6:O73" si="0">C6+D6+E6+F6+G6+H6+I6+J6+K6+L6+M6+N6</f>
        <v>2134168.4614575347</v>
      </c>
      <c r="P6" s="660">
        <v>0</v>
      </c>
    </row>
    <row r="7" spans="1:16" ht="15" x14ac:dyDescent="0.3">
      <c r="A7">
        <v>6666110110</v>
      </c>
      <c r="B7" s="665" t="s">
        <v>228</v>
      </c>
      <c r="C7" s="666">
        <v>331678.59000000003</v>
      </c>
      <c r="D7" s="667">
        <v>301050.23</v>
      </c>
      <c r="E7" s="667">
        <v>332465.31</v>
      </c>
      <c r="F7" s="666">
        <v>69431.570000000007</v>
      </c>
      <c r="G7" s="667">
        <v>260689.68</v>
      </c>
      <c r="H7" s="667">
        <f>247987.09+16747.93</f>
        <v>264735.02</v>
      </c>
      <c r="I7" s="667">
        <v>256731.70476009732</v>
      </c>
      <c r="J7" s="667">
        <v>257313.6280934306</v>
      </c>
      <c r="K7" s="667">
        <v>250216.37419206073</v>
      </c>
      <c r="L7" s="667">
        <v>261863.80476009721</v>
      </c>
      <c r="M7" s="667">
        <v>261505.6475253941</v>
      </c>
      <c r="N7" s="667">
        <v>269185.30760913208</v>
      </c>
      <c r="O7" s="668">
        <f t="shared" si="0"/>
        <v>3116866.866940212</v>
      </c>
      <c r="P7" s="660">
        <v>0</v>
      </c>
    </row>
    <row r="8" spans="1:16" ht="15" x14ac:dyDescent="0.3">
      <c r="A8">
        <v>6666110112</v>
      </c>
      <c r="B8" s="665" t="s">
        <v>229</v>
      </c>
      <c r="C8" s="666">
        <v>15796.63</v>
      </c>
      <c r="D8" s="667">
        <v>14403.2</v>
      </c>
      <c r="E8" s="667">
        <v>15770.68</v>
      </c>
      <c r="F8" s="666">
        <v>-4116.1899999999996</v>
      </c>
      <c r="G8" s="667">
        <v>7003.85</v>
      </c>
      <c r="H8" s="667">
        <v>5919.55</v>
      </c>
      <c r="I8" s="667">
        <v>4430.67941369863</v>
      </c>
      <c r="J8" s="667">
        <v>4771.4055780821927</v>
      </c>
      <c r="K8" s="667">
        <v>4693.2683013698643</v>
      </c>
      <c r="L8" s="667">
        <v>4771.4355780821916</v>
      </c>
      <c r="M8" s="667">
        <v>4692.9083013698637</v>
      </c>
      <c r="N8" s="667">
        <v>4741.7755780821944</v>
      </c>
      <c r="O8" s="668">
        <f>C8+D8+E8+F8+G8+H8+I8+J8+K8+L8+M8+N8</f>
        <v>82879.192750684946</v>
      </c>
      <c r="P8" s="660">
        <v>0</v>
      </c>
    </row>
    <row r="9" spans="1:16" ht="15" x14ac:dyDescent="0.3">
      <c r="A9">
        <v>6666110204</v>
      </c>
      <c r="B9" s="665" t="s">
        <v>230</v>
      </c>
      <c r="C9" s="666">
        <v>505.04</v>
      </c>
      <c r="D9" s="667">
        <v>505.02</v>
      </c>
      <c r="E9" s="667">
        <v>505.04</v>
      </c>
      <c r="F9" s="666">
        <v>-909.06</v>
      </c>
      <c r="G9" s="667">
        <v>151.52000000000001</v>
      </c>
      <c r="H9" s="667">
        <v>151.5</v>
      </c>
      <c r="I9" s="667"/>
      <c r="J9" s="667"/>
      <c r="K9" s="667"/>
      <c r="L9" s="667"/>
      <c r="M9" s="667"/>
      <c r="N9" s="667"/>
      <c r="O9" s="668">
        <f t="shared" si="0"/>
        <v>909.06</v>
      </c>
      <c r="P9" s="660">
        <v>0</v>
      </c>
    </row>
    <row r="10" spans="1:16" ht="15" x14ac:dyDescent="0.3">
      <c r="A10">
        <v>6666110207</v>
      </c>
      <c r="B10" s="665" t="s">
        <v>231</v>
      </c>
      <c r="C10" s="666">
        <v>4699.82</v>
      </c>
      <c r="D10" s="667">
        <v>4697.34</v>
      </c>
      <c r="E10" s="667">
        <v>4699.8599999999997</v>
      </c>
      <c r="F10" s="666">
        <v>-6830.68</v>
      </c>
      <c r="G10" s="667">
        <v>1864.56</v>
      </c>
      <c r="H10" s="667">
        <v>1860.18</v>
      </c>
      <c r="I10" s="667">
        <v>1008.0099999999999</v>
      </c>
      <c r="J10" s="667">
        <v>1008.0399999999998</v>
      </c>
      <c r="K10" s="667">
        <v>1005.8299999999999</v>
      </c>
      <c r="L10" s="667">
        <v>1008.0599999999998</v>
      </c>
      <c r="M10" s="667">
        <v>1005.8199999999998</v>
      </c>
      <c r="N10" s="667">
        <v>1008.0099999999999</v>
      </c>
      <c r="O10" s="668">
        <f t="shared" si="0"/>
        <v>17034.849999999999</v>
      </c>
      <c r="P10" s="660">
        <v>0</v>
      </c>
    </row>
    <row r="11" spans="1:16" ht="15" x14ac:dyDescent="0.3">
      <c r="A11">
        <v>6666110506</v>
      </c>
      <c r="B11" s="665" t="s">
        <v>232</v>
      </c>
      <c r="C11" s="666">
        <v>0</v>
      </c>
      <c r="D11" s="666"/>
      <c r="E11" s="666"/>
      <c r="F11" s="666">
        <v>0</v>
      </c>
      <c r="G11" s="667">
        <v>0</v>
      </c>
      <c r="H11" s="667">
        <v>0</v>
      </c>
      <c r="I11" s="667">
        <v>0</v>
      </c>
      <c r="J11" s="667">
        <v>0</v>
      </c>
      <c r="K11" s="667">
        <v>0</v>
      </c>
      <c r="L11" s="667">
        <v>0</v>
      </c>
      <c r="M11" s="667">
        <v>0</v>
      </c>
      <c r="N11" s="667">
        <v>0</v>
      </c>
      <c r="O11" s="668">
        <f t="shared" si="0"/>
        <v>0</v>
      </c>
      <c r="P11" s="660">
        <v>0</v>
      </c>
    </row>
    <row r="12" spans="1:16" x14ac:dyDescent="0.3">
      <c r="A12" s="670" t="s">
        <v>207</v>
      </c>
      <c r="B12" s="671" t="s">
        <v>207</v>
      </c>
      <c r="C12" s="672">
        <f t="shared" ref="C12:P12" si="1">SUM(C5:C11)</f>
        <v>679964.8600000001</v>
      </c>
      <c r="D12" s="672">
        <f t="shared" si="1"/>
        <v>630633.98999999987</v>
      </c>
      <c r="E12" s="672">
        <f t="shared" si="1"/>
        <v>681224.08000000007</v>
      </c>
      <c r="F12" s="672">
        <f t="shared" si="1"/>
        <v>76138.600000000006</v>
      </c>
      <c r="G12" s="672">
        <f t="shared" si="1"/>
        <v>528367.9</v>
      </c>
      <c r="H12" s="672">
        <f t="shared" si="1"/>
        <v>526632.94000000006</v>
      </c>
      <c r="I12" s="672">
        <f t="shared" ref="I12:N12" si="2">SUM(I5:I11)</f>
        <v>457116.0261696864</v>
      </c>
      <c r="J12" s="672">
        <f t="shared" si="2"/>
        <v>460342.56549754011</v>
      </c>
      <c r="K12" s="672">
        <f t="shared" si="2"/>
        <v>449791.74426055391</v>
      </c>
      <c r="L12" s="672">
        <f t="shared" si="2"/>
        <v>464893.17216420663</v>
      </c>
      <c r="M12" s="672">
        <f t="shared" si="2"/>
        <v>461080.79759388749</v>
      </c>
      <c r="N12" s="672">
        <f t="shared" si="2"/>
        <v>472184.7950132417</v>
      </c>
      <c r="O12" s="672">
        <f t="shared" si="0"/>
        <v>5888371.4706991166</v>
      </c>
      <c r="P12" s="672">
        <f t="shared" si="1"/>
        <v>0</v>
      </c>
    </row>
    <row r="13" spans="1:16" ht="15" x14ac:dyDescent="0.3">
      <c r="A13">
        <v>5001010205</v>
      </c>
      <c r="B13" s="665" t="s">
        <v>233</v>
      </c>
      <c r="C13" s="666">
        <v>7616.07</v>
      </c>
      <c r="D13" s="667">
        <v>6308.6</v>
      </c>
      <c r="E13" s="667">
        <v>6054.22</v>
      </c>
      <c r="F13" s="666">
        <f>6548.09-35086.24/52.6433</f>
        <v>5881.599867352541</v>
      </c>
      <c r="G13" s="667">
        <f>6438.18+35086.25/53.1224</f>
        <v>7098.6593834615906</v>
      </c>
      <c r="H13" s="667">
        <v>6576.44</v>
      </c>
      <c r="I13" s="667">
        <v>0</v>
      </c>
      <c r="J13" s="667">
        <v>0</v>
      </c>
      <c r="K13" s="667">
        <v>0</v>
      </c>
      <c r="L13" s="667">
        <v>0</v>
      </c>
      <c r="M13" s="667">
        <v>0</v>
      </c>
      <c r="N13" s="667">
        <v>0</v>
      </c>
      <c r="O13" s="669">
        <f t="shared" si="0"/>
        <v>39535.589250814133</v>
      </c>
      <c r="P13" s="660">
        <v>441.48351640638737</v>
      </c>
    </row>
    <row r="14" spans="1:16" ht="15" x14ac:dyDescent="0.3">
      <c r="A14">
        <v>6666010380</v>
      </c>
      <c r="B14" s="665" t="s">
        <v>234</v>
      </c>
      <c r="C14" s="666">
        <v>-1820.9</v>
      </c>
      <c r="D14" s="667">
        <v>-1584.76</v>
      </c>
      <c r="E14" s="667">
        <v>192</v>
      </c>
      <c r="F14" s="666">
        <v>-635.35</v>
      </c>
      <c r="G14" s="667">
        <v>-3839.77</v>
      </c>
      <c r="H14" s="667">
        <v>-1483.82</v>
      </c>
      <c r="I14" s="667">
        <v>0</v>
      </c>
      <c r="J14" s="667">
        <v>0</v>
      </c>
      <c r="K14" s="667">
        <v>0</v>
      </c>
      <c r="L14" s="667">
        <v>0</v>
      </c>
      <c r="M14" s="667">
        <v>0</v>
      </c>
      <c r="N14" s="667">
        <v>0</v>
      </c>
      <c r="O14" s="669">
        <f t="shared" si="0"/>
        <v>-9172.6</v>
      </c>
      <c r="P14" s="660">
        <v>-99.610314090191352</v>
      </c>
    </row>
    <row r="15" spans="1:16" ht="15" x14ac:dyDescent="0.3">
      <c r="A15">
        <v>6666010019</v>
      </c>
      <c r="B15" s="665" t="s">
        <v>235</v>
      </c>
      <c r="C15" s="666">
        <v>64673.05</v>
      </c>
      <c r="D15" s="667">
        <v>53759.98</v>
      </c>
      <c r="E15" s="667">
        <v>50639.86</v>
      </c>
      <c r="F15" s="666">
        <f>55593.81-293847.29/52.6433</f>
        <v>50011.954569204434</v>
      </c>
      <c r="G15" s="667">
        <f>55202.2+293847.28/53.1224</f>
        <v>60733.71363643209</v>
      </c>
      <c r="H15" s="667">
        <v>56412.94</v>
      </c>
      <c r="I15" s="668"/>
      <c r="J15" s="668"/>
      <c r="K15" s="668"/>
      <c r="L15" s="668"/>
      <c r="M15" s="668"/>
      <c r="N15" s="668"/>
      <c r="O15" s="669">
        <f t="shared" si="0"/>
        <v>336231.49820563651</v>
      </c>
      <c r="P15" s="660">
        <v>3787.0614248113789</v>
      </c>
    </row>
    <row r="16" spans="1:16" ht="15" x14ac:dyDescent="0.3">
      <c r="A16">
        <v>6666010183</v>
      </c>
      <c r="B16" s="665" t="s">
        <v>236</v>
      </c>
      <c r="C16" s="666">
        <v>10501.35</v>
      </c>
      <c r="D16" s="667">
        <v>13377.5</v>
      </c>
      <c r="E16" s="667">
        <v>-9435.15</v>
      </c>
      <c r="F16" s="666">
        <f>24856.2-179892.23/52.6433</f>
        <v>21439.008638516203</v>
      </c>
      <c r="G16" s="667">
        <f>12979.1+179892.23/53.1224</f>
        <v>16365.472415402919</v>
      </c>
      <c r="H16" s="667">
        <v>8861.2199999999993</v>
      </c>
      <c r="I16" s="667"/>
      <c r="J16" s="667"/>
      <c r="K16" s="667"/>
      <c r="L16" s="667"/>
      <c r="M16" s="667"/>
      <c r="N16" s="667"/>
      <c r="O16" s="669">
        <f t="shared" si="0"/>
        <v>61109.401053919122</v>
      </c>
      <c r="P16" s="660">
        <v>594.86309527987351</v>
      </c>
    </row>
    <row r="17" spans="1:17" ht="15" x14ac:dyDescent="0.3">
      <c r="A17">
        <v>6666010229</v>
      </c>
      <c r="B17" s="665" t="s">
        <v>237</v>
      </c>
      <c r="C17" s="666">
        <v>16691.009999999998</v>
      </c>
      <c r="D17" s="667">
        <v>107238.39</v>
      </c>
      <c r="E17" s="667">
        <v>-345164.88</v>
      </c>
      <c r="F17" s="666">
        <v>9970.66</v>
      </c>
      <c r="G17" s="667">
        <v>10460.200000000001</v>
      </c>
      <c r="H17" s="667">
        <v>10571.59</v>
      </c>
      <c r="I17" s="667">
        <v>0</v>
      </c>
      <c r="J17" s="667">
        <v>0</v>
      </c>
      <c r="K17" s="667">
        <v>0</v>
      </c>
      <c r="L17" s="667">
        <v>0</v>
      </c>
      <c r="M17" s="667">
        <v>0</v>
      </c>
      <c r="N17" s="667">
        <v>0</v>
      </c>
      <c r="O17" s="669">
        <f t="shared" si="0"/>
        <v>-190233.03</v>
      </c>
      <c r="P17" s="660">
        <v>710.96199508685788</v>
      </c>
    </row>
    <row r="18" spans="1:17" ht="15" x14ac:dyDescent="0.3">
      <c r="A18">
        <v>6666010188</v>
      </c>
      <c r="B18" s="665" t="s">
        <v>238</v>
      </c>
      <c r="C18" s="666">
        <v>357719.36</v>
      </c>
      <c r="D18" s="667">
        <v>277316.84000000003</v>
      </c>
      <c r="E18" s="667">
        <v>572159.38</v>
      </c>
      <c r="F18" s="666">
        <f>309182.12-1593057.35/52.6433</f>
        <v>278920.76955274458</v>
      </c>
      <c r="G18" s="667">
        <f>349671.09+1593057.35/53.1224</f>
        <v>379659.51955137571</v>
      </c>
      <c r="H18" s="667">
        <v>312003.90000000002</v>
      </c>
      <c r="I18" s="667">
        <v>360485.35335875436</v>
      </c>
      <c r="J18" s="667">
        <v>360444.42061224976</v>
      </c>
      <c r="K18" s="667">
        <v>422283.79820572532</v>
      </c>
      <c r="L18" s="667">
        <v>552701.33384929202</v>
      </c>
      <c r="M18" s="667">
        <v>466476.52033121622</v>
      </c>
      <c r="N18" s="667">
        <v>470822.41610840609</v>
      </c>
      <c r="O18" s="669">
        <f t="shared" si="0"/>
        <v>4810993.6115697641</v>
      </c>
      <c r="P18" s="660">
        <v>21327.933511142317</v>
      </c>
    </row>
    <row r="19" spans="1:17" ht="15" x14ac:dyDescent="0.3">
      <c r="A19">
        <v>6666010115</v>
      </c>
      <c r="B19" s="665" t="s">
        <v>240</v>
      </c>
      <c r="C19" s="666">
        <v>-4265.7</v>
      </c>
      <c r="D19" s="667">
        <v>688.53</v>
      </c>
      <c r="E19" s="667">
        <v>632.23</v>
      </c>
      <c r="F19" s="666">
        <v>630.07000000000005</v>
      </c>
      <c r="G19" s="667">
        <v>5685.8</v>
      </c>
      <c r="H19" s="667">
        <v>-1308.6600000000001</v>
      </c>
      <c r="I19" s="667">
        <v>0</v>
      </c>
      <c r="J19" s="667">
        <v>0</v>
      </c>
      <c r="K19" s="667">
        <v>0</v>
      </c>
      <c r="L19" s="667">
        <v>0</v>
      </c>
      <c r="M19" s="667">
        <v>0</v>
      </c>
      <c r="N19" s="667">
        <v>0</v>
      </c>
      <c r="O19" s="669">
        <f t="shared" si="0"/>
        <v>2062.2700000000004</v>
      </c>
      <c r="P19" s="660">
        <v>-52.876002807509394</v>
      </c>
    </row>
    <row r="20" spans="1:17" x14ac:dyDescent="0.3">
      <c r="A20" s="670" t="s">
        <v>208</v>
      </c>
      <c r="B20" s="671" t="s">
        <v>208</v>
      </c>
      <c r="C20" s="672">
        <f>SUM(C13:C19)</f>
        <v>451114.23999999999</v>
      </c>
      <c r="D20" s="672">
        <f>SUM(D13:D19)</f>
        <v>457105.08000000007</v>
      </c>
      <c r="E20" s="672">
        <f t="shared" ref="E20:P20" si="3">SUM(E13:E19)</f>
        <v>275077.65999999997</v>
      </c>
      <c r="F20" s="672">
        <f t="shared" si="3"/>
        <v>366218.71262781776</v>
      </c>
      <c r="G20" s="672">
        <f t="shared" si="3"/>
        <v>476163.59498667228</v>
      </c>
      <c r="H20" s="672">
        <f t="shared" si="3"/>
        <v>391633.61000000004</v>
      </c>
      <c r="I20" s="672">
        <f t="shared" ref="I20:N20" si="4">SUM(I13:I19)</f>
        <v>360485.35335875436</v>
      </c>
      <c r="J20" s="672">
        <f t="shared" si="4"/>
        <v>360444.42061224976</v>
      </c>
      <c r="K20" s="672">
        <f t="shared" si="4"/>
        <v>422283.79820572532</v>
      </c>
      <c r="L20" s="672">
        <f t="shared" si="4"/>
        <v>552701.33384929202</v>
      </c>
      <c r="M20" s="672">
        <f t="shared" si="4"/>
        <v>466476.52033121622</v>
      </c>
      <c r="N20" s="672">
        <f t="shared" si="4"/>
        <v>470822.41610840609</v>
      </c>
      <c r="O20" s="672">
        <f t="shared" si="0"/>
        <v>5050526.740080134</v>
      </c>
      <c r="P20" s="672">
        <f t="shared" si="3"/>
        <v>26709.817225829112</v>
      </c>
      <c r="Q20" s="695"/>
    </row>
    <row r="21" spans="1:17" ht="15" x14ac:dyDescent="0.3">
      <c r="A21">
        <v>8701530201</v>
      </c>
      <c r="B21" s="665" t="s">
        <v>241</v>
      </c>
      <c r="C21" s="666">
        <v>0</v>
      </c>
      <c r="D21" s="673"/>
      <c r="E21" s="673"/>
      <c r="F21" s="666">
        <v>0</v>
      </c>
      <c r="G21" s="667">
        <v>0</v>
      </c>
      <c r="H21" s="667">
        <v>0</v>
      </c>
      <c r="I21" s="673">
        <v>0</v>
      </c>
      <c r="J21" s="673">
        <v>0</v>
      </c>
      <c r="K21" s="673">
        <v>0</v>
      </c>
      <c r="L21" s="673">
        <v>0</v>
      </c>
      <c r="M21" s="673">
        <v>0</v>
      </c>
      <c r="N21" s="673">
        <v>0</v>
      </c>
      <c r="O21" s="673">
        <f t="shared" si="0"/>
        <v>0</v>
      </c>
      <c r="P21" s="660">
        <v>0</v>
      </c>
    </row>
    <row r="22" spans="1:17" ht="15" x14ac:dyDescent="0.3">
      <c r="A22">
        <v>6666050309</v>
      </c>
      <c r="B22" s="665" t="s">
        <v>242</v>
      </c>
      <c r="C22" s="666">
        <v>12231.69</v>
      </c>
      <c r="D22" s="667">
        <v>11949.51</v>
      </c>
      <c r="E22" s="667">
        <v>10862.62</v>
      </c>
      <c r="F22" s="666">
        <v>8671.73</v>
      </c>
      <c r="G22" s="667">
        <v>7438.53</v>
      </c>
      <c r="H22" s="667">
        <v>9941.43</v>
      </c>
      <c r="I22" s="667">
        <v>17862.240000000002</v>
      </c>
      <c r="J22" s="667">
        <v>17507.599999999999</v>
      </c>
      <c r="K22" s="667">
        <v>24159.08</v>
      </c>
      <c r="L22" s="667">
        <v>21985.920000000002</v>
      </c>
      <c r="M22" s="667">
        <v>22851.84</v>
      </c>
      <c r="N22" s="667">
        <v>18563.599999999999</v>
      </c>
      <c r="O22" s="669">
        <f t="shared" si="0"/>
        <v>184025.79</v>
      </c>
      <c r="P22" s="660">
        <v>0</v>
      </c>
    </row>
    <row r="23" spans="1:17" ht="15" x14ac:dyDescent="0.3">
      <c r="A23">
        <v>6666050308</v>
      </c>
      <c r="B23" s="665" t="s">
        <v>243</v>
      </c>
      <c r="C23" s="666">
        <v>23545.57</v>
      </c>
      <c r="D23" s="667">
        <v>19654.080000000002</v>
      </c>
      <c r="E23" s="667">
        <v>7608.89</v>
      </c>
      <c r="F23" s="666">
        <v>84192.37</v>
      </c>
      <c r="G23" s="667">
        <v>24478.400000000001</v>
      </c>
      <c r="H23" s="667">
        <v>44483.839999999997</v>
      </c>
      <c r="I23" s="667">
        <v>0</v>
      </c>
      <c r="J23" s="667">
        <v>0</v>
      </c>
      <c r="K23" s="667">
        <v>0</v>
      </c>
      <c r="L23" s="667">
        <v>0</v>
      </c>
      <c r="M23" s="667">
        <v>0</v>
      </c>
      <c r="N23" s="667">
        <v>0</v>
      </c>
      <c r="O23" s="669">
        <f t="shared" si="0"/>
        <v>203963.15</v>
      </c>
      <c r="P23" s="660">
        <v>21.500909090908976</v>
      </c>
    </row>
    <row r="24" spans="1:17" ht="15" x14ac:dyDescent="0.3">
      <c r="A24">
        <v>6666050306</v>
      </c>
      <c r="B24" s="665" t="s">
        <v>244</v>
      </c>
      <c r="C24" s="666">
        <v>1193.1300000000001</v>
      </c>
      <c r="D24" s="667">
        <v>1108.31</v>
      </c>
      <c r="E24" s="667">
        <v>2812.7</v>
      </c>
      <c r="F24" s="666">
        <v>2603.13</v>
      </c>
      <c r="G24" s="667">
        <v>1068.83</v>
      </c>
      <c r="H24" s="667">
        <v>2061.4899999999998</v>
      </c>
      <c r="I24" s="667">
        <v>0</v>
      </c>
      <c r="J24" s="667">
        <v>0</v>
      </c>
      <c r="K24" s="667">
        <v>0</v>
      </c>
      <c r="L24" s="667">
        <v>0</v>
      </c>
      <c r="M24" s="667">
        <v>0</v>
      </c>
      <c r="N24" s="667">
        <v>0</v>
      </c>
      <c r="O24" s="669">
        <f t="shared" si="0"/>
        <v>10847.589999999998</v>
      </c>
      <c r="P24" s="660">
        <v>-18.031482716266027</v>
      </c>
    </row>
    <row r="25" spans="1:17" x14ac:dyDescent="0.3">
      <c r="A25" s="670" t="s">
        <v>209</v>
      </c>
      <c r="B25" s="671" t="s">
        <v>209</v>
      </c>
      <c r="C25" s="672">
        <f>SUM(C21:C24)</f>
        <v>36970.39</v>
      </c>
      <c r="D25" s="672">
        <f t="shared" ref="D25:P25" si="5">SUM(D21:D24)</f>
        <v>32711.900000000005</v>
      </c>
      <c r="E25" s="672">
        <f t="shared" si="5"/>
        <v>21284.210000000003</v>
      </c>
      <c r="F25" s="672">
        <f t="shared" si="5"/>
        <v>95467.23</v>
      </c>
      <c r="G25" s="672">
        <f t="shared" si="5"/>
        <v>32985.760000000002</v>
      </c>
      <c r="H25" s="672">
        <f t="shared" si="5"/>
        <v>56486.759999999995</v>
      </c>
      <c r="I25" s="672">
        <f t="shared" ref="I25:N25" si="6">SUM(I21:I24)</f>
        <v>17862.240000000002</v>
      </c>
      <c r="J25" s="672">
        <f t="shared" si="6"/>
        <v>17507.599999999999</v>
      </c>
      <c r="K25" s="672">
        <f t="shared" si="6"/>
        <v>24159.08</v>
      </c>
      <c r="L25" s="672">
        <f t="shared" si="6"/>
        <v>21985.920000000002</v>
      </c>
      <c r="M25" s="672">
        <f t="shared" si="6"/>
        <v>22851.84</v>
      </c>
      <c r="N25" s="672">
        <f t="shared" si="6"/>
        <v>18563.599999999999</v>
      </c>
      <c r="O25" s="672">
        <f t="shared" si="0"/>
        <v>398836.52999999997</v>
      </c>
      <c r="P25" s="672">
        <f t="shared" si="5"/>
        <v>3.4694263746429499</v>
      </c>
    </row>
    <row r="26" spans="1:17" x14ac:dyDescent="0.3">
      <c r="A26">
        <v>6666029996</v>
      </c>
      <c r="B26" s="665" t="s">
        <v>246</v>
      </c>
      <c r="C26" s="673">
        <v>51.25</v>
      </c>
      <c r="D26" s="667">
        <v>-50.71</v>
      </c>
      <c r="E26" s="667">
        <v>64.62</v>
      </c>
      <c r="F26" s="673">
        <v>7.19</v>
      </c>
      <c r="G26" s="673">
        <v>33.590000000000003</v>
      </c>
      <c r="H26" s="673">
        <v>69.34</v>
      </c>
      <c r="I26" s="673">
        <v>0</v>
      </c>
      <c r="J26" s="673">
        <v>0</v>
      </c>
      <c r="K26" s="673">
        <v>0</v>
      </c>
      <c r="L26" s="673">
        <v>0</v>
      </c>
      <c r="M26" s="673">
        <v>0</v>
      </c>
      <c r="N26" s="673">
        <v>0</v>
      </c>
      <c r="O26" s="673">
        <f t="shared" si="0"/>
        <v>175.28</v>
      </c>
      <c r="P26" s="660">
        <v>2.4305404456922268</v>
      </c>
    </row>
    <row r="27" spans="1:17" x14ac:dyDescent="0.3">
      <c r="A27">
        <v>6666029700</v>
      </c>
      <c r="B27" s="665" t="s">
        <v>247</v>
      </c>
      <c r="C27" s="673">
        <v>0</v>
      </c>
      <c r="D27" s="673"/>
      <c r="E27" s="667"/>
      <c r="F27" s="673">
        <v>0</v>
      </c>
      <c r="G27" s="673">
        <v>0</v>
      </c>
      <c r="H27" s="673">
        <v>0</v>
      </c>
      <c r="I27" s="673">
        <v>0</v>
      </c>
      <c r="J27" s="673">
        <v>0</v>
      </c>
      <c r="K27" s="673">
        <v>0</v>
      </c>
      <c r="L27" s="673">
        <v>0</v>
      </c>
      <c r="M27" s="673">
        <v>0</v>
      </c>
      <c r="N27" s="673">
        <v>0</v>
      </c>
      <c r="O27" s="673">
        <f t="shared" si="0"/>
        <v>0</v>
      </c>
      <c r="P27" s="660">
        <v>0</v>
      </c>
    </row>
    <row r="28" spans="1:17" ht="15" x14ac:dyDescent="0.3">
      <c r="A28">
        <v>6666010322</v>
      </c>
      <c r="B28" s="665" t="s">
        <v>248</v>
      </c>
      <c r="C28" s="666">
        <v>2947.74</v>
      </c>
      <c r="D28" s="667">
        <v>444.48</v>
      </c>
      <c r="E28" s="667">
        <v>2008.45</v>
      </c>
      <c r="F28" s="666">
        <v>-3161.76</v>
      </c>
      <c r="G28" s="667">
        <v>-592.48</v>
      </c>
      <c r="H28" s="667">
        <v>-1.22</v>
      </c>
      <c r="I28" s="667">
        <v>1852.3945285856287</v>
      </c>
      <c r="J28" s="667">
        <v>1837.6929847079648</v>
      </c>
      <c r="K28" s="667">
        <v>1823.1081197499652</v>
      </c>
      <c r="L28" s="667">
        <v>1791.7524518427174</v>
      </c>
      <c r="M28" s="667">
        <v>1760.9360706070931</v>
      </c>
      <c r="N28" s="667">
        <v>1730.6497008423519</v>
      </c>
      <c r="O28" s="669">
        <f t="shared" si="0"/>
        <v>12441.743856335721</v>
      </c>
      <c r="P28" s="660">
        <v>-0.47929812247764403</v>
      </c>
    </row>
    <row r="29" spans="1:17" ht="15" x14ac:dyDescent="0.3">
      <c r="A29">
        <v>6666020495</v>
      </c>
      <c r="B29" s="665" t="s">
        <v>249</v>
      </c>
      <c r="C29" s="666">
        <v>326.32</v>
      </c>
      <c r="D29" s="667">
        <v>708.95</v>
      </c>
      <c r="E29" s="667">
        <v>1397.1</v>
      </c>
      <c r="F29" s="666">
        <v>426.29</v>
      </c>
      <c r="G29" s="667">
        <v>1734.47</v>
      </c>
      <c r="H29" s="667">
        <v>1250.02</v>
      </c>
      <c r="I29" s="667">
        <v>0</v>
      </c>
      <c r="J29" s="667">
        <v>0</v>
      </c>
      <c r="K29" s="667">
        <v>0</v>
      </c>
      <c r="L29" s="667">
        <v>0</v>
      </c>
      <c r="M29" s="667">
        <v>0</v>
      </c>
      <c r="N29" s="667">
        <v>0</v>
      </c>
      <c r="O29" s="669">
        <f t="shared" si="0"/>
        <v>5843.15</v>
      </c>
      <c r="P29" s="660">
        <v>38.427569749078806</v>
      </c>
    </row>
    <row r="30" spans="1:17" ht="15" x14ac:dyDescent="0.3">
      <c r="A30">
        <v>5102010151</v>
      </c>
      <c r="B30" s="665" t="s">
        <v>250</v>
      </c>
      <c r="C30" s="666">
        <v>0</v>
      </c>
      <c r="D30" s="667">
        <v>-99.62</v>
      </c>
      <c r="E30" s="673"/>
      <c r="F30" s="673">
        <v>0</v>
      </c>
      <c r="G30" s="673">
        <v>0</v>
      </c>
      <c r="H30" s="673">
        <v>0</v>
      </c>
      <c r="I30" s="673">
        <v>0</v>
      </c>
      <c r="J30" s="673">
        <v>0</v>
      </c>
      <c r="K30" s="673">
        <v>0</v>
      </c>
      <c r="L30" s="673">
        <v>0</v>
      </c>
      <c r="M30" s="673">
        <v>0</v>
      </c>
      <c r="N30" s="673">
        <v>0</v>
      </c>
      <c r="O30" s="673">
        <f t="shared" si="0"/>
        <v>-99.62</v>
      </c>
      <c r="P30" s="660">
        <v>1736.6116915248299</v>
      </c>
    </row>
    <row r="31" spans="1:17" ht="15" x14ac:dyDescent="0.3">
      <c r="A31">
        <v>5001010200</v>
      </c>
      <c r="B31" s="665" t="s">
        <v>251</v>
      </c>
      <c r="C31" s="666">
        <v>0</v>
      </c>
      <c r="D31" s="667">
        <v>1.9</v>
      </c>
      <c r="E31" s="667">
        <v>-2763.47</v>
      </c>
      <c r="F31" s="673">
        <v>0</v>
      </c>
      <c r="G31" s="667">
        <v>0</v>
      </c>
      <c r="H31" s="667">
        <v>0</v>
      </c>
      <c r="I31" s="667">
        <v>0</v>
      </c>
      <c r="J31" s="667">
        <v>0</v>
      </c>
      <c r="K31" s="667">
        <v>0</v>
      </c>
      <c r="L31" s="667">
        <v>0</v>
      </c>
      <c r="M31" s="667">
        <v>0</v>
      </c>
      <c r="N31" s="667">
        <v>0</v>
      </c>
      <c r="O31" s="673">
        <f t="shared" si="0"/>
        <v>-2761.5699999999997</v>
      </c>
      <c r="P31" s="660">
        <v>0</v>
      </c>
    </row>
    <row r="32" spans="1:17" ht="15" x14ac:dyDescent="0.3">
      <c r="A32">
        <v>5001010201</v>
      </c>
      <c r="B32" s="665" t="s">
        <v>252</v>
      </c>
      <c r="C32" s="666">
        <v>0</v>
      </c>
      <c r="D32" s="673"/>
      <c r="E32" s="667"/>
      <c r="F32" s="673">
        <v>0</v>
      </c>
      <c r="G32" s="667">
        <v>0</v>
      </c>
      <c r="H32" s="667">
        <v>0</v>
      </c>
      <c r="I32" s="667">
        <v>0</v>
      </c>
      <c r="J32" s="667">
        <v>0</v>
      </c>
      <c r="K32" s="667">
        <v>0</v>
      </c>
      <c r="L32" s="667">
        <v>0</v>
      </c>
      <c r="M32" s="667">
        <v>0</v>
      </c>
      <c r="N32" s="667">
        <v>0</v>
      </c>
      <c r="O32" s="673">
        <f t="shared" si="0"/>
        <v>0</v>
      </c>
      <c r="P32" s="660">
        <v>0</v>
      </c>
    </row>
    <row r="33" spans="1:16" ht="15" x14ac:dyDescent="0.3">
      <c r="A33">
        <v>5001010204</v>
      </c>
      <c r="B33" s="674" t="s">
        <v>639</v>
      </c>
      <c r="C33" s="666"/>
      <c r="D33" s="667"/>
      <c r="E33" s="667">
        <v>516.22</v>
      </c>
      <c r="F33" s="673">
        <v>0</v>
      </c>
      <c r="G33" s="667">
        <v>0</v>
      </c>
      <c r="H33" s="667">
        <v>0</v>
      </c>
      <c r="I33" s="667">
        <v>0</v>
      </c>
      <c r="J33" s="667">
        <v>0</v>
      </c>
      <c r="K33" s="667">
        <v>0</v>
      </c>
      <c r="L33" s="667">
        <v>0</v>
      </c>
      <c r="M33" s="667">
        <v>0</v>
      </c>
      <c r="N33" s="667">
        <v>0</v>
      </c>
      <c r="O33" s="673">
        <f t="shared" si="0"/>
        <v>516.22</v>
      </c>
      <c r="P33" s="660">
        <v>0</v>
      </c>
    </row>
    <row r="34" spans="1:16" ht="15" x14ac:dyDescent="0.3">
      <c r="A34">
        <v>5405030000</v>
      </c>
      <c r="B34" s="665" t="s">
        <v>258</v>
      </c>
      <c r="C34" s="666">
        <v>0</v>
      </c>
      <c r="D34" s="666"/>
      <c r="E34" s="666"/>
      <c r="F34" s="666">
        <v>0</v>
      </c>
      <c r="G34" s="667">
        <v>0</v>
      </c>
      <c r="H34" s="667">
        <v>0</v>
      </c>
      <c r="I34" s="667">
        <v>0</v>
      </c>
      <c r="J34" s="667">
        <v>0</v>
      </c>
      <c r="K34" s="667">
        <v>0</v>
      </c>
      <c r="L34" s="667">
        <v>0</v>
      </c>
      <c r="M34" s="667">
        <v>0</v>
      </c>
      <c r="N34" s="667">
        <v>0</v>
      </c>
      <c r="O34" s="669">
        <f t="shared" si="0"/>
        <v>0</v>
      </c>
      <c r="P34" s="660">
        <v>180.40515879978955</v>
      </c>
    </row>
    <row r="35" spans="1:16" ht="15" x14ac:dyDescent="0.3">
      <c r="A35">
        <v>5601050000</v>
      </c>
      <c r="B35" s="665" t="s">
        <v>259</v>
      </c>
      <c r="C35" s="666">
        <v>0</v>
      </c>
      <c r="D35" s="673"/>
      <c r="E35" s="673"/>
      <c r="F35" s="673">
        <v>0</v>
      </c>
      <c r="G35" s="673">
        <v>0</v>
      </c>
      <c r="H35" s="667">
        <v>0</v>
      </c>
      <c r="I35" s="667">
        <v>0</v>
      </c>
      <c r="J35" s="667">
        <v>0</v>
      </c>
      <c r="K35" s="667">
        <v>0</v>
      </c>
      <c r="L35" s="667">
        <v>0</v>
      </c>
      <c r="M35" s="667">
        <v>0</v>
      </c>
      <c r="N35" s="667">
        <v>0</v>
      </c>
      <c r="O35" s="673">
        <f t="shared" si="0"/>
        <v>0</v>
      </c>
      <c r="P35" s="660">
        <v>0</v>
      </c>
    </row>
    <row r="36" spans="1:16" x14ac:dyDescent="0.3">
      <c r="A36">
        <v>5102040893</v>
      </c>
      <c r="B36" s="665" t="s">
        <v>253</v>
      </c>
      <c r="C36" s="669">
        <v>0</v>
      </c>
      <c r="D36" s="669"/>
      <c r="E36" s="669"/>
      <c r="F36" s="669">
        <v>0</v>
      </c>
      <c r="G36" s="669">
        <v>0</v>
      </c>
      <c r="H36" s="667">
        <v>0</v>
      </c>
      <c r="I36" s="667">
        <v>0</v>
      </c>
      <c r="J36" s="667">
        <v>0</v>
      </c>
      <c r="K36" s="667">
        <v>0</v>
      </c>
      <c r="L36" s="667">
        <v>0</v>
      </c>
      <c r="M36" s="667">
        <v>0</v>
      </c>
      <c r="N36" s="667">
        <v>0</v>
      </c>
      <c r="O36" s="669">
        <f t="shared" si="0"/>
        <v>0</v>
      </c>
      <c r="P36" s="660">
        <v>0</v>
      </c>
    </row>
    <row r="37" spans="1:16" x14ac:dyDescent="0.3">
      <c r="A37">
        <v>5207000012</v>
      </c>
      <c r="B37" s="665" t="s">
        <v>254</v>
      </c>
      <c r="C37" s="673">
        <v>0</v>
      </c>
      <c r="D37" s="673"/>
      <c r="E37" s="673"/>
      <c r="F37" s="673">
        <v>0</v>
      </c>
      <c r="G37" s="673">
        <v>0</v>
      </c>
      <c r="H37" s="673">
        <v>0</v>
      </c>
      <c r="I37" s="673">
        <v>0</v>
      </c>
      <c r="J37" s="673">
        <v>0</v>
      </c>
      <c r="K37" s="673">
        <v>0</v>
      </c>
      <c r="L37" s="673">
        <v>0</v>
      </c>
      <c r="M37" s="673">
        <v>0</v>
      </c>
      <c r="N37" s="673">
        <v>0</v>
      </c>
      <c r="O37" s="673">
        <f t="shared" si="0"/>
        <v>0</v>
      </c>
      <c r="P37" s="660">
        <v>0</v>
      </c>
    </row>
    <row r="38" spans="1:16" x14ac:dyDescent="0.3">
      <c r="A38">
        <v>5301999999</v>
      </c>
      <c r="B38" s="665" t="s">
        <v>257</v>
      </c>
      <c r="C38" s="673">
        <v>0</v>
      </c>
      <c r="D38" s="667">
        <v>-5.45</v>
      </c>
      <c r="E38" s="667">
        <v>-99.66</v>
      </c>
      <c r="F38" s="673">
        <v>-816.33</v>
      </c>
      <c r="G38" s="673">
        <v>-768.7</v>
      </c>
      <c r="H38" s="673">
        <v>-535.64</v>
      </c>
      <c r="I38" s="673">
        <v>0</v>
      </c>
      <c r="J38" s="673">
        <v>0</v>
      </c>
      <c r="K38" s="673">
        <v>0</v>
      </c>
      <c r="L38" s="673">
        <v>0</v>
      </c>
      <c r="M38" s="673">
        <v>0</v>
      </c>
      <c r="N38" s="673">
        <v>0</v>
      </c>
      <c r="O38" s="673">
        <f t="shared" si="0"/>
        <v>-2225.7800000000002</v>
      </c>
      <c r="P38" s="660">
        <v>-18.531135286892439</v>
      </c>
    </row>
    <row r="39" spans="1:16" x14ac:dyDescent="0.3">
      <c r="A39">
        <v>5601050100</v>
      </c>
      <c r="B39" s="665" t="s">
        <v>260</v>
      </c>
      <c r="C39" s="673">
        <v>0</v>
      </c>
      <c r="D39" s="673"/>
      <c r="E39" s="667"/>
      <c r="F39" s="673">
        <v>256</v>
      </c>
      <c r="G39" s="673">
        <v>528.4</v>
      </c>
      <c r="H39" s="673">
        <v>0</v>
      </c>
      <c r="I39" s="673">
        <v>0</v>
      </c>
      <c r="J39" s="673">
        <v>0</v>
      </c>
      <c r="K39" s="673">
        <v>0</v>
      </c>
      <c r="L39" s="673">
        <v>0</v>
      </c>
      <c r="M39" s="673">
        <v>0</v>
      </c>
      <c r="N39" s="673">
        <v>0</v>
      </c>
      <c r="O39" s="673">
        <f t="shared" si="0"/>
        <v>784.4</v>
      </c>
      <c r="P39" s="660">
        <v>0</v>
      </c>
    </row>
    <row r="40" spans="1:16" ht="15" x14ac:dyDescent="0.3">
      <c r="A40">
        <v>6666020101</v>
      </c>
      <c r="B40" s="665" t="s">
        <v>261</v>
      </c>
      <c r="C40" s="669">
        <v>9411.0400000000009</v>
      </c>
      <c r="D40" s="667">
        <v>9235.56</v>
      </c>
      <c r="E40" s="667">
        <v>9084.4699999999993</v>
      </c>
      <c r="F40" s="666">
        <v>-26637.8</v>
      </c>
      <c r="G40" s="667">
        <v>2321.29</v>
      </c>
      <c r="H40" s="667">
        <v>2.06</v>
      </c>
      <c r="I40" s="667">
        <v>0</v>
      </c>
      <c r="J40" s="667">
        <v>0</v>
      </c>
      <c r="K40" s="667">
        <v>0</v>
      </c>
      <c r="L40" s="667">
        <v>7831</v>
      </c>
      <c r="M40" s="667">
        <v>7831</v>
      </c>
      <c r="N40" s="667">
        <v>7831</v>
      </c>
      <c r="O40" s="669">
        <f t="shared" si="0"/>
        <v>26909.620000000003</v>
      </c>
      <c r="P40" s="660">
        <v>1.02</v>
      </c>
    </row>
    <row r="41" spans="1:16" ht="15" x14ac:dyDescent="0.3">
      <c r="A41">
        <v>6666020201</v>
      </c>
      <c r="B41" s="665" t="s">
        <v>262</v>
      </c>
      <c r="C41" s="666">
        <v>0</v>
      </c>
      <c r="D41" s="666"/>
      <c r="E41" s="669"/>
      <c r="F41" s="669">
        <v>163.69999999999999</v>
      </c>
      <c r="G41" s="669">
        <v>372.06</v>
      </c>
      <c r="H41" s="667">
        <v>31.42</v>
      </c>
      <c r="I41" s="667">
        <v>2335.4569660082398</v>
      </c>
      <c r="J41" s="667">
        <v>2316.9215932621423</v>
      </c>
      <c r="K41" s="667">
        <v>2298.5333266489511</v>
      </c>
      <c r="L41" s="667">
        <v>2259.0008124314013</v>
      </c>
      <c r="M41" s="667">
        <v>2220.1482186057992</v>
      </c>
      <c r="N41" s="667">
        <v>2181.9638512096308</v>
      </c>
      <c r="O41" s="669">
        <f t="shared" si="0"/>
        <v>14179.204768166164</v>
      </c>
      <c r="P41" s="660">
        <v>0</v>
      </c>
    </row>
    <row r="42" spans="1:16" ht="15" x14ac:dyDescent="0.3">
      <c r="A42">
        <v>6666020202</v>
      </c>
      <c r="B42" s="665" t="s">
        <v>263</v>
      </c>
      <c r="C42" s="666">
        <v>0</v>
      </c>
      <c r="D42" s="666"/>
      <c r="E42" s="669"/>
      <c r="F42" s="669">
        <v>528.58000000000004</v>
      </c>
      <c r="G42" s="667">
        <v>34.39</v>
      </c>
      <c r="H42" s="669">
        <v>253.68</v>
      </c>
      <c r="I42" s="669">
        <v>0</v>
      </c>
      <c r="J42" s="669">
        <v>0</v>
      </c>
      <c r="K42" s="669">
        <v>0</v>
      </c>
      <c r="L42" s="669">
        <v>0</v>
      </c>
      <c r="M42" s="669">
        <v>0</v>
      </c>
      <c r="N42" s="669">
        <v>0</v>
      </c>
      <c r="O42" s="669">
        <f t="shared" si="0"/>
        <v>816.65000000000009</v>
      </c>
      <c r="P42" s="660">
        <v>0</v>
      </c>
    </row>
    <row r="43" spans="1:16" ht="15" x14ac:dyDescent="0.3">
      <c r="A43">
        <v>6666020204</v>
      </c>
      <c r="B43" s="665" t="s">
        <v>264</v>
      </c>
      <c r="C43" s="666">
        <v>5112.22</v>
      </c>
      <c r="D43" s="667">
        <v>5016.88</v>
      </c>
      <c r="E43" s="667">
        <v>7220.67</v>
      </c>
      <c r="F43" s="666">
        <v>-6493.9</v>
      </c>
      <c r="G43" s="667">
        <v>1821.08</v>
      </c>
      <c r="H43" s="667">
        <v>5047.83</v>
      </c>
      <c r="I43" s="667">
        <v>0</v>
      </c>
      <c r="J43" s="667">
        <v>0</v>
      </c>
      <c r="K43" s="667">
        <v>0</v>
      </c>
      <c r="L43" s="667">
        <v>0</v>
      </c>
      <c r="M43" s="667">
        <v>0</v>
      </c>
      <c r="N43" s="667">
        <v>0</v>
      </c>
      <c r="O43" s="669">
        <f t="shared" si="0"/>
        <v>17724.78</v>
      </c>
      <c r="P43" s="660">
        <v>158.15572205650122</v>
      </c>
    </row>
    <row r="44" spans="1:16" x14ac:dyDescent="0.3">
      <c r="A44">
        <v>6666020205</v>
      </c>
      <c r="B44" s="665" t="s">
        <v>265</v>
      </c>
      <c r="C44" s="673">
        <v>0</v>
      </c>
      <c r="D44" s="667"/>
      <c r="E44" s="667"/>
      <c r="F44" s="673">
        <v>0</v>
      </c>
      <c r="G44" s="673">
        <v>0</v>
      </c>
      <c r="H44" s="673">
        <v>0</v>
      </c>
      <c r="I44" s="673">
        <v>0</v>
      </c>
      <c r="J44" s="673">
        <v>0</v>
      </c>
      <c r="K44" s="673">
        <v>0</v>
      </c>
      <c r="L44" s="673">
        <v>0</v>
      </c>
      <c r="M44" s="673">
        <v>0</v>
      </c>
      <c r="N44" s="673">
        <v>0</v>
      </c>
      <c r="O44" s="673">
        <f t="shared" si="0"/>
        <v>0</v>
      </c>
      <c r="P44" s="660">
        <v>0</v>
      </c>
    </row>
    <row r="45" spans="1:16" ht="15" x14ac:dyDescent="0.3">
      <c r="A45">
        <v>6666020301</v>
      </c>
      <c r="B45" s="665" t="s">
        <v>266</v>
      </c>
      <c r="C45" s="669">
        <v>512.66</v>
      </c>
      <c r="D45" s="667">
        <v>92.77</v>
      </c>
      <c r="E45" s="667">
        <v>690.42</v>
      </c>
      <c r="F45" s="666">
        <v>645.01</v>
      </c>
      <c r="G45" s="667">
        <v>356.89</v>
      </c>
      <c r="H45" s="667">
        <v>134.87</v>
      </c>
      <c r="I45" s="667">
        <v>346.1774054471511</v>
      </c>
      <c r="J45" s="667">
        <v>343.42996572138003</v>
      </c>
      <c r="K45" s="667">
        <v>340.70433107279769</v>
      </c>
      <c r="L45" s="667">
        <v>334.84455142289693</v>
      </c>
      <c r="M45" s="667">
        <v>329.08555422397728</v>
      </c>
      <c r="N45" s="667">
        <v>323.42560611693102</v>
      </c>
      <c r="O45" s="669">
        <f t="shared" si="0"/>
        <v>4450.2874140051335</v>
      </c>
      <c r="P45" s="660">
        <v>5.6297087208281695</v>
      </c>
    </row>
    <row r="46" spans="1:16" x14ac:dyDescent="0.3">
      <c r="A46">
        <v>6666020302</v>
      </c>
      <c r="B46" s="665" t="s">
        <v>268</v>
      </c>
      <c r="C46" s="673">
        <v>0</v>
      </c>
      <c r="D46" s="673"/>
      <c r="E46" s="673"/>
      <c r="F46" s="673">
        <v>0</v>
      </c>
      <c r="G46" s="673">
        <v>0</v>
      </c>
      <c r="H46" s="673">
        <v>0</v>
      </c>
      <c r="I46" s="673">
        <v>39.479028743607714</v>
      </c>
      <c r="J46" s="673">
        <v>39.165703118658442</v>
      </c>
      <c r="K46" s="673">
        <v>38.854864205018295</v>
      </c>
      <c r="L46" s="673">
        <v>38.186598727290708</v>
      </c>
      <c r="M46" s="673">
        <v>37.52982675900806</v>
      </c>
      <c r="N46" s="673">
        <v>36.884350623103742</v>
      </c>
      <c r="O46" s="673">
        <f t="shared" si="0"/>
        <v>230.10037217668696</v>
      </c>
      <c r="P46" s="660">
        <v>0</v>
      </c>
    </row>
    <row r="47" spans="1:16" x14ac:dyDescent="0.3">
      <c r="A47">
        <v>6666020403</v>
      </c>
      <c r="B47" s="674" t="s">
        <v>269</v>
      </c>
      <c r="C47" s="673">
        <v>0</v>
      </c>
      <c r="D47" s="673"/>
      <c r="E47" s="673"/>
      <c r="F47" s="673">
        <v>0</v>
      </c>
      <c r="G47" s="673">
        <v>0</v>
      </c>
      <c r="H47" s="667">
        <v>0</v>
      </c>
      <c r="I47" s="667">
        <v>0</v>
      </c>
      <c r="J47" s="667">
        <v>0</v>
      </c>
      <c r="K47" s="667">
        <v>0</v>
      </c>
      <c r="L47" s="667">
        <v>0</v>
      </c>
      <c r="M47" s="667">
        <v>0</v>
      </c>
      <c r="N47" s="667">
        <v>0</v>
      </c>
      <c r="O47" s="669">
        <f t="shared" si="0"/>
        <v>0</v>
      </c>
      <c r="P47" s="660">
        <v>0</v>
      </c>
    </row>
    <row r="48" spans="1:16" x14ac:dyDescent="0.3">
      <c r="A48">
        <v>6666020405</v>
      </c>
      <c r="B48" s="665" t="s">
        <v>270</v>
      </c>
      <c r="C48" s="673">
        <v>0</v>
      </c>
      <c r="D48" s="673"/>
      <c r="E48" s="673"/>
      <c r="F48" s="673">
        <v>0</v>
      </c>
      <c r="G48" s="673">
        <v>0</v>
      </c>
      <c r="H48" s="673">
        <v>0</v>
      </c>
      <c r="I48" s="673">
        <v>0</v>
      </c>
      <c r="J48" s="673">
        <v>0</v>
      </c>
      <c r="K48" s="673">
        <v>0</v>
      </c>
      <c r="L48" s="673">
        <v>0</v>
      </c>
      <c r="M48" s="673">
        <v>0</v>
      </c>
      <c r="N48" s="673">
        <v>0</v>
      </c>
      <c r="O48" s="673">
        <f t="shared" si="0"/>
        <v>0</v>
      </c>
      <c r="P48" s="660">
        <v>0</v>
      </c>
    </row>
    <row r="49" spans="1:16" x14ac:dyDescent="0.3">
      <c r="A49">
        <v>6666020504</v>
      </c>
      <c r="B49" s="665" t="s">
        <v>271</v>
      </c>
      <c r="C49" s="673">
        <v>0</v>
      </c>
      <c r="D49" s="673"/>
      <c r="E49" s="673"/>
      <c r="F49" s="673">
        <v>0</v>
      </c>
      <c r="G49" s="667">
        <v>0</v>
      </c>
      <c r="H49" s="673">
        <v>0</v>
      </c>
      <c r="I49" s="673">
        <v>49.010478306147881</v>
      </c>
      <c r="J49" s="673">
        <v>48.621506256099089</v>
      </c>
      <c r="K49" s="673">
        <v>48.235621285812584</v>
      </c>
      <c r="L49" s="673">
        <v>47.406016005712608</v>
      </c>
      <c r="M49" s="673">
        <v>46.590679121093473</v>
      </c>
      <c r="N49" s="673">
        <v>45.789365229575893</v>
      </c>
      <c r="O49" s="673">
        <f t="shared" si="0"/>
        <v>285.65366620444155</v>
      </c>
      <c r="P49" s="660">
        <v>0</v>
      </c>
    </row>
    <row r="50" spans="1:16" x14ac:dyDescent="0.3">
      <c r="A50">
        <v>6666020508</v>
      </c>
      <c r="B50" s="665" t="s">
        <v>272</v>
      </c>
      <c r="C50" s="673">
        <v>0</v>
      </c>
      <c r="D50" s="673"/>
      <c r="E50" s="673"/>
      <c r="F50" s="673">
        <v>32.22</v>
      </c>
      <c r="G50" s="673">
        <v>124.4</v>
      </c>
      <c r="H50" s="673">
        <v>91.3</v>
      </c>
      <c r="I50" s="673">
        <v>401.40934963228557</v>
      </c>
      <c r="J50" s="673">
        <v>398.22356114314039</v>
      </c>
      <c r="K50" s="673">
        <v>395.06305668962341</v>
      </c>
      <c r="L50" s="673">
        <v>388.26836038292225</v>
      </c>
      <c r="M50" s="673">
        <v>381.59052617486213</v>
      </c>
      <c r="N50" s="673">
        <v>375.02754415219863</v>
      </c>
      <c r="O50" s="673">
        <f t="shared" si="0"/>
        <v>2587.5023981750323</v>
      </c>
      <c r="P50" s="660">
        <v>3.4097824179680702</v>
      </c>
    </row>
    <row r="51" spans="1:16" ht="15" x14ac:dyDescent="0.3">
      <c r="A51">
        <v>6666020602</v>
      </c>
      <c r="B51" s="665" t="s">
        <v>273</v>
      </c>
      <c r="C51" s="669">
        <v>416.13</v>
      </c>
      <c r="D51" s="667">
        <v>1088.8599999999999</v>
      </c>
      <c r="E51" s="667">
        <v>-743.46</v>
      </c>
      <c r="F51" s="666">
        <v>0</v>
      </c>
      <c r="G51" s="669">
        <v>2.5</v>
      </c>
      <c r="H51" s="667">
        <v>16925.439999999999</v>
      </c>
      <c r="I51" s="667">
        <v>1828.4825813224265</v>
      </c>
      <c r="J51" s="667">
        <v>1813.9708148039947</v>
      </c>
      <c r="K51" s="667">
        <v>1799.5742210357091</v>
      </c>
      <c r="L51" s="667">
        <v>1768.6233130572077</v>
      </c>
      <c r="M51" s="667">
        <v>1738.2047302773537</v>
      </c>
      <c r="N51" s="667">
        <v>1708.3093172259005</v>
      </c>
      <c r="O51" s="669">
        <f t="shared" si="0"/>
        <v>28346.634977722588</v>
      </c>
      <c r="P51" s="660">
        <v>619.2386874890334</v>
      </c>
    </row>
    <row r="52" spans="1:16" x14ac:dyDescent="0.3">
      <c r="A52">
        <v>6666020701</v>
      </c>
      <c r="B52" s="665" t="s">
        <v>274</v>
      </c>
      <c r="C52" s="673">
        <v>0</v>
      </c>
      <c r="D52" s="667"/>
      <c r="E52" s="667"/>
      <c r="F52" s="673">
        <v>0</v>
      </c>
      <c r="G52" s="673">
        <v>0</v>
      </c>
      <c r="H52" s="673">
        <v>0</v>
      </c>
      <c r="I52" s="673">
        <v>0</v>
      </c>
      <c r="J52" s="673">
        <v>0</v>
      </c>
      <c r="K52" s="673">
        <v>0</v>
      </c>
      <c r="L52" s="673">
        <v>0</v>
      </c>
      <c r="M52" s="673">
        <v>0</v>
      </c>
      <c r="N52" s="673">
        <v>0</v>
      </c>
      <c r="O52" s="673">
        <f t="shared" si="0"/>
        <v>0</v>
      </c>
      <c r="P52" s="660">
        <v>0</v>
      </c>
    </row>
    <row r="53" spans="1:16" x14ac:dyDescent="0.3">
      <c r="A53">
        <v>6666020801</v>
      </c>
      <c r="B53" s="665" t="s">
        <v>338</v>
      </c>
      <c r="C53" s="673">
        <v>1262.02</v>
      </c>
      <c r="D53" s="667">
        <v>1568.87</v>
      </c>
      <c r="E53" s="667">
        <v>950.01</v>
      </c>
      <c r="F53" s="673">
        <v>-2553.62</v>
      </c>
      <c r="G53" s="673">
        <v>297.48</v>
      </c>
      <c r="H53" s="673">
        <v>5182.32</v>
      </c>
      <c r="I53" s="673">
        <v>1174.9814549482448</v>
      </c>
      <c r="J53" s="673">
        <v>1165.6562053057985</v>
      </c>
      <c r="K53" s="673">
        <v>1156.4049655811493</v>
      </c>
      <c r="L53" s="673">
        <v>1136.51593668909</v>
      </c>
      <c r="M53" s="673">
        <v>1116.9689795470172</v>
      </c>
      <c r="N53" s="673">
        <v>1097.7582108570193</v>
      </c>
      <c r="O53" s="673">
        <f t="shared" si="0"/>
        <v>13555.365752928317</v>
      </c>
      <c r="P53" s="660">
        <v>0</v>
      </c>
    </row>
    <row r="54" spans="1:16" ht="15" x14ac:dyDescent="0.3">
      <c r="A54">
        <v>6666020802</v>
      </c>
      <c r="B54" s="665" t="s">
        <v>275</v>
      </c>
      <c r="C54" s="666">
        <v>21465</v>
      </c>
      <c r="D54" s="667">
        <v>21516</v>
      </c>
      <c r="E54" s="667">
        <v>22614.66</v>
      </c>
      <c r="F54" s="666">
        <v>24821.42</v>
      </c>
      <c r="G54" s="667">
        <v>29643.84</v>
      </c>
      <c r="H54" s="667">
        <v>25839.64</v>
      </c>
      <c r="I54" s="667">
        <v>12783</v>
      </c>
      <c r="J54" s="667">
        <v>12783</v>
      </c>
      <c r="K54" s="667">
        <v>12783</v>
      </c>
      <c r="L54" s="667">
        <v>12782.999999999998</v>
      </c>
      <c r="M54" s="667">
        <v>12783</v>
      </c>
      <c r="N54" s="667">
        <v>14282.999999999998</v>
      </c>
      <c r="O54" s="669">
        <f t="shared" si="0"/>
        <v>224098.56</v>
      </c>
      <c r="P54" s="660">
        <v>38.050742235479888</v>
      </c>
    </row>
    <row r="55" spans="1:16" ht="15" x14ac:dyDescent="0.3">
      <c r="A55">
        <v>6666020803</v>
      </c>
      <c r="B55" s="665" t="s">
        <v>276</v>
      </c>
      <c r="C55" s="666">
        <v>7302.53</v>
      </c>
      <c r="D55" s="667">
        <v>5078.95</v>
      </c>
      <c r="E55" s="667">
        <v>4318.41</v>
      </c>
      <c r="F55" s="666">
        <v>5992.61</v>
      </c>
      <c r="G55" s="667">
        <v>4625.8500000000004</v>
      </c>
      <c r="H55" s="667">
        <v>4576.57</v>
      </c>
      <c r="I55" s="667">
        <v>3565.6248338849427</v>
      </c>
      <c r="J55" s="667">
        <v>3537.3262240922049</v>
      </c>
      <c r="K55" s="667">
        <v>3509.2522064406799</v>
      </c>
      <c r="L55" s="667">
        <v>3448.8965173864171</v>
      </c>
      <c r="M55" s="667">
        <v>3389.5788868662571</v>
      </c>
      <c r="N55" s="667">
        <v>3331.2814612936186</v>
      </c>
      <c r="O55" s="669">
        <f t="shared" si="0"/>
        <v>52676.88012996412</v>
      </c>
      <c r="P55" s="660">
        <v>-2.7066678364625378</v>
      </c>
    </row>
    <row r="56" spans="1:16" ht="15" x14ac:dyDescent="0.3">
      <c r="A56">
        <v>6666021100</v>
      </c>
      <c r="B56" s="665" t="s">
        <v>277</v>
      </c>
      <c r="C56" s="666">
        <v>14566.48</v>
      </c>
      <c r="D56" s="667">
        <v>11676.37</v>
      </c>
      <c r="E56" s="667">
        <v>11502.03</v>
      </c>
      <c r="F56" s="666">
        <v>-9084.3799999999992</v>
      </c>
      <c r="G56" s="667">
        <v>14645.88</v>
      </c>
      <c r="H56" s="667">
        <v>14556.75</v>
      </c>
      <c r="I56" s="667">
        <v>5393.7744078204678</v>
      </c>
      <c r="J56" s="667">
        <v>5350.9666744250671</v>
      </c>
      <c r="K56" s="667">
        <v>5308.4986849455036</v>
      </c>
      <c r="L56" s="667">
        <v>5217.1977247621653</v>
      </c>
      <c r="M56" s="667">
        <v>5127.4670513633064</v>
      </c>
      <c r="N56" s="667">
        <v>5039.2796573595151</v>
      </c>
      <c r="O56" s="669">
        <f t="shared" si="0"/>
        <v>89300.314200676017</v>
      </c>
      <c r="P56" s="660">
        <v>256.60824355150044</v>
      </c>
    </row>
    <row r="57" spans="1:16" ht="15" x14ac:dyDescent="0.3">
      <c r="A57">
        <v>6666021104</v>
      </c>
      <c r="B57" s="674" t="s">
        <v>267</v>
      </c>
      <c r="C57" s="666">
        <v>0</v>
      </c>
      <c r="D57" s="667"/>
      <c r="E57" s="667"/>
      <c r="F57" s="666">
        <v>0</v>
      </c>
      <c r="G57" s="667">
        <v>0</v>
      </c>
      <c r="H57" s="667">
        <v>0</v>
      </c>
      <c r="I57" s="667">
        <v>0</v>
      </c>
      <c r="J57" s="667">
        <v>0</v>
      </c>
      <c r="K57" s="667">
        <v>0</v>
      </c>
      <c r="L57" s="667">
        <v>0</v>
      </c>
      <c r="M57" s="667">
        <v>0</v>
      </c>
      <c r="N57" s="667">
        <v>0</v>
      </c>
      <c r="O57" s="669">
        <f t="shared" si="0"/>
        <v>0</v>
      </c>
      <c r="P57" s="660">
        <v>8.2470608878722373E-2</v>
      </c>
    </row>
    <row r="58" spans="1:16" ht="15" x14ac:dyDescent="0.3">
      <c r="A58">
        <v>6666021200</v>
      </c>
      <c r="B58" s="674" t="s">
        <v>358</v>
      </c>
      <c r="C58" s="666">
        <v>0</v>
      </c>
      <c r="D58" s="666"/>
      <c r="E58" s="666"/>
      <c r="F58" s="666">
        <v>0</v>
      </c>
      <c r="G58" s="667">
        <v>0</v>
      </c>
      <c r="H58" s="667">
        <v>0</v>
      </c>
      <c r="I58" s="667">
        <v>0</v>
      </c>
      <c r="J58" s="667">
        <v>0</v>
      </c>
      <c r="K58" s="667">
        <v>0</v>
      </c>
      <c r="L58" s="667">
        <v>0</v>
      </c>
      <c r="M58" s="667">
        <v>0</v>
      </c>
      <c r="N58" s="667">
        <v>0</v>
      </c>
      <c r="O58" s="669">
        <f t="shared" si="0"/>
        <v>0</v>
      </c>
      <c r="P58" s="660">
        <v>0</v>
      </c>
    </row>
    <row r="59" spans="1:16" ht="15" x14ac:dyDescent="0.3">
      <c r="A59">
        <v>6666021902</v>
      </c>
      <c r="B59" s="665" t="s">
        <v>278</v>
      </c>
      <c r="C59" s="666">
        <v>13144.88</v>
      </c>
      <c r="D59" s="667">
        <v>18016.599999999999</v>
      </c>
      <c r="E59" s="667">
        <v>9855.4599999999991</v>
      </c>
      <c r="F59" s="666">
        <v>13915.54</v>
      </c>
      <c r="G59" s="667">
        <v>12248.2</v>
      </c>
      <c r="H59" s="667">
        <v>18699.16</v>
      </c>
      <c r="I59" s="667">
        <v>7463.5806321649416</v>
      </c>
      <c r="J59" s="667">
        <v>7404.3458652429972</v>
      </c>
      <c r="K59" s="667">
        <v>7345.5812155188469</v>
      </c>
      <c r="L59" s="667">
        <v>7219.2444378563596</v>
      </c>
      <c r="M59" s="667">
        <v>7095.0805286057575</v>
      </c>
      <c r="N59" s="667">
        <v>6973.0521165658547</v>
      </c>
      <c r="O59" s="669">
        <f t="shared" si="0"/>
        <v>129380.72479595475</v>
      </c>
      <c r="P59" s="660">
        <v>306.53981751184534</v>
      </c>
    </row>
    <row r="60" spans="1:16" ht="15" x14ac:dyDescent="0.3">
      <c r="A60">
        <v>6666022100</v>
      </c>
      <c r="B60" s="665" t="s">
        <v>279</v>
      </c>
      <c r="C60" s="666">
        <v>2849.2</v>
      </c>
      <c r="D60" s="667">
        <v>2479.44</v>
      </c>
      <c r="E60" s="667">
        <v>2389.56</v>
      </c>
      <c r="F60" s="666">
        <v>2773.76</v>
      </c>
      <c r="G60" s="667">
        <v>3370.58</v>
      </c>
      <c r="H60" s="667">
        <v>2955.78</v>
      </c>
      <c r="I60" s="667">
        <v>1382.2160455083597</v>
      </c>
      <c r="J60" s="667">
        <v>1371.246076893214</v>
      </c>
      <c r="K60" s="667">
        <v>1360.3631715210456</v>
      </c>
      <c r="L60" s="667">
        <v>1336.9662619371454</v>
      </c>
      <c r="M60" s="667">
        <v>1313.9717562035826</v>
      </c>
      <c r="N60" s="667">
        <v>1291.3727333696143</v>
      </c>
      <c r="O60" s="669">
        <f t="shared" si="0"/>
        <v>24874.456045432966</v>
      </c>
      <c r="P60" s="660">
        <v>97.885262326724074</v>
      </c>
    </row>
    <row r="61" spans="1:16" ht="15" x14ac:dyDescent="0.3">
      <c r="A61">
        <v>6666022300</v>
      </c>
      <c r="B61" s="665" t="s">
        <v>280</v>
      </c>
      <c r="C61" s="666">
        <v>0</v>
      </c>
      <c r="D61" s="666"/>
      <c r="E61" s="673"/>
      <c r="F61" s="673">
        <v>0</v>
      </c>
      <c r="G61" s="673">
        <v>0</v>
      </c>
      <c r="H61" s="667">
        <v>0</v>
      </c>
      <c r="I61" s="667">
        <v>0</v>
      </c>
      <c r="J61" s="667">
        <v>0</v>
      </c>
      <c r="K61" s="667">
        <v>0</v>
      </c>
      <c r="L61" s="667">
        <v>0</v>
      </c>
      <c r="M61" s="667">
        <v>0</v>
      </c>
      <c r="N61" s="667">
        <v>0</v>
      </c>
      <c r="O61" s="673">
        <f t="shared" si="0"/>
        <v>0</v>
      </c>
      <c r="P61" s="660">
        <v>0</v>
      </c>
    </row>
    <row r="62" spans="1:16" ht="15" x14ac:dyDescent="0.3">
      <c r="A62">
        <v>6666029900</v>
      </c>
      <c r="B62" s="665" t="s">
        <v>281</v>
      </c>
      <c r="C62" s="666">
        <v>0</v>
      </c>
      <c r="D62" s="667">
        <v>7.78</v>
      </c>
      <c r="E62" s="673"/>
      <c r="F62" s="673">
        <v>-16.7</v>
      </c>
      <c r="G62" s="673">
        <v>0</v>
      </c>
      <c r="H62" s="667">
        <v>0</v>
      </c>
      <c r="I62" s="667">
        <v>0</v>
      </c>
      <c r="J62" s="667">
        <v>0</v>
      </c>
      <c r="K62" s="667">
        <v>0</v>
      </c>
      <c r="L62" s="667">
        <v>0</v>
      </c>
      <c r="M62" s="667">
        <v>0</v>
      </c>
      <c r="N62" s="667">
        <v>0</v>
      </c>
      <c r="O62" s="673">
        <f t="shared" si="0"/>
        <v>-8.9199999999999982</v>
      </c>
      <c r="P62" s="660">
        <v>0</v>
      </c>
    </row>
    <row r="63" spans="1:16" ht="15" x14ac:dyDescent="0.3">
      <c r="A63">
        <v>6666029997</v>
      </c>
      <c r="B63" s="665" t="s">
        <v>282</v>
      </c>
      <c r="C63" s="666">
        <v>7894.03</v>
      </c>
      <c r="D63" s="667">
        <v>-5015.2</v>
      </c>
      <c r="E63" s="669"/>
      <c r="F63" s="669">
        <v>0</v>
      </c>
      <c r="G63" s="669">
        <v>0</v>
      </c>
      <c r="H63" s="669">
        <v>262.68</v>
      </c>
      <c r="I63" s="669">
        <v>558.5753042244794</v>
      </c>
      <c r="J63" s="669">
        <v>554.14216688936449</v>
      </c>
      <c r="K63" s="669">
        <v>549.74421318389341</v>
      </c>
      <c r="L63" s="669">
        <v>540.28915300628341</v>
      </c>
      <c r="M63" s="669">
        <v>530.9967105712858</v>
      </c>
      <c r="N63" s="669">
        <v>2003.5525216827684</v>
      </c>
      <c r="O63" s="669">
        <f t="shared" si="0"/>
        <v>7878.8100695580742</v>
      </c>
      <c r="P63" s="660">
        <v>16.019357782067033</v>
      </c>
    </row>
    <row r="64" spans="1:16" ht="15" x14ac:dyDescent="0.3">
      <c r="A64" s="676">
        <v>6666030300</v>
      </c>
      <c r="B64" s="677" t="s">
        <v>283</v>
      </c>
      <c r="C64" s="678">
        <f>15401*0</f>
        <v>0</v>
      </c>
      <c r="D64" s="679">
        <f>7679.5*0</f>
        <v>0</v>
      </c>
      <c r="E64" s="679">
        <f>3050.6*0</f>
        <v>0</v>
      </c>
      <c r="F64" s="679"/>
      <c r="G64" s="679"/>
      <c r="H64" s="679"/>
      <c r="I64" s="679"/>
      <c r="J64" s="679"/>
      <c r="K64" s="679"/>
      <c r="L64" s="679"/>
      <c r="M64" s="679"/>
      <c r="N64" s="679"/>
      <c r="O64" s="679">
        <f t="shared" si="0"/>
        <v>0</v>
      </c>
      <c r="P64" s="660"/>
    </row>
    <row r="65" spans="1:16" ht="15" x14ac:dyDescent="0.3">
      <c r="A65">
        <v>6666031200</v>
      </c>
      <c r="B65" s="665" t="s">
        <v>285</v>
      </c>
      <c r="C65" s="666">
        <v>0</v>
      </c>
      <c r="D65" s="666"/>
      <c r="E65" s="673"/>
      <c r="F65" s="673">
        <v>0</v>
      </c>
      <c r="G65" s="673">
        <v>0</v>
      </c>
      <c r="H65" s="673">
        <v>0</v>
      </c>
      <c r="I65" s="673"/>
      <c r="J65" s="673"/>
      <c r="K65" s="673"/>
      <c r="L65" s="673"/>
      <c r="M65" s="673"/>
      <c r="N65" s="673"/>
      <c r="O65" s="673">
        <f t="shared" si="0"/>
        <v>0</v>
      </c>
      <c r="P65" s="660">
        <v>0</v>
      </c>
    </row>
    <row r="66" spans="1:16" x14ac:dyDescent="0.3">
      <c r="A66">
        <v>6666040215</v>
      </c>
      <c r="B66" s="665" t="s">
        <v>578</v>
      </c>
      <c r="C66" s="673">
        <v>0</v>
      </c>
      <c r="D66" s="673"/>
      <c r="E66" s="673"/>
      <c r="F66" s="673">
        <v>0</v>
      </c>
      <c r="G66" s="673">
        <v>0</v>
      </c>
      <c r="H66" s="673">
        <v>0</v>
      </c>
      <c r="I66" s="673">
        <v>0</v>
      </c>
      <c r="J66" s="673">
        <v>0</v>
      </c>
      <c r="K66" s="673">
        <v>0</v>
      </c>
      <c r="L66" s="673">
        <v>0</v>
      </c>
      <c r="M66" s="673">
        <v>0</v>
      </c>
      <c r="N66" s="673">
        <v>0</v>
      </c>
      <c r="O66" s="673">
        <f t="shared" si="0"/>
        <v>0</v>
      </c>
      <c r="P66" s="660">
        <v>0</v>
      </c>
    </row>
    <row r="67" spans="1:16" x14ac:dyDescent="0.3">
      <c r="A67">
        <v>6666050107</v>
      </c>
      <c r="B67" s="665" t="s">
        <v>286</v>
      </c>
      <c r="C67" s="669">
        <v>0</v>
      </c>
      <c r="D67" s="669"/>
      <c r="E67" s="669"/>
      <c r="F67" s="669">
        <v>0</v>
      </c>
      <c r="G67" s="667">
        <v>0</v>
      </c>
      <c r="H67" s="669">
        <v>0</v>
      </c>
      <c r="I67" s="669">
        <v>0</v>
      </c>
      <c r="J67" s="669">
        <v>0</v>
      </c>
      <c r="K67" s="669">
        <v>0</v>
      </c>
      <c r="L67" s="669">
        <v>0</v>
      </c>
      <c r="M67" s="669">
        <v>0</v>
      </c>
      <c r="N67" s="669">
        <v>0</v>
      </c>
      <c r="O67" s="673">
        <f t="shared" si="0"/>
        <v>0</v>
      </c>
      <c r="P67" s="660">
        <v>0</v>
      </c>
    </row>
    <row r="68" spans="1:16" x14ac:dyDescent="0.3">
      <c r="A68">
        <v>6666050202</v>
      </c>
      <c r="B68" s="665" t="s">
        <v>359</v>
      </c>
      <c r="C68" s="673">
        <v>0</v>
      </c>
      <c r="D68" s="667">
        <v>40.08</v>
      </c>
      <c r="E68" s="673"/>
      <c r="F68" s="673">
        <v>-3337.81</v>
      </c>
      <c r="G68" s="673">
        <v>-124.11</v>
      </c>
      <c r="H68" s="673">
        <v>-27.77</v>
      </c>
      <c r="I68" s="673">
        <v>0</v>
      </c>
      <c r="J68" s="673">
        <v>0</v>
      </c>
      <c r="K68" s="673">
        <v>0</v>
      </c>
      <c r="L68" s="673">
        <v>0</v>
      </c>
      <c r="M68" s="673">
        <v>0</v>
      </c>
      <c r="N68" s="673">
        <v>0</v>
      </c>
      <c r="O68" s="673">
        <f t="shared" si="0"/>
        <v>-3449.61</v>
      </c>
      <c r="P68" s="660">
        <v>0.5558290928232632</v>
      </c>
    </row>
    <row r="69" spans="1:16" x14ac:dyDescent="0.3">
      <c r="A69" s="676">
        <v>6666050312</v>
      </c>
      <c r="B69" s="677" t="s">
        <v>211</v>
      </c>
      <c r="C69" s="680">
        <v>0</v>
      </c>
      <c r="D69" s="679">
        <f>142.49*0</f>
        <v>0</v>
      </c>
      <c r="E69" s="679"/>
      <c r="F69" s="679">
        <v>0</v>
      </c>
      <c r="G69" s="679"/>
      <c r="H69" s="679"/>
      <c r="I69" s="679">
        <v>0</v>
      </c>
      <c r="J69" s="679">
        <v>0</v>
      </c>
      <c r="K69" s="679">
        <v>0</v>
      </c>
      <c r="L69" s="679">
        <v>0</v>
      </c>
      <c r="M69" s="679">
        <v>0</v>
      </c>
      <c r="N69" s="679">
        <v>0</v>
      </c>
      <c r="O69" s="679">
        <f t="shared" si="0"/>
        <v>0</v>
      </c>
      <c r="P69" s="660"/>
    </row>
    <row r="70" spans="1:16" x14ac:dyDescent="0.3">
      <c r="A70">
        <v>6666070100</v>
      </c>
      <c r="B70" s="665" t="s">
        <v>287</v>
      </c>
      <c r="C70" s="673">
        <v>0</v>
      </c>
      <c r="D70" s="673"/>
      <c r="E70" s="673"/>
      <c r="F70" s="673">
        <v>0</v>
      </c>
      <c r="G70" s="673">
        <v>0</v>
      </c>
      <c r="H70" s="673">
        <v>0</v>
      </c>
      <c r="I70" s="673">
        <v>0</v>
      </c>
      <c r="J70" s="673">
        <v>0</v>
      </c>
      <c r="K70" s="673">
        <v>0</v>
      </c>
      <c r="L70" s="673">
        <v>0</v>
      </c>
      <c r="M70" s="673">
        <v>0</v>
      </c>
      <c r="N70" s="673">
        <v>0</v>
      </c>
      <c r="O70" s="673">
        <f t="shared" si="0"/>
        <v>0</v>
      </c>
      <c r="P70" s="660">
        <v>0</v>
      </c>
    </row>
    <row r="71" spans="1:16" x14ac:dyDescent="0.3">
      <c r="A71">
        <v>6666070300</v>
      </c>
      <c r="B71" s="665" t="s">
        <v>288</v>
      </c>
      <c r="C71" s="673">
        <v>0</v>
      </c>
      <c r="D71" s="673"/>
      <c r="E71" s="673"/>
      <c r="F71" s="673">
        <v>0</v>
      </c>
      <c r="G71" s="673">
        <v>0</v>
      </c>
      <c r="H71" s="673">
        <v>0</v>
      </c>
      <c r="I71" s="673">
        <v>0</v>
      </c>
      <c r="J71" s="673">
        <v>0</v>
      </c>
      <c r="K71" s="673">
        <v>0</v>
      </c>
      <c r="L71" s="673">
        <v>0</v>
      </c>
      <c r="M71" s="673">
        <v>0</v>
      </c>
      <c r="N71" s="673">
        <v>0</v>
      </c>
      <c r="O71" s="673">
        <f t="shared" si="0"/>
        <v>0</v>
      </c>
      <c r="P71" s="660">
        <v>0</v>
      </c>
    </row>
    <row r="72" spans="1:16" ht="15" x14ac:dyDescent="0.3">
      <c r="A72">
        <v>6666070400</v>
      </c>
      <c r="B72" s="665" t="s">
        <v>289</v>
      </c>
      <c r="C72" s="666">
        <v>22385.46</v>
      </c>
      <c r="D72" s="666">
        <v>22789.14</v>
      </c>
      <c r="E72" s="666">
        <v>54566.080000000002</v>
      </c>
      <c r="F72" s="666">
        <v>2548.12</v>
      </c>
      <c r="G72" s="667">
        <v>4878.08</v>
      </c>
      <c r="H72" s="667">
        <v>4837.04</v>
      </c>
      <c r="I72" s="667">
        <v>11964.357459589666</v>
      </c>
      <c r="J72" s="667">
        <v>11869.402241656415</v>
      </c>
      <c r="K72" s="667">
        <v>11775.200636563903</v>
      </c>
      <c r="L72" s="667">
        <v>11572.678758293761</v>
      </c>
      <c r="M72" s="667">
        <v>11373.640057291164</v>
      </c>
      <c r="N72" s="667">
        <v>11178.024626330382</v>
      </c>
      <c r="O72" s="669">
        <f t="shared" si="0"/>
        <v>181737.22377972529</v>
      </c>
      <c r="P72" s="660">
        <v>266.23819617476272</v>
      </c>
    </row>
    <row r="73" spans="1:16" x14ac:dyDescent="0.3">
      <c r="A73">
        <v>6666093800</v>
      </c>
      <c r="B73" s="665" t="s">
        <v>343</v>
      </c>
      <c r="C73" s="673">
        <v>0</v>
      </c>
      <c r="D73" s="673"/>
      <c r="E73" s="673"/>
      <c r="F73" s="673">
        <v>0</v>
      </c>
      <c r="G73" s="673">
        <v>0</v>
      </c>
      <c r="H73" s="673">
        <v>0</v>
      </c>
      <c r="I73" s="673">
        <v>0</v>
      </c>
      <c r="J73" s="673">
        <v>0</v>
      </c>
      <c r="K73" s="673">
        <v>0</v>
      </c>
      <c r="L73" s="673">
        <v>0</v>
      </c>
      <c r="M73" s="673">
        <v>0</v>
      </c>
      <c r="N73" s="673">
        <v>0</v>
      </c>
      <c r="O73" s="669">
        <f t="shared" si="0"/>
        <v>0</v>
      </c>
      <c r="P73" s="660">
        <v>0</v>
      </c>
    </row>
    <row r="74" spans="1:16" x14ac:dyDescent="0.3">
      <c r="A74">
        <v>5207000011</v>
      </c>
      <c r="B74" s="665" t="s">
        <v>290</v>
      </c>
      <c r="C74" s="673">
        <v>0</v>
      </c>
      <c r="D74" s="673"/>
      <c r="E74" s="673"/>
      <c r="F74" s="673">
        <v>-16.25</v>
      </c>
      <c r="G74" s="673">
        <v>0</v>
      </c>
      <c r="H74" s="673">
        <v>0</v>
      </c>
      <c r="I74" s="673">
        <v>1500</v>
      </c>
      <c r="J74" s="673">
        <v>1500</v>
      </c>
      <c r="K74" s="673">
        <v>1500</v>
      </c>
      <c r="L74" s="673">
        <v>1500</v>
      </c>
      <c r="M74" s="673">
        <v>1500</v>
      </c>
      <c r="N74" s="673">
        <v>1500</v>
      </c>
      <c r="O74" s="669">
        <f t="shared" ref="O74:O80" si="7">C74+D74+E74+F74+G74+H74+I74+J74+K74+L74+M74+N74</f>
        <v>8983.75</v>
      </c>
      <c r="P74" s="660">
        <v>0</v>
      </c>
    </row>
    <row r="75" spans="1:16" x14ac:dyDescent="0.3">
      <c r="A75">
        <v>5401050201</v>
      </c>
      <c r="B75" s="674" t="s">
        <v>579</v>
      </c>
      <c r="C75" s="673">
        <v>0</v>
      </c>
      <c r="D75" s="673"/>
      <c r="E75" s="673"/>
      <c r="F75" s="673">
        <v>0</v>
      </c>
      <c r="G75" s="673">
        <v>0</v>
      </c>
      <c r="H75" s="673">
        <v>0</v>
      </c>
      <c r="I75" s="673">
        <v>0</v>
      </c>
      <c r="J75" s="673">
        <v>0</v>
      </c>
      <c r="K75" s="673">
        <v>0</v>
      </c>
      <c r="L75" s="673">
        <v>0</v>
      </c>
      <c r="M75" s="673">
        <v>0</v>
      </c>
      <c r="N75" s="673">
        <v>0</v>
      </c>
      <c r="O75" s="669">
        <f t="shared" si="7"/>
        <v>0</v>
      </c>
      <c r="P75" s="660">
        <v>-0.23267239866645184</v>
      </c>
    </row>
    <row r="76" spans="1:16" x14ac:dyDescent="0.3">
      <c r="A76">
        <v>5401020212</v>
      </c>
      <c r="B76" s="674" t="s">
        <v>580</v>
      </c>
      <c r="C76" s="673">
        <v>0</v>
      </c>
      <c r="D76" s="673"/>
      <c r="E76" s="673"/>
      <c r="F76" s="673">
        <v>0</v>
      </c>
      <c r="G76" s="673">
        <v>0</v>
      </c>
      <c r="H76" s="673">
        <v>0</v>
      </c>
      <c r="I76" s="673">
        <v>0</v>
      </c>
      <c r="J76" s="673">
        <v>0</v>
      </c>
      <c r="K76" s="673">
        <v>0</v>
      </c>
      <c r="L76" s="673">
        <v>0</v>
      </c>
      <c r="M76" s="673">
        <v>0</v>
      </c>
      <c r="N76" s="673">
        <v>0</v>
      </c>
      <c r="O76" s="669">
        <f t="shared" ref="O76:O79" si="8">C76+D76+E76+F76+G76+H76+I76+J76+K76+L76+M76+N76</f>
        <v>0</v>
      </c>
      <c r="P76" s="660">
        <v>0</v>
      </c>
    </row>
    <row r="77" spans="1:16" x14ac:dyDescent="0.3">
      <c r="A77" t="str">
        <f>MID(B77,5,11)</f>
        <v xml:space="preserve">5301060000 </v>
      </c>
      <c r="B77" s="674" t="s">
        <v>256</v>
      </c>
      <c r="C77" s="673">
        <v>0</v>
      </c>
      <c r="D77" s="673"/>
      <c r="E77" s="673"/>
      <c r="F77" s="673">
        <v>-280.22000000000003</v>
      </c>
      <c r="G77" s="673">
        <v>-28.5</v>
      </c>
      <c r="H77" s="673">
        <v>0</v>
      </c>
      <c r="I77" s="673">
        <v>0</v>
      </c>
      <c r="J77" s="673">
        <v>0</v>
      </c>
      <c r="K77" s="673">
        <v>0</v>
      </c>
      <c r="L77" s="673">
        <v>0</v>
      </c>
      <c r="M77" s="673">
        <v>0</v>
      </c>
      <c r="N77" s="673">
        <v>0</v>
      </c>
      <c r="O77" s="669">
        <f t="shared" si="8"/>
        <v>-308.72000000000003</v>
      </c>
      <c r="P77" s="660">
        <v>0</v>
      </c>
    </row>
    <row r="78" spans="1:16" x14ac:dyDescent="0.3">
      <c r="A78" t="str">
        <f>MID(B78,5,11)</f>
        <v xml:space="preserve">5601020000 </v>
      </c>
      <c r="B78" s="674" t="s">
        <v>357</v>
      </c>
      <c r="C78" s="673"/>
      <c r="D78" s="673"/>
      <c r="E78" s="673"/>
      <c r="F78" s="673"/>
      <c r="G78" s="673">
        <v>1617.81</v>
      </c>
      <c r="H78" s="673">
        <v>0</v>
      </c>
      <c r="I78" s="673">
        <v>0</v>
      </c>
      <c r="J78" s="673">
        <v>0</v>
      </c>
      <c r="K78" s="673">
        <v>0</v>
      </c>
      <c r="L78" s="673">
        <v>0</v>
      </c>
      <c r="M78" s="673">
        <v>0</v>
      </c>
      <c r="N78" s="673">
        <v>0</v>
      </c>
      <c r="O78" s="669">
        <f t="shared" si="8"/>
        <v>1617.81</v>
      </c>
      <c r="P78" s="660">
        <v>0</v>
      </c>
    </row>
    <row r="79" spans="1:16" x14ac:dyDescent="0.3">
      <c r="A79" t="str">
        <f>MID(B79,5,11)</f>
        <v xml:space="preserve">6666020406 </v>
      </c>
      <c r="B79" s="674" t="s">
        <v>649</v>
      </c>
      <c r="C79" s="673"/>
      <c r="D79" s="673"/>
      <c r="E79" s="673"/>
      <c r="F79" s="673"/>
      <c r="G79" s="673">
        <v>1994.62</v>
      </c>
      <c r="H79" s="673">
        <v>1138.46</v>
      </c>
      <c r="I79" s="673">
        <v>0</v>
      </c>
      <c r="J79" s="673">
        <v>0</v>
      </c>
      <c r="K79" s="673">
        <v>0</v>
      </c>
      <c r="L79" s="673">
        <v>0</v>
      </c>
      <c r="M79" s="673">
        <v>0</v>
      </c>
      <c r="N79" s="673">
        <v>0</v>
      </c>
      <c r="O79" s="669">
        <f t="shared" si="8"/>
        <v>3133.08</v>
      </c>
      <c r="P79" s="660">
        <v>39.185260572030188</v>
      </c>
    </row>
    <row r="80" spans="1:16" x14ac:dyDescent="0.3">
      <c r="A80" t="str">
        <f>MID(B80,5,11)</f>
        <v xml:space="preserve">6666100500 </v>
      </c>
      <c r="B80" s="674" t="s">
        <v>1035</v>
      </c>
      <c r="C80" s="673"/>
      <c r="D80" s="673"/>
      <c r="E80" s="673"/>
      <c r="F80" s="673"/>
      <c r="G80" s="673"/>
      <c r="H80" s="1194">
        <f>16747.93-16747.93</f>
        <v>0</v>
      </c>
      <c r="I80" s="673">
        <v>0</v>
      </c>
      <c r="J80" s="673">
        <v>0</v>
      </c>
      <c r="K80" s="673">
        <v>0</v>
      </c>
      <c r="L80" s="673">
        <v>0</v>
      </c>
      <c r="M80" s="673">
        <v>0</v>
      </c>
      <c r="N80" s="673">
        <v>0</v>
      </c>
      <c r="O80" s="669">
        <f t="shared" si="7"/>
        <v>0</v>
      </c>
      <c r="P80" s="660">
        <v>0</v>
      </c>
    </row>
    <row r="81" spans="1:17" x14ac:dyDescent="0.3">
      <c r="A81" s="670" t="s">
        <v>210</v>
      </c>
      <c r="B81" s="671" t="s">
        <v>210</v>
      </c>
      <c r="C81" s="672">
        <f t="shared" ref="C81:H81" si="9">SUM(C26:C80)</f>
        <v>109646.95999999999</v>
      </c>
      <c r="D81" s="672">
        <f t="shared" si="9"/>
        <v>94591.650000000009</v>
      </c>
      <c r="E81" s="672">
        <f t="shared" si="9"/>
        <v>123571.56999999999</v>
      </c>
      <c r="F81" s="672">
        <f t="shared" si="9"/>
        <v>-288.3299999999997</v>
      </c>
      <c r="G81" s="672">
        <f t="shared" si="9"/>
        <v>79137.62</v>
      </c>
      <c r="H81" s="672">
        <f t="shared" si="9"/>
        <v>101289.73</v>
      </c>
      <c r="I81" s="672">
        <f t="shared" ref="I81" si="10">SUM(I26:I80)</f>
        <v>52638.520476186583</v>
      </c>
      <c r="J81" s="672">
        <f t="shared" ref="J81" si="11">SUM(J26:J80)</f>
        <v>52334.111583518446</v>
      </c>
      <c r="K81" s="672">
        <f t="shared" ref="K81" si="12">SUM(K26:K80)</f>
        <v>52032.118634442893</v>
      </c>
      <c r="L81" s="672">
        <f t="shared" ref="L81" si="13">SUM(L26:L80)</f>
        <v>59213.870893801366</v>
      </c>
      <c r="M81" s="672">
        <f t="shared" ref="M81" si="14">SUM(M26:M80)</f>
        <v>58575.789576217561</v>
      </c>
      <c r="N81" s="672">
        <f t="shared" ref="N81" si="15">SUM(N26:N80)</f>
        <v>60930.371062858467</v>
      </c>
      <c r="O81" s="672">
        <f>C81+D81+E81+F81+G81+H81+I81+J81+K81+L81+M81+N81</f>
        <v>843673.9822270252</v>
      </c>
      <c r="P81" s="672">
        <f>SUM(P26:P80)-P72-P60</f>
        <v>3380.4208089138469</v>
      </c>
      <c r="Q81" s="695"/>
    </row>
    <row r="82" spans="1:17" ht="15" x14ac:dyDescent="0.3">
      <c r="A82">
        <v>6666110203</v>
      </c>
      <c r="B82" s="665" t="s">
        <v>292</v>
      </c>
      <c r="C82" s="666">
        <v>11405.33</v>
      </c>
      <c r="D82" s="667">
        <v>11900.08</v>
      </c>
      <c r="E82" s="667">
        <v>8722.17</v>
      </c>
      <c r="F82" s="666">
        <v>39816.78</v>
      </c>
      <c r="G82" s="667">
        <v>15089.43</v>
      </c>
      <c r="H82" s="667">
        <v>45752.79</v>
      </c>
      <c r="I82" s="667">
        <v>13073.57456805589</v>
      </c>
      <c r="J82" s="667">
        <v>12800.662019956771</v>
      </c>
      <c r="K82" s="667">
        <v>17646.071719028485</v>
      </c>
      <c r="L82" s="667">
        <v>16030.706536736274</v>
      </c>
      <c r="M82" s="667">
        <v>16633.852017585392</v>
      </c>
      <c r="N82" s="667">
        <v>13490.241091604958</v>
      </c>
      <c r="O82" s="669">
        <f t="shared" ref="O82:O143" si="16">C82+D82+E82+F82+G82+H82+I82+J82+K82+L82+M82+N82</f>
        <v>222361.6879529678</v>
      </c>
      <c r="P82" s="660">
        <v>1227.4956722870031</v>
      </c>
      <c r="Q82" s="695"/>
    </row>
    <row r="83" spans="1:17" x14ac:dyDescent="0.3">
      <c r="A83">
        <v>5102040000</v>
      </c>
      <c r="B83" s="665" t="s">
        <v>293</v>
      </c>
      <c r="C83" s="673">
        <v>-0.4</v>
      </c>
      <c r="D83" s="667">
        <v>-1.6</v>
      </c>
      <c r="E83" s="673"/>
      <c r="F83" s="673">
        <v>0</v>
      </c>
      <c r="G83" s="675">
        <v>0</v>
      </c>
      <c r="H83" s="673">
        <v>0</v>
      </c>
      <c r="I83" s="673">
        <v>0</v>
      </c>
      <c r="J83" s="673">
        <v>0</v>
      </c>
      <c r="K83" s="673">
        <v>0</v>
      </c>
      <c r="L83" s="673">
        <v>0</v>
      </c>
      <c r="M83" s="673">
        <v>0</v>
      </c>
      <c r="N83" s="673">
        <v>0</v>
      </c>
      <c r="O83" s="673">
        <f t="shared" si="16"/>
        <v>-2</v>
      </c>
      <c r="P83" s="660">
        <v>0</v>
      </c>
    </row>
    <row r="84" spans="1:17" ht="15" x14ac:dyDescent="0.3">
      <c r="A84">
        <v>6666050307</v>
      </c>
      <c r="B84" s="665" t="s">
        <v>294</v>
      </c>
      <c r="C84" s="666">
        <v>-2954.94</v>
      </c>
      <c r="D84" s="667">
        <v>-293.52999999999997</v>
      </c>
      <c r="E84" s="667">
        <v>-1082.46</v>
      </c>
      <c r="F84" s="666">
        <v>131346.34</v>
      </c>
      <c r="G84" s="667">
        <v>20052.13</v>
      </c>
      <c r="H84" s="667">
        <v>-15672.68</v>
      </c>
      <c r="I84" s="667">
        <v>0</v>
      </c>
      <c r="J84" s="667">
        <v>0</v>
      </c>
      <c r="K84" s="667">
        <v>0</v>
      </c>
      <c r="L84" s="667">
        <v>0</v>
      </c>
      <c r="M84" s="667">
        <v>0</v>
      </c>
      <c r="N84" s="667">
        <v>0</v>
      </c>
      <c r="O84" s="669">
        <f t="shared" si="16"/>
        <v>131394.86000000002</v>
      </c>
      <c r="P84" s="660">
        <v>0</v>
      </c>
    </row>
    <row r="85" spans="1:17" x14ac:dyDescent="0.3">
      <c r="A85" s="676">
        <v>6666050312</v>
      </c>
      <c r="B85" s="677" t="s">
        <v>211</v>
      </c>
      <c r="C85" s="679"/>
      <c r="D85" s="679">
        <v>142.49</v>
      </c>
      <c r="E85" s="679"/>
      <c r="F85" s="679">
        <v>0</v>
      </c>
      <c r="G85" s="679">
        <v>685.9</v>
      </c>
      <c r="H85" s="679">
        <v>-1741.68</v>
      </c>
      <c r="I85" s="679">
        <v>0</v>
      </c>
      <c r="J85" s="679">
        <v>0</v>
      </c>
      <c r="K85" s="679">
        <v>0</v>
      </c>
      <c r="L85" s="679">
        <v>0</v>
      </c>
      <c r="M85" s="679">
        <v>0</v>
      </c>
      <c r="N85" s="679">
        <v>0</v>
      </c>
      <c r="O85" s="679">
        <f t="shared" si="16"/>
        <v>-913.29000000000008</v>
      </c>
      <c r="P85" s="660">
        <v>0</v>
      </c>
    </row>
    <row r="86" spans="1:17" x14ac:dyDescent="0.3">
      <c r="A86" s="670" t="s">
        <v>212</v>
      </c>
      <c r="B86" s="671" t="s">
        <v>212</v>
      </c>
      <c r="C86" s="672">
        <f>SUM(C82:C85)</f>
        <v>8449.99</v>
      </c>
      <c r="D86" s="672">
        <f>SUM(D82:D85)</f>
        <v>11747.439999999999</v>
      </c>
      <c r="E86" s="672">
        <f t="shared" ref="E86:F86" si="17">SUM(E82:E84)</f>
        <v>7639.71</v>
      </c>
      <c r="F86" s="672">
        <f t="shared" si="17"/>
        <v>171163.12</v>
      </c>
      <c r="G86" s="672">
        <f>SUM(G82:G85)</f>
        <v>35827.46</v>
      </c>
      <c r="H86" s="672">
        <f>SUM(H82:H85)</f>
        <v>28338.43</v>
      </c>
      <c r="I86" s="672">
        <f t="shared" ref="I86:N86" si="18">SUM(I82:I85)</f>
        <v>13073.57456805589</v>
      </c>
      <c r="J86" s="672">
        <f t="shared" si="18"/>
        <v>12800.662019956771</v>
      </c>
      <c r="K86" s="672">
        <f t="shared" si="18"/>
        <v>17646.071719028485</v>
      </c>
      <c r="L86" s="672">
        <f t="shared" si="18"/>
        <v>16030.706536736274</v>
      </c>
      <c r="M86" s="672">
        <f t="shared" si="18"/>
        <v>16633.852017585392</v>
      </c>
      <c r="N86" s="672">
        <f t="shared" si="18"/>
        <v>13490.241091604958</v>
      </c>
      <c r="O86" s="672">
        <f t="shared" si="16"/>
        <v>352841.25795296783</v>
      </c>
      <c r="P86" s="672">
        <f>SUM(P82:P85)</f>
        <v>1227.4956722870031</v>
      </c>
    </row>
    <row r="87" spans="1:17" ht="15" x14ac:dyDescent="0.3">
      <c r="A87">
        <v>6666100203</v>
      </c>
      <c r="B87" s="665" t="s">
        <v>295</v>
      </c>
      <c r="C87" s="666">
        <v>-52136.12</v>
      </c>
      <c r="D87" s="667">
        <v>10187.620000000001</v>
      </c>
      <c r="E87" s="667">
        <v>400347.66</v>
      </c>
      <c r="F87" s="666">
        <v>-354335.8</v>
      </c>
      <c r="G87" s="667">
        <v>92044</v>
      </c>
      <c r="H87" s="667">
        <v>-61430.559999999998</v>
      </c>
      <c r="I87" s="667">
        <v>8250.4731756004749</v>
      </c>
      <c r="J87" s="667">
        <v>8184.9932297623764</v>
      </c>
      <c r="K87" s="667">
        <v>8120.0329660341031</v>
      </c>
      <c r="L87" s="667">
        <v>7980.3763793946955</v>
      </c>
      <c r="M87" s="667">
        <v>7843.1217487908543</v>
      </c>
      <c r="N87" s="667">
        <v>7708.2277629394139</v>
      </c>
      <c r="O87" s="669">
        <f t="shared" si="16"/>
        <v>82764.0252625219</v>
      </c>
      <c r="P87" s="660">
        <v>0</v>
      </c>
    </row>
    <row r="88" spans="1:17" x14ac:dyDescent="0.3">
      <c r="A88" s="670" t="s">
        <v>213</v>
      </c>
      <c r="B88" s="671" t="s">
        <v>213</v>
      </c>
      <c r="C88" s="672">
        <f>SUM(C87)</f>
        <v>-52136.12</v>
      </c>
      <c r="D88" s="672">
        <f t="shared" ref="D88:P88" si="19">SUM(D87)</f>
        <v>10187.620000000001</v>
      </c>
      <c r="E88" s="672">
        <f t="shared" si="19"/>
        <v>400347.66</v>
      </c>
      <c r="F88" s="672">
        <f t="shared" si="19"/>
        <v>-354335.8</v>
      </c>
      <c r="G88" s="672">
        <f t="shared" si="19"/>
        <v>92044</v>
      </c>
      <c r="H88" s="672">
        <f t="shared" si="19"/>
        <v>-61430.559999999998</v>
      </c>
      <c r="I88" s="672">
        <f t="shared" ref="I88:N88" si="20">SUM(I87)</f>
        <v>8250.4731756004749</v>
      </c>
      <c r="J88" s="672">
        <f t="shared" si="20"/>
        <v>8184.9932297623764</v>
      </c>
      <c r="K88" s="672">
        <f t="shared" si="20"/>
        <v>8120.0329660341031</v>
      </c>
      <c r="L88" s="672">
        <f t="shared" si="20"/>
        <v>7980.3763793946955</v>
      </c>
      <c r="M88" s="672">
        <f t="shared" si="20"/>
        <v>7843.1217487908543</v>
      </c>
      <c r="N88" s="672">
        <f t="shared" si="20"/>
        <v>7708.2277629394139</v>
      </c>
      <c r="O88" s="672">
        <f t="shared" si="16"/>
        <v>82764.0252625219</v>
      </c>
      <c r="P88" s="672">
        <f t="shared" si="19"/>
        <v>0</v>
      </c>
    </row>
    <row r="89" spans="1:17" ht="15" x14ac:dyDescent="0.3">
      <c r="A89">
        <v>5301070000</v>
      </c>
      <c r="B89" s="665" t="s">
        <v>296</v>
      </c>
      <c r="C89" s="666">
        <v>-112710.96</v>
      </c>
      <c r="D89" s="667">
        <v>-111897.64</v>
      </c>
      <c r="E89" s="667">
        <v>-60732.84</v>
      </c>
      <c r="F89" s="666">
        <v>-107786.96</v>
      </c>
      <c r="G89" s="667">
        <v>-72209.7</v>
      </c>
      <c r="H89" s="667">
        <v>-148283.22</v>
      </c>
      <c r="I89" s="667">
        <v>-39488.540813848187</v>
      </c>
      <c r="J89" s="667">
        <v>-38658.510144472471</v>
      </c>
      <c r="K89" s="667">
        <v>-53347.192542572026</v>
      </c>
      <c r="L89" s="667">
        <v>-48635.137103373352</v>
      </c>
      <c r="M89" s="667">
        <v>-50750.043862884449</v>
      </c>
      <c r="N89" s="667">
        <v>-41118.432317492006</v>
      </c>
      <c r="O89" s="669">
        <f t="shared" si="16"/>
        <v>-885619.17678464239</v>
      </c>
      <c r="P89" s="660">
        <v>-693.67476574837747</v>
      </c>
    </row>
    <row r="90" spans="1:17" x14ac:dyDescent="0.3">
      <c r="A90" s="670" t="s">
        <v>214</v>
      </c>
      <c r="B90" s="671" t="s">
        <v>214</v>
      </c>
      <c r="C90" s="672">
        <f>SUM(C89)</f>
        <v>-112710.96</v>
      </c>
      <c r="D90" s="672">
        <f t="shared" ref="D90:P90" si="21">SUM(D89)</f>
        <v>-111897.64</v>
      </c>
      <c r="E90" s="672">
        <f t="shared" si="21"/>
        <v>-60732.84</v>
      </c>
      <c r="F90" s="672">
        <f t="shared" si="21"/>
        <v>-107786.96</v>
      </c>
      <c r="G90" s="672">
        <f t="shared" si="21"/>
        <v>-72209.7</v>
      </c>
      <c r="H90" s="672">
        <f t="shared" si="21"/>
        <v>-148283.22</v>
      </c>
      <c r="I90" s="672">
        <f t="shared" ref="I90:N90" si="22">SUM(I89)</f>
        <v>-39488.540813848187</v>
      </c>
      <c r="J90" s="672">
        <f t="shared" si="22"/>
        <v>-38658.510144472471</v>
      </c>
      <c r="K90" s="672">
        <f t="shared" si="22"/>
        <v>-53347.192542572026</v>
      </c>
      <c r="L90" s="672">
        <f t="shared" si="22"/>
        <v>-48635.137103373352</v>
      </c>
      <c r="M90" s="672">
        <f t="shared" si="22"/>
        <v>-50750.043862884449</v>
      </c>
      <c r="N90" s="672">
        <f t="shared" si="22"/>
        <v>-41118.432317492006</v>
      </c>
      <c r="O90" s="672">
        <f t="shared" si="16"/>
        <v>-885619.17678464239</v>
      </c>
      <c r="P90" s="672">
        <f t="shared" si="21"/>
        <v>-693.67476574837747</v>
      </c>
    </row>
    <row r="91" spans="1:17" ht="15" x14ac:dyDescent="0.3">
      <c r="A91">
        <v>6666021602</v>
      </c>
      <c r="B91" s="665" t="s">
        <v>297</v>
      </c>
      <c r="C91" s="666">
        <v>8568.08</v>
      </c>
      <c r="D91" s="667">
        <v>8155.42</v>
      </c>
      <c r="E91" s="667">
        <v>7084.54</v>
      </c>
      <c r="F91" s="666">
        <v>7610.66</v>
      </c>
      <c r="G91" s="667">
        <v>-2920.76</v>
      </c>
      <c r="H91" s="667">
        <v>4015.16</v>
      </c>
      <c r="I91" s="667">
        <v>5162.9853573599794</v>
      </c>
      <c r="J91" s="667">
        <v>5055.7236146813311</v>
      </c>
      <c r="K91" s="667">
        <v>6978.5246868534969</v>
      </c>
      <c r="L91" s="667">
        <v>6363.867933923163</v>
      </c>
      <c r="M91" s="667">
        <v>6642.5977453822443</v>
      </c>
      <c r="N91" s="667">
        <v>5425.4564639467144</v>
      </c>
      <c r="O91" s="669">
        <f t="shared" si="16"/>
        <v>68142.25580214693</v>
      </c>
      <c r="P91" s="660">
        <v>196.34136164239339</v>
      </c>
    </row>
    <row r="92" spans="1:17" x14ac:dyDescent="0.3">
      <c r="A92" s="670" t="s">
        <v>215</v>
      </c>
      <c r="B92" s="671" t="s">
        <v>215</v>
      </c>
      <c r="C92" s="672">
        <f>SUM(C91)</f>
        <v>8568.08</v>
      </c>
      <c r="D92" s="672">
        <f t="shared" ref="D92:P92" si="23">SUM(D91)</f>
        <v>8155.42</v>
      </c>
      <c r="E92" s="672">
        <f t="shared" si="23"/>
        <v>7084.54</v>
      </c>
      <c r="F92" s="672">
        <f t="shared" si="23"/>
        <v>7610.66</v>
      </c>
      <c r="G92" s="672">
        <f t="shared" si="23"/>
        <v>-2920.76</v>
      </c>
      <c r="H92" s="672">
        <f t="shared" si="23"/>
        <v>4015.16</v>
      </c>
      <c r="I92" s="672">
        <f t="shared" ref="I92:N92" si="24">SUM(I91)</f>
        <v>5162.9853573599794</v>
      </c>
      <c r="J92" s="672">
        <f t="shared" si="24"/>
        <v>5055.7236146813311</v>
      </c>
      <c r="K92" s="672">
        <f t="shared" si="24"/>
        <v>6978.5246868534969</v>
      </c>
      <c r="L92" s="672">
        <f t="shared" si="24"/>
        <v>6363.867933923163</v>
      </c>
      <c r="M92" s="672">
        <f t="shared" si="24"/>
        <v>6642.5977453822443</v>
      </c>
      <c r="N92" s="672">
        <f t="shared" si="24"/>
        <v>5425.4564639467144</v>
      </c>
      <c r="O92" s="672">
        <f t="shared" si="16"/>
        <v>68142.25580214693</v>
      </c>
      <c r="P92" s="672">
        <f t="shared" si="23"/>
        <v>196.34136164239339</v>
      </c>
      <c r="Q92" s="695"/>
    </row>
    <row r="93" spans="1:17" ht="15" x14ac:dyDescent="0.3">
      <c r="A93">
        <v>6666021600</v>
      </c>
      <c r="B93" s="665" t="s">
        <v>298</v>
      </c>
      <c r="C93" s="666">
        <v>21923.759999999998</v>
      </c>
      <c r="D93" s="667">
        <v>11029.13</v>
      </c>
      <c r="E93" s="667">
        <v>17907.84</v>
      </c>
      <c r="F93" s="666">
        <v>24976.01</v>
      </c>
      <c r="G93" s="667">
        <v>26945.06</v>
      </c>
      <c r="H93" s="667">
        <v>25310.79</v>
      </c>
      <c r="I93" s="667">
        <v>27780.624698992167</v>
      </c>
      <c r="J93" s="667">
        <v>31521.011048988858</v>
      </c>
      <c r="K93" s="667">
        <v>30869.231116585819</v>
      </c>
      <c r="L93" s="667">
        <v>27558.774629880169</v>
      </c>
      <c r="M93" s="667">
        <v>31636.832075614697</v>
      </c>
      <c r="N93" s="667">
        <v>26153.17749144751</v>
      </c>
      <c r="O93" s="669">
        <f t="shared" si="16"/>
        <v>303612.24106150924</v>
      </c>
      <c r="P93" s="660">
        <v>2237.3523793647919</v>
      </c>
    </row>
    <row r="94" spans="1:17" ht="15" x14ac:dyDescent="0.3">
      <c r="A94">
        <v>6666021603</v>
      </c>
      <c r="B94" s="665" t="s">
        <v>299</v>
      </c>
      <c r="C94" s="666">
        <v>691.52</v>
      </c>
      <c r="D94" s="667">
        <v>60.06</v>
      </c>
      <c r="E94" s="667">
        <v>953.94</v>
      </c>
      <c r="F94" s="666">
        <v>1690.76</v>
      </c>
      <c r="G94" s="667">
        <v>514</v>
      </c>
      <c r="H94" s="667">
        <v>1146.22</v>
      </c>
      <c r="I94" s="667">
        <v>990.54897450755095</v>
      </c>
      <c r="J94" s="667">
        <v>969.9701810653479</v>
      </c>
      <c r="K94" s="667">
        <v>1338.8708264074962</v>
      </c>
      <c r="L94" s="667">
        <v>1220.9453290164656</v>
      </c>
      <c r="M94" s="667">
        <v>1274.4212755464889</v>
      </c>
      <c r="N94" s="667">
        <v>1040.9055932991821</v>
      </c>
      <c r="O94" s="669">
        <f t="shared" si="16"/>
        <v>11892.162179842531</v>
      </c>
      <c r="P94" s="660">
        <v>43.972607474995598</v>
      </c>
    </row>
    <row r="95" spans="1:17" ht="15" x14ac:dyDescent="0.3">
      <c r="A95">
        <v>6666021604</v>
      </c>
      <c r="B95" s="665" t="s">
        <v>300</v>
      </c>
      <c r="C95" s="666">
        <v>3977.28</v>
      </c>
      <c r="D95" s="667">
        <v>8638.85</v>
      </c>
      <c r="E95" s="667">
        <v>4962.59</v>
      </c>
      <c r="F95" s="666">
        <v>2984.85</v>
      </c>
      <c r="G95" s="667">
        <v>5858.1</v>
      </c>
      <c r="H95" s="667">
        <v>3613.44</v>
      </c>
      <c r="I95" s="667">
        <v>2676.8417652277958</v>
      </c>
      <c r="J95" s="667">
        <v>2631.6067862951286</v>
      </c>
      <c r="K95" s="667">
        <v>5129.9129644532431</v>
      </c>
      <c r="L95" s="667">
        <v>5465.3705887035394</v>
      </c>
      <c r="M95" s="667">
        <v>6071.5048598229678</v>
      </c>
      <c r="N95" s="667">
        <v>4964.1350547451357</v>
      </c>
      <c r="O95" s="669">
        <f t="shared" si="16"/>
        <v>56974.482019247815</v>
      </c>
      <c r="P95" s="660">
        <v>363.41908755922083</v>
      </c>
    </row>
    <row r="96" spans="1:17" x14ac:dyDescent="0.3">
      <c r="A96" s="670" t="s">
        <v>216</v>
      </c>
      <c r="B96" s="671" t="s">
        <v>216</v>
      </c>
      <c r="C96" s="672">
        <f>SUM(C93:C95)</f>
        <v>26592.559999999998</v>
      </c>
      <c r="D96" s="672">
        <f t="shared" ref="D96:P96" si="25">SUM(D93:D95)</f>
        <v>19728.04</v>
      </c>
      <c r="E96" s="672">
        <f t="shared" si="25"/>
        <v>23824.37</v>
      </c>
      <c r="F96" s="672">
        <f t="shared" si="25"/>
        <v>29651.619999999995</v>
      </c>
      <c r="G96" s="672">
        <f t="shared" si="25"/>
        <v>33317.160000000003</v>
      </c>
      <c r="H96" s="672">
        <f t="shared" si="25"/>
        <v>30070.45</v>
      </c>
      <c r="I96" s="672">
        <f t="shared" ref="I96:N96" si="26">SUM(I93:I95)</f>
        <v>31448.015438727514</v>
      </c>
      <c r="J96" s="672">
        <f t="shared" si="26"/>
        <v>35122.588016349335</v>
      </c>
      <c r="K96" s="672">
        <f t="shared" si="26"/>
        <v>37338.014907446559</v>
      </c>
      <c r="L96" s="672">
        <f t="shared" si="26"/>
        <v>34245.090547600172</v>
      </c>
      <c r="M96" s="672">
        <f t="shared" si="26"/>
        <v>38982.758210984153</v>
      </c>
      <c r="N96" s="672">
        <f t="shared" si="26"/>
        <v>32158.21813949183</v>
      </c>
      <c r="O96" s="672">
        <f t="shared" si="16"/>
        <v>372478.88526059955</v>
      </c>
      <c r="P96" s="672">
        <f t="shared" si="25"/>
        <v>2644.7440743990082</v>
      </c>
      <c r="Q96" s="695"/>
    </row>
    <row r="97" spans="1:17" ht="15" x14ac:dyDescent="0.3">
      <c r="A97">
        <v>5001010206</v>
      </c>
      <c r="B97" s="665" t="s">
        <v>301</v>
      </c>
      <c r="C97" s="666">
        <v>4916.1499999999996</v>
      </c>
      <c r="D97" s="667">
        <v>4265.71</v>
      </c>
      <c r="E97" s="667">
        <v>5321.22</v>
      </c>
      <c r="F97" s="666">
        <f>4480.59+35086.24/52.6433</f>
        <v>5147.0801326474593</v>
      </c>
      <c r="G97" s="667">
        <f>6768.6-35086.25/53.1224</f>
        <v>6108.1206165384101</v>
      </c>
      <c r="H97" s="667">
        <v>5763.91</v>
      </c>
      <c r="I97" s="667">
        <f>'IND '!U27/SAP_ACT_EUR!I3</f>
        <v>56105.193519943736</v>
      </c>
      <c r="J97" s="667">
        <f>'IND '!V27/SAP_ACT_EUR!J3</f>
        <v>31665.50130946124</v>
      </c>
      <c r="K97" s="667">
        <f>'IND '!W27/SAP_ACT_EUR!K3</f>
        <v>0</v>
      </c>
      <c r="L97" s="667">
        <f>'IND '!X27/SAP_ACT_EUR!L3</f>
        <v>0</v>
      </c>
      <c r="M97" s="667">
        <f>'IND '!Y27/SAP_ACT_EUR!M3</f>
        <v>0</v>
      </c>
      <c r="N97" s="667">
        <f>'IND '!Z27/SAP_ACT_EUR!N3</f>
        <v>77170.002693101269</v>
      </c>
      <c r="O97" s="669">
        <f t="shared" si="16"/>
        <v>196462.88827169209</v>
      </c>
      <c r="P97" s="660">
        <v>239.50557466222148</v>
      </c>
    </row>
    <row r="98" spans="1:17" ht="15" x14ac:dyDescent="0.3">
      <c r="A98">
        <v>6666010184</v>
      </c>
      <c r="B98" s="665" t="s">
        <v>302</v>
      </c>
      <c r="C98" s="666">
        <v>-249.06</v>
      </c>
      <c r="D98" s="667">
        <v>-237.85</v>
      </c>
      <c r="E98" s="667">
        <v>-5.99</v>
      </c>
      <c r="F98" s="666">
        <v>-209.26</v>
      </c>
      <c r="G98" s="667">
        <v>-2589.98</v>
      </c>
      <c r="H98" s="667">
        <v>-1245.2</v>
      </c>
      <c r="I98" s="667">
        <v>0</v>
      </c>
      <c r="J98" s="667">
        <v>0</v>
      </c>
      <c r="K98" s="667">
        <v>0</v>
      </c>
      <c r="L98" s="667">
        <v>0</v>
      </c>
      <c r="M98" s="667">
        <v>0</v>
      </c>
      <c r="N98" s="667">
        <v>0</v>
      </c>
      <c r="O98" s="669">
        <f t="shared" si="16"/>
        <v>-4537.34</v>
      </c>
      <c r="P98" s="660">
        <v>-46.45184067380243</v>
      </c>
    </row>
    <row r="99" spans="1:17" ht="15" x14ac:dyDescent="0.3">
      <c r="A99">
        <v>6666010186</v>
      </c>
      <c r="B99" s="665" t="s">
        <v>303</v>
      </c>
      <c r="C99" s="666">
        <v>13972.53</v>
      </c>
      <c r="D99" s="667">
        <v>12876.69</v>
      </c>
      <c r="E99" s="667">
        <v>-9977.11</v>
      </c>
      <c r="F99" s="666">
        <f>23579.14+179892.23/52.6433</f>
        <v>26996.331361483797</v>
      </c>
      <c r="G99" s="667">
        <f>33188.46-179892.23/53.1224</f>
        <v>29802.08758459708</v>
      </c>
      <c r="H99" s="667">
        <v>20872.939999999999</v>
      </c>
      <c r="I99" s="667">
        <v>0</v>
      </c>
      <c r="J99" s="667">
        <v>0</v>
      </c>
      <c r="K99" s="667">
        <v>0</v>
      </c>
      <c r="L99" s="667">
        <v>0</v>
      </c>
      <c r="M99" s="667">
        <v>0</v>
      </c>
      <c r="N99" s="667">
        <v>0</v>
      </c>
      <c r="O99" s="669">
        <f t="shared" si="16"/>
        <v>94543.468946080888</v>
      </c>
      <c r="P99" s="660">
        <v>861.31560624671079</v>
      </c>
    </row>
    <row r="100" spans="1:17" ht="15" x14ac:dyDescent="0.3">
      <c r="A100">
        <v>6666010189</v>
      </c>
      <c r="B100" s="665" t="s">
        <v>304</v>
      </c>
      <c r="C100" s="681">
        <v>27213.55</v>
      </c>
      <c r="D100" s="667">
        <v>-161708.4</v>
      </c>
      <c r="E100" s="667">
        <v>165156</v>
      </c>
      <c r="F100" s="681">
        <v>1042.08</v>
      </c>
      <c r="G100" s="667">
        <v>4271.8</v>
      </c>
      <c r="H100" s="667">
        <v>0</v>
      </c>
      <c r="I100" s="667">
        <v>0</v>
      </c>
      <c r="J100" s="667">
        <v>0</v>
      </c>
      <c r="K100" s="667">
        <v>0</v>
      </c>
      <c r="L100" s="667">
        <v>0</v>
      </c>
      <c r="M100" s="667">
        <v>0</v>
      </c>
      <c r="N100" s="667">
        <v>0</v>
      </c>
      <c r="O100" s="673">
        <f t="shared" si="16"/>
        <v>35975.03</v>
      </c>
      <c r="P100" s="660">
        <v>0</v>
      </c>
    </row>
    <row r="101" spans="1:17" ht="15" x14ac:dyDescent="0.3">
      <c r="A101">
        <v>6666010012</v>
      </c>
      <c r="B101" s="665" t="s">
        <v>305</v>
      </c>
      <c r="C101" s="666">
        <v>46719.86</v>
      </c>
      <c r="D101" s="667">
        <v>40748.5</v>
      </c>
      <c r="E101" s="667">
        <v>48269.33</v>
      </c>
      <c r="F101" s="666">
        <f>41151.17+293847.29/52.6433</f>
        <v>46733.025430795562</v>
      </c>
      <c r="G101" s="667">
        <f>61482.51-293847.28/53.1224</f>
        <v>55950.996363567916</v>
      </c>
      <c r="H101" s="667">
        <v>52006.95</v>
      </c>
      <c r="I101" s="667">
        <v>0</v>
      </c>
      <c r="J101" s="667">
        <v>0</v>
      </c>
      <c r="K101" s="667">
        <v>0</v>
      </c>
      <c r="L101" s="667">
        <v>0</v>
      </c>
      <c r="M101" s="667">
        <v>0</v>
      </c>
      <c r="N101" s="667">
        <v>0</v>
      </c>
      <c r="O101" s="669">
        <f t="shared" si="16"/>
        <v>290428.66179436346</v>
      </c>
      <c r="P101" s="660">
        <v>2131.1960361466936</v>
      </c>
    </row>
    <row r="102" spans="1:17" ht="15" x14ac:dyDescent="0.3">
      <c r="A102">
        <v>6666010226</v>
      </c>
      <c r="B102" s="665" t="s">
        <v>306</v>
      </c>
      <c r="C102" s="666">
        <v>9810.5400000000009</v>
      </c>
      <c r="D102" s="667">
        <v>50351.44</v>
      </c>
      <c r="E102" s="667">
        <v>-160153.66</v>
      </c>
      <c r="F102" s="666">
        <v>7953.12</v>
      </c>
      <c r="G102" s="667">
        <v>8275.4500000000007</v>
      </c>
      <c r="H102" s="667">
        <v>8308.77</v>
      </c>
      <c r="I102" s="667">
        <v>0</v>
      </c>
      <c r="J102" s="667">
        <v>0</v>
      </c>
      <c r="K102" s="667">
        <v>0</v>
      </c>
      <c r="L102" s="667">
        <v>0</v>
      </c>
      <c r="M102" s="667">
        <v>0</v>
      </c>
      <c r="N102" s="667">
        <v>0</v>
      </c>
      <c r="O102" s="669">
        <f t="shared" si="16"/>
        <v>-75454.34</v>
      </c>
      <c r="P102" s="660">
        <v>340.77940164941208</v>
      </c>
    </row>
    <row r="103" spans="1:17" ht="15" x14ac:dyDescent="0.3">
      <c r="A103">
        <v>6666010102</v>
      </c>
      <c r="B103" s="665" t="s">
        <v>307</v>
      </c>
      <c r="C103" s="666">
        <v>265847.67999999999</v>
      </c>
      <c r="D103" s="667">
        <v>372436.38</v>
      </c>
      <c r="E103" s="667">
        <v>276894.08000000002</v>
      </c>
      <c r="F103" s="666">
        <f>222621.71+1593057.35/52.6433</f>
        <v>252883.06044725538</v>
      </c>
      <c r="G103" s="667">
        <f>334645.28-1593057.35/53.1224</f>
        <v>304656.85044862435</v>
      </c>
      <c r="H103" s="667">
        <v>288337.32</v>
      </c>
      <c r="I103" s="667">
        <v>199569.97798620746</v>
      </c>
      <c r="J103" s="667">
        <v>199142.97197250059</v>
      </c>
      <c r="K103" s="667">
        <v>234126.4303783295</v>
      </c>
      <c r="L103" s="667">
        <v>218025.00602874605</v>
      </c>
      <c r="M103" s="667">
        <v>212983.70494111159</v>
      </c>
      <c r="N103" s="667">
        <v>212363.86546997976</v>
      </c>
      <c r="O103" s="669">
        <f t="shared" si="16"/>
        <v>3037267.3276727549</v>
      </c>
      <c r="P103" s="660">
        <v>11998.292233725228</v>
      </c>
    </row>
    <row r="104" spans="1:17" x14ac:dyDescent="0.3">
      <c r="A104" s="670" t="s">
        <v>217</v>
      </c>
      <c r="B104" s="671" t="s">
        <v>217</v>
      </c>
      <c r="C104" s="672">
        <f>SUM(C97:C103)</f>
        <v>368231.25</v>
      </c>
      <c r="D104" s="672">
        <f t="shared" ref="D104:P104" si="27">SUM(D97:D103)</f>
        <v>318732.46999999997</v>
      </c>
      <c r="E104" s="672">
        <f t="shared" si="27"/>
        <v>325503.87</v>
      </c>
      <c r="F104" s="672">
        <f t="shared" si="27"/>
        <v>340545.4373721822</v>
      </c>
      <c r="G104" s="672">
        <f t="shared" si="27"/>
        <v>406475.32501332776</v>
      </c>
      <c r="H104" s="672">
        <f t="shared" si="27"/>
        <v>374044.69</v>
      </c>
      <c r="I104" s="672">
        <f t="shared" ref="I104:N104" si="28">SUM(I97:I103)</f>
        <v>255675.17150615121</v>
      </c>
      <c r="J104" s="672">
        <f t="shared" si="28"/>
        <v>230808.47328196184</v>
      </c>
      <c r="K104" s="672">
        <f t="shared" si="28"/>
        <v>234126.4303783295</v>
      </c>
      <c r="L104" s="672">
        <f t="shared" si="28"/>
        <v>218025.00602874605</v>
      </c>
      <c r="M104" s="672">
        <f t="shared" si="28"/>
        <v>212983.70494111159</v>
      </c>
      <c r="N104" s="672">
        <f t="shared" si="28"/>
        <v>289533.868163081</v>
      </c>
      <c r="O104" s="672">
        <f t="shared" si="16"/>
        <v>3574685.6966848909</v>
      </c>
      <c r="P104" s="672">
        <f t="shared" si="27"/>
        <v>15524.637011756464</v>
      </c>
      <c r="Q104" s="695"/>
    </row>
    <row r="105" spans="1:17" ht="15" x14ac:dyDescent="0.3">
      <c r="A105">
        <v>6666010196</v>
      </c>
      <c r="B105" s="665" t="s">
        <v>308</v>
      </c>
      <c r="C105" s="666">
        <v>27921.73</v>
      </c>
      <c r="D105" s="667">
        <v>23276.16</v>
      </c>
      <c r="E105" s="667">
        <v>27430.52</v>
      </c>
      <c r="F105" s="666">
        <v>25427.02</v>
      </c>
      <c r="G105" s="667">
        <v>27242.61</v>
      </c>
      <c r="H105" s="667">
        <v>26568.67</v>
      </c>
      <c r="I105" s="667">
        <v>0</v>
      </c>
      <c r="J105" s="667">
        <v>0</v>
      </c>
      <c r="K105" s="667">
        <v>0</v>
      </c>
      <c r="L105" s="667">
        <v>0</v>
      </c>
      <c r="M105" s="667">
        <v>0</v>
      </c>
      <c r="N105" s="667">
        <v>0</v>
      </c>
      <c r="O105" s="669">
        <f t="shared" si="16"/>
        <v>157866.71000000002</v>
      </c>
      <c r="P105" s="660">
        <v>851.19064221793383</v>
      </c>
    </row>
    <row r="106" spans="1:17" ht="15" x14ac:dyDescent="0.3">
      <c r="A106">
        <v>6666010101</v>
      </c>
      <c r="B106" s="665" t="s">
        <v>309</v>
      </c>
      <c r="C106" s="666">
        <v>145988.32</v>
      </c>
      <c r="D106" s="667">
        <v>157705.60999999999</v>
      </c>
      <c r="E106" s="667">
        <v>142702.09</v>
      </c>
      <c r="F106" s="666">
        <v>180381.34</v>
      </c>
      <c r="G106" s="667">
        <v>182347.86</v>
      </c>
      <c r="H106" s="667">
        <v>152453.18</v>
      </c>
      <c r="I106" s="667">
        <v>101294.838931247</v>
      </c>
      <c r="J106" s="667">
        <v>101876.14670384186</v>
      </c>
      <c r="K106" s="667">
        <v>109106.57602284873</v>
      </c>
      <c r="L106" s="667">
        <v>102316.05548693042</v>
      </c>
      <c r="M106" s="667">
        <v>100663.84322805285</v>
      </c>
      <c r="N106" s="667">
        <v>99064.143248307606</v>
      </c>
      <c r="O106" s="669">
        <f t="shared" si="16"/>
        <v>1575900.003621228</v>
      </c>
      <c r="P106" s="660">
        <v>4809.6352974206002</v>
      </c>
    </row>
    <row r="107" spans="1:17" ht="15" x14ac:dyDescent="0.3">
      <c r="A107">
        <v>6666010199</v>
      </c>
      <c r="B107" s="665" t="s">
        <v>310</v>
      </c>
      <c r="C107" s="666">
        <v>22549.63</v>
      </c>
      <c r="D107" s="667">
        <v>11063.45</v>
      </c>
      <c r="E107" s="667">
        <v>7963.94</v>
      </c>
      <c r="F107" s="666">
        <v>-56786.73</v>
      </c>
      <c r="G107" s="667">
        <v>-28074.37</v>
      </c>
      <c r="H107" s="667">
        <v>11020.42</v>
      </c>
      <c r="I107" s="667">
        <v>0</v>
      </c>
      <c r="J107" s="667">
        <v>0</v>
      </c>
      <c r="K107" s="667">
        <v>0</v>
      </c>
      <c r="L107" s="667">
        <v>0</v>
      </c>
      <c r="M107" s="667">
        <v>0</v>
      </c>
      <c r="N107" s="667">
        <v>0</v>
      </c>
      <c r="O107" s="669">
        <f t="shared" si="16"/>
        <v>-32263.660000000003</v>
      </c>
      <c r="P107" s="660">
        <v>-113.93600280750684</v>
      </c>
    </row>
    <row r="108" spans="1:17" ht="15" x14ac:dyDescent="0.3">
      <c r="A108">
        <v>6666010185</v>
      </c>
      <c r="B108" s="665" t="s">
        <v>311</v>
      </c>
      <c r="C108" s="666">
        <v>-185.44</v>
      </c>
      <c r="D108" s="667">
        <v>-47.39</v>
      </c>
      <c r="E108" s="675">
        <v>0</v>
      </c>
      <c r="F108" s="666">
        <v>0</v>
      </c>
      <c r="G108" s="667">
        <v>-1135.6099999999999</v>
      </c>
      <c r="H108" s="667">
        <v>-242.31</v>
      </c>
      <c r="I108" s="667">
        <v>0</v>
      </c>
      <c r="J108" s="667">
        <v>0</v>
      </c>
      <c r="K108" s="667">
        <v>0</v>
      </c>
      <c r="L108" s="667">
        <v>0</v>
      </c>
      <c r="M108" s="667">
        <v>0</v>
      </c>
      <c r="N108" s="667">
        <v>0</v>
      </c>
      <c r="O108" s="669">
        <f t="shared" si="16"/>
        <v>-1610.7499999999998</v>
      </c>
      <c r="P108" s="660">
        <v>-7.7796297596069444</v>
      </c>
    </row>
    <row r="109" spans="1:17" ht="15" x14ac:dyDescent="0.3">
      <c r="A109">
        <v>6666010207</v>
      </c>
      <c r="B109" s="665" t="s">
        <v>312</v>
      </c>
      <c r="C109" s="666">
        <v>2049.84</v>
      </c>
      <c r="D109" s="667">
        <v>1901.22</v>
      </c>
      <c r="E109" s="667">
        <v>2158.41</v>
      </c>
      <c r="F109" s="666">
        <v>1975.6</v>
      </c>
      <c r="G109" s="667">
        <v>2149.38</v>
      </c>
      <c r="H109" s="667">
        <v>2096.98</v>
      </c>
      <c r="I109" s="667">
        <v>0</v>
      </c>
      <c r="J109" s="667">
        <v>0</v>
      </c>
      <c r="K109" s="667">
        <v>0</v>
      </c>
      <c r="L109" s="667">
        <v>0</v>
      </c>
      <c r="M109" s="667">
        <v>0</v>
      </c>
      <c r="N109" s="667">
        <v>0</v>
      </c>
      <c r="O109" s="669">
        <f t="shared" si="16"/>
        <v>12331.43</v>
      </c>
      <c r="P109" s="660">
        <v>65.566294086681893</v>
      </c>
    </row>
    <row r="110" spans="1:17" ht="15" x14ac:dyDescent="0.3">
      <c r="A110">
        <v>6666010321</v>
      </c>
      <c r="B110" s="665" t="s">
        <v>313</v>
      </c>
      <c r="D110" s="667"/>
      <c r="E110" s="667"/>
      <c r="F110" s="666">
        <v>0</v>
      </c>
      <c r="G110" s="667">
        <v>0</v>
      </c>
      <c r="H110" s="667">
        <v>0</v>
      </c>
      <c r="I110" s="667">
        <v>0</v>
      </c>
      <c r="J110" s="667">
        <v>0</v>
      </c>
      <c r="K110" s="667">
        <v>0</v>
      </c>
      <c r="L110" s="667">
        <v>0</v>
      </c>
      <c r="M110" s="667">
        <v>0</v>
      </c>
      <c r="N110" s="667">
        <v>0</v>
      </c>
      <c r="O110" s="673">
        <f>C111+D110+E110+F110+G110+H110+I110+J110+K110+L110+M110+N110</f>
        <v>3085.95</v>
      </c>
      <c r="P110" s="660">
        <v>0</v>
      </c>
    </row>
    <row r="111" spans="1:17" ht="15" x14ac:dyDescent="0.3">
      <c r="A111">
        <v>6666010227</v>
      </c>
      <c r="B111" s="665" t="s">
        <v>314</v>
      </c>
      <c r="C111" s="666">
        <v>3085.95</v>
      </c>
      <c r="D111" s="667">
        <v>2538.09</v>
      </c>
      <c r="E111" s="667">
        <v>2805.33</v>
      </c>
      <c r="F111" s="666">
        <v>2933.35</v>
      </c>
      <c r="G111" s="667">
        <v>3127.82</v>
      </c>
      <c r="H111" s="667">
        <v>3135.99</v>
      </c>
      <c r="I111" s="667">
        <v>0</v>
      </c>
      <c r="J111" s="667">
        <v>0</v>
      </c>
      <c r="K111" s="667">
        <v>0</v>
      </c>
      <c r="L111" s="667">
        <v>0</v>
      </c>
      <c r="M111" s="667">
        <v>0</v>
      </c>
      <c r="N111" s="667">
        <v>0</v>
      </c>
      <c r="O111" s="673">
        <f>C112+D111+E111+F111+G111+H111+I111+J111+K111+L111+M111+N111</f>
        <v>215950.61000000002</v>
      </c>
      <c r="P111" s="660">
        <v>99.753067204772776</v>
      </c>
    </row>
    <row r="112" spans="1:17" x14ac:dyDescent="0.3">
      <c r="A112" s="670" t="s">
        <v>218</v>
      </c>
      <c r="B112" s="671" t="s">
        <v>218</v>
      </c>
      <c r="C112" s="672">
        <f>SUM(C105:C111)</f>
        <v>201410.03000000003</v>
      </c>
      <c r="D112" s="672">
        <f t="shared" ref="D112:P112" si="29">SUM(D105:D111)</f>
        <v>196437.13999999998</v>
      </c>
      <c r="E112" s="672">
        <f t="shared" si="29"/>
        <v>183060.28999999998</v>
      </c>
      <c r="F112" s="672">
        <f t="shared" si="29"/>
        <v>153930.57999999999</v>
      </c>
      <c r="G112" s="672">
        <f t="shared" si="29"/>
        <v>185657.69</v>
      </c>
      <c r="H112" s="672">
        <f t="shared" si="29"/>
        <v>195032.93</v>
      </c>
      <c r="I112" s="672">
        <f t="shared" ref="I112:N112" si="30">SUM(I105:I111)</f>
        <v>101294.838931247</v>
      </c>
      <c r="J112" s="672">
        <f t="shared" si="30"/>
        <v>101876.14670384186</v>
      </c>
      <c r="K112" s="672">
        <f t="shared" si="30"/>
        <v>109106.57602284873</v>
      </c>
      <c r="L112" s="672">
        <f t="shared" si="30"/>
        <v>102316.05548693042</v>
      </c>
      <c r="M112" s="672">
        <f t="shared" si="30"/>
        <v>100663.84322805285</v>
      </c>
      <c r="N112" s="672">
        <f t="shared" si="30"/>
        <v>99064.143248307606</v>
      </c>
      <c r="O112" s="672">
        <f t="shared" si="16"/>
        <v>1729850.2636212283</v>
      </c>
      <c r="P112" s="672">
        <f t="shared" si="29"/>
        <v>5704.4296683628745</v>
      </c>
      <c r="Q112" s="695"/>
    </row>
    <row r="113" spans="1:16" ht="15" x14ac:dyDescent="0.3">
      <c r="A113">
        <v>6666020903</v>
      </c>
      <c r="B113" s="665" t="s">
        <v>315</v>
      </c>
      <c r="C113" s="666"/>
      <c r="D113" s="666"/>
      <c r="E113" s="673"/>
      <c r="F113" s="673">
        <v>0</v>
      </c>
      <c r="G113" s="667">
        <v>0</v>
      </c>
      <c r="H113" s="673">
        <v>0</v>
      </c>
      <c r="I113" s="673">
        <v>0</v>
      </c>
      <c r="J113" s="673">
        <v>0</v>
      </c>
      <c r="K113" s="673">
        <v>0</v>
      </c>
      <c r="L113" s="673">
        <v>0</v>
      </c>
      <c r="M113" s="673">
        <v>0</v>
      </c>
      <c r="N113" s="673">
        <v>0</v>
      </c>
      <c r="O113" s="673">
        <f t="shared" ref="O113:O128" si="31">C114+D113+E113+F113+G113+H113+I113+J113+K113+L113+M113+N113</f>
        <v>9603.56</v>
      </c>
      <c r="P113" s="660">
        <v>0</v>
      </c>
    </row>
    <row r="114" spans="1:16" ht="15" x14ac:dyDescent="0.3">
      <c r="A114">
        <v>6666010302</v>
      </c>
      <c r="B114" s="665" t="s">
        <v>316</v>
      </c>
      <c r="C114" s="666">
        <v>9603.56</v>
      </c>
      <c r="D114" s="667">
        <v>9424.48</v>
      </c>
      <c r="E114" s="667">
        <v>9248</v>
      </c>
      <c r="F114" s="666">
        <v>-18883.16</v>
      </c>
      <c r="G114" s="667">
        <v>-2008.28</v>
      </c>
      <c r="H114" s="667">
        <v>6103.46</v>
      </c>
      <c r="I114" s="667">
        <v>4387.275240530038</v>
      </c>
      <c r="J114" s="667">
        <v>4352.4555957639268</v>
      </c>
      <c r="K114" s="667">
        <v>4317.912297384848</v>
      </c>
      <c r="L114" s="667">
        <v>4243.6484495182776</v>
      </c>
      <c r="M114" s="667">
        <v>4170.6618668484298</v>
      </c>
      <c r="N114" s="667">
        <v>4098.9305816692176</v>
      </c>
      <c r="O114" s="669">
        <f t="shared" si="31"/>
        <v>39896.654031714745</v>
      </c>
      <c r="P114" s="660">
        <v>225.96644148096175</v>
      </c>
    </row>
    <row r="115" spans="1:16" ht="15" x14ac:dyDescent="0.3">
      <c r="A115">
        <v>6666010314</v>
      </c>
      <c r="B115" s="665" t="s">
        <v>317</v>
      </c>
      <c r="C115" s="666">
        <v>10441.27</v>
      </c>
      <c r="D115" s="667">
        <v>100699.38</v>
      </c>
      <c r="E115" s="667">
        <v>238.2</v>
      </c>
      <c r="F115" s="666">
        <v>702.06</v>
      </c>
      <c r="G115" s="667">
        <v>12519.26</v>
      </c>
      <c r="H115" s="667">
        <v>0</v>
      </c>
      <c r="I115" s="667">
        <v>1553.3683019831788</v>
      </c>
      <c r="J115" s="667">
        <v>1528.5849107415368</v>
      </c>
      <c r="K115" s="667">
        <v>1504.5799193002094</v>
      </c>
      <c r="L115" s="667">
        <v>1481.3172225411906</v>
      </c>
      <c r="M115" s="667">
        <v>1459.5548050879422</v>
      </c>
      <c r="N115" s="667">
        <v>1438.4225642411857</v>
      </c>
      <c r="O115" s="669">
        <f t="shared" si="31"/>
        <v>146571.04772389526</v>
      </c>
      <c r="P115" s="660">
        <v>0</v>
      </c>
    </row>
    <row r="116" spans="1:16" ht="15" x14ac:dyDescent="0.3">
      <c r="A116">
        <v>6666010315</v>
      </c>
      <c r="B116" s="665" t="s">
        <v>581</v>
      </c>
      <c r="C116" s="666">
        <v>23446.32</v>
      </c>
      <c r="D116" s="667">
        <v>128223.72</v>
      </c>
      <c r="E116" s="667">
        <v>4164.1899999999996</v>
      </c>
      <c r="F116" s="666">
        <v>1241.48</v>
      </c>
      <c r="G116" s="667">
        <v>9416.52</v>
      </c>
      <c r="H116" s="667">
        <v>70.099999999999994</v>
      </c>
      <c r="I116" s="667">
        <v>10796.881233418273</v>
      </c>
      <c r="J116" s="667">
        <v>10711.191699819714</v>
      </c>
      <c r="K116" s="667">
        <v>10626.182241884637</v>
      </c>
      <c r="L116" s="667">
        <v>10541.847462187141</v>
      </c>
      <c r="M116" s="667">
        <v>10360.538046375566</v>
      </c>
      <c r="N116" s="667">
        <v>10182.346974324881</v>
      </c>
      <c r="O116" s="669">
        <f t="shared" si="31"/>
        <v>269026.47765801026</v>
      </c>
      <c r="P116" s="660">
        <v>2.237225829092822</v>
      </c>
    </row>
    <row r="117" spans="1:16" ht="15" x14ac:dyDescent="0.3">
      <c r="A117">
        <v>6666020401</v>
      </c>
      <c r="B117" s="665" t="s">
        <v>318</v>
      </c>
      <c r="C117" s="666">
        <v>62691.48</v>
      </c>
      <c r="D117" s="667">
        <v>73895.42</v>
      </c>
      <c r="E117" s="667">
        <v>51743.22</v>
      </c>
      <c r="F117" s="666">
        <v>81102.38</v>
      </c>
      <c r="G117" s="667">
        <v>71892.740000000005</v>
      </c>
      <c r="H117" s="667">
        <v>76385.22</v>
      </c>
      <c r="I117" s="667">
        <v>35552.79579929819</v>
      </c>
      <c r="J117" s="667">
        <v>35527.149811224575</v>
      </c>
      <c r="K117" s="667">
        <v>80694.738984298747</v>
      </c>
      <c r="L117" s="667">
        <v>37832.307484663084</v>
      </c>
      <c r="M117" s="667">
        <v>39559.616951940261</v>
      </c>
      <c r="N117" s="667">
        <v>31440.276645762471</v>
      </c>
      <c r="O117" s="669">
        <f t="shared" si="31"/>
        <v>659742.3056771874</v>
      </c>
      <c r="P117" s="660">
        <v>2835.4741866994182</v>
      </c>
    </row>
    <row r="118" spans="1:16" ht="15" x14ac:dyDescent="0.3">
      <c r="A118">
        <v>6666020502</v>
      </c>
      <c r="B118" s="665" t="s">
        <v>320</v>
      </c>
      <c r="C118" s="666">
        <v>44116.44</v>
      </c>
      <c r="D118" s="667">
        <v>66620.179999999993</v>
      </c>
      <c r="E118" s="667">
        <v>34536.85</v>
      </c>
      <c r="F118" s="666">
        <v>84557.55</v>
      </c>
      <c r="G118" s="667">
        <v>70691.56</v>
      </c>
      <c r="H118" s="667">
        <v>75323.649999999994</v>
      </c>
      <c r="I118" s="667">
        <v>33772.122734426892</v>
      </c>
      <c r="J118" s="667">
        <v>33804.386400023563</v>
      </c>
      <c r="K118" s="667">
        <v>34832.861630449283</v>
      </c>
      <c r="L118" s="667">
        <v>31271.857790196686</v>
      </c>
      <c r="M118" s="667">
        <v>32317.985601414635</v>
      </c>
      <c r="N118" s="667">
        <v>26235.26685540457</v>
      </c>
      <c r="O118" s="669">
        <f t="shared" si="31"/>
        <v>524783.87101191562</v>
      </c>
      <c r="P118" s="660">
        <v>2530.5304000701913</v>
      </c>
    </row>
    <row r="119" spans="1:16" ht="15" x14ac:dyDescent="0.3">
      <c r="A119">
        <v>6666020503</v>
      </c>
      <c r="B119" s="665" t="s">
        <v>321</v>
      </c>
      <c r="C119" s="666">
        <v>819.6</v>
      </c>
      <c r="D119" s="667">
        <v>569.58000000000004</v>
      </c>
      <c r="E119" s="666"/>
      <c r="F119" s="666">
        <v>1733.79</v>
      </c>
      <c r="G119" s="667">
        <v>754.12</v>
      </c>
      <c r="H119" s="667">
        <v>710.89</v>
      </c>
      <c r="I119" s="667">
        <v>1625.0506241114565</v>
      </c>
      <c r="J119" s="667">
        <v>1612.1533969359687</v>
      </c>
      <c r="K119" s="667">
        <v>1599.3585287063181</v>
      </c>
      <c r="L119" s="667">
        <v>1571.8511338637031</v>
      </c>
      <c r="M119" s="667">
        <v>1544.8168391780864</v>
      </c>
      <c r="N119" s="667">
        <v>1518.2475077917311</v>
      </c>
      <c r="O119" s="669">
        <f t="shared" si="31"/>
        <v>13239.858030587266</v>
      </c>
      <c r="P119" s="660">
        <v>27.788310229864898</v>
      </c>
    </row>
    <row r="120" spans="1:16" ht="15" x14ac:dyDescent="0.3">
      <c r="A120">
        <v>6666020901</v>
      </c>
      <c r="B120" s="665" t="s">
        <v>582</v>
      </c>
      <c r="C120" s="666"/>
      <c r="D120" s="666"/>
      <c r="E120" s="673"/>
      <c r="F120" s="673">
        <v>0</v>
      </c>
      <c r="G120" s="667">
        <v>0</v>
      </c>
      <c r="H120" s="673">
        <v>0</v>
      </c>
      <c r="I120" s="673">
        <v>0</v>
      </c>
      <c r="J120" s="673">
        <v>0</v>
      </c>
      <c r="K120" s="673">
        <v>0</v>
      </c>
      <c r="L120" s="673">
        <v>0</v>
      </c>
      <c r="M120" s="673">
        <v>0</v>
      </c>
      <c r="N120" s="673">
        <v>0</v>
      </c>
      <c r="O120" s="673">
        <f t="shared" si="31"/>
        <v>0</v>
      </c>
      <c r="P120" s="660">
        <v>0</v>
      </c>
    </row>
    <row r="121" spans="1:16" ht="15" x14ac:dyDescent="0.3">
      <c r="A121">
        <v>6666021500</v>
      </c>
      <c r="B121" s="665" t="s">
        <v>322</v>
      </c>
      <c r="C121" s="666"/>
      <c r="D121" s="666"/>
      <c r="E121" s="666"/>
      <c r="F121" s="666">
        <v>0</v>
      </c>
      <c r="G121" s="667">
        <v>0</v>
      </c>
      <c r="H121" s="667">
        <v>0</v>
      </c>
      <c r="I121" s="667">
        <v>9000</v>
      </c>
      <c r="J121" s="667">
        <v>9000</v>
      </c>
      <c r="K121" s="667">
        <v>9000</v>
      </c>
      <c r="L121" s="667">
        <v>9000</v>
      </c>
      <c r="M121" s="667">
        <v>9000</v>
      </c>
      <c r="N121" s="667">
        <v>9000</v>
      </c>
      <c r="O121" s="669">
        <f t="shared" si="31"/>
        <v>92000</v>
      </c>
      <c r="P121" s="660">
        <v>0</v>
      </c>
    </row>
    <row r="122" spans="1:16" ht="15" x14ac:dyDescent="0.3">
      <c r="A122">
        <v>6666021502</v>
      </c>
      <c r="B122" s="665" t="s">
        <v>323</v>
      </c>
      <c r="C122" s="669">
        <v>38000</v>
      </c>
      <c r="D122" s="667">
        <v>20731.240000000002</v>
      </c>
      <c r="E122" s="667">
        <v>70645.2</v>
      </c>
      <c r="F122" s="666">
        <v>42055.32</v>
      </c>
      <c r="G122" s="667">
        <v>70522.399999999994</v>
      </c>
      <c r="H122" s="667">
        <v>-1341.86</v>
      </c>
      <c r="I122" s="667">
        <v>30650.914376433233</v>
      </c>
      <c r="J122" s="667">
        <v>30407.653151223447</v>
      </c>
      <c r="K122" s="667">
        <v>30166.32257065818</v>
      </c>
      <c r="L122" s="667">
        <v>29647.491469934328</v>
      </c>
      <c r="M122" s="667">
        <v>29137.583754235209</v>
      </c>
      <c r="N122" s="667">
        <v>28636.445950108311</v>
      </c>
      <c r="O122" s="669">
        <f t="shared" si="31"/>
        <v>393682.78127259266</v>
      </c>
      <c r="P122" s="660">
        <v>357.12423136435427</v>
      </c>
    </row>
    <row r="123" spans="1:16" ht="15" x14ac:dyDescent="0.3">
      <c r="A123">
        <v>6666021503</v>
      </c>
      <c r="B123" s="665" t="s">
        <v>324</v>
      </c>
      <c r="C123" s="666">
        <v>12424.07</v>
      </c>
      <c r="D123" s="667">
        <v>17717.13</v>
      </c>
      <c r="E123" s="667">
        <v>7083.69</v>
      </c>
      <c r="F123" s="666">
        <v>-1318.31</v>
      </c>
      <c r="G123" s="667">
        <v>11177.27</v>
      </c>
      <c r="H123" s="667">
        <v>6758.85</v>
      </c>
      <c r="I123" s="667">
        <v>7500</v>
      </c>
      <c r="J123" s="667">
        <v>7500</v>
      </c>
      <c r="K123" s="667">
        <v>7500.0000000000009</v>
      </c>
      <c r="L123" s="667">
        <v>7500</v>
      </c>
      <c r="M123" s="667">
        <v>7500</v>
      </c>
      <c r="N123" s="667">
        <v>7499.9999999999991</v>
      </c>
      <c r="O123" s="669">
        <f t="shared" si="31"/>
        <v>86418.63</v>
      </c>
      <c r="P123" s="660">
        <v>3.2851079136690609</v>
      </c>
    </row>
    <row r="124" spans="1:16" ht="15" x14ac:dyDescent="0.3">
      <c r="A124">
        <v>6666021505</v>
      </c>
      <c r="B124" s="665" t="s">
        <v>325</v>
      </c>
      <c r="C124" s="673"/>
      <c r="D124" s="667"/>
      <c r="E124" s="667"/>
      <c r="F124" s="666">
        <v>0</v>
      </c>
      <c r="G124" s="667">
        <v>0</v>
      </c>
      <c r="H124" s="673">
        <v>1.68</v>
      </c>
      <c r="I124" s="673">
        <v>0</v>
      </c>
      <c r="J124" s="673">
        <v>0</v>
      </c>
      <c r="K124" s="673">
        <v>0</v>
      </c>
      <c r="L124" s="673">
        <v>0</v>
      </c>
      <c r="M124" s="673">
        <v>0</v>
      </c>
      <c r="N124" s="673">
        <v>0</v>
      </c>
      <c r="O124" s="673">
        <f t="shared" si="31"/>
        <v>104133.42</v>
      </c>
      <c r="P124" s="660">
        <v>0</v>
      </c>
    </row>
    <row r="125" spans="1:16" ht="15" x14ac:dyDescent="0.3">
      <c r="A125">
        <v>6666021506</v>
      </c>
      <c r="B125" s="665" t="s">
        <v>326</v>
      </c>
      <c r="C125" s="673">
        <v>104131.74</v>
      </c>
      <c r="D125" s="667">
        <v>50112</v>
      </c>
      <c r="E125" s="667">
        <v>71923.960000000006</v>
      </c>
      <c r="F125" s="666">
        <v>-15318.7</v>
      </c>
      <c r="G125" s="667">
        <v>80371.16</v>
      </c>
      <c r="H125" s="667">
        <v>46420.66</v>
      </c>
      <c r="I125" s="667">
        <v>42254.007773137011</v>
      </c>
      <c r="J125" s="667">
        <v>41918.658505096239</v>
      </c>
      <c r="K125" s="667">
        <v>41585.970739182776</v>
      </c>
      <c r="L125" s="667">
        <v>40870.73291320174</v>
      </c>
      <c r="M125" s="667">
        <v>40167.796474891147</v>
      </c>
      <c r="N125" s="667">
        <v>40078.430286897827</v>
      </c>
      <c r="O125" s="669">
        <f t="shared" si="31"/>
        <v>495785.67669240671</v>
      </c>
      <c r="P125" s="660">
        <v>100.46334620108827</v>
      </c>
    </row>
    <row r="126" spans="1:16" s="682" customFormat="1" ht="15" x14ac:dyDescent="0.3">
      <c r="A126" s="676">
        <v>6666030300</v>
      </c>
      <c r="B126" s="677" t="s">
        <v>283</v>
      </c>
      <c r="C126" s="678">
        <f>15401</f>
        <v>15401</v>
      </c>
      <c r="D126" s="679">
        <f>7679.5</f>
        <v>7679.5</v>
      </c>
      <c r="E126" s="679">
        <f>3050.6</f>
        <v>3050.6</v>
      </c>
      <c r="F126" s="679">
        <v>-7516.74</v>
      </c>
      <c r="G126" s="679">
        <v>3605.06</v>
      </c>
      <c r="H126" s="679">
        <v>2911.98</v>
      </c>
      <c r="I126" s="679">
        <v>6566.49</v>
      </c>
      <c r="J126" s="679">
        <v>6547.72</v>
      </c>
      <c r="K126" s="679">
        <v>6529.09</v>
      </c>
      <c r="L126" s="679">
        <v>6489.04</v>
      </c>
      <c r="M126" s="679">
        <v>6449.68</v>
      </c>
      <c r="N126" s="679">
        <v>6410.99</v>
      </c>
      <c r="O126" s="679">
        <f>C128+D126+E126+F126+G126+H126+I126+J126+K126+L126+M126+N126</f>
        <v>48723.409999999996</v>
      </c>
      <c r="P126" s="660">
        <v>160.01923575108879</v>
      </c>
    </row>
    <row r="127" spans="1:16" ht="15" x14ac:dyDescent="0.3">
      <c r="A127">
        <v>6666091600</v>
      </c>
      <c r="B127" s="665" t="s">
        <v>327</v>
      </c>
      <c r="C127" s="669">
        <v>1555.6</v>
      </c>
      <c r="D127" s="666">
        <v>1586.66</v>
      </c>
      <c r="E127" s="667">
        <v>1280</v>
      </c>
      <c r="F127" s="666">
        <v>-402.34</v>
      </c>
      <c r="G127" s="667">
        <v>1.46</v>
      </c>
      <c r="H127" s="667">
        <v>0</v>
      </c>
      <c r="I127" s="667">
        <v>611.36077621166237</v>
      </c>
      <c r="J127" s="667">
        <v>606.50870655918879</v>
      </c>
      <c r="K127" s="667">
        <v>601.69514539602062</v>
      </c>
      <c r="L127" s="667">
        <v>591.3465802417893</v>
      </c>
      <c r="M127" s="667">
        <v>581.17600023763066</v>
      </c>
      <c r="N127" s="667">
        <v>571.18034421388757</v>
      </c>
      <c r="O127" s="669">
        <f t="shared" ref="O127" si="32">C128+D127+E127+F127+G127+H127+I127+J127+K127+L127+M127+N127</f>
        <v>6029.0475528601801</v>
      </c>
      <c r="P127" s="660">
        <v>0</v>
      </c>
    </row>
    <row r="128" spans="1:16" ht="15" x14ac:dyDescent="0.3">
      <c r="A128">
        <v>6666021504</v>
      </c>
      <c r="B128" s="665" t="s">
        <v>361</v>
      </c>
      <c r="C128" s="669"/>
      <c r="D128" s="666"/>
      <c r="E128" s="667"/>
      <c r="F128" s="666">
        <v>272.10000000000002</v>
      </c>
      <c r="G128" s="667">
        <v>0</v>
      </c>
      <c r="H128" s="667">
        <v>0</v>
      </c>
      <c r="I128" s="667">
        <v>0</v>
      </c>
      <c r="J128" s="667">
        <v>0</v>
      </c>
      <c r="K128" s="667">
        <v>0</v>
      </c>
      <c r="L128" s="667">
        <v>0</v>
      </c>
      <c r="M128" s="667">
        <v>0</v>
      </c>
      <c r="N128" s="667">
        <v>0</v>
      </c>
      <c r="O128" s="669">
        <f t="shared" si="31"/>
        <v>322903.18</v>
      </c>
      <c r="P128" s="660">
        <v>0</v>
      </c>
    </row>
    <row r="129" spans="1:18" x14ac:dyDescent="0.3">
      <c r="A129" s="670" t="s">
        <v>219</v>
      </c>
      <c r="B129" s="671" t="s">
        <v>219</v>
      </c>
      <c r="C129" s="672">
        <f t="shared" ref="C129:P129" si="33">SUM(C113:C128)</f>
        <v>322631.08</v>
      </c>
      <c r="D129" s="672">
        <f t="shared" si="33"/>
        <v>477259.29</v>
      </c>
      <c r="E129" s="672">
        <f t="shared" si="33"/>
        <v>253913.91</v>
      </c>
      <c r="F129" s="672">
        <f t="shared" si="33"/>
        <v>168225.43000000002</v>
      </c>
      <c r="G129" s="672">
        <f t="shared" si="33"/>
        <v>328943.27</v>
      </c>
      <c r="H129" s="672">
        <f t="shared" si="33"/>
        <v>213344.63000000003</v>
      </c>
      <c r="I129" s="672">
        <f t="shared" ref="I129:N129" si="34">SUM(I113:I128)</f>
        <v>184270.26685954994</v>
      </c>
      <c r="J129" s="672">
        <f t="shared" si="34"/>
        <v>183516.4621773882</v>
      </c>
      <c r="K129" s="672">
        <f t="shared" si="34"/>
        <v>228958.71205726103</v>
      </c>
      <c r="L129" s="672">
        <f t="shared" si="34"/>
        <v>181041.44050634792</v>
      </c>
      <c r="M129" s="672">
        <f t="shared" si="34"/>
        <v>182249.41034020891</v>
      </c>
      <c r="N129" s="672">
        <f t="shared" si="34"/>
        <v>167110.53771041406</v>
      </c>
      <c r="O129" s="672">
        <f t="shared" si="16"/>
        <v>2891464.4396511707</v>
      </c>
      <c r="P129" s="672">
        <f t="shared" si="33"/>
        <v>6242.8884855397282</v>
      </c>
      <c r="Q129" s="695"/>
    </row>
    <row r="130" spans="1:18" ht="15" x14ac:dyDescent="0.3">
      <c r="A130">
        <v>600006</v>
      </c>
      <c r="B130" s="665" t="s">
        <v>329</v>
      </c>
      <c r="C130" s="666">
        <v>212576.87</v>
      </c>
      <c r="D130" s="666">
        <v>156682.71</v>
      </c>
      <c r="E130" s="667">
        <v>171183.89</v>
      </c>
      <c r="F130" s="666">
        <v>168608.88</v>
      </c>
      <c r="G130" s="667">
        <v>270329.78999999998</v>
      </c>
      <c r="H130" s="667">
        <v>133747.73000000001</v>
      </c>
      <c r="I130" s="667">
        <v>0</v>
      </c>
      <c r="J130" s="667">
        <v>0</v>
      </c>
      <c r="K130" s="667">
        <v>0</v>
      </c>
      <c r="L130" s="667">
        <v>0</v>
      </c>
      <c r="M130" s="667">
        <v>0</v>
      </c>
      <c r="N130" s="667">
        <v>0</v>
      </c>
      <c r="O130" s="669">
        <f t="shared" si="16"/>
        <v>1113129.8699999999</v>
      </c>
      <c r="P130" s="660">
        <v>0</v>
      </c>
    </row>
    <row r="131" spans="1:18" x14ac:dyDescent="0.3">
      <c r="A131" s="670" t="s">
        <v>220</v>
      </c>
      <c r="B131" s="671" t="s">
        <v>220</v>
      </c>
      <c r="C131" s="672">
        <f>SUM(C130)</f>
        <v>212576.87</v>
      </c>
      <c r="D131" s="672">
        <f t="shared" ref="D131:P131" si="35">SUM(D130)</f>
        <v>156682.71</v>
      </c>
      <c r="E131" s="672">
        <f t="shared" si="35"/>
        <v>171183.89</v>
      </c>
      <c r="F131" s="672">
        <f t="shared" si="35"/>
        <v>168608.88</v>
      </c>
      <c r="G131" s="672">
        <f>SUM(G130)</f>
        <v>270329.78999999998</v>
      </c>
      <c r="H131" s="672">
        <f t="shared" si="35"/>
        <v>133747.73000000001</v>
      </c>
      <c r="I131" s="672">
        <f t="shared" ref="I131:N131" si="36">SUM(I130)</f>
        <v>0</v>
      </c>
      <c r="J131" s="672">
        <f t="shared" si="36"/>
        <v>0</v>
      </c>
      <c r="K131" s="672">
        <f t="shared" si="36"/>
        <v>0</v>
      </c>
      <c r="L131" s="672">
        <f t="shared" si="36"/>
        <v>0</v>
      </c>
      <c r="M131" s="672">
        <f t="shared" si="36"/>
        <v>0</v>
      </c>
      <c r="N131" s="672">
        <f t="shared" si="36"/>
        <v>0</v>
      </c>
      <c r="O131" s="672">
        <f t="shared" si="16"/>
        <v>1113129.8699999999</v>
      </c>
      <c r="P131" s="672">
        <f t="shared" si="35"/>
        <v>0</v>
      </c>
    </row>
    <row r="132" spans="1:18" x14ac:dyDescent="0.3">
      <c r="A132" t="s">
        <v>583</v>
      </c>
      <c r="B132" s="683" t="s">
        <v>330</v>
      </c>
      <c r="C132" s="684">
        <f t="shared" ref="C132:P132" si="37">+C12+C20+C25+C81+C86+C88+C90+C92+C96+C104+C112+C129+C131</f>
        <v>2261309.23</v>
      </c>
      <c r="D132" s="684">
        <f t="shared" si="37"/>
        <v>2302075.1099999994</v>
      </c>
      <c r="E132" s="684">
        <f t="shared" si="37"/>
        <v>2412982.9200000004</v>
      </c>
      <c r="F132" s="684">
        <f t="shared" si="37"/>
        <v>1115149.1800000002</v>
      </c>
      <c r="G132" s="684">
        <f t="shared" si="37"/>
        <v>2394119.11</v>
      </c>
      <c r="H132" s="684">
        <f t="shared" si="37"/>
        <v>1844923.28</v>
      </c>
      <c r="I132" s="684">
        <f t="shared" ref="I132:N132" si="38">+I12+I20+I25+I81+I86+I88+I90+I92+I96+I104+I112+I129+I131</f>
        <v>1447788.9250274713</v>
      </c>
      <c r="J132" s="684">
        <f t="shared" si="38"/>
        <v>1429335.2365927775</v>
      </c>
      <c r="K132" s="684">
        <f t="shared" si="38"/>
        <v>1537193.911295952</v>
      </c>
      <c r="L132" s="684">
        <f t="shared" si="38"/>
        <v>1616161.7032236052</v>
      </c>
      <c r="M132" s="684">
        <f t="shared" si="38"/>
        <v>1524234.191870553</v>
      </c>
      <c r="N132" s="684">
        <f t="shared" si="38"/>
        <v>1595873.4424467997</v>
      </c>
      <c r="O132" s="684">
        <f t="shared" si="16"/>
        <v>21481146.240457155</v>
      </c>
      <c r="P132" s="684">
        <f t="shared" si="37"/>
        <v>60940.568969356704</v>
      </c>
      <c r="R132" s="685"/>
    </row>
    <row r="133" spans="1:18" ht="15" x14ac:dyDescent="0.3">
      <c r="A133">
        <v>6666110101</v>
      </c>
      <c r="B133" s="665" t="s">
        <v>225</v>
      </c>
      <c r="C133" s="666">
        <v>-30304.75</v>
      </c>
      <c r="D133" s="667">
        <v>-27467.759999999998</v>
      </c>
      <c r="E133" s="667">
        <v>-30316.080000000002</v>
      </c>
      <c r="F133" s="666">
        <v>-26820.22</v>
      </c>
      <c r="G133" s="667">
        <v>-29661.919999999998</v>
      </c>
      <c r="H133" s="667">
        <v>-28858.959999999999</v>
      </c>
      <c r="I133" s="667"/>
      <c r="J133" s="667"/>
      <c r="K133" s="667"/>
      <c r="L133" s="667"/>
      <c r="M133" s="667"/>
      <c r="N133" s="667"/>
      <c r="O133" s="669">
        <f t="shared" si="16"/>
        <v>-173429.68999999997</v>
      </c>
      <c r="P133" s="691"/>
    </row>
    <row r="134" spans="1:18" ht="15" x14ac:dyDescent="0.3">
      <c r="A134">
        <v>6666110107</v>
      </c>
      <c r="B134" s="665" t="s">
        <v>227</v>
      </c>
      <c r="C134" s="666">
        <v>-40031.980000000003</v>
      </c>
      <c r="D134" s="667">
        <v>-36939.410000000003</v>
      </c>
      <c r="E134" s="667">
        <v>-40102.36</v>
      </c>
      <c r="F134" s="666">
        <v>-9839.42</v>
      </c>
      <c r="G134" s="667">
        <v>-33681.230000000003</v>
      </c>
      <c r="H134" s="667">
        <v>-32832.46</v>
      </c>
      <c r="I134" s="667"/>
      <c r="J134" s="667"/>
      <c r="K134" s="667"/>
      <c r="L134" s="667"/>
      <c r="M134" s="667"/>
      <c r="N134" s="667"/>
      <c r="O134" s="669">
        <f t="shared" si="16"/>
        <v>-193426.86000000002</v>
      </c>
    </row>
    <row r="135" spans="1:18" ht="15" x14ac:dyDescent="0.3">
      <c r="A135">
        <v>6666110110</v>
      </c>
      <c r="B135" s="665" t="s">
        <v>228</v>
      </c>
      <c r="C135" s="666">
        <v>-35920.65</v>
      </c>
      <c r="D135" s="667">
        <v>-32783.949999999997</v>
      </c>
      <c r="E135" s="667">
        <v>-36052.85</v>
      </c>
      <c r="F135" s="666">
        <v>-14661.62</v>
      </c>
      <c r="G135" s="667">
        <v>-27696.69</v>
      </c>
      <c r="H135" s="667">
        <v>-27362.97</v>
      </c>
      <c r="I135" s="667"/>
      <c r="J135" s="667"/>
      <c r="K135" s="667"/>
      <c r="L135" s="667"/>
      <c r="M135" s="667"/>
      <c r="N135" s="667"/>
      <c r="O135" s="669">
        <f t="shared" si="16"/>
        <v>-174478.73</v>
      </c>
    </row>
    <row r="136" spans="1:18" ht="15" x14ac:dyDescent="0.3">
      <c r="A136">
        <v>6666110112</v>
      </c>
      <c r="B136" s="665" t="s">
        <v>229</v>
      </c>
      <c r="C136" s="666">
        <v>-6853.84</v>
      </c>
      <c r="D136" s="667">
        <v>-6440.64</v>
      </c>
      <c r="E136" s="667">
        <v>-6967.53</v>
      </c>
      <c r="F136" s="666">
        <v>1210.0899999999999</v>
      </c>
      <c r="G136" s="667">
        <v>-3005</v>
      </c>
      <c r="H136" s="667">
        <v>-3122.85</v>
      </c>
      <c r="I136" s="667"/>
      <c r="J136" s="667"/>
      <c r="K136" s="667"/>
      <c r="L136" s="667"/>
      <c r="M136" s="667"/>
      <c r="N136" s="667"/>
      <c r="O136" s="669">
        <f t="shared" si="16"/>
        <v>-25179.769999999997</v>
      </c>
    </row>
    <row r="137" spans="1:18" ht="15" x14ac:dyDescent="0.3">
      <c r="A137">
        <v>6666110204</v>
      </c>
      <c r="B137" s="665" t="s">
        <v>230</v>
      </c>
      <c r="C137" s="666">
        <v>-252.52</v>
      </c>
      <c r="D137" s="667">
        <v>-252.51</v>
      </c>
      <c r="E137" s="667">
        <v>-252.52</v>
      </c>
      <c r="F137" s="666">
        <v>454.53</v>
      </c>
      <c r="G137" s="667">
        <v>-75.760000000000005</v>
      </c>
      <c r="H137" s="667">
        <v>-75.75</v>
      </c>
      <c r="I137" s="667"/>
      <c r="J137" s="667"/>
      <c r="K137" s="667"/>
      <c r="L137" s="667"/>
      <c r="M137" s="667"/>
      <c r="N137" s="667"/>
      <c r="O137" s="669">
        <f t="shared" si="16"/>
        <v>-454.53</v>
      </c>
    </row>
    <row r="138" spans="1:18" ht="15" x14ac:dyDescent="0.3">
      <c r="A138">
        <v>6666110207</v>
      </c>
      <c r="B138" s="665" t="s">
        <v>231</v>
      </c>
      <c r="C138" s="666">
        <v>-2349.91</v>
      </c>
      <c r="D138" s="667">
        <v>-2348.67</v>
      </c>
      <c r="E138" s="667">
        <v>-2349.9299999999998</v>
      </c>
      <c r="F138" s="666">
        <v>3415.34</v>
      </c>
      <c r="G138" s="667">
        <v>-932.28</v>
      </c>
      <c r="H138" s="667">
        <v>-930.09</v>
      </c>
      <c r="I138" s="667"/>
      <c r="J138" s="667"/>
      <c r="K138" s="667"/>
      <c r="L138" s="667"/>
      <c r="M138" s="667"/>
      <c r="N138" s="667"/>
      <c r="O138" s="669">
        <f t="shared" si="16"/>
        <v>-5495.54</v>
      </c>
    </row>
    <row r="139" spans="1:18" ht="15" x14ac:dyDescent="0.3">
      <c r="A139">
        <v>6666110506</v>
      </c>
      <c r="B139" s="665" t="s">
        <v>232</v>
      </c>
      <c r="C139" s="666"/>
      <c r="D139" s="666"/>
      <c r="E139" s="666"/>
      <c r="F139" s="666">
        <v>0</v>
      </c>
      <c r="G139" s="667">
        <v>0</v>
      </c>
      <c r="H139" s="667">
        <v>0</v>
      </c>
      <c r="I139" s="667"/>
      <c r="J139" s="667"/>
      <c r="K139" s="669"/>
      <c r="L139" s="669"/>
      <c r="M139" s="669"/>
      <c r="N139" s="669"/>
      <c r="O139" s="669">
        <f t="shared" si="16"/>
        <v>0</v>
      </c>
    </row>
    <row r="140" spans="1:18" x14ac:dyDescent="0.3">
      <c r="A140" s="670" t="s">
        <v>207</v>
      </c>
      <c r="B140" s="671" t="s">
        <v>207</v>
      </c>
      <c r="C140" s="672">
        <f>SUM(C133:C139)</f>
        <v>-115713.65000000001</v>
      </c>
      <c r="D140" s="672">
        <f t="shared" ref="D140:H140" si="39">SUM(D133:D139)</f>
        <v>-106232.93999999999</v>
      </c>
      <c r="E140" s="672">
        <f t="shared" si="39"/>
        <v>-116041.27</v>
      </c>
      <c r="F140" s="672">
        <f t="shared" si="39"/>
        <v>-46241.3</v>
      </c>
      <c r="G140" s="672">
        <f t="shared" si="39"/>
        <v>-95052.87999999999</v>
      </c>
      <c r="H140" s="672">
        <f t="shared" si="39"/>
        <v>-93183.08</v>
      </c>
      <c r="I140" s="672">
        <f t="shared" ref="I140:N140" si="40">SUM(I133:I139)</f>
        <v>0</v>
      </c>
      <c r="J140" s="672">
        <f t="shared" si="40"/>
        <v>0</v>
      </c>
      <c r="K140" s="672">
        <f t="shared" si="40"/>
        <v>0</v>
      </c>
      <c r="L140" s="672">
        <f t="shared" si="40"/>
        <v>0</v>
      </c>
      <c r="M140" s="672">
        <f t="shared" si="40"/>
        <v>0</v>
      </c>
      <c r="N140" s="672">
        <f t="shared" si="40"/>
        <v>0</v>
      </c>
      <c r="O140" s="672">
        <f t="shared" si="16"/>
        <v>-572465.12</v>
      </c>
    </row>
    <row r="141" spans="1:18" ht="15" x14ac:dyDescent="0.3">
      <c r="A141">
        <v>5001010205</v>
      </c>
      <c r="B141" s="665" t="s">
        <v>233</v>
      </c>
      <c r="C141" s="673"/>
      <c r="D141" s="673"/>
      <c r="E141" s="673"/>
      <c r="F141" s="666">
        <v>-41.32</v>
      </c>
      <c r="G141" s="667">
        <v>41.32</v>
      </c>
      <c r="H141" s="667">
        <v>0</v>
      </c>
      <c r="I141" s="673"/>
      <c r="J141" s="667"/>
      <c r="K141" s="673"/>
      <c r="L141" s="673"/>
      <c r="M141" s="673"/>
      <c r="N141" s="673"/>
      <c r="O141" s="673">
        <f t="shared" si="16"/>
        <v>0</v>
      </c>
    </row>
    <row r="142" spans="1:18" ht="15" x14ac:dyDescent="0.3">
      <c r="A142">
        <v>6666010380</v>
      </c>
      <c r="B142" s="674" t="s">
        <v>234</v>
      </c>
      <c r="C142" s="673"/>
      <c r="D142" s="673"/>
      <c r="E142" s="673"/>
      <c r="F142" s="666">
        <v>0</v>
      </c>
      <c r="G142" s="667">
        <v>0</v>
      </c>
      <c r="H142" s="667">
        <v>0</v>
      </c>
      <c r="I142" s="673"/>
      <c r="J142" s="667"/>
      <c r="K142" s="667"/>
      <c r="L142" s="667"/>
      <c r="M142" s="667"/>
      <c r="N142" s="667"/>
      <c r="O142" s="673">
        <f t="shared" si="16"/>
        <v>0</v>
      </c>
    </row>
    <row r="143" spans="1:18" ht="15" x14ac:dyDescent="0.3">
      <c r="A143">
        <v>6666010019</v>
      </c>
      <c r="B143" s="665" t="s">
        <v>235</v>
      </c>
      <c r="C143" s="673"/>
      <c r="D143" s="673"/>
      <c r="E143" s="673"/>
      <c r="F143" s="666">
        <v>-346.02</v>
      </c>
      <c r="G143" s="667">
        <v>346.02</v>
      </c>
      <c r="H143" s="667">
        <v>0</v>
      </c>
      <c r="I143" s="673"/>
      <c r="J143" s="667"/>
      <c r="K143" s="673"/>
      <c r="L143" s="673"/>
      <c r="M143" s="673"/>
      <c r="N143" s="673"/>
      <c r="O143" s="673">
        <f t="shared" si="16"/>
        <v>0</v>
      </c>
    </row>
    <row r="144" spans="1:18" ht="15" x14ac:dyDescent="0.3">
      <c r="A144">
        <v>6666010183</v>
      </c>
      <c r="B144" s="665" t="s">
        <v>236</v>
      </c>
      <c r="C144" s="673"/>
      <c r="D144" s="673"/>
      <c r="E144" s="673"/>
      <c r="F144" s="666">
        <v>-189.08</v>
      </c>
      <c r="G144" s="667">
        <v>189.08</v>
      </c>
      <c r="H144" s="667">
        <v>0</v>
      </c>
      <c r="I144" s="673"/>
      <c r="J144" s="667"/>
      <c r="K144" s="673"/>
      <c r="L144" s="673"/>
      <c r="M144" s="673"/>
      <c r="N144" s="673"/>
      <c r="O144" s="673">
        <f t="shared" ref="O144:O211" si="41">C144+D144+E144+F144+G144+H144+I144+J144+K144+L144+M144+N144</f>
        <v>0</v>
      </c>
    </row>
    <row r="145" spans="1:15" ht="15" x14ac:dyDescent="0.3">
      <c r="A145">
        <v>6666010229</v>
      </c>
      <c r="B145" s="665" t="s">
        <v>237</v>
      </c>
      <c r="C145" s="673"/>
      <c r="D145" s="673"/>
      <c r="E145" s="673"/>
      <c r="F145" s="666">
        <v>0</v>
      </c>
      <c r="G145" s="667">
        <v>0</v>
      </c>
      <c r="H145" s="667">
        <v>0</v>
      </c>
      <c r="I145" s="673"/>
      <c r="J145" s="673"/>
      <c r="K145" s="673"/>
      <c r="L145" s="673"/>
      <c r="M145" s="673"/>
      <c r="N145" s="673"/>
      <c r="O145" s="673">
        <f t="shared" si="41"/>
        <v>0</v>
      </c>
    </row>
    <row r="146" spans="1:15" ht="15" x14ac:dyDescent="0.3">
      <c r="A146">
        <v>6666010188</v>
      </c>
      <c r="B146" s="665" t="s">
        <v>238</v>
      </c>
      <c r="C146" s="673"/>
      <c r="D146" s="667">
        <v>681.75</v>
      </c>
      <c r="E146" s="667">
        <v>886.93</v>
      </c>
      <c r="F146" s="666">
        <v>-1907.86</v>
      </c>
      <c r="G146" s="667">
        <v>1907.86</v>
      </c>
      <c r="H146" s="667">
        <v>0</v>
      </c>
      <c r="I146" s="673"/>
      <c r="J146" s="667"/>
      <c r="K146" s="673"/>
      <c r="L146" s="673"/>
      <c r="M146" s="673"/>
      <c r="N146" s="673"/>
      <c r="O146" s="673">
        <f t="shared" si="41"/>
        <v>1568.6799999999998</v>
      </c>
    </row>
    <row r="147" spans="1:15" ht="15" x14ac:dyDescent="0.3">
      <c r="A147">
        <v>6666010115</v>
      </c>
      <c r="B147" s="665" t="s">
        <v>240</v>
      </c>
      <c r="C147" s="673"/>
      <c r="D147" s="673"/>
      <c r="E147" s="673"/>
      <c r="F147" s="666">
        <v>0</v>
      </c>
      <c r="G147" s="667">
        <v>0</v>
      </c>
      <c r="H147" s="667">
        <v>0</v>
      </c>
      <c r="I147" s="673"/>
      <c r="J147" s="673"/>
      <c r="K147" s="673"/>
      <c r="L147" s="673"/>
      <c r="M147" s="673"/>
      <c r="N147" s="673"/>
      <c r="O147" s="673">
        <f t="shared" si="41"/>
        <v>0</v>
      </c>
    </row>
    <row r="148" spans="1:15" x14ac:dyDescent="0.3">
      <c r="A148" s="670" t="s">
        <v>208</v>
      </c>
      <c r="B148" s="671" t="s">
        <v>208</v>
      </c>
      <c r="C148" s="686">
        <f>SUM(C141:C147)</f>
        <v>0</v>
      </c>
      <c r="D148" s="686">
        <f t="shared" ref="D148:N148" si="42">SUM(D141:D147)</f>
        <v>681.75</v>
      </c>
      <c r="E148" s="686">
        <f t="shared" si="42"/>
        <v>886.93</v>
      </c>
      <c r="F148" s="686">
        <f t="shared" si="42"/>
        <v>-2484.2799999999997</v>
      </c>
      <c r="G148" s="686">
        <f t="shared" si="42"/>
        <v>2484.2799999999997</v>
      </c>
      <c r="H148" s="686">
        <f t="shared" si="42"/>
        <v>0</v>
      </c>
      <c r="I148" s="686">
        <f t="shared" si="42"/>
        <v>0</v>
      </c>
      <c r="J148" s="686">
        <f t="shared" si="42"/>
        <v>0</v>
      </c>
      <c r="K148" s="686">
        <f t="shared" si="42"/>
        <v>0</v>
      </c>
      <c r="L148" s="686">
        <f t="shared" si="42"/>
        <v>0</v>
      </c>
      <c r="M148" s="686">
        <f t="shared" si="42"/>
        <v>0</v>
      </c>
      <c r="N148" s="686">
        <f t="shared" si="42"/>
        <v>0</v>
      </c>
      <c r="O148" s="686">
        <f t="shared" si="41"/>
        <v>1568.6799999999998</v>
      </c>
    </row>
    <row r="149" spans="1:15" ht="15" x14ac:dyDescent="0.3">
      <c r="A149">
        <v>8701530201</v>
      </c>
      <c r="B149" s="665" t="s">
        <v>241</v>
      </c>
      <c r="C149" s="673"/>
      <c r="D149" s="673"/>
      <c r="E149" s="673"/>
      <c r="F149" s="666">
        <v>0</v>
      </c>
      <c r="G149" s="667">
        <v>0</v>
      </c>
      <c r="H149" s="667">
        <v>0</v>
      </c>
      <c r="I149" s="673"/>
      <c r="J149" s="673"/>
      <c r="K149" s="673"/>
      <c r="L149" s="673"/>
      <c r="M149" s="673"/>
      <c r="N149" s="673"/>
      <c r="O149" s="673">
        <f t="shared" si="41"/>
        <v>0</v>
      </c>
    </row>
    <row r="150" spans="1:15" ht="15" x14ac:dyDescent="0.3">
      <c r="A150">
        <v>6666050309</v>
      </c>
      <c r="B150" s="665" t="s">
        <v>242</v>
      </c>
      <c r="C150" s="666">
        <v>-6168.19</v>
      </c>
      <c r="D150" s="667">
        <v>-5892.8</v>
      </c>
      <c r="E150" s="667">
        <v>-5338.31</v>
      </c>
      <c r="F150" s="666">
        <v>-4388.8999999999996</v>
      </c>
      <c r="G150" s="667">
        <v>-3705.51</v>
      </c>
      <c r="H150" s="667">
        <v>-5075.4399999999996</v>
      </c>
      <c r="I150" s="667"/>
      <c r="J150" s="667"/>
      <c r="K150" s="667"/>
      <c r="L150" s="667"/>
      <c r="M150" s="667"/>
      <c r="N150" s="667"/>
      <c r="O150" s="669">
        <f t="shared" si="41"/>
        <v>-30569.149999999998</v>
      </c>
    </row>
    <row r="151" spans="1:15" ht="15" x14ac:dyDescent="0.3">
      <c r="A151">
        <v>6666050308</v>
      </c>
      <c r="B151" s="665" t="s">
        <v>243</v>
      </c>
      <c r="C151" s="666">
        <v>-11971.61</v>
      </c>
      <c r="D151" s="667">
        <v>-11930.57</v>
      </c>
      <c r="E151" s="667">
        <v>-5089.34</v>
      </c>
      <c r="F151" s="666">
        <v>-39331.89</v>
      </c>
      <c r="G151" s="667">
        <v>-12691.94</v>
      </c>
      <c r="H151" s="667">
        <v>-22429.53</v>
      </c>
      <c r="I151" s="667"/>
      <c r="J151" s="667"/>
      <c r="K151" s="667"/>
      <c r="L151" s="667"/>
      <c r="M151" s="667"/>
      <c r="N151" s="667"/>
      <c r="O151" s="669">
        <f t="shared" si="41"/>
        <v>-103444.88</v>
      </c>
    </row>
    <row r="152" spans="1:15" ht="15" x14ac:dyDescent="0.3">
      <c r="A152">
        <v>6666050306</v>
      </c>
      <c r="B152" s="665" t="s">
        <v>244</v>
      </c>
      <c r="C152" s="669">
        <v>-604.94000000000005</v>
      </c>
      <c r="D152" s="667">
        <v>-550.84</v>
      </c>
      <c r="E152" s="667">
        <v>-1301.76</v>
      </c>
      <c r="F152" s="666">
        <v>-1289.03</v>
      </c>
      <c r="G152" s="667">
        <v>-503.11</v>
      </c>
      <c r="H152" s="667">
        <v>-1011.41</v>
      </c>
      <c r="I152" s="667"/>
      <c r="J152" s="669"/>
      <c r="K152" s="667"/>
      <c r="L152" s="667"/>
      <c r="M152" s="667"/>
      <c r="N152" s="667"/>
      <c r="O152" s="669">
        <f t="shared" si="41"/>
        <v>-5261.0899999999992</v>
      </c>
    </row>
    <row r="153" spans="1:15" x14ac:dyDescent="0.3">
      <c r="A153" s="670" t="s">
        <v>209</v>
      </c>
      <c r="B153" s="671" t="s">
        <v>209</v>
      </c>
      <c r="C153" s="672">
        <f>SUM(C149:C152)</f>
        <v>-18744.739999999998</v>
      </c>
      <c r="D153" s="672">
        <f t="shared" ref="D153:H153" si="43">SUM(D149:D152)</f>
        <v>-18374.21</v>
      </c>
      <c r="E153" s="672">
        <f t="shared" si="43"/>
        <v>-11729.410000000002</v>
      </c>
      <c r="F153" s="672">
        <f t="shared" si="43"/>
        <v>-45009.82</v>
      </c>
      <c r="G153" s="672">
        <f t="shared" si="43"/>
        <v>-16900.560000000001</v>
      </c>
      <c r="H153" s="672">
        <f t="shared" si="43"/>
        <v>-28516.379999999997</v>
      </c>
      <c r="I153" s="672">
        <f t="shared" ref="I153:N153" si="44">SUM(I149:I152)</f>
        <v>0</v>
      </c>
      <c r="J153" s="672">
        <f t="shared" si="44"/>
        <v>0</v>
      </c>
      <c r="K153" s="672">
        <f t="shared" si="44"/>
        <v>0</v>
      </c>
      <c r="L153" s="672">
        <f t="shared" si="44"/>
        <v>0</v>
      </c>
      <c r="M153" s="672">
        <f t="shared" si="44"/>
        <v>0</v>
      </c>
      <c r="N153" s="672">
        <f t="shared" si="44"/>
        <v>0</v>
      </c>
      <c r="O153" s="672">
        <f t="shared" si="41"/>
        <v>-139275.12</v>
      </c>
    </row>
    <row r="154" spans="1:15" x14ac:dyDescent="0.3">
      <c r="A154">
        <v>6666029996</v>
      </c>
      <c r="B154" s="665" t="s">
        <v>246</v>
      </c>
      <c r="C154" s="673">
        <v>-23.35</v>
      </c>
      <c r="D154" s="667">
        <v>23.35</v>
      </c>
      <c r="E154" s="667">
        <v>-27.61</v>
      </c>
      <c r="F154" s="673">
        <v>0</v>
      </c>
      <c r="G154" s="673">
        <v>-14.32</v>
      </c>
      <c r="H154" s="673">
        <v>-34.08</v>
      </c>
      <c r="I154" s="673"/>
      <c r="J154" s="673"/>
      <c r="K154" s="673"/>
      <c r="L154" s="667"/>
      <c r="M154" s="673"/>
      <c r="N154" s="667"/>
      <c r="O154" s="673">
        <f t="shared" si="41"/>
        <v>-76.009999999999991</v>
      </c>
    </row>
    <row r="155" spans="1:15" ht="15" x14ac:dyDescent="0.3">
      <c r="A155">
        <v>6666010322</v>
      </c>
      <c r="B155" s="665" t="s">
        <v>248</v>
      </c>
      <c r="C155" s="666">
        <v>-1487.62</v>
      </c>
      <c r="D155" s="667">
        <v>-76.62</v>
      </c>
      <c r="E155" s="667">
        <v>-828.14</v>
      </c>
      <c r="F155" s="666">
        <v>1629.72</v>
      </c>
      <c r="G155" s="667">
        <v>8.07</v>
      </c>
      <c r="H155" s="667">
        <v>0.48</v>
      </c>
      <c r="I155" s="667"/>
      <c r="J155" s="667"/>
      <c r="K155" s="667"/>
      <c r="L155" s="667"/>
      <c r="M155" s="667"/>
      <c r="N155" s="667"/>
      <c r="O155" s="669">
        <f t="shared" si="41"/>
        <v>-754.10999999999956</v>
      </c>
    </row>
    <row r="156" spans="1:15" ht="15" x14ac:dyDescent="0.3">
      <c r="A156">
        <v>6666020495</v>
      </c>
      <c r="B156" s="665" t="s">
        <v>249</v>
      </c>
      <c r="C156" s="666">
        <v>-163.16</v>
      </c>
      <c r="D156" s="667">
        <v>-348.9</v>
      </c>
      <c r="E156" s="667">
        <v>-654.71</v>
      </c>
      <c r="F156" s="666">
        <v>-203.81</v>
      </c>
      <c r="G156" s="667">
        <v>-679.01</v>
      </c>
      <c r="H156" s="667">
        <v>-620.28</v>
      </c>
      <c r="I156" s="667"/>
      <c r="J156" s="667"/>
      <c r="K156" s="667"/>
      <c r="L156" s="667"/>
      <c r="M156" s="667"/>
      <c r="N156" s="667"/>
      <c r="O156" s="669">
        <f t="shared" si="41"/>
        <v>-2669.87</v>
      </c>
    </row>
    <row r="157" spans="1:15" x14ac:dyDescent="0.3">
      <c r="A157">
        <v>5102010151</v>
      </c>
      <c r="B157" s="665" t="s">
        <v>250</v>
      </c>
      <c r="C157" s="673"/>
      <c r="D157" s="667">
        <v>99.62</v>
      </c>
      <c r="E157" s="673"/>
      <c r="F157" s="673">
        <v>0</v>
      </c>
      <c r="G157" s="673">
        <v>0</v>
      </c>
      <c r="H157" s="673">
        <v>0</v>
      </c>
      <c r="I157" s="673"/>
      <c r="J157" s="673"/>
      <c r="K157" s="673"/>
      <c r="L157" s="673"/>
      <c r="M157" s="673"/>
      <c r="N157" s="673"/>
      <c r="O157" s="673">
        <f t="shared" si="41"/>
        <v>99.62</v>
      </c>
    </row>
    <row r="158" spans="1:15" x14ac:dyDescent="0.3">
      <c r="A158">
        <v>5001010200</v>
      </c>
      <c r="B158" s="665" t="s">
        <v>251</v>
      </c>
      <c r="C158" s="673"/>
      <c r="D158" s="667">
        <v>-1.44</v>
      </c>
      <c r="E158" s="667">
        <v>1381.54</v>
      </c>
      <c r="F158" s="673">
        <v>0</v>
      </c>
      <c r="G158" s="667">
        <v>0</v>
      </c>
      <c r="H158" s="667">
        <v>0</v>
      </c>
      <c r="I158" s="673"/>
      <c r="J158" s="673"/>
      <c r="K158" s="667"/>
      <c r="L158" s="673"/>
      <c r="M158" s="673"/>
      <c r="N158" s="673"/>
      <c r="O158" s="673">
        <f t="shared" si="41"/>
        <v>1380.1</v>
      </c>
    </row>
    <row r="159" spans="1:15" x14ac:dyDescent="0.3">
      <c r="A159">
        <v>5001010201</v>
      </c>
      <c r="B159" s="665" t="s">
        <v>252</v>
      </c>
      <c r="C159" s="673"/>
      <c r="D159" s="673"/>
      <c r="E159" s="673"/>
      <c r="F159" s="673">
        <v>0</v>
      </c>
      <c r="G159" s="667">
        <v>0</v>
      </c>
      <c r="H159" s="667">
        <v>0</v>
      </c>
      <c r="I159" s="673"/>
      <c r="J159" s="673"/>
      <c r="K159" s="667"/>
      <c r="L159" s="673"/>
      <c r="M159" s="673"/>
      <c r="N159" s="673"/>
      <c r="O159" s="673">
        <f t="shared" si="41"/>
        <v>0</v>
      </c>
    </row>
    <row r="160" spans="1:15" x14ac:dyDescent="0.3">
      <c r="A160" s="783">
        <v>5001010204</v>
      </c>
      <c r="B160" s="674" t="s">
        <v>641</v>
      </c>
      <c r="C160" s="673"/>
      <c r="D160" s="673"/>
      <c r="E160" s="667">
        <v>-259.52999999999997</v>
      </c>
      <c r="F160" s="673">
        <v>0</v>
      </c>
      <c r="G160" s="667">
        <v>0</v>
      </c>
      <c r="H160" s="667">
        <v>0</v>
      </c>
      <c r="I160" s="673"/>
      <c r="J160" s="673"/>
      <c r="K160" s="667"/>
      <c r="L160" s="673"/>
      <c r="M160" s="673"/>
      <c r="N160" s="673"/>
      <c r="O160" s="673">
        <f t="shared" si="41"/>
        <v>-259.52999999999997</v>
      </c>
    </row>
    <row r="161" spans="1:15" x14ac:dyDescent="0.3">
      <c r="A161">
        <v>5102040893</v>
      </c>
      <c r="B161" s="665" t="s">
        <v>253</v>
      </c>
      <c r="C161" s="669"/>
      <c r="D161" s="669"/>
      <c r="E161" s="669"/>
      <c r="F161" s="669">
        <v>0</v>
      </c>
      <c r="G161" s="669">
        <v>0</v>
      </c>
      <c r="H161" s="667">
        <v>0</v>
      </c>
      <c r="I161" s="669"/>
      <c r="J161" s="669"/>
      <c r="K161" s="669"/>
      <c r="L161" s="669"/>
      <c r="M161" s="669"/>
      <c r="N161" s="669"/>
      <c r="O161" s="669">
        <f t="shared" si="41"/>
        <v>0</v>
      </c>
    </row>
    <row r="162" spans="1:15" x14ac:dyDescent="0.3">
      <c r="A162">
        <v>5207000012</v>
      </c>
      <c r="B162" s="665" t="s">
        <v>254</v>
      </c>
      <c r="C162" s="673"/>
      <c r="D162" s="673"/>
      <c r="E162" s="673"/>
      <c r="F162" s="673">
        <v>0</v>
      </c>
      <c r="G162" s="673">
        <v>0</v>
      </c>
      <c r="H162" s="673">
        <v>0</v>
      </c>
      <c r="I162" s="673"/>
      <c r="J162" s="673"/>
      <c r="K162" s="673"/>
      <c r="L162" s="673"/>
      <c r="M162" s="673"/>
      <c r="N162" s="673"/>
      <c r="O162" s="673">
        <f t="shared" si="41"/>
        <v>0</v>
      </c>
    </row>
    <row r="163" spans="1:15" x14ac:dyDescent="0.3">
      <c r="A163">
        <v>5301999999</v>
      </c>
      <c r="B163" s="665" t="s">
        <v>257</v>
      </c>
      <c r="C163" s="673"/>
      <c r="D163" s="673"/>
      <c r="E163" s="673"/>
      <c r="F163" s="673">
        <v>400.81</v>
      </c>
      <c r="G163" s="673">
        <v>376.37</v>
      </c>
      <c r="H163" s="673">
        <v>255.58</v>
      </c>
      <c r="I163" s="673"/>
      <c r="J163" s="673"/>
      <c r="K163" s="673"/>
      <c r="L163" s="673"/>
      <c r="M163" s="667"/>
      <c r="N163" s="673"/>
      <c r="O163" s="673">
        <f t="shared" si="41"/>
        <v>1032.76</v>
      </c>
    </row>
    <row r="164" spans="1:15" ht="15" x14ac:dyDescent="0.3">
      <c r="A164">
        <v>5405030000</v>
      </c>
      <c r="B164" s="665" t="s">
        <v>258</v>
      </c>
      <c r="C164" s="666"/>
      <c r="D164" s="666"/>
      <c r="E164" s="666"/>
      <c r="F164" s="666">
        <v>0</v>
      </c>
      <c r="G164" s="667">
        <v>0</v>
      </c>
      <c r="H164" s="667">
        <v>0</v>
      </c>
      <c r="I164" s="667"/>
      <c r="J164" s="667"/>
      <c r="K164" s="667"/>
      <c r="L164" s="669"/>
      <c r="M164" s="667"/>
      <c r="N164" s="667"/>
      <c r="O164" s="669">
        <f t="shared" si="41"/>
        <v>0</v>
      </c>
    </row>
    <row r="165" spans="1:15" ht="15" x14ac:dyDescent="0.3">
      <c r="A165">
        <v>5601050100</v>
      </c>
      <c r="B165" s="665" t="s">
        <v>260</v>
      </c>
      <c r="C165" s="673"/>
      <c r="D165" s="673"/>
      <c r="E165" s="666"/>
      <c r="F165" s="666">
        <v>-128</v>
      </c>
      <c r="G165" s="673">
        <v>-264.2</v>
      </c>
      <c r="H165" s="673">
        <v>0</v>
      </c>
      <c r="I165" s="667"/>
      <c r="J165" s="673"/>
      <c r="K165" s="667"/>
      <c r="L165" s="673"/>
      <c r="M165" s="673"/>
      <c r="N165" s="673"/>
      <c r="O165" s="673">
        <f t="shared" si="41"/>
        <v>-392.2</v>
      </c>
    </row>
    <row r="166" spans="1:15" ht="15" x14ac:dyDescent="0.3">
      <c r="A166">
        <v>6666020101</v>
      </c>
      <c r="B166" s="665" t="s">
        <v>261</v>
      </c>
      <c r="C166" s="669">
        <v>-4705.5200000000004</v>
      </c>
      <c r="D166" s="667">
        <v>-4617.78</v>
      </c>
      <c r="E166" s="667">
        <v>-4530</v>
      </c>
      <c r="F166" s="666">
        <v>13318.96</v>
      </c>
      <c r="G166" s="667">
        <v>-1063.47</v>
      </c>
      <c r="H166" s="667">
        <v>-1.02</v>
      </c>
      <c r="I166" s="667"/>
      <c r="J166" s="667"/>
      <c r="K166" s="667"/>
      <c r="L166" s="667"/>
      <c r="M166" s="667"/>
      <c r="N166" s="667"/>
      <c r="O166" s="669">
        <f t="shared" si="41"/>
        <v>-1598.8300000000002</v>
      </c>
    </row>
    <row r="167" spans="1:15" ht="15" x14ac:dyDescent="0.3">
      <c r="A167">
        <v>6666020201</v>
      </c>
      <c r="B167" s="665" t="s">
        <v>262</v>
      </c>
      <c r="C167" s="669"/>
      <c r="D167" s="666"/>
      <c r="E167" s="669"/>
      <c r="F167" s="669">
        <v>-81.849999999999994</v>
      </c>
      <c r="G167" s="669">
        <v>-186.03</v>
      </c>
      <c r="H167" s="667">
        <v>0</v>
      </c>
      <c r="I167" s="669"/>
      <c r="J167" s="667"/>
      <c r="K167" s="669"/>
      <c r="L167" s="667"/>
      <c r="M167" s="669"/>
      <c r="N167" s="667"/>
      <c r="O167" s="669">
        <f t="shared" si="41"/>
        <v>-267.88</v>
      </c>
    </row>
    <row r="168" spans="1:15" ht="15" x14ac:dyDescent="0.3">
      <c r="A168">
        <v>6666020202</v>
      </c>
      <c r="B168" s="665" t="s">
        <v>263</v>
      </c>
      <c r="C168" s="673"/>
      <c r="D168" s="666"/>
      <c r="E168" s="673"/>
      <c r="F168" s="673">
        <v>-264.29000000000002</v>
      </c>
      <c r="G168" s="673">
        <v>0</v>
      </c>
      <c r="H168" s="673">
        <v>0</v>
      </c>
      <c r="I168" s="673"/>
      <c r="J168" s="667"/>
      <c r="K168" s="673"/>
      <c r="L168" s="673"/>
      <c r="M168" s="673"/>
      <c r="N168" s="667"/>
      <c r="O168" s="673">
        <f t="shared" si="41"/>
        <v>-264.29000000000002</v>
      </c>
    </row>
    <row r="169" spans="1:15" x14ac:dyDescent="0.3">
      <c r="A169">
        <v>6666020204</v>
      </c>
      <c r="B169" s="665" t="s">
        <v>264</v>
      </c>
      <c r="C169" s="669">
        <v>-2556.11</v>
      </c>
      <c r="D169" s="667">
        <v>-2508.44</v>
      </c>
      <c r="E169" s="667">
        <v>-2934.2</v>
      </c>
      <c r="F169" s="669">
        <v>3948.57</v>
      </c>
      <c r="G169" s="667">
        <v>-13.11</v>
      </c>
      <c r="H169" s="669">
        <v>-2372.54</v>
      </c>
      <c r="I169" s="667"/>
      <c r="J169" s="667"/>
      <c r="K169" s="667"/>
      <c r="L169" s="669"/>
      <c r="M169" s="669"/>
      <c r="N169" s="667"/>
      <c r="O169" s="669">
        <f t="shared" si="41"/>
        <v>-6435.83</v>
      </c>
    </row>
    <row r="170" spans="1:15" x14ac:dyDescent="0.3">
      <c r="A170">
        <v>6666020205</v>
      </c>
      <c r="B170" s="665" t="s">
        <v>265</v>
      </c>
      <c r="C170" s="673"/>
      <c r="D170" s="667"/>
      <c r="E170" s="667"/>
      <c r="F170" s="673">
        <v>0</v>
      </c>
      <c r="G170" s="673">
        <v>0</v>
      </c>
      <c r="H170" s="673">
        <v>0</v>
      </c>
      <c r="I170" s="673"/>
      <c r="J170" s="673"/>
      <c r="K170" s="673"/>
      <c r="L170" s="673"/>
      <c r="M170" s="667"/>
      <c r="N170" s="673"/>
      <c r="O170" s="673">
        <f t="shared" si="41"/>
        <v>0</v>
      </c>
    </row>
    <row r="171" spans="1:15" ht="15" x14ac:dyDescent="0.3">
      <c r="A171">
        <v>6666020301</v>
      </c>
      <c r="B171" s="665" t="s">
        <v>266</v>
      </c>
      <c r="C171" s="673">
        <v>-233.51</v>
      </c>
      <c r="D171" s="667">
        <v>-66.489999999999995</v>
      </c>
      <c r="E171" s="667">
        <v>-296.11</v>
      </c>
      <c r="F171" s="666">
        <v>-273.75</v>
      </c>
      <c r="G171" s="667">
        <v>-152.65</v>
      </c>
      <c r="H171" s="667">
        <v>-61.54</v>
      </c>
      <c r="I171" s="667"/>
      <c r="J171" s="667"/>
      <c r="K171" s="667"/>
      <c r="L171" s="667"/>
      <c r="M171" s="669"/>
      <c r="N171" s="667"/>
      <c r="O171" s="669">
        <f t="shared" si="41"/>
        <v>-1084.05</v>
      </c>
    </row>
    <row r="172" spans="1:15" x14ac:dyDescent="0.3">
      <c r="A172">
        <v>6666020302</v>
      </c>
      <c r="B172" s="665" t="s">
        <v>268</v>
      </c>
      <c r="C172" s="673"/>
      <c r="D172" s="673"/>
      <c r="E172" s="673"/>
      <c r="F172" s="673">
        <v>0</v>
      </c>
      <c r="G172" s="673">
        <v>0</v>
      </c>
      <c r="H172" s="673">
        <v>0</v>
      </c>
      <c r="I172" s="673"/>
      <c r="J172" s="673"/>
      <c r="K172" s="673"/>
      <c r="L172" s="673"/>
      <c r="M172" s="673"/>
      <c r="N172" s="673"/>
      <c r="O172" s="673">
        <f t="shared" si="41"/>
        <v>0</v>
      </c>
    </row>
    <row r="173" spans="1:15" x14ac:dyDescent="0.3">
      <c r="A173">
        <v>6666020403</v>
      </c>
      <c r="B173" s="674" t="s">
        <v>269</v>
      </c>
      <c r="C173" s="673"/>
      <c r="D173" s="673"/>
      <c r="E173" s="673"/>
      <c r="F173" s="673">
        <v>0</v>
      </c>
      <c r="G173" s="673">
        <v>0</v>
      </c>
      <c r="H173" s="667">
        <v>0</v>
      </c>
      <c r="I173" s="667"/>
      <c r="J173" s="673"/>
      <c r="K173" s="673"/>
      <c r="L173" s="673"/>
      <c r="M173" s="673"/>
      <c r="N173" s="667"/>
      <c r="O173" s="673">
        <f t="shared" si="41"/>
        <v>0</v>
      </c>
    </row>
    <row r="174" spans="1:15" x14ac:dyDescent="0.3">
      <c r="A174">
        <v>6666020504</v>
      </c>
      <c r="B174" s="665" t="s">
        <v>271</v>
      </c>
      <c r="C174" s="673"/>
      <c r="D174" s="673"/>
      <c r="E174" s="673"/>
      <c r="F174" s="673">
        <v>0</v>
      </c>
      <c r="G174" s="667">
        <v>0</v>
      </c>
      <c r="H174" s="673">
        <v>0</v>
      </c>
      <c r="I174" s="667"/>
      <c r="J174" s="667"/>
      <c r="K174" s="673"/>
      <c r="L174" s="673"/>
      <c r="M174" s="673"/>
      <c r="N174" s="673"/>
      <c r="O174" s="673">
        <f t="shared" si="41"/>
        <v>0</v>
      </c>
    </row>
    <row r="175" spans="1:15" x14ac:dyDescent="0.3">
      <c r="A175">
        <v>6666020508</v>
      </c>
      <c r="B175" s="665" t="s">
        <v>272</v>
      </c>
      <c r="C175" s="673"/>
      <c r="D175" s="673"/>
      <c r="E175" s="673"/>
      <c r="F175" s="673">
        <v>-16.11</v>
      </c>
      <c r="G175" s="673">
        <v>-62.2</v>
      </c>
      <c r="H175" s="673">
        <v>-45.65</v>
      </c>
      <c r="I175" s="667"/>
      <c r="J175" s="673"/>
      <c r="K175" s="667"/>
      <c r="L175" s="673"/>
      <c r="M175" s="673"/>
      <c r="N175" s="667"/>
      <c r="O175" s="673">
        <f t="shared" si="41"/>
        <v>-123.96000000000001</v>
      </c>
    </row>
    <row r="176" spans="1:15" x14ac:dyDescent="0.3">
      <c r="A176">
        <v>6666020602</v>
      </c>
      <c r="B176" s="665" t="s">
        <v>273</v>
      </c>
      <c r="C176" s="669">
        <v>-416.13</v>
      </c>
      <c r="D176" s="667">
        <v>-544.42999999999995</v>
      </c>
      <c r="E176" s="667">
        <v>371.73</v>
      </c>
      <c r="F176" s="669">
        <v>0</v>
      </c>
      <c r="G176" s="669">
        <v>0</v>
      </c>
      <c r="H176" s="667">
        <v>-8462.7199999999993</v>
      </c>
      <c r="I176" s="667"/>
      <c r="J176" s="667"/>
      <c r="K176" s="667"/>
      <c r="L176" s="667"/>
      <c r="M176" s="667"/>
      <c r="N176" s="667"/>
      <c r="O176" s="669">
        <f t="shared" si="41"/>
        <v>-9051.5499999999993</v>
      </c>
    </row>
    <row r="177" spans="1:15" x14ac:dyDescent="0.3">
      <c r="A177">
        <v>6666020701</v>
      </c>
      <c r="B177" s="665" t="s">
        <v>274</v>
      </c>
      <c r="C177" s="673"/>
      <c r="D177" s="673"/>
      <c r="E177" s="667"/>
      <c r="F177" s="673">
        <v>0</v>
      </c>
      <c r="G177" s="673">
        <v>0</v>
      </c>
      <c r="H177" s="673">
        <v>0</v>
      </c>
      <c r="I177" s="673"/>
      <c r="J177" s="673"/>
      <c r="K177" s="673"/>
      <c r="L177" s="673"/>
      <c r="M177" s="673"/>
      <c r="N177" s="673"/>
      <c r="O177" s="673">
        <f t="shared" si="41"/>
        <v>0</v>
      </c>
    </row>
    <row r="178" spans="1:15" x14ac:dyDescent="0.3">
      <c r="A178">
        <v>6666020801</v>
      </c>
      <c r="B178" s="665" t="s">
        <v>338</v>
      </c>
      <c r="C178" s="673"/>
      <c r="D178" s="673"/>
      <c r="E178" s="673"/>
      <c r="F178" s="673">
        <v>0</v>
      </c>
      <c r="G178" s="673">
        <v>0</v>
      </c>
      <c r="H178" s="673">
        <v>0</v>
      </c>
      <c r="I178" s="673"/>
      <c r="J178" s="673"/>
      <c r="K178" s="673"/>
      <c r="L178" s="673"/>
      <c r="M178" s="673"/>
      <c r="N178" s="673"/>
      <c r="O178" s="673">
        <f t="shared" si="41"/>
        <v>0</v>
      </c>
    </row>
    <row r="179" spans="1:15" ht="15" x14ac:dyDescent="0.3">
      <c r="A179">
        <v>6666020802</v>
      </c>
      <c r="B179" s="665" t="s">
        <v>275</v>
      </c>
      <c r="C179" s="673">
        <v>-10732.5</v>
      </c>
      <c r="D179" s="667">
        <v>-10758</v>
      </c>
      <c r="E179" s="667">
        <v>-11307.33</v>
      </c>
      <c r="F179" s="666">
        <v>-12410.71</v>
      </c>
      <c r="G179" s="667">
        <v>-14821.92</v>
      </c>
      <c r="H179" s="667">
        <v>-12919.82</v>
      </c>
      <c r="I179" s="667"/>
      <c r="J179" s="667"/>
      <c r="K179" s="667"/>
      <c r="L179" s="667"/>
      <c r="M179" s="667"/>
      <c r="N179" s="667"/>
      <c r="O179" s="669">
        <f t="shared" si="41"/>
        <v>-72950.28</v>
      </c>
    </row>
    <row r="180" spans="1:15" ht="15" x14ac:dyDescent="0.3">
      <c r="A180">
        <v>6666020803</v>
      </c>
      <c r="B180" s="665" t="s">
        <v>276</v>
      </c>
      <c r="C180" s="666">
        <v>-1902.58</v>
      </c>
      <c r="D180" s="667">
        <v>-1932.6</v>
      </c>
      <c r="E180" s="667">
        <v>-1579.62</v>
      </c>
      <c r="F180" s="666">
        <v>-2435.1</v>
      </c>
      <c r="G180" s="667">
        <v>-1783.99</v>
      </c>
      <c r="H180" s="667">
        <v>-1755.2</v>
      </c>
      <c r="I180" s="667"/>
      <c r="J180" s="667"/>
      <c r="K180" s="667"/>
      <c r="L180" s="667"/>
      <c r="M180" s="667"/>
      <c r="N180" s="667"/>
      <c r="O180" s="669">
        <f t="shared" si="41"/>
        <v>-11389.09</v>
      </c>
    </row>
    <row r="181" spans="1:15" ht="15" x14ac:dyDescent="0.3">
      <c r="A181">
        <v>6666021100</v>
      </c>
      <c r="B181" s="665" t="s">
        <v>277</v>
      </c>
      <c r="C181" s="666">
        <v>-7283.24</v>
      </c>
      <c r="D181" s="667">
        <v>-5793.29</v>
      </c>
      <c r="E181" s="667">
        <v>-5685</v>
      </c>
      <c r="F181" s="666">
        <v>4636.99</v>
      </c>
      <c r="G181" s="667">
        <v>-7322.94</v>
      </c>
      <c r="H181" s="667">
        <v>-7234.74</v>
      </c>
      <c r="I181" s="667"/>
      <c r="J181" s="667"/>
      <c r="K181" s="667"/>
      <c r="L181" s="667"/>
      <c r="M181" s="667"/>
      <c r="N181" s="667"/>
      <c r="O181" s="669">
        <f t="shared" si="41"/>
        <v>-28682.22</v>
      </c>
    </row>
    <row r="182" spans="1:15" ht="15" x14ac:dyDescent="0.3">
      <c r="A182">
        <v>6666021104</v>
      </c>
      <c r="B182" s="674" t="s">
        <v>267</v>
      </c>
      <c r="C182" s="666"/>
      <c r="D182" s="666"/>
      <c r="E182" s="666"/>
      <c r="F182" s="666">
        <v>0</v>
      </c>
      <c r="G182" s="667">
        <v>0</v>
      </c>
      <c r="H182" s="667">
        <v>0</v>
      </c>
      <c r="I182" s="667"/>
      <c r="J182" s="669"/>
      <c r="K182" s="669"/>
      <c r="L182" s="669"/>
      <c r="M182" s="669"/>
      <c r="N182" s="669"/>
      <c r="O182" s="669">
        <f t="shared" si="41"/>
        <v>0</v>
      </c>
    </row>
    <row r="183" spans="1:15" ht="15" x14ac:dyDescent="0.3">
      <c r="A183">
        <v>6666021902</v>
      </c>
      <c r="B183" s="665" t="s">
        <v>278</v>
      </c>
      <c r="C183" s="666">
        <v>-6572.44</v>
      </c>
      <c r="D183" s="667">
        <v>-9008.2999999999993</v>
      </c>
      <c r="E183" s="667">
        <v>-4927.7299999999996</v>
      </c>
      <c r="F183" s="666">
        <v>-6957.77</v>
      </c>
      <c r="G183" s="667">
        <v>-6124.1</v>
      </c>
      <c r="H183" s="667">
        <v>-9349.58</v>
      </c>
      <c r="I183" s="667"/>
      <c r="J183" s="667"/>
      <c r="K183" s="667"/>
      <c r="L183" s="667"/>
      <c r="M183" s="667"/>
      <c r="N183" s="667"/>
      <c r="O183" s="669">
        <f t="shared" si="41"/>
        <v>-42939.92</v>
      </c>
    </row>
    <row r="184" spans="1:15" ht="15" x14ac:dyDescent="0.3">
      <c r="A184">
        <v>6666022100</v>
      </c>
      <c r="B184" s="665" t="s">
        <v>279</v>
      </c>
      <c r="C184" s="103">
        <v>-1424.6</v>
      </c>
      <c r="D184" s="667">
        <v>-1239.72</v>
      </c>
      <c r="E184" s="667">
        <v>-1194.78</v>
      </c>
      <c r="F184" s="666">
        <v>-1386.88</v>
      </c>
      <c r="G184" s="667">
        <v>-1685.29</v>
      </c>
      <c r="H184" s="667">
        <v>-1477.89</v>
      </c>
      <c r="I184" s="667"/>
      <c r="J184" s="667"/>
      <c r="K184" s="667"/>
      <c r="L184" s="667"/>
      <c r="M184" s="667"/>
      <c r="N184" s="667"/>
      <c r="O184" s="669">
        <f t="shared" si="41"/>
        <v>-8409.16</v>
      </c>
    </row>
    <row r="185" spans="1:15" x14ac:dyDescent="0.3">
      <c r="A185">
        <v>6666022300</v>
      </c>
      <c r="B185" s="665" t="s">
        <v>280</v>
      </c>
      <c r="C185" s="673"/>
      <c r="D185" s="673"/>
      <c r="E185" s="673"/>
      <c r="F185" s="673">
        <v>0</v>
      </c>
      <c r="G185" s="673">
        <v>0</v>
      </c>
      <c r="H185" s="673">
        <v>0</v>
      </c>
      <c r="I185" s="673"/>
      <c r="J185" s="673"/>
      <c r="K185" s="673"/>
      <c r="L185" s="673"/>
      <c r="M185" s="673"/>
      <c r="N185" s="673"/>
      <c r="O185" s="673">
        <f t="shared" si="41"/>
        <v>0</v>
      </c>
    </row>
    <row r="186" spans="1:15" x14ac:dyDescent="0.3">
      <c r="A186">
        <v>6666029900</v>
      </c>
      <c r="B186" s="665" t="s">
        <v>281</v>
      </c>
      <c r="C186" s="673"/>
      <c r="D186" s="673"/>
      <c r="E186" s="673"/>
      <c r="F186" s="673">
        <v>0</v>
      </c>
      <c r="G186" s="673">
        <v>0</v>
      </c>
      <c r="H186" s="673">
        <v>0</v>
      </c>
      <c r="I186" s="673"/>
      <c r="J186" s="673"/>
      <c r="K186" s="673"/>
      <c r="L186" s="673"/>
      <c r="M186" s="673"/>
      <c r="N186" s="667"/>
      <c r="O186" s="673">
        <f t="shared" si="41"/>
        <v>0</v>
      </c>
    </row>
    <row r="187" spans="1:15" ht="15" x14ac:dyDescent="0.3">
      <c r="A187">
        <v>6666029997</v>
      </c>
      <c r="B187" s="665" t="s">
        <v>282</v>
      </c>
      <c r="C187" s="666"/>
      <c r="D187" s="667">
        <v>2893.94</v>
      </c>
      <c r="E187" s="669"/>
      <c r="F187" s="669">
        <v>0</v>
      </c>
      <c r="G187" s="669">
        <v>0</v>
      </c>
      <c r="H187" s="669">
        <v>0</v>
      </c>
      <c r="I187" s="669"/>
      <c r="J187" s="669"/>
      <c r="K187" s="669"/>
      <c r="L187" s="669"/>
      <c r="M187" s="669"/>
      <c r="N187" s="669"/>
      <c r="O187" s="669">
        <f t="shared" si="41"/>
        <v>2893.94</v>
      </c>
    </row>
    <row r="188" spans="1:15" ht="15" x14ac:dyDescent="0.3">
      <c r="A188">
        <v>6666030300</v>
      </c>
      <c r="B188" s="677" t="s">
        <v>283</v>
      </c>
      <c r="C188" s="678">
        <f>-7700.5*0</f>
        <v>0</v>
      </c>
      <c r="D188" s="679">
        <f>-3889.56*0</f>
        <v>0</v>
      </c>
      <c r="E188" s="679">
        <f>-1525.3*0</f>
        <v>0</v>
      </c>
      <c r="F188" s="679"/>
      <c r="G188" s="679"/>
      <c r="H188" s="679"/>
      <c r="I188" s="679"/>
      <c r="J188" s="679"/>
      <c r="K188" s="679"/>
      <c r="L188" s="679"/>
      <c r="M188" s="679"/>
      <c r="N188" s="679"/>
      <c r="O188" s="679">
        <f t="shared" si="41"/>
        <v>0</v>
      </c>
    </row>
    <row r="189" spans="1:15" x14ac:dyDescent="0.3">
      <c r="A189">
        <v>6666031200</v>
      </c>
      <c r="B189" s="665" t="s">
        <v>285</v>
      </c>
      <c r="C189" s="673"/>
      <c r="D189" s="673"/>
      <c r="E189" s="673"/>
      <c r="F189" s="673">
        <v>0</v>
      </c>
      <c r="G189" s="673">
        <v>0</v>
      </c>
      <c r="H189" s="673">
        <v>0</v>
      </c>
      <c r="I189" s="673"/>
      <c r="J189" s="673"/>
      <c r="K189" s="673"/>
      <c r="L189" s="673"/>
      <c r="M189" s="673"/>
      <c r="N189" s="673"/>
      <c r="O189" s="673">
        <f t="shared" si="41"/>
        <v>0</v>
      </c>
    </row>
    <row r="190" spans="1:15" x14ac:dyDescent="0.3">
      <c r="A190">
        <v>6666050107</v>
      </c>
      <c r="B190" s="665" t="s">
        <v>286</v>
      </c>
      <c r="C190" s="669"/>
      <c r="D190" s="669"/>
      <c r="E190" s="669"/>
      <c r="F190" s="669">
        <v>0</v>
      </c>
      <c r="G190" s="667">
        <v>0</v>
      </c>
      <c r="H190" s="669">
        <v>0</v>
      </c>
      <c r="I190" s="669"/>
      <c r="J190" s="669"/>
      <c r="K190" s="669"/>
      <c r="L190" s="669"/>
      <c r="M190" s="669"/>
      <c r="N190" s="669"/>
      <c r="O190" s="669">
        <f t="shared" si="41"/>
        <v>0</v>
      </c>
    </row>
    <row r="191" spans="1:15" x14ac:dyDescent="0.3">
      <c r="A191">
        <v>6666050202</v>
      </c>
      <c r="B191" s="665" t="s">
        <v>359</v>
      </c>
      <c r="C191" s="673"/>
      <c r="D191" s="673"/>
      <c r="E191" s="673"/>
      <c r="F191" s="673">
        <v>1613.96</v>
      </c>
      <c r="G191" s="673">
        <v>41.68</v>
      </c>
      <c r="H191" s="673">
        <v>14.1</v>
      </c>
      <c r="I191" s="673"/>
      <c r="J191" s="673"/>
      <c r="K191" s="673"/>
      <c r="L191" s="673"/>
      <c r="M191" s="673"/>
      <c r="N191" s="673"/>
      <c r="O191" s="673">
        <f t="shared" si="41"/>
        <v>1669.74</v>
      </c>
    </row>
    <row r="192" spans="1:15" x14ac:dyDescent="0.3">
      <c r="A192">
        <v>6666050312</v>
      </c>
      <c r="B192" s="677" t="s">
        <v>211</v>
      </c>
      <c r="C192" s="680"/>
      <c r="D192" s="679">
        <f>-70.56*0</f>
        <v>0</v>
      </c>
      <c r="E192" s="679"/>
      <c r="F192" s="679">
        <v>0</v>
      </c>
      <c r="G192" s="679"/>
      <c r="H192" s="679"/>
      <c r="I192" s="679"/>
      <c r="J192" s="679"/>
      <c r="K192" s="679"/>
      <c r="L192" s="679"/>
      <c r="M192" s="679"/>
      <c r="N192" s="679"/>
      <c r="O192" s="679">
        <f t="shared" si="41"/>
        <v>0</v>
      </c>
    </row>
    <row r="193" spans="1:15" x14ac:dyDescent="0.3">
      <c r="A193">
        <v>6666070100</v>
      </c>
      <c r="B193" s="665" t="s">
        <v>287</v>
      </c>
      <c r="C193" s="673"/>
      <c r="D193" s="673"/>
      <c r="E193" s="673"/>
      <c r="F193" s="673">
        <v>0</v>
      </c>
      <c r="G193" s="673">
        <v>0</v>
      </c>
      <c r="H193" s="673">
        <v>0</v>
      </c>
      <c r="I193" s="673"/>
      <c r="J193" s="673"/>
      <c r="K193" s="673"/>
      <c r="L193" s="673"/>
      <c r="M193" s="673"/>
      <c r="N193" s="673"/>
      <c r="O193" s="673">
        <f t="shared" si="41"/>
        <v>0</v>
      </c>
    </row>
    <row r="194" spans="1:15" x14ac:dyDescent="0.3">
      <c r="A194">
        <v>6666070300</v>
      </c>
      <c r="B194" s="665" t="s">
        <v>288</v>
      </c>
      <c r="C194" s="673"/>
      <c r="D194" s="673"/>
      <c r="E194" s="673"/>
      <c r="F194" s="673">
        <v>0</v>
      </c>
      <c r="G194" s="673">
        <v>0</v>
      </c>
      <c r="H194" s="673">
        <v>0</v>
      </c>
      <c r="I194" s="673"/>
      <c r="J194" s="673"/>
      <c r="K194" s="673"/>
      <c r="L194" s="673"/>
      <c r="M194" s="673"/>
      <c r="N194" s="673"/>
      <c r="O194" s="673">
        <f t="shared" si="41"/>
        <v>0</v>
      </c>
    </row>
    <row r="195" spans="1:15" ht="15" x14ac:dyDescent="0.3">
      <c r="A195">
        <v>6666070400</v>
      </c>
      <c r="B195" s="665" t="s">
        <v>289</v>
      </c>
      <c r="C195" s="666">
        <v>-11192.73</v>
      </c>
      <c r="D195" s="667">
        <v>-11394.57</v>
      </c>
      <c r="E195" s="666">
        <v>-27283.040000000001</v>
      </c>
      <c r="F195" s="666">
        <v>-1274.06</v>
      </c>
      <c r="G195" s="667">
        <v>-2435.06</v>
      </c>
      <c r="H195" s="667">
        <v>-2418.52</v>
      </c>
      <c r="I195" s="669"/>
      <c r="J195" s="667"/>
      <c r="K195" s="667"/>
      <c r="L195" s="667"/>
      <c r="M195" s="669"/>
      <c r="N195" s="667"/>
      <c r="O195" s="669">
        <f t="shared" si="41"/>
        <v>-55997.979999999989</v>
      </c>
    </row>
    <row r="196" spans="1:15" x14ac:dyDescent="0.3">
      <c r="A196">
        <v>6666093800</v>
      </c>
      <c r="B196" s="665" t="s">
        <v>343</v>
      </c>
      <c r="C196" s="673"/>
      <c r="D196" s="673"/>
      <c r="E196" s="673"/>
      <c r="F196" s="673">
        <v>0</v>
      </c>
      <c r="G196" s="673">
        <v>0</v>
      </c>
      <c r="H196" s="673">
        <v>0</v>
      </c>
      <c r="I196" s="673"/>
      <c r="J196" s="673"/>
      <c r="K196" s="673"/>
      <c r="L196" s="673"/>
      <c r="M196" s="673"/>
      <c r="N196" s="673"/>
      <c r="O196" s="673">
        <f t="shared" si="41"/>
        <v>0</v>
      </c>
    </row>
    <row r="197" spans="1:15" x14ac:dyDescent="0.3">
      <c r="A197">
        <v>5207000011</v>
      </c>
      <c r="B197" s="665" t="s">
        <v>290</v>
      </c>
      <c r="C197" s="673"/>
      <c r="D197" s="673"/>
      <c r="E197" s="673"/>
      <c r="F197" s="673">
        <v>0</v>
      </c>
      <c r="G197" s="673">
        <v>0</v>
      </c>
      <c r="H197" s="673">
        <v>0</v>
      </c>
      <c r="I197" s="673"/>
      <c r="J197" s="673"/>
      <c r="K197" s="673"/>
      <c r="L197" s="673"/>
      <c r="M197" s="673"/>
      <c r="N197" s="673"/>
      <c r="O197" s="673">
        <f t="shared" ref="O197:O199" si="45">C197+D197+E197+F197+G197+H197+I197+J197+K197+L197+M197+N197</f>
        <v>0</v>
      </c>
    </row>
    <row r="198" spans="1:15" x14ac:dyDescent="0.3">
      <c r="A198">
        <v>5301060000</v>
      </c>
      <c r="B198" s="665" t="s">
        <v>256</v>
      </c>
      <c r="C198" s="673"/>
      <c r="D198" s="673"/>
      <c r="E198" s="673"/>
      <c r="F198" s="673">
        <v>134.37</v>
      </c>
      <c r="G198" s="673">
        <v>0</v>
      </c>
      <c r="H198" s="673">
        <v>0</v>
      </c>
      <c r="I198" s="673"/>
      <c r="J198" s="673"/>
      <c r="K198" s="673"/>
      <c r="L198" s="673"/>
      <c r="M198" s="673"/>
      <c r="N198" s="673"/>
      <c r="O198" s="673">
        <f t="shared" si="45"/>
        <v>134.37</v>
      </c>
    </row>
    <row r="199" spans="1:15" x14ac:dyDescent="0.3">
      <c r="A199">
        <v>5601020000</v>
      </c>
      <c r="B199" s="665" t="s">
        <v>357</v>
      </c>
      <c r="C199" s="673"/>
      <c r="D199" s="673"/>
      <c r="E199" s="673"/>
      <c r="F199" s="673"/>
      <c r="G199" s="673">
        <v>-755.82</v>
      </c>
      <c r="H199" s="673">
        <v>0</v>
      </c>
      <c r="I199" s="673"/>
      <c r="J199" s="673"/>
      <c r="K199" s="673"/>
      <c r="L199" s="673"/>
      <c r="M199" s="673"/>
      <c r="N199" s="673"/>
      <c r="O199" s="673">
        <f t="shared" si="45"/>
        <v>-755.82</v>
      </c>
    </row>
    <row r="200" spans="1:15" x14ac:dyDescent="0.3">
      <c r="A200">
        <v>6666020406</v>
      </c>
      <c r="B200" s="665" t="s">
        <v>649</v>
      </c>
      <c r="C200" s="673"/>
      <c r="D200" s="673"/>
      <c r="E200" s="673"/>
      <c r="F200" s="673"/>
      <c r="G200" s="673">
        <v>-628.13</v>
      </c>
      <c r="H200" s="673">
        <v>-478.2</v>
      </c>
      <c r="I200" s="673"/>
      <c r="J200" s="673"/>
      <c r="K200" s="673"/>
      <c r="L200" s="673"/>
      <c r="M200" s="673"/>
      <c r="N200" s="673"/>
      <c r="O200" s="673">
        <f t="shared" si="41"/>
        <v>-1106.33</v>
      </c>
    </row>
    <row r="201" spans="1:15" x14ac:dyDescent="0.3">
      <c r="A201" s="670" t="s">
        <v>210</v>
      </c>
      <c r="B201" s="671" t="s">
        <v>210</v>
      </c>
      <c r="C201" s="672">
        <f>SUM(C154:C200)</f>
        <v>-48693.490000000005</v>
      </c>
      <c r="D201" s="672">
        <f>SUM(D154:D200)</f>
        <v>-45273.669999999991</v>
      </c>
      <c r="E201" s="672">
        <f>SUM(E154:E200)</f>
        <v>-59754.53</v>
      </c>
      <c r="F201" s="672">
        <f>SUM(F154:F200)</f>
        <v>251.0499999999962</v>
      </c>
      <c r="G201" s="672">
        <f>SUM(G154:G200)</f>
        <v>-37566.119999999995</v>
      </c>
      <c r="H201" s="672">
        <f t="shared" ref="H201:N201" si="46">SUM(H154:H200)</f>
        <v>-46961.619999999995</v>
      </c>
      <c r="I201" s="672">
        <f t="shared" si="46"/>
        <v>0</v>
      </c>
      <c r="J201" s="672">
        <f t="shared" si="46"/>
        <v>0</v>
      </c>
      <c r="K201" s="672">
        <f t="shared" si="46"/>
        <v>0</v>
      </c>
      <c r="L201" s="672">
        <f t="shared" si="46"/>
        <v>0</v>
      </c>
      <c r="M201" s="672">
        <f t="shared" si="46"/>
        <v>0</v>
      </c>
      <c r="N201" s="672">
        <f t="shared" si="46"/>
        <v>0</v>
      </c>
      <c r="O201" s="672">
        <f t="shared" si="41"/>
        <v>-237998.38</v>
      </c>
    </row>
    <row r="202" spans="1:15" ht="15" x14ac:dyDescent="0.3">
      <c r="A202">
        <v>6666110203</v>
      </c>
      <c r="B202" s="665" t="s">
        <v>292</v>
      </c>
      <c r="C202" s="103">
        <v>921.05</v>
      </c>
      <c r="D202" s="667">
        <v>-929.89</v>
      </c>
      <c r="E202" s="666"/>
      <c r="F202" s="666">
        <v>-1620</v>
      </c>
      <c r="G202" s="669">
        <v>-1042.6099999999999</v>
      </c>
      <c r="H202" s="669">
        <v>-16867.12</v>
      </c>
      <c r="I202" s="669"/>
      <c r="J202" s="669"/>
      <c r="K202" s="667"/>
      <c r="L202" s="667"/>
      <c r="M202" s="669"/>
      <c r="N202" s="667"/>
      <c r="O202" s="669">
        <f t="shared" si="41"/>
        <v>-19538.57</v>
      </c>
    </row>
    <row r="203" spans="1:15" x14ac:dyDescent="0.3">
      <c r="A203">
        <v>5102040000</v>
      </c>
      <c r="B203" s="665" t="s">
        <v>293</v>
      </c>
      <c r="C203" s="103">
        <v>0.2</v>
      </c>
      <c r="D203" s="667">
        <v>0.8</v>
      </c>
      <c r="E203" s="673"/>
      <c r="F203" s="673">
        <v>0</v>
      </c>
      <c r="G203" s="673">
        <v>0</v>
      </c>
      <c r="H203" s="673">
        <v>0</v>
      </c>
      <c r="I203" s="673"/>
      <c r="J203" s="673"/>
      <c r="K203" s="667"/>
      <c r="L203" s="667"/>
      <c r="M203" s="673"/>
      <c r="N203" s="673"/>
      <c r="O203" s="673">
        <f t="shared" si="41"/>
        <v>1</v>
      </c>
    </row>
    <row r="204" spans="1:15" ht="15" x14ac:dyDescent="0.3">
      <c r="A204">
        <v>6666050307</v>
      </c>
      <c r="B204" s="665" t="s">
        <v>294</v>
      </c>
      <c r="C204" s="103">
        <v>222.66</v>
      </c>
      <c r="D204" s="667">
        <v>67.58</v>
      </c>
      <c r="E204" s="667">
        <v>526.79</v>
      </c>
      <c r="F204" s="666">
        <v>-65769.16</v>
      </c>
      <c r="G204" s="667">
        <v>-10356.950000000001</v>
      </c>
      <c r="H204" s="667">
        <v>7392.34</v>
      </c>
      <c r="I204" s="669"/>
      <c r="J204" s="667"/>
      <c r="K204" s="667"/>
      <c r="L204" s="667"/>
      <c r="M204" s="669"/>
      <c r="N204" s="667"/>
      <c r="O204" s="669">
        <f t="shared" si="41"/>
        <v>-67916.740000000005</v>
      </c>
    </row>
    <row r="205" spans="1:15" x14ac:dyDescent="0.3">
      <c r="A205">
        <v>6666050312</v>
      </c>
      <c r="B205" s="677" t="s">
        <v>211</v>
      </c>
      <c r="C205" s="680"/>
      <c r="D205" s="679">
        <v>-70.56</v>
      </c>
      <c r="E205" s="679"/>
      <c r="F205" s="679">
        <v>0</v>
      </c>
      <c r="G205" s="679">
        <v>-319.02999999999997</v>
      </c>
      <c r="H205" s="679">
        <v>1107.5999999999999</v>
      </c>
      <c r="I205" s="679"/>
      <c r="J205" s="679"/>
      <c r="K205" s="679"/>
      <c r="L205" s="679"/>
      <c r="M205" s="679"/>
      <c r="N205" s="679"/>
      <c r="O205" s="679">
        <f t="shared" si="41"/>
        <v>718.01</v>
      </c>
    </row>
    <row r="206" spans="1:15" x14ac:dyDescent="0.3">
      <c r="A206" s="670" t="s">
        <v>212</v>
      </c>
      <c r="B206" s="671" t="s">
        <v>212</v>
      </c>
      <c r="C206" s="672">
        <f t="shared" ref="C206:F206" si="47">SUM(C202:C204)</f>
        <v>1143.9100000000001</v>
      </c>
      <c r="D206" s="672">
        <f>SUM(D202:D205)</f>
        <v>-932.06999999999994</v>
      </c>
      <c r="E206" s="672">
        <f t="shared" si="47"/>
        <v>526.79</v>
      </c>
      <c r="F206" s="672">
        <f t="shared" si="47"/>
        <v>-67389.16</v>
      </c>
      <c r="G206" s="672">
        <f>SUM(G202:G205)</f>
        <v>-11718.590000000002</v>
      </c>
      <c r="H206" s="672">
        <f>SUM(H202:H205)</f>
        <v>-8367.1799999999985</v>
      </c>
      <c r="I206" s="672">
        <f t="shared" ref="I206:N206" si="48">SUM(I202:I205)</f>
        <v>0</v>
      </c>
      <c r="J206" s="672">
        <f t="shared" si="48"/>
        <v>0</v>
      </c>
      <c r="K206" s="672">
        <f t="shared" si="48"/>
        <v>0</v>
      </c>
      <c r="L206" s="672">
        <f t="shared" si="48"/>
        <v>0</v>
      </c>
      <c r="M206" s="672">
        <f t="shared" si="48"/>
        <v>0</v>
      </c>
      <c r="N206" s="672">
        <f t="shared" si="48"/>
        <v>0</v>
      </c>
      <c r="O206" s="672">
        <f t="shared" si="41"/>
        <v>-86736.299999999988</v>
      </c>
    </row>
    <row r="207" spans="1:15" ht="15" x14ac:dyDescent="0.3">
      <c r="A207">
        <v>6666100203</v>
      </c>
      <c r="B207" s="665" t="s">
        <v>295</v>
      </c>
      <c r="C207" s="103">
        <v>26068.06</v>
      </c>
      <c r="D207" s="667">
        <v>-5093.8100000000004</v>
      </c>
      <c r="E207" s="667">
        <v>-200173.83</v>
      </c>
      <c r="F207" s="666">
        <v>177167.9</v>
      </c>
      <c r="G207" s="667">
        <v>-46022</v>
      </c>
      <c r="H207" s="667">
        <v>30715.279999999999</v>
      </c>
      <c r="I207" s="669"/>
      <c r="J207" s="669"/>
      <c r="K207" s="669"/>
      <c r="L207" s="667"/>
      <c r="M207" s="667"/>
      <c r="N207" s="667"/>
      <c r="O207" s="669">
        <f t="shared" si="41"/>
        <v>-17338.399999999994</v>
      </c>
    </row>
    <row r="208" spans="1:15" x14ac:dyDescent="0.3">
      <c r="A208" s="670" t="s">
        <v>213</v>
      </c>
      <c r="B208" s="671" t="s">
        <v>213</v>
      </c>
      <c r="C208" s="672">
        <f>SUM(C207)</f>
        <v>26068.06</v>
      </c>
      <c r="D208" s="672">
        <f t="shared" ref="D208:H208" si="49">SUM(D207)</f>
        <v>-5093.8100000000004</v>
      </c>
      <c r="E208" s="672">
        <f t="shared" si="49"/>
        <v>-200173.83</v>
      </c>
      <c r="F208" s="672">
        <f t="shared" si="49"/>
        <v>177167.9</v>
      </c>
      <c r="G208" s="672">
        <f t="shared" si="49"/>
        <v>-46022</v>
      </c>
      <c r="H208" s="672">
        <f t="shared" si="49"/>
        <v>30715.279999999999</v>
      </c>
      <c r="I208" s="672">
        <f t="shared" ref="I208:N208" si="50">SUM(I207)</f>
        <v>0</v>
      </c>
      <c r="J208" s="672">
        <f t="shared" si="50"/>
        <v>0</v>
      </c>
      <c r="K208" s="672">
        <f t="shared" si="50"/>
        <v>0</v>
      </c>
      <c r="L208" s="672">
        <f t="shared" si="50"/>
        <v>0</v>
      </c>
      <c r="M208" s="672">
        <f t="shared" si="50"/>
        <v>0</v>
      </c>
      <c r="N208" s="672">
        <f t="shared" si="50"/>
        <v>0</v>
      </c>
      <c r="O208" s="672">
        <f t="shared" si="41"/>
        <v>-17338.399999999994</v>
      </c>
    </row>
    <row r="209" spans="1:15" ht="15" x14ac:dyDescent="0.3">
      <c r="A209">
        <v>5301070000</v>
      </c>
      <c r="B209" s="665" t="s">
        <v>296</v>
      </c>
      <c r="C209" s="103">
        <v>56355.48</v>
      </c>
      <c r="D209" s="667">
        <v>55948.82</v>
      </c>
      <c r="E209" s="667">
        <v>30366.42</v>
      </c>
      <c r="F209" s="666">
        <v>53893.48</v>
      </c>
      <c r="G209" s="667">
        <v>36104.85</v>
      </c>
      <c r="H209" s="667">
        <v>74141.61</v>
      </c>
      <c r="I209" s="669"/>
      <c r="J209" s="667"/>
      <c r="K209" s="667"/>
      <c r="L209" s="667"/>
      <c r="M209" s="667"/>
      <c r="N209" s="667"/>
      <c r="O209" s="669">
        <f t="shared" si="41"/>
        <v>306810.66000000003</v>
      </c>
    </row>
    <row r="210" spans="1:15" x14ac:dyDescent="0.3">
      <c r="A210" s="670" t="s">
        <v>214</v>
      </c>
      <c r="B210" s="671" t="s">
        <v>214</v>
      </c>
      <c r="C210" s="672">
        <f>SUM(C209)</f>
        <v>56355.48</v>
      </c>
      <c r="D210" s="672">
        <f t="shared" ref="D210:H210" si="51">SUM(D209)</f>
        <v>55948.82</v>
      </c>
      <c r="E210" s="672">
        <f t="shared" si="51"/>
        <v>30366.42</v>
      </c>
      <c r="F210" s="672">
        <f t="shared" si="51"/>
        <v>53893.48</v>
      </c>
      <c r="G210" s="672">
        <f t="shared" si="51"/>
        <v>36104.85</v>
      </c>
      <c r="H210" s="672">
        <f t="shared" si="51"/>
        <v>74141.61</v>
      </c>
      <c r="I210" s="672">
        <f t="shared" ref="I210:N210" si="52">SUM(I209)</f>
        <v>0</v>
      </c>
      <c r="J210" s="672">
        <f t="shared" si="52"/>
        <v>0</v>
      </c>
      <c r="K210" s="672">
        <f t="shared" si="52"/>
        <v>0</v>
      </c>
      <c r="L210" s="672">
        <f t="shared" si="52"/>
        <v>0</v>
      </c>
      <c r="M210" s="672">
        <f t="shared" si="52"/>
        <v>0</v>
      </c>
      <c r="N210" s="672">
        <f t="shared" si="52"/>
        <v>0</v>
      </c>
      <c r="O210" s="672">
        <f t="shared" si="41"/>
        <v>306810.66000000003</v>
      </c>
    </row>
    <row r="211" spans="1:15" ht="15" x14ac:dyDescent="0.3">
      <c r="A211">
        <v>6666021602</v>
      </c>
      <c r="B211" s="665" t="s">
        <v>297</v>
      </c>
      <c r="C211" s="103">
        <v>-4284.04</v>
      </c>
      <c r="D211" s="667">
        <v>-4077.71</v>
      </c>
      <c r="E211" s="667">
        <v>-3542.27</v>
      </c>
      <c r="F211" s="666">
        <v>-3805.33</v>
      </c>
      <c r="G211" s="667">
        <v>1460.38</v>
      </c>
      <c r="H211" s="667">
        <v>-2007.58</v>
      </c>
      <c r="I211" s="669"/>
      <c r="J211" s="667"/>
      <c r="K211" s="667"/>
      <c r="L211" s="667"/>
      <c r="M211" s="667"/>
      <c r="N211" s="667"/>
      <c r="O211" s="669">
        <f t="shared" si="41"/>
        <v>-16256.550000000001</v>
      </c>
    </row>
    <row r="212" spans="1:15" x14ac:dyDescent="0.3">
      <c r="A212" s="670" t="s">
        <v>215</v>
      </c>
      <c r="B212" s="671" t="s">
        <v>215</v>
      </c>
      <c r="C212" s="672">
        <f>SUM(C211)</f>
        <v>-4284.04</v>
      </c>
      <c r="D212" s="672">
        <f t="shared" ref="D212:H212" si="53">SUM(D211)</f>
        <v>-4077.71</v>
      </c>
      <c r="E212" s="672">
        <f t="shared" si="53"/>
        <v>-3542.27</v>
      </c>
      <c r="F212" s="672">
        <f t="shared" si="53"/>
        <v>-3805.33</v>
      </c>
      <c r="G212" s="672">
        <f t="shared" si="53"/>
        <v>1460.38</v>
      </c>
      <c r="H212" s="672">
        <f t="shared" si="53"/>
        <v>-2007.58</v>
      </c>
      <c r="I212" s="672">
        <f t="shared" ref="I212:N212" si="54">SUM(I211)</f>
        <v>0</v>
      </c>
      <c r="J212" s="672">
        <f t="shared" si="54"/>
        <v>0</v>
      </c>
      <c r="K212" s="672">
        <f t="shared" si="54"/>
        <v>0</v>
      </c>
      <c r="L212" s="672">
        <f t="shared" si="54"/>
        <v>0</v>
      </c>
      <c r="M212" s="672">
        <f t="shared" si="54"/>
        <v>0</v>
      </c>
      <c r="N212" s="672">
        <f t="shared" si="54"/>
        <v>0</v>
      </c>
      <c r="O212" s="672">
        <f t="shared" ref="O212:O279" si="55">C212+D212+E212+F212+G212+H212+I212+J212+K212+L212+M212+N212</f>
        <v>-16256.550000000001</v>
      </c>
    </row>
    <row r="213" spans="1:15" x14ac:dyDescent="0.3">
      <c r="A213">
        <v>6666021600</v>
      </c>
      <c r="B213" s="665" t="s">
        <v>298</v>
      </c>
      <c r="C213" s="673"/>
      <c r="D213" s="673"/>
      <c r="E213" s="673"/>
      <c r="F213" s="673">
        <v>0</v>
      </c>
      <c r="G213" s="667">
        <v>-10.76</v>
      </c>
      <c r="H213" s="667">
        <v>0</v>
      </c>
      <c r="I213" s="673"/>
      <c r="J213" s="673"/>
      <c r="K213" s="673"/>
      <c r="L213" s="673"/>
      <c r="M213" s="673"/>
      <c r="N213" s="673"/>
      <c r="O213" s="673">
        <f t="shared" si="55"/>
        <v>-10.76</v>
      </c>
    </row>
    <row r="214" spans="1:15" ht="15" x14ac:dyDescent="0.3">
      <c r="A214">
        <v>6666021603</v>
      </c>
      <c r="B214" s="665" t="s">
        <v>299</v>
      </c>
      <c r="C214" s="103">
        <v>-345.76</v>
      </c>
      <c r="D214" s="667">
        <v>-30.03</v>
      </c>
      <c r="E214" s="667">
        <v>-476.97</v>
      </c>
      <c r="F214" s="666">
        <v>-845.38</v>
      </c>
      <c r="G214" s="667">
        <v>-257</v>
      </c>
      <c r="H214" s="667">
        <v>-573.11</v>
      </c>
      <c r="I214" s="669"/>
      <c r="J214" s="667"/>
      <c r="K214" s="667"/>
      <c r="L214" s="667"/>
      <c r="M214" s="667"/>
      <c r="N214" s="667"/>
      <c r="O214" s="669">
        <f t="shared" si="55"/>
        <v>-2528.25</v>
      </c>
    </row>
    <row r="215" spans="1:15" ht="15" x14ac:dyDescent="0.3">
      <c r="A215">
        <v>6666021604</v>
      </c>
      <c r="B215" s="665" t="s">
        <v>300</v>
      </c>
      <c r="C215" s="103">
        <v>-904.63</v>
      </c>
      <c r="D215" s="667">
        <v>-3552.47</v>
      </c>
      <c r="E215" s="667">
        <v>-1594.45</v>
      </c>
      <c r="F215" s="666">
        <v>-737.82</v>
      </c>
      <c r="G215" s="667">
        <v>-1411.78</v>
      </c>
      <c r="H215" s="667">
        <v>-836.69</v>
      </c>
      <c r="I215" s="669"/>
      <c r="J215" s="667"/>
      <c r="K215" s="667"/>
      <c r="L215" s="667"/>
      <c r="M215" s="667"/>
      <c r="N215" s="667"/>
      <c r="O215" s="669">
        <f t="shared" si="55"/>
        <v>-9037.84</v>
      </c>
    </row>
    <row r="216" spans="1:15" x14ac:dyDescent="0.3">
      <c r="A216" s="670" t="s">
        <v>216</v>
      </c>
      <c r="B216" s="671" t="s">
        <v>216</v>
      </c>
      <c r="C216" s="672">
        <f>SUM(C213:C215)</f>
        <v>-1250.3899999999999</v>
      </c>
      <c r="D216" s="672">
        <f t="shared" ref="D216:H216" si="56">SUM(D213:D215)</f>
        <v>-3582.5</v>
      </c>
      <c r="E216" s="672">
        <f t="shared" si="56"/>
        <v>-2071.42</v>
      </c>
      <c r="F216" s="672">
        <f t="shared" si="56"/>
        <v>-1583.2</v>
      </c>
      <c r="G216" s="672">
        <f t="shared" si="56"/>
        <v>-1679.54</v>
      </c>
      <c r="H216" s="672">
        <f t="shared" si="56"/>
        <v>-1409.8000000000002</v>
      </c>
      <c r="I216" s="672">
        <f t="shared" ref="I216:N216" si="57">SUM(I213:I215)</f>
        <v>0</v>
      </c>
      <c r="J216" s="672">
        <f t="shared" si="57"/>
        <v>0</v>
      </c>
      <c r="K216" s="672">
        <f t="shared" si="57"/>
        <v>0</v>
      </c>
      <c r="L216" s="672">
        <f t="shared" si="57"/>
        <v>0</v>
      </c>
      <c r="M216" s="672">
        <f t="shared" si="57"/>
        <v>0</v>
      </c>
      <c r="N216" s="672">
        <f t="shared" si="57"/>
        <v>0</v>
      </c>
      <c r="O216" s="672">
        <f t="shared" si="55"/>
        <v>-11576.849999999999</v>
      </c>
    </row>
    <row r="217" spans="1:15" ht="15" x14ac:dyDescent="0.3">
      <c r="A217">
        <v>5001010206</v>
      </c>
      <c r="B217" s="665" t="s">
        <v>301</v>
      </c>
      <c r="C217" s="103">
        <v>-1859.06</v>
      </c>
      <c r="D217" s="667">
        <v>-1583.47</v>
      </c>
      <c r="E217" s="667">
        <v>-2011.6</v>
      </c>
      <c r="F217" s="666">
        <v>-1897.5</v>
      </c>
      <c r="G217" s="667">
        <v>-2329.84</v>
      </c>
      <c r="H217" s="667">
        <v>-2196.1799999999998</v>
      </c>
      <c r="I217" s="669"/>
      <c r="J217" s="667"/>
      <c r="K217" s="667"/>
      <c r="L217" s="667"/>
      <c r="M217" s="667"/>
      <c r="N217" s="667"/>
      <c r="O217" s="669">
        <f t="shared" si="55"/>
        <v>-11877.65</v>
      </c>
    </row>
    <row r="218" spans="1:15" ht="15" x14ac:dyDescent="0.3">
      <c r="A218">
        <v>6666010184</v>
      </c>
      <c r="B218" s="665" t="s">
        <v>302</v>
      </c>
      <c r="C218" s="103">
        <v>106.74</v>
      </c>
      <c r="D218" s="667">
        <v>101.94</v>
      </c>
      <c r="E218" s="667">
        <v>18.07</v>
      </c>
      <c r="F218" s="666">
        <v>104.63</v>
      </c>
      <c r="G218" s="667">
        <v>1025.06</v>
      </c>
      <c r="H218" s="667">
        <v>549.73</v>
      </c>
      <c r="I218" s="669"/>
      <c r="J218" s="667"/>
      <c r="K218" s="667"/>
      <c r="L218" s="667"/>
      <c r="M218" s="667"/>
      <c r="N218" s="667"/>
      <c r="O218" s="669">
        <f t="shared" si="55"/>
        <v>1906.17</v>
      </c>
    </row>
    <row r="219" spans="1:15" ht="15" x14ac:dyDescent="0.3">
      <c r="A219">
        <v>6666010186</v>
      </c>
      <c r="B219" s="665" t="s">
        <v>303</v>
      </c>
      <c r="C219" s="103">
        <v>-5206.16</v>
      </c>
      <c r="D219" s="667">
        <v>-4506.62</v>
      </c>
      <c r="E219" s="667">
        <v>3850.83</v>
      </c>
      <c r="F219" s="666">
        <v>-9852.56</v>
      </c>
      <c r="G219" s="667">
        <v>-11738.08</v>
      </c>
      <c r="H219" s="667">
        <v>-8042.58</v>
      </c>
      <c r="I219" s="669"/>
      <c r="J219" s="667"/>
      <c r="K219" s="667"/>
      <c r="L219" s="667"/>
      <c r="M219" s="667"/>
      <c r="N219" s="667"/>
      <c r="O219" s="669">
        <f t="shared" si="55"/>
        <v>-35495.17</v>
      </c>
    </row>
    <row r="220" spans="1:15" ht="15" x14ac:dyDescent="0.3">
      <c r="A220">
        <v>6666010189</v>
      </c>
      <c r="B220" s="665" t="s">
        <v>304</v>
      </c>
      <c r="C220" s="103">
        <v>0</v>
      </c>
      <c r="D220" s="667">
        <v>57434.62</v>
      </c>
      <c r="E220" s="667">
        <v>-56080.87</v>
      </c>
      <c r="F220" s="681">
        <v>0</v>
      </c>
      <c r="G220" s="667">
        <v>-2135.9</v>
      </c>
      <c r="H220" s="667">
        <v>0</v>
      </c>
      <c r="I220" s="673"/>
      <c r="J220" s="675"/>
      <c r="K220" s="673"/>
      <c r="L220" s="675"/>
      <c r="M220" s="667"/>
      <c r="N220" s="667"/>
      <c r="O220" s="673">
        <f t="shared" si="55"/>
        <v>-782.15000000000009</v>
      </c>
    </row>
    <row r="221" spans="1:15" ht="15" x14ac:dyDescent="0.3">
      <c r="A221">
        <v>6666010012</v>
      </c>
      <c r="B221" s="665" t="s">
        <v>305</v>
      </c>
      <c r="C221" s="103">
        <v>-17797.66</v>
      </c>
      <c r="D221" s="667">
        <v>-15191.76</v>
      </c>
      <c r="E221" s="667">
        <v>-18717.810000000001</v>
      </c>
      <c r="F221" s="666">
        <v>-17704.669999999998</v>
      </c>
      <c r="G221" s="667">
        <v>-21910.15</v>
      </c>
      <c r="H221" s="667">
        <v>-20260.16</v>
      </c>
      <c r="I221" s="669"/>
      <c r="J221" s="667"/>
      <c r="K221" s="667"/>
      <c r="L221" s="667"/>
      <c r="M221" s="667"/>
      <c r="N221" s="667"/>
      <c r="O221" s="669">
        <f t="shared" si="55"/>
        <v>-111582.20999999999</v>
      </c>
    </row>
    <row r="222" spans="1:15" ht="15" x14ac:dyDescent="0.3">
      <c r="A222">
        <v>6666010226</v>
      </c>
      <c r="B222" s="665" t="s">
        <v>306</v>
      </c>
      <c r="C222" s="103">
        <v>-3780.44</v>
      </c>
      <c r="D222" s="667">
        <v>-17331.919999999998</v>
      </c>
      <c r="E222" s="667">
        <v>54484.68</v>
      </c>
      <c r="F222" s="666">
        <v>-3088.43</v>
      </c>
      <c r="G222" s="667">
        <v>-3206.35</v>
      </c>
      <c r="H222" s="667">
        <v>-3217.02</v>
      </c>
      <c r="I222" s="669"/>
      <c r="J222" s="667"/>
      <c r="K222" s="667"/>
      <c r="L222" s="667"/>
      <c r="M222" s="667"/>
      <c r="N222" s="667"/>
      <c r="O222" s="669">
        <f t="shared" si="55"/>
        <v>23860.520000000008</v>
      </c>
    </row>
    <row r="223" spans="1:15" ht="15" x14ac:dyDescent="0.3">
      <c r="A223">
        <v>6666010102</v>
      </c>
      <c r="B223" s="665" t="s">
        <v>307</v>
      </c>
      <c r="C223" s="103">
        <v>-103177.55</v>
      </c>
      <c r="D223" s="667">
        <v>-127324.8</v>
      </c>
      <c r="E223" s="667">
        <v>-117559.17</v>
      </c>
      <c r="F223" s="666">
        <v>-96186.9</v>
      </c>
      <c r="G223" s="667">
        <v>-118399.45</v>
      </c>
      <c r="H223" s="667">
        <v>-111637.86</v>
      </c>
      <c r="I223" s="669"/>
      <c r="J223" s="667"/>
      <c r="K223" s="667"/>
      <c r="L223" s="667"/>
      <c r="M223" s="667"/>
      <c r="N223" s="667"/>
      <c r="O223" s="669">
        <f t="shared" si="55"/>
        <v>-674285.73</v>
      </c>
    </row>
    <row r="224" spans="1:15" x14ac:dyDescent="0.3">
      <c r="A224" s="670" t="s">
        <v>217</v>
      </c>
      <c r="B224" s="671" t="s">
        <v>217</v>
      </c>
      <c r="C224" s="672">
        <f>SUM(C217:C223)</f>
        <v>-131714.13</v>
      </c>
      <c r="D224" s="672">
        <f t="shared" ref="D224:H224" si="58">SUM(D217:D223)</f>
        <v>-108402.01000000001</v>
      </c>
      <c r="E224" s="672">
        <f t="shared" si="58"/>
        <v>-136015.87</v>
      </c>
      <c r="F224" s="672">
        <f t="shared" si="58"/>
        <v>-128625.43</v>
      </c>
      <c r="G224" s="672">
        <f t="shared" si="58"/>
        <v>-158694.71</v>
      </c>
      <c r="H224" s="672">
        <f t="shared" si="58"/>
        <v>-144804.07</v>
      </c>
      <c r="I224" s="672">
        <f t="shared" ref="I224:N224" si="59">SUM(I217:I223)</f>
        <v>0</v>
      </c>
      <c r="J224" s="672">
        <f t="shared" si="59"/>
        <v>0</v>
      </c>
      <c r="K224" s="672">
        <f t="shared" si="59"/>
        <v>0</v>
      </c>
      <c r="L224" s="672">
        <f t="shared" si="59"/>
        <v>0</v>
      </c>
      <c r="M224" s="672">
        <f t="shared" si="59"/>
        <v>0</v>
      </c>
      <c r="N224" s="672">
        <f t="shared" si="59"/>
        <v>0</v>
      </c>
      <c r="O224" s="672">
        <f t="shared" si="55"/>
        <v>-808256.22</v>
      </c>
    </row>
    <row r="225" spans="1:15" ht="15" x14ac:dyDescent="0.3">
      <c r="A225">
        <v>6666010196</v>
      </c>
      <c r="B225" s="665" t="s">
        <v>308</v>
      </c>
      <c r="C225" s="103">
        <v>-12101.03</v>
      </c>
      <c r="D225" s="667">
        <v>-10134.280000000001</v>
      </c>
      <c r="E225" s="667">
        <v>-11931.45</v>
      </c>
      <c r="F225" s="666">
        <v>-10944.71</v>
      </c>
      <c r="G225" s="667">
        <v>-11727.24</v>
      </c>
      <c r="H225" s="667">
        <v>-11431.62</v>
      </c>
      <c r="I225" s="667"/>
      <c r="J225" s="667"/>
      <c r="K225" s="667"/>
      <c r="L225" s="667"/>
      <c r="M225" s="667"/>
      <c r="N225" s="667"/>
      <c r="O225" s="669">
        <f t="shared" si="55"/>
        <v>-68270.33</v>
      </c>
    </row>
    <row r="226" spans="1:15" ht="15" x14ac:dyDescent="0.3">
      <c r="A226">
        <v>6666010101</v>
      </c>
      <c r="B226" s="665" t="s">
        <v>309</v>
      </c>
      <c r="C226" s="103">
        <v>-62474.35</v>
      </c>
      <c r="D226" s="667">
        <v>-68384.37</v>
      </c>
      <c r="E226" s="667">
        <v>-61910.58</v>
      </c>
      <c r="F226" s="666">
        <v>-73670.070000000007</v>
      </c>
      <c r="G226" s="667">
        <v>-80135.14</v>
      </c>
      <c r="H226" s="667">
        <v>-65448.65</v>
      </c>
      <c r="I226" s="667"/>
      <c r="J226" s="667"/>
      <c r="K226" s="667"/>
      <c r="L226" s="667"/>
      <c r="M226" s="667"/>
      <c r="N226" s="667"/>
      <c r="O226" s="669">
        <f t="shared" si="55"/>
        <v>-412023.16000000003</v>
      </c>
    </row>
    <row r="227" spans="1:15" ht="15" x14ac:dyDescent="0.3">
      <c r="A227">
        <v>6666010199</v>
      </c>
      <c r="B227" s="665" t="s">
        <v>310</v>
      </c>
      <c r="C227" s="103">
        <v>-9430.66</v>
      </c>
      <c r="D227" s="667">
        <v>-4926.24</v>
      </c>
      <c r="E227" s="667">
        <v>-2615.46</v>
      </c>
      <c r="F227" s="666">
        <v>19072.8</v>
      </c>
      <c r="G227" s="667">
        <v>15539.42</v>
      </c>
      <c r="H227" s="667">
        <v>-4407.2700000000004</v>
      </c>
      <c r="I227" s="667"/>
      <c r="J227" s="667"/>
      <c r="K227" s="667"/>
      <c r="L227" s="667"/>
      <c r="M227" s="667"/>
      <c r="N227" s="667"/>
      <c r="O227" s="669">
        <f t="shared" si="55"/>
        <v>13232.59</v>
      </c>
    </row>
    <row r="228" spans="1:15" ht="15" x14ac:dyDescent="0.3">
      <c r="A228">
        <v>6666010185</v>
      </c>
      <c r="B228" s="665" t="s">
        <v>311</v>
      </c>
      <c r="C228" s="103">
        <v>0</v>
      </c>
      <c r="D228" s="675">
        <v>0</v>
      </c>
      <c r="E228" s="675">
        <v>0</v>
      </c>
      <c r="F228" s="681">
        <v>0</v>
      </c>
      <c r="G228" s="667">
        <v>509.15</v>
      </c>
      <c r="H228" s="667">
        <v>105.35</v>
      </c>
      <c r="I228" s="667"/>
      <c r="J228" s="667"/>
      <c r="K228" s="667"/>
      <c r="L228" s="667"/>
      <c r="M228" s="667"/>
      <c r="N228" s="667"/>
      <c r="O228" s="669">
        <f t="shared" si="55"/>
        <v>614.5</v>
      </c>
    </row>
    <row r="229" spans="1:15" ht="15" x14ac:dyDescent="0.3">
      <c r="A229">
        <v>6666010207</v>
      </c>
      <c r="B229" s="665" t="s">
        <v>312</v>
      </c>
      <c r="C229" s="103">
        <v>-891.14</v>
      </c>
      <c r="D229" s="667">
        <v>-843.86</v>
      </c>
      <c r="E229" s="667">
        <v>-952.02</v>
      </c>
      <c r="F229" s="666">
        <v>-855.65</v>
      </c>
      <c r="G229" s="667">
        <v>-933.63</v>
      </c>
      <c r="H229" s="667">
        <v>-910.01</v>
      </c>
      <c r="I229" s="667"/>
      <c r="J229" s="667"/>
      <c r="K229" s="667"/>
      <c r="L229" s="667"/>
      <c r="M229" s="667"/>
      <c r="N229" s="667"/>
      <c r="O229" s="669">
        <f t="shared" si="55"/>
        <v>-5386.31</v>
      </c>
    </row>
    <row r="230" spans="1:15" ht="15" x14ac:dyDescent="0.3">
      <c r="A230">
        <v>6666010227</v>
      </c>
      <c r="B230" s="665" t="s">
        <v>314</v>
      </c>
      <c r="C230" s="103">
        <v>-1342.96</v>
      </c>
      <c r="D230" s="667">
        <v>-1095.8599999999999</v>
      </c>
      <c r="E230" s="667">
        <v>-1212.45</v>
      </c>
      <c r="F230" s="666">
        <v>-1268.71</v>
      </c>
      <c r="G230" s="667">
        <v>-1339.02</v>
      </c>
      <c r="H230" s="667">
        <v>-1340.1</v>
      </c>
      <c r="I230" s="667"/>
      <c r="J230" s="667"/>
      <c r="K230" s="667"/>
      <c r="L230" s="667"/>
      <c r="M230" s="667"/>
      <c r="N230" s="667"/>
      <c r="O230" s="669">
        <f t="shared" si="55"/>
        <v>-7599.1</v>
      </c>
    </row>
    <row r="231" spans="1:15" x14ac:dyDescent="0.3">
      <c r="A231" s="670" t="s">
        <v>218</v>
      </c>
      <c r="B231" s="671" t="s">
        <v>218</v>
      </c>
      <c r="C231" s="672">
        <f>SUM(C225:C230)</f>
        <v>-86240.140000000014</v>
      </c>
      <c r="D231" s="672">
        <f t="shared" ref="D231:H231" si="60">SUM(D225:D230)</f>
        <v>-85384.61</v>
      </c>
      <c r="E231" s="672">
        <f t="shared" si="60"/>
        <v>-78621.960000000006</v>
      </c>
      <c r="F231" s="672">
        <f t="shared" si="60"/>
        <v>-67666.34</v>
      </c>
      <c r="G231" s="672">
        <f t="shared" si="60"/>
        <v>-78086.460000000021</v>
      </c>
      <c r="H231" s="672">
        <f t="shared" si="60"/>
        <v>-83432.3</v>
      </c>
      <c r="I231" s="672">
        <f t="shared" ref="I231:N231" si="61">SUM(I225:I230)</f>
        <v>0</v>
      </c>
      <c r="J231" s="672">
        <f t="shared" si="61"/>
        <v>0</v>
      </c>
      <c r="K231" s="672">
        <f t="shared" si="61"/>
        <v>0</v>
      </c>
      <c r="L231" s="672">
        <f t="shared" si="61"/>
        <v>0</v>
      </c>
      <c r="M231" s="672">
        <f t="shared" si="61"/>
        <v>0</v>
      </c>
      <c r="N231" s="672">
        <f t="shared" si="61"/>
        <v>0</v>
      </c>
      <c r="O231" s="672">
        <f t="shared" si="55"/>
        <v>-479431.81000000006</v>
      </c>
    </row>
    <row r="232" spans="1:15" ht="15" x14ac:dyDescent="0.3">
      <c r="A232" s="657">
        <v>6666020903</v>
      </c>
      <c r="B232" s="665" t="s">
        <v>315</v>
      </c>
      <c r="C232" s="666"/>
      <c r="D232" s="673"/>
      <c r="E232" s="673"/>
      <c r="F232" s="673">
        <v>0</v>
      </c>
      <c r="G232" s="673">
        <v>0</v>
      </c>
      <c r="H232" s="673">
        <v>0</v>
      </c>
      <c r="I232" s="667"/>
      <c r="J232" s="673"/>
      <c r="K232" s="673"/>
      <c r="L232" s="673"/>
      <c r="M232" s="673"/>
      <c r="N232" s="673"/>
      <c r="O232" s="673">
        <f t="shared" si="55"/>
        <v>0</v>
      </c>
    </row>
    <row r="233" spans="1:15" ht="15" x14ac:dyDescent="0.3">
      <c r="A233" s="657">
        <v>6666010302</v>
      </c>
      <c r="B233" s="665" t="s">
        <v>316</v>
      </c>
      <c r="C233" s="103">
        <v>-4801.78</v>
      </c>
      <c r="D233" s="667">
        <v>-4712.24</v>
      </c>
      <c r="E233" s="667">
        <v>-4624</v>
      </c>
      <c r="F233" s="666">
        <v>9441.58</v>
      </c>
      <c r="G233" s="667">
        <v>1004.14</v>
      </c>
      <c r="H233" s="667">
        <v>-3042.25</v>
      </c>
      <c r="I233" s="667"/>
      <c r="J233" s="667"/>
      <c r="K233" s="667"/>
      <c r="L233" s="667"/>
      <c r="M233" s="667"/>
      <c r="N233" s="667"/>
      <c r="O233" s="669">
        <f t="shared" si="55"/>
        <v>-6734.5500000000011</v>
      </c>
    </row>
    <row r="234" spans="1:15" ht="15" x14ac:dyDescent="0.3">
      <c r="A234" s="657">
        <v>6666010314</v>
      </c>
      <c r="B234" s="665" t="s">
        <v>317</v>
      </c>
      <c r="C234" s="103">
        <v>-5163.92</v>
      </c>
      <c r="D234" s="667">
        <v>-50253.97</v>
      </c>
      <c r="E234" s="667">
        <v>-119.07</v>
      </c>
      <c r="F234" s="666">
        <v>-351.03</v>
      </c>
      <c r="G234" s="667">
        <v>-6259.63</v>
      </c>
      <c r="H234" s="667">
        <v>0</v>
      </c>
      <c r="I234" s="667"/>
      <c r="J234" s="667"/>
      <c r="K234" s="667"/>
      <c r="L234" s="667"/>
      <c r="M234" s="667"/>
      <c r="N234" s="667"/>
      <c r="O234" s="669">
        <f t="shared" si="55"/>
        <v>-62147.619999999995</v>
      </c>
    </row>
    <row r="235" spans="1:15" ht="15" x14ac:dyDescent="0.3">
      <c r="A235" s="657">
        <v>6666010315</v>
      </c>
      <c r="B235" t="s">
        <v>581</v>
      </c>
      <c r="C235" s="103">
        <v>-11723.16</v>
      </c>
      <c r="D235" s="667">
        <v>-58691.08</v>
      </c>
      <c r="E235" s="667">
        <v>-2063.44</v>
      </c>
      <c r="F235" s="666">
        <v>-620.74</v>
      </c>
      <c r="G235" s="667">
        <v>-4680.16</v>
      </c>
      <c r="H235" s="667">
        <v>-35.049999999999997</v>
      </c>
      <c r="I235" s="667"/>
      <c r="J235" s="667"/>
      <c r="K235" s="667"/>
      <c r="L235" s="667"/>
      <c r="M235" s="667"/>
      <c r="N235" s="667"/>
      <c r="O235" s="669"/>
    </row>
    <row r="236" spans="1:15" ht="15" x14ac:dyDescent="0.3">
      <c r="A236" s="657">
        <v>6666020401</v>
      </c>
      <c r="B236" s="665" t="s">
        <v>318</v>
      </c>
      <c r="C236" s="103">
        <v>-31345.74</v>
      </c>
      <c r="D236" s="667">
        <v>-36947.71</v>
      </c>
      <c r="E236" s="667">
        <v>-25871.61</v>
      </c>
      <c r="F236" s="666">
        <v>-40551.19</v>
      </c>
      <c r="G236" s="667">
        <v>-35946.370000000003</v>
      </c>
      <c r="H236" s="667">
        <v>-38192.61</v>
      </c>
      <c r="I236" s="667"/>
      <c r="J236" s="667"/>
      <c r="K236" s="667"/>
      <c r="L236" s="667"/>
      <c r="M236" s="667"/>
      <c r="N236" s="667"/>
      <c r="O236" s="669">
        <f t="shared" si="55"/>
        <v>-208855.22999999998</v>
      </c>
    </row>
    <row r="237" spans="1:15" ht="15" x14ac:dyDescent="0.3">
      <c r="A237" s="657">
        <v>6666020502</v>
      </c>
      <c r="B237" s="665" t="s">
        <v>320</v>
      </c>
      <c r="C237" s="103">
        <v>-22072.97</v>
      </c>
      <c r="D237" s="667">
        <v>-33164.01</v>
      </c>
      <c r="E237" s="667">
        <v>-17235.740000000002</v>
      </c>
      <c r="F237" s="666">
        <v>-42169.45</v>
      </c>
      <c r="G237" s="667">
        <v>-35316.81</v>
      </c>
      <c r="H237" s="667">
        <v>-37652.25</v>
      </c>
      <c r="I237" s="667"/>
      <c r="J237" s="667"/>
      <c r="K237" s="667"/>
      <c r="L237" s="667"/>
      <c r="M237" s="667"/>
      <c r="N237" s="667"/>
      <c r="O237" s="669">
        <f t="shared" si="55"/>
        <v>-187611.22999999998</v>
      </c>
    </row>
    <row r="238" spans="1:15" ht="15" x14ac:dyDescent="0.3">
      <c r="A238" s="657">
        <v>6666020503</v>
      </c>
      <c r="B238" s="665" t="s">
        <v>321</v>
      </c>
      <c r="C238" s="103">
        <v>-409.8</v>
      </c>
      <c r="D238" s="667">
        <v>-165.16</v>
      </c>
      <c r="E238" s="666"/>
      <c r="F238" s="666">
        <v>-854.91</v>
      </c>
      <c r="G238" s="667">
        <v>-377.07</v>
      </c>
      <c r="H238" s="667">
        <v>-282.47000000000003</v>
      </c>
      <c r="I238" s="667"/>
      <c r="J238" s="667"/>
      <c r="K238" s="667"/>
      <c r="L238" s="667"/>
      <c r="M238" s="667"/>
      <c r="N238" s="667"/>
      <c r="O238" s="669">
        <f t="shared" si="55"/>
        <v>-2089.41</v>
      </c>
    </row>
    <row r="239" spans="1:15" ht="15" x14ac:dyDescent="0.3">
      <c r="A239" s="657">
        <v>6666021500</v>
      </c>
      <c r="B239" s="665" t="s">
        <v>322</v>
      </c>
      <c r="C239" s="666"/>
      <c r="D239" s="666"/>
      <c r="E239" s="666"/>
      <c r="F239" s="666">
        <v>0</v>
      </c>
      <c r="G239" s="667">
        <v>0</v>
      </c>
      <c r="H239" s="667">
        <v>0</v>
      </c>
      <c r="I239" s="667"/>
      <c r="J239" s="667"/>
      <c r="K239" s="669"/>
      <c r="L239" s="669"/>
      <c r="M239" s="667"/>
      <c r="N239" s="669"/>
      <c r="O239" s="669">
        <f t="shared" si="55"/>
        <v>0</v>
      </c>
    </row>
    <row r="240" spans="1:15" ht="15" x14ac:dyDescent="0.3">
      <c r="A240" s="657">
        <v>6666021502</v>
      </c>
      <c r="B240" s="665" t="s">
        <v>323</v>
      </c>
      <c r="C240" s="103">
        <v>-19000</v>
      </c>
      <c r="D240" s="667">
        <v>-10365.620000000001</v>
      </c>
      <c r="E240" s="667">
        <v>-35322.6</v>
      </c>
      <c r="F240" s="666">
        <v>-21027.66</v>
      </c>
      <c r="G240" s="667">
        <v>-35261.199999999997</v>
      </c>
      <c r="H240" s="667">
        <v>2039.08</v>
      </c>
      <c r="I240" s="667"/>
      <c r="J240" s="669"/>
      <c r="K240" s="667"/>
      <c r="L240" s="667"/>
      <c r="M240" s="667"/>
      <c r="N240" s="667"/>
      <c r="O240" s="669">
        <f t="shared" si="55"/>
        <v>-118938</v>
      </c>
    </row>
    <row r="241" spans="1:16" x14ac:dyDescent="0.3">
      <c r="A241" s="657">
        <v>6666021503</v>
      </c>
      <c r="B241" s="665" t="s">
        <v>324</v>
      </c>
      <c r="C241" s="103">
        <v>-3468.62</v>
      </c>
      <c r="D241" s="667">
        <v>-5874.37</v>
      </c>
      <c r="E241" s="667">
        <v>-569.63</v>
      </c>
      <c r="F241" s="673">
        <v>2662.96</v>
      </c>
      <c r="G241" s="667">
        <v>-2917.6</v>
      </c>
      <c r="H241" s="667">
        <v>-162</v>
      </c>
      <c r="I241" s="667"/>
      <c r="J241" s="667"/>
      <c r="K241" s="667"/>
      <c r="L241" s="667"/>
      <c r="M241" s="667"/>
      <c r="N241" s="667"/>
      <c r="O241" s="673">
        <f t="shared" si="55"/>
        <v>-10329.259999999998</v>
      </c>
    </row>
    <row r="242" spans="1:16" ht="15" x14ac:dyDescent="0.3">
      <c r="A242" s="657">
        <v>6666021505</v>
      </c>
      <c r="B242" s="665" t="s">
        <v>325</v>
      </c>
      <c r="C242" s="673"/>
      <c r="D242" s="666"/>
      <c r="E242" s="673"/>
      <c r="F242" s="673">
        <v>0</v>
      </c>
      <c r="G242" s="675">
        <v>0</v>
      </c>
      <c r="H242" s="673">
        <v>0</v>
      </c>
      <c r="I242" s="667"/>
      <c r="J242" s="673"/>
      <c r="K242" s="673"/>
      <c r="L242" s="667"/>
      <c r="M242" s="673"/>
      <c r="N242" s="667"/>
      <c r="O242" s="673">
        <f t="shared" si="55"/>
        <v>0</v>
      </c>
    </row>
    <row r="243" spans="1:16" ht="15" x14ac:dyDescent="0.3">
      <c r="A243" s="657">
        <v>6666021506</v>
      </c>
      <c r="B243" s="665" t="s">
        <v>326</v>
      </c>
      <c r="C243" s="103">
        <v>-52065.87</v>
      </c>
      <c r="D243" s="667">
        <v>-25056</v>
      </c>
      <c r="E243" s="667">
        <v>-35961.980000000003</v>
      </c>
      <c r="F243" s="666">
        <v>7659.35</v>
      </c>
      <c r="G243" s="667">
        <v>-40185.58</v>
      </c>
      <c r="H243" s="667">
        <v>-23210.33</v>
      </c>
      <c r="I243" s="667"/>
      <c r="J243" s="667"/>
      <c r="K243" s="669"/>
      <c r="L243" s="667"/>
      <c r="M243" s="669"/>
      <c r="N243" s="667"/>
      <c r="O243" s="669">
        <f t="shared" si="55"/>
        <v>-168820.41000000003</v>
      </c>
    </row>
    <row r="244" spans="1:16" ht="15" x14ac:dyDescent="0.3">
      <c r="A244" s="682">
        <v>6666030300</v>
      </c>
      <c r="B244" s="677" t="s">
        <v>283</v>
      </c>
      <c r="C244" s="678">
        <f>-7700.5</f>
        <v>-7700.5</v>
      </c>
      <c r="D244" s="679">
        <v>-3889.56</v>
      </c>
      <c r="E244" s="679">
        <f>-1525.3</f>
        <v>-1525.3</v>
      </c>
      <c r="F244" s="679">
        <v>3758.37</v>
      </c>
      <c r="G244" s="679">
        <v>-1802.53</v>
      </c>
      <c r="H244" s="679">
        <v>-1455.99</v>
      </c>
      <c r="I244" s="679"/>
      <c r="J244" s="679"/>
      <c r="K244" s="679"/>
      <c r="L244" s="679"/>
      <c r="M244" s="679"/>
      <c r="N244" s="679"/>
      <c r="O244" s="679">
        <f t="shared" si="55"/>
        <v>-12615.509999999998</v>
      </c>
    </row>
    <row r="245" spans="1:16" ht="15" x14ac:dyDescent="0.3">
      <c r="A245" s="657">
        <v>6666091600</v>
      </c>
      <c r="B245" s="665" t="s">
        <v>327</v>
      </c>
      <c r="C245" s="103">
        <v>-777.8</v>
      </c>
      <c r="D245" s="667">
        <v>-793.33</v>
      </c>
      <c r="E245" s="667">
        <v>-640</v>
      </c>
      <c r="F245" s="666">
        <v>201.17</v>
      </c>
      <c r="G245" s="667">
        <v>-0.73</v>
      </c>
      <c r="H245" s="667">
        <v>0</v>
      </c>
      <c r="I245" s="667"/>
      <c r="J245" s="669"/>
      <c r="K245" s="669"/>
      <c r="L245" s="669"/>
      <c r="M245" s="669"/>
      <c r="N245" s="667"/>
      <c r="O245" s="669">
        <f t="shared" ref="O245" si="62">C245+D245+E245+F245+G245+H245+I245+J245+K245+L245+M245+N245</f>
        <v>-2010.69</v>
      </c>
    </row>
    <row r="246" spans="1:16" ht="15" x14ac:dyDescent="0.3">
      <c r="A246" s="657">
        <v>6666021504</v>
      </c>
      <c r="B246" s="665" t="s">
        <v>361</v>
      </c>
      <c r="C246" s="103"/>
      <c r="D246" s="667"/>
      <c r="E246" s="667"/>
      <c r="F246" s="666">
        <v>-136.05000000000001</v>
      </c>
      <c r="G246" s="667">
        <v>0</v>
      </c>
      <c r="H246" s="667">
        <v>0</v>
      </c>
      <c r="I246" s="667"/>
      <c r="J246" s="669"/>
      <c r="K246" s="669"/>
      <c r="L246" s="669"/>
      <c r="M246" s="669"/>
      <c r="N246" s="667"/>
      <c r="O246" s="669">
        <f t="shared" si="55"/>
        <v>-136.05000000000001</v>
      </c>
    </row>
    <row r="247" spans="1:16" x14ac:dyDescent="0.3">
      <c r="A247" s="670" t="s">
        <v>219</v>
      </c>
      <c r="B247" s="671" t="s">
        <v>219</v>
      </c>
      <c r="C247" s="672">
        <f t="shared" ref="C247:H247" si="63">SUM(C232:C246)</f>
        <v>-158530.16</v>
      </c>
      <c r="D247" s="672">
        <f t="shared" si="63"/>
        <v>-229913.05</v>
      </c>
      <c r="E247" s="672">
        <f t="shared" si="63"/>
        <v>-123933.37000000001</v>
      </c>
      <c r="F247" s="672">
        <f t="shared" si="63"/>
        <v>-81987.600000000006</v>
      </c>
      <c r="G247" s="672">
        <f t="shared" si="63"/>
        <v>-161743.54000000004</v>
      </c>
      <c r="H247" s="672">
        <f t="shared" si="63"/>
        <v>-101993.87000000001</v>
      </c>
      <c r="I247" s="672">
        <f t="shared" ref="I247:N247" si="64">SUM(I232:I246)</f>
        <v>0</v>
      </c>
      <c r="J247" s="672">
        <f t="shared" si="64"/>
        <v>0</v>
      </c>
      <c r="K247" s="672">
        <f t="shared" si="64"/>
        <v>0</v>
      </c>
      <c r="L247" s="672">
        <f t="shared" si="64"/>
        <v>0</v>
      </c>
      <c r="M247" s="672">
        <f t="shared" si="64"/>
        <v>0</v>
      </c>
      <c r="N247" s="672">
        <f t="shared" si="64"/>
        <v>0</v>
      </c>
      <c r="O247" s="672">
        <f t="shared" si="55"/>
        <v>-858101.59</v>
      </c>
    </row>
    <row r="248" spans="1:16" x14ac:dyDescent="0.3">
      <c r="A248" s="657" t="s">
        <v>584</v>
      </c>
      <c r="B248" s="687" t="s">
        <v>331</v>
      </c>
      <c r="C248" s="688">
        <f t="shared" ref="C248:N248" si="65">+C140+C148+C153+C201+C206+C208+C210+C212+C216+C224+C231+C247</f>
        <v>-481603.29000000004</v>
      </c>
      <c r="D248" s="688">
        <f t="shared" si="65"/>
        <v>-550636.01</v>
      </c>
      <c r="E248" s="688">
        <f t="shared" si="65"/>
        <v>-700103.79</v>
      </c>
      <c r="F248" s="688">
        <f t="shared" si="65"/>
        <v>-213480.03</v>
      </c>
      <c r="G248" s="688">
        <f t="shared" si="65"/>
        <v>-567414.89</v>
      </c>
      <c r="H248" s="688">
        <f t="shared" si="65"/>
        <v>-405818.99</v>
      </c>
      <c r="I248" s="688">
        <f t="shared" si="65"/>
        <v>0</v>
      </c>
      <c r="J248" s="688">
        <f t="shared" si="65"/>
        <v>0</v>
      </c>
      <c r="K248" s="688">
        <f t="shared" si="65"/>
        <v>0</v>
      </c>
      <c r="L248" s="688">
        <f t="shared" si="65"/>
        <v>0</v>
      </c>
      <c r="M248" s="688">
        <f t="shared" si="65"/>
        <v>0</v>
      </c>
      <c r="N248" s="688">
        <f t="shared" si="65"/>
        <v>0</v>
      </c>
      <c r="O248" s="688">
        <f t="shared" si="55"/>
        <v>-2919057</v>
      </c>
    </row>
    <row r="249" spans="1:16" x14ac:dyDescent="0.3">
      <c r="A249" s="657" t="s">
        <v>585</v>
      </c>
      <c r="B249" s="689" t="s">
        <v>332</v>
      </c>
      <c r="C249" s="690">
        <f t="shared" ref="C249:N249" si="66">+C248+C132</f>
        <v>1779705.94</v>
      </c>
      <c r="D249" s="690">
        <f t="shared" si="66"/>
        <v>1751439.0999999994</v>
      </c>
      <c r="E249" s="690">
        <f t="shared" si="66"/>
        <v>1712879.1300000004</v>
      </c>
      <c r="F249" s="690">
        <f t="shared" si="66"/>
        <v>901669.15000000014</v>
      </c>
      <c r="G249" s="690">
        <f t="shared" si="66"/>
        <v>1826704.2199999997</v>
      </c>
      <c r="H249" s="690">
        <f t="shared" si="66"/>
        <v>1439104.29</v>
      </c>
      <c r="I249" s="690">
        <f t="shared" si="66"/>
        <v>1447788.9250274713</v>
      </c>
      <c r="J249" s="690">
        <f t="shared" si="66"/>
        <v>1429335.2365927775</v>
      </c>
      <c r="K249" s="690">
        <f t="shared" si="66"/>
        <v>1537193.911295952</v>
      </c>
      <c r="L249" s="690">
        <f t="shared" si="66"/>
        <v>1616161.7032236052</v>
      </c>
      <c r="M249" s="690">
        <f t="shared" si="66"/>
        <v>1524234.191870553</v>
      </c>
      <c r="N249" s="690">
        <f t="shared" si="66"/>
        <v>1595873.4424467997</v>
      </c>
      <c r="O249" s="690">
        <f t="shared" si="55"/>
        <v>18562089.240457155</v>
      </c>
    </row>
    <row r="251" spans="1:16" x14ac:dyDescent="0.3">
      <c r="E251" s="691"/>
      <c r="F251" s="691"/>
      <c r="G251" s="685"/>
    </row>
    <row r="253" spans="1:16" x14ac:dyDescent="0.3">
      <c r="A253" s="657">
        <v>6666110110</v>
      </c>
      <c r="B253" s="693" t="s">
        <v>228</v>
      </c>
      <c r="C253" s="694">
        <v>7.1</v>
      </c>
      <c r="D253" s="694">
        <v>93.27</v>
      </c>
      <c r="E253" s="694">
        <v>103.25</v>
      </c>
      <c r="F253" s="694">
        <v>99.93</v>
      </c>
      <c r="G253" s="694">
        <v>103.26</v>
      </c>
      <c r="H253" s="694">
        <v>99.93</v>
      </c>
      <c r="I253" s="694">
        <v>0</v>
      </c>
      <c r="J253" s="694">
        <v>0</v>
      </c>
      <c r="K253" s="694">
        <v>0</v>
      </c>
      <c r="L253" s="694">
        <v>0</v>
      </c>
      <c r="M253" s="694">
        <v>0</v>
      </c>
      <c r="N253" s="694">
        <v>0</v>
      </c>
      <c r="O253" s="694">
        <f>C253+D253+E253+F253+G253+H253+I253+J253+K253+L253+M253+N253</f>
        <v>506.74</v>
      </c>
      <c r="P253" s="657">
        <v>0</v>
      </c>
    </row>
    <row r="254" spans="1:16" x14ac:dyDescent="0.3">
      <c r="A254" s="657">
        <v>6666110112</v>
      </c>
      <c r="B254" s="665" t="s">
        <v>229</v>
      </c>
      <c r="C254" s="669">
        <v>3.95</v>
      </c>
      <c r="D254" s="669">
        <v>52.77</v>
      </c>
      <c r="E254" s="669">
        <v>56.28</v>
      </c>
      <c r="F254" s="669">
        <v>50.65</v>
      </c>
      <c r="G254" s="669">
        <v>50.78</v>
      </c>
      <c r="H254" s="667">
        <v>49.39</v>
      </c>
      <c r="I254" s="667">
        <v>0</v>
      </c>
      <c r="J254" s="667">
        <v>0</v>
      </c>
      <c r="K254" s="667">
        <v>0</v>
      </c>
      <c r="L254" s="667">
        <v>0</v>
      </c>
      <c r="M254" s="667">
        <v>0</v>
      </c>
      <c r="N254" s="667">
        <v>0</v>
      </c>
      <c r="O254" s="669">
        <f t="shared" si="55"/>
        <v>263.82</v>
      </c>
      <c r="P254" s="657">
        <v>0</v>
      </c>
    </row>
    <row r="255" spans="1:16" x14ac:dyDescent="0.3">
      <c r="A255" s="657">
        <v>6666110207</v>
      </c>
      <c r="B255" s="665" t="s">
        <v>231</v>
      </c>
      <c r="C255" s="669">
        <v>0.13</v>
      </c>
      <c r="D255" s="669">
        <v>1.81</v>
      </c>
      <c r="E255" s="669">
        <v>2</v>
      </c>
      <c r="F255" s="669">
        <v>1.94</v>
      </c>
      <c r="G255" s="669">
        <v>0.04</v>
      </c>
      <c r="H255" s="667">
        <v>-7.79</v>
      </c>
      <c r="I255" s="667">
        <v>0</v>
      </c>
      <c r="J255" s="667">
        <v>0</v>
      </c>
      <c r="K255" s="667">
        <v>0</v>
      </c>
      <c r="L255" s="667">
        <v>0</v>
      </c>
      <c r="M255" s="667">
        <v>0</v>
      </c>
      <c r="N255" s="667">
        <v>0</v>
      </c>
      <c r="O255" s="669">
        <f t="shared" si="55"/>
        <v>-1.87</v>
      </c>
      <c r="P255" s="657">
        <v>0</v>
      </c>
    </row>
    <row r="256" spans="1:16" x14ac:dyDescent="0.3">
      <c r="A256" s="657">
        <v>6666110506</v>
      </c>
      <c r="B256" s="665" t="s">
        <v>232</v>
      </c>
      <c r="C256" s="669">
        <v>7.27</v>
      </c>
      <c r="D256" s="669">
        <v>92.07</v>
      </c>
      <c r="E256" s="669">
        <v>101.95</v>
      </c>
      <c r="F256" s="669">
        <v>98.64</v>
      </c>
      <c r="G256" s="669">
        <v>101.94</v>
      </c>
      <c r="H256" s="667">
        <v>98.65</v>
      </c>
      <c r="I256" s="667">
        <v>0</v>
      </c>
      <c r="J256" s="667">
        <v>0</v>
      </c>
      <c r="K256" s="667">
        <v>0</v>
      </c>
      <c r="L256" s="667">
        <v>0</v>
      </c>
      <c r="M256" s="667">
        <v>0</v>
      </c>
      <c r="N256" s="667">
        <v>0</v>
      </c>
      <c r="O256" s="669">
        <f t="shared" si="55"/>
        <v>500.52</v>
      </c>
      <c r="P256" s="657">
        <v>0</v>
      </c>
    </row>
    <row r="257" spans="1:16" ht="15" x14ac:dyDescent="0.3">
      <c r="A257" s="695" t="s">
        <v>586</v>
      </c>
      <c r="B257" s="696" t="s">
        <v>207</v>
      </c>
      <c r="C257" s="697">
        <f t="shared" ref="C257:P257" si="67">SUM(C253:C256)</f>
        <v>18.450000000000003</v>
      </c>
      <c r="D257" s="697">
        <f t="shared" si="67"/>
        <v>239.92</v>
      </c>
      <c r="E257" s="697">
        <f t="shared" si="67"/>
        <v>263.48</v>
      </c>
      <c r="F257" s="697">
        <f t="shared" si="67"/>
        <v>251.16000000000003</v>
      </c>
      <c r="G257" s="697">
        <f t="shared" si="67"/>
        <v>256.02</v>
      </c>
      <c r="H257" s="697">
        <f t="shared" si="67"/>
        <v>240.18</v>
      </c>
      <c r="I257" s="697">
        <f t="shared" ref="I257:N257" si="68">SUM(I253:I256)</f>
        <v>0</v>
      </c>
      <c r="J257" s="697">
        <f t="shared" si="68"/>
        <v>0</v>
      </c>
      <c r="K257" s="697">
        <f t="shared" si="68"/>
        <v>0</v>
      </c>
      <c r="L257" s="697">
        <f t="shared" si="68"/>
        <v>0</v>
      </c>
      <c r="M257" s="697">
        <f t="shared" si="68"/>
        <v>0</v>
      </c>
      <c r="N257" s="697">
        <f t="shared" si="68"/>
        <v>0</v>
      </c>
      <c r="O257" s="698">
        <f t="shared" si="55"/>
        <v>1269.21</v>
      </c>
      <c r="P257" s="697">
        <f t="shared" si="67"/>
        <v>0</v>
      </c>
    </row>
    <row r="258" spans="1:16" ht="15" x14ac:dyDescent="0.3">
      <c r="B258" s="674" t="s">
        <v>234</v>
      </c>
      <c r="C258" s="666"/>
      <c r="D258" s="666"/>
      <c r="E258" s="666"/>
      <c r="F258" s="666">
        <v>0</v>
      </c>
      <c r="G258" s="666">
        <v>0</v>
      </c>
      <c r="H258" s="666">
        <v>0</v>
      </c>
      <c r="I258" s="666">
        <v>0</v>
      </c>
      <c r="J258" s="666">
        <v>0</v>
      </c>
      <c r="K258" s="666">
        <v>0</v>
      </c>
      <c r="L258" s="666">
        <v>0</v>
      </c>
      <c r="M258" s="666">
        <v>0</v>
      </c>
      <c r="N258" s="666">
        <v>0</v>
      </c>
      <c r="O258" s="669">
        <f t="shared" si="55"/>
        <v>0</v>
      </c>
      <c r="P258" s="657">
        <v>0</v>
      </c>
    </row>
    <row r="259" spans="1:16" ht="15" x14ac:dyDescent="0.3">
      <c r="A259" s="657">
        <v>5102040406</v>
      </c>
      <c r="B259" s="665" t="s">
        <v>239</v>
      </c>
      <c r="C259" s="666"/>
      <c r="D259" s="666">
        <v>-2146.6</v>
      </c>
      <c r="E259" s="666">
        <v>-3213.66</v>
      </c>
      <c r="F259" s="669">
        <v>-5474.51</v>
      </c>
      <c r="G259" s="669">
        <v>-3213.66</v>
      </c>
      <c r="H259" s="669">
        <v>-3213.65</v>
      </c>
      <c r="I259" s="669">
        <v>0</v>
      </c>
      <c r="J259" s="669">
        <v>0</v>
      </c>
      <c r="K259" s="669">
        <v>0</v>
      </c>
      <c r="L259" s="669">
        <v>0</v>
      </c>
      <c r="M259" s="669">
        <v>0</v>
      </c>
      <c r="N259" s="669">
        <v>0</v>
      </c>
      <c r="O259" s="669">
        <f t="shared" si="55"/>
        <v>-17262.080000000002</v>
      </c>
      <c r="P259" s="657">
        <v>0</v>
      </c>
    </row>
    <row r="260" spans="1:16" ht="15" x14ac:dyDescent="0.3">
      <c r="A260" s="695" t="s">
        <v>587</v>
      </c>
      <c r="B260" s="696" t="s">
        <v>208</v>
      </c>
      <c r="C260" s="697">
        <f>SUM(C259)</f>
        <v>0</v>
      </c>
      <c r="D260" s="697">
        <f>SUM(D259)</f>
        <v>-2146.6</v>
      </c>
      <c r="E260" s="697">
        <f>SUM(E259)</f>
        <v>-3213.66</v>
      </c>
      <c r="F260" s="698">
        <f>SUM(F259)</f>
        <v>-5474.51</v>
      </c>
      <c r="G260" s="698">
        <f t="shared" ref="G260:H260" si="69">SUM(G259)</f>
        <v>-3213.66</v>
      </c>
      <c r="H260" s="698">
        <f t="shared" si="69"/>
        <v>-3213.65</v>
      </c>
      <c r="I260" s="698">
        <f t="shared" ref="I260:N260" si="70">SUM(I259)</f>
        <v>0</v>
      </c>
      <c r="J260" s="698">
        <f t="shared" si="70"/>
        <v>0</v>
      </c>
      <c r="K260" s="698">
        <f t="shared" si="70"/>
        <v>0</v>
      </c>
      <c r="L260" s="698">
        <f t="shared" si="70"/>
        <v>0</v>
      </c>
      <c r="M260" s="698">
        <f t="shared" si="70"/>
        <v>0</v>
      </c>
      <c r="N260" s="698">
        <f t="shared" si="70"/>
        <v>0</v>
      </c>
      <c r="O260" s="698">
        <f t="shared" si="55"/>
        <v>-17262.080000000002</v>
      </c>
      <c r="P260" s="698">
        <f>SUM(P259)</f>
        <v>0</v>
      </c>
    </row>
    <row r="261" spans="1:16" ht="15" x14ac:dyDescent="0.3">
      <c r="A261" s="657">
        <v>6666029996</v>
      </c>
      <c r="B261" s="665" t="s">
        <v>246</v>
      </c>
      <c r="C261" s="667">
        <v>78.27</v>
      </c>
      <c r="D261" s="667">
        <v>-63.78</v>
      </c>
      <c r="E261" s="667">
        <v>12.92</v>
      </c>
      <c r="F261" s="666">
        <v>4.1500000000000004</v>
      </c>
      <c r="G261" s="667">
        <v>19.77</v>
      </c>
      <c r="H261" s="667">
        <v>9.99</v>
      </c>
      <c r="I261" s="667">
        <v>0</v>
      </c>
      <c r="J261" s="667">
        <v>0</v>
      </c>
      <c r="K261" s="667">
        <v>0</v>
      </c>
      <c r="L261" s="667">
        <v>0</v>
      </c>
      <c r="M261" s="667">
        <v>0</v>
      </c>
      <c r="N261" s="667">
        <v>0</v>
      </c>
      <c r="O261" s="669">
        <f t="shared" si="55"/>
        <v>61.32</v>
      </c>
      <c r="P261" s="657">
        <v>0</v>
      </c>
    </row>
    <row r="262" spans="1:16" ht="15" x14ac:dyDescent="0.3">
      <c r="A262" s="657">
        <v>6666029700</v>
      </c>
      <c r="B262" s="665" t="s">
        <v>247</v>
      </c>
      <c r="C262" s="667">
        <v>71700.73</v>
      </c>
      <c r="D262" s="667">
        <v>14318.9</v>
      </c>
      <c r="E262" s="667">
        <v>18897.73</v>
      </c>
      <c r="F262" s="666">
        <v>-19546.730000000003</v>
      </c>
      <c r="G262" s="667">
        <v>75300.09</v>
      </c>
      <c r="H262" s="667">
        <v>59337.96</v>
      </c>
      <c r="I262" s="667">
        <v>74829.012675879552</v>
      </c>
      <c r="J262" s="667">
        <v>74204.417540681039</v>
      </c>
      <c r="K262" s="667">
        <v>80797.062889038891</v>
      </c>
      <c r="L262" s="667">
        <v>74357.161439794363</v>
      </c>
      <c r="M262" s="667">
        <v>73859.737699329795</v>
      </c>
      <c r="N262" s="667">
        <v>61734.554537188465</v>
      </c>
      <c r="O262" s="669">
        <f t="shared" si="55"/>
        <v>659790.62678191205</v>
      </c>
      <c r="P262" s="657">
        <v>4367.5709843832283</v>
      </c>
    </row>
    <row r="263" spans="1:16" ht="15" x14ac:dyDescent="0.3">
      <c r="A263" s="657">
        <v>6666010322</v>
      </c>
      <c r="B263" s="665" t="s">
        <v>248</v>
      </c>
      <c r="C263" s="667">
        <v>268.35000000000002</v>
      </c>
      <c r="D263" s="667">
        <v>349.17</v>
      </c>
      <c r="E263" s="667">
        <v>134.30000000000001</v>
      </c>
      <c r="F263" s="666">
        <v>-61.459999999999994</v>
      </c>
      <c r="G263" s="667">
        <v>-306.99</v>
      </c>
      <c r="H263" s="667">
        <v>-0.21000000000000002</v>
      </c>
      <c r="I263" s="667">
        <v>0</v>
      </c>
      <c r="J263" s="667">
        <v>0</v>
      </c>
      <c r="K263" s="667">
        <v>0</v>
      </c>
      <c r="L263" s="667">
        <v>0</v>
      </c>
      <c r="M263" s="667">
        <v>0</v>
      </c>
      <c r="N263" s="667">
        <v>0</v>
      </c>
      <c r="O263" s="669">
        <f t="shared" si="55"/>
        <v>383.15999999999991</v>
      </c>
      <c r="P263" s="657">
        <v>0</v>
      </c>
    </row>
    <row r="264" spans="1:16" ht="15" x14ac:dyDescent="0.3">
      <c r="A264" s="657">
        <v>6666020495</v>
      </c>
      <c r="B264" s="665" t="s">
        <v>249</v>
      </c>
      <c r="C264" s="667">
        <v>18.77</v>
      </c>
      <c r="D264" s="667">
        <v>66.2</v>
      </c>
      <c r="E264" s="667">
        <v>59.51</v>
      </c>
      <c r="F264" s="666">
        <v>60.6</v>
      </c>
      <c r="G264" s="667">
        <v>0.89</v>
      </c>
      <c r="H264" s="666">
        <v>27.799999999999997</v>
      </c>
      <c r="I264" s="666">
        <v>0</v>
      </c>
      <c r="J264" s="666">
        <v>0</v>
      </c>
      <c r="K264" s="666">
        <v>0</v>
      </c>
      <c r="L264" s="666">
        <v>0</v>
      </c>
      <c r="M264" s="666">
        <v>0</v>
      </c>
      <c r="N264" s="666">
        <v>0</v>
      </c>
      <c r="O264" s="669">
        <f t="shared" si="55"/>
        <v>233.76999999999998</v>
      </c>
      <c r="P264" s="657">
        <v>0</v>
      </c>
    </row>
    <row r="265" spans="1:16" x14ac:dyDescent="0.3">
      <c r="A265" s="657">
        <v>5301060000</v>
      </c>
      <c r="B265" s="665" t="s">
        <v>256</v>
      </c>
      <c r="C265" s="667"/>
      <c r="D265" s="667"/>
      <c r="E265" s="667"/>
      <c r="F265" s="669">
        <v>0</v>
      </c>
      <c r="G265" s="669">
        <v>0</v>
      </c>
      <c r="H265" s="669">
        <v>0</v>
      </c>
      <c r="I265" s="669">
        <v>0</v>
      </c>
      <c r="J265" s="669">
        <v>0</v>
      </c>
      <c r="K265" s="669">
        <v>0</v>
      </c>
      <c r="L265" s="669">
        <v>0</v>
      </c>
      <c r="M265" s="669">
        <v>0</v>
      </c>
      <c r="N265" s="669">
        <v>0</v>
      </c>
      <c r="O265" s="669">
        <f t="shared" si="55"/>
        <v>0</v>
      </c>
      <c r="P265" s="657">
        <v>0</v>
      </c>
    </row>
    <row r="266" spans="1:16" x14ac:dyDescent="0.3">
      <c r="A266" s="657">
        <v>5301999999</v>
      </c>
      <c r="B266" s="674" t="s">
        <v>257</v>
      </c>
      <c r="C266" s="667">
        <v>-299.08999999999997</v>
      </c>
      <c r="D266" s="667">
        <v>276.19</v>
      </c>
      <c r="E266" s="667">
        <v>-93.81</v>
      </c>
      <c r="F266" s="669">
        <v>-5.56</v>
      </c>
      <c r="G266" s="669">
        <v>-5.55</v>
      </c>
      <c r="H266" s="669">
        <v>-4.59</v>
      </c>
      <c r="I266" s="669">
        <v>0</v>
      </c>
      <c r="J266" s="669">
        <v>0</v>
      </c>
      <c r="K266" s="669">
        <v>0</v>
      </c>
      <c r="L266" s="669">
        <v>0</v>
      </c>
      <c r="M266" s="669">
        <v>0</v>
      </c>
      <c r="N266" s="669">
        <v>0</v>
      </c>
      <c r="O266" s="669">
        <f t="shared" si="55"/>
        <v>-132.40999999999997</v>
      </c>
      <c r="P266" s="657">
        <v>0</v>
      </c>
    </row>
    <row r="267" spans="1:16" ht="15" x14ac:dyDescent="0.3">
      <c r="A267" s="657">
        <v>5601050000</v>
      </c>
      <c r="B267" s="699" t="s">
        <v>259</v>
      </c>
      <c r="C267" s="667">
        <v>4.5199999999999996</v>
      </c>
      <c r="D267" s="667"/>
      <c r="E267" s="667"/>
      <c r="F267" s="669">
        <v>0</v>
      </c>
      <c r="G267" s="667">
        <v>0</v>
      </c>
      <c r="H267" s="669">
        <v>0</v>
      </c>
      <c r="I267" s="669">
        <v>0</v>
      </c>
      <c r="J267" s="669">
        <v>0</v>
      </c>
      <c r="K267" s="669">
        <v>0</v>
      </c>
      <c r="L267" s="669">
        <v>0</v>
      </c>
      <c r="M267" s="669">
        <v>0</v>
      </c>
      <c r="N267" s="669">
        <v>0</v>
      </c>
      <c r="O267" s="669"/>
      <c r="P267" s="657">
        <v>0</v>
      </c>
    </row>
    <row r="268" spans="1:16" ht="15" x14ac:dyDescent="0.3">
      <c r="A268" s="657">
        <v>5601050100</v>
      </c>
      <c r="B268" s="665" t="s">
        <v>260</v>
      </c>
      <c r="C268" s="666"/>
      <c r="D268" s="666">
        <v>-2516.15</v>
      </c>
      <c r="E268" s="666">
        <v>164.45</v>
      </c>
      <c r="F268" s="666">
        <v>1828.77</v>
      </c>
      <c r="G268" s="667">
        <v>52922.780000000006</v>
      </c>
      <c r="H268" s="667">
        <v>0</v>
      </c>
      <c r="I268" s="667">
        <v>0</v>
      </c>
      <c r="J268" s="667">
        <v>0</v>
      </c>
      <c r="K268" s="667">
        <v>0</v>
      </c>
      <c r="L268" s="667">
        <v>0</v>
      </c>
      <c r="M268" s="667">
        <v>0</v>
      </c>
      <c r="N268" s="667">
        <v>0</v>
      </c>
      <c r="O268" s="669">
        <f t="shared" si="55"/>
        <v>52399.850000000006</v>
      </c>
      <c r="P268" s="657">
        <v>0</v>
      </c>
    </row>
    <row r="269" spans="1:16" ht="15" x14ac:dyDescent="0.3">
      <c r="A269" s="657">
        <v>5601080000</v>
      </c>
      <c r="B269" s="665" t="s">
        <v>337</v>
      </c>
      <c r="C269" s="667">
        <v>829.21</v>
      </c>
      <c r="D269" s="667"/>
      <c r="E269" s="667">
        <v>597.91999999999996</v>
      </c>
      <c r="F269" s="666">
        <v>0</v>
      </c>
      <c r="G269" s="667">
        <v>0</v>
      </c>
      <c r="H269" s="669">
        <v>10.96</v>
      </c>
      <c r="I269" s="669">
        <v>0</v>
      </c>
      <c r="J269" s="669">
        <v>0</v>
      </c>
      <c r="K269" s="669">
        <v>0</v>
      </c>
      <c r="L269" s="669">
        <v>0</v>
      </c>
      <c r="M269" s="669">
        <v>0</v>
      </c>
      <c r="N269" s="669">
        <v>0</v>
      </c>
      <c r="O269" s="669">
        <f t="shared" si="55"/>
        <v>1438.0900000000001</v>
      </c>
      <c r="P269" s="657">
        <v>0</v>
      </c>
    </row>
    <row r="270" spans="1:16" ht="15" x14ac:dyDescent="0.3">
      <c r="A270" s="657">
        <v>6666020101</v>
      </c>
      <c r="B270" s="699" t="s">
        <v>261</v>
      </c>
      <c r="C270" s="666"/>
      <c r="D270" s="666">
        <v>331.35</v>
      </c>
      <c r="E270" s="666">
        <v>1432.58</v>
      </c>
      <c r="F270" s="669">
        <v>515.29000000000008</v>
      </c>
      <c r="G270" s="669">
        <v>57.519999999999996</v>
      </c>
      <c r="H270" s="667">
        <v>822.93999999999994</v>
      </c>
      <c r="I270" s="667">
        <v>0</v>
      </c>
      <c r="J270" s="667">
        <v>0</v>
      </c>
      <c r="K270" s="667">
        <v>0</v>
      </c>
      <c r="L270" s="667">
        <v>0</v>
      </c>
      <c r="M270" s="667">
        <v>0</v>
      </c>
      <c r="N270" s="667">
        <v>0</v>
      </c>
      <c r="O270" s="669"/>
      <c r="P270" s="657">
        <v>0</v>
      </c>
    </row>
    <row r="271" spans="1:16" ht="15" x14ac:dyDescent="0.3">
      <c r="A271" s="657">
        <v>6666020201</v>
      </c>
      <c r="B271" s="665" t="s">
        <v>262</v>
      </c>
      <c r="C271" s="667">
        <v>10.91</v>
      </c>
      <c r="D271" s="667">
        <v>83.71</v>
      </c>
      <c r="E271" s="667">
        <v>5.05</v>
      </c>
      <c r="F271" s="666">
        <v>59.71</v>
      </c>
      <c r="G271" s="667">
        <v>262.05</v>
      </c>
      <c r="H271" s="667">
        <v>87.29</v>
      </c>
      <c r="I271" s="667">
        <v>0</v>
      </c>
      <c r="J271" s="667">
        <v>0</v>
      </c>
      <c r="K271" s="667">
        <v>0</v>
      </c>
      <c r="L271" s="667">
        <v>0</v>
      </c>
      <c r="M271" s="667">
        <v>0</v>
      </c>
      <c r="N271" s="667">
        <v>0</v>
      </c>
      <c r="O271" s="669">
        <f t="shared" si="55"/>
        <v>508.72</v>
      </c>
      <c r="P271" s="657">
        <v>0</v>
      </c>
    </row>
    <row r="272" spans="1:16" ht="15" x14ac:dyDescent="0.3">
      <c r="A272" s="657">
        <v>6666020202</v>
      </c>
      <c r="B272" s="674" t="s">
        <v>263</v>
      </c>
      <c r="C272" s="667"/>
      <c r="D272" s="667">
        <v>1579.91</v>
      </c>
      <c r="E272" s="667"/>
      <c r="F272" s="666">
        <v>0</v>
      </c>
      <c r="G272" s="667">
        <v>0</v>
      </c>
      <c r="H272" s="667">
        <v>0</v>
      </c>
      <c r="I272" s="667">
        <v>0</v>
      </c>
      <c r="J272" s="667">
        <v>0</v>
      </c>
      <c r="K272" s="667">
        <v>0</v>
      </c>
      <c r="L272" s="667">
        <v>0</v>
      </c>
      <c r="M272" s="667">
        <v>0</v>
      </c>
      <c r="N272" s="667">
        <v>0</v>
      </c>
      <c r="O272" s="669">
        <f t="shared" si="55"/>
        <v>1579.91</v>
      </c>
      <c r="P272" s="657">
        <v>0</v>
      </c>
    </row>
    <row r="273" spans="1:16" ht="15" x14ac:dyDescent="0.3">
      <c r="A273" s="657">
        <v>6666020204</v>
      </c>
      <c r="B273" s="665" t="s">
        <v>264</v>
      </c>
      <c r="C273" s="667">
        <v>123.03</v>
      </c>
      <c r="D273" s="667"/>
      <c r="E273" s="667">
        <v>-913.14</v>
      </c>
      <c r="F273" s="666">
        <v>42.68</v>
      </c>
      <c r="G273" s="669">
        <v>12.870000000000001</v>
      </c>
      <c r="H273" s="669">
        <v>632.38</v>
      </c>
      <c r="I273" s="669">
        <v>0</v>
      </c>
      <c r="J273" s="669">
        <v>0</v>
      </c>
      <c r="K273" s="669">
        <v>0</v>
      </c>
      <c r="L273" s="669">
        <v>0</v>
      </c>
      <c r="M273" s="669">
        <v>0</v>
      </c>
      <c r="N273" s="669">
        <v>0</v>
      </c>
      <c r="O273" s="669">
        <f t="shared" si="55"/>
        <v>-102.18000000000006</v>
      </c>
      <c r="P273" s="657">
        <v>0</v>
      </c>
    </row>
    <row r="274" spans="1:16" ht="15" x14ac:dyDescent="0.3">
      <c r="A274" s="657">
        <v>6666020301</v>
      </c>
      <c r="B274" s="665" t="s">
        <v>266</v>
      </c>
      <c r="C274" s="667">
        <v>15.05</v>
      </c>
      <c r="D274" s="667">
        <v>58.71</v>
      </c>
      <c r="E274" s="667">
        <v>133.30000000000001</v>
      </c>
      <c r="F274" s="666">
        <v>122.32</v>
      </c>
      <c r="G274" s="667">
        <v>-53.43</v>
      </c>
      <c r="H274" s="667">
        <v>28.07</v>
      </c>
      <c r="I274" s="667">
        <v>0</v>
      </c>
      <c r="J274" s="667">
        <v>0</v>
      </c>
      <c r="K274" s="667">
        <v>0</v>
      </c>
      <c r="L274" s="667">
        <v>0</v>
      </c>
      <c r="M274" s="667">
        <v>0</v>
      </c>
      <c r="N274" s="667">
        <v>0</v>
      </c>
      <c r="O274" s="669">
        <f t="shared" si="55"/>
        <v>304.02</v>
      </c>
      <c r="P274" s="657">
        <v>0</v>
      </c>
    </row>
    <row r="275" spans="1:16" ht="15" x14ac:dyDescent="0.3">
      <c r="A275" s="657">
        <v>6666020403</v>
      </c>
      <c r="B275" s="699" t="s">
        <v>269</v>
      </c>
      <c r="C275" s="666"/>
      <c r="D275" s="666"/>
      <c r="E275" s="666"/>
      <c r="F275" s="666">
        <v>0</v>
      </c>
      <c r="G275" s="669">
        <v>0</v>
      </c>
      <c r="H275" s="669">
        <v>0</v>
      </c>
      <c r="I275" s="669">
        <v>0</v>
      </c>
      <c r="J275" s="669">
        <v>0</v>
      </c>
      <c r="K275" s="669">
        <v>0</v>
      </c>
      <c r="L275" s="669">
        <v>0</v>
      </c>
      <c r="M275" s="669">
        <v>0</v>
      </c>
      <c r="N275" s="669">
        <v>0</v>
      </c>
      <c r="O275" s="669"/>
      <c r="P275" s="657">
        <v>0</v>
      </c>
    </row>
    <row r="276" spans="1:16" ht="15" x14ac:dyDescent="0.3">
      <c r="A276" s="657">
        <v>6666020504</v>
      </c>
      <c r="B276" s="674" t="s">
        <v>271</v>
      </c>
      <c r="C276" s="666"/>
      <c r="D276" s="666"/>
      <c r="E276" s="666"/>
      <c r="F276" s="666">
        <v>0</v>
      </c>
      <c r="G276" s="669">
        <v>0</v>
      </c>
      <c r="H276" s="669">
        <v>0</v>
      </c>
      <c r="I276" s="669">
        <v>0</v>
      </c>
      <c r="J276" s="669">
        <v>0</v>
      </c>
      <c r="K276" s="669">
        <v>0</v>
      </c>
      <c r="L276" s="669">
        <v>0</v>
      </c>
      <c r="M276" s="669">
        <v>0</v>
      </c>
      <c r="N276" s="669">
        <v>0</v>
      </c>
      <c r="O276" s="669">
        <f t="shared" si="55"/>
        <v>0</v>
      </c>
      <c r="P276" s="657">
        <v>0</v>
      </c>
    </row>
    <row r="277" spans="1:16" ht="15" x14ac:dyDescent="0.3">
      <c r="A277" s="657">
        <v>6666020508</v>
      </c>
      <c r="B277" s="665" t="s">
        <v>272</v>
      </c>
      <c r="C277" s="667">
        <v>17.04</v>
      </c>
      <c r="D277" s="667">
        <v>59.78</v>
      </c>
      <c r="E277" s="667">
        <v>-10.01</v>
      </c>
      <c r="F277" s="666">
        <v>88.97999999999999</v>
      </c>
      <c r="G277" s="667">
        <v>-1.3200000000000003</v>
      </c>
      <c r="H277" s="667">
        <v>-17.34</v>
      </c>
      <c r="I277" s="667">
        <v>0</v>
      </c>
      <c r="J277" s="667">
        <v>0</v>
      </c>
      <c r="K277" s="667">
        <v>0</v>
      </c>
      <c r="L277" s="667">
        <v>0</v>
      </c>
      <c r="M277" s="667">
        <v>0</v>
      </c>
      <c r="N277" s="667">
        <v>0</v>
      </c>
      <c r="O277" s="669">
        <f t="shared" si="55"/>
        <v>137.12999999999997</v>
      </c>
      <c r="P277" s="657">
        <v>0</v>
      </c>
    </row>
    <row r="278" spans="1:16" ht="15" x14ac:dyDescent="0.3">
      <c r="A278" s="657">
        <v>6666020602</v>
      </c>
      <c r="B278" s="699" t="s">
        <v>273</v>
      </c>
      <c r="C278" s="667">
        <v>-22.34</v>
      </c>
      <c r="D278" s="667"/>
      <c r="E278" s="667"/>
      <c r="F278" s="669">
        <v>0</v>
      </c>
      <c r="G278" s="669">
        <v>0</v>
      </c>
      <c r="H278" s="669">
        <v>0</v>
      </c>
      <c r="I278" s="669">
        <v>0</v>
      </c>
      <c r="J278" s="669">
        <v>0</v>
      </c>
      <c r="K278" s="669">
        <v>0</v>
      </c>
      <c r="L278" s="669">
        <v>0</v>
      </c>
      <c r="M278" s="669">
        <v>0</v>
      </c>
      <c r="N278" s="669">
        <v>0</v>
      </c>
      <c r="O278" s="669"/>
      <c r="P278" s="657">
        <v>0</v>
      </c>
    </row>
    <row r="279" spans="1:16" ht="15" x14ac:dyDescent="0.3">
      <c r="A279" s="657">
        <v>6666020701</v>
      </c>
      <c r="B279" s="665" t="s">
        <v>274</v>
      </c>
      <c r="C279" s="667">
        <v>19231.28</v>
      </c>
      <c r="D279" s="667">
        <v>18687.560000000001</v>
      </c>
      <c r="E279" s="667">
        <v>18959.419999999998</v>
      </c>
      <c r="F279" s="666">
        <v>18959.419999999998</v>
      </c>
      <c r="G279" s="667">
        <v>18959.419999999998</v>
      </c>
      <c r="H279" s="667">
        <v>-28080.87</v>
      </c>
      <c r="I279" s="667">
        <v>11225.875671998998</v>
      </c>
      <c r="J279" s="667">
        <v>11225.875671998998</v>
      </c>
      <c r="K279" s="667">
        <v>11225.875671998998</v>
      </c>
      <c r="L279" s="667">
        <v>11225.875671998998</v>
      </c>
      <c r="M279" s="667">
        <v>11225.875671998998</v>
      </c>
      <c r="N279" s="667">
        <v>11225.875671998998</v>
      </c>
      <c r="O279" s="669">
        <f t="shared" si="55"/>
        <v>134071.48403199401</v>
      </c>
      <c r="P279" s="657">
        <v>0</v>
      </c>
    </row>
    <row r="280" spans="1:16" ht="15" x14ac:dyDescent="0.3">
      <c r="A280" s="657">
        <v>6666020801</v>
      </c>
      <c r="B280" s="699" t="s">
        <v>338</v>
      </c>
      <c r="C280" s="667">
        <v>27.77</v>
      </c>
      <c r="D280" s="667">
        <v>415.2</v>
      </c>
      <c r="E280" s="667">
        <v>-117.28</v>
      </c>
      <c r="F280" s="669">
        <v>0</v>
      </c>
      <c r="G280" s="667">
        <v>0</v>
      </c>
      <c r="H280" s="669">
        <v>-404.73</v>
      </c>
      <c r="I280" s="669">
        <v>0</v>
      </c>
      <c r="J280" s="669">
        <v>0</v>
      </c>
      <c r="K280" s="669">
        <v>0</v>
      </c>
      <c r="L280" s="669">
        <v>0</v>
      </c>
      <c r="M280" s="669">
        <v>0</v>
      </c>
      <c r="N280" s="669">
        <v>0</v>
      </c>
      <c r="O280" s="669"/>
      <c r="P280" s="657">
        <v>0</v>
      </c>
    </row>
    <row r="281" spans="1:16" ht="15" x14ac:dyDescent="0.3">
      <c r="A281" s="657">
        <v>6666020803</v>
      </c>
      <c r="B281" s="665" t="s">
        <v>276</v>
      </c>
      <c r="C281" s="667">
        <v>640.84</v>
      </c>
      <c r="D281" s="667">
        <v>330.71</v>
      </c>
      <c r="E281" s="667">
        <v>264.91000000000003</v>
      </c>
      <c r="F281" s="666">
        <v>331.99</v>
      </c>
      <c r="G281" s="667">
        <v>302</v>
      </c>
      <c r="H281" s="667">
        <v>281.32</v>
      </c>
      <c r="I281" s="667">
        <v>0</v>
      </c>
      <c r="J281" s="667">
        <v>0</v>
      </c>
      <c r="K281" s="667">
        <v>0</v>
      </c>
      <c r="L281" s="667">
        <v>0</v>
      </c>
      <c r="M281" s="667">
        <v>0</v>
      </c>
      <c r="N281" s="667">
        <v>0</v>
      </c>
      <c r="O281" s="669">
        <f t="shared" ref="O281:O339" si="71">C281+D281+E281+F281+G281+H281+I281+J281+K281+L281+M281+N281</f>
        <v>2151.77</v>
      </c>
      <c r="P281" s="657">
        <v>0</v>
      </c>
    </row>
    <row r="282" spans="1:16" ht="15" x14ac:dyDescent="0.3">
      <c r="A282" s="657">
        <v>6666021100</v>
      </c>
      <c r="B282" s="699" t="s">
        <v>277</v>
      </c>
      <c r="C282" s="667">
        <v>1421.18</v>
      </c>
      <c r="D282" s="667">
        <v>697.54</v>
      </c>
      <c r="E282" s="667">
        <v>7727.78</v>
      </c>
      <c r="F282" s="666">
        <v>2886.29</v>
      </c>
      <c r="G282" s="667">
        <v>2281.02</v>
      </c>
      <c r="H282" s="667">
        <v>438.44</v>
      </c>
      <c r="I282" s="667">
        <v>0</v>
      </c>
      <c r="J282" s="667">
        <v>0</v>
      </c>
      <c r="K282" s="667">
        <v>0</v>
      </c>
      <c r="L282" s="667">
        <v>0</v>
      </c>
      <c r="M282" s="667">
        <v>0</v>
      </c>
      <c r="N282" s="667">
        <v>0</v>
      </c>
      <c r="O282" s="669">
        <f t="shared" si="71"/>
        <v>15452.250000000002</v>
      </c>
      <c r="P282" s="657">
        <v>0</v>
      </c>
    </row>
    <row r="283" spans="1:16" ht="15" x14ac:dyDescent="0.3">
      <c r="A283" s="657">
        <v>6666021102</v>
      </c>
      <c r="B283" s="665" t="s">
        <v>339</v>
      </c>
      <c r="C283" s="667">
        <v>162.22</v>
      </c>
      <c r="D283" s="667">
        <v>3273.13</v>
      </c>
      <c r="E283" s="667">
        <v>-2081.35</v>
      </c>
      <c r="F283" s="666">
        <v>1775.59</v>
      </c>
      <c r="G283" s="667">
        <v>2170.69</v>
      </c>
      <c r="H283" s="667">
        <v>1262.17</v>
      </c>
      <c r="I283" s="667">
        <v>0</v>
      </c>
      <c r="J283" s="667">
        <v>0</v>
      </c>
      <c r="K283" s="667">
        <v>0</v>
      </c>
      <c r="L283" s="667">
        <v>0</v>
      </c>
      <c r="M283" s="667">
        <v>0</v>
      </c>
      <c r="N283" s="667">
        <v>0</v>
      </c>
      <c r="O283" s="669">
        <f t="shared" si="71"/>
        <v>6562.4500000000007</v>
      </c>
      <c r="P283" s="657">
        <v>0</v>
      </c>
    </row>
    <row r="284" spans="1:16" ht="15" x14ac:dyDescent="0.3">
      <c r="A284" s="657">
        <v>6666021103</v>
      </c>
      <c r="B284" s="674" t="s">
        <v>640</v>
      </c>
      <c r="C284" s="667"/>
      <c r="D284" s="667"/>
      <c r="E284" s="667">
        <v>6434.13</v>
      </c>
      <c r="F284" s="666">
        <v>0</v>
      </c>
      <c r="G284" s="667">
        <v>0</v>
      </c>
      <c r="H284" s="667">
        <v>-234.13</v>
      </c>
      <c r="I284" s="667">
        <v>0</v>
      </c>
      <c r="J284" s="667">
        <v>0</v>
      </c>
      <c r="K284" s="667">
        <v>0</v>
      </c>
      <c r="L284" s="667">
        <v>0</v>
      </c>
      <c r="M284" s="667">
        <v>0</v>
      </c>
      <c r="N284" s="667">
        <v>0</v>
      </c>
      <c r="O284" s="669"/>
      <c r="P284" s="657">
        <v>0</v>
      </c>
    </row>
    <row r="285" spans="1:16" ht="15" x14ac:dyDescent="0.3">
      <c r="A285" s="657">
        <v>6666021104</v>
      </c>
      <c r="B285" s="674" t="s">
        <v>267</v>
      </c>
      <c r="C285" s="667">
        <v>-1.55</v>
      </c>
      <c r="D285" s="667">
        <v>120.25</v>
      </c>
      <c r="E285" s="667">
        <v>241.58</v>
      </c>
      <c r="F285" s="666">
        <v>-10.890000000000015</v>
      </c>
      <c r="G285" s="667">
        <v>126.72</v>
      </c>
      <c r="H285" s="667">
        <v>117.06</v>
      </c>
      <c r="I285" s="667">
        <v>0</v>
      </c>
      <c r="J285" s="667">
        <v>0</v>
      </c>
      <c r="K285" s="667">
        <v>0</v>
      </c>
      <c r="L285" s="667">
        <v>0</v>
      </c>
      <c r="M285" s="667">
        <v>0</v>
      </c>
      <c r="N285" s="667">
        <v>0</v>
      </c>
      <c r="O285" s="669">
        <f t="shared" si="71"/>
        <v>593.17000000000007</v>
      </c>
      <c r="P285" s="657">
        <v>0</v>
      </c>
    </row>
    <row r="286" spans="1:16" ht="15" x14ac:dyDescent="0.3">
      <c r="A286" s="657">
        <v>6666021200</v>
      </c>
      <c r="B286" s="674" t="s">
        <v>358</v>
      </c>
      <c r="C286" s="667"/>
      <c r="D286" s="667">
        <v>2299.17</v>
      </c>
      <c r="E286" s="667">
        <v>2299.16</v>
      </c>
      <c r="F286" s="666">
        <v>2170.0100000000002</v>
      </c>
      <c r="G286" s="667">
        <v>-2126.7600000000002</v>
      </c>
      <c r="H286" s="667">
        <v>-146.57999999999998</v>
      </c>
      <c r="I286" s="667">
        <v>0</v>
      </c>
      <c r="J286" s="667">
        <v>0</v>
      </c>
      <c r="K286" s="667">
        <v>0</v>
      </c>
      <c r="L286" s="667">
        <v>0</v>
      </c>
      <c r="M286" s="667">
        <v>0</v>
      </c>
      <c r="N286" s="667">
        <v>0</v>
      </c>
      <c r="O286" s="669">
        <f t="shared" si="71"/>
        <v>4495</v>
      </c>
      <c r="P286" s="657">
        <v>0</v>
      </c>
    </row>
    <row r="287" spans="1:16" ht="15" x14ac:dyDescent="0.3">
      <c r="A287" s="657">
        <v>6666021300</v>
      </c>
      <c r="B287" s="665" t="s">
        <v>340</v>
      </c>
      <c r="C287" s="667">
        <v>690.95</v>
      </c>
      <c r="D287" s="667">
        <v>103.2</v>
      </c>
      <c r="E287" s="667">
        <v>112.22</v>
      </c>
      <c r="F287" s="666">
        <v>306.16999999999996</v>
      </c>
      <c r="G287" s="667">
        <v>871.78</v>
      </c>
      <c r="H287" s="667">
        <v>1084.6000000000001</v>
      </c>
      <c r="I287" s="667">
        <v>0</v>
      </c>
      <c r="J287" s="667">
        <v>0</v>
      </c>
      <c r="K287" s="667">
        <v>0</v>
      </c>
      <c r="L287" s="667">
        <v>0</v>
      </c>
      <c r="M287" s="667">
        <v>0</v>
      </c>
      <c r="N287" s="667">
        <v>0</v>
      </c>
      <c r="O287" s="669">
        <f t="shared" si="71"/>
        <v>3168.92</v>
      </c>
      <c r="P287" s="657">
        <v>0</v>
      </c>
    </row>
    <row r="288" spans="1:16" ht="15" x14ac:dyDescent="0.3">
      <c r="A288" s="657">
        <v>6666021902</v>
      </c>
      <c r="B288" s="699" t="s">
        <v>278</v>
      </c>
      <c r="C288" s="667">
        <v>77.849999999999994</v>
      </c>
      <c r="D288" s="667">
        <v>-77.849999999999994</v>
      </c>
      <c r="E288" s="667"/>
      <c r="F288" s="669">
        <v>-0.03</v>
      </c>
      <c r="G288" s="667">
        <v>9.98</v>
      </c>
      <c r="H288" s="667">
        <v>21.93</v>
      </c>
      <c r="I288" s="667">
        <v>0</v>
      </c>
      <c r="J288" s="667">
        <v>0</v>
      </c>
      <c r="K288" s="667">
        <v>0</v>
      </c>
      <c r="L288" s="667">
        <v>0</v>
      </c>
      <c r="M288" s="667">
        <v>0</v>
      </c>
      <c r="N288" s="667">
        <v>0</v>
      </c>
      <c r="O288" s="669"/>
      <c r="P288" s="657">
        <v>0</v>
      </c>
    </row>
    <row r="289" spans="1:16" ht="15" x14ac:dyDescent="0.3">
      <c r="A289" s="657">
        <v>6666022100</v>
      </c>
      <c r="B289" s="699" t="s">
        <v>279</v>
      </c>
      <c r="C289" s="667">
        <v>71.16</v>
      </c>
      <c r="D289" s="667">
        <v>-71.16</v>
      </c>
      <c r="E289" s="667"/>
      <c r="F289" s="669">
        <v>0</v>
      </c>
      <c r="G289" s="667">
        <v>0</v>
      </c>
      <c r="H289" s="667">
        <v>0</v>
      </c>
      <c r="I289" s="667">
        <v>0</v>
      </c>
      <c r="J289" s="667">
        <v>0</v>
      </c>
      <c r="K289" s="667">
        <v>0</v>
      </c>
      <c r="L289" s="667">
        <v>0</v>
      </c>
      <c r="M289" s="667">
        <v>0</v>
      </c>
      <c r="N289" s="667">
        <v>0</v>
      </c>
      <c r="O289" s="669"/>
      <c r="P289" s="657">
        <v>0</v>
      </c>
    </row>
    <row r="290" spans="1:16" ht="15" x14ac:dyDescent="0.3">
      <c r="A290" s="657">
        <v>6666022300</v>
      </c>
      <c r="B290" s="665" t="s">
        <v>280</v>
      </c>
      <c r="C290" s="667">
        <v>4669.74</v>
      </c>
      <c r="D290" s="667">
        <v>2296.2399999999998</v>
      </c>
      <c r="E290" s="667">
        <v>6756.32</v>
      </c>
      <c r="F290" s="666">
        <v>10386.530000000001</v>
      </c>
      <c r="G290" s="667">
        <v>12735.37</v>
      </c>
      <c r="H290" s="667">
        <v>1175.29</v>
      </c>
      <c r="I290" s="667">
        <v>8285.8327614091722</v>
      </c>
      <c r="J290" s="667">
        <v>8213.2227614091717</v>
      </c>
      <c r="K290" s="667">
        <v>8870.3527614091727</v>
      </c>
      <c r="L290" s="667">
        <v>8449.4127614091722</v>
      </c>
      <c r="M290" s="667">
        <v>8274.9627614091714</v>
      </c>
      <c r="N290" s="667">
        <v>8735.3627614091711</v>
      </c>
      <c r="O290" s="669">
        <f t="shared" si="71"/>
        <v>88848.636568455026</v>
      </c>
      <c r="P290" s="657">
        <v>12.363332163537478</v>
      </c>
    </row>
    <row r="291" spans="1:16" ht="15" x14ac:dyDescent="0.3">
      <c r="A291" s="657">
        <v>6666029900</v>
      </c>
      <c r="B291" s="665" t="s">
        <v>281</v>
      </c>
      <c r="C291" s="667">
        <v>4.4800000000000004</v>
      </c>
      <c r="D291" s="667">
        <v>16.72</v>
      </c>
      <c r="E291" s="667">
        <v>92.71</v>
      </c>
      <c r="F291" s="666">
        <v>184.92</v>
      </c>
      <c r="G291" s="667">
        <v>13.42</v>
      </c>
      <c r="H291" s="667">
        <v>12.22</v>
      </c>
      <c r="I291" s="667">
        <v>0</v>
      </c>
      <c r="J291" s="667">
        <v>0</v>
      </c>
      <c r="K291" s="667">
        <v>0</v>
      </c>
      <c r="L291" s="667">
        <v>0</v>
      </c>
      <c r="M291" s="667">
        <v>0</v>
      </c>
      <c r="N291" s="667">
        <v>0</v>
      </c>
      <c r="O291" s="669">
        <f t="shared" si="71"/>
        <v>324.47000000000003</v>
      </c>
      <c r="P291" s="657">
        <v>0</v>
      </c>
    </row>
    <row r="292" spans="1:16" ht="15" x14ac:dyDescent="0.3">
      <c r="A292" s="657">
        <v>6666029997</v>
      </c>
      <c r="B292" s="699" t="s">
        <v>282</v>
      </c>
      <c r="C292" s="666"/>
      <c r="D292" s="666">
        <v>2604.98</v>
      </c>
      <c r="E292" s="666">
        <v>-1338</v>
      </c>
      <c r="F292" s="669">
        <v>0</v>
      </c>
      <c r="G292" s="669">
        <v>0</v>
      </c>
      <c r="H292" s="669">
        <v>0</v>
      </c>
      <c r="I292" s="669">
        <v>0</v>
      </c>
      <c r="J292" s="669">
        <v>0</v>
      </c>
      <c r="K292" s="669">
        <v>0</v>
      </c>
      <c r="L292" s="669">
        <v>0</v>
      </c>
      <c r="M292" s="669">
        <v>0</v>
      </c>
      <c r="N292" s="669">
        <v>0</v>
      </c>
      <c r="O292" s="669">
        <f t="shared" si="71"/>
        <v>1266.98</v>
      </c>
      <c r="P292" s="657">
        <v>0</v>
      </c>
    </row>
    <row r="293" spans="1:16" ht="15" x14ac:dyDescent="0.3">
      <c r="A293" s="657">
        <v>6666031100</v>
      </c>
      <c r="B293" s="674" t="s">
        <v>341</v>
      </c>
      <c r="C293" s="666"/>
      <c r="D293" s="666"/>
      <c r="E293" s="666"/>
      <c r="F293" s="669">
        <v>0</v>
      </c>
      <c r="G293" s="669">
        <v>0</v>
      </c>
      <c r="H293" s="669">
        <v>0</v>
      </c>
      <c r="I293" s="669">
        <v>0</v>
      </c>
      <c r="J293" s="669">
        <v>0</v>
      </c>
      <c r="K293" s="669">
        <v>0</v>
      </c>
      <c r="L293" s="669">
        <v>0</v>
      </c>
      <c r="M293" s="669">
        <v>0</v>
      </c>
      <c r="N293" s="669">
        <v>0</v>
      </c>
      <c r="O293" s="669">
        <f t="shared" si="71"/>
        <v>0</v>
      </c>
      <c r="P293" s="657">
        <v>0</v>
      </c>
    </row>
    <row r="294" spans="1:16" ht="15" x14ac:dyDescent="0.3">
      <c r="A294" s="657">
        <v>6666050107</v>
      </c>
      <c r="B294" s="699" t="s">
        <v>286</v>
      </c>
      <c r="C294" s="666"/>
      <c r="D294" s="666"/>
      <c r="E294" s="666"/>
      <c r="F294" s="666">
        <v>0</v>
      </c>
      <c r="G294" s="669">
        <v>0</v>
      </c>
      <c r="H294" s="669">
        <v>0</v>
      </c>
      <c r="I294" s="669">
        <v>0</v>
      </c>
      <c r="J294" s="669">
        <v>0</v>
      </c>
      <c r="K294" s="669">
        <v>0</v>
      </c>
      <c r="L294" s="669">
        <v>0</v>
      </c>
      <c r="M294" s="669">
        <v>0</v>
      </c>
      <c r="N294" s="669">
        <v>0</v>
      </c>
      <c r="O294" s="669">
        <f t="shared" si="71"/>
        <v>0</v>
      </c>
      <c r="P294" s="657">
        <v>0</v>
      </c>
    </row>
    <row r="295" spans="1:16" ht="15" x14ac:dyDescent="0.3">
      <c r="A295" s="657">
        <v>6666070400</v>
      </c>
      <c r="B295" s="674" t="s">
        <v>289</v>
      </c>
      <c r="C295" s="666"/>
      <c r="D295" s="666">
        <v>53.72</v>
      </c>
      <c r="E295" s="666">
        <v>54.74</v>
      </c>
      <c r="F295" s="666">
        <v>54.01</v>
      </c>
      <c r="G295" s="669">
        <v>54.91</v>
      </c>
      <c r="H295" s="669">
        <v>54.41</v>
      </c>
      <c r="I295" s="669">
        <v>0</v>
      </c>
      <c r="J295" s="669">
        <v>0</v>
      </c>
      <c r="K295" s="669">
        <v>0</v>
      </c>
      <c r="L295" s="669">
        <v>0</v>
      </c>
      <c r="M295" s="669">
        <v>0</v>
      </c>
      <c r="N295" s="669">
        <v>0</v>
      </c>
      <c r="O295" s="669">
        <f t="shared" si="71"/>
        <v>271.78999999999996</v>
      </c>
      <c r="P295" s="657">
        <v>0</v>
      </c>
    </row>
    <row r="296" spans="1:16" ht="15" x14ac:dyDescent="0.3">
      <c r="A296" s="657">
        <v>6666079999</v>
      </c>
      <c r="B296" s="665" t="s">
        <v>342</v>
      </c>
      <c r="C296" s="667">
        <v>88890.34</v>
      </c>
      <c r="D296" s="667">
        <v>89415.12</v>
      </c>
      <c r="E296" s="667">
        <v>89415.12</v>
      </c>
      <c r="F296" s="666">
        <v>89415.12</v>
      </c>
      <c r="G296" s="667">
        <v>89415.12</v>
      </c>
      <c r="H296" s="667">
        <v>89415.12</v>
      </c>
      <c r="I296" s="667">
        <v>90697.222368004921</v>
      </c>
      <c r="J296" s="667">
        <v>90697.222368004921</v>
      </c>
      <c r="K296" s="667">
        <v>90697.222368004921</v>
      </c>
      <c r="L296" s="667">
        <v>90697.222368004921</v>
      </c>
      <c r="M296" s="667">
        <v>90697.222368004921</v>
      </c>
      <c r="N296" s="667">
        <v>90697.222368004921</v>
      </c>
      <c r="O296" s="669">
        <f t="shared" si="71"/>
        <v>1080149.2742080297</v>
      </c>
      <c r="P296" s="657">
        <v>0</v>
      </c>
    </row>
    <row r="297" spans="1:16" ht="15" x14ac:dyDescent="0.3">
      <c r="A297" s="657">
        <v>6666090100</v>
      </c>
      <c r="B297" s="674" t="s">
        <v>344</v>
      </c>
      <c r="C297" s="667"/>
      <c r="D297" s="667"/>
      <c r="E297" s="667"/>
      <c r="F297" s="666">
        <v>0</v>
      </c>
      <c r="G297" s="667">
        <v>0</v>
      </c>
      <c r="H297" s="667">
        <v>0</v>
      </c>
      <c r="I297" s="667">
        <v>0</v>
      </c>
      <c r="J297" s="667">
        <v>0</v>
      </c>
      <c r="K297" s="667">
        <v>0</v>
      </c>
      <c r="L297" s="667">
        <v>0</v>
      </c>
      <c r="M297" s="667">
        <v>0</v>
      </c>
      <c r="N297" s="667">
        <v>0</v>
      </c>
      <c r="O297" s="669">
        <f t="shared" si="71"/>
        <v>0</v>
      </c>
      <c r="P297" s="657">
        <v>0</v>
      </c>
    </row>
    <row r="298" spans="1:16" ht="15" x14ac:dyDescent="0.3">
      <c r="A298" s="657">
        <v>6666093800</v>
      </c>
      <c r="B298" s="665" t="s">
        <v>343</v>
      </c>
      <c r="C298" s="667">
        <v>133.38999999999999</v>
      </c>
      <c r="D298" s="667">
        <v>75.72</v>
      </c>
      <c r="E298" s="667">
        <v>994.6</v>
      </c>
      <c r="F298" s="666">
        <v>57.2</v>
      </c>
      <c r="G298" s="667">
        <v>29.05</v>
      </c>
      <c r="H298" s="667">
        <v>39.86</v>
      </c>
      <c r="I298" s="667">
        <v>0</v>
      </c>
      <c r="J298" s="667">
        <v>0</v>
      </c>
      <c r="K298" s="667">
        <v>0</v>
      </c>
      <c r="L298" s="667">
        <v>0</v>
      </c>
      <c r="M298" s="667">
        <v>0</v>
      </c>
      <c r="N298" s="667">
        <v>0</v>
      </c>
      <c r="O298" s="669">
        <f t="shared" si="71"/>
        <v>1329.82</v>
      </c>
      <c r="P298" s="657">
        <v>0</v>
      </c>
    </row>
    <row r="299" spans="1:16" ht="15" x14ac:dyDescent="0.3">
      <c r="A299" s="657">
        <v>5401050201</v>
      </c>
      <c r="B299" s="674" t="s">
        <v>291</v>
      </c>
      <c r="C299" s="666"/>
      <c r="D299" s="666"/>
      <c r="E299" s="666"/>
      <c r="F299" s="666">
        <v>0</v>
      </c>
      <c r="G299" s="667">
        <v>0</v>
      </c>
      <c r="H299" s="667">
        <v>0</v>
      </c>
      <c r="I299" s="667">
        <v>0</v>
      </c>
      <c r="J299" s="667">
        <v>0</v>
      </c>
      <c r="K299" s="667">
        <v>0</v>
      </c>
      <c r="L299" s="667">
        <v>0</v>
      </c>
      <c r="M299" s="667">
        <v>0</v>
      </c>
      <c r="N299" s="667">
        <v>0</v>
      </c>
      <c r="O299" s="669">
        <f t="shared" ref="O299:O303" si="72">C299+D299+E299+F299+G299+H299+I299+J299+K299+L299+M299+N299</f>
        <v>0</v>
      </c>
      <c r="P299" s="657">
        <v>0</v>
      </c>
    </row>
    <row r="300" spans="1:16" ht="15" x14ac:dyDescent="0.3">
      <c r="A300" s="657">
        <v>5207000011</v>
      </c>
      <c r="B300" s="674" t="s">
        <v>290</v>
      </c>
      <c r="C300" s="666"/>
      <c r="D300" s="666"/>
      <c r="E300" s="666"/>
      <c r="F300" s="666">
        <v>-0.63</v>
      </c>
      <c r="G300" s="667">
        <v>0</v>
      </c>
      <c r="H300" s="667">
        <v>0</v>
      </c>
      <c r="I300" s="667">
        <v>0</v>
      </c>
      <c r="J300" s="667">
        <v>0</v>
      </c>
      <c r="K300" s="667">
        <v>0</v>
      </c>
      <c r="L300" s="667">
        <v>0</v>
      </c>
      <c r="M300" s="667">
        <v>0</v>
      </c>
      <c r="N300" s="667">
        <v>0</v>
      </c>
      <c r="O300" s="669">
        <f t="shared" si="72"/>
        <v>-0.63</v>
      </c>
      <c r="P300" s="657">
        <v>0</v>
      </c>
    </row>
    <row r="301" spans="1:16" ht="15" x14ac:dyDescent="0.3">
      <c r="A301" s="657">
        <v>6666020406</v>
      </c>
      <c r="B301" s="674" t="s">
        <v>649</v>
      </c>
      <c r="C301" s="666"/>
      <c r="D301" s="666"/>
      <c r="E301" s="666"/>
      <c r="F301" s="666">
        <v>316.46000000000004</v>
      </c>
      <c r="G301" s="667">
        <v>576.62</v>
      </c>
      <c r="H301" s="667">
        <v>229.09</v>
      </c>
      <c r="I301" s="667">
        <v>0</v>
      </c>
      <c r="J301" s="667">
        <v>0</v>
      </c>
      <c r="K301" s="667">
        <v>0</v>
      </c>
      <c r="L301" s="667">
        <v>0</v>
      </c>
      <c r="M301" s="667">
        <v>0</v>
      </c>
      <c r="N301" s="667">
        <v>0</v>
      </c>
      <c r="O301" s="669">
        <f t="shared" si="72"/>
        <v>1122.17</v>
      </c>
      <c r="P301" s="657">
        <v>0</v>
      </c>
    </row>
    <row r="302" spans="1:16" ht="15" x14ac:dyDescent="0.3">
      <c r="A302" s="657">
        <v>6666020302</v>
      </c>
      <c r="B302" s="674" t="s">
        <v>754</v>
      </c>
      <c r="C302" s="666"/>
      <c r="D302" s="666"/>
      <c r="E302" s="666"/>
      <c r="F302" s="666"/>
      <c r="G302" s="667">
        <v>147.4</v>
      </c>
      <c r="H302" s="667">
        <v>71.72</v>
      </c>
      <c r="I302" s="667">
        <v>0</v>
      </c>
      <c r="J302" s="667">
        <v>0</v>
      </c>
      <c r="K302" s="667">
        <v>0</v>
      </c>
      <c r="L302" s="667">
        <v>0</v>
      </c>
      <c r="M302" s="667">
        <v>0</v>
      </c>
      <c r="N302" s="667">
        <v>0</v>
      </c>
      <c r="O302" s="669">
        <f t="shared" si="72"/>
        <v>219.12</v>
      </c>
      <c r="P302" s="657">
        <v>0</v>
      </c>
    </row>
    <row r="303" spans="1:16" ht="15" x14ac:dyDescent="0.3">
      <c r="A303" s="657">
        <v>5601040000</v>
      </c>
      <c r="B303" s="674" t="s">
        <v>1036</v>
      </c>
      <c r="C303" s="666"/>
      <c r="D303" s="666"/>
      <c r="E303" s="666"/>
      <c r="F303" s="666"/>
      <c r="G303" s="667"/>
      <c r="H303" s="667">
        <v>7.79</v>
      </c>
      <c r="I303" s="667">
        <v>0</v>
      </c>
      <c r="J303" s="667">
        <v>0</v>
      </c>
      <c r="K303" s="667">
        <v>0</v>
      </c>
      <c r="L303" s="667">
        <v>0</v>
      </c>
      <c r="M303" s="667">
        <v>0</v>
      </c>
      <c r="N303" s="667">
        <v>0</v>
      </c>
      <c r="O303" s="669">
        <f t="shared" si="72"/>
        <v>7.79</v>
      </c>
      <c r="P303" s="657">
        <v>0</v>
      </c>
    </row>
    <row r="304" spans="1:16" ht="15" x14ac:dyDescent="0.3">
      <c r="A304" s="657">
        <v>6666021400</v>
      </c>
      <c r="B304" s="674" t="s">
        <v>1037</v>
      </c>
      <c r="C304" s="666"/>
      <c r="D304" s="666"/>
      <c r="E304" s="666"/>
      <c r="F304" s="666"/>
      <c r="G304" s="667"/>
      <c r="H304" s="667">
        <v>945</v>
      </c>
      <c r="I304" s="667">
        <v>0</v>
      </c>
      <c r="J304" s="667">
        <v>0</v>
      </c>
      <c r="K304" s="667">
        <v>0</v>
      </c>
      <c r="L304" s="667">
        <v>0</v>
      </c>
      <c r="M304" s="667">
        <v>0</v>
      </c>
      <c r="N304" s="667">
        <v>0</v>
      </c>
      <c r="O304" s="669">
        <f t="shared" si="71"/>
        <v>945</v>
      </c>
      <c r="P304" s="657">
        <v>0</v>
      </c>
    </row>
    <row r="305" spans="1:16" ht="15" x14ac:dyDescent="0.3">
      <c r="A305" s="695" t="s">
        <v>588</v>
      </c>
      <c r="B305" s="696" t="s">
        <v>210</v>
      </c>
      <c r="C305" s="697">
        <f t="shared" ref="C305:E305" si="73">SUM(C261:C304)</f>
        <v>188764.10000000003</v>
      </c>
      <c r="D305" s="697">
        <f t="shared" si="73"/>
        <v>134784.24</v>
      </c>
      <c r="E305" s="697">
        <f t="shared" si="73"/>
        <v>150236.85999999999</v>
      </c>
      <c r="F305" s="697">
        <f>SUM(F261:F304)</f>
        <v>109940.90999999999</v>
      </c>
      <c r="G305" s="697">
        <f>SUM(G261:G304)</f>
        <v>253775.41999999995</v>
      </c>
      <c r="H305" s="697">
        <f t="shared" ref="H305" si="74">SUM(H261:H304)</f>
        <v>127224.95999999999</v>
      </c>
      <c r="I305" s="697">
        <f t="shared" ref="I305:N305" si="75">SUM(I261:I304)</f>
        <v>185037.94347729266</v>
      </c>
      <c r="J305" s="697">
        <f t="shared" si="75"/>
        <v>184340.73834209412</v>
      </c>
      <c r="K305" s="697">
        <f t="shared" si="75"/>
        <v>191590.51369045197</v>
      </c>
      <c r="L305" s="697">
        <f t="shared" si="75"/>
        <v>184729.67224120745</v>
      </c>
      <c r="M305" s="697">
        <f t="shared" si="75"/>
        <v>184057.79850074288</v>
      </c>
      <c r="N305" s="697">
        <f t="shared" si="75"/>
        <v>172393.01533860154</v>
      </c>
      <c r="O305" s="698">
        <f t="shared" si="71"/>
        <v>2066876.1715903906</v>
      </c>
      <c r="P305" s="697">
        <f t="shared" ref="P305" si="76">SUM(P261:P304)</f>
        <v>4379.9343165467653</v>
      </c>
    </row>
    <row r="306" spans="1:16" x14ac:dyDescent="0.3">
      <c r="A306" s="657">
        <v>5102040000</v>
      </c>
      <c r="B306" s="665" t="s">
        <v>293</v>
      </c>
      <c r="C306" s="667">
        <v>-57.09</v>
      </c>
      <c r="D306" s="667">
        <v>-2087.04</v>
      </c>
      <c r="E306" s="667">
        <v>-154.18</v>
      </c>
      <c r="F306" s="669">
        <v>6.37</v>
      </c>
      <c r="G306" s="669">
        <v>-144.37</v>
      </c>
      <c r="H306" s="669">
        <v>-17207.95</v>
      </c>
      <c r="I306" s="669">
        <v>0</v>
      </c>
      <c r="J306" s="669">
        <v>0</v>
      </c>
      <c r="K306" s="669">
        <v>0</v>
      </c>
      <c r="L306" s="669">
        <v>0</v>
      </c>
      <c r="M306" s="669">
        <v>0</v>
      </c>
      <c r="N306" s="669">
        <v>0</v>
      </c>
      <c r="O306" s="669">
        <f t="shared" si="71"/>
        <v>-19644.260000000002</v>
      </c>
      <c r="P306" s="657">
        <v>-1149.7044341112487</v>
      </c>
    </row>
    <row r="307" spans="1:16" ht="15" x14ac:dyDescent="0.3">
      <c r="A307" s="695" t="s">
        <v>589</v>
      </c>
      <c r="B307" s="696" t="s">
        <v>212</v>
      </c>
      <c r="C307" s="697">
        <f>SUM(C306)</f>
        <v>-57.09</v>
      </c>
      <c r="D307" s="697">
        <f>SUM(D306)</f>
        <v>-2087.04</v>
      </c>
      <c r="E307" s="697">
        <f>SUM(E306)</f>
        <v>-154.18</v>
      </c>
      <c r="F307" s="698">
        <f>SUM(F306)</f>
        <v>6.37</v>
      </c>
      <c r="G307" s="698">
        <f t="shared" ref="G307:H307" si="77">SUM(G306)</f>
        <v>-144.37</v>
      </c>
      <c r="H307" s="698">
        <f t="shared" si="77"/>
        <v>-17207.95</v>
      </c>
      <c r="I307" s="698">
        <f t="shared" ref="I307:N307" si="78">SUM(I306)</f>
        <v>0</v>
      </c>
      <c r="J307" s="698">
        <f t="shared" si="78"/>
        <v>0</v>
      </c>
      <c r="K307" s="698">
        <f t="shared" si="78"/>
        <v>0</v>
      </c>
      <c r="L307" s="698">
        <f t="shared" si="78"/>
        <v>0</v>
      </c>
      <c r="M307" s="698">
        <f t="shared" si="78"/>
        <v>0</v>
      </c>
      <c r="N307" s="698">
        <f t="shared" si="78"/>
        <v>0</v>
      </c>
      <c r="O307" s="698">
        <f t="shared" si="71"/>
        <v>-19644.260000000002</v>
      </c>
      <c r="P307" s="698">
        <f>SUM(P306)</f>
        <v>-1149.7044341112487</v>
      </c>
    </row>
    <row r="308" spans="1:16" ht="15" x14ac:dyDescent="0.3">
      <c r="A308" s="665" t="s">
        <v>626</v>
      </c>
      <c r="B308" s="665" t="s">
        <v>297</v>
      </c>
      <c r="C308" s="666"/>
      <c r="D308" s="666">
        <v>4.7</v>
      </c>
      <c r="E308" s="666">
        <v>9.65</v>
      </c>
      <c r="F308" s="669">
        <v>36.17</v>
      </c>
      <c r="G308" s="669">
        <v>15.030000000000001</v>
      </c>
      <c r="H308" s="669">
        <v>22.79</v>
      </c>
      <c r="I308" s="669">
        <v>0</v>
      </c>
      <c r="J308" s="669">
        <v>0</v>
      </c>
      <c r="K308" s="669">
        <v>0</v>
      </c>
      <c r="L308" s="669">
        <v>0</v>
      </c>
      <c r="M308" s="669">
        <v>0</v>
      </c>
      <c r="N308" s="669">
        <v>0</v>
      </c>
      <c r="O308" s="669">
        <f t="shared" si="71"/>
        <v>88.34</v>
      </c>
      <c r="P308" s="657">
        <v>0</v>
      </c>
    </row>
    <row r="309" spans="1:16" ht="15" x14ac:dyDescent="0.3">
      <c r="A309" s="695" t="s">
        <v>627</v>
      </c>
      <c r="B309" s="696" t="s">
        <v>215</v>
      </c>
      <c r="C309" s="697"/>
      <c r="D309" s="697">
        <f>D308</f>
        <v>4.7</v>
      </c>
      <c r="E309" s="697">
        <f>E308</f>
        <v>9.65</v>
      </c>
      <c r="F309" s="697">
        <f>F308</f>
        <v>36.17</v>
      </c>
      <c r="G309" s="697">
        <f t="shared" ref="G309:H309" si="79">G308</f>
        <v>15.030000000000001</v>
      </c>
      <c r="H309" s="697">
        <f t="shared" si="79"/>
        <v>22.79</v>
      </c>
      <c r="I309" s="697">
        <f t="shared" ref="I309:N309" si="80">I308</f>
        <v>0</v>
      </c>
      <c r="J309" s="697">
        <f t="shared" si="80"/>
        <v>0</v>
      </c>
      <c r="K309" s="697">
        <f t="shared" si="80"/>
        <v>0</v>
      </c>
      <c r="L309" s="697">
        <f t="shared" si="80"/>
        <v>0</v>
      </c>
      <c r="M309" s="697">
        <f t="shared" si="80"/>
        <v>0</v>
      </c>
      <c r="N309" s="697">
        <f t="shared" si="80"/>
        <v>0</v>
      </c>
      <c r="O309" s="698">
        <f t="shared" si="71"/>
        <v>88.34</v>
      </c>
      <c r="P309" s="697">
        <f>P308</f>
        <v>0</v>
      </c>
    </row>
    <row r="310" spans="1:16" ht="15" x14ac:dyDescent="0.3">
      <c r="A310" s="657">
        <v>6666021600</v>
      </c>
      <c r="B310" s="665" t="s">
        <v>298</v>
      </c>
      <c r="C310" s="667">
        <v>-46</v>
      </c>
      <c r="D310" s="667">
        <v>1920.21</v>
      </c>
      <c r="E310" s="667">
        <v>1625.21</v>
      </c>
      <c r="F310" s="666">
        <v>1594.56</v>
      </c>
      <c r="G310" s="667">
        <v>369.57999999999993</v>
      </c>
      <c r="H310" s="667">
        <v>423.56999999999994</v>
      </c>
      <c r="I310" s="667">
        <v>0</v>
      </c>
      <c r="J310" s="667">
        <v>0</v>
      </c>
      <c r="K310" s="667">
        <v>0</v>
      </c>
      <c r="L310" s="667">
        <v>0</v>
      </c>
      <c r="M310" s="667">
        <v>0</v>
      </c>
      <c r="N310" s="667">
        <v>0</v>
      </c>
      <c r="O310" s="669">
        <f t="shared" si="71"/>
        <v>5887.1299999999992</v>
      </c>
      <c r="P310" s="657">
        <v>0</v>
      </c>
    </row>
    <row r="311" spans="1:16" ht="15" x14ac:dyDescent="0.3">
      <c r="A311" s="657">
        <v>6666021604</v>
      </c>
      <c r="B311" s="674" t="s">
        <v>300</v>
      </c>
      <c r="C311" s="667">
        <v>1.33</v>
      </c>
      <c r="D311" s="667">
        <v>396.6</v>
      </c>
      <c r="E311" s="667">
        <v>251.42</v>
      </c>
      <c r="F311" s="666">
        <v>132.57</v>
      </c>
      <c r="G311" s="667">
        <v>-133.19999999999999</v>
      </c>
      <c r="H311" s="667">
        <v>93.839999999999989</v>
      </c>
      <c r="I311" s="667">
        <v>0</v>
      </c>
      <c r="J311" s="667">
        <v>0</v>
      </c>
      <c r="K311" s="667">
        <v>0</v>
      </c>
      <c r="L311" s="667">
        <v>0</v>
      </c>
      <c r="M311" s="667">
        <v>0</v>
      </c>
      <c r="N311" s="667">
        <v>0</v>
      </c>
      <c r="O311" s="669">
        <f t="shared" si="71"/>
        <v>742.56000000000006</v>
      </c>
      <c r="P311" s="657">
        <v>0</v>
      </c>
    </row>
    <row r="312" spans="1:16" ht="15" x14ac:dyDescent="0.3">
      <c r="A312" s="695" t="s">
        <v>589</v>
      </c>
      <c r="B312" s="696" t="s">
        <v>216</v>
      </c>
      <c r="C312" s="697">
        <f>SUM(C310+C311)</f>
        <v>-44.67</v>
      </c>
      <c r="D312" s="697">
        <f>SUM(D310+D311)</f>
        <v>2316.81</v>
      </c>
      <c r="E312" s="697">
        <f>SUM(E310:E311)</f>
        <v>1876.63</v>
      </c>
      <c r="F312" s="697">
        <f>SUM(F310:F311)</f>
        <v>1727.1299999999999</v>
      </c>
      <c r="G312" s="697">
        <f t="shared" ref="G312:H312" si="81">SUM(G310:G311)</f>
        <v>236.37999999999994</v>
      </c>
      <c r="H312" s="697">
        <f t="shared" si="81"/>
        <v>517.41</v>
      </c>
      <c r="I312" s="697">
        <f t="shared" ref="I312:N312" si="82">SUM(I310:I311)</f>
        <v>0</v>
      </c>
      <c r="J312" s="697">
        <f t="shared" si="82"/>
        <v>0</v>
      </c>
      <c r="K312" s="697">
        <f t="shared" si="82"/>
        <v>0</v>
      </c>
      <c r="L312" s="697">
        <f t="shared" si="82"/>
        <v>0</v>
      </c>
      <c r="M312" s="697">
        <f t="shared" si="82"/>
        <v>0</v>
      </c>
      <c r="N312" s="697">
        <f t="shared" si="82"/>
        <v>0</v>
      </c>
      <c r="O312" s="698">
        <f t="shared" si="71"/>
        <v>6629.6900000000005</v>
      </c>
      <c r="P312" s="697">
        <f>SUM(P310:P311)</f>
        <v>0</v>
      </c>
    </row>
    <row r="313" spans="1:16" ht="15" x14ac:dyDescent="0.3">
      <c r="A313" s="657">
        <v>6666010012</v>
      </c>
      <c r="B313" s="665" t="s">
        <v>305</v>
      </c>
      <c r="C313" s="666"/>
      <c r="D313" s="666">
        <v>-0.23</v>
      </c>
      <c r="E313" s="666">
        <v>-3.35</v>
      </c>
      <c r="F313" s="666">
        <v>0</v>
      </c>
      <c r="G313" s="669">
        <v>0</v>
      </c>
      <c r="H313" s="669">
        <v>0</v>
      </c>
      <c r="I313" s="669">
        <v>0</v>
      </c>
      <c r="J313" s="669">
        <v>0</v>
      </c>
      <c r="K313" s="669">
        <v>0</v>
      </c>
      <c r="L313" s="669">
        <v>0</v>
      </c>
      <c r="M313" s="669">
        <v>0</v>
      </c>
      <c r="N313" s="669">
        <v>0</v>
      </c>
      <c r="O313" s="669">
        <f t="shared" si="71"/>
        <v>-3.58</v>
      </c>
      <c r="P313" s="657">
        <v>0</v>
      </c>
    </row>
    <row r="314" spans="1:16" ht="15" x14ac:dyDescent="0.3">
      <c r="A314" s="657">
        <v>6666010102</v>
      </c>
      <c r="B314" s="665" t="s">
        <v>307</v>
      </c>
      <c r="C314" s="667">
        <v>50.37</v>
      </c>
      <c r="D314" s="667">
        <v>42.75</v>
      </c>
      <c r="E314" s="667">
        <v>8.01</v>
      </c>
      <c r="F314" s="666">
        <v>47.78</v>
      </c>
      <c r="G314" s="667">
        <v>48.86</v>
      </c>
      <c r="H314" s="667">
        <v>30.1</v>
      </c>
      <c r="I314" s="667">
        <v>0</v>
      </c>
      <c r="J314" s="667">
        <v>0</v>
      </c>
      <c r="K314" s="667">
        <v>0</v>
      </c>
      <c r="L314" s="667">
        <v>0</v>
      </c>
      <c r="M314" s="667">
        <v>0</v>
      </c>
      <c r="N314" s="667">
        <v>0</v>
      </c>
      <c r="O314" s="669">
        <f t="shared" si="71"/>
        <v>227.87000000000003</v>
      </c>
      <c r="P314" s="657">
        <v>0</v>
      </c>
    </row>
    <row r="315" spans="1:16" ht="15" x14ac:dyDescent="0.3">
      <c r="A315" s="695" t="s">
        <v>590</v>
      </c>
      <c r="B315" s="696" t="s">
        <v>217</v>
      </c>
      <c r="C315" s="697">
        <f t="shared" ref="C315:H315" si="83">SUM(C313:C314)</f>
        <v>50.37</v>
      </c>
      <c r="D315" s="697">
        <f t="shared" si="83"/>
        <v>42.52</v>
      </c>
      <c r="E315" s="697">
        <f t="shared" si="83"/>
        <v>4.66</v>
      </c>
      <c r="F315" s="697">
        <f t="shared" si="83"/>
        <v>47.78</v>
      </c>
      <c r="G315" s="697">
        <f t="shared" si="83"/>
        <v>48.86</v>
      </c>
      <c r="H315" s="697">
        <f t="shared" si="83"/>
        <v>30.1</v>
      </c>
      <c r="I315" s="697">
        <f t="shared" ref="I315:N315" si="84">SUM(I313:I314)</f>
        <v>0</v>
      </c>
      <c r="J315" s="697">
        <f t="shared" si="84"/>
        <v>0</v>
      </c>
      <c r="K315" s="697">
        <f t="shared" si="84"/>
        <v>0</v>
      </c>
      <c r="L315" s="697">
        <f t="shared" si="84"/>
        <v>0</v>
      </c>
      <c r="M315" s="697">
        <f t="shared" si="84"/>
        <v>0</v>
      </c>
      <c r="N315" s="697">
        <f t="shared" si="84"/>
        <v>0</v>
      </c>
      <c r="O315" s="698">
        <f t="shared" si="71"/>
        <v>224.29</v>
      </c>
      <c r="P315" s="697">
        <f t="shared" ref="P315" si="85">SUM(P313:P314)</f>
        <v>0</v>
      </c>
    </row>
    <row r="316" spans="1:16" ht="15" x14ac:dyDescent="0.3">
      <c r="A316" s="657">
        <v>6666010196</v>
      </c>
      <c r="B316" s="665" t="s">
        <v>308</v>
      </c>
      <c r="C316" s="667">
        <v>2819.61</v>
      </c>
      <c r="D316" s="667">
        <v>2056.64</v>
      </c>
      <c r="E316" s="667">
        <v>2888.53</v>
      </c>
      <c r="F316" s="666">
        <v>2871.8</v>
      </c>
      <c r="G316" s="667">
        <v>2717.21</v>
      </c>
      <c r="H316" s="667">
        <v>2785.2799999999997</v>
      </c>
      <c r="I316" s="667">
        <v>0</v>
      </c>
      <c r="J316" s="667">
        <v>0</v>
      </c>
      <c r="K316" s="667">
        <v>0</v>
      </c>
      <c r="L316" s="667">
        <v>0</v>
      </c>
      <c r="M316" s="667">
        <v>0</v>
      </c>
      <c r="N316" s="667">
        <v>0</v>
      </c>
      <c r="O316" s="669">
        <f t="shared" si="71"/>
        <v>16139.07</v>
      </c>
      <c r="P316" s="657">
        <v>0</v>
      </c>
    </row>
    <row r="317" spans="1:16" ht="15" x14ac:dyDescent="0.3">
      <c r="A317" s="657">
        <v>6666010101</v>
      </c>
      <c r="B317" s="665" t="s">
        <v>309</v>
      </c>
      <c r="C317" s="667">
        <v>15732.7</v>
      </c>
      <c r="D317" s="667">
        <v>43364.12</v>
      </c>
      <c r="E317" s="667">
        <v>16514.39</v>
      </c>
      <c r="F317" s="666">
        <v>33744.600000000006</v>
      </c>
      <c r="G317" s="667">
        <v>16380.14</v>
      </c>
      <c r="H317" s="667">
        <v>16898.14</v>
      </c>
      <c r="I317" s="667">
        <v>0</v>
      </c>
      <c r="J317" s="667">
        <v>0</v>
      </c>
      <c r="K317" s="667">
        <v>0</v>
      </c>
      <c r="L317" s="667">
        <v>0</v>
      </c>
      <c r="M317" s="667">
        <v>0</v>
      </c>
      <c r="N317" s="667">
        <v>0</v>
      </c>
      <c r="O317" s="669">
        <f t="shared" si="71"/>
        <v>142634.09000000003</v>
      </c>
      <c r="P317" s="657">
        <v>0</v>
      </c>
    </row>
    <row r="318" spans="1:16" ht="15" x14ac:dyDescent="0.3">
      <c r="A318" s="657">
        <v>6666010199</v>
      </c>
      <c r="B318" s="665" t="s">
        <v>310</v>
      </c>
      <c r="C318" s="667">
        <v>3962.45</v>
      </c>
      <c r="D318" s="667">
        <v>-26061.65</v>
      </c>
      <c r="E318" s="667">
        <v>2861.65</v>
      </c>
      <c r="F318" s="666">
        <v>24229.059999999998</v>
      </c>
      <c r="G318" s="667">
        <v>-1173.2999999999997</v>
      </c>
      <c r="H318" s="667">
        <v>4463.7300000000005</v>
      </c>
      <c r="I318" s="667">
        <v>0</v>
      </c>
      <c r="J318" s="667">
        <v>0</v>
      </c>
      <c r="K318" s="667">
        <v>0</v>
      </c>
      <c r="L318" s="667">
        <v>0</v>
      </c>
      <c r="M318" s="667">
        <v>0</v>
      </c>
      <c r="N318" s="667">
        <v>0</v>
      </c>
      <c r="O318" s="669">
        <f t="shared" si="71"/>
        <v>8281.9399999999987</v>
      </c>
      <c r="P318" s="657">
        <v>0</v>
      </c>
    </row>
    <row r="319" spans="1:16" ht="15" x14ac:dyDescent="0.3">
      <c r="A319" s="657">
        <v>6666010185</v>
      </c>
      <c r="B319" s="674" t="s">
        <v>311</v>
      </c>
      <c r="C319" s="667"/>
      <c r="D319" s="667">
        <v>-0.19</v>
      </c>
      <c r="E319" s="667"/>
      <c r="F319" s="666">
        <v>0</v>
      </c>
      <c r="G319" s="667">
        <v>-77.17</v>
      </c>
      <c r="H319" s="667">
        <v>-20.98</v>
      </c>
      <c r="I319" s="667">
        <v>0</v>
      </c>
      <c r="J319" s="667">
        <v>0</v>
      </c>
      <c r="K319" s="667">
        <v>0</v>
      </c>
      <c r="L319" s="667">
        <v>0</v>
      </c>
      <c r="M319" s="667">
        <v>0</v>
      </c>
      <c r="N319" s="667">
        <v>0</v>
      </c>
      <c r="O319" s="669">
        <f t="shared" si="71"/>
        <v>-98.34</v>
      </c>
      <c r="P319" s="657">
        <v>0</v>
      </c>
    </row>
    <row r="320" spans="1:16" ht="15" x14ac:dyDescent="0.3">
      <c r="A320" s="657">
        <v>6666010207</v>
      </c>
      <c r="B320" s="665" t="s">
        <v>312</v>
      </c>
      <c r="C320" s="667">
        <v>256.83</v>
      </c>
      <c r="D320" s="667">
        <v>192.85</v>
      </c>
      <c r="E320" s="667">
        <v>268.11</v>
      </c>
      <c r="F320" s="666">
        <v>270.33</v>
      </c>
      <c r="G320" s="667">
        <v>250.15</v>
      </c>
      <c r="H320" s="667">
        <v>258.56</v>
      </c>
      <c r="I320" s="667">
        <v>0</v>
      </c>
      <c r="J320" s="667">
        <v>0</v>
      </c>
      <c r="K320" s="667">
        <v>0</v>
      </c>
      <c r="L320" s="667">
        <v>0</v>
      </c>
      <c r="M320" s="667">
        <v>0</v>
      </c>
      <c r="N320" s="667">
        <v>0</v>
      </c>
      <c r="O320" s="669">
        <f t="shared" si="71"/>
        <v>1496.83</v>
      </c>
      <c r="P320" s="657">
        <v>0</v>
      </c>
    </row>
    <row r="321" spans="1:16" ht="15" x14ac:dyDescent="0.3">
      <c r="A321" s="657">
        <v>6666010227</v>
      </c>
      <c r="B321" s="665" t="s">
        <v>314</v>
      </c>
      <c r="C321" s="667">
        <v>252.33</v>
      </c>
      <c r="D321" s="667">
        <v>205.78</v>
      </c>
      <c r="E321" s="667">
        <v>225.57</v>
      </c>
      <c r="F321" s="666">
        <v>236</v>
      </c>
      <c r="G321" s="667">
        <v>272.52</v>
      </c>
      <c r="H321" s="667">
        <v>238.5</v>
      </c>
      <c r="I321" s="667">
        <v>0</v>
      </c>
      <c r="J321" s="667">
        <v>0</v>
      </c>
      <c r="K321" s="667">
        <v>0</v>
      </c>
      <c r="L321" s="667">
        <v>0</v>
      </c>
      <c r="M321" s="667">
        <v>0</v>
      </c>
      <c r="N321" s="667">
        <v>0</v>
      </c>
      <c r="O321" s="669">
        <f t="shared" si="71"/>
        <v>1430.7</v>
      </c>
      <c r="P321" s="657">
        <v>0</v>
      </c>
    </row>
    <row r="322" spans="1:16" ht="15" x14ac:dyDescent="0.3">
      <c r="A322" s="695" t="s">
        <v>591</v>
      </c>
      <c r="B322" s="696" t="s">
        <v>218</v>
      </c>
      <c r="C322" s="697">
        <f t="shared" ref="C322:P322" si="86">SUM(C316:C321)</f>
        <v>23023.920000000006</v>
      </c>
      <c r="D322" s="697">
        <f t="shared" si="86"/>
        <v>19757.55</v>
      </c>
      <c r="E322" s="697">
        <f t="shared" si="86"/>
        <v>22758.25</v>
      </c>
      <c r="F322" s="697">
        <f t="shared" si="86"/>
        <v>61351.790000000008</v>
      </c>
      <c r="G322" s="697">
        <f t="shared" si="86"/>
        <v>18369.550000000003</v>
      </c>
      <c r="H322" s="697">
        <f t="shared" si="86"/>
        <v>24623.23</v>
      </c>
      <c r="I322" s="697">
        <f t="shared" ref="I322:N322" si="87">SUM(I316:I321)</f>
        <v>0</v>
      </c>
      <c r="J322" s="697">
        <f t="shared" si="87"/>
        <v>0</v>
      </c>
      <c r="K322" s="697">
        <f t="shared" si="87"/>
        <v>0</v>
      </c>
      <c r="L322" s="697">
        <f t="shared" si="87"/>
        <v>0</v>
      </c>
      <c r="M322" s="697">
        <f t="shared" si="87"/>
        <v>0</v>
      </c>
      <c r="N322" s="697">
        <f t="shared" si="87"/>
        <v>0</v>
      </c>
      <c r="O322" s="698">
        <f t="shared" si="71"/>
        <v>169884.29</v>
      </c>
      <c r="P322" s="697">
        <f t="shared" si="86"/>
        <v>0</v>
      </c>
    </row>
    <row r="323" spans="1:16" x14ac:dyDescent="0.3">
      <c r="A323" s="657">
        <v>6666010314</v>
      </c>
      <c r="B323" s="665" t="s">
        <v>317</v>
      </c>
      <c r="C323" s="667">
        <v>631.49</v>
      </c>
      <c r="D323" s="667">
        <v>1929.14</v>
      </c>
      <c r="E323" s="667">
        <v>-56.08</v>
      </c>
      <c r="F323" s="669">
        <v>0</v>
      </c>
      <c r="G323" s="669">
        <v>0</v>
      </c>
      <c r="H323" s="669">
        <v>56.26</v>
      </c>
      <c r="I323" s="669">
        <v>0</v>
      </c>
      <c r="J323" s="669">
        <v>0</v>
      </c>
      <c r="K323" s="669">
        <v>0</v>
      </c>
      <c r="L323" s="669">
        <v>0</v>
      </c>
      <c r="M323" s="669">
        <v>0</v>
      </c>
      <c r="N323" s="669">
        <v>0</v>
      </c>
      <c r="O323" s="669">
        <f t="shared" si="71"/>
        <v>2560.8100000000004</v>
      </c>
      <c r="P323" s="657">
        <v>0</v>
      </c>
    </row>
    <row r="324" spans="1:16" x14ac:dyDescent="0.3">
      <c r="A324" s="657">
        <v>6666010315</v>
      </c>
      <c r="B324" s="674" t="s">
        <v>628</v>
      </c>
      <c r="C324" s="667"/>
      <c r="D324" s="667">
        <v>643.12</v>
      </c>
      <c r="E324" s="667">
        <v>17.12</v>
      </c>
      <c r="F324" s="669">
        <v>12.39</v>
      </c>
      <c r="G324" s="669">
        <v>40.36</v>
      </c>
      <c r="H324" s="669">
        <v>0</v>
      </c>
      <c r="I324" s="669">
        <v>0</v>
      </c>
      <c r="J324" s="669">
        <v>0</v>
      </c>
      <c r="K324" s="669">
        <v>0</v>
      </c>
      <c r="L324" s="669">
        <v>0</v>
      </c>
      <c r="M324" s="669">
        <v>0</v>
      </c>
      <c r="N324" s="669">
        <v>0</v>
      </c>
      <c r="O324" s="669"/>
      <c r="P324" s="657">
        <v>0</v>
      </c>
    </row>
    <row r="325" spans="1:16" ht="15" x14ac:dyDescent="0.3">
      <c r="A325" s="657">
        <v>6666020401</v>
      </c>
      <c r="B325" s="665" t="s">
        <v>318</v>
      </c>
      <c r="C325" s="666"/>
      <c r="D325" s="666">
        <v>181.81</v>
      </c>
      <c r="E325" s="666">
        <v>87.68</v>
      </c>
      <c r="F325" s="666">
        <v>115.31</v>
      </c>
      <c r="G325" s="667">
        <v>91.18</v>
      </c>
      <c r="H325" s="669">
        <v>95.539999999999992</v>
      </c>
      <c r="I325" s="669">
        <v>0</v>
      </c>
      <c r="J325" s="669">
        <v>0</v>
      </c>
      <c r="K325" s="669">
        <v>0</v>
      </c>
      <c r="L325" s="669">
        <v>0</v>
      </c>
      <c r="M325" s="669">
        <v>0</v>
      </c>
      <c r="N325" s="669">
        <v>0</v>
      </c>
      <c r="O325" s="669">
        <f t="shared" si="71"/>
        <v>571.52</v>
      </c>
      <c r="P325" s="657">
        <v>0</v>
      </c>
    </row>
    <row r="326" spans="1:16" ht="15" x14ac:dyDescent="0.3">
      <c r="A326" s="657">
        <v>6666020502</v>
      </c>
      <c r="B326" s="665" t="s">
        <v>320</v>
      </c>
      <c r="C326" s="667">
        <v>32.33</v>
      </c>
      <c r="D326" s="667">
        <v>717.43</v>
      </c>
      <c r="E326" s="667">
        <v>-912.04</v>
      </c>
      <c r="F326" s="666">
        <v>565.59</v>
      </c>
      <c r="G326" s="667">
        <v>850.04</v>
      </c>
      <c r="H326" s="667">
        <v>1312.6299999999999</v>
      </c>
      <c r="I326" s="667">
        <v>0</v>
      </c>
      <c r="J326" s="667">
        <v>0</v>
      </c>
      <c r="K326" s="667">
        <v>0</v>
      </c>
      <c r="L326" s="667">
        <v>0</v>
      </c>
      <c r="M326" s="667">
        <v>0</v>
      </c>
      <c r="N326" s="667">
        <v>0</v>
      </c>
      <c r="O326" s="669">
        <f t="shared" si="71"/>
        <v>2565.9799999999996</v>
      </c>
      <c r="P326" s="657">
        <v>0</v>
      </c>
    </row>
    <row r="327" spans="1:16" ht="15" x14ac:dyDescent="0.3">
      <c r="A327" s="657">
        <v>6666020503</v>
      </c>
      <c r="B327" s="699" t="s">
        <v>321</v>
      </c>
      <c r="C327" s="667">
        <v>187.6</v>
      </c>
      <c r="D327" s="667">
        <v>28.02</v>
      </c>
      <c r="E327" s="667"/>
      <c r="F327" s="669">
        <v>71.28</v>
      </c>
      <c r="G327" s="667">
        <v>4.97</v>
      </c>
      <c r="H327" s="669">
        <v>16.52</v>
      </c>
      <c r="I327" s="669">
        <v>0</v>
      </c>
      <c r="J327" s="669">
        <v>0</v>
      </c>
      <c r="K327" s="669">
        <v>0</v>
      </c>
      <c r="L327" s="669">
        <v>0</v>
      </c>
      <c r="M327" s="669">
        <v>0</v>
      </c>
      <c r="N327" s="669">
        <v>0</v>
      </c>
      <c r="O327" s="669"/>
      <c r="P327" s="657">
        <v>0</v>
      </c>
    </row>
    <row r="328" spans="1:16" ht="15" x14ac:dyDescent="0.3">
      <c r="A328" s="657">
        <v>6666021502</v>
      </c>
      <c r="B328" s="699" t="s">
        <v>323</v>
      </c>
      <c r="C328" s="667">
        <v>-135.35</v>
      </c>
      <c r="D328" s="667"/>
      <c r="E328" s="667">
        <v>14.82</v>
      </c>
      <c r="F328" s="666">
        <v>54.84</v>
      </c>
      <c r="G328" s="667">
        <v>0.01</v>
      </c>
      <c r="H328" s="667">
        <v>10.97</v>
      </c>
      <c r="I328" s="667">
        <v>0</v>
      </c>
      <c r="J328" s="667">
        <v>0</v>
      </c>
      <c r="K328" s="667">
        <v>0</v>
      </c>
      <c r="L328" s="667">
        <v>0</v>
      </c>
      <c r="M328" s="667">
        <v>0</v>
      </c>
      <c r="N328" s="667">
        <v>0</v>
      </c>
      <c r="O328" s="669"/>
      <c r="P328" s="657">
        <v>0</v>
      </c>
    </row>
    <row r="329" spans="1:16" ht="15" x14ac:dyDescent="0.3">
      <c r="A329" s="657">
        <v>6666021504</v>
      </c>
      <c r="B329" s="674" t="s">
        <v>361</v>
      </c>
      <c r="C329" s="667">
        <v>102.8</v>
      </c>
      <c r="D329" s="667"/>
      <c r="E329" s="667"/>
      <c r="F329" s="666">
        <v>-102.8</v>
      </c>
      <c r="G329" s="667">
        <v>0</v>
      </c>
      <c r="H329" s="667">
        <v>0</v>
      </c>
      <c r="I329" s="667">
        <v>0</v>
      </c>
      <c r="J329" s="667">
        <v>0</v>
      </c>
      <c r="K329" s="667">
        <v>0</v>
      </c>
      <c r="L329" s="667">
        <v>0</v>
      </c>
      <c r="M329" s="667">
        <v>0</v>
      </c>
      <c r="N329" s="667">
        <v>0</v>
      </c>
      <c r="O329" s="669"/>
      <c r="P329" s="657">
        <v>0</v>
      </c>
    </row>
    <row r="330" spans="1:16" ht="15" x14ac:dyDescent="0.3">
      <c r="A330" s="657">
        <v>6666021505</v>
      </c>
      <c r="B330" s="674" t="s">
        <v>325</v>
      </c>
      <c r="C330" s="667"/>
      <c r="D330" s="667">
        <v>0.93</v>
      </c>
      <c r="E330" s="667"/>
      <c r="F330" s="666">
        <v>0</v>
      </c>
      <c r="G330" s="667">
        <v>0</v>
      </c>
      <c r="H330" s="669">
        <v>18.739999999999998</v>
      </c>
      <c r="I330" s="669">
        <v>0</v>
      </c>
      <c r="J330" s="669">
        <v>0</v>
      </c>
      <c r="K330" s="669">
        <v>0</v>
      </c>
      <c r="L330" s="669">
        <v>0</v>
      </c>
      <c r="M330" s="669">
        <v>0</v>
      </c>
      <c r="N330" s="669">
        <v>0</v>
      </c>
      <c r="O330" s="669"/>
      <c r="P330" s="657">
        <v>0</v>
      </c>
    </row>
    <row r="331" spans="1:16" ht="15" x14ac:dyDescent="0.3">
      <c r="A331" s="657">
        <v>6666091600</v>
      </c>
      <c r="B331" s="699" t="s">
        <v>327</v>
      </c>
      <c r="C331" s="667">
        <v>1.78</v>
      </c>
      <c r="D331" s="667">
        <v>38.15</v>
      </c>
      <c r="E331" s="667">
        <v>250.7</v>
      </c>
      <c r="F331" s="666">
        <v>5.47</v>
      </c>
      <c r="G331" s="669">
        <v>0</v>
      </c>
      <c r="H331" s="667">
        <v>0</v>
      </c>
      <c r="I331" s="667">
        <v>0</v>
      </c>
      <c r="J331" s="667">
        <v>0</v>
      </c>
      <c r="K331" s="667">
        <v>0</v>
      </c>
      <c r="L331" s="667">
        <v>0</v>
      </c>
      <c r="M331" s="667">
        <v>0</v>
      </c>
      <c r="N331" s="667">
        <v>0</v>
      </c>
      <c r="O331" s="669"/>
      <c r="P331" s="657">
        <v>0</v>
      </c>
    </row>
    <row r="332" spans="1:16" ht="15" x14ac:dyDescent="0.3">
      <c r="A332" s="695" t="s">
        <v>592</v>
      </c>
      <c r="B332" s="696" t="s">
        <v>219</v>
      </c>
      <c r="C332" s="697">
        <f>SUM(C323:C331)</f>
        <v>820.65</v>
      </c>
      <c r="D332" s="697">
        <f t="shared" ref="D332:P332" si="88">SUM(D323:D331)</f>
        <v>3538.6</v>
      </c>
      <c r="E332" s="697">
        <f t="shared" si="88"/>
        <v>-597.79999999999995</v>
      </c>
      <c r="F332" s="697">
        <f t="shared" si="88"/>
        <v>722.08000000000015</v>
      </c>
      <c r="G332" s="697">
        <f t="shared" si="88"/>
        <v>986.56</v>
      </c>
      <c r="H332" s="697">
        <f t="shared" si="88"/>
        <v>1510.6599999999999</v>
      </c>
      <c r="I332" s="697">
        <f t="shared" si="88"/>
        <v>0</v>
      </c>
      <c r="J332" s="697">
        <f t="shared" si="88"/>
        <v>0</v>
      </c>
      <c r="K332" s="697">
        <f t="shared" si="88"/>
        <v>0</v>
      </c>
      <c r="L332" s="697">
        <f t="shared" si="88"/>
        <v>0</v>
      </c>
      <c r="M332" s="697">
        <f t="shared" si="88"/>
        <v>0</v>
      </c>
      <c r="N332" s="697">
        <f t="shared" si="88"/>
        <v>0</v>
      </c>
      <c r="O332" s="698">
        <f t="shared" si="71"/>
        <v>6980.75</v>
      </c>
      <c r="P332" s="697">
        <f t="shared" si="88"/>
        <v>0</v>
      </c>
    </row>
    <row r="333" spans="1:16" ht="15" x14ac:dyDescent="0.3">
      <c r="A333" s="657" t="s">
        <v>583</v>
      </c>
      <c r="B333" s="665" t="s">
        <v>330</v>
      </c>
      <c r="C333" s="666">
        <v>212575.73</v>
      </c>
      <c r="D333" s="666"/>
      <c r="E333" s="666"/>
      <c r="F333" s="669"/>
      <c r="G333" s="669">
        <v>0</v>
      </c>
      <c r="H333" s="669"/>
      <c r="I333" s="669"/>
      <c r="J333" s="669"/>
      <c r="K333" s="669"/>
      <c r="L333" s="669"/>
      <c r="M333" s="669"/>
      <c r="N333" s="669"/>
      <c r="O333" s="669">
        <f t="shared" si="71"/>
        <v>212575.73</v>
      </c>
      <c r="P333" s="657">
        <v>0</v>
      </c>
    </row>
    <row r="334" spans="1:16" ht="15" x14ac:dyDescent="0.3">
      <c r="A334" s="657">
        <v>600006</v>
      </c>
      <c r="B334" s="701" t="s">
        <v>329</v>
      </c>
      <c r="C334" s="700">
        <v>-212576.87</v>
      </c>
      <c r="D334" s="700"/>
      <c r="E334" s="700"/>
      <c r="F334" s="702"/>
      <c r="G334" s="702"/>
      <c r="H334" s="702"/>
      <c r="I334" s="702"/>
      <c r="J334" s="702"/>
      <c r="K334" s="702"/>
      <c r="L334" s="702"/>
      <c r="M334" s="702"/>
      <c r="N334" s="702"/>
      <c r="O334" s="702">
        <f t="shared" si="71"/>
        <v>-212576.87</v>
      </c>
      <c r="P334" s="657">
        <v>0</v>
      </c>
    </row>
    <row r="335" spans="1:16" x14ac:dyDescent="0.3">
      <c r="A335" s="703" t="s">
        <v>220</v>
      </c>
      <c r="B335" s="704" t="s">
        <v>220</v>
      </c>
      <c r="C335" s="705">
        <f t="shared" ref="C335:P335" si="89">+C332+C322+C315+C312+C307+C305+C260+C257+C309</f>
        <v>212575.73000000004</v>
      </c>
      <c r="D335" s="705">
        <f t="shared" si="89"/>
        <v>156450.70000000001</v>
      </c>
      <c r="E335" s="705">
        <f t="shared" si="89"/>
        <v>171183.88999999998</v>
      </c>
      <c r="F335" s="705">
        <f t="shared" si="89"/>
        <v>168608.88</v>
      </c>
      <c r="G335" s="705">
        <f t="shared" si="89"/>
        <v>270329.79000000004</v>
      </c>
      <c r="H335" s="705">
        <f t="shared" si="89"/>
        <v>133747.72999999998</v>
      </c>
      <c r="I335" s="705">
        <f t="shared" ref="I335:N335" si="90">+I332+I322+I315+I312+I307+I305+I260+I257+I309</f>
        <v>185037.94347729266</v>
      </c>
      <c r="J335" s="705">
        <f t="shared" si="90"/>
        <v>184340.73834209412</v>
      </c>
      <c r="K335" s="705">
        <f t="shared" si="90"/>
        <v>191590.51369045197</v>
      </c>
      <c r="L335" s="705">
        <f t="shared" si="90"/>
        <v>184729.67224120745</v>
      </c>
      <c r="M335" s="705">
        <f t="shared" si="90"/>
        <v>184057.79850074288</v>
      </c>
      <c r="N335" s="705">
        <f t="shared" si="90"/>
        <v>172393.01533860154</v>
      </c>
      <c r="O335" s="705">
        <f t="shared" si="89"/>
        <v>2215046.4015903901</v>
      </c>
      <c r="P335" s="705">
        <f t="shared" si="89"/>
        <v>3230.2298824355166</v>
      </c>
    </row>
    <row r="336" spans="1:16" x14ac:dyDescent="0.3">
      <c r="D336" s="691"/>
    </row>
    <row r="338" spans="1:23" x14ac:dyDescent="0.3">
      <c r="A338" s="706" t="s">
        <v>215</v>
      </c>
      <c r="B338" s="707" t="s">
        <v>215</v>
      </c>
      <c r="C338" s="682"/>
      <c r="D338" s="682"/>
      <c r="E338" s="682"/>
      <c r="F338" s="682"/>
      <c r="G338" s="682"/>
      <c r="H338" s="682"/>
      <c r="I338" s="682"/>
      <c r="J338" s="682"/>
      <c r="K338" s="682"/>
      <c r="L338" s="682"/>
      <c r="M338" s="682"/>
      <c r="N338" s="682"/>
      <c r="O338" s="679">
        <f t="shared" si="71"/>
        <v>0</v>
      </c>
    </row>
    <row r="339" spans="1:23" x14ac:dyDescent="0.3">
      <c r="A339" s="706" t="s">
        <v>216</v>
      </c>
      <c r="B339" s="707" t="s">
        <v>216</v>
      </c>
      <c r="C339" s="682"/>
      <c r="D339" s="682"/>
      <c r="E339" s="682"/>
      <c r="F339" s="682"/>
      <c r="G339" s="682"/>
      <c r="H339" s="682"/>
      <c r="I339" s="682"/>
      <c r="J339" s="682"/>
      <c r="K339" s="682"/>
      <c r="L339" s="682"/>
      <c r="M339" s="682"/>
      <c r="N339" s="682"/>
      <c r="O339" s="679">
        <f t="shared" si="71"/>
        <v>0</v>
      </c>
    </row>
    <row r="342" spans="1:23" x14ac:dyDescent="0.3">
      <c r="E342" s="708"/>
      <c r="F342" s="708"/>
      <c r="G342" s="708"/>
    </row>
    <row r="343" spans="1:23" x14ac:dyDescent="0.3">
      <c r="E343" s="691"/>
      <c r="F343" s="691"/>
    </row>
    <row r="345" spans="1:23" x14ac:dyDescent="0.3">
      <c r="B345" s="709" t="s">
        <v>593</v>
      </c>
      <c r="C345" s="710">
        <f>+C249</f>
        <v>1779705.94</v>
      </c>
      <c r="D345" s="710">
        <f>+D249</f>
        <v>1751439.0999999994</v>
      </c>
      <c r="E345" s="710">
        <f t="shared" ref="E345:O345" si="91">+E249</f>
        <v>1712879.1300000004</v>
      </c>
      <c r="F345" s="710">
        <f t="shared" si="91"/>
        <v>901669.15000000014</v>
      </c>
      <c r="G345" s="710">
        <f>+G249</f>
        <v>1826704.2199999997</v>
      </c>
      <c r="H345" s="710">
        <f>+H249</f>
        <v>1439104.29</v>
      </c>
      <c r="I345" s="710">
        <f t="shared" ref="I345:N345" si="92">+I249+I335</f>
        <v>1632826.868504764</v>
      </c>
      <c r="J345" s="710">
        <f t="shared" si="92"/>
        <v>1613675.9749348718</v>
      </c>
      <c r="K345" s="710">
        <f t="shared" si="92"/>
        <v>1728784.4249864039</v>
      </c>
      <c r="L345" s="710">
        <f t="shared" si="92"/>
        <v>1800891.3754648126</v>
      </c>
      <c r="M345" s="710">
        <f t="shared" si="92"/>
        <v>1708291.9903712957</v>
      </c>
      <c r="N345" s="710">
        <f t="shared" si="92"/>
        <v>1768266.4577854013</v>
      </c>
      <c r="O345" s="710">
        <f t="shared" si="91"/>
        <v>18562089.240457155</v>
      </c>
    </row>
    <row r="346" spans="1:23" x14ac:dyDescent="0.3">
      <c r="B346" s="711" t="s">
        <v>363</v>
      </c>
      <c r="C346" s="711">
        <f>+C345-'data entry '!B143*1000</f>
        <v>1.1399999996647239</v>
      </c>
      <c r="D346" s="711">
        <f>+D345-'data entry '!C143*1000</f>
        <v>232.80999999935739</v>
      </c>
      <c r="E346" s="711">
        <f>+E345-'data entry '!D143*1000</f>
        <v>0</v>
      </c>
      <c r="F346" s="711">
        <f>+F345-'data entry '!E143*1000</f>
        <v>0</v>
      </c>
      <c r="G346" s="711">
        <f>+G345-'data entry '!F143*1000</f>
        <v>0</v>
      </c>
      <c r="H346" s="711">
        <f>+H345-'data entry '!G143*1000</f>
        <v>0</v>
      </c>
      <c r="I346" s="711">
        <f>+I345-'data entry '!H143*1000</f>
        <v>0</v>
      </c>
      <c r="J346" s="711">
        <f>+J345-'data entry '!I143*1000</f>
        <v>0</v>
      </c>
      <c r="K346" s="711">
        <f>+K345-'data entry '!J143*1000</f>
        <v>0</v>
      </c>
      <c r="L346" s="711">
        <f>+L345-'data entry '!K143*1000</f>
        <v>0</v>
      </c>
      <c r="M346" s="711">
        <f>+M345-'data entry '!L143*1000</f>
        <v>0</v>
      </c>
      <c r="N346" s="711">
        <f>+N345-'data entry '!M143*1000</f>
        <v>0</v>
      </c>
      <c r="O346" s="711">
        <f>+O345-'data entry '!N143*1000</f>
        <v>-1101915.7315903977</v>
      </c>
    </row>
    <row r="348" spans="1:23" x14ac:dyDescent="0.3">
      <c r="H348" s="1190">
        <f>H345-H346</f>
        <v>1439104.29</v>
      </c>
    </row>
    <row r="349" spans="1:23" x14ac:dyDescent="0.3">
      <c r="J349" s="708"/>
      <c r="L349" s="708"/>
    </row>
    <row r="350" spans="1:23" x14ac:dyDescent="0.3">
      <c r="W350" s="692"/>
    </row>
    <row r="351" spans="1:23" x14ac:dyDescent="0.3">
      <c r="W351" s="692"/>
    </row>
    <row r="352" spans="1:23" x14ac:dyDescent="0.3">
      <c r="O352" s="712"/>
    </row>
    <row r="353" spans="5:20" x14ac:dyDescent="0.3">
      <c r="E353" s="692"/>
      <c r="F353" s="692"/>
    </row>
    <row r="354" spans="5:20" x14ac:dyDescent="0.3">
      <c r="N354" s="708"/>
      <c r="O354" s="708"/>
      <c r="T354" s="708"/>
    </row>
    <row r="355" spans="5:20" x14ac:dyDescent="0.3">
      <c r="N355" s="713"/>
      <c r="T355" s="708"/>
    </row>
    <row r="356" spans="5:20" x14ac:dyDescent="0.3">
      <c r="N356" s="714"/>
      <c r="T356" s="692"/>
    </row>
  </sheetData>
  <autoFilter ref="A4:O339" xr:uid="{8DE047F2-52BA-415D-8175-15D76F802D38}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A7A34-8FA8-4647-B9D7-2CD4573A1361}">
  <sheetPr codeName="Sheet23">
    <tabColor rgb="FFFF0000"/>
  </sheetPr>
  <dimension ref="A2:AM333"/>
  <sheetViews>
    <sheetView showGridLines="0" topLeftCell="O7" zoomScale="55" zoomScaleNormal="55" workbookViewId="0">
      <selection activeCell="C16" sqref="C16"/>
    </sheetView>
  </sheetViews>
  <sheetFormatPr defaultRowHeight="14.4" x14ac:dyDescent="0.3"/>
  <cols>
    <col min="1" max="1" width="60.5546875" bestFit="1" customWidth="1"/>
    <col min="2" max="2" width="72.5546875" bestFit="1" customWidth="1"/>
    <col min="3" max="3" width="21.21875" bestFit="1" customWidth="1"/>
    <col min="4" max="4" width="18.5546875" bestFit="1" customWidth="1"/>
    <col min="5" max="5" width="17" bestFit="1" customWidth="1"/>
    <col min="6" max="6" width="10.21875" bestFit="1" customWidth="1"/>
    <col min="7" max="7" width="55.21875" bestFit="1" customWidth="1"/>
    <col min="8" max="8" width="25.77734375" customWidth="1"/>
    <col min="9" max="9" width="50.44140625" bestFit="1" customWidth="1"/>
    <col min="10" max="11" width="22" bestFit="1" customWidth="1"/>
    <col min="12" max="13" width="15.5546875" bestFit="1" customWidth="1"/>
    <col min="14" max="15" width="16.21875" bestFit="1" customWidth="1"/>
    <col min="16" max="16" width="21.5546875" customWidth="1"/>
    <col min="17" max="17" width="23.77734375" bestFit="1" customWidth="1"/>
    <col min="18" max="18" width="23.77734375" customWidth="1"/>
    <col min="19" max="19" width="22.44140625" customWidth="1"/>
    <col min="20" max="20" width="15.5546875" bestFit="1" customWidth="1"/>
    <col min="21" max="21" width="19.77734375" customWidth="1"/>
    <col min="22" max="22" width="16.44140625" customWidth="1"/>
    <col min="23" max="23" width="17.21875" bestFit="1" customWidth="1"/>
    <col min="24" max="24" width="16.77734375" customWidth="1"/>
    <col min="25" max="25" width="10.21875" customWidth="1"/>
    <col min="26" max="26" width="14.5546875" bestFit="1" customWidth="1"/>
    <col min="27" max="27" width="15" bestFit="1" customWidth="1"/>
    <col min="28" max="29" width="14.5546875" bestFit="1" customWidth="1"/>
    <col min="30" max="30" width="13.21875" bestFit="1" customWidth="1"/>
    <col min="31" max="31" width="12.77734375" bestFit="1" customWidth="1"/>
    <col min="32" max="36" width="13.21875" bestFit="1" customWidth="1"/>
    <col min="37" max="37" width="12.44140625" bestFit="1" customWidth="1"/>
  </cols>
  <sheetData>
    <row r="2" spans="2:24" ht="21" x14ac:dyDescent="0.4">
      <c r="C2" s="130"/>
      <c r="H2" t="s">
        <v>205</v>
      </c>
      <c r="M2" s="107">
        <f>M4-36000</f>
        <v>376577.93000000005</v>
      </c>
      <c r="N2" s="107">
        <f>N4+36000</f>
        <v>370421.89999999997</v>
      </c>
      <c r="O2" s="107"/>
      <c r="R2" s="107"/>
      <c r="V2" s="107"/>
    </row>
    <row r="3" spans="2:24" ht="25.8" x14ac:dyDescent="0.5">
      <c r="B3" s="132" t="s">
        <v>206</v>
      </c>
      <c r="C3" s="143" t="s">
        <v>176</v>
      </c>
      <c r="I3" s="132" t="s">
        <v>206</v>
      </c>
      <c r="J3" s="143" t="s">
        <v>95</v>
      </c>
      <c r="K3" s="149" t="s">
        <v>0</v>
      </c>
      <c r="L3" s="149" t="s">
        <v>1</v>
      </c>
      <c r="M3" s="149" t="s">
        <v>2</v>
      </c>
      <c r="N3" s="149" t="s">
        <v>3</v>
      </c>
      <c r="O3" s="149" t="s">
        <v>4</v>
      </c>
      <c r="P3" s="149" t="s">
        <v>5</v>
      </c>
      <c r="Q3" s="149" t="s">
        <v>6</v>
      </c>
      <c r="R3" s="149" t="s">
        <v>7</v>
      </c>
      <c r="S3" s="149" t="s">
        <v>8</v>
      </c>
      <c r="T3" s="149" t="s">
        <v>9</v>
      </c>
      <c r="U3" s="149" t="s">
        <v>10</v>
      </c>
      <c r="V3" s="149" t="s">
        <v>11</v>
      </c>
      <c r="W3" s="149" t="s">
        <v>114</v>
      </c>
      <c r="X3" s="137" t="s">
        <v>153</v>
      </c>
    </row>
    <row r="4" spans="2:24" s="97" customFormat="1" ht="33.6" customHeight="1" x14ac:dyDescent="0.3">
      <c r="B4" s="131" t="s">
        <v>207</v>
      </c>
      <c r="C4" s="133">
        <f>SUMIF($B$29:$B$265,$B4,$C$29:$C$265)</f>
        <v>425496.57</v>
      </c>
      <c r="H4" s="131" t="s">
        <v>86</v>
      </c>
      <c r="I4" s="131" t="s">
        <v>207</v>
      </c>
      <c r="J4" s="133">
        <f>SUMIF($P$29:$P$265,$I4,$Q$29:$Q$265)</f>
        <v>4619880.87</v>
      </c>
      <c r="K4" s="133">
        <v>375963.08</v>
      </c>
      <c r="L4" s="133">
        <v>346086.06999999995</v>
      </c>
      <c r="M4" s="133">
        <v>412577.93000000005</v>
      </c>
      <c r="N4" s="133">
        <v>334421.89999999997</v>
      </c>
      <c r="O4" s="133">
        <v>403917.55000000005</v>
      </c>
      <c r="P4" s="133">
        <v>395811.35</v>
      </c>
      <c r="Q4" s="133">
        <v>401611.09</v>
      </c>
      <c r="R4" s="133">
        <v>401425.44999999995</v>
      </c>
      <c r="S4" s="133">
        <v>392242.52999999997</v>
      </c>
      <c r="T4" s="133">
        <v>342008.27</v>
      </c>
      <c r="U4" s="133">
        <v>388319.08</v>
      </c>
      <c r="V4" s="133">
        <f>C4</f>
        <v>425496.57</v>
      </c>
      <c r="W4" s="133">
        <f>SUM(K4:V4)</f>
        <v>4619880.87</v>
      </c>
      <c r="X4" s="144">
        <f>W4-J4</f>
        <v>0</v>
      </c>
    </row>
    <row r="5" spans="2:24" s="97" customFormat="1" ht="33.6" customHeight="1" x14ac:dyDescent="0.3">
      <c r="B5" s="131" t="s">
        <v>208</v>
      </c>
      <c r="C5" s="285">
        <f>SUMIF($B$29:$B$265,$B5,$C$29:$C$265)</f>
        <v>761873.35</v>
      </c>
      <c r="H5" s="131" t="s">
        <v>74</v>
      </c>
      <c r="I5" s="131" t="s">
        <v>208</v>
      </c>
      <c r="J5" s="133">
        <f>SUMIF($P$29:$P$265,$I5,$Q$29:$Q$265)</f>
        <v>7159466.4500000002</v>
      </c>
      <c r="K5" s="133">
        <v>751784.6</v>
      </c>
      <c r="L5" s="133">
        <v>351146.64</v>
      </c>
      <c r="M5" s="133">
        <v>504814.36</v>
      </c>
      <c r="N5" s="133">
        <v>447695.15</v>
      </c>
      <c r="O5" s="133">
        <v>481373</v>
      </c>
      <c r="P5" s="133">
        <v>325889.24000000005</v>
      </c>
      <c r="Q5" s="133">
        <v>481125.28</v>
      </c>
      <c r="R5" s="133">
        <v>562670.21</v>
      </c>
      <c r="S5" s="133">
        <v>812328.16</v>
      </c>
      <c r="T5" s="133">
        <v>961837.48</v>
      </c>
      <c r="U5" s="133">
        <v>716928.98</v>
      </c>
      <c r="V5" s="133">
        <f t="shared" ref="V5:V16" si="0">C5</f>
        <v>761873.35</v>
      </c>
      <c r="W5" s="133">
        <f t="shared" ref="W5:W17" si="1">SUM(K5:V5)</f>
        <v>7159466.4500000011</v>
      </c>
      <c r="X5" s="144">
        <f t="shared" ref="X5:X17" si="2">W5-J5</f>
        <v>0</v>
      </c>
    </row>
    <row r="6" spans="2:24" s="97" customFormat="1" ht="33.6" customHeight="1" x14ac:dyDescent="0.3">
      <c r="B6" s="131" t="s">
        <v>209</v>
      </c>
      <c r="C6" s="285">
        <f>SUMIF($B$29:$B$265,$B6,$C$29:$C$265)</f>
        <v>25658.44</v>
      </c>
      <c r="H6" s="131" t="s">
        <v>76</v>
      </c>
      <c r="I6" s="131" t="s">
        <v>209</v>
      </c>
      <c r="J6" s="133">
        <f>SUMIF($P$29:$P$265,$I6,$Q$29:$Q$265)</f>
        <v>325569.19999999995</v>
      </c>
      <c r="K6" s="133">
        <v>32834.379999999997</v>
      </c>
      <c r="L6" s="133">
        <v>19979.829999999998</v>
      </c>
      <c r="M6" s="133">
        <v>21245.64</v>
      </c>
      <c r="N6" s="133">
        <v>27696.570000000003</v>
      </c>
      <c r="O6" s="133">
        <v>19102.93</v>
      </c>
      <c r="P6" s="133">
        <v>2066.9700000000003</v>
      </c>
      <c r="Q6" s="133">
        <v>23466.750000000004</v>
      </c>
      <c r="R6" s="133">
        <v>26892.589999999997</v>
      </c>
      <c r="S6" s="133">
        <v>29389.619999999995</v>
      </c>
      <c r="T6" s="133">
        <v>43395.48</v>
      </c>
      <c r="U6" s="133">
        <v>41727.860000000008</v>
      </c>
      <c r="V6" s="133">
        <f t="shared" si="0"/>
        <v>25658.44</v>
      </c>
      <c r="W6" s="133">
        <f t="shared" si="1"/>
        <v>313457.06</v>
      </c>
      <c r="X6" s="144">
        <f t="shared" si="2"/>
        <v>-12112.139999999956</v>
      </c>
    </row>
    <row r="7" spans="2:24" s="97" customFormat="1" ht="33.6" customHeight="1" x14ac:dyDescent="0.3">
      <c r="B7" s="141" t="s">
        <v>210</v>
      </c>
      <c r="C7" s="142">
        <f>SUMIF($B$29:$B$265,$B7,$C$29:$C$265)-SUMIF($B$29:$B$265,$D$7,$C$29:$C$265)</f>
        <v>-39181.52999999997</v>
      </c>
      <c r="D7" s="139" t="s">
        <v>211</v>
      </c>
      <c r="H7" s="141" t="s">
        <v>84</v>
      </c>
      <c r="I7" s="141" t="s">
        <v>210</v>
      </c>
      <c r="J7" s="142">
        <f>SUMIF($P$29:$P$265,$I7,$Q$29:$Q$265)-SUMIF($P$29:$P$265,$D$7,$Q$29:$Q$265)</f>
        <v>642922.42000000004</v>
      </c>
      <c r="K7" s="142">
        <v>61839.479999999996</v>
      </c>
      <c r="L7" s="142">
        <v>65350.86</v>
      </c>
      <c r="M7" s="142">
        <v>68629.339999999982</v>
      </c>
      <c r="N7" s="142">
        <v>67421.69</v>
      </c>
      <c r="O7" s="142">
        <v>75825</v>
      </c>
      <c r="P7" s="142">
        <v>58807.190000000017</v>
      </c>
      <c r="Q7" s="142">
        <v>61424.560000000005</v>
      </c>
      <c r="R7" s="142">
        <v>50182.71</v>
      </c>
      <c r="S7" s="142">
        <v>52085.46</v>
      </c>
      <c r="T7" s="142">
        <v>63695.24</v>
      </c>
      <c r="U7" s="142">
        <v>56842.42</v>
      </c>
      <c r="V7" s="142">
        <f t="shared" si="0"/>
        <v>-39181.52999999997</v>
      </c>
      <c r="W7" s="142">
        <f t="shared" si="1"/>
        <v>642922.42000000016</v>
      </c>
      <c r="X7" s="144">
        <f t="shared" si="2"/>
        <v>0</v>
      </c>
    </row>
    <row r="8" spans="2:24" s="97" customFormat="1" ht="33.6" customHeight="1" x14ac:dyDescent="0.3">
      <c r="B8" s="141" t="s">
        <v>212</v>
      </c>
      <c r="C8" s="142">
        <f>SUMIF($B$29:$B$265,$B8,$C$29:$C$265)+SUMIF($B$29:$B$265,$D$7,$C$29:$C$265)</f>
        <v>-139062.89000000001</v>
      </c>
      <c r="E8" s="144"/>
      <c r="H8" s="141" t="s">
        <v>78</v>
      </c>
      <c r="I8" s="141" t="s">
        <v>212</v>
      </c>
      <c r="J8" s="142">
        <f>SUMIF($P$29:$P$265,$I8,$Q$29:$Q$265)+SUMIF($P$29:$P$265,$D$7,$Q$29:$Q$265)</f>
        <v>-10833.720000000059</v>
      </c>
      <c r="K8" s="142">
        <v>9381.74</v>
      </c>
      <c r="L8" s="142">
        <v>14433.909999999998</v>
      </c>
      <c r="M8" s="142">
        <v>8302.39</v>
      </c>
      <c r="N8" s="142">
        <v>7490.26</v>
      </c>
      <c r="O8" s="142">
        <v>41244.880000000005</v>
      </c>
      <c r="P8" s="142">
        <v>-61537.729999999996</v>
      </c>
      <c r="Q8" s="142">
        <v>11031.76</v>
      </c>
      <c r="R8" s="142">
        <v>19370.210000000003</v>
      </c>
      <c r="S8" s="142">
        <v>10808.11</v>
      </c>
      <c r="T8" s="142">
        <v>53077.350000000006</v>
      </c>
      <c r="U8" s="142">
        <v>14626.289999999999</v>
      </c>
      <c r="V8" s="142">
        <f t="shared" si="0"/>
        <v>-139062.89000000001</v>
      </c>
      <c r="W8" s="142">
        <f t="shared" si="1"/>
        <v>-10833.720000000016</v>
      </c>
      <c r="X8" s="144">
        <f t="shared" si="2"/>
        <v>4.3655745685100555E-11</v>
      </c>
    </row>
    <row r="9" spans="2:24" s="97" customFormat="1" ht="33.6" customHeight="1" x14ac:dyDescent="0.3">
      <c r="B9" s="131" t="s">
        <v>213</v>
      </c>
      <c r="C9" s="133">
        <f t="shared" ref="C9:C15" si="3">SUMIF($B$29:$B$265,$B9,$C$29:$C$265)</f>
        <v>114586.24000000001</v>
      </c>
      <c r="H9" s="131" t="s">
        <v>85</v>
      </c>
      <c r="I9" s="131" t="s">
        <v>213</v>
      </c>
      <c r="J9" s="133">
        <f t="shared" ref="J9:J16" si="4">SUMIF($P$29:$P$265,$I9,$Q$29:$Q$265)</f>
        <v>264585.31</v>
      </c>
      <c r="K9" s="133">
        <v>27874.31</v>
      </c>
      <c r="L9" s="133">
        <v>25000</v>
      </c>
      <c r="M9" s="133">
        <v>25000</v>
      </c>
      <c r="N9" s="133">
        <v>25000</v>
      </c>
      <c r="O9" s="133">
        <v>25000</v>
      </c>
      <c r="P9" s="133">
        <v>31056.07</v>
      </c>
      <c r="Q9" s="133">
        <v>25000</v>
      </c>
      <c r="R9" s="133">
        <v>-25000</v>
      </c>
      <c r="S9" s="133">
        <v>-36819.17</v>
      </c>
      <c r="T9" s="133">
        <v>25000</v>
      </c>
      <c r="U9" s="133">
        <v>15000</v>
      </c>
      <c r="V9" s="133">
        <f t="shared" si="0"/>
        <v>114586.24000000001</v>
      </c>
      <c r="W9" s="133">
        <f t="shared" si="1"/>
        <v>276697.45</v>
      </c>
      <c r="X9" s="144">
        <f t="shared" si="2"/>
        <v>12112.140000000014</v>
      </c>
    </row>
    <row r="10" spans="2:24" s="97" customFormat="1" ht="33.6" customHeight="1" x14ac:dyDescent="0.3">
      <c r="B10" s="131" t="s">
        <v>214</v>
      </c>
      <c r="C10" s="285">
        <f t="shared" si="3"/>
        <v>-112054.34</v>
      </c>
      <c r="H10" s="131" t="s">
        <v>77</v>
      </c>
      <c r="I10" s="131" t="s">
        <v>214</v>
      </c>
      <c r="J10" s="133">
        <f t="shared" si="4"/>
        <v>-1094625.3400000001</v>
      </c>
      <c r="K10" s="133">
        <v>-112278.31999999999</v>
      </c>
      <c r="L10" s="133">
        <v>-85893.39</v>
      </c>
      <c r="M10" s="133">
        <v>-67927.73</v>
      </c>
      <c r="N10" s="133">
        <v>-72652.89</v>
      </c>
      <c r="O10" s="133">
        <v>-73397.41</v>
      </c>
      <c r="P10" s="133">
        <v>-41000.620000000003</v>
      </c>
      <c r="Q10" s="133">
        <v>-68022.12</v>
      </c>
      <c r="R10" s="133">
        <v>-112161.92</v>
      </c>
      <c r="S10" s="133">
        <v>-118823.18</v>
      </c>
      <c r="T10" s="133">
        <v>-128119.05</v>
      </c>
      <c r="U10" s="133">
        <v>-102294.37</v>
      </c>
      <c r="V10" s="133">
        <f t="shared" si="0"/>
        <v>-112054.34</v>
      </c>
      <c r="W10" s="133">
        <f t="shared" si="1"/>
        <v>-1094625.3400000001</v>
      </c>
      <c r="X10" s="144">
        <f t="shared" si="2"/>
        <v>0</v>
      </c>
    </row>
    <row r="11" spans="2:24" s="97" customFormat="1" ht="33.6" customHeight="1" x14ac:dyDescent="0.3">
      <c r="B11" s="131" t="s">
        <v>215</v>
      </c>
      <c r="C11" s="133">
        <f t="shared" si="3"/>
        <v>8548.0500000000011</v>
      </c>
      <c r="H11" s="131" t="s">
        <v>83</v>
      </c>
      <c r="I11" s="131" t="s">
        <v>215</v>
      </c>
      <c r="J11" s="133">
        <f t="shared" si="4"/>
        <v>58547.42</v>
      </c>
      <c r="K11" s="133">
        <v>2921.76</v>
      </c>
      <c r="L11" s="133">
        <v>5863.85</v>
      </c>
      <c r="M11" s="133">
        <v>4120.75</v>
      </c>
      <c r="N11" s="133">
        <v>3334.89</v>
      </c>
      <c r="O11" s="133">
        <v>4336.07</v>
      </c>
      <c r="P11" s="133">
        <v>1059.71</v>
      </c>
      <c r="Q11" s="133">
        <v>3511.4400000000005</v>
      </c>
      <c r="R11" s="133">
        <v>5318.79</v>
      </c>
      <c r="S11" s="133">
        <v>6496.7999999999993</v>
      </c>
      <c r="T11" s="133">
        <v>4030.9399999999996</v>
      </c>
      <c r="U11" s="133">
        <v>9004.3700000000008</v>
      </c>
      <c r="V11" s="133">
        <f t="shared" si="0"/>
        <v>8548.0500000000011</v>
      </c>
      <c r="W11" s="133">
        <f t="shared" si="1"/>
        <v>58547.420000000006</v>
      </c>
      <c r="X11" s="144">
        <f t="shared" si="2"/>
        <v>0</v>
      </c>
    </row>
    <row r="12" spans="2:24" s="97" customFormat="1" ht="33.6" customHeight="1" x14ac:dyDescent="0.3">
      <c r="B12" s="131" t="s">
        <v>216</v>
      </c>
      <c r="C12" s="133">
        <f t="shared" si="3"/>
        <v>34153.769999999997</v>
      </c>
      <c r="H12" s="131" t="s">
        <v>75</v>
      </c>
      <c r="I12" s="131" t="s">
        <v>216</v>
      </c>
      <c r="J12" s="133">
        <f t="shared" si="4"/>
        <v>550099.01000000013</v>
      </c>
      <c r="K12" s="133">
        <v>58426.780000000006</v>
      </c>
      <c r="L12" s="133">
        <v>44301.279999999992</v>
      </c>
      <c r="M12" s="133">
        <v>43208.990000000005</v>
      </c>
      <c r="N12" s="133">
        <v>25781.84</v>
      </c>
      <c r="O12" s="133">
        <v>39352.909999999996</v>
      </c>
      <c r="P12" s="133">
        <v>22841.97</v>
      </c>
      <c r="Q12" s="133">
        <v>41803.600000000006</v>
      </c>
      <c r="R12" s="133">
        <v>64419.74</v>
      </c>
      <c r="S12" s="133">
        <v>50371.85</v>
      </c>
      <c r="T12" s="133">
        <v>63356.640000000007</v>
      </c>
      <c r="U12" s="133">
        <v>62079.639999999985</v>
      </c>
      <c r="V12" s="133">
        <f t="shared" si="0"/>
        <v>34153.769999999997</v>
      </c>
      <c r="W12" s="133">
        <f t="shared" si="1"/>
        <v>550099.01</v>
      </c>
      <c r="X12" s="144">
        <f t="shared" si="2"/>
        <v>0</v>
      </c>
    </row>
    <row r="13" spans="2:24" s="97" customFormat="1" ht="33.6" customHeight="1" x14ac:dyDescent="0.3">
      <c r="B13" s="131" t="s">
        <v>217</v>
      </c>
      <c r="C13" s="133">
        <f t="shared" si="3"/>
        <v>331422.28000000003</v>
      </c>
      <c r="H13" s="131" t="s">
        <v>80</v>
      </c>
      <c r="I13" s="131" t="s">
        <v>217</v>
      </c>
      <c r="J13" s="133">
        <f t="shared" si="4"/>
        <v>3474698.3899999997</v>
      </c>
      <c r="K13" s="133">
        <v>321977.39</v>
      </c>
      <c r="L13" s="133">
        <v>198443.41</v>
      </c>
      <c r="M13" s="133">
        <v>285535.62</v>
      </c>
      <c r="N13" s="133">
        <v>225529.23000000004</v>
      </c>
      <c r="O13" s="133">
        <v>213264.63</v>
      </c>
      <c r="P13" s="133">
        <v>236216.62999999998</v>
      </c>
      <c r="Q13" s="133">
        <v>288816.19</v>
      </c>
      <c r="R13" s="133">
        <v>269213.84999999998</v>
      </c>
      <c r="S13" s="133">
        <v>348394.51999999996</v>
      </c>
      <c r="T13" s="133">
        <v>409578.62</v>
      </c>
      <c r="U13" s="133">
        <v>346306.02</v>
      </c>
      <c r="V13" s="133">
        <f t="shared" si="0"/>
        <v>331422.28000000003</v>
      </c>
      <c r="W13" s="133">
        <f t="shared" si="1"/>
        <v>3474698.3900000006</v>
      </c>
      <c r="X13" s="144">
        <f t="shared" si="2"/>
        <v>0</v>
      </c>
    </row>
    <row r="14" spans="2:24" s="97" customFormat="1" ht="33.6" customHeight="1" x14ac:dyDescent="0.3">
      <c r="B14" s="131" t="s">
        <v>218</v>
      </c>
      <c r="C14" s="133">
        <f t="shared" si="3"/>
        <v>108584.04999999999</v>
      </c>
      <c r="H14" s="131" t="s">
        <v>81</v>
      </c>
      <c r="I14" s="131" t="s">
        <v>218</v>
      </c>
      <c r="J14" s="133">
        <f t="shared" si="4"/>
        <v>1420340.9300000002</v>
      </c>
      <c r="K14" s="133">
        <v>140072.02000000002</v>
      </c>
      <c r="L14" s="133">
        <v>154529.78999999998</v>
      </c>
      <c r="M14" s="133">
        <v>123496</v>
      </c>
      <c r="N14" s="133">
        <v>87980.42</v>
      </c>
      <c r="O14" s="133">
        <v>133242.52999999997</v>
      </c>
      <c r="P14" s="133">
        <v>130965.49</v>
      </c>
      <c r="Q14" s="133">
        <v>109540.08</v>
      </c>
      <c r="R14" s="133">
        <v>113113.51000000001</v>
      </c>
      <c r="S14" s="133">
        <v>107933.55</v>
      </c>
      <c r="T14" s="133">
        <v>105670.01000000001</v>
      </c>
      <c r="U14" s="133">
        <v>105213.48</v>
      </c>
      <c r="V14" s="133">
        <f t="shared" si="0"/>
        <v>108584.04999999999</v>
      </c>
      <c r="W14" s="133">
        <f t="shared" si="1"/>
        <v>1420340.93</v>
      </c>
      <c r="X14" s="144">
        <f t="shared" si="2"/>
        <v>0</v>
      </c>
    </row>
    <row r="15" spans="2:24" s="97" customFormat="1" ht="33.6" customHeight="1" x14ac:dyDescent="0.3">
      <c r="B15" s="131" t="s">
        <v>219</v>
      </c>
      <c r="C15" s="133">
        <f t="shared" si="3"/>
        <v>149924.34</v>
      </c>
      <c r="H15" s="131" t="s">
        <v>82</v>
      </c>
      <c r="I15" s="131" t="s">
        <v>219</v>
      </c>
      <c r="J15" s="133">
        <f t="shared" si="4"/>
        <v>1907628.6700000002</v>
      </c>
      <c r="K15" s="133">
        <v>211060.15000000002</v>
      </c>
      <c r="L15" s="133">
        <v>182080.40000000002</v>
      </c>
      <c r="M15" s="133">
        <v>163505.71</v>
      </c>
      <c r="N15" s="133">
        <v>137378.03</v>
      </c>
      <c r="O15" s="133">
        <v>133422.29</v>
      </c>
      <c r="P15" s="133">
        <v>110913.8</v>
      </c>
      <c r="Q15" s="133">
        <v>110802.10999999999</v>
      </c>
      <c r="R15" s="133">
        <v>146197.63000000003</v>
      </c>
      <c r="S15" s="133">
        <v>219780.68</v>
      </c>
      <c r="T15" s="133">
        <v>191796.25000000003</v>
      </c>
      <c r="U15" s="133">
        <v>150767.28</v>
      </c>
      <c r="V15" s="133">
        <f t="shared" si="0"/>
        <v>149924.34</v>
      </c>
      <c r="W15" s="133">
        <f t="shared" si="1"/>
        <v>1907628.6700000004</v>
      </c>
      <c r="X15" s="144">
        <f t="shared" si="2"/>
        <v>0</v>
      </c>
    </row>
    <row r="16" spans="2:24" s="97" customFormat="1" ht="33.6" customHeight="1" x14ac:dyDescent="0.3">
      <c r="B16" s="131" t="s">
        <v>220</v>
      </c>
      <c r="C16" s="168">
        <f>SUMIF($B$29:$B$265,$B16,$C$29:$C$265)</f>
        <v>-135958.59</v>
      </c>
      <c r="H16" s="131" t="s">
        <v>93</v>
      </c>
      <c r="I16" s="131" t="s">
        <v>220</v>
      </c>
      <c r="J16" s="133">
        <f t="shared" si="4"/>
        <v>3113518.86</v>
      </c>
      <c r="K16" s="133">
        <v>289689.19</v>
      </c>
      <c r="L16" s="133">
        <v>355134.83</v>
      </c>
      <c r="M16" s="133">
        <v>297322.5</v>
      </c>
      <c r="N16" s="133">
        <v>264191.68</v>
      </c>
      <c r="O16" s="133">
        <v>298717.94</v>
      </c>
      <c r="P16" s="133">
        <v>281687.49</v>
      </c>
      <c r="Q16" s="133">
        <v>284409.78000000003</v>
      </c>
      <c r="R16" s="133">
        <v>269045.75</v>
      </c>
      <c r="S16" s="133">
        <v>313719.86</v>
      </c>
      <c r="T16" s="133">
        <v>311760.45</v>
      </c>
      <c r="U16" s="133">
        <v>283797.98</v>
      </c>
      <c r="V16" s="133">
        <f t="shared" si="0"/>
        <v>-135958.59</v>
      </c>
      <c r="W16" s="133">
        <f t="shared" si="1"/>
        <v>3113518.8600000003</v>
      </c>
      <c r="X16" s="144">
        <f t="shared" si="2"/>
        <v>0</v>
      </c>
    </row>
    <row r="17" spans="1:39" s="97" customFormat="1" ht="33.6" customHeight="1" x14ac:dyDescent="0.3">
      <c r="B17" s="134" t="s">
        <v>114</v>
      </c>
      <c r="C17" s="135">
        <f>SUM(C4:C16)</f>
        <v>1533989.74</v>
      </c>
      <c r="I17" s="134" t="s">
        <v>114</v>
      </c>
      <c r="J17" s="135">
        <f>SUM(J4:J16)</f>
        <v>22431798.469999999</v>
      </c>
      <c r="K17" s="135">
        <f t="shared" ref="K17:V17" si="5">SUM(K4:K16)</f>
        <v>2171546.5599999996</v>
      </c>
      <c r="L17" s="135">
        <f t="shared" si="5"/>
        <v>1676457.48</v>
      </c>
      <c r="M17" s="135">
        <f t="shared" si="5"/>
        <v>1889831.5</v>
      </c>
      <c r="N17" s="135">
        <f t="shared" si="5"/>
        <v>1581268.77</v>
      </c>
      <c r="O17" s="135">
        <f t="shared" si="5"/>
        <v>1795402.32</v>
      </c>
      <c r="P17" s="135">
        <f t="shared" si="5"/>
        <v>1494777.56</v>
      </c>
      <c r="Q17" s="135">
        <f t="shared" si="5"/>
        <v>1774520.5200000003</v>
      </c>
      <c r="R17" s="135">
        <v>1790688.52</v>
      </c>
      <c r="S17" s="135">
        <f t="shared" si="5"/>
        <v>2187908.7900000005</v>
      </c>
      <c r="T17" s="135">
        <f t="shared" si="5"/>
        <v>2447087.6800000002</v>
      </c>
      <c r="U17" s="135">
        <f t="shared" si="5"/>
        <v>2088319.0300000003</v>
      </c>
      <c r="V17" s="135">
        <f t="shared" si="5"/>
        <v>1533989.74</v>
      </c>
      <c r="W17" s="135">
        <f t="shared" si="1"/>
        <v>22431798.469999999</v>
      </c>
      <c r="X17" s="144">
        <f t="shared" si="2"/>
        <v>0</v>
      </c>
    </row>
    <row r="19" spans="1:39" ht="36.6" customHeight="1" x14ac:dyDescent="0.3">
      <c r="B19" s="137" t="s">
        <v>153</v>
      </c>
      <c r="C19" s="136">
        <f>C17-C256</f>
        <v>0</v>
      </c>
      <c r="I19" s="137" t="s">
        <v>153</v>
      </c>
      <c r="J19" s="136">
        <f>J17-Q256</f>
        <v>0</v>
      </c>
    </row>
    <row r="21" spans="1:39" ht="42" customHeight="1" x14ac:dyDescent="0.3">
      <c r="B21" s="139" t="s">
        <v>211</v>
      </c>
      <c r="C21" s="140" t="s">
        <v>210</v>
      </c>
      <c r="D21" s="140" t="s">
        <v>212</v>
      </c>
      <c r="E21" s="139"/>
    </row>
    <row r="24" spans="1:39" s="158" customFormat="1" x14ac:dyDescent="0.3"/>
    <row r="25" spans="1:39" ht="31.2" x14ac:dyDescent="0.6">
      <c r="B25" s="145" t="s">
        <v>176</v>
      </c>
      <c r="P25" s="145" t="s">
        <v>95</v>
      </c>
    </row>
    <row r="27" spans="1:39" x14ac:dyDescent="0.3">
      <c r="A27" s="109"/>
      <c r="B27" s="109"/>
      <c r="C27" s="109"/>
      <c r="D27" s="109"/>
      <c r="E27" s="109"/>
      <c r="F27" s="109"/>
      <c r="G27" s="109"/>
      <c r="H27" s="109"/>
      <c r="I27" s="109"/>
      <c r="J27" s="109"/>
      <c r="K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09"/>
      <c r="AJ27" s="109"/>
      <c r="AK27" s="109"/>
    </row>
    <row r="28" spans="1:39" x14ac:dyDescent="0.3">
      <c r="A28" s="109"/>
      <c r="B28" s="110" t="s">
        <v>166</v>
      </c>
      <c r="C28" s="111" t="s">
        <v>171</v>
      </c>
      <c r="D28" s="111" t="s">
        <v>168</v>
      </c>
      <c r="E28" s="111" t="s">
        <v>221</v>
      </c>
      <c r="F28" s="111" t="s">
        <v>222</v>
      </c>
      <c r="G28" s="110" t="s">
        <v>166</v>
      </c>
      <c r="H28" s="111" t="s">
        <v>223</v>
      </c>
      <c r="I28" s="111" t="s">
        <v>224</v>
      </c>
      <c r="J28" s="111" t="s">
        <v>221</v>
      </c>
      <c r="K28" s="111" t="s">
        <v>222</v>
      </c>
      <c r="P28" s="110" t="s">
        <v>166</v>
      </c>
      <c r="Q28" s="111" t="s">
        <v>171</v>
      </c>
      <c r="R28" s="111" t="s">
        <v>168</v>
      </c>
      <c r="S28" s="111" t="s">
        <v>221</v>
      </c>
      <c r="T28" s="111" t="s">
        <v>222</v>
      </c>
      <c r="U28" s="110" t="s">
        <v>166</v>
      </c>
      <c r="V28" s="111" t="s">
        <v>223</v>
      </c>
      <c r="W28" s="111" t="s">
        <v>224</v>
      </c>
      <c r="X28" s="111" t="s">
        <v>221</v>
      </c>
      <c r="Y28" s="111" t="s">
        <v>222</v>
      </c>
      <c r="Z28" s="157" t="s">
        <v>0</v>
      </c>
      <c r="AA28" s="157" t="s">
        <v>1</v>
      </c>
      <c r="AB28" s="157" t="s">
        <v>2</v>
      </c>
      <c r="AC28" s="157" t="s">
        <v>3</v>
      </c>
      <c r="AD28" s="157" t="s">
        <v>4</v>
      </c>
      <c r="AE28" s="157" t="s">
        <v>5</v>
      </c>
      <c r="AF28" s="157" t="s">
        <v>6</v>
      </c>
      <c r="AG28" s="157" t="s">
        <v>7</v>
      </c>
      <c r="AH28" s="157" t="s">
        <v>8</v>
      </c>
      <c r="AI28" s="157" t="s">
        <v>9</v>
      </c>
      <c r="AJ28" s="157" t="s">
        <v>10</v>
      </c>
      <c r="AK28" s="157" t="s">
        <v>11</v>
      </c>
    </row>
    <row r="29" spans="1:39" x14ac:dyDescent="0.3">
      <c r="A29" s="109" t="str">
        <f>"debit"&amp;B29</f>
        <v>debit    6666110101  Depreciation of buildings</v>
      </c>
      <c r="B29" s="112" t="s">
        <v>225</v>
      </c>
      <c r="C29" s="113">
        <f>IFERROR(VLOOKUP($A29,MTD!$A$13:$D$1048576,3,0),0)</f>
        <v>46969.19</v>
      </c>
      <c r="D29" s="113">
        <f>IFERROR(VLOOKUP($A29,MTD!$A$13:$D$1048576,4,0),0)</f>
        <v>330497.21000000002</v>
      </c>
      <c r="E29" s="113"/>
      <c r="F29" s="113"/>
      <c r="G29" s="112" t="s">
        <v>225</v>
      </c>
      <c r="H29" s="114">
        <v>0</v>
      </c>
      <c r="I29" s="114">
        <v>0</v>
      </c>
      <c r="J29" s="115">
        <v>0</v>
      </c>
      <c r="K29" s="113">
        <v>0</v>
      </c>
      <c r="P29" s="112" t="s">
        <v>225</v>
      </c>
      <c r="Q29" s="113">
        <f>IFERROR(VLOOKUP($A29,YTD!$A$13:$D$1048576,3,0),0)</f>
        <v>548912.24</v>
      </c>
      <c r="R29" s="113">
        <f>IFERROR(VLOOKUP($A29,YTD!$A$13:$D$1048576,4,0),0)</f>
        <v>3469128.23</v>
      </c>
      <c r="S29" s="113"/>
      <c r="T29" s="113"/>
      <c r="U29" s="112" t="s">
        <v>225</v>
      </c>
      <c r="V29" s="114">
        <v>0</v>
      </c>
      <c r="W29" s="114">
        <v>0</v>
      </c>
      <c r="X29" s="115">
        <v>0</v>
      </c>
      <c r="Y29" s="113">
        <v>0</v>
      </c>
      <c r="Z29" s="113">
        <v>45923.91</v>
      </c>
      <c r="AA29" s="113">
        <v>41479.79</v>
      </c>
      <c r="AB29" s="113">
        <v>45941.97</v>
      </c>
      <c r="AC29" s="113">
        <v>44483.77</v>
      </c>
      <c r="AD29" s="113">
        <v>46469.17</v>
      </c>
      <c r="AE29" s="113">
        <v>45512.58</v>
      </c>
      <c r="AF29" s="113">
        <v>47031.15</v>
      </c>
      <c r="AG29" s="113">
        <v>47080.79</v>
      </c>
      <c r="AH29" s="113">
        <v>45581.2</v>
      </c>
      <c r="AI29" s="113">
        <v>46969.21</v>
      </c>
      <c r="AJ29" s="113">
        <v>45469.51</v>
      </c>
      <c r="AK29" s="113">
        <f>C29</f>
        <v>46969.19</v>
      </c>
      <c r="AM29" s="309"/>
    </row>
    <row r="30" spans="1:39" x14ac:dyDescent="0.3">
      <c r="A30" s="109" t="str">
        <f t="shared" ref="A30:A95" si="6">"debit"&amp;B30</f>
        <v>debit    6666110106  Depreciation of R&amp;D facilities</v>
      </c>
      <c r="B30" s="112" t="s">
        <v>226</v>
      </c>
      <c r="C30" s="113">
        <f>IFERROR(VLOOKUP($A30,MTD!$A$13:$D$1048576,3,0),0)</f>
        <v>0</v>
      </c>
      <c r="D30" s="116">
        <f>IFERROR(VLOOKUP($A30,MTD!$A$13:$D$1048576,4,0),0)</f>
        <v>0</v>
      </c>
      <c r="E30" s="113"/>
      <c r="F30" s="113"/>
      <c r="G30" s="112" t="s">
        <v>226</v>
      </c>
      <c r="H30" s="114">
        <v>0</v>
      </c>
      <c r="I30" s="114">
        <v>0</v>
      </c>
      <c r="J30" s="115">
        <v>0</v>
      </c>
      <c r="K30" s="113">
        <v>0</v>
      </c>
      <c r="P30" s="112" t="s">
        <v>226</v>
      </c>
      <c r="Q30" s="113">
        <f>IFERROR(VLOOKUP($A30,YTD!$A$13:$D$1048576,3,0),0)</f>
        <v>0</v>
      </c>
      <c r="R30" s="116">
        <f>IFERROR(VLOOKUP($A30,YTD!$A$13:$D$1048576,4,0),0)</f>
        <v>0</v>
      </c>
      <c r="S30" s="113"/>
      <c r="T30" s="113"/>
      <c r="U30" s="112" t="s">
        <v>226</v>
      </c>
      <c r="V30" s="114">
        <v>0</v>
      </c>
      <c r="W30" s="114">
        <v>0</v>
      </c>
      <c r="X30" s="115">
        <v>0</v>
      </c>
      <c r="Y30" s="113">
        <v>0</v>
      </c>
      <c r="Z30" s="113">
        <v>0</v>
      </c>
      <c r="AA30" s="113">
        <v>0</v>
      </c>
      <c r="AB30" s="113">
        <v>0</v>
      </c>
      <c r="AC30" s="113">
        <v>0</v>
      </c>
      <c r="AD30" s="113">
        <v>0</v>
      </c>
      <c r="AE30" s="113">
        <v>0</v>
      </c>
      <c r="AF30" s="113">
        <v>0</v>
      </c>
      <c r="AG30" s="113">
        <v>0</v>
      </c>
      <c r="AH30" s="113">
        <v>0</v>
      </c>
      <c r="AI30" s="113">
        <v>0</v>
      </c>
      <c r="AJ30" s="113">
        <v>0</v>
      </c>
      <c r="AK30" s="113">
        <f t="shared" ref="AK30:AK93" si="7">C30</f>
        <v>0</v>
      </c>
      <c r="AM30" s="309"/>
    </row>
    <row r="31" spans="1:39" x14ac:dyDescent="0.3">
      <c r="A31" s="109" t="str">
        <f t="shared" si="6"/>
        <v>debit    6666110107  Depreciation of mold　</v>
      </c>
      <c r="B31" s="112" t="s">
        <v>227</v>
      </c>
      <c r="C31" s="113">
        <f>IFERROR(VLOOKUP($A31,MTD!$A$13:$D$1048576,3,0),0)</f>
        <v>177796.77</v>
      </c>
      <c r="D31" s="116">
        <f>IFERROR(VLOOKUP($A31,MTD!$A$13:$D$1048576,4,0),0)</f>
        <v>0</v>
      </c>
      <c r="E31" s="113"/>
      <c r="F31" s="113"/>
      <c r="G31" s="112" t="s">
        <v>227</v>
      </c>
      <c r="H31" s="114">
        <v>0</v>
      </c>
      <c r="I31" s="114">
        <v>0</v>
      </c>
      <c r="J31" s="115">
        <v>0</v>
      </c>
      <c r="K31" s="113">
        <v>0</v>
      </c>
      <c r="P31" s="112" t="s">
        <v>227</v>
      </c>
      <c r="Q31" s="113">
        <f>IFERROR(VLOOKUP($A31,YTD!$A$13:$D$1048576,3,0),0)</f>
        <v>1828204.56</v>
      </c>
      <c r="R31" s="116">
        <f>IFERROR(VLOOKUP($A31,YTD!$A$13:$D$1048576,4,0),0)</f>
        <v>0</v>
      </c>
      <c r="S31" s="113"/>
      <c r="T31" s="113"/>
      <c r="U31" s="112" t="s">
        <v>227</v>
      </c>
      <c r="V31" s="114">
        <v>0</v>
      </c>
      <c r="W31" s="114">
        <v>0</v>
      </c>
      <c r="X31" s="115">
        <v>0</v>
      </c>
      <c r="Y31" s="113">
        <v>0</v>
      </c>
      <c r="Z31" s="113">
        <v>147257.32</v>
      </c>
      <c r="AA31" s="113">
        <v>138406.09</v>
      </c>
      <c r="AB31" s="113">
        <v>147503.04000000001</v>
      </c>
      <c r="AC31" s="113">
        <v>146664.60999999999</v>
      </c>
      <c r="AD31" s="113">
        <v>161578.67000000001</v>
      </c>
      <c r="AE31" s="113">
        <v>159006.60999999999</v>
      </c>
      <c r="AF31" s="113">
        <v>158446.85</v>
      </c>
      <c r="AG31" s="113">
        <v>158859.47</v>
      </c>
      <c r="AH31" s="113">
        <v>156919.59</v>
      </c>
      <c r="AI31" s="113">
        <v>118146.1</v>
      </c>
      <c r="AJ31" s="113">
        <v>157619.44</v>
      </c>
      <c r="AK31" s="113">
        <f t="shared" si="7"/>
        <v>177796.77</v>
      </c>
      <c r="AM31" s="309"/>
    </row>
    <row r="32" spans="1:39" x14ac:dyDescent="0.3">
      <c r="A32" s="109" t="str">
        <f t="shared" si="6"/>
        <v>debit    6666110110  Depreciation-Plant &amp; Machinery</v>
      </c>
      <c r="B32" s="112" t="s">
        <v>228</v>
      </c>
      <c r="C32" s="113">
        <f>IFERROR(VLOOKUP($A32,MTD!$A$13:$D$1048576,3,0),0)</f>
        <v>249195.66</v>
      </c>
      <c r="D32" s="116">
        <f>IFERROR(VLOOKUP($A32,MTD!$A$13:$D$1048576,4,0),0)</f>
        <v>0</v>
      </c>
      <c r="E32" s="113"/>
      <c r="F32" s="113"/>
      <c r="G32" s="112" t="s">
        <v>228</v>
      </c>
      <c r="H32" s="114">
        <v>0</v>
      </c>
      <c r="I32" s="114">
        <v>0</v>
      </c>
      <c r="J32" s="115">
        <v>0</v>
      </c>
      <c r="K32" s="113">
        <v>0</v>
      </c>
      <c r="P32" s="112" t="s">
        <v>228</v>
      </c>
      <c r="Q32" s="113">
        <f>IFERROR(VLOOKUP($A32,YTD!$A$13:$D$1048576,3,0),0)</f>
        <v>2885061.37</v>
      </c>
      <c r="R32" s="116">
        <f>IFERROR(VLOOKUP($A32,YTD!$A$13:$D$1048576,4,0),0)</f>
        <v>0</v>
      </c>
      <c r="S32" s="113"/>
      <c r="T32" s="113"/>
      <c r="U32" s="112" t="s">
        <v>228</v>
      </c>
      <c r="V32" s="114">
        <v>0</v>
      </c>
      <c r="W32" s="114">
        <v>0</v>
      </c>
      <c r="X32" s="115">
        <v>0</v>
      </c>
      <c r="Y32" s="113">
        <v>0</v>
      </c>
      <c r="Z32" s="113">
        <v>242965.46</v>
      </c>
      <c r="AA32" s="113">
        <v>220337.68</v>
      </c>
      <c r="AB32" s="113">
        <v>315349.55</v>
      </c>
      <c r="AC32" s="113">
        <v>164811.69</v>
      </c>
      <c r="AD32" s="113">
        <v>249097.73</v>
      </c>
      <c r="AE32" s="113">
        <v>243816.67</v>
      </c>
      <c r="AF32" s="113">
        <v>251413.9</v>
      </c>
      <c r="AG32" s="113">
        <v>250385.06</v>
      </c>
      <c r="AH32" s="113">
        <v>242599.9</v>
      </c>
      <c r="AI32" s="113">
        <v>223480.22</v>
      </c>
      <c r="AJ32" s="113">
        <v>231607.85</v>
      </c>
      <c r="AK32" s="113">
        <f t="shared" si="7"/>
        <v>249195.66</v>
      </c>
      <c r="AM32" s="309"/>
    </row>
    <row r="33" spans="1:39" x14ac:dyDescent="0.3">
      <c r="A33" s="109" t="str">
        <f t="shared" si="6"/>
        <v>debit    6666110112  Depreciation of Furniture &amp; Fixture</v>
      </c>
      <c r="B33" s="112" t="s">
        <v>229</v>
      </c>
      <c r="C33" s="113">
        <f>IFERROR(VLOOKUP($A33,MTD!$A$13:$D$1048576,3,0),0)</f>
        <v>19898.27</v>
      </c>
      <c r="D33" s="116">
        <f>IFERROR(VLOOKUP($A33,MTD!$A$13:$D$1048576,4,0),0)</f>
        <v>0</v>
      </c>
      <c r="E33" s="113"/>
      <c r="F33" s="113"/>
      <c r="G33" s="112" t="s">
        <v>229</v>
      </c>
      <c r="H33" s="114">
        <v>0</v>
      </c>
      <c r="I33" s="114">
        <v>0</v>
      </c>
      <c r="J33" s="115">
        <v>0</v>
      </c>
      <c r="K33" s="113">
        <v>0</v>
      </c>
      <c r="P33" s="112" t="s">
        <v>229</v>
      </c>
      <c r="Q33" s="113">
        <f>IFERROR(VLOOKUP($A33,YTD!$A$13:$D$1048576,3,0),0)</f>
        <v>226228.88</v>
      </c>
      <c r="R33" s="116">
        <f>IFERROR(VLOOKUP($A33,YTD!$A$13:$D$1048576,4,0),0)</f>
        <v>0</v>
      </c>
      <c r="S33" s="113"/>
      <c r="T33" s="113"/>
      <c r="U33" s="112" t="s">
        <v>229</v>
      </c>
      <c r="V33" s="114">
        <v>0</v>
      </c>
      <c r="W33" s="114">
        <v>0</v>
      </c>
      <c r="X33" s="115">
        <v>0</v>
      </c>
      <c r="Y33" s="113">
        <v>0</v>
      </c>
      <c r="Z33" s="113">
        <v>14022.56</v>
      </c>
      <c r="AA33" s="113">
        <v>13233.28</v>
      </c>
      <c r="AB33" s="113">
        <v>14967.9</v>
      </c>
      <c r="AC33" s="113">
        <v>16045.61</v>
      </c>
      <c r="AD33" s="113">
        <v>23017.45</v>
      </c>
      <c r="AE33" s="113">
        <v>22057.61</v>
      </c>
      <c r="AF33" s="113">
        <v>22590.04</v>
      </c>
      <c r="AG33" s="113">
        <v>22860.29</v>
      </c>
      <c r="AH33" s="113">
        <v>22617.78</v>
      </c>
      <c r="AI33" s="113">
        <v>15508.81</v>
      </c>
      <c r="AJ33" s="113">
        <v>19409.28</v>
      </c>
      <c r="AK33" s="113">
        <f t="shared" si="7"/>
        <v>19898.27</v>
      </c>
      <c r="AM33" s="309"/>
    </row>
    <row r="34" spans="1:39" x14ac:dyDescent="0.3">
      <c r="A34" s="109" t="str">
        <f t="shared" si="6"/>
        <v>debit    6666110204  Amortization of license, trademarks and</v>
      </c>
      <c r="B34" s="112" t="s">
        <v>230</v>
      </c>
      <c r="C34" s="113">
        <f>IFERROR(VLOOKUP($A34,MTD!$A$13:$D$1048576,3,0),0)</f>
        <v>505.04</v>
      </c>
      <c r="D34" s="116">
        <f>IFERROR(VLOOKUP($A34,MTD!$A$13:$D$1048576,4,0),0)</f>
        <v>0</v>
      </c>
      <c r="E34" s="113"/>
      <c r="F34" s="113"/>
      <c r="G34" s="112" t="s">
        <v>230</v>
      </c>
      <c r="H34" s="114">
        <v>0</v>
      </c>
      <c r="I34" s="114">
        <v>0</v>
      </c>
      <c r="J34" s="115">
        <v>0</v>
      </c>
      <c r="K34" s="113">
        <v>0</v>
      </c>
      <c r="P34" s="112" t="s">
        <v>230</v>
      </c>
      <c r="Q34" s="113">
        <f>IFERROR(VLOOKUP($A34,YTD!$A$13:$D$1048576,3,0),0)</f>
        <v>6060.4</v>
      </c>
      <c r="R34" s="116">
        <f>IFERROR(VLOOKUP($A34,YTD!$A$13:$D$1048576,4,0),0)</f>
        <v>0</v>
      </c>
      <c r="S34" s="113"/>
      <c r="T34" s="113"/>
      <c r="U34" s="112" t="s">
        <v>230</v>
      </c>
      <c r="V34" s="114">
        <v>0</v>
      </c>
      <c r="W34" s="114">
        <v>0</v>
      </c>
      <c r="X34" s="115">
        <v>0</v>
      </c>
      <c r="Y34" s="113">
        <v>0</v>
      </c>
      <c r="Z34" s="113">
        <v>505.04</v>
      </c>
      <c r="AA34" s="113">
        <v>505.02</v>
      </c>
      <c r="AB34" s="113">
        <v>505.04</v>
      </c>
      <c r="AC34" s="113">
        <v>505.04</v>
      </c>
      <c r="AD34" s="113">
        <v>505.02</v>
      </c>
      <c r="AE34" s="113">
        <v>505.04</v>
      </c>
      <c r="AF34" s="113">
        <v>505.04</v>
      </c>
      <c r="AG34" s="113">
        <v>505.02</v>
      </c>
      <c r="AH34" s="113">
        <v>505.04</v>
      </c>
      <c r="AI34" s="113">
        <v>505.04</v>
      </c>
      <c r="AJ34" s="113">
        <v>505.02</v>
      </c>
      <c r="AK34" s="113">
        <f t="shared" si="7"/>
        <v>505.04</v>
      </c>
      <c r="AM34" s="309"/>
    </row>
    <row r="35" spans="1:39" x14ac:dyDescent="0.3">
      <c r="A35" s="109" t="str">
        <f t="shared" si="6"/>
        <v>debit    6666110207  Amortization of Software</v>
      </c>
      <c r="B35" s="112" t="s">
        <v>231</v>
      </c>
      <c r="C35" s="113">
        <f>IFERROR(VLOOKUP($A35,MTD!$A$13:$D$1048576,3,0),0)</f>
        <v>13848.17</v>
      </c>
      <c r="D35" s="116">
        <f>IFERROR(VLOOKUP($A35,MTD!$A$13:$D$1048576,4,0),0)</f>
        <v>0</v>
      </c>
      <c r="E35" s="113"/>
      <c r="F35" s="113"/>
      <c r="G35" s="112" t="s">
        <v>231</v>
      </c>
      <c r="H35" s="114">
        <v>0</v>
      </c>
      <c r="I35" s="114">
        <v>0</v>
      </c>
      <c r="J35" s="115">
        <v>0</v>
      </c>
      <c r="K35" s="113">
        <v>0</v>
      </c>
      <c r="P35" s="112" t="s">
        <v>231</v>
      </c>
      <c r="Q35" s="113">
        <f>IFERROR(VLOOKUP($A35,YTD!$A$13:$D$1048576,3,0),0)</f>
        <v>162846.74</v>
      </c>
      <c r="R35" s="116">
        <f>IFERROR(VLOOKUP($A35,YTD!$A$13:$D$1048576,4,0),0)</f>
        <v>0</v>
      </c>
      <c r="S35" s="113"/>
      <c r="T35" s="113"/>
      <c r="U35" s="112" t="s">
        <v>231</v>
      </c>
      <c r="V35" s="114">
        <v>0</v>
      </c>
      <c r="W35" s="114">
        <v>0</v>
      </c>
      <c r="X35" s="115">
        <v>0</v>
      </c>
      <c r="Y35" s="113">
        <v>0</v>
      </c>
      <c r="Z35" s="113">
        <v>11451.1</v>
      </c>
      <c r="AA35" s="113">
        <v>10550.55</v>
      </c>
      <c r="AB35" s="113">
        <v>10917.22</v>
      </c>
      <c r="AC35" s="113">
        <v>10794.97</v>
      </c>
      <c r="AD35" s="113">
        <v>17082.53</v>
      </c>
      <c r="AE35" s="113">
        <v>15672.48</v>
      </c>
      <c r="AF35" s="113">
        <v>15090.63</v>
      </c>
      <c r="AG35" s="113">
        <v>15072.84</v>
      </c>
      <c r="AH35" s="113">
        <v>14714.12</v>
      </c>
      <c r="AI35" s="113">
        <v>13848.15</v>
      </c>
      <c r="AJ35" s="113">
        <v>13803.98</v>
      </c>
      <c r="AK35" s="113">
        <f t="shared" si="7"/>
        <v>13848.17</v>
      </c>
      <c r="AM35" s="309"/>
    </row>
    <row r="36" spans="1:39" x14ac:dyDescent="0.3">
      <c r="A36" s="109" t="str">
        <f t="shared" si="6"/>
        <v>debit    6666110506  Amortization-Leasehold Improvement</v>
      </c>
      <c r="B36" s="112" t="s">
        <v>232</v>
      </c>
      <c r="C36" s="113">
        <f>IFERROR(VLOOKUP($A36,MTD!$A$13:$D$1048576,3,0),0)</f>
        <v>350.02</v>
      </c>
      <c r="D36" s="116">
        <f>IFERROR(VLOOKUP($A36,MTD!$A$13:$D$1048576,4,0),0)</f>
        <v>0</v>
      </c>
      <c r="E36" s="113"/>
      <c r="F36" s="113"/>
      <c r="G36" s="112" t="s">
        <v>232</v>
      </c>
      <c r="H36" s="114">
        <v>0</v>
      </c>
      <c r="I36" s="114">
        <v>0</v>
      </c>
      <c r="J36" s="115">
        <v>0</v>
      </c>
      <c r="K36" s="113">
        <v>0</v>
      </c>
      <c r="P36" s="112" t="s">
        <v>232</v>
      </c>
      <c r="Q36" s="113">
        <f>IFERROR(VLOOKUP($A36,YTD!$A$13:$D$1048576,3,0),0)</f>
        <v>10297.42</v>
      </c>
      <c r="R36" s="116">
        <f>IFERROR(VLOOKUP($A36,YTD!$A$13:$D$1048576,4,0),0)</f>
        <v>0</v>
      </c>
      <c r="S36" s="113"/>
      <c r="T36" s="113"/>
      <c r="U36" s="112" t="s">
        <v>232</v>
      </c>
      <c r="V36" s="114">
        <v>0</v>
      </c>
      <c r="W36" s="114">
        <v>0</v>
      </c>
      <c r="X36" s="115">
        <v>0</v>
      </c>
      <c r="Y36" s="113">
        <v>0</v>
      </c>
      <c r="Z36" s="113">
        <v>1380.49</v>
      </c>
      <c r="AA36" s="113">
        <v>1219.3800000000001</v>
      </c>
      <c r="AB36" s="113">
        <v>1166.55</v>
      </c>
      <c r="AC36" s="113">
        <v>1076.8599999999999</v>
      </c>
      <c r="AD36" s="113">
        <v>1079.8800000000001</v>
      </c>
      <c r="AE36" s="113">
        <v>662.69</v>
      </c>
      <c r="AF36" s="113">
        <v>683.65</v>
      </c>
      <c r="AG36" s="113">
        <v>683.63</v>
      </c>
      <c r="AH36" s="113">
        <v>661.54</v>
      </c>
      <c r="AI36" s="113">
        <v>683.41</v>
      </c>
      <c r="AJ36" s="113">
        <v>649.32000000000005</v>
      </c>
      <c r="AK36" s="113">
        <f t="shared" si="7"/>
        <v>350.02</v>
      </c>
      <c r="AM36" s="309"/>
    </row>
    <row r="37" spans="1:39" x14ac:dyDescent="0.3">
      <c r="A37" s="109" t="str">
        <f t="shared" si="6"/>
        <v>debit*   CS_Depreciation</v>
      </c>
      <c r="B37" s="117" t="s">
        <v>207</v>
      </c>
      <c r="C37" s="118">
        <f>IFERROR(VLOOKUP($A37,MTD!$A$13:$D$1048576,3,0),0)</f>
        <v>508563.12</v>
      </c>
      <c r="D37" s="118">
        <f>IFERROR(VLOOKUP($A37,MTD!$A$13:$D$1048576,4,0),0)</f>
        <v>330497.21000000002</v>
      </c>
      <c r="E37" s="118"/>
      <c r="F37" s="118"/>
      <c r="G37" s="117" t="s">
        <v>207</v>
      </c>
      <c r="H37" s="119">
        <v>0</v>
      </c>
      <c r="I37" s="119">
        <v>0</v>
      </c>
      <c r="J37" s="120">
        <v>0</v>
      </c>
      <c r="K37" s="118">
        <v>0</v>
      </c>
      <c r="P37" s="117" t="s">
        <v>207</v>
      </c>
      <c r="Q37" s="118">
        <f>IFERROR(VLOOKUP($A37,YTD!$A$13:$D$1048576,3,0),0)</f>
        <v>5667611.6100000003</v>
      </c>
      <c r="R37" s="118">
        <f>IFERROR(VLOOKUP($A37,YTD!$A$13:$D$1048576,4,0),0)</f>
        <v>3469128.23</v>
      </c>
      <c r="S37" s="118"/>
      <c r="T37" s="118"/>
      <c r="U37" s="117" t="s">
        <v>207</v>
      </c>
      <c r="V37" s="119">
        <v>0</v>
      </c>
      <c r="W37" s="119">
        <v>0</v>
      </c>
      <c r="X37" s="120">
        <v>0</v>
      </c>
      <c r="Y37" s="118">
        <v>0</v>
      </c>
      <c r="Z37" s="118">
        <v>463505.88</v>
      </c>
      <c r="AA37" s="118">
        <v>425731.79</v>
      </c>
      <c r="AB37" s="118">
        <v>536351.27</v>
      </c>
      <c r="AC37" s="118">
        <v>384382.55</v>
      </c>
      <c r="AD37" s="118">
        <v>498830.45</v>
      </c>
      <c r="AE37" s="118">
        <v>487233.68</v>
      </c>
      <c r="AF37" s="118">
        <v>495761.26</v>
      </c>
      <c r="AG37" s="118">
        <v>495447.1</v>
      </c>
      <c r="AH37" s="118">
        <v>483599.17</v>
      </c>
      <c r="AI37" s="118">
        <v>419140.94</v>
      </c>
      <c r="AJ37" s="118">
        <v>469064.4</v>
      </c>
      <c r="AK37" s="118">
        <f t="shared" si="7"/>
        <v>508563.12</v>
      </c>
      <c r="AM37" s="309"/>
    </row>
    <row r="38" spans="1:39" x14ac:dyDescent="0.3">
      <c r="A38" s="109" t="str">
        <f t="shared" si="6"/>
        <v>debit    5001010205  Unemployment Insurance -blue collar-Dire</v>
      </c>
      <c r="B38" s="112" t="s">
        <v>233</v>
      </c>
      <c r="C38" s="113">
        <f>IFERROR(VLOOKUP($A38,MTD!$A$13:$D$1048576,3,0),0)</f>
        <v>11595.25</v>
      </c>
      <c r="D38" s="116">
        <f>IFERROR(VLOOKUP($A38,MTD!$A$13:$D$1048576,4,0),0)</f>
        <v>0</v>
      </c>
      <c r="E38" s="113"/>
      <c r="F38" s="113"/>
      <c r="G38" s="112" t="s">
        <v>233</v>
      </c>
      <c r="H38" s="114">
        <v>0</v>
      </c>
      <c r="I38" s="114">
        <v>0</v>
      </c>
      <c r="J38" s="115">
        <v>0</v>
      </c>
      <c r="K38" s="113">
        <v>0</v>
      </c>
      <c r="P38" s="112" t="s">
        <v>233</v>
      </c>
      <c r="Q38" s="113">
        <f>IFERROR(VLOOKUP($A38,YTD!$A$13:$D$1048576,3,0),0)</f>
        <v>126557.26</v>
      </c>
      <c r="R38" s="116">
        <f>IFERROR(VLOOKUP($A38,YTD!$A$13:$D$1048576,4,0),0)</f>
        <v>0</v>
      </c>
      <c r="S38" s="113"/>
      <c r="T38" s="113"/>
      <c r="U38" s="112" t="s">
        <v>233</v>
      </c>
      <c r="V38" s="114">
        <v>0</v>
      </c>
      <c r="W38" s="114">
        <v>0</v>
      </c>
      <c r="X38" s="115">
        <v>0</v>
      </c>
      <c r="Y38" s="113">
        <v>0</v>
      </c>
      <c r="Z38" s="113">
        <v>11262.72</v>
      </c>
      <c r="AA38" s="113">
        <v>7980.84</v>
      </c>
      <c r="AB38" s="113">
        <v>9196.27</v>
      </c>
      <c r="AC38" s="113">
        <v>7793.82</v>
      </c>
      <c r="AD38" s="113">
        <v>8170.54</v>
      </c>
      <c r="AE38" s="113">
        <v>7584.95</v>
      </c>
      <c r="AF38" s="113">
        <v>9366.48</v>
      </c>
      <c r="AG38" s="113">
        <v>11061.61</v>
      </c>
      <c r="AH38" s="113">
        <v>14360.9</v>
      </c>
      <c r="AI38" s="113">
        <v>16658.3</v>
      </c>
      <c r="AJ38" s="113">
        <v>11525.58</v>
      </c>
      <c r="AK38" s="113">
        <f t="shared" si="7"/>
        <v>11595.25</v>
      </c>
      <c r="AM38" s="309"/>
    </row>
    <row r="39" spans="1:39" x14ac:dyDescent="0.3">
      <c r="A39" s="109" t="str">
        <f t="shared" si="6"/>
        <v>debit    6666010380  Incentive</v>
      </c>
      <c r="B39" s="112" t="s">
        <v>234</v>
      </c>
      <c r="C39" s="113">
        <f>IFERROR(VLOOKUP($A39,MTD!$A$13:$D$1048576,3,0),0)</f>
        <v>6772.56</v>
      </c>
      <c r="D39" s="116">
        <f>IFERROR(VLOOKUP($A39,MTD!$A$13:$D$1048576,4,0),0)</f>
        <v>0</v>
      </c>
      <c r="E39" s="113"/>
      <c r="F39" s="113"/>
      <c r="G39" s="112" t="s">
        <v>234</v>
      </c>
      <c r="H39" s="114">
        <v>0</v>
      </c>
      <c r="I39" s="114">
        <v>0</v>
      </c>
      <c r="J39" s="115">
        <v>0</v>
      </c>
      <c r="K39" s="113">
        <v>0</v>
      </c>
      <c r="P39" s="112" t="s">
        <v>234</v>
      </c>
      <c r="Q39" s="113">
        <f>IFERROR(VLOOKUP($A39,YTD!$A$13:$D$1048576,3,0),0)</f>
        <v>8285.91</v>
      </c>
      <c r="R39" s="116">
        <f>IFERROR(VLOOKUP($A39,YTD!$A$13:$D$1048576,4,0),0)</f>
        <v>0</v>
      </c>
      <c r="S39" s="113"/>
      <c r="T39" s="113"/>
      <c r="U39" s="112" t="s">
        <v>234</v>
      </c>
      <c r="V39" s="114">
        <v>0</v>
      </c>
      <c r="W39" s="114">
        <v>0</v>
      </c>
      <c r="X39" s="115">
        <v>0</v>
      </c>
      <c r="Y39" s="113">
        <v>0</v>
      </c>
      <c r="Z39" s="113">
        <v>-2998.5</v>
      </c>
      <c r="AA39" s="113">
        <v>-2308.02</v>
      </c>
      <c r="AB39" s="113">
        <v>-2107.85</v>
      </c>
      <c r="AC39" s="113">
        <v>-1824.35</v>
      </c>
      <c r="AD39" s="113">
        <v>-1101.02</v>
      </c>
      <c r="AE39" s="113">
        <v>-1584.38</v>
      </c>
      <c r="AF39" s="113">
        <v>-1870.52</v>
      </c>
      <c r="AG39" s="113">
        <v>-3546.81</v>
      </c>
      <c r="AH39" s="113">
        <v>4909.1499999999996</v>
      </c>
      <c r="AI39" s="113">
        <v>5992.93</v>
      </c>
      <c r="AJ39" s="113">
        <v>7952.72</v>
      </c>
      <c r="AK39" s="113">
        <f t="shared" si="7"/>
        <v>6772.56</v>
      </c>
      <c r="AM39" s="309"/>
    </row>
    <row r="40" spans="1:39" x14ac:dyDescent="0.3">
      <c r="A40" s="109" t="str">
        <f t="shared" si="6"/>
        <v>debit    6666010019  Payroll Taxes - Blue Collar Direct</v>
      </c>
      <c r="B40" s="112" t="s">
        <v>235</v>
      </c>
      <c r="C40" s="113">
        <f>IFERROR(VLOOKUP($A40,MTD!$A$13:$D$1048576,3,0),0)</f>
        <v>91781.58</v>
      </c>
      <c r="D40" s="116">
        <f>IFERROR(VLOOKUP($A40,MTD!$A$13:$D$1048576,4,0),0)</f>
        <v>0</v>
      </c>
      <c r="E40" s="113"/>
      <c r="F40" s="113"/>
      <c r="G40" s="112" t="s">
        <v>235</v>
      </c>
      <c r="H40" s="114">
        <v>0</v>
      </c>
      <c r="I40" s="114">
        <v>0</v>
      </c>
      <c r="J40" s="115">
        <v>0</v>
      </c>
      <c r="K40" s="113">
        <v>0</v>
      </c>
      <c r="P40" s="112" t="s">
        <v>235</v>
      </c>
      <c r="Q40" s="113">
        <f>IFERROR(VLOOKUP($A40,YTD!$A$13:$D$1048576,3,0),0)</f>
        <v>1003180.47</v>
      </c>
      <c r="R40" s="116">
        <f>IFERROR(VLOOKUP($A40,YTD!$A$13:$D$1048576,4,0),0)</f>
        <v>0</v>
      </c>
      <c r="S40" s="113"/>
      <c r="T40" s="113"/>
      <c r="U40" s="112" t="s">
        <v>235</v>
      </c>
      <c r="V40" s="114">
        <v>0</v>
      </c>
      <c r="W40" s="114">
        <v>0</v>
      </c>
      <c r="X40" s="115">
        <v>0</v>
      </c>
      <c r="Y40" s="113">
        <v>0</v>
      </c>
      <c r="Z40" s="113">
        <v>89493.94</v>
      </c>
      <c r="AA40" s="113">
        <v>63247.63</v>
      </c>
      <c r="AB40" s="113">
        <v>72948.27</v>
      </c>
      <c r="AC40" s="113">
        <v>61776.62</v>
      </c>
      <c r="AD40" s="113">
        <v>64103.85</v>
      </c>
      <c r="AE40" s="113">
        <v>60143.89</v>
      </c>
      <c r="AF40" s="113">
        <v>74159.600000000006</v>
      </c>
      <c r="AG40" s="113">
        <v>87810.26</v>
      </c>
      <c r="AH40" s="113">
        <v>114154.28</v>
      </c>
      <c r="AI40" s="113">
        <v>132289.1</v>
      </c>
      <c r="AJ40" s="113">
        <v>91271.45</v>
      </c>
      <c r="AK40" s="113">
        <f t="shared" si="7"/>
        <v>91781.58</v>
      </c>
      <c r="AM40" s="309"/>
    </row>
    <row r="41" spans="1:39" x14ac:dyDescent="0.3">
      <c r="A41" s="109" t="str">
        <f t="shared" si="6"/>
        <v>debit    6666010183  Overtime-Blue Collar-Direct</v>
      </c>
      <c r="B41" s="112" t="s">
        <v>236</v>
      </c>
      <c r="C41" s="113">
        <f>IFERROR(VLOOKUP($A41,MTD!$A$13:$D$1048576,3,0),0)</f>
        <v>23427.23</v>
      </c>
      <c r="D41" s="116">
        <f>IFERROR(VLOOKUP($A41,MTD!$A$13:$D$1048576,4,0),0)</f>
        <v>0</v>
      </c>
      <c r="E41" s="113"/>
      <c r="F41" s="113"/>
      <c r="G41" s="112" t="s">
        <v>236</v>
      </c>
      <c r="H41" s="114">
        <v>0</v>
      </c>
      <c r="I41" s="114">
        <v>0</v>
      </c>
      <c r="J41" s="115">
        <v>0</v>
      </c>
      <c r="K41" s="113">
        <v>0</v>
      </c>
      <c r="P41" s="112" t="s">
        <v>236</v>
      </c>
      <c r="Q41" s="113">
        <f>IFERROR(VLOOKUP($A41,YTD!$A$13:$D$1048576,3,0),0)</f>
        <v>309703.39</v>
      </c>
      <c r="R41" s="116">
        <f>IFERROR(VLOOKUP($A41,YTD!$A$13:$D$1048576,4,0),0)</f>
        <v>0</v>
      </c>
      <c r="S41" s="113"/>
      <c r="T41" s="113"/>
      <c r="U41" s="112" t="s">
        <v>236</v>
      </c>
      <c r="V41" s="114">
        <v>0</v>
      </c>
      <c r="W41" s="114">
        <v>0</v>
      </c>
      <c r="X41" s="115">
        <v>0</v>
      </c>
      <c r="Y41" s="113">
        <v>0</v>
      </c>
      <c r="Z41" s="113">
        <v>20270.259999999998</v>
      </c>
      <c r="AA41" s="113">
        <v>18027.919999999998</v>
      </c>
      <c r="AB41" s="113">
        <v>12109.14</v>
      </c>
      <c r="AC41" s="113">
        <v>10190.629999999999</v>
      </c>
      <c r="AD41" s="113">
        <v>8196.2900000000009</v>
      </c>
      <c r="AE41" s="113">
        <v>2048.11</v>
      </c>
      <c r="AF41" s="113">
        <v>17418.02</v>
      </c>
      <c r="AG41" s="113">
        <v>47122.27</v>
      </c>
      <c r="AH41" s="113">
        <v>24366.75</v>
      </c>
      <c r="AI41" s="113">
        <v>105733.46</v>
      </c>
      <c r="AJ41" s="113">
        <v>20793.310000000001</v>
      </c>
      <c r="AK41" s="113">
        <f t="shared" si="7"/>
        <v>23427.23</v>
      </c>
      <c r="AM41" s="309"/>
    </row>
    <row r="42" spans="1:39" x14ac:dyDescent="0.3">
      <c r="A42" s="109" t="str">
        <f t="shared" si="6"/>
        <v>debit    6666010229  Staff Leaving Indemnity - Blue Collar Di</v>
      </c>
      <c r="B42" s="112" t="s">
        <v>237</v>
      </c>
      <c r="C42" s="113">
        <f>IFERROR(VLOOKUP($A42,MTD!$A$13:$D$1048576,3,0),0)</f>
        <v>25050.12</v>
      </c>
      <c r="D42" s="116">
        <f>IFERROR(VLOOKUP($A42,MTD!$A$13:$D$1048576,4,0),0)</f>
        <v>0</v>
      </c>
      <c r="E42" s="113"/>
      <c r="F42" s="113"/>
      <c r="G42" s="112" t="s">
        <v>237</v>
      </c>
      <c r="H42" s="114">
        <v>0</v>
      </c>
      <c r="I42" s="114">
        <v>0</v>
      </c>
      <c r="J42" s="115">
        <v>0</v>
      </c>
      <c r="K42" s="113">
        <v>0</v>
      </c>
      <c r="P42" s="112" t="s">
        <v>237</v>
      </c>
      <c r="Q42" s="113">
        <f>IFERROR(VLOOKUP($A42,YTD!$A$13:$D$1048576,3,0),0)</f>
        <v>171583.57</v>
      </c>
      <c r="R42" s="116">
        <f>IFERROR(VLOOKUP($A42,YTD!$A$13:$D$1048576,4,0),0)</f>
        <v>0</v>
      </c>
      <c r="S42" s="113"/>
      <c r="T42" s="113"/>
      <c r="U42" s="112" t="s">
        <v>237</v>
      </c>
      <c r="V42" s="114">
        <v>0</v>
      </c>
      <c r="W42" s="114">
        <v>0</v>
      </c>
      <c r="X42" s="115">
        <v>0</v>
      </c>
      <c r="Y42" s="113">
        <v>0</v>
      </c>
      <c r="Z42" s="113">
        <v>85011.21</v>
      </c>
      <c r="AA42" s="113">
        <v>-91594.98</v>
      </c>
      <c r="AB42" s="113">
        <v>13078.36</v>
      </c>
      <c r="AC42" s="113">
        <v>12611.24</v>
      </c>
      <c r="AD42" s="113">
        <v>12682.41</v>
      </c>
      <c r="AE42" s="113">
        <v>2087.5500000000002</v>
      </c>
      <c r="AF42" s="113">
        <v>11601.88</v>
      </c>
      <c r="AG42" s="113">
        <v>26143.040000000001</v>
      </c>
      <c r="AH42" s="113">
        <v>24979.759999999998</v>
      </c>
      <c r="AI42" s="113">
        <v>26808.63</v>
      </c>
      <c r="AJ42" s="113">
        <v>23124.35</v>
      </c>
      <c r="AK42" s="113">
        <f t="shared" si="7"/>
        <v>25050.12</v>
      </c>
      <c r="AM42" s="309"/>
    </row>
    <row r="43" spans="1:39" x14ac:dyDescent="0.3">
      <c r="A43" s="109" t="str">
        <f t="shared" si="6"/>
        <v>debit    6666010188  Salary - Blue collar direct employees</v>
      </c>
      <c r="B43" s="112" t="s">
        <v>238</v>
      </c>
      <c r="C43" s="113">
        <f>IFERROR(VLOOKUP($A43,MTD!$A$13:$D$1048576,3,0),0)</f>
        <v>689710.27</v>
      </c>
      <c r="D43" s="113">
        <f>IFERROR(VLOOKUP($A43,MTD!$A$13:$D$1048576,4,0),0)</f>
        <v>948977.55</v>
      </c>
      <c r="E43" s="113"/>
      <c r="F43" s="113"/>
      <c r="G43" s="112" t="s">
        <v>238</v>
      </c>
      <c r="H43" s="114">
        <v>0</v>
      </c>
      <c r="I43" s="114">
        <v>0</v>
      </c>
      <c r="J43" s="115">
        <v>0</v>
      </c>
      <c r="K43" s="113">
        <v>0</v>
      </c>
      <c r="P43" s="112" t="s">
        <v>238</v>
      </c>
      <c r="Q43" s="113">
        <f>IFERROR(VLOOKUP($A43,YTD!$A$13:$D$1048576,3,0),0)</f>
        <v>5631501.4400000004</v>
      </c>
      <c r="R43" s="113">
        <f>IFERROR(VLOOKUP($A43,YTD!$A$13:$D$1048576,4,0),0)</f>
        <v>6777862.1600000001</v>
      </c>
      <c r="S43" s="113"/>
      <c r="T43" s="113"/>
      <c r="U43" s="112" t="s">
        <v>238</v>
      </c>
      <c r="V43" s="114">
        <v>0</v>
      </c>
      <c r="W43" s="114">
        <v>0</v>
      </c>
      <c r="X43" s="115">
        <v>0</v>
      </c>
      <c r="Y43" s="113">
        <v>0</v>
      </c>
      <c r="Z43" s="113">
        <v>549068.35</v>
      </c>
      <c r="AA43" s="113">
        <v>355640.4</v>
      </c>
      <c r="AB43" s="113">
        <v>422466.81</v>
      </c>
      <c r="AC43" s="113">
        <v>332231.63</v>
      </c>
      <c r="AD43" s="113">
        <v>390059.63</v>
      </c>
      <c r="AE43" s="113">
        <v>256366.13</v>
      </c>
      <c r="AF43" s="113">
        <v>370956.92</v>
      </c>
      <c r="AG43" s="113">
        <v>394241.04</v>
      </c>
      <c r="AH43" s="113">
        <v>629782.85</v>
      </c>
      <c r="AI43" s="113">
        <v>674869.81</v>
      </c>
      <c r="AJ43" s="113">
        <v>566107.6</v>
      </c>
      <c r="AK43" s="113">
        <f t="shared" si="7"/>
        <v>689710.27</v>
      </c>
      <c r="AM43" s="309"/>
    </row>
    <row r="44" spans="1:39" x14ac:dyDescent="0.3">
      <c r="A44" s="109" t="str">
        <f t="shared" si="6"/>
        <v>debit    5102040406  Other revenue-Service/Secondment agreeme</v>
      </c>
      <c r="B44" s="112" t="s">
        <v>239</v>
      </c>
      <c r="C44" s="113">
        <f>IFERROR(VLOOKUP($A44,MTD!$A$13:$D$1048576,3,0),0)</f>
        <v>0</v>
      </c>
      <c r="D44" s="116">
        <f>IFERROR(VLOOKUP($A44,MTD!$A$13:$D$1048576,4,0),0)</f>
        <v>0</v>
      </c>
      <c r="E44" s="113"/>
      <c r="F44" s="113"/>
      <c r="G44" s="112" t="s">
        <v>239</v>
      </c>
      <c r="H44" s="114">
        <v>0</v>
      </c>
      <c r="I44" s="114">
        <v>0</v>
      </c>
      <c r="J44" s="115">
        <v>0</v>
      </c>
      <c r="K44" s="113">
        <v>0</v>
      </c>
      <c r="P44" s="112" t="s">
        <v>239</v>
      </c>
      <c r="Q44" s="113">
        <f>IFERROR(VLOOKUP($A44,YTD!$A$13:$D$1048576,3,0),0)</f>
        <v>101.12</v>
      </c>
      <c r="R44" s="116">
        <f>IFERROR(VLOOKUP($A44,YTD!$A$13:$D$1048576,4,0),0)</f>
        <v>0</v>
      </c>
      <c r="S44" s="113"/>
      <c r="T44" s="113"/>
      <c r="U44" s="112" t="s">
        <v>239</v>
      </c>
      <c r="V44" s="114">
        <v>0</v>
      </c>
      <c r="W44" s="114">
        <v>0</v>
      </c>
      <c r="X44" s="115">
        <v>0</v>
      </c>
      <c r="Y44" s="113">
        <v>0</v>
      </c>
      <c r="Z44" s="113">
        <v>-13.18</v>
      </c>
      <c r="AA44" s="113">
        <v>0</v>
      </c>
      <c r="AB44" s="113">
        <v>0</v>
      </c>
      <c r="AC44" s="113">
        <v>0</v>
      </c>
      <c r="AD44" s="113">
        <v>0</v>
      </c>
      <c r="AE44" s="113">
        <v>0</v>
      </c>
      <c r="AF44" s="113">
        <v>0</v>
      </c>
      <c r="AG44" s="113">
        <v>0</v>
      </c>
      <c r="AH44" s="113">
        <v>0</v>
      </c>
      <c r="AI44" s="113">
        <v>0</v>
      </c>
      <c r="AJ44" s="113">
        <v>114.3</v>
      </c>
      <c r="AK44" s="113">
        <f t="shared" si="7"/>
        <v>0</v>
      </c>
      <c r="AM44" s="309"/>
    </row>
    <row r="45" spans="1:39" x14ac:dyDescent="0.3">
      <c r="A45" s="109" t="str">
        <f t="shared" si="6"/>
        <v>debit    6666010115  Salary-Blue collar direct employees-Accr</v>
      </c>
      <c r="B45" s="112" t="s">
        <v>240</v>
      </c>
      <c r="C45" s="113">
        <f>IFERROR(VLOOKUP($A45,MTD!$A$13:$D$1048576,3,0),0)</f>
        <v>-84906.27</v>
      </c>
      <c r="D45" s="116">
        <f>IFERROR(VLOOKUP($A45,MTD!$A$13:$D$1048576,4,0),0)</f>
        <v>0</v>
      </c>
      <c r="E45" s="113"/>
      <c r="F45" s="113"/>
      <c r="G45" s="112" t="s">
        <v>240</v>
      </c>
      <c r="H45" s="114">
        <v>0</v>
      </c>
      <c r="I45" s="114">
        <v>0</v>
      </c>
      <c r="J45" s="115">
        <v>0</v>
      </c>
      <c r="K45" s="113">
        <v>0</v>
      </c>
      <c r="P45" s="112" t="s">
        <v>240</v>
      </c>
      <c r="Q45" s="113">
        <f>IFERROR(VLOOKUP($A45,YTD!$A$13:$D$1048576,3,0),0)</f>
        <v>-83220.03</v>
      </c>
      <c r="R45" s="116">
        <f>IFERROR(VLOOKUP($A45,YTD!$A$13:$D$1048576,4,0),0)</f>
        <v>0</v>
      </c>
      <c r="S45" s="113"/>
      <c r="T45" s="113"/>
      <c r="U45" s="112" t="s">
        <v>240</v>
      </c>
      <c r="V45" s="114">
        <v>0</v>
      </c>
      <c r="W45" s="114">
        <v>0</v>
      </c>
      <c r="X45" s="115">
        <v>0</v>
      </c>
      <c r="Y45" s="113">
        <v>0</v>
      </c>
      <c r="Z45" s="113">
        <v>-152.66</v>
      </c>
      <c r="AA45" s="113">
        <v>-11.28</v>
      </c>
      <c r="AB45" s="113">
        <v>2123.36</v>
      </c>
      <c r="AC45" s="113">
        <v>-84.44</v>
      </c>
      <c r="AD45" s="113">
        <v>-738.7</v>
      </c>
      <c r="AE45" s="113">
        <v>-4.72</v>
      </c>
      <c r="AF45" s="113">
        <v>-507.1</v>
      </c>
      <c r="AG45" s="113">
        <v>1033.07</v>
      </c>
      <c r="AH45" s="113">
        <v>1331.86</v>
      </c>
      <c r="AI45" s="113">
        <v>1042.6400000000001</v>
      </c>
      <c r="AJ45" s="113">
        <v>-2345.79</v>
      </c>
      <c r="AK45" s="113">
        <f t="shared" si="7"/>
        <v>-84906.27</v>
      </c>
      <c r="AM45" s="309"/>
    </row>
    <row r="46" spans="1:39" x14ac:dyDescent="0.3">
      <c r="A46" s="109" t="str">
        <f t="shared" si="6"/>
        <v>debit*   CS_Direct Labour</v>
      </c>
      <c r="B46" s="117" t="s">
        <v>208</v>
      </c>
      <c r="C46" s="118">
        <f>IFERROR(VLOOKUP($A46,MTD!$A$13:$D$1048576,3,0),0)</f>
        <v>763430.74</v>
      </c>
      <c r="D46" s="118">
        <f>IFERROR(VLOOKUP($A46,MTD!$A$13:$D$1048576,4,0),0)</f>
        <v>948977.55</v>
      </c>
      <c r="E46" s="118"/>
      <c r="F46" s="118"/>
      <c r="G46" s="117" t="s">
        <v>208</v>
      </c>
      <c r="H46" s="119">
        <v>0</v>
      </c>
      <c r="I46" s="119">
        <v>0</v>
      </c>
      <c r="J46" s="120">
        <v>0</v>
      </c>
      <c r="K46" s="118">
        <v>0</v>
      </c>
      <c r="P46" s="117" t="s">
        <v>208</v>
      </c>
      <c r="Q46" s="118">
        <f>IFERROR(VLOOKUP($A46,YTD!$A$13:$D$1048576,3,0),0)</f>
        <v>7167693.1299999999</v>
      </c>
      <c r="R46" s="118">
        <f>IFERROR(VLOOKUP($A46,YTD!$A$13:$D$1048576,4,0),0)</f>
        <v>6777862.1600000001</v>
      </c>
      <c r="S46" s="118"/>
      <c r="T46" s="118"/>
      <c r="U46" s="117" t="s">
        <v>208</v>
      </c>
      <c r="V46" s="119">
        <v>0</v>
      </c>
      <c r="W46" s="119">
        <v>0</v>
      </c>
      <c r="X46" s="120">
        <v>0</v>
      </c>
      <c r="Y46" s="118">
        <v>0</v>
      </c>
      <c r="Z46" s="118">
        <v>751942.14</v>
      </c>
      <c r="AA46" s="118">
        <v>350982.51</v>
      </c>
      <c r="AB46" s="118">
        <v>529814.36</v>
      </c>
      <c r="AC46" s="118">
        <v>422695.15</v>
      </c>
      <c r="AD46" s="118">
        <v>481373</v>
      </c>
      <c r="AE46" s="118">
        <v>326641.53000000003</v>
      </c>
      <c r="AF46" s="118">
        <v>481125.28</v>
      </c>
      <c r="AG46" s="118">
        <v>563864.48</v>
      </c>
      <c r="AH46" s="118">
        <v>813885.55</v>
      </c>
      <c r="AI46" s="118">
        <v>963394.87</v>
      </c>
      <c r="AJ46" s="118">
        <v>718543.52</v>
      </c>
      <c r="AK46" s="118">
        <f t="shared" si="7"/>
        <v>763430.74</v>
      </c>
      <c r="AM46" s="309"/>
    </row>
    <row r="47" spans="1:39" x14ac:dyDescent="0.3">
      <c r="A47" s="109" t="str">
        <f t="shared" si="6"/>
        <v>debit    8701530201  Scrap-Raw&amp;#160;Material - Managerial</v>
      </c>
      <c r="B47" s="112" t="s">
        <v>241</v>
      </c>
      <c r="C47" s="116">
        <f>IFERROR(VLOOKUP($A47,MTD!$A$13:$D$1048576,3,0),0)</f>
        <v>0</v>
      </c>
      <c r="D47" s="113">
        <f>IFERROR(VLOOKUP($A47,MTD!$A$13:$D$1048576,4,0),0)</f>
        <v>77644.7</v>
      </c>
      <c r="E47" s="113"/>
      <c r="F47" s="113"/>
      <c r="G47" s="112" t="s">
        <v>241</v>
      </c>
      <c r="H47" s="114">
        <v>0</v>
      </c>
      <c r="I47" s="114">
        <v>0</v>
      </c>
      <c r="J47" s="115">
        <v>0</v>
      </c>
      <c r="K47" s="113">
        <v>0</v>
      </c>
      <c r="P47" s="112" t="s">
        <v>241</v>
      </c>
      <c r="Q47" s="116">
        <f>IFERROR(VLOOKUP($A47,YTD!$A$13:$D$1048576,3,0),0)</f>
        <v>0</v>
      </c>
      <c r="R47" s="113">
        <f>IFERROR(VLOOKUP($A47,YTD!$A$13:$D$1048576,4,0),0)</f>
        <v>622923.69999999995</v>
      </c>
      <c r="S47" s="113"/>
      <c r="T47" s="113"/>
      <c r="U47" s="112" t="s">
        <v>241</v>
      </c>
      <c r="V47" s="114">
        <v>0</v>
      </c>
      <c r="W47" s="114">
        <v>0</v>
      </c>
      <c r="X47" s="115">
        <v>0</v>
      </c>
      <c r="Y47" s="113">
        <v>0</v>
      </c>
      <c r="Z47" s="113">
        <v>0</v>
      </c>
      <c r="AA47" s="113">
        <v>0</v>
      </c>
      <c r="AB47" s="113">
        <v>0</v>
      </c>
      <c r="AC47" s="113">
        <v>0</v>
      </c>
      <c r="AD47" s="113">
        <v>0</v>
      </c>
      <c r="AE47" s="113">
        <v>0</v>
      </c>
      <c r="AF47" s="113">
        <v>0</v>
      </c>
      <c r="AG47" s="113">
        <v>0</v>
      </c>
      <c r="AH47" s="113">
        <v>0</v>
      </c>
      <c r="AI47" s="113">
        <v>0</v>
      </c>
      <c r="AJ47" s="113">
        <v>0</v>
      </c>
      <c r="AK47" s="113">
        <f t="shared" si="7"/>
        <v>0</v>
      </c>
      <c r="AM47" s="309"/>
    </row>
    <row r="48" spans="1:39" x14ac:dyDescent="0.3">
      <c r="A48" s="109" t="str">
        <f t="shared" si="6"/>
        <v>debit    6666050309  SFG scrap</v>
      </c>
      <c r="B48" s="112" t="s">
        <v>242</v>
      </c>
      <c r="C48" s="113">
        <f>IFERROR(VLOOKUP($A48,MTD!$A$13:$D$1048576,3,0),0)</f>
        <v>41331.019999999997</v>
      </c>
      <c r="D48" s="116">
        <f>IFERROR(VLOOKUP($A48,MTD!$A$13:$D$1048576,4,0),0)</f>
        <v>0</v>
      </c>
      <c r="E48" s="113"/>
      <c r="F48" s="113"/>
      <c r="G48" s="112" t="s">
        <v>242</v>
      </c>
      <c r="H48" s="114">
        <v>0</v>
      </c>
      <c r="I48" s="114">
        <v>0</v>
      </c>
      <c r="J48" s="115">
        <v>0</v>
      </c>
      <c r="K48" s="113">
        <v>0</v>
      </c>
      <c r="P48" s="112" t="s">
        <v>242</v>
      </c>
      <c r="Q48" s="113">
        <f>IFERROR(VLOOKUP($A48,YTD!$A$13:$D$1048576,3,0),0)</f>
        <v>532426.13</v>
      </c>
      <c r="R48" s="116">
        <f>IFERROR(VLOOKUP($A48,YTD!$A$13:$D$1048576,4,0),0)</f>
        <v>0</v>
      </c>
      <c r="S48" s="113"/>
      <c r="T48" s="113"/>
      <c r="U48" s="112" t="s">
        <v>242</v>
      </c>
      <c r="V48" s="114">
        <v>0</v>
      </c>
      <c r="W48" s="114">
        <v>0</v>
      </c>
      <c r="X48" s="115">
        <v>0</v>
      </c>
      <c r="Y48" s="113">
        <v>0</v>
      </c>
      <c r="Z48" s="113">
        <v>41636.550000000003</v>
      </c>
      <c r="AA48" s="113">
        <v>24370.5</v>
      </c>
      <c r="AB48" s="113">
        <v>26387.09</v>
      </c>
      <c r="AC48" s="113">
        <v>45675.42</v>
      </c>
      <c r="AD48" s="113">
        <v>36506.300000000003</v>
      </c>
      <c r="AE48" s="113">
        <v>69804.160000000003</v>
      </c>
      <c r="AF48" s="113">
        <v>37274.699999999997</v>
      </c>
      <c r="AG48" s="113">
        <v>31057.52</v>
      </c>
      <c r="AH48" s="113">
        <v>35029.129999999997</v>
      </c>
      <c r="AI48" s="113">
        <v>63117.53</v>
      </c>
      <c r="AJ48" s="113">
        <v>80236.210000000006</v>
      </c>
      <c r="AK48" s="113">
        <f t="shared" si="7"/>
        <v>41331.019999999997</v>
      </c>
      <c r="AM48" s="309"/>
    </row>
    <row r="49" spans="1:39" x14ac:dyDescent="0.3">
      <c r="A49" s="109" t="str">
        <f t="shared" si="6"/>
        <v>debit    6666050308  Raw material scrap</v>
      </c>
      <c r="B49" s="112" t="s">
        <v>243</v>
      </c>
      <c r="C49" s="113">
        <f>IFERROR(VLOOKUP($A49,MTD!$A$13:$D$1048576,3,0),0)</f>
        <v>11211.37</v>
      </c>
      <c r="D49" s="116">
        <f>IFERROR(VLOOKUP($A49,MTD!$A$13:$D$1048576,4,0),0)</f>
        <v>0</v>
      </c>
      <c r="E49" s="113"/>
      <c r="F49" s="113"/>
      <c r="G49" s="112" t="s">
        <v>243</v>
      </c>
      <c r="H49" s="114">
        <v>0</v>
      </c>
      <c r="I49" s="114">
        <v>0</v>
      </c>
      <c r="J49" s="115">
        <v>0</v>
      </c>
      <c r="K49" s="113">
        <v>0</v>
      </c>
      <c r="P49" s="112" t="s">
        <v>243</v>
      </c>
      <c r="Q49" s="113">
        <f>IFERROR(VLOOKUP($A49,YTD!$A$13:$D$1048576,3,0),0)</f>
        <v>139157.59</v>
      </c>
      <c r="R49" s="116">
        <f>IFERROR(VLOOKUP($A49,YTD!$A$13:$D$1048576,4,0),0)</f>
        <v>0</v>
      </c>
      <c r="S49" s="113"/>
      <c r="T49" s="113"/>
      <c r="U49" s="112" t="s">
        <v>243</v>
      </c>
      <c r="V49" s="114">
        <v>0</v>
      </c>
      <c r="W49" s="114">
        <v>0</v>
      </c>
      <c r="X49" s="115">
        <v>0</v>
      </c>
      <c r="Y49" s="113">
        <v>0</v>
      </c>
      <c r="Z49" s="113">
        <v>22722.45</v>
      </c>
      <c r="AA49" s="113">
        <v>13795.8</v>
      </c>
      <c r="AB49" s="113">
        <v>12990.08</v>
      </c>
      <c r="AC49" s="113">
        <v>9191.56</v>
      </c>
      <c r="AD49" s="113">
        <v>3847.13</v>
      </c>
      <c r="AE49" s="113">
        <v>-62100.87</v>
      </c>
      <c r="AF49" s="113">
        <v>22986.1</v>
      </c>
      <c r="AG49" s="113">
        <v>24776.58</v>
      </c>
      <c r="AH49" s="113">
        <v>14848.87</v>
      </c>
      <c r="AI49" s="113">
        <v>56697.1</v>
      </c>
      <c r="AJ49" s="113">
        <v>8191.42</v>
      </c>
      <c r="AK49" s="113">
        <f t="shared" si="7"/>
        <v>11211.37</v>
      </c>
      <c r="AM49" s="309"/>
    </row>
    <row r="50" spans="1:39" x14ac:dyDescent="0.3">
      <c r="A50" s="109" t="str">
        <f t="shared" si="6"/>
        <v>debit    6666050306  Finished goods scrap</v>
      </c>
      <c r="B50" s="112" t="s">
        <v>244</v>
      </c>
      <c r="C50" s="113">
        <f>IFERROR(VLOOKUP($A50,MTD!$A$13:$D$1048576,3,0),0)</f>
        <v>-166</v>
      </c>
      <c r="D50" s="116">
        <f>IFERROR(VLOOKUP($A50,MTD!$A$13:$D$1048576,4,0),0)</f>
        <v>0</v>
      </c>
      <c r="E50" s="113"/>
      <c r="F50" s="113"/>
      <c r="G50" s="112" t="s">
        <v>244</v>
      </c>
      <c r="H50" s="114">
        <v>0</v>
      </c>
      <c r="I50" s="114">
        <v>0</v>
      </c>
      <c r="J50" s="115">
        <v>0</v>
      </c>
      <c r="K50" s="113">
        <v>0</v>
      </c>
      <c r="P50" s="112" t="s">
        <v>244</v>
      </c>
      <c r="Q50" s="113">
        <f>IFERROR(VLOOKUP($A50,YTD!$A$13:$D$1048576,3,0),0)</f>
        <v>1542.01</v>
      </c>
      <c r="R50" s="116">
        <f>IFERROR(VLOOKUP($A50,YTD!$A$13:$D$1048576,4,0),0)</f>
        <v>0</v>
      </c>
      <c r="S50" s="113"/>
      <c r="T50" s="113"/>
      <c r="U50" s="112" t="s">
        <v>244</v>
      </c>
      <c r="V50" s="114">
        <v>0</v>
      </c>
      <c r="W50" s="114">
        <v>0</v>
      </c>
      <c r="X50" s="115">
        <v>0</v>
      </c>
      <c r="Y50" s="113">
        <v>0</v>
      </c>
      <c r="Z50" s="113">
        <v>1822.12</v>
      </c>
      <c r="AA50" s="113">
        <v>1349.76</v>
      </c>
      <c r="AB50" s="113">
        <v>0</v>
      </c>
      <c r="AC50" s="113">
        <v>0</v>
      </c>
      <c r="AD50" s="113">
        <v>-2333.4299999999998</v>
      </c>
      <c r="AE50" s="113">
        <v>0</v>
      </c>
      <c r="AF50" s="113">
        <v>0</v>
      </c>
      <c r="AG50" s="113">
        <v>648.64</v>
      </c>
      <c r="AH50" s="113">
        <v>368</v>
      </c>
      <c r="AI50" s="113">
        <v>-147.08000000000001</v>
      </c>
      <c r="AJ50" s="113">
        <v>0</v>
      </c>
      <c r="AK50" s="113">
        <f t="shared" si="7"/>
        <v>-166</v>
      </c>
      <c r="AM50" s="309"/>
    </row>
    <row r="51" spans="1:39" x14ac:dyDescent="0.3">
      <c r="A51" s="109" t="str">
        <f t="shared" si="6"/>
        <v>debit*   CS_SCRAP_VARIABLE</v>
      </c>
      <c r="B51" s="117" t="s">
        <v>209</v>
      </c>
      <c r="C51" s="118">
        <f>IFERROR(VLOOKUP($A51,MTD!$A$13:$D$1048576,3,0),0)</f>
        <v>52376.39</v>
      </c>
      <c r="D51" s="118">
        <f>IFERROR(VLOOKUP($A51,MTD!$A$13:$D$1048576,4,0),0)</f>
        <v>77644.7</v>
      </c>
      <c r="E51" s="118"/>
      <c r="F51" s="118"/>
      <c r="G51" s="117" t="s">
        <v>209</v>
      </c>
      <c r="H51" s="119">
        <v>0</v>
      </c>
      <c r="I51" s="119">
        <v>0</v>
      </c>
      <c r="J51" s="120">
        <v>0</v>
      </c>
      <c r="K51" s="118">
        <v>0</v>
      </c>
      <c r="P51" s="117" t="s">
        <v>209</v>
      </c>
      <c r="Q51" s="118">
        <f>IFERROR(VLOOKUP($A51,YTD!$A$13:$D$1048576,3,0),0)</f>
        <v>673125.73</v>
      </c>
      <c r="R51" s="118">
        <f>IFERROR(VLOOKUP($A51,YTD!$A$13:$D$1048576,4,0),0)</f>
        <v>622923.69999999995</v>
      </c>
      <c r="S51" s="118"/>
      <c r="T51" s="118"/>
      <c r="U51" s="117" t="s">
        <v>209</v>
      </c>
      <c r="V51" s="119">
        <v>0</v>
      </c>
      <c r="W51" s="119">
        <v>0</v>
      </c>
      <c r="X51" s="120">
        <v>0</v>
      </c>
      <c r="Y51" s="118">
        <v>0</v>
      </c>
      <c r="Z51" s="118">
        <v>66181.119999999995</v>
      </c>
      <c r="AA51" s="118">
        <v>39516.06</v>
      </c>
      <c r="AB51" s="118">
        <v>39377.17</v>
      </c>
      <c r="AC51" s="118">
        <v>54866.98</v>
      </c>
      <c r="AD51" s="118">
        <v>38020</v>
      </c>
      <c r="AE51" s="118">
        <v>7703.29</v>
      </c>
      <c r="AF51" s="118">
        <v>60260.800000000003</v>
      </c>
      <c r="AG51" s="118">
        <v>56482.74</v>
      </c>
      <c r="AH51" s="118">
        <v>50246</v>
      </c>
      <c r="AI51" s="118">
        <v>119667.55</v>
      </c>
      <c r="AJ51" s="118">
        <v>88427.63</v>
      </c>
      <c r="AK51" s="118">
        <f t="shared" si="7"/>
        <v>52376.39</v>
      </c>
      <c r="AM51" s="309"/>
    </row>
    <row r="52" spans="1:39" x14ac:dyDescent="0.3">
      <c r="A52" s="109" t="str">
        <f t="shared" si="6"/>
        <v>debit    5207000021  Gain of intangible asset disposal</v>
      </c>
      <c r="B52" s="112" t="s">
        <v>245</v>
      </c>
      <c r="C52" s="116">
        <f>IFERROR(VLOOKUP($A52,MTD!$A$13:$D$1048576,3,0),0)</f>
        <v>0</v>
      </c>
      <c r="D52" s="116">
        <f>IFERROR(VLOOKUP($A52,MTD!$A$13:$D$1048576,4,0),0)</f>
        <v>0</v>
      </c>
      <c r="E52" s="113"/>
      <c r="F52" s="113"/>
      <c r="G52" s="112" t="s">
        <v>245</v>
      </c>
      <c r="H52" s="114">
        <v>0</v>
      </c>
      <c r="I52" s="114">
        <v>0</v>
      </c>
      <c r="J52" s="115">
        <v>0</v>
      </c>
      <c r="K52" s="113">
        <v>0</v>
      </c>
      <c r="P52" s="112" t="s">
        <v>245</v>
      </c>
      <c r="Q52" s="116">
        <f>IFERROR(VLOOKUP($A52,YTD!$A$13:$D$1048576,3,0),0)</f>
        <v>0</v>
      </c>
      <c r="R52" s="116">
        <f>IFERROR(VLOOKUP($A52,YTD!$A$13:$D$1048576,4,0),0)</f>
        <v>0</v>
      </c>
      <c r="S52" s="113"/>
      <c r="T52" s="113"/>
      <c r="U52" s="112" t="s">
        <v>245</v>
      </c>
      <c r="V52" s="114">
        <v>0</v>
      </c>
      <c r="W52" s="114">
        <v>0</v>
      </c>
      <c r="X52" s="115">
        <v>0</v>
      </c>
      <c r="Y52" s="113">
        <v>0</v>
      </c>
      <c r="Z52" s="113">
        <v>0</v>
      </c>
      <c r="AA52" s="113">
        <v>0</v>
      </c>
      <c r="AB52" s="113">
        <v>0</v>
      </c>
      <c r="AC52" s="113">
        <v>0</v>
      </c>
      <c r="AD52" s="113">
        <v>0</v>
      </c>
      <c r="AE52" s="113">
        <v>0</v>
      </c>
      <c r="AF52" s="113">
        <v>0</v>
      </c>
      <c r="AG52" s="113">
        <v>0</v>
      </c>
      <c r="AH52" s="113">
        <v>0</v>
      </c>
      <c r="AI52" s="113">
        <v>0</v>
      </c>
      <c r="AJ52" s="113">
        <v>0</v>
      </c>
      <c r="AK52" s="113">
        <f t="shared" si="7"/>
        <v>0</v>
      </c>
      <c r="AM52" s="309"/>
    </row>
    <row r="53" spans="1:39" x14ac:dyDescent="0.3">
      <c r="A53" s="109" t="str">
        <f t="shared" si="6"/>
        <v>debit    6666029996  Non-deductible expense-travel.</v>
      </c>
      <c r="B53" s="112" t="s">
        <v>246</v>
      </c>
      <c r="C53" s="113">
        <f>IFERROR(VLOOKUP($A53,MTD!$A$13:$D$1048576,3,0),0)</f>
        <v>349.22</v>
      </c>
      <c r="D53" s="116">
        <f>IFERROR(VLOOKUP($A53,MTD!$A$13:$D$1048576,4,0),0)</f>
        <v>0</v>
      </c>
      <c r="E53" s="113"/>
      <c r="F53" s="113"/>
      <c r="G53" s="112" t="s">
        <v>246</v>
      </c>
      <c r="H53" s="114">
        <v>0</v>
      </c>
      <c r="I53" s="114">
        <v>0</v>
      </c>
      <c r="J53" s="115">
        <v>0</v>
      </c>
      <c r="K53" s="113">
        <v>0</v>
      </c>
      <c r="P53" s="112" t="s">
        <v>246</v>
      </c>
      <c r="Q53" s="113">
        <f>IFERROR(VLOOKUP($A53,YTD!$A$13:$D$1048576,3,0),0)</f>
        <v>382.95</v>
      </c>
      <c r="R53" s="116">
        <f>IFERROR(VLOOKUP($A53,YTD!$A$13:$D$1048576,4,0),0)</f>
        <v>0</v>
      </c>
      <c r="S53" s="113"/>
      <c r="T53" s="113"/>
      <c r="U53" s="112" t="s">
        <v>246</v>
      </c>
      <c r="V53" s="114">
        <v>0</v>
      </c>
      <c r="W53" s="114">
        <v>0</v>
      </c>
      <c r="X53" s="115">
        <v>0</v>
      </c>
      <c r="Y53" s="113">
        <v>0</v>
      </c>
      <c r="Z53" s="113">
        <v>0</v>
      </c>
      <c r="AA53" s="113">
        <v>0</v>
      </c>
      <c r="AB53" s="113">
        <v>0</v>
      </c>
      <c r="AC53" s="113">
        <v>0</v>
      </c>
      <c r="AD53" s="113">
        <v>0</v>
      </c>
      <c r="AE53" s="113">
        <v>0</v>
      </c>
      <c r="AF53" s="113">
        <v>0</v>
      </c>
      <c r="AG53" s="113">
        <v>0</v>
      </c>
      <c r="AH53" s="113">
        <v>0</v>
      </c>
      <c r="AI53" s="113">
        <v>33.729999999999997</v>
      </c>
      <c r="AJ53" s="113">
        <v>0</v>
      </c>
      <c r="AK53" s="113">
        <f t="shared" si="7"/>
        <v>349.22</v>
      </c>
      <c r="AM53" s="309"/>
    </row>
    <row r="54" spans="1:39" x14ac:dyDescent="0.3">
      <c r="A54" s="109" t="str">
        <f t="shared" si="6"/>
        <v>debit    6666029700  Service fee recharge</v>
      </c>
      <c r="B54" s="112" t="s">
        <v>247</v>
      </c>
      <c r="C54" s="116">
        <f>IFERROR(VLOOKUP($A54,MTD!$A$13:$D$1048576,3,0),0)</f>
        <v>0</v>
      </c>
      <c r="D54" s="116">
        <f>IFERROR(VLOOKUP($A54,MTD!$A$13:$D$1048576,4,0),0)</f>
        <v>0</v>
      </c>
      <c r="E54" s="113"/>
      <c r="F54" s="113"/>
      <c r="G54" s="112" t="s">
        <v>247</v>
      </c>
      <c r="H54" s="114">
        <v>0</v>
      </c>
      <c r="I54" s="114">
        <v>0</v>
      </c>
      <c r="J54" s="115">
        <v>0</v>
      </c>
      <c r="K54" s="113">
        <v>0</v>
      </c>
      <c r="P54" s="112" t="s">
        <v>247</v>
      </c>
      <c r="Q54" s="116">
        <f>IFERROR(VLOOKUP($A54,YTD!$A$13:$D$1048576,3,0),0)</f>
        <v>0</v>
      </c>
      <c r="R54" s="116">
        <f>IFERROR(VLOOKUP($A54,YTD!$A$13:$D$1048576,4,0),0)</f>
        <v>0</v>
      </c>
      <c r="S54" s="113"/>
      <c r="T54" s="113"/>
      <c r="U54" s="112" t="s">
        <v>247</v>
      </c>
      <c r="V54" s="114">
        <v>0</v>
      </c>
      <c r="W54" s="114">
        <v>0</v>
      </c>
      <c r="X54" s="115">
        <v>0</v>
      </c>
      <c r="Y54" s="113">
        <v>0</v>
      </c>
      <c r="Z54" s="113">
        <v>0</v>
      </c>
      <c r="AA54" s="113">
        <v>0</v>
      </c>
      <c r="AB54" s="113">
        <v>0</v>
      </c>
      <c r="AC54" s="113">
        <v>0</v>
      </c>
      <c r="AD54" s="113">
        <v>0</v>
      </c>
      <c r="AE54" s="113">
        <v>0</v>
      </c>
      <c r="AF54" s="113">
        <v>0</v>
      </c>
      <c r="AG54" s="113">
        <v>0</v>
      </c>
      <c r="AH54" s="113">
        <v>0</v>
      </c>
      <c r="AI54" s="113">
        <v>0</v>
      </c>
      <c r="AJ54" s="113">
        <v>0</v>
      </c>
      <c r="AK54" s="113">
        <f t="shared" si="7"/>
        <v>0</v>
      </c>
      <c r="AM54" s="309"/>
    </row>
    <row r="55" spans="1:39" x14ac:dyDescent="0.3">
      <c r="A55" s="109" t="str">
        <f t="shared" si="6"/>
        <v>debit    6666010322  fuel allowance</v>
      </c>
      <c r="B55" s="112" t="s">
        <v>248</v>
      </c>
      <c r="C55" s="113">
        <f>IFERROR(VLOOKUP($A55,MTD!$A$13:$D$1048576,3,0),0)</f>
        <v>-9806.92</v>
      </c>
      <c r="D55" s="116">
        <f>IFERROR(VLOOKUP($A55,MTD!$A$13:$D$1048576,4,0),0)</f>
        <v>0</v>
      </c>
      <c r="E55" s="113"/>
      <c r="F55" s="113"/>
      <c r="G55" s="112" t="s">
        <v>248</v>
      </c>
      <c r="H55" s="114">
        <v>0</v>
      </c>
      <c r="I55" s="114">
        <v>0</v>
      </c>
      <c r="J55" s="115">
        <v>0</v>
      </c>
      <c r="K55" s="113">
        <v>0</v>
      </c>
      <c r="P55" s="112" t="s">
        <v>248</v>
      </c>
      <c r="Q55" s="113">
        <f>IFERROR(VLOOKUP($A55,YTD!$A$13:$D$1048576,3,0),0)</f>
        <v>37421.58</v>
      </c>
      <c r="R55" s="116">
        <f>IFERROR(VLOOKUP($A55,YTD!$A$13:$D$1048576,4,0),0)</f>
        <v>0</v>
      </c>
      <c r="S55" s="113"/>
      <c r="T55" s="113"/>
      <c r="U55" s="112" t="s">
        <v>248</v>
      </c>
      <c r="V55" s="114">
        <v>0</v>
      </c>
      <c r="W55" s="114">
        <v>0</v>
      </c>
      <c r="X55" s="115">
        <v>0</v>
      </c>
      <c r="Y55" s="113">
        <v>0</v>
      </c>
      <c r="Z55" s="113">
        <v>5949.2</v>
      </c>
      <c r="AA55" s="113">
        <v>2577.9699999999998</v>
      </c>
      <c r="AB55" s="113">
        <v>4854.13</v>
      </c>
      <c r="AC55" s="113">
        <v>5419.35</v>
      </c>
      <c r="AD55" s="113">
        <v>5624.45</v>
      </c>
      <c r="AE55" s="113">
        <v>4622.1400000000003</v>
      </c>
      <c r="AF55" s="113">
        <v>4337.4399999999996</v>
      </c>
      <c r="AG55" s="113">
        <v>3189.98</v>
      </c>
      <c r="AH55" s="113">
        <v>3273.85</v>
      </c>
      <c r="AI55" s="113">
        <v>3759.68</v>
      </c>
      <c r="AJ55" s="113">
        <v>3620.31</v>
      </c>
      <c r="AK55" s="113">
        <f t="shared" si="7"/>
        <v>-9806.92</v>
      </c>
      <c r="AM55" s="309"/>
    </row>
    <row r="56" spans="1:39" x14ac:dyDescent="0.3">
      <c r="A56" s="109" t="str">
        <f t="shared" si="6"/>
        <v>debit    6666020495  Non-deductible expense-travel.</v>
      </c>
      <c r="B56" s="112" t="s">
        <v>249</v>
      </c>
      <c r="C56" s="113">
        <f>IFERROR(VLOOKUP($A56,MTD!$A$13:$D$1048576,3,0),0)</f>
        <v>1889.39</v>
      </c>
      <c r="D56" s="116">
        <f>IFERROR(VLOOKUP($A56,MTD!$A$13:$D$1048576,4,0),0)</f>
        <v>0</v>
      </c>
      <c r="E56" s="113"/>
      <c r="F56" s="113"/>
      <c r="G56" s="112" t="s">
        <v>249</v>
      </c>
      <c r="H56" s="114">
        <v>0</v>
      </c>
      <c r="I56" s="114">
        <v>0</v>
      </c>
      <c r="J56" s="115">
        <v>0</v>
      </c>
      <c r="K56" s="113">
        <v>0</v>
      </c>
      <c r="P56" s="112" t="s">
        <v>249</v>
      </c>
      <c r="Q56" s="113">
        <f>IFERROR(VLOOKUP($A56,YTD!$A$13:$D$1048576,3,0),0)</f>
        <v>11023.7</v>
      </c>
      <c r="R56" s="116">
        <f>IFERROR(VLOOKUP($A56,YTD!$A$13:$D$1048576,4,0),0)</f>
        <v>0</v>
      </c>
      <c r="S56" s="113"/>
      <c r="T56" s="113"/>
      <c r="U56" s="112" t="s">
        <v>249</v>
      </c>
      <c r="V56" s="114">
        <v>0</v>
      </c>
      <c r="W56" s="114">
        <v>0</v>
      </c>
      <c r="X56" s="115">
        <v>0</v>
      </c>
      <c r="Y56" s="113">
        <v>0</v>
      </c>
      <c r="Z56" s="113">
        <v>61.45</v>
      </c>
      <c r="AA56" s="113">
        <v>278.83999999999997</v>
      </c>
      <c r="AB56" s="113">
        <v>779.42</v>
      </c>
      <c r="AC56" s="113">
        <v>961.67</v>
      </c>
      <c r="AD56" s="113">
        <v>372.4</v>
      </c>
      <c r="AE56" s="113">
        <v>372.43</v>
      </c>
      <c r="AF56" s="113">
        <v>348.28</v>
      </c>
      <c r="AG56" s="113">
        <v>831.88</v>
      </c>
      <c r="AH56" s="113">
        <v>399.38</v>
      </c>
      <c r="AI56" s="113">
        <v>10.97</v>
      </c>
      <c r="AJ56" s="113">
        <v>4717.59</v>
      </c>
      <c r="AK56" s="113">
        <f t="shared" si="7"/>
        <v>1889.39</v>
      </c>
      <c r="AM56" s="309"/>
    </row>
    <row r="57" spans="1:39" x14ac:dyDescent="0.3">
      <c r="A57" s="109" t="str">
        <f t="shared" si="6"/>
        <v>debit    5102010151  Other Rev.-Interco-Epidemic problem comp</v>
      </c>
      <c r="B57" s="112" t="s">
        <v>250</v>
      </c>
      <c r="C57" s="113">
        <f>IFERROR(VLOOKUP($A57,MTD!$A$13:$D$1048576,3,0),0)</f>
        <v>1518.42</v>
      </c>
      <c r="D57" s="116">
        <f>IFERROR(VLOOKUP($A57,MTD!$A$13:$D$1048576,4,0),0)</f>
        <v>0</v>
      </c>
      <c r="E57" s="113"/>
      <c r="F57" s="113"/>
      <c r="G57" s="112" t="s">
        <v>250</v>
      </c>
      <c r="H57" s="114">
        <v>0</v>
      </c>
      <c r="I57" s="114">
        <v>0</v>
      </c>
      <c r="J57" s="115">
        <v>0</v>
      </c>
      <c r="K57" s="113">
        <v>0</v>
      </c>
      <c r="P57" s="112" t="s">
        <v>250</v>
      </c>
      <c r="Q57" s="113">
        <f>IFERROR(VLOOKUP($A57,YTD!$A$13:$D$1048576,3,0),0)</f>
        <v>-1137.56</v>
      </c>
      <c r="R57" s="116">
        <f>IFERROR(VLOOKUP($A57,YTD!$A$13:$D$1048576,4,0),0)</f>
        <v>0</v>
      </c>
      <c r="S57" s="113"/>
      <c r="T57" s="113"/>
      <c r="U57" s="112" t="s">
        <v>250</v>
      </c>
      <c r="V57" s="114">
        <v>0</v>
      </c>
      <c r="W57" s="114">
        <v>0</v>
      </c>
      <c r="X57" s="115">
        <v>0</v>
      </c>
      <c r="Y57" s="113">
        <v>0</v>
      </c>
      <c r="Z57" s="113">
        <v>0</v>
      </c>
      <c r="AA57" s="113">
        <v>0</v>
      </c>
      <c r="AB57" s="113">
        <v>0</v>
      </c>
      <c r="AC57" s="113">
        <v>0</v>
      </c>
      <c r="AD57" s="113">
        <v>-2655.98</v>
      </c>
      <c r="AE57" s="113">
        <v>0</v>
      </c>
      <c r="AF57" s="113">
        <v>0</v>
      </c>
      <c r="AG57" s="113">
        <v>0</v>
      </c>
      <c r="AH57" s="113">
        <v>0</v>
      </c>
      <c r="AI57" s="113">
        <v>0</v>
      </c>
      <c r="AJ57" s="113">
        <v>0</v>
      </c>
      <c r="AK57" s="113">
        <f t="shared" si="7"/>
        <v>1518.42</v>
      </c>
      <c r="AM57" s="309"/>
    </row>
    <row r="58" spans="1:39" x14ac:dyDescent="0.3">
      <c r="A58" s="109" t="str">
        <f t="shared" si="6"/>
        <v>debit    5001010200  Cost of Manufacture - Raw Material</v>
      </c>
      <c r="B58" s="112" t="s">
        <v>251</v>
      </c>
      <c r="C58" s="113">
        <f>IFERROR(VLOOKUP($A58,MTD!$A$13:$D$1048576,3,0),0)</f>
        <v>0</v>
      </c>
      <c r="D58" s="116">
        <f>IFERROR(VLOOKUP($A58,MTD!$A$13:$D$1048576,4,0),0)</f>
        <v>0</v>
      </c>
      <c r="E58" s="113"/>
      <c r="F58" s="113"/>
      <c r="G58" s="112" t="s">
        <v>251</v>
      </c>
      <c r="H58" s="114">
        <v>0</v>
      </c>
      <c r="I58" s="114">
        <v>0</v>
      </c>
      <c r="J58" s="115">
        <v>0</v>
      </c>
      <c r="K58" s="113">
        <v>0</v>
      </c>
      <c r="P58" s="112" t="s">
        <v>251</v>
      </c>
      <c r="Q58" s="113">
        <f>IFERROR(VLOOKUP($A58,YTD!$A$13:$D$1048576,3,0),0)</f>
        <v>525.6</v>
      </c>
      <c r="R58" s="116">
        <f>IFERROR(VLOOKUP($A58,YTD!$A$13:$D$1048576,4,0),0)</f>
        <v>0</v>
      </c>
      <c r="S58" s="113"/>
      <c r="T58" s="113"/>
      <c r="U58" s="112" t="s">
        <v>251</v>
      </c>
      <c r="V58" s="114">
        <v>0</v>
      </c>
      <c r="W58" s="114">
        <v>0</v>
      </c>
      <c r="X58" s="115">
        <v>0</v>
      </c>
      <c r="Y58" s="113">
        <v>0</v>
      </c>
      <c r="Z58" s="113">
        <v>361.9</v>
      </c>
      <c r="AA58" s="113">
        <v>0</v>
      </c>
      <c r="AB58" s="113">
        <v>143.15</v>
      </c>
      <c r="AC58" s="113">
        <v>0</v>
      </c>
      <c r="AD58" s="113">
        <v>5.6</v>
      </c>
      <c r="AE58" s="113">
        <v>0</v>
      </c>
      <c r="AF58" s="113">
        <v>0</v>
      </c>
      <c r="AG58" s="113">
        <v>0</v>
      </c>
      <c r="AH58" s="113">
        <v>0</v>
      </c>
      <c r="AI58" s="113">
        <v>14.95</v>
      </c>
      <c r="AJ58" s="113">
        <v>0</v>
      </c>
      <c r="AK58" s="113">
        <f t="shared" si="7"/>
        <v>0</v>
      </c>
      <c r="AM58" s="309"/>
    </row>
    <row r="59" spans="1:39" x14ac:dyDescent="0.3">
      <c r="A59" s="109" t="str">
        <f t="shared" si="6"/>
        <v>debit    5001010201  Cost of Manufacture - Raw Material-Freig</v>
      </c>
      <c r="B59" s="112" t="s">
        <v>252</v>
      </c>
      <c r="C59" s="113">
        <f>IFERROR(VLOOKUP($A59,MTD!$A$13:$D$1048576,3,0),0)</f>
        <v>0</v>
      </c>
      <c r="D59" s="116">
        <f>IFERROR(VLOOKUP($A59,MTD!$A$13:$D$1048576,4,0),0)</f>
        <v>0</v>
      </c>
      <c r="E59" s="113"/>
      <c r="F59" s="113"/>
      <c r="G59" s="112" t="s">
        <v>252</v>
      </c>
      <c r="H59" s="114">
        <v>0</v>
      </c>
      <c r="I59" s="114">
        <v>0</v>
      </c>
      <c r="J59" s="115">
        <v>0</v>
      </c>
      <c r="K59" s="113">
        <v>0</v>
      </c>
      <c r="P59" s="112" t="s">
        <v>252</v>
      </c>
      <c r="Q59" s="113">
        <f>IFERROR(VLOOKUP($A59,YTD!$A$13:$D$1048576,3,0),0)</f>
        <v>0.85</v>
      </c>
      <c r="R59" s="116">
        <f>IFERROR(VLOOKUP($A59,YTD!$A$13:$D$1048576,4,0),0)</f>
        <v>0</v>
      </c>
      <c r="S59" s="113"/>
      <c r="T59" s="113"/>
      <c r="U59" s="112" t="s">
        <v>252</v>
      </c>
      <c r="V59" s="114">
        <v>0</v>
      </c>
      <c r="W59" s="114">
        <v>0</v>
      </c>
      <c r="X59" s="115">
        <v>0</v>
      </c>
      <c r="Y59" s="113">
        <v>0</v>
      </c>
      <c r="Z59" s="113">
        <v>0.85</v>
      </c>
      <c r="AA59" s="113">
        <v>0</v>
      </c>
      <c r="AB59" s="113">
        <v>0</v>
      </c>
      <c r="AC59" s="113">
        <v>0</v>
      </c>
      <c r="AD59" s="113">
        <v>0</v>
      </c>
      <c r="AE59" s="113">
        <v>0</v>
      </c>
      <c r="AF59" s="113">
        <v>0</v>
      </c>
      <c r="AG59" s="113">
        <v>0</v>
      </c>
      <c r="AH59" s="113">
        <v>0</v>
      </c>
      <c r="AI59" s="113">
        <v>0</v>
      </c>
      <c r="AJ59" s="113">
        <v>0</v>
      </c>
      <c r="AK59" s="113">
        <f t="shared" si="7"/>
        <v>0</v>
      </c>
      <c r="AM59" s="309"/>
    </row>
    <row r="60" spans="1:39" x14ac:dyDescent="0.3">
      <c r="A60" s="109" t="str">
        <f t="shared" si="6"/>
        <v>debit    5102040893  Other revenue-Charge out-Test Expense</v>
      </c>
      <c r="B60" s="112" t="s">
        <v>253</v>
      </c>
      <c r="C60" s="116">
        <f>IFERROR(VLOOKUP($A60,MTD!$A$13:$D$1048576,3,0),0)</f>
        <v>0</v>
      </c>
      <c r="D60" s="116">
        <f>IFERROR(VLOOKUP($A60,MTD!$A$13:$D$1048576,4,0),0)</f>
        <v>0</v>
      </c>
      <c r="E60" s="113"/>
      <c r="F60" s="113"/>
      <c r="G60" s="112" t="s">
        <v>253</v>
      </c>
      <c r="H60" s="114">
        <v>0</v>
      </c>
      <c r="I60" s="114">
        <v>0</v>
      </c>
      <c r="J60" s="115">
        <v>0</v>
      </c>
      <c r="K60" s="113">
        <v>0</v>
      </c>
      <c r="P60" s="112" t="s">
        <v>253</v>
      </c>
      <c r="Q60" s="116">
        <f>IFERROR(VLOOKUP($A60,YTD!$A$13:$D$1048576,3,0),0)</f>
        <v>0</v>
      </c>
      <c r="R60" s="116">
        <f>IFERROR(VLOOKUP($A60,YTD!$A$13:$D$1048576,4,0),0)</f>
        <v>0</v>
      </c>
      <c r="S60" s="113"/>
      <c r="T60" s="113"/>
      <c r="U60" s="112" t="s">
        <v>253</v>
      </c>
      <c r="V60" s="114">
        <v>0</v>
      </c>
      <c r="W60" s="114">
        <v>0</v>
      </c>
      <c r="X60" s="115">
        <v>0</v>
      </c>
      <c r="Y60" s="113">
        <v>0</v>
      </c>
      <c r="Z60" s="113">
        <v>0</v>
      </c>
      <c r="AA60" s="113">
        <v>0</v>
      </c>
      <c r="AB60" s="113">
        <v>0</v>
      </c>
      <c r="AC60" s="113">
        <v>0</v>
      </c>
      <c r="AD60" s="113">
        <v>0</v>
      </c>
      <c r="AE60" s="113">
        <v>0</v>
      </c>
      <c r="AF60" s="113">
        <v>0</v>
      </c>
      <c r="AG60" s="113">
        <v>0</v>
      </c>
      <c r="AH60" s="113">
        <v>0</v>
      </c>
      <c r="AI60" s="113">
        <v>0</v>
      </c>
      <c r="AJ60" s="113">
        <v>0</v>
      </c>
      <c r="AK60" s="113">
        <f t="shared" si="7"/>
        <v>0</v>
      </c>
      <c r="AM60" s="309"/>
    </row>
    <row r="61" spans="1:39" x14ac:dyDescent="0.3">
      <c r="A61" s="109" t="str">
        <f t="shared" si="6"/>
        <v>debit    5207000012  Loss of tangible asset sold</v>
      </c>
      <c r="B61" s="112" t="s">
        <v>254</v>
      </c>
      <c r="C61" s="116">
        <f>IFERROR(VLOOKUP($A61,MTD!$A$13:$D$1048576,3,0),0)</f>
        <v>0</v>
      </c>
      <c r="D61" s="116">
        <f>IFERROR(VLOOKUP($A61,MTD!$A$13:$D$1048576,4,0),0)</f>
        <v>0</v>
      </c>
      <c r="E61" s="113"/>
      <c r="F61" s="113"/>
      <c r="G61" s="112" t="s">
        <v>254</v>
      </c>
      <c r="H61" s="114">
        <v>0</v>
      </c>
      <c r="I61" s="114">
        <v>0</v>
      </c>
      <c r="J61" s="115">
        <v>0</v>
      </c>
      <c r="K61" s="113">
        <v>0</v>
      </c>
      <c r="P61" s="112" t="s">
        <v>254</v>
      </c>
      <c r="Q61" s="116">
        <f>IFERROR(VLOOKUP($A61,YTD!$A$13:$D$1048576,3,0),0)</f>
        <v>0</v>
      </c>
      <c r="R61" s="116">
        <f>IFERROR(VLOOKUP($A61,YTD!$A$13:$D$1048576,4,0),0)</f>
        <v>0</v>
      </c>
      <c r="S61" s="113"/>
      <c r="T61" s="113"/>
      <c r="U61" s="112" t="s">
        <v>254</v>
      </c>
      <c r="V61" s="114">
        <v>0</v>
      </c>
      <c r="W61" s="114">
        <v>0</v>
      </c>
      <c r="X61" s="115">
        <v>0</v>
      </c>
      <c r="Y61" s="113">
        <v>0</v>
      </c>
      <c r="Z61" s="113">
        <v>0</v>
      </c>
      <c r="AA61" s="113">
        <v>0</v>
      </c>
      <c r="AB61" s="113">
        <v>0</v>
      </c>
      <c r="AC61" s="113">
        <v>0</v>
      </c>
      <c r="AD61" s="113">
        <v>0</v>
      </c>
      <c r="AE61" s="113">
        <v>0</v>
      </c>
      <c r="AF61" s="113">
        <v>0</v>
      </c>
      <c r="AG61" s="113">
        <v>0</v>
      </c>
      <c r="AH61" s="113">
        <v>0</v>
      </c>
      <c r="AI61" s="113">
        <v>0</v>
      </c>
      <c r="AJ61" s="113">
        <v>0</v>
      </c>
      <c r="AK61" s="113">
        <f t="shared" si="7"/>
        <v>0</v>
      </c>
      <c r="AM61" s="309"/>
    </row>
    <row r="62" spans="1:39" x14ac:dyDescent="0.3">
      <c r="A62" s="109" t="str">
        <f t="shared" si="6"/>
        <v>debit    5207000022  Loss of intangible asset disposal</v>
      </c>
      <c r="B62" s="112" t="s">
        <v>255</v>
      </c>
      <c r="C62" s="116">
        <f>IFERROR(VLOOKUP($A62,MTD!$A$13:$D$1048576,3,0),0)</f>
        <v>0</v>
      </c>
      <c r="D62" s="116">
        <f>IFERROR(VLOOKUP($A62,MTD!$A$13:$D$1048576,4,0),0)</f>
        <v>0</v>
      </c>
      <c r="E62" s="113"/>
      <c r="F62" s="113"/>
      <c r="G62" s="112" t="s">
        <v>255</v>
      </c>
      <c r="H62" s="114">
        <v>0</v>
      </c>
      <c r="I62" s="114">
        <v>0</v>
      </c>
      <c r="J62" s="115">
        <v>0</v>
      </c>
      <c r="K62" s="113">
        <v>0</v>
      </c>
      <c r="P62" s="112" t="s">
        <v>255</v>
      </c>
      <c r="Q62" s="116">
        <f>IFERROR(VLOOKUP($A62,YTD!$A$13:$D$1048576,3,0),0)</f>
        <v>0</v>
      </c>
      <c r="R62" s="116">
        <f>IFERROR(VLOOKUP($A62,YTD!$A$13:$D$1048576,4,0),0)</f>
        <v>0</v>
      </c>
      <c r="S62" s="113"/>
      <c r="T62" s="113"/>
      <c r="U62" s="112" t="s">
        <v>255</v>
      </c>
      <c r="V62" s="114">
        <v>0</v>
      </c>
      <c r="W62" s="114">
        <v>0</v>
      </c>
      <c r="X62" s="115">
        <v>0</v>
      </c>
      <c r="Y62" s="113">
        <v>0</v>
      </c>
      <c r="Z62" s="113">
        <v>0</v>
      </c>
      <c r="AA62" s="113">
        <v>0</v>
      </c>
      <c r="AB62" s="113">
        <v>0</v>
      </c>
      <c r="AC62" s="113">
        <v>0</v>
      </c>
      <c r="AD62" s="113">
        <v>0</v>
      </c>
      <c r="AE62" s="113">
        <v>0</v>
      </c>
      <c r="AF62" s="113">
        <v>0</v>
      </c>
      <c r="AG62" s="113">
        <v>0</v>
      </c>
      <c r="AH62" s="113">
        <v>0</v>
      </c>
      <c r="AI62" s="113">
        <v>0</v>
      </c>
      <c r="AJ62" s="113">
        <v>0</v>
      </c>
      <c r="AK62" s="113">
        <f t="shared" si="7"/>
        <v>0</v>
      </c>
      <c r="AM62" s="309"/>
    </row>
    <row r="63" spans="1:39" x14ac:dyDescent="0.3">
      <c r="A63" s="109" t="str">
        <f t="shared" si="6"/>
        <v>debit    5301060000  Other Income-Subsidy income</v>
      </c>
      <c r="B63" s="112" t="s">
        <v>256</v>
      </c>
      <c r="C63" s="116">
        <f>IFERROR(VLOOKUP($A63,MTD!$A$13:$D$1048576,3,0),0)</f>
        <v>0</v>
      </c>
      <c r="D63" s="116">
        <f>IFERROR(VLOOKUP($A63,MTD!$A$13:$D$1048576,4,0),0)</f>
        <v>0</v>
      </c>
      <c r="E63" s="113"/>
      <c r="F63" s="113"/>
      <c r="G63" s="112" t="s">
        <v>256</v>
      </c>
      <c r="H63" s="114">
        <v>0</v>
      </c>
      <c r="I63" s="114">
        <v>0</v>
      </c>
      <c r="J63" s="115">
        <v>0</v>
      </c>
      <c r="K63" s="113">
        <v>0</v>
      </c>
      <c r="P63" s="112" t="s">
        <v>256</v>
      </c>
      <c r="Q63" s="116">
        <f>IFERROR(VLOOKUP($A63,YTD!$A$13:$D$1048576,3,0),0)</f>
        <v>0</v>
      </c>
      <c r="R63" s="116">
        <f>IFERROR(VLOOKUP($A63,YTD!$A$13:$D$1048576,4,0),0)</f>
        <v>0</v>
      </c>
      <c r="S63" s="113"/>
      <c r="T63" s="113"/>
      <c r="U63" s="112" t="s">
        <v>256</v>
      </c>
      <c r="V63" s="114">
        <v>0</v>
      </c>
      <c r="W63" s="114">
        <v>0</v>
      </c>
      <c r="X63" s="115">
        <v>0</v>
      </c>
      <c r="Y63" s="113">
        <v>0</v>
      </c>
      <c r="Z63" s="113">
        <v>0</v>
      </c>
      <c r="AA63" s="113">
        <v>0</v>
      </c>
      <c r="AB63" s="113">
        <v>0</v>
      </c>
      <c r="AC63" s="113">
        <v>0</v>
      </c>
      <c r="AD63" s="113">
        <v>0</v>
      </c>
      <c r="AE63" s="113">
        <v>0</v>
      </c>
      <c r="AF63" s="113">
        <v>0</v>
      </c>
      <c r="AG63" s="113">
        <v>0</v>
      </c>
      <c r="AH63" s="113">
        <v>0</v>
      </c>
      <c r="AI63" s="113">
        <v>0</v>
      </c>
      <c r="AJ63" s="113">
        <v>0</v>
      </c>
      <c r="AK63" s="113">
        <f t="shared" si="7"/>
        <v>0</v>
      </c>
      <c r="AM63" s="309"/>
    </row>
    <row r="64" spans="1:39" x14ac:dyDescent="0.3">
      <c r="A64" s="109" t="str">
        <f t="shared" si="6"/>
        <v>debit    5301999999  Non-operation revenue-Other</v>
      </c>
      <c r="B64" s="112" t="s">
        <v>257</v>
      </c>
      <c r="C64" s="113">
        <f>IFERROR(VLOOKUP($A64,MTD!$A$13:$D$1048576,3,0),0)</f>
        <v>-5.42</v>
      </c>
      <c r="D64" s="116">
        <f>IFERROR(VLOOKUP($A64,MTD!$A$13:$D$1048576,4,0),0)</f>
        <v>0</v>
      </c>
      <c r="E64" s="113"/>
      <c r="F64" s="113"/>
      <c r="G64" s="112" t="s">
        <v>257</v>
      </c>
      <c r="H64" s="114">
        <v>0</v>
      </c>
      <c r="I64" s="114">
        <v>0</v>
      </c>
      <c r="J64" s="115">
        <v>0</v>
      </c>
      <c r="K64" s="113">
        <v>0</v>
      </c>
      <c r="P64" s="112" t="s">
        <v>257</v>
      </c>
      <c r="Q64" s="113">
        <f>IFERROR(VLOOKUP($A64,YTD!$A$13:$D$1048576,3,0),0)</f>
        <v>-71.319999999999993</v>
      </c>
      <c r="R64" s="116">
        <f>IFERROR(VLOOKUP($A64,YTD!$A$13:$D$1048576,4,0),0)</f>
        <v>0</v>
      </c>
      <c r="S64" s="113"/>
      <c r="T64" s="113"/>
      <c r="U64" s="112" t="s">
        <v>257</v>
      </c>
      <c r="V64" s="114">
        <v>0</v>
      </c>
      <c r="W64" s="114">
        <v>0</v>
      </c>
      <c r="X64" s="115">
        <v>0</v>
      </c>
      <c r="Y64" s="113">
        <v>0</v>
      </c>
      <c r="Z64" s="113">
        <v>0</v>
      </c>
      <c r="AA64" s="113">
        <v>0</v>
      </c>
      <c r="AB64" s="113">
        <v>0</v>
      </c>
      <c r="AC64" s="113">
        <v>0</v>
      </c>
      <c r="AD64" s="113">
        <v>0</v>
      </c>
      <c r="AE64" s="113">
        <v>0</v>
      </c>
      <c r="AF64" s="113">
        <v>0</v>
      </c>
      <c r="AG64" s="113">
        <v>0</v>
      </c>
      <c r="AH64" s="113">
        <v>0</v>
      </c>
      <c r="AI64" s="113">
        <v>0</v>
      </c>
      <c r="AJ64" s="113">
        <v>-65.900000000000006</v>
      </c>
      <c r="AK64" s="113">
        <f t="shared" si="7"/>
        <v>-5.42</v>
      </c>
      <c r="AM64" s="309"/>
    </row>
    <row r="65" spans="1:39" x14ac:dyDescent="0.3">
      <c r="A65" s="109" t="str">
        <f t="shared" si="6"/>
        <v>debit    5405030000  Other cost-others</v>
      </c>
      <c r="B65" s="112" t="s">
        <v>258</v>
      </c>
      <c r="C65" s="113">
        <f>IFERROR(VLOOKUP($A65,MTD!$A$13:$D$1048576,3,0),0)</f>
        <v>0</v>
      </c>
      <c r="D65" s="113">
        <f>IFERROR(VLOOKUP($A65,MTD!$A$13:$D$1048576,4,0),0)</f>
        <v>0</v>
      </c>
      <c r="E65" s="113"/>
      <c r="F65" s="113"/>
      <c r="G65" s="112" t="s">
        <v>258</v>
      </c>
      <c r="H65" s="114">
        <v>0</v>
      </c>
      <c r="I65" s="114">
        <v>0</v>
      </c>
      <c r="J65" s="115">
        <v>0</v>
      </c>
      <c r="K65" s="113">
        <v>0</v>
      </c>
      <c r="P65" s="112" t="s">
        <v>258</v>
      </c>
      <c r="Q65" s="113">
        <f>IFERROR(VLOOKUP($A65,YTD!$A$13:$D$1048576,3,0),0)</f>
        <v>6880.62</v>
      </c>
      <c r="R65" s="113">
        <f>IFERROR(VLOOKUP($A65,YTD!$A$13:$D$1048576,4,0),0)</f>
        <v>0</v>
      </c>
      <c r="S65" s="113"/>
      <c r="T65" s="113"/>
      <c r="U65" s="112" t="s">
        <v>258</v>
      </c>
      <c r="V65" s="114">
        <v>0</v>
      </c>
      <c r="W65" s="114">
        <v>0</v>
      </c>
      <c r="X65" s="115">
        <v>0</v>
      </c>
      <c r="Y65" s="113">
        <v>0</v>
      </c>
      <c r="Z65" s="113">
        <v>19.72</v>
      </c>
      <c r="AA65" s="113">
        <v>280.54000000000002</v>
      </c>
      <c r="AB65" s="113">
        <v>3956.62</v>
      </c>
      <c r="AC65" s="113">
        <v>0</v>
      </c>
      <c r="AD65" s="113">
        <v>-0.02</v>
      </c>
      <c r="AE65" s="113">
        <v>-0.02</v>
      </c>
      <c r="AF65" s="113">
        <v>395.46</v>
      </c>
      <c r="AG65" s="113">
        <v>2013.96</v>
      </c>
      <c r="AH65" s="113">
        <v>198.96</v>
      </c>
      <c r="AI65" s="113">
        <v>0</v>
      </c>
      <c r="AJ65" s="113">
        <v>15.4</v>
      </c>
      <c r="AK65" s="113">
        <f t="shared" si="7"/>
        <v>0</v>
      </c>
      <c r="AM65" s="309"/>
    </row>
    <row r="66" spans="1:39" x14ac:dyDescent="0.3">
      <c r="A66" s="109" t="str">
        <f t="shared" si="6"/>
        <v>debit    5601050000  Non-Operating Expense - Penalty</v>
      </c>
      <c r="B66" s="112" t="s">
        <v>259</v>
      </c>
      <c r="C66" s="113">
        <f>IFERROR(VLOOKUP($A66,MTD!$A$13:$D$1048576,3,0),0)</f>
        <v>0</v>
      </c>
      <c r="D66" s="116">
        <f>IFERROR(VLOOKUP($A66,MTD!$A$13:$D$1048576,4,0),0)</f>
        <v>0</v>
      </c>
      <c r="E66" s="113"/>
      <c r="F66" s="113"/>
      <c r="G66" s="112" t="s">
        <v>259</v>
      </c>
      <c r="H66" s="114">
        <v>0</v>
      </c>
      <c r="I66" s="114">
        <v>0</v>
      </c>
      <c r="J66" s="115">
        <v>0</v>
      </c>
      <c r="K66" s="113">
        <v>0</v>
      </c>
      <c r="P66" s="112" t="s">
        <v>259</v>
      </c>
      <c r="Q66" s="113">
        <f>IFERROR(VLOOKUP($A66,YTD!$A$13:$D$1048576,3,0),0)</f>
        <v>0</v>
      </c>
      <c r="R66" s="116">
        <f>IFERROR(VLOOKUP($A66,YTD!$A$13:$D$1048576,4,0),0)</f>
        <v>0</v>
      </c>
      <c r="S66" s="113"/>
      <c r="T66" s="113"/>
      <c r="U66" s="112" t="s">
        <v>259</v>
      </c>
      <c r="V66" s="114">
        <v>0</v>
      </c>
      <c r="W66" s="114">
        <v>0</v>
      </c>
      <c r="X66" s="115">
        <v>0</v>
      </c>
      <c r="Y66" s="113">
        <v>0</v>
      </c>
      <c r="Z66" s="113">
        <v>0</v>
      </c>
      <c r="AA66" s="113">
        <v>0</v>
      </c>
      <c r="AB66" s="113">
        <v>0</v>
      </c>
      <c r="AC66" s="113">
        <v>0</v>
      </c>
      <c r="AD66" s="113">
        <v>0</v>
      </c>
      <c r="AE66" s="113">
        <v>0</v>
      </c>
      <c r="AF66" s="113">
        <v>0</v>
      </c>
      <c r="AG66" s="113">
        <v>0</v>
      </c>
      <c r="AH66" s="113">
        <v>0</v>
      </c>
      <c r="AI66" s="113">
        <v>0</v>
      </c>
      <c r="AJ66" s="113">
        <v>0</v>
      </c>
      <c r="AK66" s="113">
        <f t="shared" si="7"/>
        <v>0</v>
      </c>
      <c r="AM66" s="309"/>
    </row>
    <row r="67" spans="1:39" x14ac:dyDescent="0.3">
      <c r="A67" s="109" t="str">
        <f t="shared" si="6"/>
        <v>debit    5601050100  Non-operation Expense-Others</v>
      </c>
      <c r="B67" s="112" t="s">
        <v>260</v>
      </c>
      <c r="C67" s="113">
        <f>IFERROR(VLOOKUP($A67,MTD!$A$13:$D$1048576,3,0),0)</f>
        <v>34.78</v>
      </c>
      <c r="D67" s="116">
        <f>IFERROR(VLOOKUP($A67,MTD!$A$13:$D$1048576,4,0),0)</f>
        <v>0</v>
      </c>
      <c r="E67" s="113"/>
      <c r="F67" s="113"/>
      <c r="G67" s="112" t="s">
        <v>260</v>
      </c>
      <c r="H67" s="114">
        <v>0</v>
      </c>
      <c r="I67" s="114">
        <v>0</v>
      </c>
      <c r="J67" s="115">
        <v>0</v>
      </c>
      <c r="K67" s="113">
        <v>0</v>
      </c>
      <c r="P67" s="112" t="s">
        <v>260</v>
      </c>
      <c r="Q67" s="113">
        <f>IFERROR(VLOOKUP($A67,YTD!$A$13:$D$1048576,3,0),0)</f>
        <v>881.25</v>
      </c>
      <c r="R67" s="116">
        <f>IFERROR(VLOOKUP($A67,YTD!$A$13:$D$1048576,4,0),0)</f>
        <v>0</v>
      </c>
      <c r="S67" s="113"/>
      <c r="T67" s="113"/>
      <c r="U67" s="112" t="s">
        <v>260</v>
      </c>
      <c r="V67" s="114">
        <v>0</v>
      </c>
      <c r="W67" s="114">
        <v>0</v>
      </c>
      <c r="X67" s="115">
        <v>0</v>
      </c>
      <c r="Y67" s="113">
        <v>0</v>
      </c>
      <c r="Z67" s="113">
        <v>310.45999999999998</v>
      </c>
      <c r="AA67" s="113">
        <v>0</v>
      </c>
      <c r="AB67" s="113">
        <v>0</v>
      </c>
      <c r="AC67" s="113">
        <v>0</v>
      </c>
      <c r="AD67" s="113">
        <v>0</v>
      </c>
      <c r="AE67" s="113">
        <v>2</v>
      </c>
      <c r="AF67" s="113">
        <v>264.23</v>
      </c>
      <c r="AG67" s="113">
        <v>210.26</v>
      </c>
      <c r="AH67" s="113">
        <v>34.72</v>
      </c>
      <c r="AI67" s="113">
        <v>0</v>
      </c>
      <c r="AJ67" s="113">
        <v>24.8</v>
      </c>
      <c r="AK67" s="113">
        <f t="shared" si="7"/>
        <v>34.78</v>
      </c>
      <c r="AM67" s="309"/>
    </row>
    <row r="68" spans="1:39" x14ac:dyDescent="0.3">
      <c r="A68" s="109" t="str">
        <f t="shared" si="6"/>
        <v>debit    6666020101  Entertainment</v>
      </c>
      <c r="B68" s="112" t="s">
        <v>261</v>
      </c>
      <c r="C68" s="113">
        <f>IFERROR(VLOOKUP($A68,MTD!$A$13:$D$1048576,3,0),0)</f>
        <v>-104982.82</v>
      </c>
      <c r="D68" s="113">
        <f>IFERROR(VLOOKUP($A68,MTD!$A$13:$D$1048576,4,0),0)</f>
        <v>19847.810000000001</v>
      </c>
      <c r="E68" s="113"/>
      <c r="F68" s="113"/>
      <c r="G68" s="112" t="s">
        <v>261</v>
      </c>
      <c r="H68" s="114">
        <v>0</v>
      </c>
      <c r="I68" s="114">
        <v>0</v>
      </c>
      <c r="J68" s="115">
        <v>0</v>
      </c>
      <c r="K68" s="113">
        <v>0</v>
      </c>
      <c r="P68" s="112" t="s">
        <v>261</v>
      </c>
      <c r="Q68" s="113">
        <f>IFERROR(VLOOKUP($A68,YTD!$A$13:$D$1048576,3,0),0)</f>
        <v>2692.31</v>
      </c>
      <c r="R68" s="113">
        <f>IFERROR(VLOOKUP($A68,YTD!$A$13:$D$1048576,4,0),0)</f>
        <v>238031.87</v>
      </c>
      <c r="S68" s="113"/>
      <c r="T68" s="113"/>
      <c r="U68" s="112" t="s">
        <v>261</v>
      </c>
      <c r="V68" s="114">
        <v>0</v>
      </c>
      <c r="W68" s="114">
        <v>0</v>
      </c>
      <c r="X68" s="115">
        <v>0</v>
      </c>
      <c r="Y68" s="113">
        <v>0</v>
      </c>
      <c r="Z68" s="113">
        <v>0</v>
      </c>
      <c r="AA68" s="113">
        <v>23893.72</v>
      </c>
      <c r="AB68" s="113">
        <v>19794.05</v>
      </c>
      <c r="AC68" s="113">
        <v>17727.46</v>
      </c>
      <c r="AD68" s="113">
        <v>18964.66</v>
      </c>
      <c r="AE68" s="113">
        <v>16797.5</v>
      </c>
      <c r="AF68" s="113">
        <v>15824.12</v>
      </c>
      <c r="AG68" s="113">
        <v>-2705.18</v>
      </c>
      <c r="AH68" s="113">
        <v>-1915.48</v>
      </c>
      <c r="AI68" s="113">
        <v>521.02</v>
      </c>
      <c r="AJ68" s="113">
        <v>-1226.74</v>
      </c>
      <c r="AK68" s="113">
        <f t="shared" si="7"/>
        <v>-104982.82</v>
      </c>
      <c r="AM68" s="309"/>
    </row>
    <row r="69" spans="1:39" x14ac:dyDescent="0.3">
      <c r="A69" s="109" t="str">
        <f t="shared" si="6"/>
        <v>debit    6666020201  Domestic business travel</v>
      </c>
      <c r="B69" s="112" t="s">
        <v>262</v>
      </c>
      <c r="C69" s="113">
        <f>IFERROR(VLOOKUP($A69,MTD!$A$13:$D$1048576,3,0),0)</f>
        <v>315.83</v>
      </c>
      <c r="D69" s="113">
        <f>IFERROR(VLOOKUP($A69,MTD!$A$13:$D$1048576,4,0),0)</f>
        <v>3623.06</v>
      </c>
      <c r="E69" s="113"/>
      <c r="F69" s="113"/>
      <c r="G69" s="112" t="s">
        <v>262</v>
      </c>
      <c r="H69" s="114">
        <v>0</v>
      </c>
      <c r="I69" s="114">
        <v>0</v>
      </c>
      <c r="J69" s="115">
        <v>0</v>
      </c>
      <c r="K69" s="113">
        <v>0</v>
      </c>
      <c r="P69" s="112" t="s">
        <v>262</v>
      </c>
      <c r="Q69" s="113">
        <f>IFERROR(VLOOKUP($A69,YTD!$A$13:$D$1048576,3,0),0)</f>
        <v>1861.84</v>
      </c>
      <c r="R69" s="113">
        <f>IFERROR(VLOOKUP($A69,YTD!$A$13:$D$1048576,4,0),0)</f>
        <v>43476.72</v>
      </c>
      <c r="S69" s="113"/>
      <c r="T69" s="113"/>
      <c r="U69" s="112" t="s">
        <v>262</v>
      </c>
      <c r="V69" s="114">
        <v>0</v>
      </c>
      <c r="W69" s="114">
        <v>0</v>
      </c>
      <c r="X69" s="115">
        <v>0</v>
      </c>
      <c r="Y69" s="113">
        <v>0</v>
      </c>
      <c r="Z69" s="113">
        <v>3.96</v>
      </c>
      <c r="AA69" s="113">
        <v>10.69</v>
      </c>
      <c r="AB69" s="113">
        <v>272.83999999999997</v>
      </c>
      <c r="AC69" s="113">
        <v>34.76</v>
      </c>
      <c r="AD69" s="113">
        <v>0</v>
      </c>
      <c r="AE69" s="113">
        <v>138.16</v>
      </c>
      <c r="AF69" s="113">
        <v>244.72</v>
      </c>
      <c r="AG69" s="113">
        <v>24.8</v>
      </c>
      <c r="AH69" s="113">
        <v>194.19</v>
      </c>
      <c r="AI69" s="113">
        <v>397.22</v>
      </c>
      <c r="AJ69" s="113">
        <v>224.67</v>
      </c>
      <c r="AK69" s="113">
        <f t="shared" si="7"/>
        <v>315.83</v>
      </c>
      <c r="AM69" s="309"/>
    </row>
    <row r="70" spans="1:39" x14ac:dyDescent="0.3">
      <c r="A70" s="109" t="str">
        <f t="shared" si="6"/>
        <v>debit    6666020202  Overseas business travel</v>
      </c>
      <c r="B70" s="112" t="s">
        <v>263</v>
      </c>
      <c r="C70" s="113">
        <f>IFERROR(VLOOKUP($A70,MTD!$A$13:$D$1048576,3,0),0)</f>
        <v>410.84</v>
      </c>
      <c r="D70" s="116">
        <f>IFERROR(VLOOKUP($A70,MTD!$A$13:$D$1048576,4,0),0)</f>
        <v>0</v>
      </c>
      <c r="E70" s="113"/>
      <c r="F70" s="113"/>
      <c r="G70" s="112" t="s">
        <v>263</v>
      </c>
      <c r="H70" s="114">
        <v>0</v>
      </c>
      <c r="I70" s="114">
        <v>0</v>
      </c>
      <c r="J70" s="115">
        <v>0</v>
      </c>
      <c r="K70" s="113">
        <v>0</v>
      </c>
      <c r="P70" s="112" t="s">
        <v>263</v>
      </c>
      <c r="Q70" s="113">
        <f>IFERROR(VLOOKUP($A70,YTD!$A$13:$D$1048576,3,0),0)</f>
        <v>7560.75</v>
      </c>
      <c r="R70" s="116">
        <f>IFERROR(VLOOKUP($A70,YTD!$A$13:$D$1048576,4,0),0)</f>
        <v>0</v>
      </c>
      <c r="S70" s="113"/>
      <c r="T70" s="113"/>
      <c r="U70" s="112" t="s">
        <v>263</v>
      </c>
      <c r="V70" s="114">
        <v>0</v>
      </c>
      <c r="W70" s="114">
        <v>0</v>
      </c>
      <c r="X70" s="115">
        <v>0</v>
      </c>
      <c r="Y70" s="113">
        <v>0</v>
      </c>
      <c r="Z70" s="113">
        <v>0</v>
      </c>
      <c r="AA70" s="113">
        <v>0</v>
      </c>
      <c r="AB70" s="113">
        <v>0</v>
      </c>
      <c r="AC70" s="113">
        <v>0</v>
      </c>
      <c r="AD70" s="113">
        <v>9.1199999999999992</v>
      </c>
      <c r="AE70" s="113">
        <v>702.1</v>
      </c>
      <c r="AF70" s="113">
        <v>4762.93</v>
      </c>
      <c r="AG70" s="113">
        <v>50.58</v>
      </c>
      <c r="AH70" s="113">
        <v>11.58</v>
      </c>
      <c r="AI70" s="113">
        <v>1613.6</v>
      </c>
      <c r="AJ70" s="113">
        <v>0</v>
      </c>
      <c r="AK70" s="113">
        <f t="shared" si="7"/>
        <v>410.84</v>
      </c>
      <c r="AM70" s="309"/>
    </row>
    <row r="71" spans="1:39" x14ac:dyDescent="0.3">
      <c r="A71" s="109" t="str">
        <f t="shared" si="6"/>
        <v>debit    6666020204  Travel expense pay to agency</v>
      </c>
      <c r="B71" s="112" t="s">
        <v>264</v>
      </c>
      <c r="C71" s="113">
        <f>IFERROR(VLOOKUP($A71,MTD!$A$13:$D$1048576,3,0),0)</f>
        <v>151.86000000000001</v>
      </c>
      <c r="D71" s="116">
        <f>IFERROR(VLOOKUP($A71,MTD!$A$13:$D$1048576,4,0),0)</f>
        <v>0</v>
      </c>
      <c r="E71" s="113"/>
      <c r="F71" s="113"/>
      <c r="G71" s="112" t="s">
        <v>264</v>
      </c>
      <c r="H71" s="114">
        <v>0</v>
      </c>
      <c r="I71" s="114">
        <v>0</v>
      </c>
      <c r="J71" s="115">
        <v>0</v>
      </c>
      <c r="K71" s="113">
        <v>0</v>
      </c>
      <c r="P71" s="112" t="s">
        <v>264</v>
      </c>
      <c r="Q71" s="113">
        <f>IFERROR(VLOOKUP($A71,YTD!$A$13:$D$1048576,3,0),0)</f>
        <v>22412.44</v>
      </c>
      <c r="R71" s="116">
        <f>IFERROR(VLOOKUP($A71,YTD!$A$13:$D$1048576,4,0),0)</f>
        <v>0</v>
      </c>
      <c r="S71" s="113"/>
      <c r="T71" s="113"/>
      <c r="U71" s="112" t="s">
        <v>264</v>
      </c>
      <c r="V71" s="114">
        <v>0</v>
      </c>
      <c r="W71" s="114">
        <v>0</v>
      </c>
      <c r="X71" s="115">
        <v>0</v>
      </c>
      <c r="Y71" s="113">
        <v>0</v>
      </c>
      <c r="Z71" s="113">
        <v>585.89</v>
      </c>
      <c r="AA71" s="113">
        <v>68.81</v>
      </c>
      <c r="AB71" s="113">
        <v>6.21</v>
      </c>
      <c r="AC71" s="113">
        <v>41.53</v>
      </c>
      <c r="AD71" s="113">
        <v>84.75</v>
      </c>
      <c r="AE71" s="113">
        <v>70.48</v>
      </c>
      <c r="AF71" s="113">
        <v>138.96</v>
      </c>
      <c r="AG71" s="113">
        <v>255.12</v>
      </c>
      <c r="AH71" s="113">
        <v>341.29</v>
      </c>
      <c r="AI71" s="113">
        <v>18816.080000000002</v>
      </c>
      <c r="AJ71" s="113">
        <v>1851.46</v>
      </c>
      <c r="AK71" s="113">
        <f t="shared" si="7"/>
        <v>151.86000000000001</v>
      </c>
      <c r="AM71" s="309"/>
    </row>
    <row r="72" spans="1:39" x14ac:dyDescent="0.3">
      <c r="A72" s="109" t="str">
        <f t="shared" si="6"/>
        <v>debit    6666020205  Business travel-other</v>
      </c>
      <c r="B72" s="112" t="s">
        <v>265</v>
      </c>
      <c r="C72" s="116">
        <f>IFERROR(VLOOKUP($A72,MTD!$A$13:$D$1048576,3,0),0)</f>
        <v>0</v>
      </c>
      <c r="D72" s="113">
        <f>IFERROR(VLOOKUP($A72,MTD!$A$13:$D$1048576,4,0),0)</f>
        <v>4926.99</v>
      </c>
      <c r="E72" s="113"/>
      <c r="F72" s="113"/>
      <c r="G72" s="112" t="s">
        <v>265</v>
      </c>
      <c r="H72" s="114">
        <v>0</v>
      </c>
      <c r="I72" s="114">
        <v>0</v>
      </c>
      <c r="J72" s="115">
        <v>0</v>
      </c>
      <c r="K72" s="113">
        <v>0</v>
      </c>
      <c r="P72" s="112" t="s">
        <v>265</v>
      </c>
      <c r="Q72" s="116">
        <f>IFERROR(VLOOKUP($A72,YTD!$A$13:$D$1048576,3,0),0)</f>
        <v>0</v>
      </c>
      <c r="R72" s="113">
        <f>IFERROR(VLOOKUP($A72,YTD!$A$13:$D$1048576,4,0),0)</f>
        <v>58857.48</v>
      </c>
      <c r="S72" s="113"/>
      <c r="T72" s="113"/>
      <c r="U72" s="112" t="s">
        <v>265</v>
      </c>
      <c r="V72" s="114">
        <v>0</v>
      </c>
      <c r="W72" s="114">
        <v>0</v>
      </c>
      <c r="X72" s="115">
        <v>0</v>
      </c>
      <c r="Y72" s="113">
        <v>0</v>
      </c>
      <c r="Z72" s="113">
        <v>0</v>
      </c>
      <c r="AA72" s="113">
        <v>0</v>
      </c>
      <c r="AB72" s="113">
        <v>0</v>
      </c>
      <c r="AC72" s="113">
        <v>0</v>
      </c>
      <c r="AD72" s="113">
        <v>0</v>
      </c>
      <c r="AE72" s="113">
        <v>0</v>
      </c>
      <c r="AF72" s="113">
        <v>0</v>
      </c>
      <c r="AG72" s="113">
        <v>0</v>
      </c>
      <c r="AH72" s="113">
        <v>0</v>
      </c>
      <c r="AI72" s="113">
        <v>0</v>
      </c>
      <c r="AJ72" s="113">
        <v>0</v>
      </c>
      <c r="AK72" s="113">
        <f t="shared" si="7"/>
        <v>0</v>
      </c>
      <c r="AM72" s="309"/>
    </row>
    <row r="73" spans="1:39" x14ac:dyDescent="0.3">
      <c r="A73" s="109" t="str">
        <f t="shared" si="6"/>
        <v>debit    6666020301  Staff communication expense</v>
      </c>
      <c r="B73" s="112" t="s">
        <v>266</v>
      </c>
      <c r="C73" s="113">
        <f>IFERROR(VLOOKUP($A73,MTD!$A$13:$D$1048576,3,0),0)</f>
        <v>1265.99</v>
      </c>
      <c r="D73" s="116">
        <f>IFERROR(VLOOKUP($A73,MTD!$A$13:$D$1048576,4,0),0)</f>
        <v>0</v>
      </c>
      <c r="E73" s="113"/>
      <c r="F73" s="113"/>
      <c r="G73" s="112" t="s">
        <v>266</v>
      </c>
      <c r="H73" s="114">
        <v>0</v>
      </c>
      <c r="I73" s="114">
        <v>0</v>
      </c>
      <c r="J73" s="115">
        <v>0</v>
      </c>
      <c r="K73" s="113">
        <v>0</v>
      </c>
      <c r="P73" s="112" t="s">
        <v>266</v>
      </c>
      <c r="Q73" s="113">
        <f>IFERROR(VLOOKUP($A73,YTD!$A$13:$D$1048576,3,0),0)</f>
        <v>14843.78</v>
      </c>
      <c r="R73" s="113">
        <f>IFERROR(VLOOKUP($A73,YTD!$A$13:$D$1048576,4,0),0)</f>
        <v>0</v>
      </c>
      <c r="S73" s="113"/>
      <c r="T73" s="113"/>
      <c r="U73" s="112" t="s">
        <v>266</v>
      </c>
      <c r="V73" s="114">
        <v>0</v>
      </c>
      <c r="W73" s="114">
        <v>0</v>
      </c>
      <c r="X73" s="115">
        <v>0</v>
      </c>
      <c r="Y73" s="113">
        <v>0</v>
      </c>
      <c r="Z73" s="113">
        <v>0</v>
      </c>
      <c r="AA73" s="113">
        <v>0</v>
      </c>
      <c r="AB73" s="113">
        <v>0</v>
      </c>
      <c r="AC73" s="113">
        <v>4288.79</v>
      </c>
      <c r="AD73" s="113">
        <v>1335.8</v>
      </c>
      <c r="AE73" s="113">
        <v>1211.72</v>
      </c>
      <c r="AF73" s="113">
        <v>1353.54</v>
      </c>
      <c r="AG73" s="113">
        <v>1409.43</v>
      </c>
      <c r="AH73" s="113">
        <v>294.7</v>
      </c>
      <c r="AI73" s="113">
        <v>2262.8200000000002</v>
      </c>
      <c r="AJ73" s="113">
        <v>1420.99</v>
      </c>
      <c r="AK73" s="113">
        <f t="shared" si="7"/>
        <v>1265.99</v>
      </c>
      <c r="AM73" s="309"/>
    </row>
    <row r="74" spans="1:39" x14ac:dyDescent="0.3">
      <c r="A74" s="109" t="str">
        <f t="shared" si="6"/>
        <v>debit    6666021104  Consulting expense-Technical</v>
      </c>
      <c r="B74" s="112" t="s">
        <v>267</v>
      </c>
      <c r="C74" s="113">
        <f>IFERROR(VLOOKUP($A74,MTD!$A$13:$D$1048576,3,0),0)</f>
        <v>0</v>
      </c>
      <c r="D74" s="116">
        <f>IFERROR(VLOOKUP($A74,MTD!$A$13:$D$1048576,4,0),0)</f>
        <v>0</v>
      </c>
      <c r="E74" s="113"/>
      <c r="F74" s="113"/>
      <c r="G74" s="112" t="s">
        <v>267</v>
      </c>
      <c r="H74" s="114"/>
      <c r="I74" s="114"/>
      <c r="J74" s="115"/>
      <c r="K74" s="113"/>
      <c r="P74" s="112" t="s">
        <v>267</v>
      </c>
      <c r="Q74" s="113">
        <f>IFERROR(VLOOKUP($A74,YTD!$A$13:$D$1048576,3,0),0)</f>
        <v>-2.36</v>
      </c>
      <c r="R74" s="113">
        <f>IFERROR(VLOOKUP($A74,YTD!$A$13:$D$1048576,4,0),0)</f>
        <v>0</v>
      </c>
      <c r="S74" s="113"/>
      <c r="T74" s="113"/>
      <c r="U74" s="112" t="s">
        <v>267</v>
      </c>
      <c r="V74" s="114"/>
      <c r="W74" s="114"/>
      <c r="X74" s="115"/>
      <c r="Y74" s="113"/>
      <c r="Z74" s="113"/>
      <c r="AA74" s="113"/>
      <c r="AB74" s="113"/>
      <c r="AC74" s="113"/>
      <c r="AD74" s="113"/>
      <c r="AE74" s="113"/>
      <c r="AF74" s="113"/>
      <c r="AG74" s="113"/>
      <c r="AH74" s="113">
        <v>0</v>
      </c>
      <c r="AI74" s="113">
        <v>0</v>
      </c>
      <c r="AJ74" s="113">
        <v>0</v>
      </c>
      <c r="AK74" s="113">
        <f t="shared" si="7"/>
        <v>0</v>
      </c>
      <c r="AM74" s="309"/>
    </row>
    <row r="75" spans="1:39" x14ac:dyDescent="0.3">
      <c r="A75" s="109" t="str">
        <f t="shared" si="6"/>
        <v>debit    6666020302  Communication Expenses</v>
      </c>
      <c r="B75" s="112" t="s">
        <v>268</v>
      </c>
      <c r="C75" s="113">
        <f>IFERROR(VLOOKUP($A75,MTD!$A$13:$D$1048576,3,0),0)</f>
        <v>0</v>
      </c>
      <c r="D75" s="113">
        <f>IFERROR(VLOOKUP($A75,MTD!$A$13:$D$1048576,4,0),0)</f>
        <v>603.02</v>
      </c>
      <c r="E75" s="113"/>
      <c r="F75" s="113"/>
      <c r="G75" s="112" t="s">
        <v>268</v>
      </c>
      <c r="H75" s="114">
        <v>0</v>
      </c>
      <c r="I75" s="114">
        <v>0</v>
      </c>
      <c r="J75" s="115">
        <v>0</v>
      </c>
      <c r="K75" s="113">
        <v>0</v>
      </c>
      <c r="P75" s="112" t="s">
        <v>268</v>
      </c>
      <c r="Q75" s="113">
        <f>IFERROR(VLOOKUP($A75,YTD!$A$13:$D$1048576,3,0),0)</f>
        <v>2217.36</v>
      </c>
      <c r="R75" s="113">
        <f>IFERROR(VLOOKUP($A75,YTD!$A$13:$D$1048576,4,0),0)</f>
        <v>7206.84</v>
      </c>
      <c r="S75" s="113"/>
      <c r="T75" s="113"/>
      <c r="U75" s="112" t="s">
        <v>268</v>
      </c>
      <c r="V75" s="114">
        <v>0</v>
      </c>
      <c r="W75" s="114">
        <v>0</v>
      </c>
      <c r="X75" s="115">
        <v>0</v>
      </c>
      <c r="Y75" s="113">
        <v>0</v>
      </c>
      <c r="Z75" s="113">
        <v>1103.58</v>
      </c>
      <c r="AA75" s="113">
        <v>474.6</v>
      </c>
      <c r="AB75" s="113">
        <v>639.17999999999995</v>
      </c>
      <c r="AC75" s="113">
        <v>0</v>
      </c>
      <c r="AD75" s="113">
        <v>0</v>
      </c>
      <c r="AE75" s="113">
        <v>0</v>
      </c>
      <c r="AF75" s="113">
        <v>0</v>
      </c>
      <c r="AG75" s="113">
        <v>0</v>
      </c>
      <c r="AH75" s="113">
        <v>0</v>
      </c>
      <c r="AI75" s="113">
        <v>0</v>
      </c>
      <c r="AJ75" s="113">
        <v>0</v>
      </c>
      <c r="AK75" s="113">
        <f t="shared" si="7"/>
        <v>0</v>
      </c>
      <c r="AM75" s="309"/>
    </row>
    <row r="76" spans="1:39" x14ac:dyDescent="0.3">
      <c r="A76" s="109" t="str">
        <f>"debit"&amp;B76</f>
        <v>debit    6666020403  Company car expense</v>
      </c>
      <c r="B76" s="112" t="s">
        <v>269</v>
      </c>
      <c r="C76" s="113"/>
      <c r="D76" s="113"/>
      <c r="E76" s="113"/>
      <c r="F76" s="113"/>
      <c r="G76" s="112" t="s">
        <v>269</v>
      </c>
      <c r="H76" s="114"/>
      <c r="I76" s="114"/>
      <c r="J76" s="115"/>
      <c r="K76" s="113"/>
      <c r="P76" s="112" t="s">
        <v>269</v>
      </c>
      <c r="Q76" s="113">
        <f>IFERROR(VLOOKUP($A76,YTD!$A$13:$D$1048576,3,0),0)</f>
        <v>14.06</v>
      </c>
      <c r="R76" s="113">
        <f>IFERROR(VLOOKUP($A76,YTD!$A$13:$D$1048576,4,0),0)</f>
        <v>0</v>
      </c>
      <c r="S76" s="113"/>
      <c r="T76" s="113"/>
      <c r="U76" s="112" t="s">
        <v>269</v>
      </c>
      <c r="V76" s="114"/>
      <c r="W76" s="114"/>
      <c r="X76" s="115"/>
      <c r="Y76" s="113"/>
      <c r="Z76" s="310"/>
      <c r="AA76" s="310"/>
      <c r="AB76" s="310"/>
      <c r="AC76" s="113"/>
      <c r="AD76" s="113"/>
      <c r="AE76" s="113">
        <v>0</v>
      </c>
      <c r="AF76" s="113">
        <v>0</v>
      </c>
      <c r="AG76" s="113">
        <v>0</v>
      </c>
      <c r="AH76" s="113">
        <v>0</v>
      </c>
      <c r="AI76" s="113">
        <v>0</v>
      </c>
      <c r="AJ76" s="113">
        <v>0</v>
      </c>
      <c r="AK76" s="113">
        <f t="shared" si="7"/>
        <v>0</v>
      </c>
      <c r="AM76" s="309"/>
    </row>
    <row r="77" spans="1:39" x14ac:dyDescent="0.3">
      <c r="A77" s="109" t="str">
        <f t="shared" si="6"/>
        <v>debit    6666020405  Company car expense - maintenance fees</v>
      </c>
      <c r="B77" s="112" t="s">
        <v>270</v>
      </c>
      <c r="C77" s="113">
        <f>IFERROR(VLOOKUP($A77,MTD!$A$13:$D$1048576,3,0),0)</f>
        <v>0</v>
      </c>
      <c r="D77" s="116">
        <f>IFERROR(VLOOKUP($A77,MTD!$A$13:$D$1048576,4,0),0)</f>
        <v>0</v>
      </c>
      <c r="E77" s="113"/>
      <c r="F77" s="113"/>
      <c r="G77" s="112" t="s">
        <v>270</v>
      </c>
      <c r="H77" s="114">
        <v>0</v>
      </c>
      <c r="I77" s="114">
        <v>0</v>
      </c>
      <c r="J77" s="115">
        <v>0</v>
      </c>
      <c r="K77" s="113">
        <v>0</v>
      </c>
      <c r="P77" s="112" t="s">
        <v>270</v>
      </c>
      <c r="Q77" s="113">
        <f>IFERROR(VLOOKUP($A77,YTD!$A$13:$D$1048576,3,0),0)</f>
        <v>0</v>
      </c>
      <c r="R77" s="116">
        <f>IFERROR(VLOOKUP($A77,YTD!$A$13:$D$1048576,4,0),0)</f>
        <v>0</v>
      </c>
      <c r="S77" s="113"/>
      <c r="T77" s="113"/>
      <c r="U77" s="112" t="s">
        <v>270</v>
      </c>
      <c r="V77" s="114">
        <v>0</v>
      </c>
      <c r="W77" s="114">
        <v>0</v>
      </c>
      <c r="X77" s="115">
        <v>0</v>
      </c>
      <c r="Y77" s="113">
        <v>0</v>
      </c>
      <c r="Z77" s="113">
        <v>0</v>
      </c>
      <c r="AA77" s="113">
        <v>0</v>
      </c>
      <c r="AB77" s="113">
        <v>0</v>
      </c>
      <c r="AC77" s="113">
        <v>0</v>
      </c>
      <c r="AD77" s="113">
        <v>0</v>
      </c>
      <c r="AE77" s="113">
        <v>0</v>
      </c>
      <c r="AF77" s="113">
        <v>0</v>
      </c>
      <c r="AG77" s="113">
        <v>0</v>
      </c>
      <c r="AH77" s="113">
        <v>0</v>
      </c>
      <c r="AI77" s="113">
        <v>0</v>
      </c>
      <c r="AJ77" s="113">
        <v>0</v>
      </c>
      <c r="AK77" s="113">
        <f t="shared" si="7"/>
        <v>0</v>
      </c>
      <c r="AM77" s="309"/>
    </row>
    <row r="78" spans="1:39" x14ac:dyDescent="0.3">
      <c r="A78" s="109" t="str">
        <f t="shared" si="6"/>
        <v>debit    6666020504  Newspaper and Periodicals expenditure</v>
      </c>
      <c r="B78" s="112" t="s">
        <v>271</v>
      </c>
      <c r="C78" s="113">
        <f>IFERROR(VLOOKUP($A78,MTD!$A$13:$D$1048576,3,0),0)</f>
        <v>-463.88</v>
      </c>
      <c r="D78" s="113">
        <f>IFERROR(VLOOKUP($A78,MTD!$A$13:$D$1048576,4,0),0)</f>
        <v>168.98</v>
      </c>
      <c r="E78" s="113"/>
      <c r="F78" s="113"/>
      <c r="G78" s="112" t="s">
        <v>271</v>
      </c>
      <c r="H78" s="114">
        <v>0</v>
      </c>
      <c r="I78" s="114">
        <v>0</v>
      </c>
      <c r="J78" s="115">
        <v>0</v>
      </c>
      <c r="K78" s="113">
        <v>0</v>
      </c>
      <c r="P78" s="112" t="s">
        <v>271</v>
      </c>
      <c r="Q78" s="113">
        <f>IFERROR(VLOOKUP($A78,YTD!$A$13:$D$1048576,3,0),0)</f>
        <v>597.32000000000005</v>
      </c>
      <c r="R78" s="113">
        <f>IFERROR(VLOOKUP($A78,YTD!$A$13:$D$1048576,4,0),0)</f>
        <v>2027.76</v>
      </c>
      <c r="S78" s="113"/>
      <c r="T78" s="113"/>
      <c r="U78" s="112" t="s">
        <v>271</v>
      </c>
      <c r="V78" s="114">
        <v>0</v>
      </c>
      <c r="W78" s="114">
        <v>0</v>
      </c>
      <c r="X78" s="115">
        <v>0</v>
      </c>
      <c r="Y78" s="113">
        <v>0</v>
      </c>
      <c r="Z78" s="113">
        <v>0</v>
      </c>
      <c r="AA78" s="113">
        <v>0</v>
      </c>
      <c r="AB78" s="113">
        <v>0</v>
      </c>
      <c r="AC78" s="113">
        <v>0</v>
      </c>
      <c r="AD78" s="113">
        <v>0</v>
      </c>
      <c r="AE78" s="113">
        <v>0</v>
      </c>
      <c r="AF78" s="113">
        <v>187.52</v>
      </c>
      <c r="AG78" s="113">
        <v>409.8</v>
      </c>
      <c r="AH78" s="113">
        <v>155.76</v>
      </c>
      <c r="AI78" s="113">
        <v>157.1</v>
      </c>
      <c r="AJ78" s="113">
        <v>151.02000000000001</v>
      </c>
      <c r="AK78" s="113">
        <f t="shared" si="7"/>
        <v>-463.88</v>
      </c>
      <c r="AM78" s="309"/>
    </row>
    <row r="79" spans="1:39" x14ac:dyDescent="0.3">
      <c r="A79" s="109" t="str">
        <f t="shared" si="6"/>
        <v>debit    6666020508  Postage</v>
      </c>
      <c r="B79" s="112" t="s">
        <v>272</v>
      </c>
      <c r="C79" s="113">
        <f>IFERROR(VLOOKUP($A79,MTD!$A$13:$D$1048576,3,0),0)</f>
        <v>-2781.9</v>
      </c>
      <c r="D79" s="113">
        <f>IFERROR(VLOOKUP($A79,MTD!$A$13:$D$1048576,4,0),0)</f>
        <v>414.48</v>
      </c>
      <c r="E79" s="113"/>
      <c r="F79" s="113"/>
      <c r="G79" s="112" t="s">
        <v>272</v>
      </c>
      <c r="H79" s="114">
        <v>0</v>
      </c>
      <c r="I79" s="114">
        <v>0</v>
      </c>
      <c r="J79" s="115">
        <v>0</v>
      </c>
      <c r="K79" s="113">
        <v>0</v>
      </c>
      <c r="P79" s="112" t="s">
        <v>272</v>
      </c>
      <c r="Q79" s="113">
        <f>IFERROR(VLOOKUP($A79,YTD!$A$13:$D$1048576,3,0),0)</f>
        <v>654.16</v>
      </c>
      <c r="R79" s="113">
        <f>IFERROR(VLOOKUP($A79,YTD!$A$13:$D$1048576,4,0),0)</f>
        <v>4973.76</v>
      </c>
      <c r="S79" s="113"/>
      <c r="T79" s="113"/>
      <c r="U79" s="112" t="s">
        <v>272</v>
      </c>
      <c r="V79" s="114">
        <v>0</v>
      </c>
      <c r="W79" s="114">
        <v>0</v>
      </c>
      <c r="X79" s="115">
        <v>0</v>
      </c>
      <c r="Y79" s="113">
        <v>0</v>
      </c>
      <c r="Z79" s="113">
        <v>661.68</v>
      </c>
      <c r="AA79" s="113">
        <v>285.22000000000003</v>
      </c>
      <c r="AB79" s="113">
        <v>417.66</v>
      </c>
      <c r="AC79" s="113">
        <v>326.58</v>
      </c>
      <c r="AD79" s="113">
        <v>376.48</v>
      </c>
      <c r="AE79" s="113">
        <v>309.66000000000003</v>
      </c>
      <c r="AF79" s="113">
        <v>308.52</v>
      </c>
      <c r="AG79" s="113">
        <v>229.02</v>
      </c>
      <c r="AH79" s="113">
        <v>133.47999999999999</v>
      </c>
      <c r="AI79" s="113">
        <v>384.64</v>
      </c>
      <c r="AJ79" s="113">
        <v>3.12</v>
      </c>
      <c r="AK79" s="113">
        <f t="shared" si="7"/>
        <v>-2781.9</v>
      </c>
      <c r="AM79" s="309"/>
    </row>
    <row r="80" spans="1:39" x14ac:dyDescent="0.3">
      <c r="A80" s="109" t="str">
        <f t="shared" si="6"/>
        <v>debit    6666020602  Training costs Outside the group</v>
      </c>
      <c r="B80" s="112" t="s">
        <v>273</v>
      </c>
      <c r="C80" s="113">
        <f>IFERROR(VLOOKUP($A80,MTD!$A$13:$D$1048576,3,0),0)</f>
        <v>271.35000000000002</v>
      </c>
      <c r="D80" s="113">
        <f>IFERROR(VLOOKUP($A80,MTD!$A$13:$D$1048576,4,0),0)</f>
        <v>8623.0300000000007</v>
      </c>
      <c r="E80" s="113"/>
      <c r="F80" s="113"/>
      <c r="G80" s="112" t="s">
        <v>273</v>
      </c>
      <c r="H80" s="114">
        <v>0</v>
      </c>
      <c r="I80" s="114">
        <v>0</v>
      </c>
      <c r="J80" s="115">
        <v>0</v>
      </c>
      <c r="K80" s="113">
        <v>0</v>
      </c>
      <c r="P80" s="112" t="s">
        <v>273</v>
      </c>
      <c r="Q80" s="113">
        <f>IFERROR(VLOOKUP($A80,YTD!$A$13:$D$1048576,3,0),0)</f>
        <v>887.63</v>
      </c>
      <c r="R80" s="113">
        <f>IFERROR(VLOOKUP($A80,YTD!$A$13:$D$1048576,4,0),0)</f>
        <v>103406.51</v>
      </c>
      <c r="S80" s="113"/>
      <c r="T80" s="113"/>
      <c r="U80" s="112" t="s">
        <v>273</v>
      </c>
      <c r="V80" s="114">
        <v>0</v>
      </c>
      <c r="W80" s="114">
        <v>0</v>
      </c>
      <c r="X80" s="115">
        <v>0</v>
      </c>
      <c r="Y80" s="113">
        <v>0</v>
      </c>
      <c r="Z80" s="113">
        <v>0</v>
      </c>
      <c r="AA80" s="113">
        <v>0</v>
      </c>
      <c r="AB80" s="113">
        <v>97.88</v>
      </c>
      <c r="AC80" s="113">
        <v>7.56</v>
      </c>
      <c r="AD80" s="113">
        <v>0</v>
      </c>
      <c r="AE80" s="113">
        <v>406.66</v>
      </c>
      <c r="AF80" s="113">
        <v>79.680000000000007</v>
      </c>
      <c r="AG80" s="113">
        <v>0.22</v>
      </c>
      <c r="AH80" s="113">
        <v>0</v>
      </c>
      <c r="AI80" s="113">
        <v>576.34</v>
      </c>
      <c r="AJ80" s="113">
        <v>-552.05999999999995</v>
      </c>
      <c r="AK80" s="113">
        <f t="shared" si="7"/>
        <v>271.35000000000002</v>
      </c>
      <c r="AM80" s="309"/>
    </row>
    <row r="81" spans="1:39" x14ac:dyDescent="0.3">
      <c r="A81" s="109" t="str">
        <f t="shared" si="6"/>
        <v>debit    6666020701  Enterprise Property Insurance</v>
      </c>
      <c r="B81" s="112" t="s">
        <v>274</v>
      </c>
      <c r="C81" s="113">
        <f>IFERROR(VLOOKUP($A81,MTD!$A$13:$D$1048576,3,0),0)</f>
        <v>0</v>
      </c>
      <c r="D81" s="116">
        <f>IFERROR(VLOOKUP($A81,MTD!$A$13:$D$1048576,4,0),0)</f>
        <v>0</v>
      </c>
      <c r="E81" s="113"/>
      <c r="F81" s="113"/>
      <c r="G81" s="112" t="s">
        <v>274</v>
      </c>
      <c r="H81" s="114">
        <v>0</v>
      </c>
      <c r="I81" s="114">
        <v>0</v>
      </c>
      <c r="J81" s="115">
        <v>0</v>
      </c>
      <c r="K81" s="113">
        <v>0</v>
      </c>
      <c r="P81" s="112" t="s">
        <v>274</v>
      </c>
      <c r="Q81" s="113">
        <f>IFERROR(VLOOKUP($A81,YTD!$A$13:$D$1048576,3,0),0)</f>
        <v>0</v>
      </c>
      <c r="R81" s="116">
        <f>IFERROR(VLOOKUP($A81,YTD!$A$13:$D$1048576,4,0),0)</f>
        <v>0</v>
      </c>
      <c r="S81" s="113"/>
      <c r="T81" s="113"/>
      <c r="U81" s="112" t="s">
        <v>274</v>
      </c>
      <c r="V81" s="114">
        <v>0</v>
      </c>
      <c r="W81" s="114">
        <v>0</v>
      </c>
      <c r="X81" s="115">
        <v>0</v>
      </c>
      <c r="Y81" s="113">
        <v>0</v>
      </c>
      <c r="Z81" s="113">
        <v>0</v>
      </c>
      <c r="AA81" s="113">
        <v>0</v>
      </c>
      <c r="AB81" s="113">
        <v>0</v>
      </c>
      <c r="AC81" s="113">
        <v>0</v>
      </c>
      <c r="AD81" s="113">
        <v>0</v>
      </c>
      <c r="AE81" s="113">
        <v>0</v>
      </c>
      <c r="AF81" s="113">
        <v>0</v>
      </c>
      <c r="AG81" s="113">
        <v>0</v>
      </c>
      <c r="AH81" s="113">
        <v>0</v>
      </c>
      <c r="AI81" s="113">
        <v>0</v>
      </c>
      <c r="AJ81" s="113">
        <v>0</v>
      </c>
      <c r="AK81" s="113">
        <f t="shared" si="7"/>
        <v>0</v>
      </c>
      <c r="AM81" s="309"/>
    </row>
    <row r="82" spans="1:39" x14ac:dyDescent="0.3">
      <c r="A82" s="109" t="str">
        <f t="shared" si="6"/>
        <v>debit    6666020802  Equipment rental cost</v>
      </c>
      <c r="B82" s="112" t="s">
        <v>275</v>
      </c>
      <c r="C82" s="113">
        <f>IFERROR(VLOOKUP($A82,MTD!$A$13:$D$1048576,3,0),0)</f>
        <v>23864.86</v>
      </c>
      <c r="D82" s="113">
        <f>IFERROR(VLOOKUP($A82,MTD!$A$13:$D$1048576,4,0),0)</f>
        <v>37098.519999999997</v>
      </c>
      <c r="E82" s="113"/>
      <c r="F82" s="113"/>
      <c r="G82" s="112" t="s">
        <v>275</v>
      </c>
      <c r="H82" s="114">
        <v>0</v>
      </c>
      <c r="I82" s="114">
        <v>0</v>
      </c>
      <c r="J82" s="115">
        <v>0</v>
      </c>
      <c r="K82" s="113">
        <v>0</v>
      </c>
      <c r="P82" s="112" t="s">
        <v>275</v>
      </c>
      <c r="Q82" s="113">
        <f>IFERROR(VLOOKUP($A82,YTD!$A$13:$D$1048576,3,0),0)</f>
        <v>284725.03000000003</v>
      </c>
      <c r="R82" s="113">
        <f>IFERROR(VLOOKUP($A82,YTD!$A$13:$D$1048576,4,0),0)</f>
        <v>403077.04</v>
      </c>
      <c r="S82" s="113"/>
      <c r="T82" s="113"/>
      <c r="U82" s="112" t="s">
        <v>275</v>
      </c>
      <c r="V82" s="114">
        <v>0</v>
      </c>
      <c r="W82" s="114">
        <v>0</v>
      </c>
      <c r="X82" s="115">
        <v>0</v>
      </c>
      <c r="Y82" s="113">
        <v>0</v>
      </c>
      <c r="Z82" s="113">
        <v>25195.9</v>
      </c>
      <c r="AA82" s="113">
        <v>23156.02</v>
      </c>
      <c r="AB82" s="113">
        <v>23270</v>
      </c>
      <c r="AC82" s="113">
        <v>23270</v>
      </c>
      <c r="AD82" s="113">
        <v>23270</v>
      </c>
      <c r="AE82" s="113">
        <v>25124.44</v>
      </c>
      <c r="AF82" s="113">
        <v>23253.54</v>
      </c>
      <c r="AG82" s="113">
        <v>21670</v>
      </c>
      <c r="AH82" s="113">
        <v>23305.13</v>
      </c>
      <c r="AI82" s="113">
        <v>26720.62</v>
      </c>
      <c r="AJ82" s="113">
        <v>22624.52</v>
      </c>
      <c r="AK82" s="113">
        <f t="shared" si="7"/>
        <v>23864.86</v>
      </c>
      <c r="AM82" s="309"/>
    </row>
    <row r="83" spans="1:39" x14ac:dyDescent="0.3">
      <c r="A83" s="109" t="str">
        <f t="shared" si="6"/>
        <v>debit    6666020803  Car rental cost</v>
      </c>
      <c r="B83" s="112" t="s">
        <v>276</v>
      </c>
      <c r="C83" s="113">
        <f>IFERROR(VLOOKUP($A83,MTD!$A$13:$D$1048576,3,0),0)</f>
        <v>-1184.03</v>
      </c>
      <c r="D83" s="113">
        <f>IFERROR(VLOOKUP($A83,MTD!$A$13:$D$1048576,4,0),0)</f>
        <v>8535.82</v>
      </c>
      <c r="E83" s="113"/>
      <c r="F83" s="113"/>
      <c r="G83" s="112" t="s">
        <v>276</v>
      </c>
      <c r="H83" s="114">
        <v>0</v>
      </c>
      <c r="I83" s="114">
        <v>0</v>
      </c>
      <c r="J83" s="115">
        <v>0</v>
      </c>
      <c r="K83" s="113">
        <v>0</v>
      </c>
      <c r="P83" s="112" t="s">
        <v>276</v>
      </c>
      <c r="Q83" s="113">
        <f>IFERROR(VLOOKUP($A83,YTD!$A$13:$D$1048576,3,0),0)</f>
        <v>103456.31</v>
      </c>
      <c r="R83" s="113">
        <f>IFERROR(VLOOKUP($A83,YTD!$A$13:$D$1048576,4,0),0)</f>
        <v>101929.89</v>
      </c>
      <c r="S83" s="113"/>
      <c r="T83" s="113"/>
      <c r="U83" s="112" t="s">
        <v>276</v>
      </c>
      <c r="V83" s="114">
        <v>0</v>
      </c>
      <c r="W83" s="114">
        <v>0</v>
      </c>
      <c r="X83" s="115">
        <v>0</v>
      </c>
      <c r="Y83" s="113">
        <v>0</v>
      </c>
      <c r="Z83" s="113">
        <v>10249.84</v>
      </c>
      <c r="AA83" s="113">
        <v>9865.61</v>
      </c>
      <c r="AB83" s="113">
        <v>10302.879999999999</v>
      </c>
      <c r="AC83" s="113">
        <v>8263.58</v>
      </c>
      <c r="AD83" s="113">
        <v>9214.14</v>
      </c>
      <c r="AE83" s="113">
        <v>7842</v>
      </c>
      <c r="AF83" s="113">
        <v>7965.17</v>
      </c>
      <c r="AG83" s="113">
        <v>11993.7</v>
      </c>
      <c r="AH83" s="113">
        <v>7761.88</v>
      </c>
      <c r="AI83" s="113">
        <v>14376.68</v>
      </c>
      <c r="AJ83" s="113">
        <v>6804.86</v>
      </c>
      <c r="AK83" s="113">
        <f t="shared" si="7"/>
        <v>-1184.03</v>
      </c>
      <c r="AM83" s="309"/>
    </row>
    <row r="84" spans="1:39" x14ac:dyDescent="0.3">
      <c r="A84" s="109" t="str">
        <f t="shared" si="6"/>
        <v>debit    6666021100  Consulting fees</v>
      </c>
      <c r="B84" s="112" t="s">
        <v>277</v>
      </c>
      <c r="C84" s="113">
        <f>IFERROR(VLOOKUP($A84,MTD!$A$13:$D$1048576,3,0),0)</f>
        <v>-6831.4</v>
      </c>
      <c r="D84" s="113">
        <f>IFERROR(VLOOKUP($A84,MTD!$A$13:$D$1048576,4,0),0)</f>
        <v>24854.78</v>
      </c>
      <c r="E84" s="113"/>
      <c r="F84" s="113"/>
      <c r="G84" s="112" t="s">
        <v>277</v>
      </c>
      <c r="H84" s="114">
        <v>0</v>
      </c>
      <c r="I84" s="114">
        <v>0</v>
      </c>
      <c r="J84" s="115">
        <v>0</v>
      </c>
      <c r="K84" s="113">
        <v>0</v>
      </c>
      <c r="P84" s="112" t="s">
        <v>277</v>
      </c>
      <c r="Q84" s="113">
        <f>IFERROR(VLOOKUP($A84,YTD!$A$13:$D$1048576,3,0),0)</f>
        <v>209322.45</v>
      </c>
      <c r="R84" s="113">
        <f>IFERROR(VLOOKUP($A84,YTD!$A$13:$D$1048576,4,0),0)</f>
        <v>297253.76000000001</v>
      </c>
      <c r="S84" s="113"/>
      <c r="T84" s="113"/>
      <c r="U84" s="112" t="s">
        <v>277</v>
      </c>
      <c r="V84" s="114">
        <v>0</v>
      </c>
      <c r="W84" s="114">
        <v>0</v>
      </c>
      <c r="X84" s="115">
        <v>0</v>
      </c>
      <c r="Y84" s="113">
        <v>0</v>
      </c>
      <c r="Z84" s="113">
        <v>28142.18</v>
      </c>
      <c r="AA84" s="113">
        <v>28428.3</v>
      </c>
      <c r="AB84" s="113">
        <v>21171.78</v>
      </c>
      <c r="AC84" s="113">
        <v>18680.060000000001</v>
      </c>
      <c r="AD84" s="113">
        <v>19459.04</v>
      </c>
      <c r="AE84" s="113">
        <v>17154.38</v>
      </c>
      <c r="AF84" s="113">
        <v>17600.060000000001</v>
      </c>
      <c r="AG84" s="113">
        <v>16881.900000000001</v>
      </c>
      <c r="AH84" s="113">
        <v>16885.45</v>
      </c>
      <c r="AI84" s="113">
        <v>17327.8</v>
      </c>
      <c r="AJ84" s="113">
        <v>14422.9</v>
      </c>
      <c r="AK84" s="113">
        <f t="shared" si="7"/>
        <v>-6831.4</v>
      </c>
      <c r="AM84" s="309"/>
    </row>
    <row r="85" spans="1:39" x14ac:dyDescent="0.3">
      <c r="A85" s="109" t="str">
        <f t="shared" si="6"/>
        <v>debit    6666021902  Cleaning fees</v>
      </c>
      <c r="B85" s="112" t="s">
        <v>278</v>
      </c>
      <c r="C85" s="113">
        <f>IFERROR(VLOOKUP($A85,MTD!$A$13:$D$1048576,3,0),0)</f>
        <v>15041.11</v>
      </c>
      <c r="D85" s="113">
        <f>IFERROR(VLOOKUP($A85,MTD!$A$13:$D$1048576,4,0),0)</f>
        <v>21742.2</v>
      </c>
      <c r="E85" s="113"/>
      <c r="F85" s="113"/>
      <c r="G85" s="112" t="s">
        <v>278</v>
      </c>
      <c r="H85" s="114">
        <v>0</v>
      </c>
      <c r="I85" s="114">
        <v>0</v>
      </c>
      <c r="J85" s="115">
        <v>0</v>
      </c>
      <c r="K85" s="113">
        <v>0</v>
      </c>
      <c r="P85" s="112" t="s">
        <v>278</v>
      </c>
      <c r="Q85" s="113">
        <f>IFERROR(VLOOKUP($A85,YTD!$A$13:$D$1048576,3,0),0)</f>
        <v>207841.02</v>
      </c>
      <c r="R85" s="113">
        <f>IFERROR(VLOOKUP($A85,YTD!$A$13:$D$1048576,4,0),0)</f>
        <v>260906.4</v>
      </c>
      <c r="S85" s="113"/>
      <c r="T85" s="113"/>
      <c r="U85" s="112" t="s">
        <v>278</v>
      </c>
      <c r="V85" s="114">
        <v>0</v>
      </c>
      <c r="W85" s="114">
        <v>0</v>
      </c>
      <c r="X85" s="115">
        <v>0</v>
      </c>
      <c r="Y85" s="113">
        <v>0</v>
      </c>
      <c r="Z85" s="113">
        <v>20192.580000000002</v>
      </c>
      <c r="AA85" s="113">
        <v>20847.09</v>
      </c>
      <c r="AB85" s="113">
        <v>28332.69</v>
      </c>
      <c r="AC85" s="113">
        <v>17626.16</v>
      </c>
      <c r="AD85" s="113">
        <v>16176.88</v>
      </c>
      <c r="AE85" s="113">
        <v>13898.58</v>
      </c>
      <c r="AF85" s="113">
        <v>12470.51</v>
      </c>
      <c r="AG85" s="113">
        <v>16073.65</v>
      </c>
      <c r="AH85" s="113">
        <v>16504.66</v>
      </c>
      <c r="AI85" s="113">
        <v>16465.849999999999</v>
      </c>
      <c r="AJ85" s="113">
        <v>14211.26</v>
      </c>
      <c r="AK85" s="113">
        <f t="shared" si="7"/>
        <v>15041.11</v>
      </c>
      <c r="AM85" s="309"/>
    </row>
    <row r="86" spans="1:39" x14ac:dyDescent="0.3">
      <c r="A86" s="109" t="str">
        <f t="shared" si="6"/>
        <v>debit    6666022100  Security</v>
      </c>
      <c r="B86" s="112" t="s">
        <v>279</v>
      </c>
      <c r="C86" s="113">
        <f>IFERROR(VLOOKUP($A86,MTD!$A$13:$D$1048576,3,0),0)</f>
        <v>7492.8</v>
      </c>
      <c r="D86" s="113">
        <f>IFERROR(VLOOKUP($A86,MTD!$A$13:$D$1048576,4,0),0)</f>
        <v>16092.62</v>
      </c>
      <c r="E86" s="113"/>
      <c r="F86" s="113"/>
      <c r="G86" s="112" t="s">
        <v>279</v>
      </c>
      <c r="H86" s="114">
        <v>0</v>
      </c>
      <c r="I86" s="114">
        <v>0</v>
      </c>
      <c r="J86" s="115">
        <v>0</v>
      </c>
      <c r="K86" s="113">
        <v>0</v>
      </c>
      <c r="P86" s="112" t="s">
        <v>279</v>
      </c>
      <c r="Q86" s="113">
        <f>IFERROR(VLOOKUP($A86,YTD!$A$13:$D$1048576,3,0),0)</f>
        <v>106658.66</v>
      </c>
      <c r="R86" s="113">
        <f>IFERROR(VLOOKUP($A86,YTD!$A$13:$D$1048576,4,0),0)</f>
        <v>193111.44</v>
      </c>
      <c r="S86" s="113"/>
      <c r="T86" s="113"/>
      <c r="U86" s="112" t="s">
        <v>279</v>
      </c>
      <c r="V86" s="114">
        <v>0</v>
      </c>
      <c r="W86" s="114">
        <v>0</v>
      </c>
      <c r="X86" s="115">
        <v>0</v>
      </c>
      <c r="Y86" s="113">
        <v>0</v>
      </c>
      <c r="Z86" s="113">
        <v>12175.02</v>
      </c>
      <c r="AA86" s="113">
        <v>10018.620000000001</v>
      </c>
      <c r="AB86" s="113">
        <v>12439.36</v>
      </c>
      <c r="AC86" s="113">
        <v>9585.74</v>
      </c>
      <c r="AD86" s="113">
        <v>9937.34</v>
      </c>
      <c r="AE86" s="113">
        <v>9841.14</v>
      </c>
      <c r="AF86" s="113">
        <v>7999.58</v>
      </c>
      <c r="AG86" s="113">
        <v>6232.98</v>
      </c>
      <c r="AH86" s="113">
        <v>6062.08</v>
      </c>
      <c r="AI86" s="113">
        <v>7421.6</v>
      </c>
      <c r="AJ86" s="113">
        <v>7452.4</v>
      </c>
      <c r="AK86" s="113">
        <f t="shared" si="7"/>
        <v>7492.8</v>
      </c>
      <c r="AM86" s="309"/>
    </row>
    <row r="87" spans="1:39" x14ac:dyDescent="0.3">
      <c r="A87" s="109" t="str">
        <f t="shared" si="6"/>
        <v>debit    6666022300  Association dues</v>
      </c>
      <c r="B87" s="112" t="s">
        <v>280</v>
      </c>
      <c r="C87" s="113">
        <f>IFERROR(VLOOKUP($A87,MTD!$A$13:$D$1048576,3,0),0)</f>
        <v>0</v>
      </c>
      <c r="D87" s="116">
        <f>IFERROR(VLOOKUP($A87,MTD!$A$13:$D$1048576,4,0),0)</f>
        <v>0</v>
      </c>
      <c r="E87" s="113"/>
      <c r="F87" s="113"/>
      <c r="G87" s="112" t="s">
        <v>280</v>
      </c>
      <c r="H87" s="114">
        <v>0</v>
      </c>
      <c r="I87" s="114">
        <v>0</v>
      </c>
      <c r="J87" s="115">
        <v>0</v>
      </c>
      <c r="K87" s="113">
        <v>0</v>
      </c>
      <c r="P87" s="112" t="s">
        <v>280</v>
      </c>
      <c r="Q87" s="113">
        <f>IFERROR(VLOOKUP($A87,YTD!$A$13:$D$1048576,3,0),0)</f>
        <v>0</v>
      </c>
      <c r="R87" s="116">
        <f>IFERROR(VLOOKUP($A87,YTD!$A$13:$D$1048576,4,0),0)</f>
        <v>0</v>
      </c>
      <c r="S87" s="113"/>
      <c r="T87" s="113"/>
      <c r="U87" s="112" t="s">
        <v>280</v>
      </c>
      <c r="V87" s="114">
        <v>0</v>
      </c>
      <c r="W87" s="114">
        <v>0</v>
      </c>
      <c r="X87" s="115">
        <v>0</v>
      </c>
      <c r="Y87" s="113">
        <v>0</v>
      </c>
      <c r="Z87" s="113">
        <v>0</v>
      </c>
      <c r="AA87" s="113">
        <v>0</v>
      </c>
      <c r="AB87" s="113">
        <v>0</v>
      </c>
      <c r="AC87" s="113">
        <v>0</v>
      </c>
      <c r="AD87" s="113">
        <v>0</v>
      </c>
      <c r="AE87" s="113">
        <v>0</v>
      </c>
      <c r="AF87" s="113">
        <v>0</v>
      </c>
      <c r="AG87" s="113">
        <v>0</v>
      </c>
      <c r="AH87" s="113">
        <v>0</v>
      </c>
      <c r="AI87" s="113">
        <v>0</v>
      </c>
      <c r="AJ87" s="113">
        <v>0</v>
      </c>
      <c r="AK87" s="113">
        <f t="shared" si="7"/>
        <v>0</v>
      </c>
      <c r="AM87" s="309"/>
    </row>
    <row r="88" spans="1:39" x14ac:dyDescent="0.3">
      <c r="A88" s="109" t="str">
        <f t="shared" si="6"/>
        <v>debit    6666029900  Sundry Expenses</v>
      </c>
      <c r="B88" s="112" t="s">
        <v>281</v>
      </c>
      <c r="C88" s="116">
        <f>IFERROR(VLOOKUP($A88,MTD!$A$13:$D$1048576,3,0),0)</f>
        <v>0</v>
      </c>
      <c r="D88" s="116">
        <f>IFERROR(VLOOKUP($A88,MTD!$A$13:$D$1048576,4,0),0)</f>
        <v>0</v>
      </c>
      <c r="E88" s="113"/>
      <c r="F88" s="113"/>
      <c r="G88" s="112" t="s">
        <v>281</v>
      </c>
      <c r="H88" s="114">
        <v>0</v>
      </c>
      <c r="I88" s="114">
        <v>0</v>
      </c>
      <c r="J88" s="115">
        <v>0</v>
      </c>
      <c r="K88" s="113">
        <v>0</v>
      </c>
      <c r="P88" s="112" t="s">
        <v>281</v>
      </c>
      <c r="Q88" s="116">
        <f>IFERROR(VLOOKUP($A88,YTD!$A$13:$D$1048576,3,0),0)</f>
        <v>10153.23</v>
      </c>
      <c r="R88" s="116">
        <f>IFERROR(VLOOKUP($A88,YTD!$A$13:$D$1048576,4,0),0)</f>
        <v>0</v>
      </c>
      <c r="S88" s="113"/>
      <c r="T88" s="113"/>
      <c r="U88" s="112" t="s">
        <v>281</v>
      </c>
      <c r="V88" s="114">
        <v>0</v>
      </c>
      <c r="W88" s="114">
        <v>0</v>
      </c>
      <c r="X88" s="115">
        <v>0</v>
      </c>
      <c r="Y88" s="113">
        <v>0</v>
      </c>
      <c r="Z88" s="113">
        <v>0</v>
      </c>
      <c r="AA88" s="113">
        <v>0</v>
      </c>
      <c r="AB88" s="113">
        <v>0</v>
      </c>
      <c r="AC88" s="113">
        <v>3920.7</v>
      </c>
      <c r="AD88" s="113">
        <v>103.1</v>
      </c>
      <c r="AE88" s="113">
        <v>288.79000000000002</v>
      </c>
      <c r="AF88" s="113">
        <v>5840.64</v>
      </c>
      <c r="AG88" s="113">
        <v>0</v>
      </c>
      <c r="AH88" s="113">
        <v>0</v>
      </c>
      <c r="AI88" s="113">
        <v>0</v>
      </c>
      <c r="AJ88" s="113">
        <v>0</v>
      </c>
      <c r="AK88" s="113">
        <f t="shared" si="7"/>
        <v>0</v>
      </c>
      <c r="AM88" s="309"/>
    </row>
    <row r="89" spans="1:39" x14ac:dyDescent="0.3">
      <c r="A89" s="109" t="str">
        <f t="shared" si="6"/>
        <v>debit    6666029997  restructure cost</v>
      </c>
      <c r="B89" s="112" t="s">
        <v>282</v>
      </c>
      <c r="C89" s="113">
        <f>IFERROR(VLOOKUP($A89,MTD!$A$13:$D$1048576,3,0),0)</f>
        <v>0</v>
      </c>
      <c r="D89" s="113">
        <f>IFERROR(VLOOKUP($A89,MTD!$A$13:$D$1048576,4,0),0)</f>
        <v>889.68</v>
      </c>
      <c r="E89" s="113"/>
      <c r="F89" s="113"/>
      <c r="G89" s="112" t="s">
        <v>282</v>
      </c>
      <c r="H89" s="114">
        <v>0</v>
      </c>
      <c r="I89" s="114">
        <v>0</v>
      </c>
      <c r="J89" s="115">
        <v>0</v>
      </c>
      <c r="K89" s="113">
        <v>0</v>
      </c>
      <c r="P89" s="112" t="s">
        <v>282</v>
      </c>
      <c r="Q89" s="113">
        <f>IFERROR(VLOOKUP($A89,YTD!$A$13:$D$1048576,3,0),0)</f>
        <v>29510.78</v>
      </c>
      <c r="R89" s="113">
        <f>IFERROR(VLOOKUP($A89,YTD!$A$13:$D$1048576,4,0),0)</f>
        <v>10676.16</v>
      </c>
      <c r="S89" s="113"/>
      <c r="T89" s="113"/>
      <c r="U89" s="112" t="s">
        <v>282</v>
      </c>
      <c r="V89" s="114">
        <v>0</v>
      </c>
      <c r="W89" s="114">
        <v>0</v>
      </c>
      <c r="X89" s="115">
        <v>0</v>
      </c>
      <c r="Y89" s="113">
        <v>0</v>
      </c>
      <c r="Z89" s="113">
        <v>1073.3800000000001</v>
      </c>
      <c r="AA89" s="113">
        <v>1030.8599999999999</v>
      </c>
      <c r="AB89" s="113">
        <v>819.82</v>
      </c>
      <c r="AC89" s="113">
        <v>732.46</v>
      </c>
      <c r="AD89" s="113">
        <v>15013.52</v>
      </c>
      <c r="AE89" s="113">
        <v>658.9</v>
      </c>
      <c r="AF89" s="113">
        <v>832.04</v>
      </c>
      <c r="AG89" s="113">
        <v>687.34</v>
      </c>
      <c r="AH89" s="113">
        <v>3652.48</v>
      </c>
      <c r="AI89" s="113">
        <v>824.32</v>
      </c>
      <c r="AJ89" s="113">
        <v>4185.66</v>
      </c>
      <c r="AK89" s="113">
        <f t="shared" si="7"/>
        <v>0</v>
      </c>
      <c r="AM89" s="309"/>
    </row>
    <row r="90" spans="1:39" x14ac:dyDescent="0.3">
      <c r="A90" s="109" t="str">
        <f t="shared" si="6"/>
        <v>debit    6666030300  Design and development fees</v>
      </c>
      <c r="B90" s="112" t="s">
        <v>283</v>
      </c>
      <c r="C90" s="113">
        <f>IFERROR(VLOOKUP($A90,MTD!$A$13:$D$1048576,3,0),0)</f>
        <v>0</v>
      </c>
      <c r="D90" s="116">
        <f>IFERROR(VLOOKUP($A90,MTD!$A$13:$D$1048576,4,0),0)</f>
        <v>0</v>
      </c>
      <c r="E90" s="113"/>
      <c r="F90" s="113"/>
      <c r="G90" s="112" t="s">
        <v>283</v>
      </c>
      <c r="H90" s="114">
        <v>0</v>
      </c>
      <c r="I90" s="114">
        <v>0</v>
      </c>
      <c r="J90" s="115">
        <v>0</v>
      </c>
      <c r="K90" s="113">
        <v>0</v>
      </c>
      <c r="P90" s="112" t="s">
        <v>283</v>
      </c>
      <c r="Q90" s="113">
        <f>IFERROR(VLOOKUP($A90,YTD!$A$13:$D$1048576,3,0),0)</f>
        <v>0</v>
      </c>
      <c r="R90" s="116">
        <f>IFERROR(VLOOKUP($A90,YTD!$A$13:$D$1048576,4,0),0)</f>
        <v>0</v>
      </c>
      <c r="S90" s="113"/>
      <c r="T90" s="113"/>
      <c r="U90" s="112" t="s">
        <v>283</v>
      </c>
      <c r="V90" s="114">
        <v>0</v>
      </c>
      <c r="W90" s="114">
        <v>0</v>
      </c>
      <c r="X90" s="115">
        <v>0</v>
      </c>
      <c r="Y90" s="113">
        <v>0</v>
      </c>
      <c r="Z90" s="113">
        <v>0</v>
      </c>
      <c r="AA90" s="113">
        <v>0</v>
      </c>
      <c r="AB90" s="113">
        <v>0</v>
      </c>
      <c r="AC90" s="113">
        <v>0</v>
      </c>
      <c r="AD90" s="113">
        <v>0</v>
      </c>
      <c r="AE90" s="113">
        <v>0</v>
      </c>
      <c r="AF90" s="113">
        <v>0</v>
      </c>
      <c r="AG90" s="113">
        <v>0</v>
      </c>
      <c r="AH90" s="113">
        <v>0</v>
      </c>
      <c r="AI90" s="113">
        <v>0</v>
      </c>
      <c r="AJ90" s="113">
        <v>0</v>
      </c>
      <c r="AK90" s="113">
        <f t="shared" si="7"/>
        <v>0</v>
      </c>
      <c r="AM90" s="309"/>
    </row>
    <row r="91" spans="1:39" x14ac:dyDescent="0.3">
      <c r="A91" s="109" t="str">
        <f t="shared" si="6"/>
        <v>debit    6666030702  R&amp;D prototype purchased</v>
      </c>
      <c r="B91" s="112" t="s">
        <v>284</v>
      </c>
      <c r="C91" s="113">
        <f>IFERROR(VLOOKUP($A91,MTD!$A$13:$D$1048576,3,0),0)</f>
        <v>0</v>
      </c>
      <c r="D91" s="116">
        <f>IFERROR(VLOOKUP($A91,MTD!$A$13:$D$1048576,4,0),0)</f>
        <v>0</v>
      </c>
      <c r="E91" s="113"/>
      <c r="F91" s="113"/>
      <c r="G91" s="112" t="s">
        <v>284</v>
      </c>
      <c r="H91" s="114">
        <v>0</v>
      </c>
      <c r="I91" s="114">
        <v>0</v>
      </c>
      <c r="J91" s="115">
        <v>0</v>
      </c>
      <c r="K91" s="113">
        <v>0</v>
      </c>
      <c r="P91" s="112" t="s">
        <v>284</v>
      </c>
      <c r="Q91" s="113">
        <f>IFERROR(VLOOKUP($A91,YTD!$A$13:$D$1048576,3,0),0)</f>
        <v>0</v>
      </c>
      <c r="R91" s="116">
        <f>IFERROR(VLOOKUP($A91,YTD!$A$13:$D$1048576,4,0),0)</f>
        <v>0</v>
      </c>
      <c r="S91" s="113"/>
      <c r="T91" s="113"/>
      <c r="U91" s="112" t="s">
        <v>284</v>
      </c>
      <c r="V91" s="114">
        <v>0</v>
      </c>
      <c r="W91" s="114">
        <v>0</v>
      </c>
      <c r="X91" s="115">
        <v>0</v>
      </c>
      <c r="Y91" s="113">
        <v>0</v>
      </c>
      <c r="Z91" s="113">
        <v>0</v>
      </c>
      <c r="AA91" s="113">
        <v>0</v>
      </c>
      <c r="AB91" s="113">
        <v>0</v>
      </c>
      <c r="AC91" s="113">
        <v>0</v>
      </c>
      <c r="AD91" s="113">
        <v>0</v>
      </c>
      <c r="AE91" s="113">
        <v>0</v>
      </c>
      <c r="AF91" s="113">
        <v>0</v>
      </c>
      <c r="AG91" s="113">
        <v>0</v>
      </c>
      <c r="AH91" s="113">
        <v>0</v>
      </c>
      <c r="AI91" s="113">
        <v>0</v>
      </c>
      <c r="AJ91" s="113">
        <v>0</v>
      </c>
      <c r="AK91" s="113">
        <f t="shared" si="7"/>
        <v>0</v>
      </c>
      <c r="AM91" s="309"/>
    </row>
    <row r="92" spans="1:39" x14ac:dyDescent="0.3">
      <c r="A92" s="109" t="str">
        <f t="shared" si="6"/>
        <v>debit    6666031200  Instrument fee</v>
      </c>
      <c r="B92" s="112" t="s">
        <v>285</v>
      </c>
      <c r="C92" s="113">
        <f>IFERROR(VLOOKUP($A92,MTD!$A$13:$D$1048576,3,0),0)</f>
        <v>0</v>
      </c>
      <c r="D92" s="116">
        <f>IFERROR(VLOOKUP($A92,MTD!$A$13:$D$1048576,4,0),0)</f>
        <v>0</v>
      </c>
      <c r="E92" s="113"/>
      <c r="F92" s="113"/>
      <c r="G92" s="112" t="s">
        <v>285</v>
      </c>
      <c r="H92" s="114">
        <v>0</v>
      </c>
      <c r="I92" s="114">
        <v>0</v>
      </c>
      <c r="J92" s="115">
        <v>0</v>
      </c>
      <c r="K92" s="113">
        <v>0</v>
      </c>
      <c r="P92" s="112" t="s">
        <v>285</v>
      </c>
      <c r="Q92" s="113">
        <f>IFERROR(VLOOKUP($A92,YTD!$A$13:$D$1048576,3,0),0)</f>
        <v>0</v>
      </c>
      <c r="R92" s="116">
        <f>IFERROR(VLOOKUP($A92,YTD!$A$13:$D$1048576,4,0),0)</f>
        <v>0</v>
      </c>
      <c r="S92" s="113"/>
      <c r="T92" s="113"/>
      <c r="U92" s="112" t="s">
        <v>285</v>
      </c>
      <c r="V92" s="114">
        <v>0</v>
      </c>
      <c r="W92" s="114">
        <v>0</v>
      </c>
      <c r="X92" s="115">
        <v>0</v>
      </c>
      <c r="Y92" s="113">
        <v>0</v>
      </c>
      <c r="Z92" s="113">
        <v>0</v>
      </c>
      <c r="AA92" s="113">
        <v>0</v>
      </c>
      <c r="AB92" s="113">
        <v>0</v>
      </c>
      <c r="AC92" s="113">
        <v>0</v>
      </c>
      <c r="AD92" s="113">
        <v>0</v>
      </c>
      <c r="AE92" s="113">
        <v>0</v>
      </c>
      <c r="AF92" s="113">
        <v>0</v>
      </c>
      <c r="AG92" s="113">
        <v>0</v>
      </c>
      <c r="AH92" s="113">
        <v>0</v>
      </c>
      <c r="AI92" s="113">
        <v>0</v>
      </c>
      <c r="AJ92" s="113">
        <v>0</v>
      </c>
      <c r="AK92" s="113">
        <f t="shared" si="7"/>
        <v>0</v>
      </c>
      <c r="AM92" s="309"/>
    </row>
    <row r="93" spans="1:39" x14ac:dyDescent="0.3">
      <c r="A93" s="109" t="str">
        <f t="shared" si="6"/>
        <v>debit    6666050107  Special distribution costs</v>
      </c>
      <c r="B93" s="112" t="s">
        <v>286</v>
      </c>
      <c r="C93" s="113">
        <f>IFERROR(VLOOKUP($A93,MTD!$A$13:$D$1048576,3,0),0)</f>
        <v>0</v>
      </c>
      <c r="D93" s="116">
        <f>IFERROR(VLOOKUP($A93,MTD!$A$13:$D$1048576,4,0),0)</f>
        <v>0</v>
      </c>
      <c r="E93" s="113"/>
      <c r="F93" s="113"/>
      <c r="G93" s="112" t="s">
        <v>286</v>
      </c>
      <c r="H93" s="114">
        <v>0</v>
      </c>
      <c r="I93" s="114">
        <v>0</v>
      </c>
      <c r="J93" s="115">
        <v>0</v>
      </c>
      <c r="K93" s="113">
        <v>0</v>
      </c>
      <c r="P93" s="112" t="s">
        <v>286</v>
      </c>
      <c r="Q93" s="113">
        <f>IFERROR(VLOOKUP($A93,YTD!$A$13:$D$1048576,3,0),0)</f>
        <v>3.13</v>
      </c>
      <c r="R93" s="116">
        <f>IFERROR(VLOOKUP($A93,YTD!$A$13:$D$1048576,4,0),0)</f>
        <v>0</v>
      </c>
      <c r="S93" s="113"/>
      <c r="T93" s="113"/>
      <c r="U93" s="112" t="s">
        <v>286</v>
      </c>
      <c r="V93" s="114">
        <v>0</v>
      </c>
      <c r="W93" s="114">
        <v>0</v>
      </c>
      <c r="X93" s="115">
        <v>0</v>
      </c>
      <c r="Y93" s="113">
        <v>0</v>
      </c>
      <c r="Z93" s="113">
        <v>0</v>
      </c>
      <c r="AA93" s="113">
        <v>0</v>
      </c>
      <c r="AB93" s="113">
        <v>0</v>
      </c>
      <c r="AC93" s="113">
        <v>1.24</v>
      </c>
      <c r="AD93" s="113">
        <v>2.0699999999999998</v>
      </c>
      <c r="AE93" s="113">
        <v>0</v>
      </c>
      <c r="AF93" s="113">
        <v>0</v>
      </c>
      <c r="AG93" s="113">
        <v>0</v>
      </c>
      <c r="AH93" s="113">
        <v>-0.18</v>
      </c>
      <c r="AI93" s="113">
        <v>0</v>
      </c>
      <c r="AJ93" s="113">
        <v>0</v>
      </c>
      <c r="AK93" s="113">
        <f t="shared" si="7"/>
        <v>0</v>
      </c>
      <c r="AM93" s="309"/>
    </row>
    <row r="94" spans="1:39" x14ac:dyDescent="0.3">
      <c r="A94" s="109" t="str">
        <f t="shared" si="6"/>
        <v>debit    6666050312  Inventory count different- Semifinished</v>
      </c>
      <c r="B94" s="138" t="s">
        <v>211</v>
      </c>
      <c r="C94" s="113">
        <f>IFERROR(VLOOKUP($A94,MTD!$A$13:$D$1048576,3,0),0)</f>
        <v>220553.27</v>
      </c>
      <c r="D94" s="116">
        <f>IFERROR(VLOOKUP($A94,MTD!$A$13:$D$1048576,4,0),0)</f>
        <v>0</v>
      </c>
      <c r="E94" s="113"/>
      <c r="F94" s="113"/>
      <c r="G94" s="112" t="s">
        <v>211</v>
      </c>
      <c r="H94" s="114">
        <v>0</v>
      </c>
      <c r="I94" s="114">
        <v>0</v>
      </c>
      <c r="J94" s="115">
        <v>0</v>
      </c>
      <c r="K94" s="113">
        <v>0</v>
      </c>
      <c r="P94" s="138" t="s">
        <v>211</v>
      </c>
      <c r="Q94" s="113">
        <f>IFERROR(VLOOKUP($A94,YTD!$A$13:$D$1048576,3,0),0)</f>
        <v>402034.93</v>
      </c>
      <c r="R94" s="116">
        <f>IFERROR(VLOOKUP($A94,YTD!$A$13:$D$1048576,4,0),0)</f>
        <v>0</v>
      </c>
      <c r="S94" s="113"/>
      <c r="T94" s="113"/>
      <c r="U94" s="112" t="s">
        <v>211</v>
      </c>
      <c r="V94" s="114">
        <v>0</v>
      </c>
      <c r="W94" s="114">
        <v>0</v>
      </c>
      <c r="X94" s="115">
        <v>0</v>
      </c>
      <c r="Y94" s="113">
        <v>0</v>
      </c>
      <c r="Z94" s="113">
        <v>0</v>
      </c>
      <c r="AA94" s="113">
        <v>374.16</v>
      </c>
      <c r="AB94" s="113">
        <v>549.27</v>
      </c>
      <c r="AC94" s="113">
        <v>243.42</v>
      </c>
      <c r="AD94" s="113">
        <v>2780.73</v>
      </c>
      <c r="AE94" s="113">
        <v>164159.06</v>
      </c>
      <c r="AF94" s="113">
        <v>-1000.07</v>
      </c>
      <c r="AG94" s="113">
        <v>4599.3</v>
      </c>
      <c r="AH94" s="113">
        <v>10193.76</v>
      </c>
      <c r="AI94" s="113">
        <v>4132.33</v>
      </c>
      <c r="AJ94" s="113">
        <v>-4550.3</v>
      </c>
      <c r="AK94" s="113">
        <f t="shared" ref="AK94:AK157" si="8">C94</f>
        <v>220553.27</v>
      </c>
      <c r="AM94" s="309"/>
    </row>
    <row r="95" spans="1:39" x14ac:dyDescent="0.3">
      <c r="A95" s="109" t="str">
        <f t="shared" si="6"/>
        <v>debit    6666070100  Software purchase, development and imple</v>
      </c>
      <c r="B95" s="112" t="s">
        <v>287</v>
      </c>
      <c r="C95" s="113">
        <f>IFERROR(VLOOKUP($A95,MTD!$A$13:$D$1048576,3,0),0)</f>
        <v>0</v>
      </c>
      <c r="D95" s="116">
        <f>IFERROR(VLOOKUP($A95,MTD!$A$13:$D$1048576,4,0),0)</f>
        <v>0</v>
      </c>
      <c r="E95" s="113"/>
      <c r="F95" s="113"/>
      <c r="G95" s="112" t="s">
        <v>287</v>
      </c>
      <c r="H95" s="114">
        <v>0</v>
      </c>
      <c r="I95" s="114">
        <v>0</v>
      </c>
      <c r="J95" s="115">
        <v>0</v>
      </c>
      <c r="K95" s="113">
        <v>0</v>
      </c>
      <c r="P95" s="112" t="s">
        <v>287</v>
      </c>
      <c r="Q95" s="113">
        <f>IFERROR(VLOOKUP($A95,YTD!$A$13:$D$1048576,3,0),0)</f>
        <v>0</v>
      </c>
      <c r="R95" s="116">
        <f>IFERROR(VLOOKUP($A95,YTD!$A$13:$D$1048576,4,0),0)</f>
        <v>0</v>
      </c>
      <c r="S95" s="113"/>
      <c r="T95" s="113"/>
      <c r="U95" s="112" t="s">
        <v>287</v>
      </c>
      <c r="V95" s="114">
        <v>0</v>
      </c>
      <c r="W95" s="114">
        <v>0</v>
      </c>
      <c r="X95" s="115">
        <v>0</v>
      </c>
      <c r="Y95" s="113">
        <v>0</v>
      </c>
      <c r="Z95" s="113">
        <v>0</v>
      </c>
      <c r="AA95" s="113">
        <v>0</v>
      </c>
      <c r="AB95" s="113">
        <v>0</v>
      </c>
      <c r="AC95" s="113">
        <v>0</v>
      </c>
      <c r="AD95" s="113">
        <v>0</v>
      </c>
      <c r="AE95" s="113">
        <v>0</v>
      </c>
      <c r="AF95" s="113">
        <v>0</v>
      </c>
      <c r="AG95" s="113">
        <v>0</v>
      </c>
      <c r="AH95" s="113">
        <v>0</v>
      </c>
      <c r="AI95" s="113">
        <v>0</v>
      </c>
      <c r="AJ95" s="113">
        <v>0</v>
      </c>
      <c r="AK95" s="113">
        <f t="shared" si="8"/>
        <v>0</v>
      </c>
      <c r="AM95" s="309"/>
    </row>
    <row r="96" spans="1:39" x14ac:dyDescent="0.3">
      <c r="A96" s="109" t="str">
        <f t="shared" ref="A96:A148" si="9">"debit"&amp;B96</f>
        <v>debit    6666070300  Software maintenance fees</v>
      </c>
      <c r="B96" s="112" t="s">
        <v>288</v>
      </c>
      <c r="C96" s="116">
        <f>IFERROR(VLOOKUP($A96,MTD!$A$13:$D$1048576,3,0),0)</f>
        <v>0</v>
      </c>
      <c r="D96" s="116">
        <f>IFERROR(VLOOKUP($A96,MTD!$A$13:$D$1048576,4,0),0)</f>
        <v>0</v>
      </c>
      <c r="E96" s="113"/>
      <c r="F96" s="113"/>
      <c r="G96" s="112" t="s">
        <v>288</v>
      </c>
      <c r="H96" s="114">
        <v>0</v>
      </c>
      <c r="I96" s="114">
        <v>0</v>
      </c>
      <c r="J96" s="115">
        <v>0</v>
      </c>
      <c r="K96" s="113">
        <v>0</v>
      </c>
      <c r="P96" s="112" t="s">
        <v>288</v>
      </c>
      <c r="Q96" s="116">
        <f>IFERROR(VLOOKUP($A96,YTD!$A$13:$D$1048576,3,0),0)</f>
        <v>0</v>
      </c>
      <c r="R96" s="116">
        <f>IFERROR(VLOOKUP($A96,YTD!$A$13:$D$1048576,4,0),0)</f>
        <v>0</v>
      </c>
      <c r="S96" s="113"/>
      <c r="T96" s="113"/>
      <c r="U96" s="112" t="s">
        <v>288</v>
      </c>
      <c r="V96" s="114">
        <v>0</v>
      </c>
      <c r="W96" s="114">
        <v>0</v>
      </c>
      <c r="X96" s="115">
        <v>0</v>
      </c>
      <c r="Y96" s="113">
        <v>0</v>
      </c>
      <c r="Z96" s="113">
        <v>0</v>
      </c>
      <c r="AA96" s="113">
        <v>0</v>
      </c>
      <c r="AB96" s="113">
        <v>0</v>
      </c>
      <c r="AC96" s="113">
        <v>0</v>
      </c>
      <c r="AD96" s="113">
        <v>0</v>
      </c>
      <c r="AE96" s="113">
        <v>0</v>
      </c>
      <c r="AF96" s="113">
        <v>0</v>
      </c>
      <c r="AG96" s="113">
        <v>0</v>
      </c>
      <c r="AH96" s="113">
        <v>0</v>
      </c>
      <c r="AI96" s="113">
        <v>0</v>
      </c>
      <c r="AJ96" s="113">
        <v>0</v>
      </c>
      <c r="AK96" s="113">
        <f t="shared" si="8"/>
        <v>0</v>
      </c>
      <c r="AM96" s="309"/>
    </row>
    <row r="97" spans="1:39" x14ac:dyDescent="0.3">
      <c r="A97" s="109" t="str">
        <f t="shared" si="9"/>
        <v>debit    6666070400  IT maint. &amp; repairs hardware</v>
      </c>
      <c r="B97" s="112" t="s">
        <v>289</v>
      </c>
      <c r="C97" s="113">
        <f>IFERROR(VLOOKUP($A97,MTD!$A$13:$D$1048576,3,0),0)</f>
        <v>-3253.54</v>
      </c>
      <c r="D97" s="113">
        <f>IFERROR(VLOOKUP($A97,MTD!$A$13:$D$1048576,4,0),0)</f>
        <v>16439.400000000001</v>
      </c>
      <c r="E97" s="113"/>
      <c r="F97" s="113"/>
      <c r="G97" s="112" t="s">
        <v>289</v>
      </c>
      <c r="H97" s="114">
        <v>0</v>
      </c>
      <c r="I97" s="114">
        <v>0</v>
      </c>
      <c r="J97" s="115">
        <v>0</v>
      </c>
      <c r="K97" s="113">
        <v>0</v>
      </c>
      <c r="P97" s="112" t="s">
        <v>289</v>
      </c>
      <c r="Q97" s="113">
        <f>IFERROR(VLOOKUP($A97,YTD!$A$13:$D$1048576,3,0),0)</f>
        <v>146324.29</v>
      </c>
      <c r="R97" s="113">
        <f>IFERROR(VLOOKUP($A97,YTD!$A$13:$D$1048576,4,0),0)</f>
        <v>197272.8</v>
      </c>
      <c r="S97" s="113"/>
      <c r="T97" s="113"/>
      <c r="U97" s="112" t="s">
        <v>289</v>
      </c>
      <c r="V97" s="114">
        <v>0</v>
      </c>
      <c r="W97" s="114">
        <v>0</v>
      </c>
      <c r="X97" s="115">
        <v>0</v>
      </c>
      <c r="Y97" s="113">
        <v>0</v>
      </c>
      <c r="Z97" s="113">
        <v>14469.2</v>
      </c>
      <c r="AA97" s="113">
        <v>5781.5</v>
      </c>
      <c r="AB97" s="113">
        <v>5166.68</v>
      </c>
      <c r="AC97" s="113">
        <v>19061.939999999999</v>
      </c>
      <c r="AD97" s="113">
        <v>16445.88</v>
      </c>
      <c r="AE97" s="113">
        <v>13644.2</v>
      </c>
      <c r="AF97" s="113">
        <v>14141.76</v>
      </c>
      <c r="AG97" s="113">
        <v>11401.5</v>
      </c>
      <c r="AH97" s="113">
        <v>8813.5400000000009</v>
      </c>
      <c r="AI97" s="113">
        <v>15750.59</v>
      </c>
      <c r="AJ97" s="113">
        <v>24901.040000000001</v>
      </c>
      <c r="AK97" s="113">
        <f t="shared" si="8"/>
        <v>-3253.54</v>
      </c>
      <c r="AM97" s="309"/>
    </row>
    <row r="98" spans="1:39" x14ac:dyDescent="0.3">
      <c r="A98" s="109" t="str">
        <f t="shared" si="9"/>
        <v>debit    5207000011  Gain of tangible asset disposal</v>
      </c>
      <c r="B98" s="112" t="s">
        <v>290</v>
      </c>
      <c r="C98" s="113">
        <f>IFERROR(VLOOKUP($A98,MTD!$A$13:$D$1048576,3,0),0)</f>
        <v>0</v>
      </c>
      <c r="D98" s="116">
        <f>IFERROR(VLOOKUP($A98,MTD!$A$13:$D$1048576,4,0),0)</f>
        <v>0</v>
      </c>
      <c r="E98" s="113"/>
      <c r="F98" s="113"/>
      <c r="G98" s="112" t="s">
        <v>290</v>
      </c>
      <c r="H98" s="114">
        <v>0</v>
      </c>
      <c r="I98" s="114">
        <v>0</v>
      </c>
      <c r="J98" s="115">
        <v>0</v>
      </c>
      <c r="K98" s="113">
        <v>0</v>
      </c>
      <c r="P98" s="112" t="s">
        <v>290</v>
      </c>
      <c r="Q98" s="113">
        <f>IFERROR(VLOOKUP($A98,YTD!$A$13:$D$1048576,3,0),0)</f>
        <v>0</v>
      </c>
      <c r="R98" s="116">
        <f>IFERROR(VLOOKUP($A98,YTD!$A$13:$D$1048576,4,0),0)</f>
        <v>0</v>
      </c>
      <c r="S98" s="113"/>
      <c r="T98" s="113"/>
      <c r="U98" s="112" t="s">
        <v>290</v>
      </c>
      <c r="V98" s="114">
        <v>0</v>
      </c>
      <c r="W98" s="114">
        <v>0</v>
      </c>
      <c r="X98" s="115">
        <v>0</v>
      </c>
      <c r="Y98" s="113">
        <v>0</v>
      </c>
      <c r="Z98" s="113">
        <v>0</v>
      </c>
      <c r="AA98" s="113">
        <v>0</v>
      </c>
      <c r="AB98" s="113">
        <v>0</v>
      </c>
      <c r="AC98" s="113">
        <v>0</v>
      </c>
      <c r="AD98" s="113">
        <v>0</v>
      </c>
      <c r="AE98" s="113">
        <v>0</v>
      </c>
      <c r="AF98" s="113">
        <v>0</v>
      </c>
      <c r="AG98" s="113">
        <v>0</v>
      </c>
      <c r="AH98" s="113">
        <v>0</v>
      </c>
      <c r="AI98" s="113">
        <v>0</v>
      </c>
      <c r="AJ98" s="113">
        <v>0</v>
      </c>
      <c r="AK98" s="113">
        <f t="shared" si="8"/>
        <v>0</v>
      </c>
      <c r="AM98" s="309"/>
    </row>
    <row r="99" spans="1:39" x14ac:dyDescent="0.3">
      <c r="A99" s="109" t="str">
        <f t="shared" si="9"/>
        <v>debit    5401050201  COGS-Freight out-Special and sporadic fr</v>
      </c>
      <c r="B99" s="112" t="s">
        <v>291</v>
      </c>
      <c r="C99" s="113">
        <f>IFERROR(VLOOKUP($A99,MTD!$A$13:$D$1048576,3,0),0)</f>
        <v>0</v>
      </c>
      <c r="D99" s="116">
        <f>IFERROR(VLOOKUP($A99,MTD!$A$13:$D$1048576,4,0),0)</f>
        <v>0</v>
      </c>
      <c r="E99" s="113"/>
      <c r="F99" s="113"/>
      <c r="G99" s="112" t="s">
        <v>291</v>
      </c>
      <c r="H99" s="114"/>
      <c r="I99" s="114"/>
      <c r="J99" s="115"/>
      <c r="K99" s="113"/>
      <c r="P99" s="112" t="s">
        <v>291</v>
      </c>
      <c r="Q99" s="113">
        <f>IFERROR(VLOOKUP($A99,YTD!$A$13:$D$1048576,3,0),0)</f>
        <v>184.69</v>
      </c>
      <c r="R99" s="116">
        <f>IFERROR(VLOOKUP($A99,YTD!$A$13:$D$1048576,4,0),0)</f>
        <v>0</v>
      </c>
      <c r="S99" s="113"/>
      <c r="T99" s="113"/>
      <c r="U99" s="112" t="s">
        <v>291</v>
      </c>
      <c r="V99" s="114"/>
      <c r="W99" s="114"/>
      <c r="X99" s="115"/>
      <c r="Y99" s="113"/>
      <c r="Z99" s="113"/>
      <c r="AA99" s="113"/>
      <c r="AB99" s="113"/>
      <c r="AC99" s="113"/>
      <c r="AD99" s="113"/>
      <c r="AE99" s="113"/>
      <c r="AF99" s="113"/>
      <c r="AG99" s="113"/>
      <c r="AH99" s="113">
        <v>184.69</v>
      </c>
      <c r="AI99" s="113">
        <v>0</v>
      </c>
      <c r="AJ99" s="113">
        <v>0</v>
      </c>
      <c r="AK99" s="113">
        <f t="shared" si="8"/>
        <v>0</v>
      </c>
      <c r="AM99" s="309"/>
    </row>
    <row r="100" spans="1:39" x14ac:dyDescent="0.3">
      <c r="A100" s="109" t="str">
        <f t="shared" si="9"/>
        <v>debit*   CS_Fix Cost</v>
      </c>
      <c r="B100" s="117" t="s">
        <v>210</v>
      </c>
      <c r="C100" s="118">
        <f>IFERROR(VLOOKUP($A100,MTD!$A$13:$D$1048576,3,0),0)</f>
        <v>143862.70000000001</v>
      </c>
      <c r="D100" s="118">
        <f>IFERROR(VLOOKUP($A100,MTD!$A$13:$D$1048576,4,0),0)</f>
        <v>163860.39000000001</v>
      </c>
      <c r="E100" s="118"/>
      <c r="F100" s="118"/>
      <c r="G100" s="117" t="s">
        <v>210</v>
      </c>
      <c r="H100" s="119">
        <v>0</v>
      </c>
      <c r="I100" s="119">
        <v>0</v>
      </c>
      <c r="J100" s="120">
        <v>0</v>
      </c>
      <c r="K100" s="118">
        <v>0</v>
      </c>
      <c r="P100" s="117" t="s">
        <v>210</v>
      </c>
      <c r="Q100" s="118">
        <f>IFERROR(VLOOKUP($A100,YTD!$A$13:$D$1048576,3,0),0)</f>
        <v>1609874.37</v>
      </c>
      <c r="R100" s="118">
        <f>IFERROR(VLOOKUP($A100,YTD!$A$13:$D$1048576,4,0),0)</f>
        <v>1922208.43</v>
      </c>
      <c r="S100" s="118"/>
      <c r="T100" s="118"/>
      <c r="U100" s="117" t="s">
        <v>210</v>
      </c>
      <c r="V100" s="119">
        <v>0</v>
      </c>
      <c r="W100" s="119">
        <v>0</v>
      </c>
      <c r="X100" s="120">
        <v>0</v>
      </c>
      <c r="Y100" s="118">
        <v>0</v>
      </c>
      <c r="Z100" s="118">
        <v>120556.79</v>
      </c>
      <c r="AA100" s="118">
        <v>127372.55</v>
      </c>
      <c r="AB100" s="118">
        <v>133013.62</v>
      </c>
      <c r="AC100" s="118">
        <v>130193.7</v>
      </c>
      <c r="AD100" s="118">
        <v>136519.96</v>
      </c>
      <c r="AE100" s="118">
        <v>277244.32</v>
      </c>
      <c r="AF100" s="118">
        <v>117359.63</v>
      </c>
      <c r="AG100" s="118">
        <v>95460.24</v>
      </c>
      <c r="AH100" s="118">
        <v>96485.92</v>
      </c>
      <c r="AI100" s="118">
        <v>131567.94</v>
      </c>
      <c r="AJ100" s="118">
        <v>100237</v>
      </c>
      <c r="AK100" s="118">
        <f t="shared" si="8"/>
        <v>143862.70000000001</v>
      </c>
      <c r="AM100" s="309"/>
    </row>
    <row r="101" spans="1:39" x14ac:dyDescent="0.3">
      <c r="A101" s="109" t="str">
        <f t="shared" si="9"/>
        <v>debit    6666110203  Low value consumables</v>
      </c>
      <c r="B101" s="112" t="s">
        <v>292</v>
      </c>
      <c r="C101" s="113">
        <f>IFERROR(VLOOKUP($A101,MTD!$A$13:$D$1048576,3,0),0)</f>
        <v>-82039.399999999994</v>
      </c>
      <c r="D101" s="113">
        <f>IFERROR(VLOOKUP($A101,MTD!$A$13:$D$1048576,4,0),0)</f>
        <v>52728.66</v>
      </c>
      <c r="E101" s="113"/>
      <c r="F101" s="113"/>
      <c r="G101" s="112" t="s">
        <v>292</v>
      </c>
      <c r="H101" s="114">
        <v>0</v>
      </c>
      <c r="I101" s="114">
        <v>0</v>
      </c>
      <c r="J101" s="115">
        <v>0</v>
      </c>
      <c r="K101" s="113">
        <v>0</v>
      </c>
      <c r="P101" s="112" t="s">
        <v>292</v>
      </c>
      <c r="Q101" s="113">
        <f>IFERROR(VLOOKUP($A101,YTD!$A$13:$D$1048576,3,0),0)</f>
        <v>270438.76</v>
      </c>
      <c r="R101" s="113">
        <f>IFERROR(VLOOKUP($A101,YTD!$A$13:$D$1048576,4,0),0)</f>
        <v>429809.88</v>
      </c>
      <c r="S101" s="113"/>
      <c r="T101" s="113"/>
      <c r="U101" s="112" t="s">
        <v>292</v>
      </c>
      <c r="V101" s="114">
        <v>0</v>
      </c>
      <c r="W101" s="114">
        <v>0</v>
      </c>
      <c r="X101" s="115">
        <v>0</v>
      </c>
      <c r="Y101" s="113">
        <v>0</v>
      </c>
      <c r="Z101" s="113">
        <v>35761.949999999997</v>
      </c>
      <c r="AA101" s="113">
        <v>41344.01</v>
      </c>
      <c r="AB101" s="113">
        <v>25937.759999999998</v>
      </c>
      <c r="AC101" s="113">
        <v>24368.9</v>
      </c>
      <c r="AD101" s="113">
        <v>26554.560000000001</v>
      </c>
      <c r="AE101" s="113">
        <v>14361.35</v>
      </c>
      <c r="AF101" s="113">
        <v>11339.75</v>
      </c>
      <c r="AG101" s="113">
        <v>58917.61</v>
      </c>
      <c r="AH101" s="113">
        <v>36793.839999999997</v>
      </c>
      <c r="AI101" s="113">
        <v>59227.68</v>
      </c>
      <c r="AJ101" s="113">
        <v>17870.75</v>
      </c>
      <c r="AK101" s="113">
        <f t="shared" si="8"/>
        <v>-82039.399999999994</v>
      </c>
      <c r="AM101" s="309"/>
    </row>
    <row r="102" spans="1:39" x14ac:dyDescent="0.3">
      <c r="A102" s="109" t="str">
        <f t="shared" si="9"/>
        <v>debit    5102040000  Other Revenue - Other</v>
      </c>
      <c r="B102" s="112" t="s">
        <v>293</v>
      </c>
      <c r="C102" s="116">
        <f>IFERROR(VLOOKUP($A102,MTD!$A$13:$D$1048576,3,0),0)</f>
        <v>0</v>
      </c>
      <c r="D102" s="116">
        <f>IFERROR(VLOOKUP($A102,MTD!$A$13:$D$1048576,4,0),0)</f>
        <v>0</v>
      </c>
      <c r="E102" s="113"/>
      <c r="F102" s="113"/>
      <c r="G102" s="112" t="s">
        <v>293</v>
      </c>
      <c r="H102" s="114">
        <v>0</v>
      </c>
      <c r="I102" s="114">
        <v>0</v>
      </c>
      <c r="J102" s="115">
        <v>0</v>
      </c>
      <c r="K102" s="113">
        <v>0</v>
      </c>
      <c r="P102" s="112" t="s">
        <v>293</v>
      </c>
      <c r="Q102" s="116">
        <f>IFERROR(VLOOKUP($A102,YTD!$A$13:$D$1048576,3,0),0)</f>
        <v>0</v>
      </c>
      <c r="R102" s="116">
        <f>IFERROR(VLOOKUP($A102,YTD!$A$13:$D$1048576,4,0),0)</f>
        <v>0</v>
      </c>
      <c r="S102" s="113"/>
      <c r="T102" s="113"/>
      <c r="U102" s="112" t="s">
        <v>293</v>
      </c>
      <c r="V102" s="114">
        <v>0</v>
      </c>
      <c r="W102" s="114">
        <v>0</v>
      </c>
      <c r="X102" s="115">
        <v>0</v>
      </c>
      <c r="Y102" s="113">
        <v>0</v>
      </c>
      <c r="Z102" s="113">
        <v>0</v>
      </c>
      <c r="AA102" s="113">
        <v>0</v>
      </c>
      <c r="AB102" s="113">
        <v>0</v>
      </c>
      <c r="AC102" s="113">
        <v>0</v>
      </c>
      <c r="AD102" s="113">
        <v>0</v>
      </c>
      <c r="AE102" s="113">
        <v>0</v>
      </c>
      <c r="AF102" s="113">
        <v>0</v>
      </c>
      <c r="AG102" s="113">
        <v>0</v>
      </c>
      <c r="AH102" s="113">
        <v>0</v>
      </c>
      <c r="AI102" s="113">
        <v>0</v>
      </c>
      <c r="AJ102" s="113">
        <v>0</v>
      </c>
      <c r="AK102" s="113">
        <f t="shared" si="8"/>
        <v>0</v>
      </c>
      <c r="AM102" s="309"/>
    </row>
    <row r="103" spans="1:39" x14ac:dyDescent="0.3">
      <c r="A103" s="109" t="str">
        <f t="shared" si="9"/>
        <v>debit    6666050307  Inventory count different-raw material</v>
      </c>
      <c r="B103" s="138" t="s">
        <v>294</v>
      </c>
      <c r="C103" s="113">
        <f>IFERROR(VLOOKUP($A103,MTD!$A$13:$D$1048576,3,0),0)</f>
        <v>-481026.6</v>
      </c>
      <c r="D103" s="116">
        <f>IFERROR(VLOOKUP($A103,MTD!$A$13:$D$1048576,4,0),0)</f>
        <v>0</v>
      </c>
      <c r="E103" s="113"/>
      <c r="F103" s="113"/>
      <c r="G103" s="112" t="s">
        <v>294</v>
      </c>
      <c r="H103" s="114">
        <v>0</v>
      </c>
      <c r="I103" s="114">
        <v>0</v>
      </c>
      <c r="J103" s="115">
        <v>0</v>
      </c>
      <c r="K103" s="113">
        <v>0</v>
      </c>
      <c r="P103" s="138" t="s">
        <v>294</v>
      </c>
      <c r="Q103" s="113">
        <f>IFERROR(VLOOKUP($A103,YTD!$A$13:$D$1048576,3,0),0)</f>
        <v>-997336.67</v>
      </c>
      <c r="R103" s="116">
        <f>IFERROR(VLOOKUP($A103,YTD!$A$13:$D$1048576,4,0),0)</f>
        <v>0</v>
      </c>
      <c r="S103" s="113"/>
      <c r="T103" s="113"/>
      <c r="U103" s="112" t="s">
        <v>294</v>
      </c>
      <c r="V103" s="114">
        <v>0</v>
      </c>
      <c r="W103" s="114">
        <v>0</v>
      </c>
      <c r="X103" s="115">
        <v>0</v>
      </c>
      <c r="Y103" s="113">
        <v>0</v>
      </c>
      <c r="Z103" s="113">
        <v>-22729.19</v>
      </c>
      <c r="AA103" s="113">
        <v>-36472.21</v>
      </c>
      <c r="AB103" s="113">
        <v>-26628.2</v>
      </c>
      <c r="AC103" s="113">
        <v>-25929.43</v>
      </c>
      <c r="AD103" s="113">
        <v>35641.370000000003</v>
      </c>
      <c r="AE103" s="113">
        <v>-316594.65000000002</v>
      </c>
      <c r="AF103" s="113">
        <v>-11249.92</v>
      </c>
      <c r="AG103" s="113">
        <v>-33978.78</v>
      </c>
      <c r="AH103" s="113">
        <v>-70632.41</v>
      </c>
      <c r="AI103" s="113">
        <v>7320.64</v>
      </c>
      <c r="AJ103" s="113">
        <v>-15057.29</v>
      </c>
      <c r="AK103" s="113">
        <f t="shared" si="8"/>
        <v>-481026.6</v>
      </c>
      <c r="AM103" s="309"/>
    </row>
    <row r="104" spans="1:39" x14ac:dyDescent="0.3">
      <c r="A104" s="109" t="str">
        <f t="shared" si="9"/>
        <v>debit*   CS_Variable Cost</v>
      </c>
      <c r="B104" s="117" t="s">
        <v>212</v>
      </c>
      <c r="C104" s="118">
        <f>IFERROR(VLOOKUP($A104,MTD!$A$13:$D$1048576,3,0),0)</f>
        <v>-563066</v>
      </c>
      <c r="D104" s="118">
        <f>IFERROR(VLOOKUP($A104,MTD!$A$13:$D$1048576,4,0),0)</f>
        <v>52728.66</v>
      </c>
      <c r="E104" s="118"/>
      <c r="F104" s="118"/>
      <c r="G104" s="117" t="s">
        <v>212</v>
      </c>
      <c r="H104" s="119">
        <v>0</v>
      </c>
      <c r="I104" s="119">
        <v>0</v>
      </c>
      <c r="J104" s="120">
        <v>0</v>
      </c>
      <c r="K104" s="118">
        <v>0</v>
      </c>
      <c r="P104" s="117" t="s">
        <v>212</v>
      </c>
      <c r="Q104" s="118">
        <f>IFERROR(VLOOKUP($A104,YTD!$A$13:$D$1048576,3,0),0)</f>
        <v>-726897.91</v>
      </c>
      <c r="R104" s="118">
        <f>IFERROR(VLOOKUP($A104,YTD!$A$13:$D$1048576,4,0),0)</f>
        <v>429809.88</v>
      </c>
      <c r="S104" s="118"/>
      <c r="T104" s="118"/>
      <c r="U104" s="117" t="s">
        <v>212</v>
      </c>
      <c r="V104" s="119">
        <v>0</v>
      </c>
      <c r="W104" s="119">
        <v>0</v>
      </c>
      <c r="X104" s="120">
        <v>0</v>
      </c>
      <c r="Y104" s="118">
        <v>0</v>
      </c>
      <c r="Z104" s="118">
        <v>13032.76</v>
      </c>
      <c r="AA104" s="118">
        <v>4871.8</v>
      </c>
      <c r="AB104" s="118">
        <v>-690.44</v>
      </c>
      <c r="AC104" s="118">
        <v>-1560.53</v>
      </c>
      <c r="AD104" s="118">
        <v>62195.93</v>
      </c>
      <c r="AE104" s="118">
        <v>-302233.3</v>
      </c>
      <c r="AF104" s="118">
        <v>89.83</v>
      </c>
      <c r="AG104" s="118">
        <v>24938.83</v>
      </c>
      <c r="AH104" s="118">
        <v>-33838.57</v>
      </c>
      <c r="AI104" s="118">
        <v>66548.320000000007</v>
      </c>
      <c r="AJ104" s="118">
        <v>2813.46</v>
      </c>
      <c r="AK104" s="118">
        <f t="shared" si="8"/>
        <v>-563066</v>
      </c>
      <c r="AM104" s="309"/>
    </row>
    <row r="105" spans="1:39" x14ac:dyDescent="0.3">
      <c r="A105" s="109" t="str">
        <f t="shared" si="9"/>
        <v>debit    6666100203  Provision for inventory devaluation - RM</v>
      </c>
      <c r="B105" s="112" t="s">
        <v>295</v>
      </c>
      <c r="C105" s="113">
        <f>IFERROR(VLOOKUP($A105,MTD!$A$13:$D$1048576,3,0),0)</f>
        <v>229172.48000000001</v>
      </c>
      <c r="D105" s="113">
        <f>IFERROR(VLOOKUP($A105,MTD!$A$13:$D$1048576,4,0),0)</f>
        <v>50000</v>
      </c>
      <c r="E105" s="113"/>
      <c r="F105" s="113"/>
      <c r="G105" s="112" t="s">
        <v>295</v>
      </c>
      <c r="H105" s="114">
        <v>0</v>
      </c>
      <c r="I105" s="114">
        <v>0</v>
      </c>
      <c r="J105" s="115">
        <v>0</v>
      </c>
      <c r="K105" s="113">
        <v>0</v>
      </c>
      <c r="P105" s="112" t="s">
        <v>295</v>
      </c>
      <c r="Q105" s="113">
        <f>IFERROR(VLOOKUP($A105,YTD!$A$13:$D$1048576,3,0),0)</f>
        <v>529170.62</v>
      </c>
      <c r="R105" s="113">
        <f>IFERROR(VLOOKUP($A105,YTD!$A$13:$D$1048576,4,0),0)</f>
        <v>600000</v>
      </c>
      <c r="S105" s="113"/>
      <c r="T105" s="113"/>
      <c r="U105" s="112" t="s">
        <v>295</v>
      </c>
      <c r="V105" s="114">
        <v>0</v>
      </c>
      <c r="W105" s="114">
        <v>0</v>
      </c>
      <c r="X105" s="115">
        <v>0</v>
      </c>
      <c r="Y105" s="113">
        <v>0</v>
      </c>
      <c r="Z105" s="113">
        <v>55748.62</v>
      </c>
      <c r="AA105" s="113">
        <v>50000</v>
      </c>
      <c r="AB105" s="113">
        <v>50000</v>
      </c>
      <c r="AC105" s="113">
        <v>50000</v>
      </c>
      <c r="AD105" s="113">
        <v>50000</v>
      </c>
      <c r="AE105" s="113">
        <v>50000</v>
      </c>
      <c r="AF105" s="113">
        <v>37887.86</v>
      </c>
      <c r="AG105" s="113">
        <v>-50000</v>
      </c>
      <c r="AH105" s="113">
        <v>-48260.28</v>
      </c>
      <c r="AI105" s="113">
        <v>24621.94</v>
      </c>
      <c r="AJ105" s="113">
        <v>30000</v>
      </c>
      <c r="AK105" s="113">
        <f t="shared" si="8"/>
        <v>229172.48000000001</v>
      </c>
      <c r="AM105" s="309"/>
    </row>
    <row r="106" spans="1:39" x14ac:dyDescent="0.3">
      <c r="A106" s="109" t="str">
        <f t="shared" si="9"/>
        <v>debit*   CS_Obsolescence</v>
      </c>
      <c r="B106" s="117" t="s">
        <v>213</v>
      </c>
      <c r="C106" s="118">
        <f>IFERROR(VLOOKUP($A106,MTD!$A$13:$D$1048576,3,0),0)</f>
        <v>229172.48000000001</v>
      </c>
      <c r="D106" s="118">
        <f>IFERROR(VLOOKUP($A106,MTD!$A$13:$D$1048576,4,0),0)</f>
        <v>50000</v>
      </c>
      <c r="E106" s="118"/>
      <c r="F106" s="118"/>
      <c r="G106" s="117" t="s">
        <v>213</v>
      </c>
      <c r="H106" s="119">
        <v>0</v>
      </c>
      <c r="I106" s="119">
        <v>0</v>
      </c>
      <c r="J106" s="120">
        <v>0</v>
      </c>
      <c r="K106" s="118">
        <v>0</v>
      </c>
      <c r="P106" s="117" t="s">
        <v>213</v>
      </c>
      <c r="Q106" s="118">
        <f>IFERROR(VLOOKUP($A106,YTD!$A$13:$D$1048576,3,0),0)</f>
        <v>529170.62</v>
      </c>
      <c r="R106" s="118">
        <f>IFERROR(VLOOKUP($A106,YTD!$A$13:$D$1048576,4,0),0)</f>
        <v>600000</v>
      </c>
      <c r="S106" s="118"/>
      <c r="T106" s="118"/>
      <c r="U106" s="117" t="s">
        <v>213</v>
      </c>
      <c r="V106" s="119">
        <v>0</v>
      </c>
      <c r="W106" s="119">
        <v>0</v>
      </c>
      <c r="X106" s="120">
        <v>0</v>
      </c>
      <c r="Y106" s="118">
        <v>0</v>
      </c>
      <c r="Z106" s="118">
        <v>55748.62</v>
      </c>
      <c r="AA106" s="118">
        <v>50000</v>
      </c>
      <c r="AB106" s="118">
        <v>50000</v>
      </c>
      <c r="AC106" s="118">
        <v>50000</v>
      </c>
      <c r="AD106" s="118">
        <v>50000</v>
      </c>
      <c r="AE106" s="118">
        <v>50000</v>
      </c>
      <c r="AF106" s="118">
        <v>37887.86</v>
      </c>
      <c r="AG106" s="118">
        <v>-50000</v>
      </c>
      <c r="AH106" s="118">
        <v>-48260.28</v>
      </c>
      <c r="AI106" s="118">
        <v>24621.94</v>
      </c>
      <c r="AJ106" s="118">
        <v>30000</v>
      </c>
      <c r="AK106" s="118">
        <f t="shared" si="8"/>
        <v>229172.48000000001</v>
      </c>
      <c r="AM106" s="309"/>
    </row>
    <row r="107" spans="1:39" x14ac:dyDescent="0.3">
      <c r="A107" s="109" t="str">
        <f t="shared" si="9"/>
        <v>debit    5301070000  Non-operation revenue-sales of scrapped</v>
      </c>
      <c r="B107" s="112" t="s">
        <v>296</v>
      </c>
      <c r="C107" s="113">
        <f>IFERROR(VLOOKUP($A107,MTD!$A$13:$D$1048576,3,0),0)</f>
        <v>-224108.68</v>
      </c>
      <c r="D107" s="113">
        <f>IFERROR(VLOOKUP($A107,MTD!$A$13:$D$1048576,4,0),0)</f>
        <v>-249838.04</v>
      </c>
      <c r="E107" s="113"/>
      <c r="F107" s="113"/>
      <c r="G107" s="112" t="s">
        <v>296</v>
      </c>
      <c r="H107" s="114">
        <v>0</v>
      </c>
      <c r="I107" s="114">
        <v>0</v>
      </c>
      <c r="J107" s="115">
        <v>0</v>
      </c>
      <c r="K107" s="113">
        <v>0</v>
      </c>
      <c r="P107" s="112" t="s">
        <v>296</v>
      </c>
      <c r="Q107" s="113">
        <f>IFERROR(VLOOKUP($A107,YTD!$A$13:$D$1048576,3,0),0)</f>
        <v>-2189060.41</v>
      </c>
      <c r="R107" s="113">
        <f>IFERROR(VLOOKUP($A107,YTD!$A$13:$D$1048576,4,0),0)</f>
        <v>-1882507.62</v>
      </c>
      <c r="S107" s="113"/>
      <c r="T107" s="113"/>
      <c r="U107" s="112" t="s">
        <v>296</v>
      </c>
      <c r="V107" s="114">
        <v>0</v>
      </c>
      <c r="W107" s="114">
        <v>0</v>
      </c>
      <c r="X107" s="115">
        <v>0</v>
      </c>
      <c r="Y107" s="113">
        <v>0</v>
      </c>
      <c r="Z107" s="113">
        <v>-225081.84</v>
      </c>
      <c r="AA107" s="113">
        <v>-171261.58</v>
      </c>
      <c r="AB107" s="113">
        <v>-135855.46</v>
      </c>
      <c r="AC107" s="113">
        <v>-145305.78</v>
      </c>
      <c r="AD107" s="113">
        <v>-146794.82</v>
      </c>
      <c r="AE107" s="113">
        <v>-82001.240000000005</v>
      </c>
      <c r="AF107" s="113">
        <v>-135853.97</v>
      </c>
      <c r="AG107" s="113">
        <v>-224323.84</v>
      </c>
      <c r="AH107" s="113">
        <v>-237646.36</v>
      </c>
      <c r="AI107" s="113">
        <v>-256238.1</v>
      </c>
      <c r="AJ107" s="113">
        <v>-204588.74</v>
      </c>
      <c r="AK107" s="113">
        <f t="shared" si="8"/>
        <v>-224108.68</v>
      </c>
      <c r="AM107" s="309"/>
    </row>
    <row r="108" spans="1:39" x14ac:dyDescent="0.3">
      <c r="A108" s="109" t="str">
        <f t="shared" si="9"/>
        <v>debit*   CS_Reselling</v>
      </c>
      <c r="B108" s="117" t="s">
        <v>214</v>
      </c>
      <c r="C108" s="118">
        <f>IFERROR(VLOOKUP($A108,MTD!$A$13:$D$1048576,3,0),0)</f>
        <v>-224108.68</v>
      </c>
      <c r="D108" s="118">
        <f>IFERROR(VLOOKUP($A108,MTD!$A$13:$D$1048576,4,0),0)</f>
        <v>-249838.04</v>
      </c>
      <c r="E108" s="118"/>
      <c r="F108" s="118"/>
      <c r="G108" s="117" t="s">
        <v>214</v>
      </c>
      <c r="H108" s="119">
        <v>0</v>
      </c>
      <c r="I108" s="119">
        <v>0</v>
      </c>
      <c r="J108" s="120">
        <v>0</v>
      </c>
      <c r="K108" s="118">
        <v>0</v>
      </c>
      <c r="P108" s="117" t="s">
        <v>214</v>
      </c>
      <c r="Q108" s="118">
        <f>IFERROR(VLOOKUP($A108,YTD!$A$13:$D$1048576,3,0),0)</f>
        <v>-2189060.41</v>
      </c>
      <c r="R108" s="118">
        <f>IFERROR(VLOOKUP($A108,YTD!$A$13:$D$1048576,4,0),0)</f>
        <v>-1882507.62</v>
      </c>
      <c r="S108" s="118"/>
      <c r="T108" s="118"/>
      <c r="U108" s="117" t="s">
        <v>214</v>
      </c>
      <c r="V108" s="119">
        <v>0</v>
      </c>
      <c r="W108" s="119">
        <v>0</v>
      </c>
      <c r="X108" s="120">
        <v>0</v>
      </c>
      <c r="Y108" s="118">
        <v>0</v>
      </c>
      <c r="Z108" s="118">
        <v>-225081.84</v>
      </c>
      <c r="AA108" s="118">
        <v>-171261.58</v>
      </c>
      <c r="AB108" s="118">
        <v>-135855.46</v>
      </c>
      <c r="AC108" s="118">
        <v>-145305.78</v>
      </c>
      <c r="AD108" s="118">
        <v>-146794.82</v>
      </c>
      <c r="AE108" s="118">
        <v>-82001.240000000005</v>
      </c>
      <c r="AF108" s="118">
        <v>-135853.97</v>
      </c>
      <c r="AG108" s="118">
        <v>-224323.84</v>
      </c>
      <c r="AH108" s="118">
        <v>-237646.36</v>
      </c>
      <c r="AI108" s="118">
        <v>-256238.1</v>
      </c>
      <c r="AJ108" s="118">
        <v>-204588.74</v>
      </c>
      <c r="AK108" s="118">
        <f t="shared" si="8"/>
        <v>-224108.68</v>
      </c>
      <c r="AM108" s="309"/>
    </row>
    <row r="109" spans="1:39" x14ac:dyDescent="0.3">
      <c r="A109" s="109" t="str">
        <f t="shared" si="9"/>
        <v>debit    6666021602  Electricity</v>
      </c>
      <c r="B109" s="112" t="s">
        <v>297</v>
      </c>
      <c r="C109" s="113">
        <f>IFERROR(VLOOKUP($A109,MTD!$A$13:$D$1048576,3,0),0)</f>
        <v>1174.02</v>
      </c>
      <c r="D109" s="113">
        <f>IFERROR(VLOOKUP($A109,MTD!$A$13:$D$1048576,4,0),0)</f>
        <v>23873.3</v>
      </c>
      <c r="E109" s="113"/>
      <c r="F109" s="113"/>
      <c r="G109" s="112" t="s">
        <v>297</v>
      </c>
      <c r="H109" s="114">
        <v>0</v>
      </c>
      <c r="I109" s="114">
        <v>0</v>
      </c>
      <c r="J109" s="115">
        <v>0</v>
      </c>
      <c r="K109" s="113">
        <v>0</v>
      </c>
      <c r="P109" s="112" t="s">
        <v>297</v>
      </c>
      <c r="Q109" s="113">
        <f>IFERROR(VLOOKUP($A109,YTD!$A$13:$D$1048576,3,0),0)</f>
        <v>16288.92</v>
      </c>
      <c r="R109" s="113">
        <f>IFERROR(VLOOKUP($A109,YTD!$A$13:$D$1048576,4,0),0)</f>
        <v>180296.76</v>
      </c>
      <c r="S109" s="113"/>
      <c r="T109" s="113"/>
      <c r="U109" s="112" t="s">
        <v>297</v>
      </c>
      <c r="V109" s="114">
        <v>0</v>
      </c>
      <c r="W109" s="114">
        <v>0</v>
      </c>
      <c r="X109" s="115">
        <v>0</v>
      </c>
      <c r="Y109" s="113">
        <v>0</v>
      </c>
      <c r="Z109" s="113">
        <v>1466.9</v>
      </c>
      <c r="AA109" s="113">
        <v>2109.14</v>
      </c>
      <c r="AB109" s="113">
        <v>1154.1199999999999</v>
      </c>
      <c r="AC109" s="113">
        <v>932.74</v>
      </c>
      <c r="AD109" s="113">
        <v>1111.28</v>
      </c>
      <c r="AE109" s="113">
        <v>-919.76</v>
      </c>
      <c r="AF109" s="113">
        <v>1466.68</v>
      </c>
      <c r="AG109" s="113">
        <v>1800.44</v>
      </c>
      <c r="AH109" s="113">
        <v>1817.31</v>
      </c>
      <c r="AI109" s="113">
        <v>1807.17</v>
      </c>
      <c r="AJ109" s="113">
        <v>2368.88</v>
      </c>
      <c r="AK109" s="113">
        <f t="shared" si="8"/>
        <v>1174.02</v>
      </c>
      <c r="AM109" s="309"/>
    </row>
    <row r="110" spans="1:39" x14ac:dyDescent="0.3">
      <c r="A110" s="109" t="str">
        <f t="shared" si="9"/>
        <v>debit*   CS_Fix Utilities</v>
      </c>
      <c r="B110" s="117" t="s">
        <v>215</v>
      </c>
      <c r="C110" s="118">
        <f>IFERROR(VLOOKUP($A110,MTD!$A$13:$D$1048576,3,0),0)</f>
        <v>1174.02</v>
      </c>
      <c r="D110" s="118">
        <f>IFERROR(VLOOKUP($A110,MTD!$A$13:$D$1048576,4,0),0)</f>
        <v>23873.3</v>
      </c>
      <c r="E110" s="118"/>
      <c r="F110" s="118"/>
      <c r="G110" s="117" t="s">
        <v>215</v>
      </c>
      <c r="H110" s="119">
        <v>0</v>
      </c>
      <c r="I110" s="119">
        <v>0</v>
      </c>
      <c r="J110" s="120">
        <v>0</v>
      </c>
      <c r="K110" s="118">
        <v>0</v>
      </c>
      <c r="P110" s="117" t="s">
        <v>215</v>
      </c>
      <c r="Q110" s="118">
        <f>IFERROR(VLOOKUP($A110,YTD!$A$13:$D$1048576,3,0),0)</f>
        <v>16288.92</v>
      </c>
      <c r="R110" s="118">
        <f>IFERROR(VLOOKUP($A110,YTD!$A$13:$D$1048576,4,0),0)</f>
        <v>180296.76</v>
      </c>
      <c r="S110" s="118"/>
      <c r="T110" s="118"/>
      <c r="U110" s="117" t="s">
        <v>215</v>
      </c>
      <c r="V110" s="119">
        <v>0</v>
      </c>
      <c r="W110" s="119">
        <v>0</v>
      </c>
      <c r="X110" s="120">
        <v>0</v>
      </c>
      <c r="Y110" s="118">
        <v>0</v>
      </c>
      <c r="Z110" s="118">
        <v>1466.9</v>
      </c>
      <c r="AA110" s="118">
        <v>2109.14</v>
      </c>
      <c r="AB110" s="118">
        <v>1154.1199999999999</v>
      </c>
      <c r="AC110" s="118">
        <v>932.74</v>
      </c>
      <c r="AD110" s="118">
        <v>1111.28</v>
      </c>
      <c r="AE110" s="118">
        <v>-919.76</v>
      </c>
      <c r="AF110" s="118">
        <v>1466.68</v>
      </c>
      <c r="AG110" s="118">
        <v>1800.44</v>
      </c>
      <c r="AH110" s="118">
        <v>1817.31</v>
      </c>
      <c r="AI110" s="118">
        <v>1807.17</v>
      </c>
      <c r="AJ110" s="118">
        <v>2368.88</v>
      </c>
      <c r="AK110" s="118">
        <f t="shared" si="8"/>
        <v>1174.02</v>
      </c>
      <c r="AM110" s="309"/>
    </row>
    <row r="111" spans="1:39" x14ac:dyDescent="0.3">
      <c r="A111" s="109" t="str">
        <f t="shared" si="9"/>
        <v>debit    6666021600  Energy and power cost</v>
      </c>
      <c r="B111" s="112" t="s">
        <v>298</v>
      </c>
      <c r="C111" s="113">
        <f>IFERROR(VLOOKUP($A111,MTD!$A$13:$D$1048576,3,0),0)</f>
        <v>34611.85</v>
      </c>
      <c r="D111" s="113">
        <f>IFERROR(VLOOKUP($A111,MTD!$A$13:$D$1048576,4,0),0)</f>
        <v>69880.509999999995</v>
      </c>
      <c r="E111" s="113"/>
      <c r="F111" s="113"/>
      <c r="G111" s="112" t="s">
        <v>298</v>
      </c>
      <c r="H111" s="114">
        <v>0</v>
      </c>
      <c r="I111" s="114">
        <v>0</v>
      </c>
      <c r="J111" s="115">
        <v>0</v>
      </c>
      <c r="K111" s="113">
        <v>0</v>
      </c>
      <c r="P111" s="112" t="s">
        <v>298</v>
      </c>
      <c r="Q111" s="113">
        <f>IFERROR(VLOOKUP($A111,YTD!$A$13:$D$1048576,3,0),0)</f>
        <v>451500.12</v>
      </c>
      <c r="R111" s="113">
        <f>IFERROR(VLOOKUP($A111,YTD!$A$13:$D$1048576,4,0),0)</f>
        <v>532582.1</v>
      </c>
      <c r="S111" s="113"/>
      <c r="T111" s="113"/>
      <c r="U111" s="112" t="s">
        <v>298</v>
      </c>
      <c r="V111" s="114">
        <v>0</v>
      </c>
      <c r="W111" s="114">
        <v>0</v>
      </c>
      <c r="X111" s="115">
        <v>0</v>
      </c>
      <c r="Y111" s="113">
        <v>0</v>
      </c>
      <c r="Z111" s="113">
        <v>46954.35</v>
      </c>
      <c r="AA111" s="113">
        <v>36303.83</v>
      </c>
      <c r="AB111" s="113">
        <v>33682.269999999997</v>
      </c>
      <c r="AC111" s="113">
        <v>19584.09</v>
      </c>
      <c r="AD111" s="113">
        <v>31029.24</v>
      </c>
      <c r="AE111" s="113">
        <v>19586.86</v>
      </c>
      <c r="AF111" s="113">
        <v>36810.47</v>
      </c>
      <c r="AG111" s="113">
        <v>54579.54</v>
      </c>
      <c r="AH111" s="113">
        <v>44383.19</v>
      </c>
      <c r="AI111" s="113">
        <v>54085.73</v>
      </c>
      <c r="AJ111" s="113">
        <v>39888.699999999997</v>
      </c>
      <c r="AK111" s="113">
        <f t="shared" si="8"/>
        <v>34611.85</v>
      </c>
      <c r="AM111" s="309"/>
    </row>
    <row r="112" spans="1:39" x14ac:dyDescent="0.3">
      <c r="A112" s="109" t="str">
        <f t="shared" si="9"/>
        <v>debit    6666021603  Water</v>
      </c>
      <c r="B112" s="112" t="s">
        <v>299</v>
      </c>
      <c r="C112" s="113">
        <f>IFERROR(VLOOKUP($A112,MTD!$A$13:$D$1048576,3,0),0)</f>
        <v>2237.3000000000002</v>
      </c>
      <c r="D112" s="116">
        <f>IFERROR(VLOOKUP($A112,MTD!$A$13:$D$1048576,4,0),0)</f>
        <v>0</v>
      </c>
      <c r="E112" s="113"/>
      <c r="F112" s="113"/>
      <c r="G112" s="112" t="s">
        <v>299</v>
      </c>
      <c r="H112" s="114">
        <v>0</v>
      </c>
      <c r="I112" s="114">
        <v>0</v>
      </c>
      <c r="J112" s="115">
        <v>0</v>
      </c>
      <c r="K112" s="113">
        <v>0</v>
      </c>
      <c r="P112" s="112" t="s">
        <v>299</v>
      </c>
      <c r="Q112" s="113">
        <f>IFERROR(VLOOKUP($A112,YTD!$A$13:$D$1048576,3,0),0)</f>
        <v>20101.28</v>
      </c>
      <c r="R112" s="116">
        <f>IFERROR(VLOOKUP($A112,YTD!$A$13:$D$1048576,4,0),0)</f>
        <v>0</v>
      </c>
      <c r="S112" s="113"/>
      <c r="T112" s="113"/>
      <c r="U112" s="112" t="s">
        <v>299</v>
      </c>
      <c r="V112" s="114">
        <v>0</v>
      </c>
      <c r="W112" s="114">
        <v>0</v>
      </c>
      <c r="X112" s="115">
        <v>0</v>
      </c>
      <c r="Y112" s="113">
        <v>0</v>
      </c>
      <c r="Z112" s="113">
        <v>1009.92</v>
      </c>
      <c r="AA112" s="113">
        <v>3167.52</v>
      </c>
      <c r="AB112" s="113">
        <v>1742.18</v>
      </c>
      <c r="AC112" s="113">
        <v>1402</v>
      </c>
      <c r="AD112" s="113">
        <v>1657.26</v>
      </c>
      <c r="AE112" s="113">
        <v>1238.56</v>
      </c>
      <c r="AF112" s="113">
        <v>1389.4</v>
      </c>
      <c r="AG112" s="113">
        <v>912.26</v>
      </c>
      <c r="AH112" s="113">
        <v>1412.54</v>
      </c>
      <c r="AI112" s="113">
        <v>940.9</v>
      </c>
      <c r="AJ112" s="113">
        <v>2991.44</v>
      </c>
      <c r="AK112" s="113">
        <f t="shared" si="8"/>
        <v>2237.3000000000002</v>
      </c>
      <c r="AM112" s="309"/>
    </row>
    <row r="113" spans="1:39" x14ac:dyDescent="0.3">
      <c r="A113" s="109" t="str">
        <f t="shared" si="9"/>
        <v>debit    6666021604  Oil &amp; Gas</v>
      </c>
      <c r="B113" s="112" t="s">
        <v>300</v>
      </c>
      <c r="C113" s="312">
        <f>IFERROR(VLOOKUP($A113,MTD!$A$13:$D$1048576,3,0),0)</f>
        <v>13226.7</v>
      </c>
      <c r="D113" s="113">
        <f>IFERROR(VLOOKUP($A113,MTD!$A$13:$D$1048576,4,0),0)</f>
        <v>19005.849999999999</v>
      </c>
      <c r="E113" s="113"/>
      <c r="F113" s="113"/>
      <c r="G113" s="112" t="s">
        <v>300</v>
      </c>
      <c r="H113" s="114">
        <v>0</v>
      </c>
      <c r="I113" s="114">
        <v>0</v>
      </c>
      <c r="J113" s="115">
        <v>0</v>
      </c>
      <c r="K113" s="113">
        <v>0</v>
      </c>
      <c r="P113" s="112" t="s">
        <v>300</v>
      </c>
      <c r="Q113" s="113">
        <f>IFERROR(VLOOKUP($A113,YTD!$A$13:$D$1048576,3,0),0)</f>
        <v>181314.51</v>
      </c>
      <c r="R113" s="113">
        <f>IFERROR(VLOOKUP($A113,YTD!$A$13:$D$1048576,4,0),0)</f>
        <v>135392.01999999999</v>
      </c>
      <c r="S113" s="113"/>
      <c r="T113" s="113"/>
      <c r="U113" s="112" t="s">
        <v>300</v>
      </c>
      <c r="V113" s="114">
        <v>0</v>
      </c>
      <c r="W113" s="114">
        <v>0</v>
      </c>
      <c r="X113" s="115">
        <v>0</v>
      </c>
      <c r="Y113" s="113">
        <v>0</v>
      </c>
      <c r="Z113" s="113">
        <v>14839.13</v>
      </c>
      <c r="AA113" s="113">
        <v>16475.490000000002</v>
      </c>
      <c r="AB113" s="113">
        <v>14871.92</v>
      </c>
      <c r="AC113" s="113">
        <v>10532.79</v>
      </c>
      <c r="AD113" s="113">
        <v>14227.27</v>
      </c>
      <c r="AE113" s="113">
        <v>5055.7299999999996</v>
      </c>
      <c r="AF113" s="113">
        <v>9159.93</v>
      </c>
      <c r="AG113" s="113">
        <v>17765.080000000002</v>
      </c>
      <c r="AH113" s="113">
        <v>15749.04</v>
      </c>
      <c r="AI113" s="113">
        <v>14572.89</v>
      </c>
      <c r="AJ113" s="113">
        <v>34838.54</v>
      </c>
      <c r="AK113" s="113">
        <f t="shared" si="8"/>
        <v>13226.7</v>
      </c>
      <c r="AM113" s="309"/>
    </row>
    <row r="114" spans="1:39" x14ac:dyDescent="0.3">
      <c r="A114" s="109" t="str">
        <f t="shared" si="9"/>
        <v>debit*   CS_Variable Utilities</v>
      </c>
      <c r="B114" s="117" t="s">
        <v>216</v>
      </c>
      <c r="C114" s="118">
        <f>IFERROR(VLOOKUP($A114,MTD!$A$13:$D$1048576,3,0),0)</f>
        <v>50075.85</v>
      </c>
      <c r="D114" s="118">
        <f>IFERROR(VLOOKUP($A114,MTD!$A$13:$D$1048576,4,0),0)</f>
        <v>88886.36</v>
      </c>
      <c r="E114" s="118"/>
      <c r="F114" s="118"/>
      <c r="G114" s="117" t="s">
        <v>216</v>
      </c>
      <c r="H114" s="119">
        <v>0</v>
      </c>
      <c r="I114" s="119">
        <v>0</v>
      </c>
      <c r="J114" s="120">
        <v>0</v>
      </c>
      <c r="K114" s="118">
        <v>0</v>
      </c>
      <c r="P114" s="117" t="s">
        <v>216</v>
      </c>
      <c r="Q114" s="118">
        <f>IFERROR(VLOOKUP($A114,YTD!$A$13:$D$1048576,3,0),0)</f>
        <v>652915.91</v>
      </c>
      <c r="R114" s="118">
        <f>IFERROR(VLOOKUP($A114,YTD!$A$13:$D$1048576,4,0),0)</f>
        <v>667974.12</v>
      </c>
      <c r="S114" s="118"/>
      <c r="T114" s="118"/>
      <c r="U114" s="117" t="s">
        <v>216</v>
      </c>
      <c r="V114" s="119">
        <v>0</v>
      </c>
      <c r="W114" s="119">
        <v>0</v>
      </c>
      <c r="X114" s="120">
        <v>0</v>
      </c>
      <c r="Y114" s="118">
        <v>0</v>
      </c>
      <c r="Z114" s="118">
        <v>62803.4</v>
      </c>
      <c r="AA114" s="118">
        <v>55946.84</v>
      </c>
      <c r="AB114" s="118">
        <v>50296.37</v>
      </c>
      <c r="AC114" s="118">
        <v>31518.880000000001</v>
      </c>
      <c r="AD114" s="118">
        <v>46913.77</v>
      </c>
      <c r="AE114" s="118">
        <v>25881.15</v>
      </c>
      <c r="AF114" s="118">
        <v>47359.8</v>
      </c>
      <c r="AG114" s="118">
        <v>73256.88</v>
      </c>
      <c r="AH114" s="118">
        <v>61544.77</v>
      </c>
      <c r="AI114" s="118">
        <v>69599.520000000004</v>
      </c>
      <c r="AJ114" s="118">
        <v>77718.679999999993</v>
      </c>
      <c r="AK114" s="118">
        <f t="shared" si="8"/>
        <v>50075.85</v>
      </c>
      <c r="AM114" s="309"/>
    </row>
    <row r="115" spans="1:39" x14ac:dyDescent="0.3">
      <c r="A115" s="109" t="str">
        <f t="shared" si="9"/>
        <v>debit    5001010206  Unemployment Insurance -blue collar-Indi</v>
      </c>
      <c r="B115" s="112" t="s">
        <v>301</v>
      </c>
      <c r="C115" s="113">
        <f>IFERROR(VLOOKUP($A115,MTD!$A$13:$D$1048576,3,0),0)</f>
        <v>7533.53</v>
      </c>
      <c r="D115" s="116">
        <f>IFERROR(VLOOKUP($A115,MTD!$A$13:$D$1048576,4,0),0)</f>
        <v>0</v>
      </c>
      <c r="E115" s="113"/>
      <c r="F115" s="113"/>
      <c r="G115" s="112" t="s">
        <v>301</v>
      </c>
      <c r="H115" s="114">
        <v>0</v>
      </c>
      <c r="I115" s="114">
        <v>0</v>
      </c>
      <c r="J115" s="115">
        <v>0</v>
      </c>
      <c r="K115" s="113">
        <v>0</v>
      </c>
      <c r="P115" s="112" t="s">
        <v>301</v>
      </c>
      <c r="Q115" s="113">
        <f>IFERROR(VLOOKUP($A115,YTD!$A$13:$D$1048576,3,0),0)</f>
        <v>81917.13</v>
      </c>
      <c r="R115" s="116">
        <f>IFERROR(VLOOKUP($A115,YTD!$A$13:$D$1048576,4,0),0)</f>
        <v>0</v>
      </c>
      <c r="S115" s="113"/>
      <c r="T115" s="113"/>
      <c r="U115" s="112" t="s">
        <v>301</v>
      </c>
      <c r="V115" s="114">
        <v>0</v>
      </c>
      <c r="W115" s="114">
        <v>0</v>
      </c>
      <c r="X115" s="115">
        <v>0</v>
      </c>
      <c r="Y115" s="113">
        <v>0</v>
      </c>
      <c r="Z115" s="113">
        <v>7494.42</v>
      </c>
      <c r="AA115" s="113">
        <v>5191.9399999999996</v>
      </c>
      <c r="AB115" s="113">
        <v>6205.28</v>
      </c>
      <c r="AC115" s="113">
        <v>5196.5</v>
      </c>
      <c r="AD115" s="113">
        <v>5652.14</v>
      </c>
      <c r="AE115" s="113">
        <v>5330.77</v>
      </c>
      <c r="AF115" s="113">
        <v>5947.19</v>
      </c>
      <c r="AG115" s="113">
        <v>6958.99</v>
      </c>
      <c r="AH115" s="113">
        <v>8818.8700000000008</v>
      </c>
      <c r="AI115" s="113">
        <v>9999.82</v>
      </c>
      <c r="AJ115" s="113">
        <v>7587.68</v>
      </c>
      <c r="AK115" s="113">
        <f t="shared" si="8"/>
        <v>7533.53</v>
      </c>
      <c r="AM115" s="309"/>
    </row>
    <row r="116" spans="1:39" x14ac:dyDescent="0.3">
      <c r="A116" s="109" t="str">
        <f t="shared" si="9"/>
        <v>debit    6666010184  Salary&amp;Additional Incentive-Blue Collar-</v>
      </c>
      <c r="B116" s="112" t="s">
        <v>302</v>
      </c>
      <c r="C116" s="113">
        <f>IFERROR(VLOOKUP($A116,MTD!$A$13:$D$1048576,3,0),0)</f>
        <v>-196.23</v>
      </c>
      <c r="D116" s="116">
        <f>IFERROR(VLOOKUP($A116,MTD!$A$13:$D$1048576,4,0),0)</f>
        <v>0</v>
      </c>
      <c r="E116" s="113"/>
      <c r="F116" s="113"/>
      <c r="G116" s="112" t="s">
        <v>302</v>
      </c>
      <c r="H116" s="114">
        <v>0</v>
      </c>
      <c r="I116" s="114">
        <v>0</v>
      </c>
      <c r="J116" s="115">
        <v>0</v>
      </c>
      <c r="K116" s="113">
        <v>0</v>
      </c>
      <c r="P116" s="112" t="s">
        <v>302</v>
      </c>
      <c r="Q116" s="113">
        <f>IFERROR(VLOOKUP($A116,YTD!$A$13:$D$1048576,3,0),0)</f>
        <v>-4878.17</v>
      </c>
      <c r="R116" s="116">
        <f>IFERROR(VLOOKUP($A116,YTD!$A$13:$D$1048576,4,0),0)</f>
        <v>0</v>
      </c>
      <c r="S116" s="113"/>
      <c r="T116" s="113"/>
      <c r="U116" s="112" t="s">
        <v>302</v>
      </c>
      <c r="V116" s="114">
        <v>0</v>
      </c>
      <c r="W116" s="114">
        <v>0</v>
      </c>
      <c r="X116" s="115">
        <v>0</v>
      </c>
      <c r="Y116" s="113">
        <v>0</v>
      </c>
      <c r="Z116" s="113">
        <v>-841.26</v>
      </c>
      <c r="AA116" s="113">
        <v>-538.58000000000004</v>
      </c>
      <c r="AB116" s="113">
        <v>-702.27</v>
      </c>
      <c r="AC116" s="113">
        <v>-592.65</v>
      </c>
      <c r="AD116" s="113">
        <v>-598.94000000000005</v>
      </c>
      <c r="AE116" s="113">
        <v>-588.16999999999996</v>
      </c>
      <c r="AF116" s="113">
        <v>-328.93</v>
      </c>
      <c r="AG116" s="113">
        <v>-199.3</v>
      </c>
      <c r="AH116" s="113">
        <v>-118.86</v>
      </c>
      <c r="AI116" s="113">
        <v>-36.5</v>
      </c>
      <c r="AJ116" s="113">
        <v>-136.47999999999999</v>
      </c>
      <c r="AK116" s="113">
        <f t="shared" si="8"/>
        <v>-196.23</v>
      </c>
      <c r="AM116" s="309"/>
    </row>
    <row r="117" spans="1:39" x14ac:dyDescent="0.3">
      <c r="A117" s="109" t="str">
        <f t="shared" si="9"/>
        <v>debit    6666010186  Overtime-Blue Collar-Indirect</v>
      </c>
      <c r="B117" s="112" t="s">
        <v>303</v>
      </c>
      <c r="C117" s="113">
        <f>IFERROR(VLOOKUP($A117,MTD!$A$13:$D$1048576,3,0),0)</f>
        <v>18531.71</v>
      </c>
      <c r="D117" s="116">
        <f>IFERROR(VLOOKUP($A117,MTD!$A$13:$D$1048576,4,0),0)</f>
        <v>0</v>
      </c>
      <c r="E117" s="113"/>
      <c r="F117" s="113"/>
      <c r="G117" s="112" t="s">
        <v>303</v>
      </c>
      <c r="H117" s="114">
        <v>0</v>
      </c>
      <c r="I117" s="114">
        <v>0</v>
      </c>
      <c r="J117" s="115">
        <v>0</v>
      </c>
      <c r="K117" s="113">
        <v>0</v>
      </c>
      <c r="P117" s="112" t="s">
        <v>303</v>
      </c>
      <c r="Q117" s="113">
        <f>IFERROR(VLOOKUP($A117,YTD!$A$13:$D$1048576,3,0),0)</f>
        <v>240171.08</v>
      </c>
      <c r="R117" s="116">
        <f>IFERROR(VLOOKUP($A117,YTD!$A$13:$D$1048576,4,0),0)</f>
        <v>0</v>
      </c>
      <c r="S117" s="113"/>
      <c r="T117" s="113"/>
      <c r="U117" s="112" t="s">
        <v>303</v>
      </c>
      <c r="V117" s="114">
        <v>0</v>
      </c>
      <c r="W117" s="114">
        <v>0</v>
      </c>
      <c r="X117" s="115">
        <v>0</v>
      </c>
      <c r="Y117" s="113">
        <v>0</v>
      </c>
      <c r="Z117" s="113">
        <v>24906.76</v>
      </c>
      <c r="AA117" s="113">
        <v>12968.9</v>
      </c>
      <c r="AB117" s="113">
        <v>9862.16</v>
      </c>
      <c r="AC117" s="113">
        <v>5873.1</v>
      </c>
      <c r="AD117" s="113">
        <v>4989.8999999999996</v>
      </c>
      <c r="AE117" s="113">
        <v>7873.99</v>
      </c>
      <c r="AF117" s="113">
        <v>12011.19</v>
      </c>
      <c r="AG117" s="113">
        <v>32726.81</v>
      </c>
      <c r="AH117" s="113">
        <v>23645.83</v>
      </c>
      <c r="AI117" s="113">
        <v>67410.720000000001</v>
      </c>
      <c r="AJ117" s="113">
        <v>19370.009999999998</v>
      </c>
      <c r="AK117" s="113">
        <f t="shared" si="8"/>
        <v>18531.71</v>
      </c>
      <c r="AM117" s="309"/>
    </row>
    <row r="118" spans="1:39" x14ac:dyDescent="0.3">
      <c r="A118" s="109" t="str">
        <f t="shared" si="9"/>
        <v>debit    6666010189  Salary - Blue collar indirect employees</v>
      </c>
      <c r="B118" s="112" t="s">
        <v>304</v>
      </c>
      <c r="C118" s="113">
        <f>IFERROR(VLOOKUP($A118,MTD!$A$13:$D$1048576,3,0),0)</f>
        <v>-2984.09</v>
      </c>
      <c r="D118" s="113">
        <f>IFERROR(VLOOKUP($A118,MTD!$A$13:$D$1048576,4,0),0)</f>
        <v>653460.86</v>
      </c>
      <c r="E118" s="113"/>
      <c r="F118" s="113"/>
      <c r="G118" s="112" t="s">
        <v>304</v>
      </c>
      <c r="H118" s="114">
        <v>0</v>
      </c>
      <c r="I118" s="114">
        <v>0</v>
      </c>
      <c r="J118" s="115">
        <v>0</v>
      </c>
      <c r="K118" s="113">
        <v>0</v>
      </c>
      <c r="P118" s="112" t="s">
        <v>304</v>
      </c>
      <c r="Q118" s="113">
        <f>IFERROR(VLOOKUP($A118,YTD!$A$13:$D$1048576,3,0),0)</f>
        <v>117055.28</v>
      </c>
      <c r="R118" s="113">
        <f>IFERROR(VLOOKUP($A118,YTD!$A$13:$D$1048576,4,0),0)</f>
        <v>5690117.2000000002</v>
      </c>
      <c r="S118" s="113"/>
      <c r="T118" s="113"/>
      <c r="U118" s="112" t="s">
        <v>304</v>
      </c>
      <c r="V118" s="114">
        <v>0</v>
      </c>
      <c r="W118" s="114">
        <v>0</v>
      </c>
      <c r="X118" s="115">
        <v>0</v>
      </c>
      <c r="Y118" s="113">
        <v>0</v>
      </c>
      <c r="Z118" s="113">
        <v>5722.47</v>
      </c>
      <c r="AA118" s="113">
        <v>0</v>
      </c>
      <c r="AB118" s="113">
        <v>0</v>
      </c>
      <c r="AC118" s="113">
        <v>26136.94</v>
      </c>
      <c r="AD118" s="113">
        <v>0</v>
      </c>
      <c r="AE118" s="113">
        <v>23130.9</v>
      </c>
      <c r="AF118" s="113">
        <v>45539.94</v>
      </c>
      <c r="AG118" s="113">
        <v>-13796.26</v>
      </c>
      <c r="AH118" s="113">
        <v>-6390.16</v>
      </c>
      <c r="AI118" s="113">
        <v>-7700</v>
      </c>
      <c r="AJ118" s="113">
        <v>47395.54</v>
      </c>
      <c r="AK118" s="113">
        <f t="shared" si="8"/>
        <v>-2984.09</v>
      </c>
      <c r="AM118" s="309"/>
    </row>
    <row r="119" spans="1:39" x14ac:dyDescent="0.3">
      <c r="A119" s="109" t="str">
        <f t="shared" si="9"/>
        <v>debit    6666010012  Payroll Taxes- Blue Collar Indirect</v>
      </c>
      <c r="B119" s="112" t="s">
        <v>305</v>
      </c>
      <c r="C119" s="113">
        <f>IFERROR(VLOOKUP($A119,MTD!$A$13:$D$1048576,3,0),0)</f>
        <v>60647.66</v>
      </c>
      <c r="D119" s="116">
        <f>IFERROR(VLOOKUP($A119,MTD!$A$13:$D$1048576,4,0),0)</f>
        <v>0</v>
      </c>
      <c r="E119" s="113"/>
      <c r="F119" s="113"/>
      <c r="G119" s="112" t="s">
        <v>305</v>
      </c>
      <c r="H119" s="114">
        <v>0</v>
      </c>
      <c r="I119" s="114">
        <v>0</v>
      </c>
      <c r="J119" s="115">
        <v>0</v>
      </c>
      <c r="K119" s="113">
        <v>0</v>
      </c>
      <c r="P119" s="112" t="s">
        <v>305</v>
      </c>
      <c r="Q119" s="113">
        <f>IFERROR(VLOOKUP($A119,YTD!$A$13:$D$1048576,3,0),0)</f>
        <v>662369.15</v>
      </c>
      <c r="R119" s="116">
        <f>IFERROR(VLOOKUP($A119,YTD!$A$13:$D$1048576,4,0),0)</f>
        <v>0</v>
      </c>
      <c r="S119" s="113"/>
      <c r="T119" s="113"/>
      <c r="U119" s="112" t="s">
        <v>305</v>
      </c>
      <c r="V119" s="114">
        <v>0</v>
      </c>
      <c r="W119" s="114">
        <v>0</v>
      </c>
      <c r="X119" s="115">
        <v>0</v>
      </c>
      <c r="Y119" s="113">
        <v>0</v>
      </c>
      <c r="Z119" s="113">
        <v>61162.36</v>
      </c>
      <c r="AA119" s="113">
        <v>42116.09</v>
      </c>
      <c r="AB119" s="113">
        <v>50520.4</v>
      </c>
      <c r="AC119" s="113">
        <v>42028.1</v>
      </c>
      <c r="AD119" s="113">
        <v>45957.73</v>
      </c>
      <c r="AE119" s="113">
        <v>43245.87</v>
      </c>
      <c r="AF119" s="113">
        <v>47889.03</v>
      </c>
      <c r="AG119" s="113">
        <v>56090.89</v>
      </c>
      <c r="AH119" s="113">
        <v>71081.98</v>
      </c>
      <c r="AI119" s="113">
        <v>80401.710000000006</v>
      </c>
      <c r="AJ119" s="113">
        <v>61227.33</v>
      </c>
      <c r="AK119" s="113">
        <f t="shared" si="8"/>
        <v>60647.66</v>
      </c>
      <c r="AM119" s="309"/>
    </row>
    <row r="120" spans="1:39" x14ac:dyDescent="0.3">
      <c r="A120" s="109" t="str">
        <f t="shared" si="9"/>
        <v>debit    6666010226  Staff Leaving Indemnity - Blue Collar In</v>
      </c>
      <c r="B120" s="112" t="s">
        <v>306</v>
      </c>
      <c r="C120" s="113">
        <f>IFERROR(VLOOKUP($A120,MTD!$A$13:$D$1048576,3,0),0)</f>
        <v>12896.98</v>
      </c>
      <c r="D120" s="116">
        <f>IFERROR(VLOOKUP($A120,MTD!$A$13:$D$1048576,4,0),0)</f>
        <v>0</v>
      </c>
      <c r="E120" s="113"/>
      <c r="F120" s="113"/>
      <c r="G120" s="112" t="s">
        <v>306</v>
      </c>
      <c r="H120" s="114">
        <v>0</v>
      </c>
      <c r="I120" s="114">
        <v>0</v>
      </c>
      <c r="J120" s="115">
        <v>0</v>
      </c>
      <c r="K120" s="113">
        <v>0</v>
      </c>
      <c r="P120" s="112" t="s">
        <v>306</v>
      </c>
      <c r="Q120" s="113">
        <f>IFERROR(VLOOKUP($A120,YTD!$A$13:$D$1048576,3,0),0)</f>
        <v>134812.34</v>
      </c>
      <c r="R120" s="116">
        <f>IFERROR(VLOOKUP($A120,YTD!$A$13:$D$1048576,4,0),0)</f>
        <v>0</v>
      </c>
      <c r="S120" s="113"/>
      <c r="T120" s="113"/>
      <c r="U120" s="112" t="s">
        <v>306</v>
      </c>
      <c r="V120" s="114">
        <v>0</v>
      </c>
      <c r="W120" s="114">
        <v>0</v>
      </c>
      <c r="X120" s="115">
        <v>0</v>
      </c>
      <c r="Y120" s="113">
        <v>0</v>
      </c>
      <c r="Z120" s="113">
        <v>20556.599999999999</v>
      </c>
      <c r="AA120" s="113">
        <v>690.4</v>
      </c>
      <c r="AB120" s="113">
        <v>11842.14</v>
      </c>
      <c r="AC120" s="113">
        <v>9180.19</v>
      </c>
      <c r="AD120" s="113">
        <v>9259.52</v>
      </c>
      <c r="AE120" s="113">
        <v>8106.26</v>
      </c>
      <c r="AF120" s="113">
        <v>8141.01</v>
      </c>
      <c r="AG120" s="113">
        <v>12871.03</v>
      </c>
      <c r="AH120" s="113">
        <v>13961.82</v>
      </c>
      <c r="AI120" s="113">
        <v>14237.15</v>
      </c>
      <c r="AJ120" s="113">
        <v>13069.24</v>
      </c>
      <c r="AK120" s="113">
        <f t="shared" si="8"/>
        <v>12896.98</v>
      </c>
      <c r="AM120" s="309"/>
    </row>
    <row r="121" spans="1:39" x14ac:dyDescent="0.3">
      <c r="A121" s="109" t="str">
        <f t="shared" si="9"/>
        <v>debit    6666010102  Salary-Blue collar indirect employees- A</v>
      </c>
      <c r="B121" s="112" t="s">
        <v>307</v>
      </c>
      <c r="C121" s="113">
        <f>IFERROR(VLOOKUP($A121,MTD!$A$13:$D$1048576,3,0),0)</f>
        <v>370101.34</v>
      </c>
      <c r="D121" s="116">
        <f>IFERROR(VLOOKUP($A121,MTD!$A$13:$D$1048576,4,0),0)</f>
        <v>0</v>
      </c>
      <c r="E121" s="113"/>
      <c r="F121" s="113"/>
      <c r="G121" s="112" t="s">
        <v>307</v>
      </c>
      <c r="H121" s="114">
        <v>0</v>
      </c>
      <c r="I121" s="114">
        <v>0</v>
      </c>
      <c r="J121" s="115">
        <v>0</v>
      </c>
      <c r="K121" s="113">
        <v>0</v>
      </c>
      <c r="P121" s="112" t="s">
        <v>307</v>
      </c>
      <c r="Q121" s="113">
        <f>IFERROR(VLOOKUP($A121,YTD!$A$13:$D$1048576,3,0),0)</f>
        <v>3992139.53</v>
      </c>
      <c r="R121" s="116">
        <f>IFERROR(VLOOKUP($A121,YTD!$A$13:$D$1048576,4,0),0)</f>
        <v>0</v>
      </c>
      <c r="S121" s="113"/>
      <c r="T121" s="113"/>
      <c r="U121" s="112" t="s">
        <v>307</v>
      </c>
      <c r="V121" s="114">
        <v>0</v>
      </c>
      <c r="W121" s="114">
        <v>0</v>
      </c>
      <c r="X121" s="115">
        <v>0</v>
      </c>
      <c r="Y121" s="113">
        <v>0</v>
      </c>
      <c r="Z121" s="113">
        <v>368338.49</v>
      </c>
      <c r="AA121" s="113">
        <v>249240.06</v>
      </c>
      <c r="AB121" s="113">
        <v>318556.73</v>
      </c>
      <c r="AC121" s="113">
        <v>284511.71999999997</v>
      </c>
      <c r="AD121" s="113">
        <v>246975.98</v>
      </c>
      <c r="AE121" s="113">
        <v>264790.61</v>
      </c>
      <c r="AF121" s="113">
        <v>293547.64</v>
      </c>
      <c r="AG121" s="113">
        <v>320152.56</v>
      </c>
      <c r="AH121" s="113">
        <v>428196.98</v>
      </c>
      <c r="AI121" s="113">
        <v>468651.22</v>
      </c>
      <c r="AJ121" s="113">
        <v>379076.2</v>
      </c>
      <c r="AK121" s="113">
        <f t="shared" si="8"/>
        <v>370101.34</v>
      </c>
      <c r="AM121" s="309"/>
    </row>
    <row r="122" spans="1:39" x14ac:dyDescent="0.3">
      <c r="A122" s="109" t="str">
        <f t="shared" si="9"/>
        <v>debit*   CS_Indirect Labour</v>
      </c>
      <c r="B122" s="117" t="s">
        <v>217</v>
      </c>
      <c r="C122" s="118">
        <f>IFERROR(VLOOKUP($A122,MTD!$A$13:$D$1048576,3,0),0)</f>
        <v>466530.9</v>
      </c>
      <c r="D122" s="118">
        <f>IFERROR(VLOOKUP($A122,MTD!$A$13:$D$1048576,4,0),0)</f>
        <v>653460.86</v>
      </c>
      <c r="E122" s="118"/>
      <c r="F122" s="118"/>
      <c r="G122" s="117" t="s">
        <v>217</v>
      </c>
      <c r="H122" s="119">
        <v>0</v>
      </c>
      <c r="I122" s="119">
        <v>0</v>
      </c>
      <c r="J122" s="120">
        <v>0</v>
      </c>
      <c r="K122" s="118">
        <v>0</v>
      </c>
      <c r="P122" s="117" t="s">
        <v>217</v>
      </c>
      <c r="Q122" s="118">
        <f>IFERROR(VLOOKUP($A122,YTD!$A$13:$D$1048576,3,0),0)</f>
        <v>5223586.34</v>
      </c>
      <c r="R122" s="118">
        <f>IFERROR(VLOOKUP($A122,YTD!$A$13:$D$1048576,4,0),0)</f>
        <v>5690117.2000000002</v>
      </c>
      <c r="S122" s="118"/>
      <c r="T122" s="118"/>
      <c r="U122" s="117" t="s">
        <v>217</v>
      </c>
      <c r="V122" s="119">
        <v>0</v>
      </c>
      <c r="W122" s="119">
        <v>0</v>
      </c>
      <c r="X122" s="120">
        <v>0</v>
      </c>
      <c r="Y122" s="118">
        <v>0</v>
      </c>
      <c r="Z122" s="118">
        <v>487339.84</v>
      </c>
      <c r="AA122" s="118">
        <v>309668.81</v>
      </c>
      <c r="AB122" s="118">
        <v>396284.44</v>
      </c>
      <c r="AC122" s="118">
        <v>372333.9</v>
      </c>
      <c r="AD122" s="118">
        <v>312236.33</v>
      </c>
      <c r="AE122" s="118">
        <v>351890.23</v>
      </c>
      <c r="AF122" s="118">
        <v>412747.07</v>
      </c>
      <c r="AG122" s="118">
        <v>414804.72</v>
      </c>
      <c r="AH122" s="118">
        <v>539196.46</v>
      </c>
      <c r="AI122" s="118">
        <v>632964.12</v>
      </c>
      <c r="AJ122" s="118">
        <v>527589.52</v>
      </c>
      <c r="AK122" s="118">
        <f t="shared" si="8"/>
        <v>466530.9</v>
      </c>
      <c r="AM122" s="309"/>
    </row>
    <row r="123" spans="1:39" x14ac:dyDescent="0.3">
      <c r="A123" s="109" t="str">
        <f t="shared" si="9"/>
        <v>debit    6666010196  Payroll Taxes-White Collar Employee</v>
      </c>
      <c r="B123" s="112" t="s">
        <v>308</v>
      </c>
      <c r="C123" s="113">
        <f>IFERROR(VLOOKUP($A123,MTD!$A$13:$D$1048576,3,0),0)</f>
        <v>23985.200000000001</v>
      </c>
      <c r="D123" s="116">
        <f>IFERROR(VLOOKUP($A123,MTD!$A$13:$D$1048576,4,0),0)</f>
        <v>0</v>
      </c>
      <c r="E123" s="113"/>
      <c r="F123" s="113"/>
      <c r="G123" s="112" t="s">
        <v>308</v>
      </c>
      <c r="H123" s="114">
        <v>0</v>
      </c>
      <c r="I123" s="114">
        <v>0</v>
      </c>
      <c r="J123" s="115">
        <v>0</v>
      </c>
      <c r="K123" s="113">
        <v>0</v>
      </c>
      <c r="P123" s="112" t="s">
        <v>308</v>
      </c>
      <c r="Q123" s="113">
        <f>IFERROR(VLOOKUP($A123,YTD!$A$13:$D$1048576,3,0),0)</f>
        <v>330634.90999999997</v>
      </c>
      <c r="R123" s="116">
        <f>IFERROR(VLOOKUP($A123,YTD!$A$13:$D$1048576,4,0),0)</f>
        <v>0</v>
      </c>
      <c r="S123" s="113"/>
      <c r="T123" s="113"/>
      <c r="U123" s="112" t="s">
        <v>308</v>
      </c>
      <c r="V123" s="114">
        <v>0</v>
      </c>
      <c r="W123" s="114">
        <v>0</v>
      </c>
      <c r="X123" s="115">
        <v>0</v>
      </c>
      <c r="Y123" s="113">
        <v>0</v>
      </c>
      <c r="Z123" s="113">
        <v>31491.41</v>
      </c>
      <c r="AA123" s="113">
        <v>32051.279999999999</v>
      </c>
      <c r="AB123" s="113">
        <v>31663.94</v>
      </c>
      <c r="AC123" s="113">
        <v>28274.61</v>
      </c>
      <c r="AD123" s="113">
        <v>29733.08</v>
      </c>
      <c r="AE123" s="113">
        <v>28144.83</v>
      </c>
      <c r="AF123" s="113">
        <v>26011.23</v>
      </c>
      <c r="AG123" s="113">
        <v>25202.61</v>
      </c>
      <c r="AH123" s="113">
        <v>24930.06</v>
      </c>
      <c r="AI123" s="113">
        <v>24770.02</v>
      </c>
      <c r="AJ123" s="113">
        <v>24376.639999999999</v>
      </c>
      <c r="AK123" s="113">
        <f t="shared" si="8"/>
        <v>23985.200000000001</v>
      </c>
      <c r="AM123" s="309"/>
    </row>
    <row r="124" spans="1:39" x14ac:dyDescent="0.3">
      <c r="A124" s="109" t="str">
        <f t="shared" si="9"/>
        <v>debit    6666010101  Salary - White collar employees</v>
      </c>
      <c r="B124" s="112" t="s">
        <v>309</v>
      </c>
      <c r="C124" s="113">
        <f>IFERROR(VLOOKUP($A124,MTD!$A$13:$D$1048576,3,0),0)</f>
        <v>153462.96</v>
      </c>
      <c r="D124" s="113">
        <f>IFERROR(VLOOKUP($A124,MTD!$A$13:$D$1048576,4,0),0)</f>
        <v>157619.20000000001</v>
      </c>
      <c r="E124" s="113"/>
      <c r="F124" s="113"/>
      <c r="G124" s="112" t="s">
        <v>309</v>
      </c>
      <c r="H124" s="114">
        <v>0</v>
      </c>
      <c r="I124" s="114">
        <v>0</v>
      </c>
      <c r="J124" s="115">
        <v>0</v>
      </c>
      <c r="K124" s="113">
        <v>0</v>
      </c>
      <c r="P124" s="112" t="s">
        <v>309</v>
      </c>
      <c r="Q124" s="113">
        <f>IFERROR(VLOOKUP($A124,YTD!$A$13:$D$1048576,3,0),0)</f>
        <v>2188477.89</v>
      </c>
      <c r="R124" s="113">
        <f>IFERROR(VLOOKUP($A124,YTD!$A$13:$D$1048576,4,0),0)</f>
        <v>1900124.61</v>
      </c>
      <c r="S124" s="113"/>
      <c r="T124" s="113"/>
      <c r="U124" s="112" t="s">
        <v>309</v>
      </c>
      <c r="V124" s="114">
        <v>0</v>
      </c>
      <c r="W124" s="114">
        <v>0</v>
      </c>
      <c r="X124" s="115">
        <v>0</v>
      </c>
      <c r="Y124" s="113">
        <v>0</v>
      </c>
      <c r="Z124" s="113">
        <v>207476.81</v>
      </c>
      <c r="AA124" s="113">
        <v>196884.26</v>
      </c>
      <c r="AB124" s="113">
        <v>188869.5</v>
      </c>
      <c r="AC124" s="113">
        <v>281815.33</v>
      </c>
      <c r="AD124" s="113">
        <v>194534.79</v>
      </c>
      <c r="AE124" s="113">
        <v>189219.5</v>
      </c>
      <c r="AF124" s="113">
        <v>166232.85</v>
      </c>
      <c r="AG124" s="113">
        <v>152533.79</v>
      </c>
      <c r="AH124" s="113">
        <v>150169.23000000001</v>
      </c>
      <c r="AI124" s="113">
        <v>159556.16</v>
      </c>
      <c r="AJ124" s="113">
        <v>147722.71</v>
      </c>
      <c r="AK124" s="113">
        <f t="shared" si="8"/>
        <v>153462.96</v>
      </c>
      <c r="AM124" s="309"/>
    </row>
    <row r="125" spans="1:39" x14ac:dyDescent="0.3">
      <c r="A125" s="109" t="str">
        <f t="shared" si="9"/>
        <v>debit    6666010199  Salary-White collar employees -Accrued</v>
      </c>
      <c r="B125" s="112" t="s">
        <v>310</v>
      </c>
      <c r="C125" s="113">
        <f>IFERROR(VLOOKUP($A125,MTD!$A$13:$D$1048576,3,0),0)</f>
        <v>10575.36</v>
      </c>
      <c r="D125" s="116">
        <f>IFERROR(VLOOKUP($A125,MTD!$A$13:$D$1048576,4,0),0)</f>
        <v>0</v>
      </c>
      <c r="E125" s="113"/>
      <c r="F125" s="113"/>
      <c r="G125" s="112" t="s">
        <v>310</v>
      </c>
      <c r="H125" s="114">
        <v>0</v>
      </c>
      <c r="I125" s="114">
        <v>0</v>
      </c>
      <c r="J125" s="115">
        <v>0</v>
      </c>
      <c r="K125" s="113">
        <v>0</v>
      </c>
      <c r="P125" s="112" t="s">
        <v>310</v>
      </c>
      <c r="Q125" s="113">
        <f>IFERROR(VLOOKUP($A125,YTD!$A$13:$D$1048576,3,0),0)</f>
        <v>-33801.910000000003</v>
      </c>
      <c r="R125" s="116">
        <f>IFERROR(VLOOKUP($A125,YTD!$A$13:$D$1048576,4,0),0)</f>
        <v>0</v>
      </c>
      <c r="S125" s="113"/>
      <c r="T125" s="113"/>
      <c r="U125" s="112" t="s">
        <v>310</v>
      </c>
      <c r="V125" s="114">
        <v>0</v>
      </c>
      <c r="W125" s="114">
        <v>0</v>
      </c>
      <c r="X125" s="115">
        <v>0</v>
      </c>
      <c r="Y125" s="113">
        <v>0</v>
      </c>
      <c r="Z125" s="113">
        <v>36712.300000000003</v>
      </c>
      <c r="AA125" s="113">
        <v>2038.06</v>
      </c>
      <c r="AB125" s="113">
        <v>2899.18</v>
      </c>
      <c r="AC125" s="113">
        <v>-129432.66</v>
      </c>
      <c r="AD125" s="113">
        <v>11695.4</v>
      </c>
      <c r="AE125" s="113">
        <v>-4453.6400000000003</v>
      </c>
      <c r="AF125" s="113">
        <v>-2074.09</v>
      </c>
      <c r="AG125" s="113">
        <v>10347.709999999999</v>
      </c>
      <c r="AH125" s="113">
        <v>10022.459999999999</v>
      </c>
      <c r="AI125" s="113">
        <v>8019.15</v>
      </c>
      <c r="AJ125" s="113">
        <v>9848.86</v>
      </c>
      <c r="AK125" s="113">
        <f t="shared" si="8"/>
        <v>10575.36</v>
      </c>
      <c r="AM125" s="309"/>
    </row>
    <row r="126" spans="1:39" x14ac:dyDescent="0.3">
      <c r="A126" s="109" t="str">
        <f t="shared" si="9"/>
        <v>debit    6666010185  Salary&amp;Additional Incentive-White Collar</v>
      </c>
      <c r="B126" s="112" t="s">
        <v>311</v>
      </c>
      <c r="C126" s="113">
        <f>IFERROR(VLOOKUP($A126,MTD!$A$13:$D$1048576,3,0),0)</f>
        <v>-613.48</v>
      </c>
      <c r="D126" s="116">
        <f>IFERROR(VLOOKUP($A126,MTD!$A$13:$D$1048576,4,0),0)</f>
        <v>0</v>
      </c>
      <c r="E126" s="113"/>
      <c r="F126" s="113"/>
      <c r="G126" s="112" t="s">
        <v>311</v>
      </c>
      <c r="H126" s="114">
        <v>0</v>
      </c>
      <c r="I126" s="114">
        <v>0</v>
      </c>
      <c r="J126" s="115">
        <v>0</v>
      </c>
      <c r="K126" s="113">
        <v>0</v>
      </c>
      <c r="P126" s="112" t="s">
        <v>311</v>
      </c>
      <c r="Q126" s="113">
        <f>IFERROR(VLOOKUP($A126,YTD!$A$13:$D$1048576,3,0),0)</f>
        <v>-17030.21</v>
      </c>
      <c r="R126" s="116">
        <f>IFERROR(VLOOKUP($A126,YTD!$A$13:$D$1048576,4,0),0)</f>
        <v>0</v>
      </c>
      <c r="S126" s="113"/>
      <c r="T126" s="113"/>
      <c r="U126" s="112" t="s">
        <v>311</v>
      </c>
      <c r="V126" s="114">
        <v>0</v>
      </c>
      <c r="W126" s="114">
        <v>0</v>
      </c>
      <c r="X126" s="115">
        <v>0</v>
      </c>
      <c r="Y126" s="113">
        <v>0</v>
      </c>
      <c r="Z126" s="113">
        <v>-1824.33</v>
      </c>
      <c r="AA126" s="113">
        <v>-2835.98</v>
      </c>
      <c r="AB126" s="113">
        <v>-2668.61</v>
      </c>
      <c r="AC126" s="113">
        <v>-1721.06</v>
      </c>
      <c r="AD126" s="113">
        <v>-1887.75</v>
      </c>
      <c r="AE126" s="113">
        <v>-2377.0300000000002</v>
      </c>
      <c r="AF126" s="113">
        <v>-1633.21</v>
      </c>
      <c r="AG126" s="113">
        <v>-1642.19</v>
      </c>
      <c r="AH126" s="113">
        <v>1443.6</v>
      </c>
      <c r="AI126" s="113">
        <v>-640.05999999999995</v>
      </c>
      <c r="AJ126" s="113">
        <v>-630.11</v>
      </c>
      <c r="AK126" s="113">
        <f t="shared" si="8"/>
        <v>-613.48</v>
      </c>
      <c r="AM126" s="309"/>
    </row>
    <row r="127" spans="1:39" x14ac:dyDescent="0.3">
      <c r="A127" s="109" t="str">
        <f t="shared" si="9"/>
        <v>debit    6666010207  Unemployment insurance companies to pay</v>
      </c>
      <c r="B127" s="112" t="s">
        <v>312</v>
      </c>
      <c r="C127" s="113">
        <f>IFERROR(VLOOKUP($A127,MTD!$A$13:$D$1048576,3,0),0)</f>
        <v>2324.2800000000002</v>
      </c>
      <c r="D127" s="116">
        <f>IFERROR(VLOOKUP($A127,MTD!$A$13:$D$1048576,4,0),0)</f>
        <v>0</v>
      </c>
      <c r="E127" s="113"/>
      <c r="F127" s="113"/>
      <c r="G127" s="112" t="s">
        <v>312</v>
      </c>
      <c r="H127" s="114">
        <v>0</v>
      </c>
      <c r="I127" s="114">
        <v>0</v>
      </c>
      <c r="J127" s="115">
        <v>0</v>
      </c>
      <c r="K127" s="113">
        <v>0</v>
      </c>
      <c r="P127" s="112" t="s">
        <v>312</v>
      </c>
      <c r="Q127" s="113">
        <f>IFERROR(VLOOKUP($A127,YTD!$A$13:$D$1048576,3,0),0)</f>
        <v>30832.76</v>
      </c>
      <c r="R127" s="116">
        <f>IFERROR(VLOOKUP($A127,YTD!$A$13:$D$1048576,4,0),0)</f>
        <v>0</v>
      </c>
      <c r="S127" s="113"/>
      <c r="T127" s="113"/>
      <c r="U127" s="112" t="s">
        <v>312</v>
      </c>
      <c r="V127" s="114">
        <v>0</v>
      </c>
      <c r="W127" s="114">
        <v>0</v>
      </c>
      <c r="X127" s="115">
        <v>0</v>
      </c>
      <c r="Y127" s="113">
        <v>0</v>
      </c>
      <c r="Z127" s="113">
        <v>2822.02</v>
      </c>
      <c r="AA127" s="113">
        <v>2924.87</v>
      </c>
      <c r="AB127" s="113">
        <v>2802.82</v>
      </c>
      <c r="AC127" s="113">
        <v>2487.33</v>
      </c>
      <c r="AD127" s="113">
        <v>2647.91</v>
      </c>
      <c r="AE127" s="113">
        <v>2717.62</v>
      </c>
      <c r="AF127" s="113">
        <v>2520.86</v>
      </c>
      <c r="AG127" s="113">
        <v>2441.48</v>
      </c>
      <c r="AH127" s="113">
        <v>2393.12</v>
      </c>
      <c r="AI127" s="113">
        <v>2395.35</v>
      </c>
      <c r="AJ127" s="113">
        <v>2355.1</v>
      </c>
      <c r="AK127" s="113">
        <f t="shared" si="8"/>
        <v>2324.2800000000002</v>
      </c>
      <c r="AM127" s="309"/>
    </row>
    <row r="128" spans="1:39" x14ac:dyDescent="0.3">
      <c r="A128" s="109" t="str">
        <f t="shared" si="9"/>
        <v>debit    6666010321  car allowance</v>
      </c>
      <c r="B128" s="112" t="s">
        <v>313</v>
      </c>
      <c r="C128" s="116">
        <f>IFERROR(VLOOKUP($A128,MTD!$A$13:$D$1048576,3,0),0)</f>
        <v>0</v>
      </c>
      <c r="D128" s="116">
        <f>IFERROR(VLOOKUP($A128,MTD!$A$13:$D$1048576,4,0),0)</f>
        <v>0</v>
      </c>
      <c r="E128" s="113"/>
      <c r="F128" s="113"/>
      <c r="G128" s="112" t="s">
        <v>313</v>
      </c>
      <c r="H128" s="114">
        <v>0</v>
      </c>
      <c r="I128" s="114">
        <v>0</v>
      </c>
      <c r="J128" s="115">
        <v>0</v>
      </c>
      <c r="K128" s="113">
        <v>0</v>
      </c>
      <c r="P128" s="112" t="s">
        <v>313</v>
      </c>
      <c r="Q128" s="116">
        <f>IFERROR(VLOOKUP($A128,YTD!$A$13:$D$1048576,3,0),0)</f>
        <v>0</v>
      </c>
      <c r="R128" s="116">
        <f>IFERROR(VLOOKUP($A128,YTD!$A$13:$D$1048576,4,0),0)</f>
        <v>0</v>
      </c>
      <c r="S128" s="113"/>
      <c r="T128" s="113"/>
      <c r="U128" s="112" t="s">
        <v>313</v>
      </c>
      <c r="V128" s="114">
        <v>0</v>
      </c>
      <c r="W128" s="114">
        <v>0</v>
      </c>
      <c r="X128" s="115">
        <v>0</v>
      </c>
      <c r="Y128" s="113">
        <v>0</v>
      </c>
      <c r="Z128" s="113">
        <v>0</v>
      </c>
      <c r="AA128" s="113">
        <v>0</v>
      </c>
      <c r="AB128" s="113">
        <v>0</v>
      </c>
      <c r="AC128" s="113">
        <v>0</v>
      </c>
      <c r="AD128" s="113">
        <v>0</v>
      </c>
      <c r="AE128" s="113">
        <v>0</v>
      </c>
      <c r="AF128" s="113">
        <v>0</v>
      </c>
      <c r="AG128" s="113">
        <v>0</v>
      </c>
      <c r="AH128" s="113">
        <v>0</v>
      </c>
      <c r="AI128" s="113">
        <v>0</v>
      </c>
      <c r="AJ128" s="113">
        <v>0</v>
      </c>
      <c r="AK128" s="113">
        <f t="shared" si="8"/>
        <v>0</v>
      </c>
      <c r="AM128" s="309"/>
    </row>
    <row r="129" spans="1:39" x14ac:dyDescent="0.3">
      <c r="A129" s="109" t="str">
        <f t="shared" si="9"/>
        <v>debit    6666010227  Staff Leaving Indemnity - White collar E</v>
      </c>
      <c r="B129" s="112" t="s">
        <v>314</v>
      </c>
      <c r="C129" s="113">
        <f>IFERROR(VLOOKUP($A129,MTD!$A$13:$D$1048576,3,0),0)</f>
        <v>3452.92</v>
      </c>
      <c r="D129" s="116">
        <f>IFERROR(VLOOKUP($A129,MTD!$A$13:$D$1048576,4,0),0)</f>
        <v>0</v>
      </c>
      <c r="E129" s="113"/>
      <c r="F129" s="113"/>
      <c r="G129" s="112" t="s">
        <v>314</v>
      </c>
      <c r="H129" s="114">
        <v>0</v>
      </c>
      <c r="I129" s="114">
        <v>0</v>
      </c>
      <c r="J129" s="115">
        <v>0</v>
      </c>
      <c r="K129" s="113">
        <v>0</v>
      </c>
      <c r="P129" s="112" t="s">
        <v>314</v>
      </c>
      <c r="Q129" s="113">
        <f>IFERROR(VLOOKUP($A129,YTD!$A$13:$D$1048576,3,0),0)</f>
        <v>38043.449999999997</v>
      </c>
      <c r="R129" s="116">
        <f>IFERROR(VLOOKUP($A129,YTD!$A$13:$D$1048576,4,0),0)</f>
        <v>0</v>
      </c>
      <c r="S129" s="113"/>
      <c r="T129" s="113"/>
      <c r="U129" s="112" t="s">
        <v>314</v>
      </c>
      <c r="V129" s="114">
        <v>0</v>
      </c>
      <c r="W129" s="114">
        <v>0</v>
      </c>
      <c r="X129" s="115">
        <v>0</v>
      </c>
      <c r="Y129" s="113">
        <v>0</v>
      </c>
      <c r="Z129" s="113">
        <v>-22300.959999999999</v>
      </c>
      <c r="AA129" s="113">
        <v>29044</v>
      </c>
      <c r="AB129" s="113">
        <v>3051.02</v>
      </c>
      <c r="AC129" s="113">
        <v>2884.38</v>
      </c>
      <c r="AD129" s="113">
        <v>2939.84</v>
      </c>
      <c r="AE129" s="113">
        <v>2839.79</v>
      </c>
      <c r="AF129" s="113">
        <v>2858.39</v>
      </c>
      <c r="AG129" s="113">
        <v>10151.48</v>
      </c>
      <c r="AH129" s="113">
        <v>3284.78</v>
      </c>
      <c r="AI129" s="113">
        <v>-3621.58</v>
      </c>
      <c r="AJ129" s="113">
        <v>3459.39</v>
      </c>
      <c r="AK129" s="113">
        <f t="shared" si="8"/>
        <v>3452.92</v>
      </c>
      <c r="AM129" s="309"/>
    </row>
    <row r="130" spans="1:39" x14ac:dyDescent="0.3">
      <c r="A130" s="109" t="str">
        <f t="shared" si="9"/>
        <v>debit*   CS_Fixed Labour</v>
      </c>
      <c r="B130" s="117" t="s">
        <v>218</v>
      </c>
      <c r="C130" s="118">
        <f>IFERROR(VLOOKUP($A130,MTD!$A$13:$D$1048576,3,0),0)</f>
        <v>193187.24</v>
      </c>
      <c r="D130" s="118">
        <f>IFERROR(VLOOKUP($A130,MTD!$A$13:$D$1048576,4,0),0)</f>
        <v>157619.20000000001</v>
      </c>
      <c r="E130" s="118"/>
      <c r="F130" s="118"/>
      <c r="G130" s="117" t="s">
        <v>218</v>
      </c>
      <c r="H130" s="119">
        <v>0</v>
      </c>
      <c r="I130" s="119">
        <v>0</v>
      </c>
      <c r="J130" s="120">
        <v>0</v>
      </c>
      <c r="K130" s="118">
        <v>0</v>
      </c>
      <c r="P130" s="117" t="s">
        <v>218</v>
      </c>
      <c r="Q130" s="118">
        <f>IFERROR(VLOOKUP($A130,YTD!$A$13:$D$1048576,3,0),0)</f>
        <v>2537156.89</v>
      </c>
      <c r="R130" s="118">
        <f>IFERROR(VLOOKUP($A130,YTD!$A$13:$D$1048576,4,0),0)</f>
        <v>1900124.61</v>
      </c>
      <c r="S130" s="118"/>
      <c r="T130" s="118"/>
      <c r="U130" s="117" t="s">
        <v>218</v>
      </c>
      <c r="V130" s="119">
        <v>0</v>
      </c>
      <c r="W130" s="119">
        <v>0</v>
      </c>
      <c r="X130" s="120">
        <v>0</v>
      </c>
      <c r="Y130" s="118">
        <v>0</v>
      </c>
      <c r="Z130" s="118">
        <v>254377.25</v>
      </c>
      <c r="AA130" s="118">
        <v>260106.49</v>
      </c>
      <c r="AB130" s="118">
        <v>226617.85</v>
      </c>
      <c r="AC130" s="118">
        <v>184307.93</v>
      </c>
      <c r="AD130" s="118">
        <v>239663.27</v>
      </c>
      <c r="AE130" s="118">
        <v>216091.07</v>
      </c>
      <c r="AF130" s="118">
        <v>193916.03</v>
      </c>
      <c r="AG130" s="118">
        <v>199034.88</v>
      </c>
      <c r="AH130" s="118">
        <v>192243.25</v>
      </c>
      <c r="AI130" s="118">
        <v>190479.04</v>
      </c>
      <c r="AJ130" s="118">
        <v>187132.59</v>
      </c>
      <c r="AK130" s="118">
        <f t="shared" si="8"/>
        <v>193187.24</v>
      </c>
      <c r="AM130" s="309"/>
    </row>
    <row r="131" spans="1:39" x14ac:dyDescent="0.3">
      <c r="A131" s="109" t="str">
        <f t="shared" si="9"/>
        <v>debit    6666020903  Other materials</v>
      </c>
      <c r="B131" s="112" t="s">
        <v>315</v>
      </c>
      <c r="C131" s="116">
        <f>IFERROR(VLOOKUP($A131,MTD!$A$13:$D$1048576,3,0),0)</f>
        <v>0</v>
      </c>
      <c r="D131" s="116">
        <f>IFERROR(VLOOKUP($A131,MTD!$A$13:$D$1048576,4,0),0)</f>
        <v>0</v>
      </c>
      <c r="E131" s="113"/>
      <c r="F131" s="113"/>
      <c r="G131" s="112" t="s">
        <v>315</v>
      </c>
      <c r="H131" s="114">
        <v>0</v>
      </c>
      <c r="I131" s="114">
        <v>0</v>
      </c>
      <c r="J131" s="115">
        <v>0</v>
      </c>
      <c r="K131" s="113">
        <v>0</v>
      </c>
      <c r="P131" s="112" t="s">
        <v>315</v>
      </c>
      <c r="Q131" s="116">
        <f>IFERROR(VLOOKUP($A131,YTD!$A$13:$D$1048576,3,0),0)</f>
        <v>-10.9</v>
      </c>
      <c r="R131" s="116">
        <f>IFERROR(VLOOKUP($A131,YTD!$A$13:$D$1048576,4,0),0)</f>
        <v>0</v>
      </c>
      <c r="S131" s="113"/>
      <c r="T131" s="113"/>
      <c r="U131" s="112" t="s">
        <v>315</v>
      </c>
      <c r="V131" s="114">
        <v>0</v>
      </c>
      <c r="W131" s="114">
        <v>0</v>
      </c>
      <c r="X131" s="115">
        <v>0</v>
      </c>
      <c r="Y131" s="113">
        <v>0</v>
      </c>
      <c r="Z131" s="113">
        <v>0</v>
      </c>
      <c r="AA131" s="113">
        <v>0</v>
      </c>
      <c r="AB131" s="113">
        <v>0</v>
      </c>
      <c r="AC131" s="113">
        <v>0</v>
      </c>
      <c r="AD131" s="113">
        <v>-0.91</v>
      </c>
      <c r="AE131" s="113">
        <v>0</v>
      </c>
      <c r="AF131" s="113">
        <v>0</v>
      </c>
      <c r="AG131" s="113">
        <v>-9.99</v>
      </c>
      <c r="AH131" s="113">
        <v>0</v>
      </c>
      <c r="AI131" s="113">
        <v>0</v>
      </c>
      <c r="AJ131" s="113">
        <v>0</v>
      </c>
      <c r="AK131" s="113">
        <f t="shared" si="8"/>
        <v>0</v>
      </c>
      <c r="AM131" s="309"/>
    </row>
    <row r="132" spans="1:39" x14ac:dyDescent="0.3">
      <c r="A132" s="109" t="str">
        <f t="shared" si="9"/>
        <v>debit    6666010302  Medical expenses</v>
      </c>
      <c r="B132" s="112" t="s">
        <v>316</v>
      </c>
      <c r="C132" s="113">
        <f>IFERROR(VLOOKUP($A132,MTD!$A$13:$D$1048576,3,0),0)</f>
        <v>7525.59</v>
      </c>
      <c r="D132" s="113">
        <f>IFERROR(VLOOKUP($A132,MTD!$A$13:$D$1048576,4,0),0)</f>
        <v>17550.39</v>
      </c>
      <c r="E132" s="113"/>
      <c r="F132" s="113"/>
      <c r="G132" s="112" t="s">
        <v>316</v>
      </c>
      <c r="H132" s="114">
        <v>0</v>
      </c>
      <c r="I132" s="114">
        <v>0</v>
      </c>
      <c r="J132" s="115">
        <v>0</v>
      </c>
      <c r="K132" s="113">
        <v>0</v>
      </c>
      <c r="P132" s="112" t="s">
        <v>316</v>
      </c>
      <c r="Q132" s="113">
        <f>IFERROR(VLOOKUP($A132,YTD!$A$13:$D$1048576,3,0),0)</f>
        <v>146680.87</v>
      </c>
      <c r="R132" s="113">
        <f>IFERROR(VLOOKUP($A132,YTD!$A$13:$D$1048576,4,0),0)</f>
        <v>210312.98</v>
      </c>
      <c r="S132" s="113"/>
      <c r="T132" s="113"/>
      <c r="U132" s="112" t="s">
        <v>316</v>
      </c>
      <c r="V132" s="114">
        <v>0</v>
      </c>
      <c r="W132" s="114">
        <v>0</v>
      </c>
      <c r="X132" s="115">
        <v>0</v>
      </c>
      <c r="Y132" s="113">
        <v>0</v>
      </c>
      <c r="Z132" s="113">
        <v>10300.02</v>
      </c>
      <c r="AA132" s="113">
        <v>23817.09</v>
      </c>
      <c r="AB132" s="113">
        <v>9897.34</v>
      </c>
      <c r="AC132" s="113">
        <v>9936.52</v>
      </c>
      <c r="AD132" s="113">
        <v>9245.4699999999993</v>
      </c>
      <c r="AE132" s="113">
        <v>7850.55</v>
      </c>
      <c r="AF132" s="113">
        <v>8771.58</v>
      </c>
      <c r="AG132" s="113">
        <v>12289.61</v>
      </c>
      <c r="AH132" s="113">
        <v>23197.84</v>
      </c>
      <c r="AI132" s="113">
        <v>12345.95</v>
      </c>
      <c r="AJ132" s="113">
        <v>11503.31</v>
      </c>
      <c r="AK132" s="113">
        <f t="shared" si="8"/>
        <v>7525.59</v>
      </c>
      <c r="AM132" s="309"/>
    </row>
    <row r="133" spans="1:39" x14ac:dyDescent="0.3">
      <c r="A133" s="109" t="str">
        <f t="shared" si="9"/>
        <v>debit    6666010314  Work uniforms</v>
      </c>
      <c r="B133" s="112" t="s">
        <v>317</v>
      </c>
      <c r="C133" s="113">
        <f>IFERROR(VLOOKUP($A133,MTD!$A$13:$D$1048576,3,0),0)</f>
        <v>3683.34</v>
      </c>
      <c r="D133" s="113">
        <f>IFERROR(VLOOKUP($A133,MTD!$A$13:$D$1048576,4,0),0)</f>
        <v>70952.23</v>
      </c>
      <c r="E133" s="113"/>
      <c r="F133" s="113"/>
      <c r="G133" s="112" t="s">
        <v>317</v>
      </c>
      <c r="H133" s="114">
        <v>0</v>
      </c>
      <c r="I133" s="114">
        <v>0</v>
      </c>
      <c r="J133" s="115">
        <v>0</v>
      </c>
      <c r="K133" s="113">
        <v>0</v>
      </c>
      <c r="P133" s="112" t="s">
        <v>317</v>
      </c>
      <c r="Q133" s="113">
        <f>IFERROR(VLOOKUP($A133,YTD!$A$13:$D$1048576,3,0),0)</f>
        <v>460642.61</v>
      </c>
      <c r="R133" s="113">
        <f>IFERROR(VLOOKUP($A133,YTD!$A$13:$D$1048576,4,0),0)</f>
        <v>851013.46</v>
      </c>
      <c r="S133" s="113"/>
      <c r="T133" s="113"/>
      <c r="U133" s="112" t="s">
        <v>317</v>
      </c>
      <c r="V133" s="114">
        <v>0</v>
      </c>
      <c r="W133" s="114">
        <v>0</v>
      </c>
      <c r="X133" s="115">
        <v>0</v>
      </c>
      <c r="Y133" s="113">
        <v>0</v>
      </c>
      <c r="Z133" s="113">
        <v>48662.19</v>
      </c>
      <c r="AA133" s="113">
        <v>68817.89</v>
      </c>
      <c r="AB133" s="113">
        <v>70872.25</v>
      </c>
      <c r="AC133" s="113">
        <v>45184.98</v>
      </c>
      <c r="AD133" s="113">
        <v>43508.24</v>
      </c>
      <c r="AE133" s="113">
        <v>-857.14</v>
      </c>
      <c r="AF133" s="113">
        <v>2429.59</v>
      </c>
      <c r="AG133" s="113">
        <v>380.92</v>
      </c>
      <c r="AH133" s="113">
        <v>133015</v>
      </c>
      <c r="AI133" s="113">
        <v>45632.27</v>
      </c>
      <c r="AJ133" s="113">
        <v>-686.92</v>
      </c>
      <c r="AK133" s="113">
        <f t="shared" si="8"/>
        <v>3683.34</v>
      </c>
      <c r="AM133" s="309"/>
    </row>
    <row r="134" spans="1:39" x14ac:dyDescent="0.3">
      <c r="A134" s="109" t="str">
        <f t="shared" si="9"/>
        <v>debit    6666020401  local transportation - bus and taxi</v>
      </c>
      <c r="B134" s="112" t="s">
        <v>318</v>
      </c>
      <c r="C134" s="113">
        <f>IFERROR(VLOOKUP($A134,MTD!$A$13:$D$1048576,3,0),0)</f>
        <v>114402.22</v>
      </c>
      <c r="D134" s="113">
        <f>IFERROR(VLOOKUP($A134,MTD!$A$13:$D$1048576,4,0),0)</f>
        <v>222965.74</v>
      </c>
      <c r="E134" s="113"/>
      <c r="F134" s="113"/>
      <c r="G134" s="112" t="s">
        <v>318</v>
      </c>
      <c r="H134" s="114">
        <v>0</v>
      </c>
      <c r="I134" s="114">
        <v>0</v>
      </c>
      <c r="J134" s="115">
        <v>0</v>
      </c>
      <c r="K134" s="113">
        <v>0</v>
      </c>
      <c r="P134" s="112" t="s">
        <v>318</v>
      </c>
      <c r="Q134" s="113">
        <f>IFERROR(VLOOKUP($A134,YTD!$A$13:$D$1048576,3,0),0)</f>
        <v>1145686.9099999999</v>
      </c>
      <c r="R134" s="113">
        <f>IFERROR(VLOOKUP($A134,YTD!$A$13:$D$1048576,4,0),0)</f>
        <v>1774092.66</v>
      </c>
      <c r="S134" s="113"/>
      <c r="T134" s="113"/>
      <c r="U134" s="112" t="s">
        <v>318</v>
      </c>
      <c r="V134" s="114">
        <v>0</v>
      </c>
      <c r="W134" s="114">
        <v>0</v>
      </c>
      <c r="X134" s="115">
        <v>0</v>
      </c>
      <c r="Y134" s="113">
        <v>0</v>
      </c>
      <c r="Z134" s="113">
        <v>115653.92</v>
      </c>
      <c r="AA134" s="113">
        <v>103551.3</v>
      </c>
      <c r="AB134" s="113">
        <v>76921.240000000005</v>
      </c>
      <c r="AC134" s="113">
        <v>71893.66</v>
      </c>
      <c r="AD134" s="113">
        <v>68056.77</v>
      </c>
      <c r="AE134" s="113">
        <v>63914.25</v>
      </c>
      <c r="AF134" s="113">
        <v>78931.45</v>
      </c>
      <c r="AG134" s="113">
        <v>108752.64</v>
      </c>
      <c r="AH134" s="113">
        <v>112036.44</v>
      </c>
      <c r="AI134" s="113">
        <v>118757.86</v>
      </c>
      <c r="AJ134" s="113">
        <v>112815.16</v>
      </c>
      <c r="AK134" s="113">
        <f t="shared" si="8"/>
        <v>114402.22</v>
      </c>
      <c r="AM134" s="309"/>
    </row>
    <row r="135" spans="1:39" x14ac:dyDescent="0.3">
      <c r="A135" s="109" t="str">
        <f t="shared" si="9"/>
        <v>debit    6666020402  Local transportation-transport subsidies</v>
      </c>
      <c r="B135" s="112" t="s">
        <v>319</v>
      </c>
      <c r="C135" s="116">
        <f>IFERROR(VLOOKUP($A135,MTD!$A$13:$D$1048576,3,0),0)</f>
        <v>0</v>
      </c>
      <c r="D135" s="116">
        <f>IFERROR(VLOOKUP($A135,MTD!$A$13:$D$1048576,4,0),0)</f>
        <v>0</v>
      </c>
      <c r="E135" s="113"/>
      <c r="F135" s="113"/>
      <c r="G135" s="112" t="s">
        <v>319</v>
      </c>
      <c r="H135" s="114">
        <v>0</v>
      </c>
      <c r="I135" s="114">
        <v>0</v>
      </c>
      <c r="J135" s="115">
        <v>0</v>
      </c>
      <c r="K135" s="113">
        <v>0</v>
      </c>
      <c r="P135" s="112" t="s">
        <v>319</v>
      </c>
      <c r="Q135" s="116">
        <f>IFERROR(VLOOKUP($A135,YTD!$A$13:$D$1048576,3,0),0)</f>
        <v>0</v>
      </c>
      <c r="R135" s="116">
        <f>IFERROR(VLOOKUP($A135,YTD!$A$13:$D$1048576,4,0),0)</f>
        <v>0</v>
      </c>
      <c r="S135" s="113"/>
      <c r="T135" s="113"/>
      <c r="U135" s="112" t="s">
        <v>319</v>
      </c>
      <c r="V135" s="114">
        <v>0</v>
      </c>
      <c r="W135" s="114">
        <v>0</v>
      </c>
      <c r="X135" s="115">
        <v>0</v>
      </c>
      <c r="Y135" s="113">
        <v>0</v>
      </c>
      <c r="Z135" s="113">
        <v>0</v>
      </c>
      <c r="AA135" s="113">
        <v>0</v>
      </c>
      <c r="AB135" s="113">
        <v>0</v>
      </c>
      <c r="AC135" s="113">
        <v>0</v>
      </c>
      <c r="AD135" s="113">
        <v>0</v>
      </c>
      <c r="AE135" s="113">
        <v>0</v>
      </c>
      <c r="AF135" s="113">
        <v>0</v>
      </c>
      <c r="AG135" s="113">
        <v>0</v>
      </c>
      <c r="AH135" s="113">
        <v>0</v>
      </c>
      <c r="AI135" s="113">
        <v>0</v>
      </c>
      <c r="AJ135" s="113">
        <v>0</v>
      </c>
      <c r="AK135" s="113">
        <f t="shared" si="8"/>
        <v>0</v>
      </c>
      <c r="AM135" s="309"/>
    </row>
    <row r="136" spans="1:39" x14ac:dyDescent="0.3">
      <c r="A136" s="109" t="str">
        <f t="shared" si="9"/>
        <v>debit    6666020502  Working meals</v>
      </c>
      <c r="B136" s="112" t="s">
        <v>320</v>
      </c>
      <c r="C136" s="113">
        <f>IFERROR(VLOOKUP($A136,MTD!$A$13:$D$1048576,3,0),0)</f>
        <v>113229.99</v>
      </c>
      <c r="D136" s="113">
        <f>IFERROR(VLOOKUP($A136,MTD!$A$13:$D$1048576,4,0),0)</f>
        <v>185701.17</v>
      </c>
      <c r="E136" s="113"/>
      <c r="F136" s="113"/>
      <c r="G136" s="112" t="s">
        <v>320</v>
      </c>
      <c r="H136" s="114">
        <v>0</v>
      </c>
      <c r="I136" s="114">
        <v>0</v>
      </c>
      <c r="J136" s="115">
        <v>0</v>
      </c>
      <c r="K136" s="113">
        <v>0</v>
      </c>
      <c r="P136" s="112" t="s">
        <v>320</v>
      </c>
      <c r="Q136" s="113">
        <f>IFERROR(VLOOKUP($A136,YTD!$A$13:$D$1048576,3,0),0)</f>
        <v>1158592.3</v>
      </c>
      <c r="R136" s="113">
        <f>IFERROR(VLOOKUP($A136,YTD!$A$13:$D$1048576,4,0),0)</f>
        <v>1521365.06</v>
      </c>
      <c r="S136" s="113"/>
      <c r="T136" s="113"/>
      <c r="U136" s="112" t="s">
        <v>320</v>
      </c>
      <c r="V136" s="114">
        <v>0</v>
      </c>
      <c r="W136" s="114">
        <v>0</v>
      </c>
      <c r="X136" s="115">
        <v>0</v>
      </c>
      <c r="Y136" s="113">
        <v>0</v>
      </c>
      <c r="Z136" s="113">
        <v>117216.42</v>
      </c>
      <c r="AA136" s="113">
        <v>99107.39</v>
      </c>
      <c r="AB136" s="113">
        <v>86826.02</v>
      </c>
      <c r="AC136" s="113">
        <v>73587.3</v>
      </c>
      <c r="AD136" s="113">
        <v>72797.33</v>
      </c>
      <c r="AE136" s="113">
        <v>61026.65</v>
      </c>
      <c r="AF136" s="113">
        <v>70705.61</v>
      </c>
      <c r="AG136" s="113">
        <v>115799.5</v>
      </c>
      <c r="AH136" s="113">
        <v>118113.9</v>
      </c>
      <c r="AI136" s="113">
        <v>119844.29</v>
      </c>
      <c r="AJ136" s="113">
        <v>110337.9</v>
      </c>
      <c r="AK136" s="113">
        <f t="shared" si="8"/>
        <v>113229.99</v>
      </c>
      <c r="AM136" s="309"/>
    </row>
    <row r="137" spans="1:39" x14ac:dyDescent="0.3">
      <c r="A137" s="109" t="str">
        <f t="shared" si="9"/>
        <v>debit    6666020503  Office supplies</v>
      </c>
      <c r="B137" s="112" t="s">
        <v>321</v>
      </c>
      <c r="C137" s="113">
        <f>IFERROR(VLOOKUP($A137,MTD!$A$13:$D$1048576,3,0),0)</f>
        <v>-4862.8500000000004</v>
      </c>
      <c r="D137" s="113">
        <f>IFERROR(VLOOKUP($A137,MTD!$A$13:$D$1048576,4,0),0)</f>
        <v>4763.18</v>
      </c>
      <c r="E137" s="113"/>
      <c r="F137" s="113"/>
      <c r="G137" s="112" t="s">
        <v>321</v>
      </c>
      <c r="H137" s="114">
        <v>0</v>
      </c>
      <c r="I137" s="114">
        <v>0</v>
      </c>
      <c r="J137" s="115">
        <v>0</v>
      </c>
      <c r="K137" s="113">
        <v>0</v>
      </c>
      <c r="P137" s="112" t="s">
        <v>321</v>
      </c>
      <c r="Q137" s="113">
        <f>IFERROR(VLOOKUP($A137,YTD!$A$13:$D$1048576,3,0),0)</f>
        <v>16855.740000000002</v>
      </c>
      <c r="R137" s="113">
        <f>IFERROR(VLOOKUP($A137,YTD!$A$13:$D$1048576,4,0),0)</f>
        <v>57158.16</v>
      </c>
      <c r="S137" s="113"/>
      <c r="T137" s="113"/>
      <c r="U137" s="112" t="s">
        <v>321</v>
      </c>
      <c r="V137" s="114">
        <v>0</v>
      </c>
      <c r="W137" s="114">
        <v>0</v>
      </c>
      <c r="X137" s="115">
        <v>0</v>
      </c>
      <c r="Y137" s="113">
        <v>0</v>
      </c>
      <c r="Z137" s="113">
        <v>877.56</v>
      </c>
      <c r="AA137" s="113">
        <v>2449.06</v>
      </c>
      <c r="AB137" s="113">
        <v>1594.21</v>
      </c>
      <c r="AC137" s="113">
        <v>2020.48</v>
      </c>
      <c r="AD137" s="113">
        <v>2011.38</v>
      </c>
      <c r="AE137" s="113">
        <v>1820.44</v>
      </c>
      <c r="AF137" s="113">
        <v>1942.56</v>
      </c>
      <c r="AG137" s="113">
        <v>1009.52</v>
      </c>
      <c r="AH137" s="113">
        <v>293.58</v>
      </c>
      <c r="AI137" s="113">
        <v>3737.3</v>
      </c>
      <c r="AJ137" s="113">
        <v>3962.5</v>
      </c>
      <c r="AK137" s="113">
        <f t="shared" si="8"/>
        <v>-4862.8500000000004</v>
      </c>
      <c r="AM137" s="309"/>
    </row>
    <row r="138" spans="1:39" x14ac:dyDescent="0.3">
      <c r="A138" s="109" t="str">
        <f t="shared" si="9"/>
        <v>debit    6666021500  Repairs cost</v>
      </c>
      <c r="B138" s="112" t="s">
        <v>322</v>
      </c>
      <c r="C138" s="113">
        <f>IFERROR(VLOOKUP($A138,MTD!$A$13:$D$1048576,3,0),0)</f>
        <v>0</v>
      </c>
      <c r="D138" s="116">
        <f>IFERROR(VLOOKUP($A138,MTD!$A$13:$D$1048576,4,0),0)</f>
        <v>0</v>
      </c>
      <c r="E138" s="113"/>
      <c r="F138" s="113"/>
      <c r="G138" s="112" t="s">
        <v>322</v>
      </c>
      <c r="H138" s="114">
        <v>0</v>
      </c>
      <c r="I138" s="114">
        <v>0</v>
      </c>
      <c r="J138" s="115">
        <v>0</v>
      </c>
      <c r="K138" s="113">
        <v>0</v>
      </c>
      <c r="P138" s="112" t="s">
        <v>322</v>
      </c>
      <c r="Q138" s="113">
        <f>IFERROR(VLOOKUP($A138,YTD!$A$13:$D$1048576,3,0),0)</f>
        <v>6141.13</v>
      </c>
      <c r="R138" s="116">
        <f>IFERROR(VLOOKUP($A138,YTD!$A$13:$D$1048576,4,0),0)</f>
        <v>0</v>
      </c>
      <c r="S138" s="113"/>
      <c r="T138" s="113"/>
      <c r="U138" s="112" t="s">
        <v>322</v>
      </c>
      <c r="V138" s="114">
        <v>0</v>
      </c>
      <c r="W138" s="114">
        <v>0</v>
      </c>
      <c r="X138" s="115">
        <v>0</v>
      </c>
      <c r="Y138" s="113">
        <v>0</v>
      </c>
      <c r="Z138" s="113">
        <v>982.58</v>
      </c>
      <c r="AA138" s="113">
        <v>-15.07</v>
      </c>
      <c r="AB138" s="113">
        <v>1850.4</v>
      </c>
      <c r="AC138" s="113">
        <v>144.24</v>
      </c>
      <c r="AD138" s="113">
        <v>835.48</v>
      </c>
      <c r="AE138" s="113">
        <v>803.44</v>
      </c>
      <c r="AF138" s="113">
        <v>808.2</v>
      </c>
      <c r="AG138" s="113">
        <v>731.86</v>
      </c>
      <c r="AH138" s="113">
        <v>0</v>
      </c>
      <c r="AI138" s="113">
        <v>0</v>
      </c>
      <c r="AJ138" s="113">
        <v>0</v>
      </c>
      <c r="AK138" s="113">
        <f t="shared" si="8"/>
        <v>0</v>
      </c>
      <c r="AM138" s="309"/>
    </row>
    <row r="139" spans="1:39" x14ac:dyDescent="0.3">
      <c r="A139" s="109" t="str">
        <f t="shared" si="9"/>
        <v>debit    6666021502  Repair &amp; Maintain - Building&amp;office</v>
      </c>
      <c r="B139" s="112" t="s">
        <v>323</v>
      </c>
      <c r="C139" s="113">
        <f>IFERROR(VLOOKUP($A139,MTD!$A$13:$D$1048576,3,0),0)</f>
        <v>29118.91</v>
      </c>
      <c r="D139" s="113">
        <f>IFERROR(VLOOKUP($A139,MTD!$A$13:$D$1048576,4,0),0)</f>
        <v>96777.68</v>
      </c>
      <c r="E139" s="113"/>
      <c r="F139" s="113"/>
      <c r="G139" s="112" t="s">
        <v>323</v>
      </c>
      <c r="H139" s="114">
        <v>0</v>
      </c>
      <c r="I139" s="114">
        <v>0</v>
      </c>
      <c r="J139" s="115">
        <v>0</v>
      </c>
      <c r="K139" s="113">
        <v>0</v>
      </c>
      <c r="P139" s="112" t="s">
        <v>323</v>
      </c>
      <c r="Q139" s="113">
        <f>IFERROR(VLOOKUP($A139,YTD!$A$13:$D$1048576,3,0),0)</f>
        <v>211276.31</v>
      </c>
      <c r="R139" s="113">
        <f>IFERROR(VLOOKUP($A139,YTD!$A$13:$D$1048576,4,0),0)</f>
        <v>1161332.1599999999</v>
      </c>
      <c r="S139" s="113"/>
      <c r="T139" s="113"/>
      <c r="U139" s="112" t="s">
        <v>323</v>
      </c>
      <c r="V139" s="114">
        <v>0</v>
      </c>
      <c r="W139" s="114">
        <v>0</v>
      </c>
      <c r="X139" s="115">
        <v>0</v>
      </c>
      <c r="Y139" s="113">
        <v>0</v>
      </c>
      <c r="Z139" s="113">
        <v>9312.84</v>
      </c>
      <c r="AA139" s="113">
        <v>53157.18</v>
      </c>
      <c r="AB139" s="113">
        <v>-2639.9</v>
      </c>
      <c r="AC139" s="113">
        <v>70.16</v>
      </c>
      <c r="AD139" s="113">
        <v>2640.4</v>
      </c>
      <c r="AE139" s="113">
        <v>11198.68</v>
      </c>
      <c r="AF139" s="113">
        <v>1891.36</v>
      </c>
      <c r="AG139" s="113">
        <v>4785.84</v>
      </c>
      <c r="AH139" s="113">
        <v>3473.4</v>
      </c>
      <c r="AI139" s="113">
        <v>62030.48</v>
      </c>
      <c r="AJ139" s="113">
        <v>36236.959999999999</v>
      </c>
      <c r="AK139" s="113">
        <f t="shared" si="8"/>
        <v>29118.91</v>
      </c>
      <c r="AM139" s="309"/>
    </row>
    <row r="140" spans="1:39" x14ac:dyDescent="0.3">
      <c r="A140" s="109" t="str">
        <f t="shared" si="9"/>
        <v>debit    6666021503  Repair &amp; Maintain - Tooling &amp; Equipments</v>
      </c>
      <c r="B140" s="112" t="s">
        <v>324</v>
      </c>
      <c r="C140" s="113">
        <f>IFERROR(VLOOKUP($A140,MTD!$A$13:$D$1048576,3,0),0)</f>
        <v>3610.82</v>
      </c>
      <c r="D140" s="113">
        <f>IFERROR(VLOOKUP($A140,MTD!$A$13:$D$1048576,4,0),0)</f>
        <v>18207.400000000001</v>
      </c>
      <c r="E140" s="113"/>
      <c r="F140" s="113"/>
      <c r="G140" s="112" t="s">
        <v>324</v>
      </c>
      <c r="H140" s="114">
        <v>0</v>
      </c>
      <c r="I140" s="114">
        <v>0</v>
      </c>
      <c r="J140" s="115">
        <v>0</v>
      </c>
      <c r="K140" s="113">
        <v>0</v>
      </c>
      <c r="P140" s="112" t="s">
        <v>324</v>
      </c>
      <c r="Q140" s="113">
        <f>IFERROR(VLOOKUP($A140,YTD!$A$13:$D$1048576,3,0),0)</f>
        <v>53238.53</v>
      </c>
      <c r="R140" s="113">
        <f>IFERROR(VLOOKUP($A140,YTD!$A$13:$D$1048576,4,0),0)</f>
        <v>218488.8</v>
      </c>
      <c r="S140" s="113"/>
      <c r="T140" s="113"/>
      <c r="U140" s="112" t="s">
        <v>324</v>
      </c>
      <c r="V140" s="114">
        <v>0</v>
      </c>
      <c r="W140" s="114">
        <v>0</v>
      </c>
      <c r="X140" s="115">
        <v>0</v>
      </c>
      <c r="Y140" s="113">
        <v>0</v>
      </c>
      <c r="Z140" s="113">
        <v>729.34</v>
      </c>
      <c r="AA140" s="113">
        <v>3404.18</v>
      </c>
      <c r="AB140" s="113">
        <v>1538.06</v>
      </c>
      <c r="AC140" s="113">
        <v>1597.95</v>
      </c>
      <c r="AD140" s="113">
        <v>9445.58</v>
      </c>
      <c r="AE140" s="113">
        <v>10811.42</v>
      </c>
      <c r="AF140" s="113">
        <v>10272.75</v>
      </c>
      <c r="AG140" s="113">
        <v>5591.37</v>
      </c>
      <c r="AH140" s="113">
        <v>4831.71</v>
      </c>
      <c r="AI140" s="113">
        <v>291.33</v>
      </c>
      <c r="AJ140" s="113">
        <v>1114.02</v>
      </c>
      <c r="AK140" s="113">
        <f t="shared" si="8"/>
        <v>3610.82</v>
      </c>
      <c r="AM140" s="309"/>
    </row>
    <row r="141" spans="1:39" x14ac:dyDescent="0.3">
      <c r="A141" s="109" t="str">
        <f t="shared" si="9"/>
        <v>debit    6666021505  Repairs &amp; Maintenance - Vehicles</v>
      </c>
      <c r="B141" s="112" t="s">
        <v>325</v>
      </c>
      <c r="C141" s="113">
        <f>IFERROR(VLOOKUP($A141,MTD!$A$13:$D$1048576,3,0),0)</f>
        <v>4452.92</v>
      </c>
      <c r="D141" s="116">
        <f>IFERROR(VLOOKUP($A141,MTD!$A$13:$D$1048576,4,0),0)</f>
        <v>0</v>
      </c>
      <c r="E141" s="113"/>
      <c r="F141" s="113"/>
      <c r="G141" s="112" t="s">
        <v>325</v>
      </c>
      <c r="H141" s="114">
        <v>0</v>
      </c>
      <c r="I141" s="114">
        <v>0</v>
      </c>
      <c r="J141" s="115">
        <v>0</v>
      </c>
      <c r="K141" s="113">
        <v>0</v>
      </c>
      <c r="P141" s="112" t="s">
        <v>325</v>
      </c>
      <c r="Q141" s="113">
        <f>IFERROR(VLOOKUP($A141,YTD!$A$13:$D$1048576,3,0),0)</f>
        <v>5363.42</v>
      </c>
      <c r="R141" s="116">
        <f>IFERROR(VLOOKUP($A141,YTD!$A$13:$D$1048576,4,0),0)</f>
        <v>0</v>
      </c>
      <c r="S141" s="113"/>
      <c r="T141" s="113"/>
      <c r="U141" s="112" t="s">
        <v>325</v>
      </c>
      <c r="V141" s="114">
        <v>0</v>
      </c>
      <c r="W141" s="114">
        <v>0</v>
      </c>
      <c r="X141" s="115">
        <v>0</v>
      </c>
      <c r="Y141" s="113">
        <v>0</v>
      </c>
      <c r="Z141" s="113">
        <v>8.6</v>
      </c>
      <c r="AA141" s="113">
        <v>870.8</v>
      </c>
      <c r="AB141" s="113">
        <v>-0.34</v>
      </c>
      <c r="AC141" s="113">
        <v>-35.32</v>
      </c>
      <c r="AD141" s="113">
        <v>0</v>
      </c>
      <c r="AE141" s="113">
        <v>0</v>
      </c>
      <c r="AF141" s="113">
        <v>0</v>
      </c>
      <c r="AG141" s="113">
        <v>0</v>
      </c>
      <c r="AH141" s="113">
        <v>66.760000000000005</v>
      </c>
      <c r="AI141" s="113">
        <v>0</v>
      </c>
      <c r="AJ141" s="113">
        <v>0</v>
      </c>
      <c r="AK141" s="113">
        <f t="shared" si="8"/>
        <v>4452.92</v>
      </c>
      <c r="AM141" s="309"/>
    </row>
    <row r="142" spans="1:39" x14ac:dyDescent="0.3">
      <c r="A142" s="109" t="str">
        <f t="shared" si="9"/>
        <v>debit    6666021506  Repairs &amp; Maintenance - Plant &amp; Machiner</v>
      </c>
      <c r="B142" s="112" t="s">
        <v>326</v>
      </c>
      <c r="C142" s="113">
        <f>IFERROR(VLOOKUP($A142,MTD!$A$13:$D$1048576,3,0),0)</f>
        <v>15514.16</v>
      </c>
      <c r="D142" s="113">
        <f>IFERROR(VLOOKUP($A142,MTD!$A$13:$D$1048576,4,0),0)</f>
        <v>50017.36</v>
      </c>
      <c r="E142" s="113"/>
      <c r="F142" s="113"/>
      <c r="G142" s="112" t="s">
        <v>326</v>
      </c>
      <c r="H142" s="114">
        <v>0</v>
      </c>
      <c r="I142" s="114">
        <v>0</v>
      </c>
      <c r="J142" s="115">
        <v>0</v>
      </c>
      <c r="K142" s="113">
        <v>0</v>
      </c>
      <c r="P142" s="112" t="s">
        <v>326</v>
      </c>
      <c r="Q142" s="113">
        <f>IFERROR(VLOOKUP($A142,YTD!$A$13:$D$1048576,3,0),0)</f>
        <v>436930.45</v>
      </c>
      <c r="R142" s="113">
        <f>IFERROR(VLOOKUP($A142,YTD!$A$13:$D$1048576,4,0),0)</f>
        <v>600208.31999999995</v>
      </c>
      <c r="S142" s="113"/>
      <c r="T142" s="113"/>
      <c r="U142" s="112" t="s">
        <v>326</v>
      </c>
      <c r="V142" s="114">
        <v>0</v>
      </c>
      <c r="W142" s="114">
        <v>0</v>
      </c>
      <c r="X142" s="115">
        <v>0</v>
      </c>
      <c r="Y142" s="113">
        <v>0</v>
      </c>
      <c r="Z142" s="113">
        <v>112584.8</v>
      </c>
      <c r="AA142" s="113">
        <v>-19627.48</v>
      </c>
      <c r="AB142" s="113">
        <v>64672.97</v>
      </c>
      <c r="AC142" s="113">
        <v>59924.66</v>
      </c>
      <c r="AD142" s="113">
        <v>45253.46</v>
      </c>
      <c r="AE142" s="113">
        <v>50915.5</v>
      </c>
      <c r="AF142" s="113">
        <v>33241.56</v>
      </c>
      <c r="AG142" s="113">
        <v>32539.1</v>
      </c>
      <c r="AH142" s="113">
        <v>34710.44</v>
      </c>
      <c r="AI142" s="113">
        <v>-4754.8</v>
      </c>
      <c r="AJ142" s="113">
        <v>11956.08</v>
      </c>
      <c r="AK142" s="113">
        <f t="shared" si="8"/>
        <v>15514.16</v>
      </c>
      <c r="AM142" s="309"/>
    </row>
    <row r="143" spans="1:39" x14ac:dyDescent="0.3">
      <c r="A143" s="109" t="str">
        <f t="shared" si="9"/>
        <v>debit    6666091600  Garbage disposal charge</v>
      </c>
      <c r="B143" s="112" t="s">
        <v>327</v>
      </c>
      <c r="C143" s="113">
        <f>IFERROR(VLOOKUP($A143,MTD!$A$13:$D$1048576,3,0),0)</f>
        <v>1958.94</v>
      </c>
      <c r="D143" s="113">
        <f>IFERROR(VLOOKUP($A143,MTD!$A$13:$D$1048576,4,0),0)</f>
        <v>908.36</v>
      </c>
      <c r="E143" s="113"/>
      <c r="F143" s="113"/>
      <c r="G143" s="112" t="s">
        <v>327</v>
      </c>
      <c r="H143" s="114">
        <v>0</v>
      </c>
      <c r="I143" s="114">
        <v>0</v>
      </c>
      <c r="J143" s="115">
        <v>0</v>
      </c>
      <c r="K143" s="113">
        <v>0</v>
      </c>
      <c r="P143" s="112" t="s">
        <v>327</v>
      </c>
      <c r="Q143" s="113">
        <f>IFERROR(VLOOKUP($A143,YTD!$A$13:$D$1048576,3,0),0)</f>
        <v>9374.4</v>
      </c>
      <c r="R143" s="113">
        <f>IFERROR(VLOOKUP($A143,YTD!$A$13:$D$1048576,4,0),0)</f>
        <v>9959.1200000000008</v>
      </c>
      <c r="S143" s="113"/>
      <c r="T143" s="113"/>
      <c r="U143" s="112" t="s">
        <v>327</v>
      </c>
      <c r="V143" s="114">
        <v>0</v>
      </c>
      <c r="W143" s="114">
        <v>0</v>
      </c>
      <c r="X143" s="115">
        <v>0</v>
      </c>
      <c r="Y143" s="113">
        <v>0</v>
      </c>
      <c r="Z143" s="113">
        <v>515</v>
      </c>
      <c r="AA143" s="113">
        <v>229.93</v>
      </c>
      <c r="AB143" s="113">
        <v>963.99</v>
      </c>
      <c r="AC143" s="113">
        <v>650.37</v>
      </c>
      <c r="AD143" s="113">
        <v>380.44</v>
      </c>
      <c r="AE143" s="113">
        <v>182</v>
      </c>
      <c r="AF143" s="113">
        <v>893.33</v>
      </c>
      <c r="AG143" s="113">
        <v>960.16</v>
      </c>
      <c r="AH143" s="113">
        <v>307.18</v>
      </c>
      <c r="AI143" s="113">
        <v>358.03</v>
      </c>
      <c r="AJ143" s="113">
        <v>1975.03</v>
      </c>
      <c r="AK143" s="113">
        <f t="shared" si="8"/>
        <v>1958.94</v>
      </c>
      <c r="AM143" s="309"/>
    </row>
    <row r="144" spans="1:39" x14ac:dyDescent="0.3">
      <c r="A144" s="109" t="str">
        <f t="shared" si="9"/>
        <v>debit    5401060201  COGS-Repair expense</v>
      </c>
      <c r="B144" s="112" t="s">
        <v>328</v>
      </c>
      <c r="C144" s="113">
        <f>IFERROR(VLOOKUP($A144,MTD!$A$13:$D$1048576,3,0),0)</f>
        <v>0</v>
      </c>
      <c r="D144" s="113">
        <f>IFERROR(VLOOKUP($A144,MTD!$A$13:$D$1048576,4,0),0)</f>
        <v>0</v>
      </c>
      <c r="E144" s="113"/>
      <c r="F144" s="113"/>
      <c r="G144" s="112" t="s">
        <v>328</v>
      </c>
      <c r="H144" s="114"/>
      <c r="I144" s="114"/>
      <c r="J144" s="115"/>
      <c r="K144" s="113"/>
      <c r="P144" s="112" t="s">
        <v>328</v>
      </c>
      <c r="Q144" s="113">
        <f>IFERROR(VLOOKUP($A144,YTD!$A$13:$D$1048576,3,0),0)</f>
        <v>0</v>
      </c>
      <c r="R144" s="113">
        <f>IFERROR(VLOOKUP($A144,YTD!$A$13:$D$1048576,4,0),0)</f>
        <v>0</v>
      </c>
      <c r="S144" s="113"/>
      <c r="T144" s="113"/>
      <c r="U144" s="112" t="s">
        <v>328</v>
      </c>
      <c r="V144" s="114"/>
      <c r="W144" s="114"/>
      <c r="X144" s="115"/>
      <c r="Y144" s="113"/>
      <c r="Z144" s="113"/>
      <c r="AA144" s="113"/>
      <c r="AB144" s="113"/>
      <c r="AC144" s="113"/>
      <c r="AD144" s="113"/>
      <c r="AE144" s="113"/>
      <c r="AF144" s="113"/>
      <c r="AG144" s="113"/>
      <c r="AH144" s="113">
        <v>0</v>
      </c>
      <c r="AI144" s="113">
        <v>0</v>
      </c>
      <c r="AJ144" s="113">
        <v>0</v>
      </c>
      <c r="AK144" s="113">
        <f t="shared" si="8"/>
        <v>0</v>
      </c>
      <c r="AM144" s="309"/>
    </row>
    <row r="145" spans="1:39" x14ac:dyDescent="0.3">
      <c r="A145" s="109" t="str">
        <f t="shared" si="9"/>
        <v>debit*   CS_Semifix</v>
      </c>
      <c r="B145" s="117" t="s">
        <v>219</v>
      </c>
      <c r="C145" s="118">
        <f>IFERROR(VLOOKUP($A145,MTD!$A$13:$D$1048576,3,0),0)</f>
        <v>288635.44</v>
      </c>
      <c r="D145" s="118">
        <f>IFERROR(VLOOKUP($A145,MTD!$A$13:$D$1048576,4,0),0)</f>
        <v>667843.51</v>
      </c>
      <c r="E145" s="118"/>
      <c r="F145" s="118"/>
      <c r="G145" s="117" t="s">
        <v>219</v>
      </c>
      <c r="H145" s="119">
        <v>0</v>
      </c>
      <c r="I145" s="119">
        <v>0</v>
      </c>
      <c r="J145" s="120">
        <v>0</v>
      </c>
      <c r="K145" s="118">
        <v>0</v>
      </c>
      <c r="P145" s="117" t="s">
        <v>219</v>
      </c>
      <c r="Q145" s="118">
        <f>IFERROR(VLOOKUP($A145,YTD!$A$13:$D$1048576,3,0),0)</f>
        <v>3650968.49</v>
      </c>
      <c r="R145" s="118">
        <f>IFERROR(VLOOKUP($A145,YTD!$A$13:$D$1048576,4,0),0)</f>
        <v>6403930.7199999997</v>
      </c>
      <c r="S145" s="118"/>
      <c r="T145" s="118"/>
      <c r="U145" s="117" t="s">
        <v>219</v>
      </c>
      <c r="V145" s="119">
        <v>0</v>
      </c>
      <c r="W145" s="119">
        <v>0</v>
      </c>
      <c r="X145" s="120">
        <v>0</v>
      </c>
      <c r="Y145" s="118">
        <v>0</v>
      </c>
      <c r="Z145" s="118">
        <v>416843.27</v>
      </c>
      <c r="AA145" s="118">
        <v>335762.27</v>
      </c>
      <c r="AB145" s="118">
        <v>312496.24</v>
      </c>
      <c r="AC145" s="118">
        <v>264975</v>
      </c>
      <c r="AD145" s="118">
        <v>254173.64</v>
      </c>
      <c r="AE145" s="118">
        <v>207665.79</v>
      </c>
      <c r="AF145" s="118">
        <v>209887.99</v>
      </c>
      <c r="AG145" s="118">
        <v>282830.53000000003</v>
      </c>
      <c r="AH145" s="118">
        <v>430046.25</v>
      </c>
      <c r="AI145" s="118">
        <v>358242.71</v>
      </c>
      <c r="AJ145" s="118">
        <v>289409.36</v>
      </c>
      <c r="AK145" s="118">
        <f t="shared" si="8"/>
        <v>288635.44</v>
      </c>
      <c r="AM145" s="309"/>
    </row>
    <row r="146" spans="1:39" x14ac:dyDescent="0.3">
      <c r="A146" s="109" t="str">
        <f t="shared" si="9"/>
        <v>debit    600006      OVH Administrative</v>
      </c>
      <c r="B146" s="112" t="s">
        <v>329</v>
      </c>
      <c r="C146" s="113">
        <f>IFERROR(VLOOKUP($A146,MTD!$A$13:$D$1048576,3,0),0)</f>
        <v>-135958.59</v>
      </c>
      <c r="D146" s="113">
        <f>IFERROR(VLOOKUP($A146,MTD!$A$13:$D$1048576,4,0),0)</f>
        <v>311528.09999999998</v>
      </c>
      <c r="E146" s="113"/>
      <c r="F146" s="113"/>
      <c r="G146" s="112" t="s">
        <v>329</v>
      </c>
      <c r="H146" s="114">
        <v>0</v>
      </c>
      <c r="I146" s="114">
        <v>0</v>
      </c>
      <c r="J146" s="115">
        <v>0</v>
      </c>
      <c r="K146" s="113">
        <v>0</v>
      </c>
      <c r="P146" s="112" t="s">
        <v>329</v>
      </c>
      <c r="Q146" s="113">
        <f>IFERROR(VLOOKUP($A146,YTD!$A$13:$D$1048576,3,0),0)</f>
        <v>3113518.86</v>
      </c>
      <c r="R146" s="113">
        <f>IFERROR(VLOOKUP($A146,YTD!$A$13:$D$1048576,4,0),0)</f>
        <v>3738337.2</v>
      </c>
      <c r="S146" s="113"/>
      <c r="T146" s="113"/>
      <c r="U146" s="112" t="s">
        <v>329</v>
      </c>
      <c r="V146" s="114">
        <v>0</v>
      </c>
      <c r="W146" s="114">
        <v>0</v>
      </c>
      <c r="X146" s="115">
        <v>0</v>
      </c>
      <c r="Y146" s="113">
        <v>0</v>
      </c>
      <c r="Z146" s="113">
        <v>289689.19</v>
      </c>
      <c r="AA146" s="113">
        <v>355134.83</v>
      </c>
      <c r="AB146" s="113">
        <v>297322.5</v>
      </c>
      <c r="AC146" s="113">
        <v>264191.68</v>
      </c>
      <c r="AD146" s="113">
        <v>298717.94</v>
      </c>
      <c r="AE146" s="113">
        <v>281687.49</v>
      </c>
      <c r="AF146" s="113">
        <v>284409.78000000003</v>
      </c>
      <c r="AG146" s="113">
        <v>269045.75</v>
      </c>
      <c r="AH146" s="113">
        <v>313719.86</v>
      </c>
      <c r="AI146" s="113">
        <v>311760.45</v>
      </c>
      <c r="AJ146" s="113">
        <v>283797.98</v>
      </c>
      <c r="AK146" s="113">
        <f t="shared" si="8"/>
        <v>-135958.59</v>
      </c>
      <c r="AM146" s="309"/>
    </row>
    <row r="147" spans="1:39" x14ac:dyDescent="0.3">
      <c r="A147" s="109" t="str">
        <f t="shared" si="9"/>
        <v>debit*   CS_OVH_ADM</v>
      </c>
      <c r="B147" s="117" t="s">
        <v>220</v>
      </c>
      <c r="C147" s="118">
        <f>IFERROR(VLOOKUP($A147,MTD!$A$13:$D$1048576,3,0),0)</f>
        <v>-135958.59</v>
      </c>
      <c r="D147" s="118">
        <f>IFERROR(VLOOKUP($A147,MTD!$A$13:$D$1048576,4,0),0)</f>
        <v>311528.09999999998</v>
      </c>
      <c r="E147" s="118"/>
      <c r="F147" s="118"/>
      <c r="G147" s="117" t="s">
        <v>220</v>
      </c>
      <c r="H147" s="119">
        <v>0</v>
      </c>
      <c r="I147" s="119">
        <v>0</v>
      </c>
      <c r="J147" s="120">
        <v>0</v>
      </c>
      <c r="K147" s="118">
        <v>0</v>
      </c>
      <c r="P147" s="117" t="s">
        <v>220</v>
      </c>
      <c r="Q147" s="118">
        <f>IFERROR(VLOOKUP($A147,YTD!$A$13:$D$1048576,3,0),0)</f>
        <v>3113518.86</v>
      </c>
      <c r="R147" s="118">
        <f>IFERROR(VLOOKUP($A147,YTD!$A$13:$D$1048576,4,0),0)</f>
        <v>3738337.2</v>
      </c>
      <c r="S147" s="118"/>
      <c r="T147" s="118"/>
      <c r="U147" s="117" t="s">
        <v>220</v>
      </c>
      <c r="V147" s="119">
        <v>0</v>
      </c>
      <c r="W147" s="119">
        <v>0</v>
      </c>
      <c r="X147" s="120">
        <v>0</v>
      </c>
      <c r="Y147" s="118">
        <v>0</v>
      </c>
      <c r="Z147" s="118">
        <v>289689.19</v>
      </c>
      <c r="AA147" s="118">
        <v>355134.83</v>
      </c>
      <c r="AB147" s="118">
        <v>297322.5</v>
      </c>
      <c r="AC147" s="118">
        <v>264191.68</v>
      </c>
      <c r="AD147" s="118">
        <v>298717.94</v>
      </c>
      <c r="AE147" s="118">
        <v>281687.49</v>
      </c>
      <c r="AF147" s="118">
        <v>284409.78000000003</v>
      </c>
      <c r="AG147" s="118">
        <v>269045.75</v>
      </c>
      <c r="AH147" s="118">
        <v>313719.86</v>
      </c>
      <c r="AI147" s="118">
        <v>311760.45</v>
      </c>
      <c r="AJ147" s="118">
        <v>283797.98</v>
      </c>
      <c r="AK147" s="118">
        <f t="shared" si="8"/>
        <v>-135958.59</v>
      </c>
      <c r="AM147" s="309"/>
    </row>
    <row r="148" spans="1:39" x14ac:dyDescent="0.3">
      <c r="A148" s="155" t="str">
        <f t="shared" si="9"/>
        <v>debit**  Debit</v>
      </c>
      <c r="B148" s="121" t="s">
        <v>330</v>
      </c>
      <c r="C148" s="122">
        <f>IFERROR(VLOOKUP($A148,MTD!$A$13:$D$1048576,3,0),0)</f>
        <v>1773875.61</v>
      </c>
      <c r="D148" s="122">
        <f>IFERROR(VLOOKUP($A148,MTD!$A$13:$D$1048576,4,0),0)</f>
        <v>3277081.8</v>
      </c>
      <c r="E148" s="122"/>
      <c r="F148" s="122"/>
      <c r="G148" s="121" t="s">
        <v>330</v>
      </c>
      <c r="H148" s="123">
        <v>0</v>
      </c>
      <c r="I148" s="123">
        <v>0</v>
      </c>
      <c r="J148" s="124">
        <v>0</v>
      </c>
      <c r="K148" s="122">
        <v>0</v>
      </c>
      <c r="P148" s="121" t="s">
        <v>330</v>
      </c>
      <c r="Q148" s="122">
        <f>IFERROR(VLOOKUP($A148,YTD!$A$13:$D$1048576,3,0),0)</f>
        <v>27925952.550000001</v>
      </c>
      <c r="R148" s="122">
        <f>IFERROR(VLOOKUP($A148,YTD!$A$13:$D$1048576,4,0),0)</f>
        <v>30520205.390000001</v>
      </c>
      <c r="S148" s="122"/>
      <c r="T148" s="122"/>
      <c r="U148" s="121" t="s">
        <v>330</v>
      </c>
      <c r="V148" s="123">
        <v>0</v>
      </c>
      <c r="W148" s="123">
        <v>0</v>
      </c>
      <c r="X148" s="124">
        <v>0</v>
      </c>
      <c r="Y148" s="122">
        <v>0</v>
      </c>
      <c r="Z148" s="122">
        <v>2758405.32</v>
      </c>
      <c r="AA148" s="122">
        <v>2145941.5099999998</v>
      </c>
      <c r="AB148" s="122">
        <v>2436182.04</v>
      </c>
      <c r="AC148" s="122">
        <v>2013532.2</v>
      </c>
      <c r="AD148" s="122">
        <v>2272960.75</v>
      </c>
      <c r="AE148" s="122">
        <v>1846884.25</v>
      </c>
      <c r="AF148" s="122">
        <v>2206418.04</v>
      </c>
      <c r="AG148" s="122">
        <v>2202642.75</v>
      </c>
      <c r="AH148" s="122">
        <v>2663039.33</v>
      </c>
      <c r="AI148" s="122">
        <v>3033556.47</v>
      </c>
      <c r="AJ148" s="122">
        <v>2572514.2799999998</v>
      </c>
      <c r="AK148" s="122">
        <f t="shared" si="8"/>
        <v>1773875.61</v>
      </c>
      <c r="AM148" s="309"/>
    </row>
    <row r="149" spans="1:39" x14ac:dyDescent="0.3">
      <c r="A149" s="109" t="str">
        <f t="shared" ref="A149:A216" si="10">"credit"&amp;B149</f>
        <v>credit    6666110101  Depreciation of buildings</v>
      </c>
      <c r="B149" s="112" t="s">
        <v>225</v>
      </c>
      <c r="C149" s="113">
        <f>IFERROR(VLOOKUP($A149,MTD!$A$13:$D$1048576,3,0),0)</f>
        <v>-22365.439999999999</v>
      </c>
      <c r="D149" s="116">
        <f>IFERROR(VLOOKUP($A149,MTD!$A$13:$D$1048576,4,0),0)</f>
        <v>-123933.42</v>
      </c>
      <c r="E149" s="113"/>
      <c r="F149" s="113"/>
      <c r="G149" s="112" t="s">
        <v>225</v>
      </c>
      <c r="H149" s="114">
        <v>0</v>
      </c>
      <c r="I149" s="114">
        <v>0</v>
      </c>
      <c r="J149" s="115">
        <v>0</v>
      </c>
      <c r="K149" s="113">
        <v>0</v>
      </c>
      <c r="P149" s="112" t="s">
        <v>225</v>
      </c>
      <c r="Q149" s="113">
        <f>IFERROR(VLOOKUP($A149,YTD!$A$13:$D$1048576,3,0),0)</f>
        <v>0</v>
      </c>
      <c r="R149" s="116">
        <f>IFERROR(VLOOKUP($A149,YTD!$A$13:$D$1048576,4,0),0)</f>
        <v>0</v>
      </c>
      <c r="S149" s="113"/>
      <c r="T149" s="113"/>
      <c r="U149" s="112" t="s">
        <v>225</v>
      </c>
      <c r="V149" s="114">
        <v>0</v>
      </c>
      <c r="W149" s="114">
        <v>0</v>
      </c>
      <c r="X149" s="115">
        <v>0</v>
      </c>
      <c r="Y149" s="113">
        <v>0</v>
      </c>
      <c r="Z149" s="113">
        <v>-22146.86</v>
      </c>
      <c r="AA149" s="113">
        <v>-20003.68</v>
      </c>
      <c r="AB149" s="113">
        <v>-22147.1</v>
      </c>
      <c r="AC149" s="113">
        <v>-21444.29</v>
      </c>
      <c r="AD149" s="113">
        <v>-22410.7</v>
      </c>
      <c r="AE149" s="113">
        <v>-21695.87</v>
      </c>
      <c r="AF149" s="113">
        <v>-22420.1</v>
      </c>
      <c r="AG149" s="113">
        <v>-22421.25</v>
      </c>
      <c r="AH149" s="113">
        <v>-21706.5</v>
      </c>
      <c r="AI149" s="113">
        <v>-22365.46</v>
      </c>
      <c r="AJ149" s="113">
        <v>-21650.66</v>
      </c>
      <c r="AK149" s="113">
        <f t="shared" si="8"/>
        <v>-22365.439999999999</v>
      </c>
      <c r="AM149" s="309"/>
    </row>
    <row r="150" spans="1:39" x14ac:dyDescent="0.3">
      <c r="A150" s="109" t="str">
        <f t="shared" si="10"/>
        <v>credit    6666110106  Depreciation of R&amp;D facilities</v>
      </c>
      <c r="B150" s="112" t="s">
        <v>226</v>
      </c>
      <c r="C150" s="116">
        <f>IFERROR(VLOOKUP($A150,MTD!$A$13:$D$1048576,3,0),0)</f>
        <v>0</v>
      </c>
      <c r="D150" s="116">
        <f>IFERROR(VLOOKUP($A150,MTD!$A$13:$D$1048576,4,0),0)</f>
        <v>0</v>
      </c>
      <c r="E150" s="113"/>
      <c r="F150" s="113"/>
      <c r="G150" s="112" t="s">
        <v>226</v>
      </c>
      <c r="H150" s="114">
        <v>0</v>
      </c>
      <c r="I150" s="114">
        <v>0</v>
      </c>
      <c r="J150" s="115">
        <v>0</v>
      </c>
      <c r="K150" s="113">
        <v>0</v>
      </c>
      <c r="P150" s="112" t="s">
        <v>226</v>
      </c>
      <c r="Q150" s="116">
        <f>IFERROR(VLOOKUP($A150,YTD!$A$13:$D$1048576,3,0),0)</f>
        <v>0</v>
      </c>
      <c r="R150" s="116">
        <f>IFERROR(VLOOKUP($A150,YTD!$A$13:$D$1048576,4,0),0)</f>
        <v>0</v>
      </c>
      <c r="S150" s="113"/>
      <c r="T150" s="113"/>
      <c r="U150" s="112" t="s">
        <v>226</v>
      </c>
      <c r="V150" s="114">
        <v>0</v>
      </c>
      <c r="W150" s="114">
        <v>0</v>
      </c>
      <c r="X150" s="115">
        <v>0</v>
      </c>
      <c r="Y150" s="113">
        <v>0</v>
      </c>
      <c r="Z150" s="113">
        <v>0</v>
      </c>
      <c r="AA150" s="113">
        <v>0</v>
      </c>
      <c r="AB150" s="113">
        <v>0</v>
      </c>
      <c r="AC150" s="113">
        <v>0</v>
      </c>
      <c r="AD150" s="113">
        <v>0</v>
      </c>
      <c r="AE150" s="113">
        <v>0</v>
      </c>
      <c r="AF150" s="113">
        <v>0</v>
      </c>
      <c r="AG150" s="113">
        <v>0</v>
      </c>
      <c r="AH150" s="113">
        <v>0</v>
      </c>
      <c r="AI150" s="113">
        <v>0</v>
      </c>
      <c r="AJ150" s="113">
        <v>0</v>
      </c>
      <c r="AK150" s="113">
        <f t="shared" si="8"/>
        <v>0</v>
      </c>
      <c r="AM150" s="309"/>
    </row>
    <row r="151" spans="1:39" x14ac:dyDescent="0.3">
      <c r="A151" s="109" t="str">
        <f t="shared" si="10"/>
        <v>credit    6666110107  Depreciation of mold　</v>
      </c>
      <c r="B151" s="112" t="s">
        <v>227</v>
      </c>
      <c r="C151" s="113">
        <f>IFERROR(VLOOKUP($A151,MTD!$A$13:$D$1048576,3,0),0)</f>
        <v>-12976.99</v>
      </c>
      <c r="D151" s="116">
        <f>IFERROR(VLOOKUP($A151,MTD!$A$13:$D$1048576,4,0),0)</f>
        <v>0</v>
      </c>
      <c r="E151" s="113"/>
      <c r="F151" s="113"/>
      <c r="G151" s="112" t="s">
        <v>227</v>
      </c>
      <c r="H151" s="114">
        <v>0</v>
      </c>
      <c r="I151" s="114">
        <v>0</v>
      </c>
      <c r="J151" s="115">
        <v>0</v>
      </c>
      <c r="K151" s="113">
        <v>0</v>
      </c>
      <c r="P151" s="112" t="s">
        <v>227</v>
      </c>
      <c r="Q151" s="113">
        <f>IFERROR(VLOOKUP($A151,YTD!$A$13:$D$1048576,3,0),0)</f>
        <v>0</v>
      </c>
      <c r="R151" s="116">
        <f>IFERROR(VLOOKUP($A151,YTD!$A$13:$D$1048576,4,0),0)</f>
        <v>0</v>
      </c>
      <c r="S151" s="113"/>
      <c r="T151" s="113"/>
      <c r="U151" s="112" t="s">
        <v>227</v>
      </c>
      <c r="V151" s="114">
        <v>0</v>
      </c>
      <c r="W151" s="114">
        <v>0</v>
      </c>
      <c r="X151" s="115">
        <v>0</v>
      </c>
      <c r="Y151" s="113">
        <v>0</v>
      </c>
      <c r="Z151" s="113">
        <v>-13042.77</v>
      </c>
      <c r="AA151" s="113">
        <v>-12057.96</v>
      </c>
      <c r="AB151" s="113">
        <v>-13048.95</v>
      </c>
      <c r="AC151" s="113">
        <v>-13084.15</v>
      </c>
      <c r="AD151" s="113">
        <v>-13689.56</v>
      </c>
      <c r="AE151" s="113">
        <v>-13351.66</v>
      </c>
      <c r="AF151" s="113">
        <v>-13846.01</v>
      </c>
      <c r="AG151" s="113">
        <v>-13733.31</v>
      </c>
      <c r="AH151" s="113">
        <v>-13395.41</v>
      </c>
      <c r="AI151" s="113">
        <v>-12965.34</v>
      </c>
      <c r="AJ151" s="113">
        <v>-12655.04</v>
      </c>
      <c r="AK151" s="113">
        <f t="shared" si="8"/>
        <v>-12976.99</v>
      </c>
      <c r="AM151" s="309"/>
    </row>
    <row r="152" spans="1:39" x14ac:dyDescent="0.3">
      <c r="A152" s="109" t="str">
        <f t="shared" si="10"/>
        <v>credit    6666110110  Depreciation-Plant &amp; Machinery</v>
      </c>
      <c r="B152" s="112" t="s">
        <v>228</v>
      </c>
      <c r="C152" s="113">
        <f>IFERROR(VLOOKUP($A152,MTD!$A$13:$D$1048576,3,0),0)</f>
        <v>-35507.5</v>
      </c>
      <c r="D152" s="116">
        <f>IFERROR(VLOOKUP($A152,MTD!$A$13:$D$1048576,4,0),0)</f>
        <v>0</v>
      </c>
      <c r="E152" s="113"/>
      <c r="F152" s="113"/>
      <c r="G152" s="112" t="s">
        <v>228</v>
      </c>
      <c r="H152" s="114">
        <v>0</v>
      </c>
      <c r="I152" s="114">
        <v>0</v>
      </c>
      <c r="J152" s="115">
        <v>0</v>
      </c>
      <c r="K152" s="113">
        <v>0</v>
      </c>
      <c r="P152" s="112" t="s">
        <v>228</v>
      </c>
      <c r="Q152" s="113">
        <f>IFERROR(VLOOKUP($A152,YTD!$A$13:$D$1048576,3,0),0)</f>
        <v>-483967.9</v>
      </c>
      <c r="R152" s="116">
        <f>IFERROR(VLOOKUP($A152,YTD!$A$13:$D$1048576,4,0),0)</f>
        <v>0</v>
      </c>
      <c r="S152" s="113"/>
      <c r="T152" s="113"/>
      <c r="U152" s="112" t="s">
        <v>228</v>
      </c>
      <c r="V152" s="114">
        <v>0</v>
      </c>
      <c r="W152" s="114">
        <v>0</v>
      </c>
      <c r="X152" s="115">
        <v>0</v>
      </c>
      <c r="Y152" s="113">
        <v>0</v>
      </c>
      <c r="Z152" s="113">
        <v>-43048.12</v>
      </c>
      <c r="AA152" s="113">
        <v>-39016.160000000003</v>
      </c>
      <c r="AB152" s="113">
        <v>-79223.27</v>
      </c>
      <c r="AC152" s="113">
        <v>-5968.06</v>
      </c>
      <c r="AD152" s="113">
        <v>-43667.73</v>
      </c>
      <c r="AE152" s="113">
        <v>-42333.919999999998</v>
      </c>
      <c r="AF152" s="113">
        <v>-43779.53</v>
      </c>
      <c r="AG152" s="113">
        <v>-43654.04</v>
      </c>
      <c r="AH152" s="113">
        <v>-42292.2</v>
      </c>
      <c r="AI152" s="113">
        <v>-31354.57</v>
      </c>
      <c r="AJ152" s="113">
        <v>-34122.800000000003</v>
      </c>
      <c r="AK152" s="113">
        <f t="shared" si="8"/>
        <v>-35507.5</v>
      </c>
      <c r="AM152" s="309"/>
    </row>
    <row r="153" spans="1:39" x14ac:dyDescent="0.3">
      <c r="A153" s="109" t="str">
        <f t="shared" si="10"/>
        <v>credit    6666110112  Depreciation of Furniture &amp; Fixture</v>
      </c>
      <c r="B153" s="112" t="s">
        <v>229</v>
      </c>
      <c r="C153" s="113">
        <f>IFERROR(VLOOKUP($A153,MTD!$A$13:$D$1048576,3,0),0)</f>
        <v>-5440.73</v>
      </c>
      <c r="D153" s="116">
        <f>IFERROR(VLOOKUP($A153,MTD!$A$13:$D$1048576,4,0),0)</f>
        <v>0</v>
      </c>
      <c r="E153" s="113"/>
      <c r="F153" s="113"/>
      <c r="G153" s="112" t="s">
        <v>229</v>
      </c>
      <c r="H153" s="114">
        <v>0</v>
      </c>
      <c r="I153" s="114">
        <v>0</v>
      </c>
      <c r="J153" s="115">
        <v>0</v>
      </c>
      <c r="K153" s="113">
        <v>0</v>
      </c>
      <c r="P153" s="112" t="s">
        <v>229</v>
      </c>
      <c r="Q153" s="113">
        <f>IFERROR(VLOOKUP($A153,YTD!$A$13:$D$1048576,3,0),0)</f>
        <v>-59958.92</v>
      </c>
      <c r="R153" s="116">
        <f>IFERROR(VLOOKUP($A153,YTD!$A$13:$D$1048576,4,0),0)</f>
        <v>0</v>
      </c>
      <c r="S153" s="113"/>
      <c r="T153" s="113"/>
      <c r="U153" s="112" t="s">
        <v>229</v>
      </c>
      <c r="V153" s="114">
        <v>0</v>
      </c>
      <c r="W153" s="114">
        <v>0</v>
      </c>
      <c r="X153" s="115">
        <v>0</v>
      </c>
      <c r="Y153" s="113">
        <v>0</v>
      </c>
      <c r="Z153" s="113">
        <v>-3144.85</v>
      </c>
      <c r="AA153" s="113">
        <v>-2889.38</v>
      </c>
      <c r="AB153" s="113">
        <v>-3567.74</v>
      </c>
      <c r="AC153" s="113">
        <v>-3743.87</v>
      </c>
      <c r="AD153" s="113">
        <v>-6307.1</v>
      </c>
      <c r="AE153" s="113">
        <v>-6181.23</v>
      </c>
      <c r="AF153" s="113">
        <v>-6540.58</v>
      </c>
      <c r="AG153" s="113">
        <v>-6658.03</v>
      </c>
      <c r="AH153" s="113">
        <v>-6582.61</v>
      </c>
      <c r="AI153" s="113">
        <v>-3504.71</v>
      </c>
      <c r="AJ153" s="113">
        <v>-5398.09</v>
      </c>
      <c r="AK153" s="113">
        <f t="shared" si="8"/>
        <v>-5440.73</v>
      </c>
      <c r="AM153" s="309"/>
    </row>
    <row r="154" spans="1:39" x14ac:dyDescent="0.3">
      <c r="A154" s="109" t="str">
        <f t="shared" si="10"/>
        <v>credit    6666110204  Amortization of license, trademarks and</v>
      </c>
      <c r="B154" s="112" t="s">
        <v>230</v>
      </c>
      <c r="C154" s="113">
        <f>IFERROR(VLOOKUP($A154,MTD!$A$13:$D$1048576,3,0),0)</f>
        <v>-252.52</v>
      </c>
      <c r="D154" s="116">
        <f>IFERROR(VLOOKUP($A154,MTD!$A$13:$D$1048576,4,0),0)</f>
        <v>0</v>
      </c>
      <c r="E154" s="113"/>
      <c r="F154" s="113"/>
      <c r="G154" s="112" t="s">
        <v>230</v>
      </c>
      <c r="H154" s="114">
        <v>0</v>
      </c>
      <c r="I154" s="114">
        <v>0</v>
      </c>
      <c r="J154" s="115">
        <v>0</v>
      </c>
      <c r="K154" s="113">
        <v>0</v>
      </c>
      <c r="P154" s="112" t="s">
        <v>230</v>
      </c>
      <c r="Q154" s="113">
        <f>IFERROR(VLOOKUP($A154,YTD!$A$13:$D$1048576,3,0),0)</f>
        <v>-3030.2</v>
      </c>
      <c r="R154" s="116">
        <f>IFERROR(VLOOKUP($A154,YTD!$A$13:$D$1048576,4,0),0)</f>
        <v>0</v>
      </c>
      <c r="S154" s="113"/>
      <c r="T154" s="113"/>
      <c r="U154" s="112" t="s">
        <v>230</v>
      </c>
      <c r="V154" s="114">
        <v>0</v>
      </c>
      <c r="W154" s="114">
        <v>0</v>
      </c>
      <c r="X154" s="115">
        <v>0</v>
      </c>
      <c r="Y154" s="113">
        <v>0</v>
      </c>
      <c r="Z154" s="113">
        <v>-252.52</v>
      </c>
      <c r="AA154" s="113">
        <v>-252.51</v>
      </c>
      <c r="AB154" s="113">
        <v>-252.52</v>
      </c>
      <c r="AC154" s="113">
        <v>-252.52</v>
      </c>
      <c r="AD154" s="113">
        <v>-252.51</v>
      </c>
      <c r="AE154" s="113">
        <v>-252.52</v>
      </c>
      <c r="AF154" s="113">
        <v>-252.52</v>
      </c>
      <c r="AG154" s="113">
        <v>-252.51</v>
      </c>
      <c r="AH154" s="113">
        <v>-252.52</v>
      </c>
      <c r="AI154" s="113">
        <v>-252.52</v>
      </c>
      <c r="AJ154" s="113">
        <v>-252.51</v>
      </c>
      <c r="AK154" s="113">
        <f t="shared" si="8"/>
        <v>-252.52</v>
      </c>
      <c r="AM154" s="309"/>
    </row>
    <row r="155" spans="1:39" x14ac:dyDescent="0.3">
      <c r="A155" s="109" t="str">
        <f t="shared" si="10"/>
        <v>credit    6666110207  Amortization of Software</v>
      </c>
      <c r="B155" s="112" t="s">
        <v>231</v>
      </c>
      <c r="C155" s="113">
        <f>IFERROR(VLOOKUP($A155,MTD!$A$13:$D$1048576,3,0),0)</f>
        <v>-6364.35</v>
      </c>
      <c r="D155" s="116">
        <f>IFERROR(VLOOKUP($A155,MTD!$A$13:$D$1048576,4,0),0)</f>
        <v>0</v>
      </c>
      <c r="E155" s="113"/>
      <c r="F155" s="113"/>
      <c r="G155" s="112" t="s">
        <v>231</v>
      </c>
      <c r="H155" s="114">
        <v>0</v>
      </c>
      <c r="I155" s="114">
        <v>0</v>
      </c>
      <c r="J155" s="115">
        <v>0</v>
      </c>
      <c r="K155" s="113">
        <v>0</v>
      </c>
      <c r="P155" s="112" t="s">
        <v>231</v>
      </c>
      <c r="Q155" s="113">
        <f>IFERROR(VLOOKUP($A155,YTD!$A$13:$D$1048576,3,0),0)</f>
        <v>-75306.91</v>
      </c>
      <c r="R155" s="116">
        <f>IFERROR(VLOOKUP($A155,YTD!$A$13:$D$1048576,4,0),0)</f>
        <v>0</v>
      </c>
      <c r="S155" s="113"/>
      <c r="T155" s="113"/>
      <c r="U155" s="112" t="s">
        <v>231</v>
      </c>
      <c r="V155" s="114">
        <v>0</v>
      </c>
      <c r="W155" s="114">
        <v>0</v>
      </c>
      <c r="X155" s="115">
        <v>0</v>
      </c>
      <c r="Y155" s="113">
        <v>0</v>
      </c>
      <c r="Z155" s="113">
        <v>-5267.67</v>
      </c>
      <c r="AA155" s="113">
        <v>-4861.71</v>
      </c>
      <c r="AB155" s="113">
        <v>-5000.7299999999996</v>
      </c>
      <c r="AC155" s="113">
        <v>-4954.38</v>
      </c>
      <c r="AD155" s="113">
        <v>-8071.04</v>
      </c>
      <c r="AE155" s="113">
        <v>-7291.28</v>
      </c>
      <c r="AF155" s="113">
        <v>-6985.59</v>
      </c>
      <c r="AG155" s="113">
        <v>-6976.68</v>
      </c>
      <c r="AH155" s="113">
        <v>-6812.1</v>
      </c>
      <c r="AI155" s="113">
        <v>-6364.35</v>
      </c>
      <c r="AJ155" s="113">
        <v>-6357.03</v>
      </c>
      <c r="AK155" s="113">
        <f t="shared" si="8"/>
        <v>-6364.35</v>
      </c>
      <c r="AM155" s="309"/>
    </row>
    <row r="156" spans="1:39" x14ac:dyDescent="0.3">
      <c r="A156" s="109" t="str">
        <f t="shared" si="10"/>
        <v>credit    6666110506  Amortization-Leasehold Improvement</v>
      </c>
      <c r="B156" s="112" t="s">
        <v>232</v>
      </c>
      <c r="C156" s="113">
        <f>IFERROR(VLOOKUP($A156,MTD!$A$13:$D$1048576,3,0),0)</f>
        <v>-159.02000000000001</v>
      </c>
      <c r="D156" s="116">
        <f>IFERROR(VLOOKUP($A156,MTD!$A$13:$D$1048576,4,0),0)</f>
        <v>0</v>
      </c>
      <c r="E156" s="113"/>
      <c r="F156" s="113"/>
      <c r="G156" s="112" t="s">
        <v>232</v>
      </c>
      <c r="H156" s="114">
        <v>0</v>
      </c>
      <c r="I156" s="114">
        <v>0</v>
      </c>
      <c r="J156" s="115">
        <v>0</v>
      </c>
      <c r="K156" s="113">
        <v>0</v>
      </c>
      <c r="P156" s="112" t="s">
        <v>232</v>
      </c>
      <c r="Q156" s="113">
        <f>IFERROR(VLOOKUP($A156,YTD!$A$13:$D$1048576,3,0),0)</f>
        <v>-4841.75</v>
      </c>
      <c r="R156" s="116">
        <f>IFERROR(VLOOKUP($A156,YTD!$A$13:$D$1048576,4,0),0)</f>
        <v>0</v>
      </c>
      <c r="S156" s="113"/>
      <c r="T156" s="113"/>
      <c r="U156" s="112" t="s">
        <v>232</v>
      </c>
      <c r="V156" s="114">
        <v>0</v>
      </c>
      <c r="W156" s="114">
        <v>0</v>
      </c>
      <c r="X156" s="115">
        <v>0</v>
      </c>
      <c r="Y156" s="113">
        <v>0</v>
      </c>
      <c r="Z156" s="113">
        <v>-640.01</v>
      </c>
      <c r="AA156" s="113">
        <v>-564.32000000000005</v>
      </c>
      <c r="AB156" s="113">
        <v>-533.03</v>
      </c>
      <c r="AC156" s="113">
        <v>-513.38</v>
      </c>
      <c r="AD156" s="113">
        <v>-514.26</v>
      </c>
      <c r="AE156" s="113">
        <v>-315.85000000000002</v>
      </c>
      <c r="AF156" s="113">
        <v>-325.83999999999997</v>
      </c>
      <c r="AG156" s="113">
        <v>-325.83</v>
      </c>
      <c r="AH156" s="113">
        <v>-315.3</v>
      </c>
      <c r="AI156" s="113">
        <v>-325.72000000000003</v>
      </c>
      <c r="AJ156" s="113">
        <v>-309.19</v>
      </c>
      <c r="AK156" s="113">
        <f t="shared" si="8"/>
        <v>-159.02000000000001</v>
      </c>
      <c r="AM156" s="309"/>
    </row>
    <row r="157" spans="1:39" x14ac:dyDescent="0.3">
      <c r="A157" s="109" t="str">
        <f t="shared" si="10"/>
        <v>credit*   CS_Depreciation</v>
      </c>
      <c r="B157" s="117" t="s">
        <v>207</v>
      </c>
      <c r="C157" s="118">
        <f>IFERROR(VLOOKUP($A157,MTD!$A$13:$D$1048576,3,0),0)</f>
        <v>-83066.55</v>
      </c>
      <c r="D157" s="125">
        <f>IFERROR(VLOOKUP($A157,MTD!$A$13:$D$1048576,4,0),0)</f>
        <v>-123933.42</v>
      </c>
      <c r="E157" s="118"/>
      <c r="F157" s="118"/>
      <c r="G157" s="117" t="s">
        <v>207</v>
      </c>
      <c r="H157" s="119">
        <v>0</v>
      </c>
      <c r="I157" s="119">
        <v>0</v>
      </c>
      <c r="J157" s="120">
        <v>0</v>
      </c>
      <c r="K157" s="118">
        <v>0</v>
      </c>
      <c r="P157" s="117" t="s">
        <v>207</v>
      </c>
      <c r="Q157" s="118">
        <f>IFERROR(VLOOKUP($A157,YTD!$A$13:$D$1048576,3,0),0)</f>
        <v>-1047730.74</v>
      </c>
      <c r="R157" s="125">
        <f>IFERROR(VLOOKUP($A157,YTD!$A$13:$D$1048576,4,0),0)</f>
        <v>-1236827.8799999999</v>
      </c>
      <c r="S157" s="118"/>
      <c r="T157" s="118"/>
      <c r="U157" s="117" t="s">
        <v>207</v>
      </c>
      <c r="V157" s="119">
        <v>0</v>
      </c>
      <c r="W157" s="119">
        <v>0</v>
      </c>
      <c r="X157" s="120">
        <v>0</v>
      </c>
      <c r="Y157" s="118">
        <v>0</v>
      </c>
      <c r="Z157" s="118">
        <v>-87542.8</v>
      </c>
      <c r="AA157" s="118">
        <v>-79645.72</v>
      </c>
      <c r="AB157" s="118">
        <v>-123773.34</v>
      </c>
      <c r="AC157" s="118">
        <v>-49960.65</v>
      </c>
      <c r="AD157" s="118">
        <v>-94912.9</v>
      </c>
      <c r="AE157" s="118">
        <v>-91422.33</v>
      </c>
      <c r="AF157" s="118">
        <v>-94150.17</v>
      </c>
      <c r="AG157" s="118">
        <v>-94021.65</v>
      </c>
      <c r="AH157" s="118">
        <v>-91356.64</v>
      </c>
      <c r="AI157" s="118">
        <v>-77132.67</v>
      </c>
      <c r="AJ157" s="118">
        <v>-80745.320000000007</v>
      </c>
      <c r="AK157" s="118">
        <f t="shared" si="8"/>
        <v>-83066.55</v>
      </c>
      <c r="AM157" s="309"/>
    </row>
    <row r="158" spans="1:39" x14ac:dyDescent="0.3">
      <c r="A158" s="109" t="str">
        <f t="shared" si="10"/>
        <v>credit    5001010205  Unemployment Insurance -blue collar-Dire</v>
      </c>
      <c r="B158" s="112" t="s">
        <v>233</v>
      </c>
      <c r="C158" s="116"/>
      <c r="D158" s="116"/>
      <c r="E158" s="113"/>
      <c r="F158" s="113"/>
      <c r="G158" s="112" t="s">
        <v>233</v>
      </c>
      <c r="H158" s="114"/>
      <c r="I158" s="114"/>
      <c r="J158" s="115"/>
      <c r="K158" s="113"/>
      <c r="P158" s="112" t="s">
        <v>233</v>
      </c>
      <c r="Q158" s="113">
        <f>IFERROR(VLOOKUP($A158,YTD!$A$13:$D$1048576,3,0),0)</f>
        <v>-40.53</v>
      </c>
      <c r="R158" s="116"/>
      <c r="S158" s="113"/>
      <c r="T158" s="113"/>
      <c r="U158" s="112" t="s">
        <v>233</v>
      </c>
      <c r="V158" s="114"/>
      <c r="W158" s="114"/>
      <c r="X158" s="115"/>
      <c r="Y158" s="113"/>
      <c r="Z158" s="113"/>
      <c r="AA158" s="113"/>
      <c r="AB158" s="113"/>
      <c r="AC158" s="113"/>
      <c r="AD158" s="113"/>
      <c r="AE158" s="113">
        <v>-21.21</v>
      </c>
      <c r="AF158" s="113"/>
      <c r="AG158" s="113">
        <v>0</v>
      </c>
      <c r="AH158" s="113">
        <v>0</v>
      </c>
      <c r="AI158" s="113">
        <v>0</v>
      </c>
      <c r="AJ158" s="113">
        <v>0</v>
      </c>
      <c r="AK158" s="113">
        <f t="shared" ref="AK158:AK221" si="11">C158</f>
        <v>0</v>
      </c>
      <c r="AM158" s="309"/>
    </row>
    <row r="159" spans="1:39" x14ac:dyDescent="0.3">
      <c r="A159" s="109" t="str">
        <f t="shared" si="10"/>
        <v>credit    6666010019  Payroll Taxes - Blue Collar Direct</v>
      </c>
      <c r="B159" s="112" t="s">
        <v>235</v>
      </c>
      <c r="C159" s="116"/>
      <c r="D159" s="116"/>
      <c r="E159" s="113"/>
      <c r="F159" s="113"/>
      <c r="G159" s="112" t="s">
        <v>235</v>
      </c>
      <c r="H159" s="114"/>
      <c r="I159" s="114"/>
      <c r="J159" s="115"/>
      <c r="K159" s="113"/>
      <c r="P159" s="112" t="s">
        <v>235</v>
      </c>
      <c r="Q159" s="113">
        <f>IFERROR(VLOOKUP($A159,YTD!$A$13:$D$1048576,3,0),0)</f>
        <v>-319.17</v>
      </c>
      <c r="R159" s="116"/>
      <c r="S159" s="113"/>
      <c r="T159" s="113"/>
      <c r="U159" s="112" t="s">
        <v>235</v>
      </c>
      <c r="V159" s="114"/>
      <c r="W159" s="114"/>
      <c r="X159" s="115"/>
      <c r="Y159" s="113"/>
      <c r="Z159" s="113"/>
      <c r="AA159" s="113"/>
      <c r="AB159" s="113"/>
      <c r="AC159" s="113"/>
      <c r="AD159" s="113"/>
      <c r="AE159" s="113">
        <v>-167.02</v>
      </c>
      <c r="AF159" s="113"/>
      <c r="AG159" s="113">
        <v>0</v>
      </c>
      <c r="AH159" s="113">
        <v>0</v>
      </c>
      <c r="AI159" s="113">
        <v>0</v>
      </c>
      <c r="AJ159" s="113">
        <v>0</v>
      </c>
      <c r="AK159" s="113">
        <f t="shared" si="11"/>
        <v>0</v>
      </c>
      <c r="AM159" s="309"/>
    </row>
    <row r="160" spans="1:39" x14ac:dyDescent="0.3">
      <c r="A160" s="109" t="str">
        <f t="shared" si="10"/>
        <v>credit    6666010183  Overtime-Blue Collar-Direct</v>
      </c>
      <c r="B160" s="112" t="s">
        <v>236</v>
      </c>
      <c r="C160" s="116"/>
      <c r="D160" s="116"/>
      <c r="E160" s="113"/>
      <c r="F160" s="113"/>
      <c r="G160" s="112" t="s">
        <v>236</v>
      </c>
      <c r="H160" s="114"/>
      <c r="I160" s="114"/>
      <c r="J160" s="115"/>
      <c r="K160" s="113"/>
      <c r="P160" s="112" t="s">
        <v>236</v>
      </c>
      <c r="Q160" s="113">
        <f>IFERROR(VLOOKUP($A160,YTD!$A$13:$D$1048576,3,0),0)</f>
        <v>-14.07</v>
      </c>
      <c r="R160" s="116"/>
      <c r="S160" s="113"/>
      <c r="T160" s="113"/>
      <c r="U160" s="112" t="s">
        <v>236</v>
      </c>
      <c r="V160" s="114"/>
      <c r="W160" s="114"/>
      <c r="X160" s="115"/>
      <c r="Y160" s="113"/>
      <c r="Z160" s="113"/>
      <c r="AA160" s="113"/>
      <c r="AB160" s="113"/>
      <c r="AC160" s="113"/>
      <c r="AD160" s="113"/>
      <c r="AE160" s="113">
        <v>-3.72</v>
      </c>
      <c r="AF160" s="113"/>
      <c r="AG160" s="113">
        <v>0</v>
      </c>
      <c r="AH160" s="113">
        <v>0</v>
      </c>
      <c r="AI160" s="113">
        <v>0</v>
      </c>
      <c r="AJ160" s="113">
        <v>0</v>
      </c>
      <c r="AK160" s="113">
        <f t="shared" si="11"/>
        <v>0</v>
      </c>
      <c r="AM160" s="309"/>
    </row>
    <row r="161" spans="1:39" x14ac:dyDescent="0.3">
      <c r="A161" s="109" t="str">
        <f t="shared" si="10"/>
        <v>credit    6666010229  Staff Leaving Indemnity - Blue Collar Di</v>
      </c>
      <c r="B161" s="112" t="s">
        <v>237</v>
      </c>
      <c r="C161" s="116">
        <f>IFERROR(VLOOKUP($A161,MTD!$A$13:$D$1048576,3,0),0)</f>
        <v>0</v>
      </c>
      <c r="D161" s="116">
        <f>IFERROR(VLOOKUP($A161,MTD!$A$13:$D$1048576,4,0),0)</f>
        <v>0</v>
      </c>
      <c r="E161" s="113"/>
      <c r="F161" s="113"/>
      <c r="G161" s="112" t="s">
        <v>237</v>
      </c>
      <c r="H161" s="114">
        <v>0</v>
      </c>
      <c r="I161" s="114">
        <v>0</v>
      </c>
      <c r="J161" s="115">
        <v>0</v>
      </c>
      <c r="K161" s="113">
        <v>0</v>
      </c>
      <c r="P161" s="112" t="s">
        <v>237</v>
      </c>
      <c r="Q161" s="113">
        <f>IFERROR(VLOOKUP($A161,YTD!$A$13:$D$1048576,3,0),0)</f>
        <v>-61.4</v>
      </c>
      <c r="R161" s="116">
        <f>IFERROR(VLOOKUP($A161,YTD!$A$13:$D$1048576,4,0),0)</f>
        <v>0</v>
      </c>
      <c r="S161" s="113"/>
      <c r="T161" s="113"/>
      <c r="U161" s="112" t="s">
        <v>237</v>
      </c>
      <c r="V161" s="114">
        <v>0</v>
      </c>
      <c r="W161" s="114">
        <v>0</v>
      </c>
      <c r="X161" s="115">
        <v>0</v>
      </c>
      <c r="Y161" s="113">
        <v>0</v>
      </c>
      <c r="Z161" s="113">
        <v>0</v>
      </c>
      <c r="AA161" s="113">
        <v>0</v>
      </c>
      <c r="AB161" s="113">
        <v>0</v>
      </c>
      <c r="AC161" s="113">
        <v>0</v>
      </c>
      <c r="AD161" s="113">
        <v>0</v>
      </c>
      <c r="AE161" s="113">
        <v>0</v>
      </c>
      <c r="AF161" s="113">
        <v>0</v>
      </c>
      <c r="AG161" s="113">
        <v>-61.4</v>
      </c>
      <c r="AH161" s="113">
        <v>0</v>
      </c>
      <c r="AI161" s="113">
        <v>0</v>
      </c>
      <c r="AJ161" s="113">
        <v>0</v>
      </c>
      <c r="AK161" s="113">
        <f t="shared" si="11"/>
        <v>0</v>
      </c>
      <c r="AM161" s="309"/>
    </row>
    <row r="162" spans="1:39" x14ac:dyDescent="0.3">
      <c r="A162" s="109" t="str">
        <f t="shared" si="10"/>
        <v>credit    6666010188  Salary - Blue collar direct employees</v>
      </c>
      <c r="B162" s="112" t="s">
        <v>238</v>
      </c>
      <c r="C162" s="113">
        <f>IFERROR(VLOOKUP($A162,MTD!$A$13:$D$1048576,3,0),0)</f>
        <v>0</v>
      </c>
      <c r="D162" s="116">
        <f>IFERROR(VLOOKUP($A162,MTD!$A$13:$D$1048576,4,0),0)</f>
        <v>0</v>
      </c>
      <c r="E162" s="113"/>
      <c r="F162" s="113"/>
      <c r="G162" s="112" t="s">
        <v>238</v>
      </c>
      <c r="H162" s="114">
        <v>0</v>
      </c>
      <c r="I162" s="114">
        <v>0</v>
      </c>
      <c r="J162" s="115">
        <v>0</v>
      </c>
      <c r="K162" s="113">
        <v>0</v>
      </c>
      <c r="P162" s="112" t="s">
        <v>238</v>
      </c>
      <c r="Q162" s="113">
        <f>IFERROR(VLOOKUP($A162,YTD!$A$13:$D$1048576,3,0),0)</f>
        <v>-1511.39</v>
      </c>
      <c r="R162" s="116">
        <f>IFERROR(VLOOKUP($A162,YTD!$A$13:$D$1048576,4,0),0)</f>
        <v>0</v>
      </c>
      <c r="S162" s="113"/>
      <c r="T162" s="113"/>
      <c r="U162" s="112" t="s">
        <v>238</v>
      </c>
      <c r="V162" s="114">
        <v>0</v>
      </c>
      <c r="W162" s="114">
        <v>0</v>
      </c>
      <c r="X162" s="115">
        <v>0</v>
      </c>
      <c r="Y162" s="113">
        <v>0</v>
      </c>
      <c r="Z162" s="113">
        <v>0</v>
      </c>
      <c r="AA162" s="113">
        <v>0</v>
      </c>
      <c r="AB162" s="113">
        <v>0</v>
      </c>
      <c r="AC162" s="113">
        <v>0</v>
      </c>
      <c r="AD162" s="113">
        <v>0</v>
      </c>
      <c r="AE162" s="113">
        <v>-560.34</v>
      </c>
      <c r="AF162" s="113">
        <v>0</v>
      </c>
      <c r="AG162" s="113">
        <v>-951.05</v>
      </c>
      <c r="AH162" s="113">
        <v>0</v>
      </c>
      <c r="AI162" s="113">
        <v>0</v>
      </c>
      <c r="AJ162" s="113">
        <v>0</v>
      </c>
      <c r="AK162" s="113">
        <f t="shared" si="11"/>
        <v>0</v>
      </c>
      <c r="AM162" s="309"/>
    </row>
    <row r="163" spans="1:39" x14ac:dyDescent="0.3">
      <c r="A163" s="109" t="str">
        <f t="shared" si="10"/>
        <v>credit    5102040406  Other revenue-Service/Secondment agreeme</v>
      </c>
      <c r="B163" s="112" t="s">
        <v>239</v>
      </c>
      <c r="C163" s="116">
        <f>IFERROR(VLOOKUP($A163,MTD!$A$13:$D$1048576,3,0),0)</f>
        <v>0</v>
      </c>
      <c r="D163" s="116">
        <f>IFERROR(VLOOKUP($A163,MTD!$A$13:$D$1048576,4,0),0)</f>
        <v>0</v>
      </c>
      <c r="E163" s="113"/>
      <c r="F163" s="113"/>
      <c r="G163" s="112" t="s">
        <v>239</v>
      </c>
      <c r="H163" s="114">
        <v>0</v>
      </c>
      <c r="I163" s="114">
        <v>0</v>
      </c>
      <c r="J163" s="115">
        <v>0</v>
      </c>
      <c r="K163" s="113">
        <v>0</v>
      </c>
      <c r="P163" s="112" t="s">
        <v>239</v>
      </c>
      <c r="Q163" s="113">
        <f>IFERROR(VLOOKUP($A163,YTD!$A$13:$D$1048576,3,0),0)</f>
        <v>-50.56</v>
      </c>
      <c r="R163" s="116">
        <f>IFERROR(VLOOKUP($A163,YTD!$A$13:$D$1048576,4,0),0)</f>
        <v>0</v>
      </c>
      <c r="S163" s="113"/>
      <c r="T163" s="113"/>
      <c r="U163" s="112" t="s">
        <v>239</v>
      </c>
      <c r="V163" s="114">
        <v>0</v>
      </c>
      <c r="W163" s="114">
        <v>0</v>
      </c>
      <c r="X163" s="115">
        <v>0</v>
      </c>
      <c r="Y163" s="113">
        <v>0</v>
      </c>
      <c r="Z163" s="113">
        <v>6.59</v>
      </c>
      <c r="AA163" s="113">
        <v>0</v>
      </c>
      <c r="AB163" s="113">
        <v>0</v>
      </c>
      <c r="AC163" s="113">
        <v>0</v>
      </c>
      <c r="AD163" s="113">
        <v>0</v>
      </c>
      <c r="AE163" s="113">
        <v>0</v>
      </c>
      <c r="AF163" s="113">
        <v>0</v>
      </c>
      <c r="AG163" s="113">
        <v>0</v>
      </c>
      <c r="AH163" s="113">
        <v>0</v>
      </c>
      <c r="AI163" s="113">
        <v>0</v>
      </c>
      <c r="AJ163" s="113">
        <v>-57.15</v>
      </c>
      <c r="AK163" s="113">
        <f t="shared" si="11"/>
        <v>0</v>
      </c>
      <c r="AM163" s="309"/>
    </row>
    <row r="164" spans="1:39" x14ac:dyDescent="0.3">
      <c r="A164" s="109" t="str">
        <f t="shared" si="10"/>
        <v>credit    6666010115  Salary-Blue collar direct employees-Accr</v>
      </c>
      <c r="B164" s="112" t="s">
        <v>240</v>
      </c>
      <c r="C164" s="113">
        <f>IFERROR(VLOOKUP($A164,MTD!$A$13:$D$1048576,3,0),0)</f>
        <v>0</v>
      </c>
      <c r="D164" s="116">
        <f>IFERROR(VLOOKUP($A164,MTD!$A$13:$D$1048576,4,0),0)</f>
        <v>0</v>
      </c>
      <c r="E164" s="113"/>
      <c r="F164" s="113"/>
      <c r="G164" s="112" t="s">
        <v>240</v>
      </c>
      <c r="H164" s="114">
        <v>0</v>
      </c>
      <c r="I164" s="114">
        <v>0</v>
      </c>
      <c r="J164" s="115">
        <v>0</v>
      </c>
      <c r="K164" s="113">
        <v>0</v>
      </c>
      <c r="P164" s="112" t="s">
        <v>240</v>
      </c>
      <c r="Q164" s="113">
        <f>IFERROR(VLOOKUP($A164,YTD!$A$13:$D$1048576,3,0),0)</f>
        <v>0</v>
      </c>
      <c r="R164" s="116">
        <f>IFERROR(VLOOKUP($A164,YTD!$A$13:$D$1048576,4,0),0)</f>
        <v>0</v>
      </c>
      <c r="S164" s="113"/>
      <c r="T164" s="113"/>
      <c r="U164" s="112" t="s">
        <v>240</v>
      </c>
      <c r="V164" s="114">
        <v>0</v>
      </c>
      <c r="W164" s="114">
        <v>0</v>
      </c>
      <c r="X164" s="115">
        <v>0</v>
      </c>
      <c r="Y164" s="113">
        <v>0</v>
      </c>
      <c r="Z164" s="113">
        <v>0</v>
      </c>
      <c r="AA164" s="113">
        <v>0</v>
      </c>
      <c r="AB164" s="113">
        <v>0</v>
      </c>
      <c r="AC164" s="113">
        <v>0</v>
      </c>
      <c r="AD164" s="113">
        <v>0</v>
      </c>
      <c r="AE164" s="113">
        <v>0</v>
      </c>
      <c r="AF164" s="113">
        <v>0</v>
      </c>
      <c r="AG164" s="113">
        <v>0</v>
      </c>
      <c r="AH164" s="113">
        <v>0</v>
      </c>
      <c r="AI164" s="113">
        <v>0</v>
      </c>
      <c r="AJ164" s="113">
        <v>0</v>
      </c>
      <c r="AK164" s="113">
        <f t="shared" si="11"/>
        <v>0</v>
      </c>
      <c r="AM164" s="309"/>
    </row>
    <row r="165" spans="1:39" x14ac:dyDescent="0.3">
      <c r="A165" s="109" t="str">
        <f t="shared" si="10"/>
        <v>credit*   CS_Direct Labour</v>
      </c>
      <c r="B165" s="117" t="s">
        <v>208</v>
      </c>
      <c r="C165" s="118">
        <f>IFERROR(VLOOKUP($A165,MTD!$A$13:$D$1048576,3,0),0)</f>
        <v>-1557.39</v>
      </c>
      <c r="D165" s="125">
        <f>IFERROR(VLOOKUP($A165,MTD!$A$13:$D$1048576,4,0),0)</f>
        <v>0</v>
      </c>
      <c r="E165" s="118"/>
      <c r="F165" s="118"/>
      <c r="G165" s="117" t="s">
        <v>208</v>
      </c>
      <c r="H165" s="119">
        <v>0</v>
      </c>
      <c r="I165" s="119">
        <v>0</v>
      </c>
      <c r="J165" s="120">
        <v>0</v>
      </c>
      <c r="K165" s="118">
        <v>0</v>
      </c>
      <c r="P165" s="117" t="s">
        <v>208</v>
      </c>
      <c r="Q165" s="118">
        <f>IFERROR(VLOOKUP($A165,YTD!$A$13:$D$1048576,3,0),0)</f>
        <v>-8226.68</v>
      </c>
      <c r="R165" s="125">
        <f>IFERROR(VLOOKUP($A165,YTD!$A$13:$D$1048576,4,0),0)</f>
        <v>0</v>
      </c>
      <c r="S165" s="118"/>
      <c r="T165" s="118"/>
      <c r="U165" s="117" t="s">
        <v>208</v>
      </c>
      <c r="V165" s="119">
        <v>0</v>
      </c>
      <c r="W165" s="119">
        <v>0</v>
      </c>
      <c r="X165" s="120">
        <v>0</v>
      </c>
      <c r="Y165" s="118">
        <v>0</v>
      </c>
      <c r="Z165" s="118">
        <v>6.59</v>
      </c>
      <c r="AA165" s="118">
        <v>0</v>
      </c>
      <c r="AB165" s="118">
        <v>0</v>
      </c>
      <c r="AC165" s="118">
        <v>0</v>
      </c>
      <c r="AD165" s="118">
        <v>0</v>
      </c>
      <c r="AE165" s="118">
        <v>-752.29</v>
      </c>
      <c r="AF165" s="118">
        <v>0</v>
      </c>
      <c r="AG165" s="118">
        <v>-1194.27</v>
      </c>
      <c r="AH165" s="118">
        <v>-1557.39</v>
      </c>
      <c r="AI165" s="118">
        <v>-1557.39</v>
      </c>
      <c r="AJ165" s="118">
        <v>-1614.54</v>
      </c>
      <c r="AK165" s="118">
        <f t="shared" si="11"/>
        <v>-1557.39</v>
      </c>
      <c r="AM165" s="309"/>
    </row>
    <row r="166" spans="1:39" x14ac:dyDescent="0.3">
      <c r="A166" s="109" t="str">
        <f t="shared" si="10"/>
        <v>credit    8701530201  Scrap-Raw&amp;#160;Material - Managerial</v>
      </c>
      <c r="B166" s="112" t="s">
        <v>241</v>
      </c>
      <c r="C166" s="116">
        <f>IFERROR(VLOOKUP($A166,MTD!$A$13:$D$1048576,3,0),0)</f>
        <v>0</v>
      </c>
      <c r="D166" s="113">
        <f>IFERROR(VLOOKUP($A166,MTD!$A$13:$D$1048576,4,0),0)</f>
        <v>-38822.35</v>
      </c>
      <c r="E166" s="113"/>
      <c r="F166" s="113"/>
      <c r="G166" s="112" t="s">
        <v>241</v>
      </c>
      <c r="H166" s="114">
        <v>0</v>
      </c>
      <c r="I166" s="114">
        <v>0</v>
      </c>
      <c r="J166" s="115">
        <v>0</v>
      </c>
      <c r="K166" s="113">
        <v>0</v>
      </c>
      <c r="P166" s="112" t="s">
        <v>241</v>
      </c>
      <c r="Q166" s="116">
        <f>IFERROR(VLOOKUP($A166,YTD!$A$13:$D$1048576,3,0),0)</f>
        <v>0</v>
      </c>
      <c r="R166" s="113">
        <f>IFERROR(VLOOKUP($A166,YTD!$A$13:$D$1048576,4,0),0)</f>
        <v>-311461.84999999998</v>
      </c>
      <c r="S166" s="113"/>
      <c r="T166" s="113"/>
      <c r="U166" s="112" t="s">
        <v>241</v>
      </c>
      <c r="V166" s="114">
        <v>0</v>
      </c>
      <c r="W166" s="114">
        <v>0</v>
      </c>
      <c r="X166" s="115">
        <v>0</v>
      </c>
      <c r="Y166" s="113">
        <v>0</v>
      </c>
      <c r="Z166" s="113">
        <v>0</v>
      </c>
      <c r="AA166" s="113">
        <v>0</v>
      </c>
      <c r="AB166" s="113">
        <v>0</v>
      </c>
      <c r="AC166" s="113">
        <v>0</v>
      </c>
      <c r="AD166" s="113">
        <v>0</v>
      </c>
      <c r="AE166" s="113">
        <v>0</v>
      </c>
      <c r="AF166" s="113">
        <v>0</v>
      </c>
      <c r="AG166" s="113">
        <v>0</v>
      </c>
      <c r="AH166" s="113">
        <v>0</v>
      </c>
      <c r="AI166" s="113">
        <v>0</v>
      </c>
      <c r="AJ166" s="113">
        <v>0</v>
      </c>
      <c r="AK166" s="113">
        <f t="shared" si="11"/>
        <v>0</v>
      </c>
      <c r="AM166" s="309"/>
    </row>
    <row r="167" spans="1:39" x14ac:dyDescent="0.3">
      <c r="A167" s="109" t="str">
        <f t="shared" si="10"/>
        <v>credit    6666050309  SFG scrap</v>
      </c>
      <c r="B167" s="112" t="s">
        <v>242</v>
      </c>
      <c r="C167" s="113">
        <f>IFERROR(VLOOKUP($A167,MTD!$A$13:$D$1048576,3,0),0)</f>
        <v>-21328.98</v>
      </c>
      <c r="D167" s="116">
        <f>IFERROR(VLOOKUP($A167,MTD!$A$13:$D$1048576,4,0),0)</f>
        <v>0</v>
      </c>
      <c r="E167" s="113"/>
      <c r="F167" s="113"/>
      <c r="G167" s="112" t="s">
        <v>242</v>
      </c>
      <c r="H167" s="114">
        <v>0</v>
      </c>
      <c r="I167" s="114">
        <v>0</v>
      </c>
      <c r="J167" s="115">
        <v>0</v>
      </c>
      <c r="K167" s="113">
        <v>0</v>
      </c>
      <c r="P167" s="112" t="s">
        <v>242</v>
      </c>
      <c r="Q167" s="113">
        <f>IFERROR(VLOOKUP($A167,YTD!$A$13:$D$1048576,3,0),0)</f>
        <v>-269668.21999999997</v>
      </c>
      <c r="R167" s="116">
        <f>IFERROR(VLOOKUP($A167,YTD!$A$13:$D$1048576,4,0),0)</f>
        <v>0</v>
      </c>
      <c r="S167" s="113"/>
      <c r="T167" s="113"/>
      <c r="U167" s="112" t="s">
        <v>242</v>
      </c>
      <c r="V167" s="114">
        <v>0</v>
      </c>
      <c r="W167" s="114">
        <v>0</v>
      </c>
      <c r="X167" s="115">
        <v>0</v>
      </c>
      <c r="Y167" s="113">
        <v>0</v>
      </c>
      <c r="Z167" s="113">
        <v>-20621.68</v>
      </c>
      <c r="AA167" s="113">
        <v>-11869.36</v>
      </c>
      <c r="AB167" s="113">
        <v>-12756.65</v>
      </c>
      <c r="AC167" s="113">
        <v>-22565.23</v>
      </c>
      <c r="AD167" s="113">
        <v>-18187.23</v>
      </c>
      <c r="AE167" s="113">
        <v>-34672.67</v>
      </c>
      <c r="AF167" s="113">
        <v>-18949.37</v>
      </c>
      <c r="AG167" s="113">
        <v>-16166.63</v>
      </c>
      <c r="AH167" s="113">
        <v>-18483.12</v>
      </c>
      <c r="AI167" s="113">
        <v>-33068.5</v>
      </c>
      <c r="AJ167" s="113">
        <v>-40998.800000000003</v>
      </c>
      <c r="AK167" s="113">
        <f t="shared" si="11"/>
        <v>-21328.98</v>
      </c>
      <c r="AM167" s="309"/>
    </row>
    <row r="168" spans="1:39" x14ac:dyDescent="0.3">
      <c r="A168" s="109" t="str">
        <f t="shared" si="10"/>
        <v>credit    6666050308  Raw material scrap</v>
      </c>
      <c r="B168" s="112" t="s">
        <v>243</v>
      </c>
      <c r="C168" s="113">
        <f>IFERROR(VLOOKUP($A168,MTD!$A$13:$D$1048576,3,0),0)</f>
        <v>-5388.97</v>
      </c>
      <c r="D168" s="116">
        <f>IFERROR(VLOOKUP($A168,MTD!$A$13:$D$1048576,4,0),0)</f>
        <v>0</v>
      </c>
      <c r="E168" s="113"/>
      <c r="F168" s="113"/>
      <c r="G168" s="112" t="s">
        <v>243</v>
      </c>
      <c r="H168" s="114">
        <v>0</v>
      </c>
      <c r="I168" s="114">
        <v>0</v>
      </c>
      <c r="J168" s="115">
        <v>0</v>
      </c>
      <c r="K168" s="113">
        <v>0</v>
      </c>
      <c r="P168" s="112" t="s">
        <v>243</v>
      </c>
      <c r="Q168" s="113">
        <f>IFERROR(VLOOKUP($A168,YTD!$A$13:$D$1048576,3,0),0)</f>
        <v>-76964.02</v>
      </c>
      <c r="R168" s="116">
        <f>IFERROR(VLOOKUP($A168,YTD!$A$13:$D$1048576,4,0),0)</f>
        <v>0</v>
      </c>
      <c r="S168" s="113"/>
      <c r="T168" s="113"/>
      <c r="U168" s="112" t="s">
        <v>243</v>
      </c>
      <c r="V168" s="114">
        <v>0</v>
      </c>
      <c r="W168" s="114">
        <v>0</v>
      </c>
      <c r="X168" s="115">
        <v>0</v>
      </c>
      <c r="Y168" s="113">
        <v>0</v>
      </c>
      <c r="Z168" s="113">
        <v>-11689.19</v>
      </c>
      <c r="AA168" s="113">
        <v>-7088.35</v>
      </c>
      <c r="AB168" s="113">
        <v>-5374.88</v>
      </c>
      <c r="AC168" s="113">
        <v>-4605.18</v>
      </c>
      <c r="AD168" s="113">
        <v>-1894.17</v>
      </c>
      <c r="AE168" s="113">
        <v>35092.42</v>
      </c>
      <c r="AF168" s="113">
        <v>-11788.61</v>
      </c>
      <c r="AG168" s="113">
        <v>-13078.3</v>
      </c>
      <c r="AH168" s="113">
        <v>-14865.38</v>
      </c>
      <c r="AI168" s="113">
        <v>-30582.44</v>
      </c>
      <c r="AJ168" s="113">
        <v>-5700.97</v>
      </c>
      <c r="AK168" s="113">
        <f t="shared" si="11"/>
        <v>-5388.97</v>
      </c>
      <c r="AM168" s="309"/>
    </row>
    <row r="169" spans="1:39" x14ac:dyDescent="0.3">
      <c r="A169" s="109" t="str">
        <f t="shared" si="10"/>
        <v>credit    6666050306  Finished goods scrap</v>
      </c>
      <c r="B169" s="112" t="s">
        <v>244</v>
      </c>
      <c r="C169" s="113">
        <f>IFERROR(VLOOKUP($A169,MTD!$A$13:$D$1048576,3,0),0)</f>
        <v>0</v>
      </c>
      <c r="D169" s="116">
        <f>IFERROR(VLOOKUP($A169,MTD!$A$13:$D$1048576,4,0),0)</f>
        <v>0</v>
      </c>
      <c r="E169" s="113"/>
      <c r="F169" s="113"/>
      <c r="G169" s="112" t="s">
        <v>244</v>
      </c>
      <c r="H169" s="114">
        <v>0</v>
      </c>
      <c r="I169" s="114">
        <v>0</v>
      </c>
      <c r="J169" s="115">
        <v>0</v>
      </c>
      <c r="K169" s="113">
        <v>0</v>
      </c>
      <c r="P169" s="112" t="s">
        <v>244</v>
      </c>
      <c r="Q169" s="113">
        <f>IFERROR(VLOOKUP($A169,YTD!$A$13:$D$1048576,3,0),0)</f>
        <v>-924.29</v>
      </c>
      <c r="R169" s="116">
        <f>IFERROR(VLOOKUP($A169,YTD!$A$13:$D$1048576,4,0),0)</f>
        <v>0</v>
      </c>
      <c r="S169" s="113"/>
      <c r="T169" s="113"/>
      <c r="U169" s="112" t="s">
        <v>244</v>
      </c>
      <c r="V169" s="114">
        <v>0</v>
      </c>
      <c r="W169" s="114">
        <v>0</v>
      </c>
      <c r="X169" s="115">
        <v>0</v>
      </c>
      <c r="Y169" s="113">
        <v>0</v>
      </c>
      <c r="Z169" s="113">
        <v>-937.4</v>
      </c>
      <c r="AA169" s="113">
        <v>-676.99</v>
      </c>
      <c r="AB169" s="113">
        <v>0</v>
      </c>
      <c r="AC169" s="113">
        <v>0</v>
      </c>
      <c r="AD169" s="113">
        <v>1164.33</v>
      </c>
      <c r="AE169" s="113">
        <v>0</v>
      </c>
      <c r="AF169" s="113">
        <v>0</v>
      </c>
      <c r="AG169" s="113">
        <v>-345.22</v>
      </c>
      <c r="AH169" s="113">
        <v>-196.91</v>
      </c>
      <c r="AI169" s="113">
        <v>67.900000000000006</v>
      </c>
      <c r="AJ169" s="113">
        <v>0</v>
      </c>
      <c r="AK169" s="113">
        <f t="shared" si="11"/>
        <v>0</v>
      </c>
      <c r="AM169" s="309"/>
    </row>
    <row r="170" spans="1:39" x14ac:dyDescent="0.3">
      <c r="A170" s="109" t="str">
        <f t="shared" si="10"/>
        <v>credit*   CS_SCRAP_VARIABLE</v>
      </c>
      <c r="B170" s="117" t="s">
        <v>209</v>
      </c>
      <c r="C170" s="118">
        <f>IFERROR(VLOOKUP($A170,MTD!$A$13:$D$1048576,3,0),0)</f>
        <v>-26717.95</v>
      </c>
      <c r="D170" s="118">
        <f>IFERROR(VLOOKUP($A170,MTD!$A$13:$D$1048576,4,0),0)</f>
        <v>-38822.35</v>
      </c>
      <c r="E170" s="118"/>
      <c r="F170" s="118"/>
      <c r="G170" s="117" t="s">
        <v>209</v>
      </c>
      <c r="H170" s="119">
        <v>0</v>
      </c>
      <c r="I170" s="119">
        <v>0</v>
      </c>
      <c r="J170" s="120">
        <v>0</v>
      </c>
      <c r="K170" s="118">
        <v>0</v>
      </c>
      <c r="P170" s="117" t="s">
        <v>209</v>
      </c>
      <c r="Q170" s="118">
        <f>IFERROR(VLOOKUP($A170,YTD!$A$13:$D$1048576,3,0),0)</f>
        <v>-347556.53</v>
      </c>
      <c r="R170" s="118">
        <f>IFERROR(VLOOKUP($A170,YTD!$A$13:$D$1048576,4,0),0)</f>
        <v>-311461.84999999998</v>
      </c>
      <c r="S170" s="118"/>
      <c r="T170" s="118"/>
      <c r="U170" s="117" t="s">
        <v>209</v>
      </c>
      <c r="V170" s="119">
        <v>0</v>
      </c>
      <c r="W170" s="119">
        <v>0</v>
      </c>
      <c r="X170" s="120">
        <v>0</v>
      </c>
      <c r="Y170" s="118">
        <v>0</v>
      </c>
      <c r="Z170" s="118">
        <v>-33248.269999999997</v>
      </c>
      <c r="AA170" s="118">
        <v>-19634.7</v>
      </c>
      <c r="AB170" s="118">
        <v>-18131.53</v>
      </c>
      <c r="AC170" s="118">
        <v>-27170.41</v>
      </c>
      <c r="AD170" s="118">
        <v>-18917.07</v>
      </c>
      <c r="AE170" s="118">
        <v>419.75</v>
      </c>
      <c r="AF170" s="118">
        <v>-30737.98</v>
      </c>
      <c r="AG170" s="118">
        <v>-29590.15</v>
      </c>
      <c r="AH170" s="118">
        <v>-33545.410000000003</v>
      </c>
      <c r="AI170" s="118">
        <v>-63583.040000000001</v>
      </c>
      <c r="AJ170" s="118">
        <v>-46699.77</v>
      </c>
      <c r="AK170" s="118">
        <f t="shared" si="11"/>
        <v>-26717.95</v>
      </c>
      <c r="AM170" s="309"/>
    </row>
    <row r="171" spans="1:39" x14ac:dyDescent="0.3">
      <c r="A171" s="109" t="str">
        <f t="shared" si="10"/>
        <v>credit    5207000021  Gain of intangible asset disposal</v>
      </c>
      <c r="B171" s="112" t="s">
        <v>245</v>
      </c>
      <c r="C171" s="116">
        <f>IFERROR(VLOOKUP($A171,MTD!$A$13:$D$1048576,3,0),0)</f>
        <v>0</v>
      </c>
      <c r="D171" s="116">
        <f>IFERROR(VLOOKUP($A171,MTD!$A$13:$D$1048576,4,0),0)</f>
        <v>0</v>
      </c>
      <c r="E171" s="113"/>
      <c r="F171" s="113"/>
      <c r="G171" s="112" t="s">
        <v>245</v>
      </c>
      <c r="H171" s="114">
        <v>0</v>
      </c>
      <c r="I171" s="114">
        <v>0</v>
      </c>
      <c r="J171" s="115">
        <v>0</v>
      </c>
      <c r="K171" s="113">
        <v>0</v>
      </c>
      <c r="P171" s="112" t="s">
        <v>245</v>
      </c>
      <c r="Q171" s="116">
        <f>IFERROR(VLOOKUP($A171,YTD!$A$13:$D$1048576,3,0),0)</f>
        <v>0</v>
      </c>
      <c r="R171" s="116">
        <f>IFERROR(VLOOKUP($A171,YTD!$A$13:$D$1048576,4,0),0)</f>
        <v>0</v>
      </c>
      <c r="S171" s="113"/>
      <c r="T171" s="113"/>
      <c r="U171" s="112" t="s">
        <v>245</v>
      </c>
      <c r="V171" s="114">
        <v>0</v>
      </c>
      <c r="W171" s="114">
        <v>0</v>
      </c>
      <c r="X171" s="115">
        <v>0</v>
      </c>
      <c r="Y171" s="113">
        <v>0</v>
      </c>
      <c r="Z171" s="113">
        <v>0</v>
      </c>
      <c r="AA171" s="113">
        <v>0</v>
      </c>
      <c r="AB171" s="113">
        <v>0</v>
      </c>
      <c r="AC171" s="113">
        <v>0</v>
      </c>
      <c r="AD171" s="113">
        <v>0</v>
      </c>
      <c r="AE171" s="113">
        <v>0</v>
      </c>
      <c r="AF171" s="113">
        <v>0</v>
      </c>
      <c r="AG171" s="113">
        <v>0</v>
      </c>
      <c r="AH171" s="113">
        <v>0</v>
      </c>
      <c r="AI171" s="113">
        <v>0</v>
      </c>
      <c r="AJ171" s="113">
        <v>0</v>
      </c>
      <c r="AK171" s="113">
        <f t="shared" si="11"/>
        <v>0</v>
      </c>
      <c r="AM171" s="309"/>
    </row>
    <row r="172" spans="1:39" x14ac:dyDescent="0.3">
      <c r="A172" s="109" t="str">
        <f t="shared" si="10"/>
        <v>credit    6666029996  Non-deductible expense-travel.</v>
      </c>
      <c r="B172" s="112" t="s">
        <v>246</v>
      </c>
      <c r="C172" s="116">
        <f>IFERROR(VLOOKUP($A172,MTD!$A$13:$D$1048576,3,0),0)</f>
        <v>-148.72999999999999</v>
      </c>
      <c r="D172" s="116">
        <f>IFERROR(VLOOKUP($A172,MTD!$A$13:$D$1048576,4,0),0)</f>
        <v>0</v>
      </c>
      <c r="E172" s="113"/>
      <c r="F172" s="113"/>
      <c r="G172" s="112" t="s">
        <v>246</v>
      </c>
      <c r="H172" s="114">
        <v>0</v>
      </c>
      <c r="I172" s="114">
        <v>0</v>
      </c>
      <c r="J172" s="115">
        <v>0</v>
      </c>
      <c r="K172" s="113">
        <v>0</v>
      </c>
      <c r="P172" s="112" t="s">
        <v>246</v>
      </c>
      <c r="Q172" s="116">
        <f>IFERROR(VLOOKUP($A172,YTD!$A$13:$D$1048576,3,0),0)</f>
        <v>-148.72999999999999</v>
      </c>
      <c r="R172" s="116">
        <f>IFERROR(VLOOKUP($A172,YTD!$A$13:$D$1048576,4,0),0)</f>
        <v>0</v>
      </c>
      <c r="S172" s="113"/>
      <c r="T172" s="113"/>
      <c r="U172" s="112" t="s">
        <v>246</v>
      </c>
      <c r="V172" s="114">
        <v>0</v>
      </c>
      <c r="W172" s="114">
        <v>0</v>
      </c>
      <c r="X172" s="115">
        <v>0</v>
      </c>
      <c r="Y172" s="113">
        <v>0</v>
      </c>
      <c r="Z172" s="113">
        <v>0</v>
      </c>
      <c r="AA172" s="113">
        <v>0</v>
      </c>
      <c r="AB172" s="113">
        <v>0</v>
      </c>
      <c r="AC172" s="113">
        <v>0</v>
      </c>
      <c r="AD172" s="113">
        <v>0</v>
      </c>
      <c r="AE172" s="113">
        <v>0</v>
      </c>
      <c r="AF172" s="113">
        <v>0</v>
      </c>
      <c r="AG172" s="113">
        <v>0</v>
      </c>
      <c r="AH172" s="113">
        <v>0</v>
      </c>
      <c r="AI172" s="113">
        <v>0</v>
      </c>
      <c r="AJ172" s="113">
        <v>0</v>
      </c>
      <c r="AK172" s="113">
        <f t="shared" si="11"/>
        <v>-148.72999999999999</v>
      </c>
      <c r="AM172" s="309"/>
    </row>
    <row r="173" spans="1:39" x14ac:dyDescent="0.3">
      <c r="A173" s="109" t="str">
        <f t="shared" si="10"/>
        <v>credit    6666010322  fuel allowance</v>
      </c>
      <c r="B173" s="112" t="s">
        <v>248</v>
      </c>
      <c r="C173" s="113">
        <f>IFERROR(VLOOKUP($A173,MTD!$A$13:$D$1048576,3,0),0)</f>
        <v>5320.97</v>
      </c>
      <c r="D173" s="116">
        <f>IFERROR(VLOOKUP($A173,MTD!$A$13:$D$1048576,4,0),0)</f>
        <v>0</v>
      </c>
      <c r="E173" s="113"/>
      <c r="F173" s="113"/>
      <c r="G173" s="112" t="s">
        <v>248</v>
      </c>
      <c r="H173" s="114">
        <v>0</v>
      </c>
      <c r="I173" s="114">
        <v>0</v>
      </c>
      <c r="J173" s="115">
        <v>0</v>
      </c>
      <c r="K173" s="113">
        <v>0</v>
      </c>
      <c r="P173" s="112" t="s">
        <v>248</v>
      </c>
      <c r="Q173" s="113">
        <f>IFERROR(VLOOKUP($A173,YTD!$A$13:$D$1048576,3,0),0)</f>
        <v>-16807.599999999999</v>
      </c>
      <c r="R173" s="116">
        <f>IFERROR(VLOOKUP($A173,YTD!$A$13:$D$1048576,4,0),0)</f>
        <v>0</v>
      </c>
      <c r="S173" s="113"/>
      <c r="T173" s="113"/>
      <c r="U173" s="112" t="s">
        <v>248</v>
      </c>
      <c r="V173" s="114">
        <v>0</v>
      </c>
      <c r="W173" s="114">
        <v>0</v>
      </c>
      <c r="X173" s="115">
        <v>0</v>
      </c>
      <c r="Y173" s="113">
        <v>0</v>
      </c>
      <c r="Z173" s="113">
        <v>-2942.92</v>
      </c>
      <c r="AA173" s="113">
        <v>-1265.6099999999999</v>
      </c>
      <c r="AB173" s="113">
        <v>-1944.43</v>
      </c>
      <c r="AC173" s="113">
        <v>-2556.91</v>
      </c>
      <c r="AD173" s="113">
        <v>-2782.69</v>
      </c>
      <c r="AE173" s="113">
        <v>-2001.65</v>
      </c>
      <c r="AF173" s="113">
        <v>-2020.99</v>
      </c>
      <c r="AG173" s="113">
        <v>-1420.67</v>
      </c>
      <c r="AH173" s="113">
        <v>-1516.76</v>
      </c>
      <c r="AI173" s="113">
        <v>-1879.81</v>
      </c>
      <c r="AJ173" s="113">
        <v>-1796.13</v>
      </c>
      <c r="AK173" s="113">
        <f t="shared" si="11"/>
        <v>5320.97</v>
      </c>
      <c r="AM173" s="309"/>
    </row>
    <row r="174" spans="1:39" x14ac:dyDescent="0.3">
      <c r="A174" s="109" t="str">
        <f t="shared" si="10"/>
        <v>credit    6666020495  Non-deductible expense-travel.</v>
      </c>
      <c r="B174" s="112" t="s">
        <v>249</v>
      </c>
      <c r="C174" s="113">
        <f>IFERROR(VLOOKUP($A174,MTD!$A$13:$D$1048576,3,0),0)</f>
        <v>-807.52</v>
      </c>
      <c r="D174" s="116">
        <f>IFERROR(VLOOKUP($A174,MTD!$A$13:$D$1048576,4,0),0)</f>
        <v>0</v>
      </c>
      <c r="E174" s="113"/>
      <c r="F174" s="113"/>
      <c r="G174" s="112" t="s">
        <v>249</v>
      </c>
      <c r="H174" s="114">
        <v>0</v>
      </c>
      <c r="I174" s="114">
        <v>0</v>
      </c>
      <c r="J174" s="115">
        <v>0</v>
      </c>
      <c r="K174" s="113">
        <v>0</v>
      </c>
      <c r="P174" s="112" t="s">
        <v>249</v>
      </c>
      <c r="Q174" s="113">
        <f>IFERROR(VLOOKUP($A174,YTD!$A$13:$D$1048576,3,0),0)</f>
        <v>-4655.66</v>
      </c>
      <c r="R174" s="116">
        <f>IFERROR(VLOOKUP($A174,YTD!$A$13:$D$1048576,4,0),0)</f>
        <v>0</v>
      </c>
      <c r="S174" s="113"/>
      <c r="T174" s="113"/>
      <c r="U174" s="112" t="s">
        <v>249</v>
      </c>
      <c r="V174" s="114">
        <v>0</v>
      </c>
      <c r="W174" s="114">
        <v>0</v>
      </c>
      <c r="X174" s="115">
        <v>0</v>
      </c>
      <c r="Y174" s="113">
        <v>0</v>
      </c>
      <c r="Z174" s="113">
        <v>-24.18</v>
      </c>
      <c r="AA174" s="113">
        <v>-119.15</v>
      </c>
      <c r="AB174" s="113">
        <v>-342.55</v>
      </c>
      <c r="AC174" s="113">
        <v>-425.48</v>
      </c>
      <c r="AD174" s="113">
        <v>-157.19</v>
      </c>
      <c r="AE174" s="113">
        <v>-144.32</v>
      </c>
      <c r="AF174" s="113">
        <v>-140.4</v>
      </c>
      <c r="AG174" s="113">
        <v>-15.05</v>
      </c>
      <c r="AH174" s="113">
        <v>-133.91999999999999</v>
      </c>
      <c r="AI174" s="113">
        <v>-4.5199999999999996</v>
      </c>
      <c r="AJ174" s="113">
        <v>-2341.38</v>
      </c>
      <c r="AK174" s="113">
        <f t="shared" si="11"/>
        <v>-807.52</v>
      </c>
      <c r="AM174" s="309"/>
    </row>
    <row r="175" spans="1:39" x14ac:dyDescent="0.3">
      <c r="A175" s="109" t="str">
        <f t="shared" si="10"/>
        <v>credit    5102010151  Other Rev.-Interco-Epidemic problem comp</v>
      </c>
      <c r="B175" s="112" t="s">
        <v>250</v>
      </c>
      <c r="C175" s="113">
        <f>IFERROR(VLOOKUP($A175,MTD!$A$13:$D$1048576,3,0),0)</f>
        <v>-1518.42</v>
      </c>
      <c r="D175" s="116">
        <f>IFERROR(VLOOKUP($A175,MTD!$A$13:$D$1048576,4,0),0)</f>
        <v>0</v>
      </c>
      <c r="E175" s="113"/>
      <c r="F175" s="113"/>
      <c r="G175" s="112" t="s">
        <v>250</v>
      </c>
      <c r="H175" s="114">
        <v>0</v>
      </c>
      <c r="I175" s="114">
        <v>0</v>
      </c>
      <c r="J175" s="115">
        <v>0</v>
      </c>
      <c r="K175" s="113">
        <v>0</v>
      </c>
      <c r="P175" s="112" t="s">
        <v>250</v>
      </c>
      <c r="Q175" s="113">
        <f>IFERROR(VLOOKUP($A175,YTD!$A$13:$D$1048576,3,0),0)</f>
        <v>-190.43</v>
      </c>
      <c r="R175" s="116">
        <f>IFERROR(VLOOKUP($A175,YTD!$A$13:$D$1048576,4,0),0)</f>
        <v>0</v>
      </c>
      <c r="S175" s="113"/>
      <c r="T175" s="113"/>
      <c r="U175" s="112" t="s">
        <v>250</v>
      </c>
      <c r="V175" s="114">
        <v>0</v>
      </c>
      <c r="W175" s="114">
        <v>0</v>
      </c>
      <c r="X175" s="115">
        <v>0</v>
      </c>
      <c r="Y175" s="113">
        <v>0</v>
      </c>
      <c r="Z175" s="113">
        <v>0</v>
      </c>
      <c r="AA175" s="113">
        <v>0</v>
      </c>
      <c r="AB175" s="113">
        <v>0</v>
      </c>
      <c r="AC175" s="113">
        <v>0</v>
      </c>
      <c r="AD175" s="113">
        <v>1327.99</v>
      </c>
      <c r="AE175" s="113">
        <v>0</v>
      </c>
      <c r="AF175" s="113">
        <v>0</v>
      </c>
      <c r="AG175" s="113">
        <v>0</v>
      </c>
      <c r="AH175" s="113">
        <v>0</v>
      </c>
      <c r="AI175" s="113">
        <v>0</v>
      </c>
      <c r="AJ175" s="113">
        <v>0</v>
      </c>
      <c r="AK175" s="113">
        <f t="shared" si="11"/>
        <v>-1518.42</v>
      </c>
      <c r="AM175" s="309"/>
    </row>
    <row r="176" spans="1:39" x14ac:dyDescent="0.3">
      <c r="A176" s="109" t="str">
        <f t="shared" si="10"/>
        <v>credit    5001010200  Cost of Manufacture - Raw Material</v>
      </c>
      <c r="B176" s="112" t="s">
        <v>251</v>
      </c>
      <c r="C176" s="113">
        <f>IFERROR(VLOOKUP($A176,MTD!$A$13:$D$1048576,3,0),0)</f>
        <v>0</v>
      </c>
      <c r="D176" s="116">
        <f>IFERROR(VLOOKUP($A176,MTD!$A$13:$D$1048576,4,0),0)</f>
        <v>0</v>
      </c>
      <c r="E176" s="113"/>
      <c r="F176" s="113"/>
      <c r="G176" s="112" t="s">
        <v>251</v>
      </c>
      <c r="H176" s="114">
        <v>0</v>
      </c>
      <c r="I176" s="114">
        <v>0</v>
      </c>
      <c r="J176" s="115">
        <v>0</v>
      </c>
      <c r="K176" s="113">
        <v>0</v>
      </c>
      <c r="P176" s="112" t="s">
        <v>251</v>
      </c>
      <c r="Q176" s="113">
        <f>IFERROR(VLOOKUP($A176,YTD!$A$13:$D$1048576,3,0),0)</f>
        <v>-126.8</v>
      </c>
      <c r="R176" s="116">
        <f>IFERROR(VLOOKUP($A176,YTD!$A$13:$D$1048576,4,0),0)</f>
        <v>0</v>
      </c>
      <c r="S176" s="113"/>
      <c r="T176" s="113"/>
      <c r="U176" s="112" t="s">
        <v>251</v>
      </c>
      <c r="V176" s="114">
        <v>0</v>
      </c>
      <c r="W176" s="114">
        <v>0</v>
      </c>
      <c r="X176" s="115">
        <v>0</v>
      </c>
      <c r="Y176" s="113">
        <v>0</v>
      </c>
      <c r="Z176" s="113">
        <v>-52.5</v>
      </c>
      <c r="AA176" s="113">
        <v>0</v>
      </c>
      <c r="AB176" s="113">
        <v>-74.3</v>
      </c>
      <c r="AC176" s="113">
        <v>0</v>
      </c>
      <c r="AD176" s="113">
        <v>0</v>
      </c>
      <c r="AE176" s="113">
        <v>0</v>
      </c>
      <c r="AF176" s="113">
        <v>0</v>
      </c>
      <c r="AG176" s="113">
        <v>0</v>
      </c>
      <c r="AH176" s="113">
        <v>0</v>
      </c>
      <c r="AI176" s="113">
        <v>0</v>
      </c>
      <c r="AJ176" s="113">
        <v>0</v>
      </c>
      <c r="AK176" s="113">
        <f t="shared" si="11"/>
        <v>0</v>
      </c>
      <c r="AM176" s="309"/>
    </row>
    <row r="177" spans="1:39" x14ac:dyDescent="0.3">
      <c r="A177" s="109" t="str">
        <f t="shared" si="10"/>
        <v>credit    5001010201  Cost of Manufacture - Raw Material-Freig</v>
      </c>
      <c r="B177" s="112" t="s">
        <v>252</v>
      </c>
      <c r="C177" s="113">
        <f>IFERROR(VLOOKUP($A177,MTD!$A$13:$D$1048576,3,0),0)</f>
        <v>0</v>
      </c>
      <c r="D177" s="116">
        <f>IFERROR(VLOOKUP($A177,MTD!$A$13:$D$1048576,4,0),0)</f>
        <v>0</v>
      </c>
      <c r="E177" s="113"/>
      <c r="F177" s="113"/>
      <c r="G177" s="112" t="s">
        <v>252</v>
      </c>
      <c r="H177" s="114">
        <v>0</v>
      </c>
      <c r="I177" s="114">
        <v>0</v>
      </c>
      <c r="J177" s="115">
        <v>0</v>
      </c>
      <c r="K177" s="113">
        <v>0</v>
      </c>
      <c r="P177" s="112" t="s">
        <v>252</v>
      </c>
      <c r="Q177" s="113">
        <f>IFERROR(VLOOKUP($A177,YTD!$A$13:$D$1048576,3,0),0)</f>
        <v>0</v>
      </c>
      <c r="R177" s="116">
        <f>IFERROR(VLOOKUP($A177,YTD!$A$13:$D$1048576,4,0),0)</f>
        <v>0</v>
      </c>
      <c r="S177" s="113"/>
      <c r="T177" s="113"/>
      <c r="U177" s="112" t="s">
        <v>252</v>
      </c>
      <c r="V177" s="114">
        <v>0</v>
      </c>
      <c r="W177" s="114">
        <v>0</v>
      </c>
      <c r="X177" s="115">
        <v>0</v>
      </c>
      <c r="Y177" s="113">
        <v>0</v>
      </c>
      <c r="Z177" s="113">
        <v>0</v>
      </c>
      <c r="AA177" s="113">
        <v>0</v>
      </c>
      <c r="AB177" s="113">
        <v>0</v>
      </c>
      <c r="AC177" s="113">
        <v>0</v>
      </c>
      <c r="AD177" s="113">
        <v>0</v>
      </c>
      <c r="AE177" s="113">
        <v>0</v>
      </c>
      <c r="AF177" s="113">
        <v>0</v>
      </c>
      <c r="AG177" s="113">
        <v>0</v>
      </c>
      <c r="AH177" s="113">
        <v>0</v>
      </c>
      <c r="AI177" s="113">
        <v>0</v>
      </c>
      <c r="AJ177" s="113">
        <v>0</v>
      </c>
      <c r="AK177" s="113">
        <f t="shared" si="11"/>
        <v>0</v>
      </c>
      <c r="AM177" s="309"/>
    </row>
    <row r="178" spans="1:39" x14ac:dyDescent="0.3">
      <c r="A178" s="109" t="str">
        <f t="shared" si="10"/>
        <v>credit    5102040893  Other revenue-Charge out-Test Expense</v>
      </c>
      <c r="B178" s="112" t="s">
        <v>253</v>
      </c>
      <c r="C178" s="116">
        <f>IFERROR(VLOOKUP($A178,MTD!$A$13:$D$1048576,3,0),0)</f>
        <v>0</v>
      </c>
      <c r="D178" s="116">
        <f>IFERROR(VLOOKUP($A178,MTD!$A$13:$D$1048576,4,0),0)</f>
        <v>0</v>
      </c>
      <c r="E178" s="113"/>
      <c r="F178" s="113"/>
      <c r="G178" s="112" t="s">
        <v>253</v>
      </c>
      <c r="H178" s="114">
        <v>0</v>
      </c>
      <c r="I178" s="114">
        <v>0</v>
      </c>
      <c r="J178" s="115">
        <v>0</v>
      </c>
      <c r="K178" s="113">
        <v>0</v>
      </c>
      <c r="P178" s="112" t="s">
        <v>253</v>
      </c>
      <c r="Q178" s="116">
        <f>IFERROR(VLOOKUP($A178,YTD!$A$13:$D$1048576,3,0),0)</f>
        <v>0</v>
      </c>
      <c r="R178" s="116">
        <f>IFERROR(VLOOKUP($A178,YTD!$A$13:$D$1048576,4,0),0)</f>
        <v>0</v>
      </c>
      <c r="S178" s="113"/>
      <c r="T178" s="113"/>
      <c r="U178" s="112" t="s">
        <v>253</v>
      </c>
      <c r="V178" s="114">
        <v>0</v>
      </c>
      <c r="W178" s="114">
        <v>0</v>
      </c>
      <c r="X178" s="115">
        <v>0</v>
      </c>
      <c r="Y178" s="113">
        <v>0</v>
      </c>
      <c r="Z178" s="113">
        <v>0</v>
      </c>
      <c r="AA178" s="113">
        <v>0</v>
      </c>
      <c r="AB178" s="113">
        <v>0</v>
      </c>
      <c r="AC178" s="113">
        <v>0</v>
      </c>
      <c r="AD178" s="113">
        <v>0</v>
      </c>
      <c r="AE178" s="113">
        <v>0</v>
      </c>
      <c r="AF178" s="113">
        <v>0</v>
      </c>
      <c r="AG178" s="113">
        <v>0</v>
      </c>
      <c r="AH178" s="113">
        <v>0</v>
      </c>
      <c r="AI178" s="113">
        <v>0</v>
      </c>
      <c r="AJ178" s="113">
        <v>0</v>
      </c>
      <c r="AK178" s="113">
        <f t="shared" si="11"/>
        <v>0</v>
      </c>
      <c r="AM178" s="309"/>
    </row>
    <row r="179" spans="1:39" x14ac:dyDescent="0.3">
      <c r="A179" s="109" t="str">
        <f t="shared" si="10"/>
        <v>credit    5207000012  Loss of tangible asset sold</v>
      </c>
      <c r="B179" s="112" t="s">
        <v>254</v>
      </c>
      <c r="C179" s="116">
        <f>IFERROR(VLOOKUP($A179,MTD!$A$13:$D$1048576,3,0),0)</f>
        <v>0</v>
      </c>
      <c r="D179" s="116">
        <f>IFERROR(VLOOKUP($A179,MTD!$A$13:$D$1048576,4,0),0)</f>
        <v>0</v>
      </c>
      <c r="E179" s="113"/>
      <c r="F179" s="113"/>
      <c r="G179" s="112" t="s">
        <v>254</v>
      </c>
      <c r="H179" s="114">
        <v>0</v>
      </c>
      <c r="I179" s="114">
        <v>0</v>
      </c>
      <c r="J179" s="115">
        <v>0</v>
      </c>
      <c r="K179" s="113">
        <v>0</v>
      </c>
      <c r="P179" s="112" t="s">
        <v>254</v>
      </c>
      <c r="Q179" s="116">
        <f>IFERROR(VLOOKUP($A179,YTD!$A$13:$D$1048576,3,0),0)</f>
        <v>0</v>
      </c>
      <c r="R179" s="116">
        <f>IFERROR(VLOOKUP($A179,YTD!$A$13:$D$1048576,4,0),0)</f>
        <v>0</v>
      </c>
      <c r="S179" s="113"/>
      <c r="T179" s="113"/>
      <c r="U179" s="112" t="s">
        <v>254</v>
      </c>
      <c r="V179" s="114">
        <v>0</v>
      </c>
      <c r="W179" s="114">
        <v>0</v>
      </c>
      <c r="X179" s="115">
        <v>0</v>
      </c>
      <c r="Y179" s="113">
        <v>0</v>
      </c>
      <c r="Z179" s="113">
        <v>0</v>
      </c>
      <c r="AA179" s="113">
        <v>0</v>
      </c>
      <c r="AB179" s="113">
        <v>0</v>
      </c>
      <c r="AC179" s="113">
        <v>0</v>
      </c>
      <c r="AD179" s="113">
        <v>0</v>
      </c>
      <c r="AE179" s="113">
        <v>0</v>
      </c>
      <c r="AF179" s="113">
        <v>0</v>
      </c>
      <c r="AG179" s="113">
        <v>0</v>
      </c>
      <c r="AH179" s="113">
        <v>0</v>
      </c>
      <c r="AI179" s="113">
        <v>0</v>
      </c>
      <c r="AJ179" s="113">
        <v>0</v>
      </c>
      <c r="AK179" s="113">
        <f t="shared" si="11"/>
        <v>0</v>
      </c>
      <c r="AM179" s="309"/>
    </row>
    <row r="180" spans="1:39" x14ac:dyDescent="0.3">
      <c r="A180" s="109" t="str">
        <f t="shared" si="10"/>
        <v>credit    5207000022  Loss of intangible asset disposal</v>
      </c>
      <c r="B180" s="112" t="s">
        <v>255</v>
      </c>
      <c r="C180" s="116">
        <f>IFERROR(VLOOKUP($A180,MTD!$A$13:$D$1048576,3,0),0)</f>
        <v>0</v>
      </c>
      <c r="D180" s="116">
        <f>IFERROR(VLOOKUP($A180,MTD!$A$13:$D$1048576,4,0),0)</f>
        <v>0</v>
      </c>
      <c r="E180" s="113"/>
      <c r="F180" s="113"/>
      <c r="G180" s="112" t="s">
        <v>255</v>
      </c>
      <c r="H180" s="114">
        <v>0</v>
      </c>
      <c r="I180" s="114">
        <v>0</v>
      </c>
      <c r="J180" s="115">
        <v>0</v>
      </c>
      <c r="K180" s="113">
        <v>0</v>
      </c>
      <c r="P180" s="112" t="s">
        <v>255</v>
      </c>
      <c r="Q180" s="116">
        <f>IFERROR(VLOOKUP($A180,YTD!$A$13:$D$1048576,3,0),0)</f>
        <v>0</v>
      </c>
      <c r="R180" s="116">
        <f>IFERROR(VLOOKUP($A180,YTD!$A$13:$D$1048576,4,0),0)</f>
        <v>0</v>
      </c>
      <c r="S180" s="113"/>
      <c r="T180" s="113"/>
      <c r="U180" s="112" t="s">
        <v>255</v>
      </c>
      <c r="V180" s="114">
        <v>0</v>
      </c>
      <c r="W180" s="114">
        <v>0</v>
      </c>
      <c r="X180" s="115">
        <v>0</v>
      </c>
      <c r="Y180" s="113">
        <v>0</v>
      </c>
      <c r="Z180" s="113">
        <v>0</v>
      </c>
      <c r="AA180" s="113">
        <v>0</v>
      </c>
      <c r="AB180" s="113">
        <v>0</v>
      </c>
      <c r="AC180" s="113">
        <v>0</v>
      </c>
      <c r="AD180" s="113">
        <v>0</v>
      </c>
      <c r="AE180" s="113">
        <v>0</v>
      </c>
      <c r="AF180" s="113">
        <v>0</v>
      </c>
      <c r="AG180" s="113">
        <v>0</v>
      </c>
      <c r="AH180" s="113">
        <v>0</v>
      </c>
      <c r="AI180" s="113">
        <v>0</v>
      </c>
      <c r="AJ180" s="113">
        <v>0</v>
      </c>
      <c r="AK180" s="113">
        <f t="shared" si="11"/>
        <v>0</v>
      </c>
      <c r="AM180" s="309"/>
    </row>
    <row r="181" spans="1:39" x14ac:dyDescent="0.3">
      <c r="A181" s="109" t="str">
        <f t="shared" si="10"/>
        <v>credit    5301060000  Other Income-Subsidy income</v>
      </c>
      <c r="B181" s="112" t="s">
        <v>256</v>
      </c>
      <c r="C181" s="116">
        <f>IFERROR(VLOOKUP($A181,MTD!$A$13:$D$1048576,3,0),0)</f>
        <v>0</v>
      </c>
      <c r="D181" s="116">
        <f>IFERROR(VLOOKUP($A181,MTD!$A$13:$D$1048576,4,0),0)</f>
        <v>0</v>
      </c>
      <c r="E181" s="113"/>
      <c r="F181" s="113"/>
      <c r="G181" s="112" t="s">
        <v>256</v>
      </c>
      <c r="H181" s="114">
        <v>0</v>
      </c>
      <c r="I181" s="114">
        <v>0</v>
      </c>
      <c r="J181" s="115">
        <v>0</v>
      </c>
      <c r="K181" s="113">
        <v>0</v>
      </c>
      <c r="P181" s="112" t="s">
        <v>256</v>
      </c>
      <c r="Q181" s="116">
        <f>IFERROR(VLOOKUP($A181,YTD!$A$13:$D$1048576,3,0),0)</f>
        <v>0</v>
      </c>
      <c r="R181" s="116">
        <f>IFERROR(VLOOKUP($A181,YTD!$A$13:$D$1048576,4,0),0)</f>
        <v>0</v>
      </c>
      <c r="S181" s="113"/>
      <c r="T181" s="113"/>
      <c r="U181" s="112" t="s">
        <v>256</v>
      </c>
      <c r="V181" s="114">
        <v>0</v>
      </c>
      <c r="W181" s="114">
        <v>0</v>
      </c>
      <c r="X181" s="115">
        <v>0</v>
      </c>
      <c r="Y181" s="113">
        <v>0</v>
      </c>
      <c r="Z181" s="113">
        <v>0</v>
      </c>
      <c r="AA181" s="113">
        <v>0</v>
      </c>
      <c r="AB181" s="113">
        <v>0</v>
      </c>
      <c r="AC181" s="113">
        <v>0</v>
      </c>
      <c r="AD181" s="113">
        <v>0</v>
      </c>
      <c r="AE181" s="113">
        <v>0</v>
      </c>
      <c r="AF181" s="113">
        <v>0</v>
      </c>
      <c r="AG181" s="113">
        <v>0</v>
      </c>
      <c r="AH181" s="113">
        <v>0</v>
      </c>
      <c r="AI181" s="113">
        <v>0</v>
      </c>
      <c r="AJ181" s="113">
        <v>0</v>
      </c>
      <c r="AK181" s="113">
        <f t="shared" si="11"/>
        <v>0</v>
      </c>
      <c r="AM181" s="309"/>
    </row>
    <row r="182" spans="1:39" x14ac:dyDescent="0.3">
      <c r="A182" s="109" t="str">
        <f t="shared" si="10"/>
        <v>credit    5301999999  Non-operation revenue-Other</v>
      </c>
      <c r="B182" s="112" t="s">
        <v>257</v>
      </c>
      <c r="C182" s="113">
        <f>IFERROR(VLOOKUP($A182,MTD!$A$13:$D$1048576,3,0),0)</f>
        <v>0</v>
      </c>
      <c r="D182" s="116">
        <f>IFERROR(VLOOKUP($A182,MTD!$A$13:$D$1048576,4,0),0)</f>
        <v>0</v>
      </c>
      <c r="E182" s="113"/>
      <c r="F182" s="113"/>
      <c r="G182" s="112" t="s">
        <v>257</v>
      </c>
      <c r="H182" s="114">
        <v>0</v>
      </c>
      <c r="I182" s="114">
        <v>0</v>
      </c>
      <c r="J182" s="115">
        <v>0</v>
      </c>
      <c r="K182" s="113">
        <v>0</v>
      </c>
      <c r="P182" s="112" t="s">
        <v>257</v>
      </c>
      <c r="Q182" s="113">
        <f>IFERROR(VLOOKUP($A182,YTD!$A$13:$D$1048576,3,0),0)</f>
        <v>-0.05</v>
      </c>
      <c r="R182" s="116">
        <f>IFERROR(VLOOKUP($A182,YTD!$A$13:$D$1048576,4,0),0)</f>
        <v>0</v>
      </c>
      <c r="S182" s="113"/>
      <c r="T182" s="113"/>
      <c r="U182" s="112" t="s">
        <v>257</v>
      </c>
      <c r="V182" s="114">
        <v>0</v>
      </c>
      <c r="W182" s="114">
        <v>0</v>
      </c>
      <c r="X182" s="115">
        <v>0</v>
      </c>
      <c r="Y182" s="113">
        <v>0</v>
      </c>
      <c r="Z182" s="113">
        <v>0</v>
      </c>
      <c r="AA182" s="113">
        <v>0</v>
      </c>
      <c r="AB182" s="113">
        <v>0</v>
      </c>
      <c r="AC182" s="113">
        <v>0</v>
      </c>
      <c r="AD182" s="113">
        <v>0</v>
      </c>
      <c r="AE182" s="113">
        <v>0</v>
      </c>
      <c r="AF182" s="113">
        <v>0</v>
      </c>
      <c r="AG182" s="113">
        <v>0</v>
      </c>
      <c r="AH182" s="113">
        <v>0</v>
      </c>
      <c r="AI182" s="113">
        <v>0</v>
      </c>
      <c r="AJ182" s="113">
        <v>-0.05</v>
      </c>
      <c r="AK182" s="113">
        <f t="shared" si="11"/>
        <v>0</v>
      </c>
      <c r="AM182" s="309"/>
    </row>
    <row r="183" spans="1:39" x14ac:dyDescent="0.3">
      <c r="A183" s="109" t="str">
        <f t="shared" si="10"/>
        <v>credit    5405030000  Other cost-others</v>
      </c>
      <c r="B183" s="112" t="s">
        <v>258</v>
      </c>
      <c r="C183" s="113">
        <f>IFERROR(VLOOKUP($A183,MTD!$A$13:$D$1048576,3,0),0)</f>
        <v>0</v>
      </c>
      <c r="D183" s="113">
        <f>IFERROR(VLOOKUP($A183,MTD!$A$13:$D$1048576,4,0),0)</f>
        <v>0</v>
      </c>
      <c r="E183" s="113"/>
      <c r="F183" s="113"/>
      <c r="G183" s="112" t="s">
        <v>258</v>
      </c>
      <c r="H183" s="114">
        <v>0</v>
      </c>
      <c r="I183" s="114">
        <v>0</v>
      </c>
      <c r="J183" s="115">
        <v>0</v>
      </c>
      <c r="K183" s="113">
        <v>0</v>
      </c>
      <c r="P183" s="112" t="s">
        <v>258</v>
      </c>
      <c r="Q183" s="113">
        <f>IFERROR(VLOOKUP($A183,YTD!$A$13:$D$1048576,3,0),0)</f>
        <v>-3431.77</v>
      </c>
      <c r="R183" s="113">
        <f>IFERROR(VLOOKUP($A183,YTD!$A$13:$D$1048576,4,0),0)</f>
        <v>0</v>
      </c>
      <c r="S183" s="113"/>
      <c r="T183" s="113"/>
      <c r="U183" s="112" t="s">
        <v>258</v>
      </c>
      <c r="V183" s="114">
        <v>0</v>
      </c>
      <c r="W183" s="114">
        <v>0</v>
      </c>
      <c r="X183" s="115">
        <v>0</v>
      </c>
      <c r="Y183" s="113">
        <v>0</v>
      </c>
      <c r="Z183" s="113">
        <v>-9.86</v>
      </c>
      <c r="AA183" s="113">
        <v>-133.16999999999999</v>
      </c>
      <c r="AB183" s="113">
        <v>-1976.87</v>
      </c>
      <c r="AC183" s="113">
        <v>0</v>
      </c>
      <c r="AD183" s="113">
        <v>0.01</v>
      </c>
      <c r="AE183" s="113">
        <v>0.01</v>
      </c>
      <c r="AF183" s="113">
        <v>-197.73</v>
      </c>
      <c r="AG183" s="113">
        <v>-1006.98</v>
      </c>
      <c r="AH183" s="113">
        <v>-99.48</v>
      </c>
      <c r="AI183" s="113">
        <v>0</v>
      </c>
      <c r="AJ183" s="113">
        <v>-7.7</v>
      </c>
      <c r="AK183" s="113">
        <f t="shared" si="11"/>
        <v>0</v>
      </c>
      <c r="AM183" s="309"/>
    </row>
    <row r="184" spans="1:39" x14ac:dyDescent="0.3">
      <c r="A184" s="109" t="str">
        <f t="shared" si="10"/>
        <v>credit    5601050100  Non-operation Expense-Others</v>
      </c>
      <c r="B184" s="112" t="s">
        <v>260</v>
      </c>
      <c r="C184" s="113">
        <f>IFERROR(VLOOKUP($A184,MTD!$A$13:$D$1048576,3,0),0)</f>
        <v>0</v>
      </c>
      <c r="D184" s="116">
        <f>IFERROR(VLOOKUP($A184,MTD!$A$13:$D$1048576,4,0),0)</f>
        <v>0</v>
      </c>
      <c r="E184" s="113"/>
      <c r="F184" s="113"/>
      <c r="G184" s="112" t="s">
        <v>260</v>
      </c>
      <c r="H184" s="114">
        <v>0</v>
      </c>
      <c r="I184" s="114">
        <v>0</v>
      </c>
      <c r="J184" s="115">
        <v>0</v>
      </c>
      <c r="K184" s="113">
        <v>0</v>
      </c>
      <c r="P184" s="112" t="s">
        <v>260</v>
      </c>
      <c r="Q184" s="113">
        <f>IFERROR(VLOOKUP($A184,YTD!$A$13:$D$1048576,3,0),0)</f>
        <v>-347.51</v>
      </c>
      <c r="R184" s="116">
        <f>IFERROR(VLOOKUP($A184,YTD!$A$13:$D$1048576,4,0),0)</f>
        <v>0</v>
      </c>
      <c r="S184" s="113"/>
      <c r="T184" s="113"/>
      <c r="U184" s="112" t="s">
        <v>260</v>
      </c>
      <c r="V184" s="114">
        <v>0</v>
      </c>
      <c r="W184" s="114">
        <v>0</v>
      </c>
      <c r="X184" s="115">
        <v>0</v>
      </c>
      <c r="Y184" s="113">
        <v>0</v>
      </c>
      <c r="Z184" s="113">
        <v>-142.41999999999999</v>
      </c>
      <c r="AA184" s="113">
        <v>0</v>
      </c>
      <c r="AB184" s="113">
        <v>0</v>
      </c>
      <c r="AC184" s="113">
        <v>0</v>
      </c>
      <c r="AD184" s="113">
        <v>0</v>
      </c>
      <c r="AE184" s="113">
        <v>0</v>
      </c>
      <c r="AF184" s="113">
        <v>-126.8</v>
      </c>
      <c r="AG184" s="113">
        <v>-65.89</v>
      </c>
      <c r="AH184" s="113">
        <v>0</v>
      </c>
      <c r="AI184" s="113">
        <v>0</v>
      </c>
      <c r="AJ184" s="113">
        <v>-12.4</v>
      </c>
      <c r="AK184" s="113">
        <f t="shared" si="11"/>
        <v>0</v>
      </c>
      <c r="AM184" s="309"/>
    </row>
    <row r="185" spans="1:39" x14ac:dyDescent="0.3">
      <c r="A185" s="109" t="str">
        <f t="shared" si="10"/>
        <v>credit    6666020101  Entertainment</v>
      </c>
      <c r="B185" s="112" t="s">
        <v>261</v>
      </c>
      <c r="C185" s="113">
        <f>IFERROR(VLOOKUP($A185,MTD!$A$13:$D$1048576,3,0),0)</f>
        <v>52491.41</v>
      </c>
      <c r="D185" s="113">
        <f>IFERROR(VLOOKUP($A185,MTD!$A$13:$D$1048576,4,0),0)</f>
        <v>-9726.0499999999993</v>
      </c>
      <c r="E185" s="113"/>
      <c r="F185" s="113"/>
      <c r="G185" s="112" t="s">
        <v>261</v>
      </c>
      <c r="H185" s="114">
        <v>0</v>
      </c>
      <c r="I185" s="114">
        <v>0</v>
      </c>
      <c r="J185" s="115">
        <v>0</v>
      </c>
      <c r="K185" s="113">
        <v>0</v>
      </c>
      <c r="P185" s="112" t="s">
        <v>261</v>
      </c>
      <c r="Q185" s="113">
        <f>IFERROR(VLOOKUP($A185,YTD!$A$13:$D$1048576,3,0),0)</f>
        <v>-1309.23</v>
      </c>
      <c r="R185" s="113">
        <f>IFERROR(VLOOKUP($A185,YTD!$A$13:$D$1048576,4,0),0)</f>
        <v>-116712.6</v>
      </c>
      <c r="S185" s="113"/>
      <c r="T185" s="113"/>
      <c r="U185" s="112" t="s">
        <v>261</v>
      </c>
      <c r="V185" s="114">
        <v>0</v>
      </c>
      <c r="W185" s="114">
        <v>0</v>
      </c>
      <c r="X185" s="115">
        <v>0</v>
      </c>
      <c r="Y185" s="113">
        <v>0</v>
      </c>
      <c r="Z185" s="113">
        <v>0</v>
      </c>
      <c r="AA185" s="113">
        <v>-11946.86</v>
      </c>
      <c r="AB185" s="113">
        <v>-9860.1</v>
      </c>
      <c r="AC185" s="113">
        <v>-8863.73</v>
      </c>
      <c r="AD185" s="113">
        <v>-9482.33</v>
      </c>
      <c r="AE185" s="113">
        <v>-8398.75</v>
      </c>
      <c r="AF185" s="113">
        <v>-7912.06</v>
      </c>
      <c r="AG185" s="113">
        <v>1352.59</v>
      </c>
      <c r="AH185" s="113">
        <v>957.74</v>
      </c>
      <c r="AI185" s="113">
        <v>-260.51</v>
      </c>
      <c r="AJ185" s="113">
        <v>613.37</v>
      </c>
      <c r="AK185" s="113">
        <f t="shared" si="11"/>
        <v>52491.41</v>
      </c>
      <c r="AM185" s="309"/>
    </row>
    <row r="186" spans="1:39" x14ac:dyDescent="0.3">
      <c r="A186" s="109" t="str">
        <f t="shared" si="10"/>
        <v>credit    6666020201  Domestic business travel</v>
      </c>
      <c r="B186" s="112" t="s">
        <v>262</v>
      </c>
      <c r="C186" s="113">
        <f>IFERROR(VLOOKUP($A186,MTD!$A$13:$D$1048576,3,0),0)</f>
        <v>-103.25</v>
      </c>
      <c r="D186" s="113">
        <f>IFERROR(VLOOKUP($A186,MTD!$A$13:$D$1048576,4,0),0)</f>
        <v>-1811.53</v>
      </c>
      <c r="E186" s="113"/>
      <c r="F186" s="113"/>
      <c r="G186" s="112" t="s">
        <v>262</v>
      </c>
      <c r="H186" s="114">
        <v>0</v>
      </c>
      <c r="I186" s="114">
        <v>0</v>
      </c>
      <c r="J186" s="115">
        <v>0</v>
      </c>
      <c r="K186" s="113">
        <v>0</v>
      </c>
      <c r="P186" s="112" t="s">
        <v>262</v>
      </c>
      <c r="Q186" s="113">
        <f>IFERROR(VLOOKUP($A186,YTD!$A$13:$D$1048576,3,0),0)</f>
        <v>-734.33</v>
      </c>
      <c r="R186" s="113">
        <f>IFERROR(VLOOKUP($A186,YTD!$A$13:$D$1048576,4,0),0)</f>
        <v>-21738.36</v>
      </c>
      <c r="S186" s="113"/>
      <c r="T186" s="113"/>
      <c r="U186" s="112" t="s">
        <v>262</v>
      </c>
      <c r="V186" s="114">
        <v>0</v>
      </c>
      <c r="W186" s="114">
        <v>0</v>
      </c>
      <c r="X186" s="115">
        <v>0</v>
      </c>
      <c r="Y186" s="113">
        <v>0</v>
      </c>
      <c r="Z186" s="113">
        <v>0</v>
      </c>
      <c r="AA186" s="113">
        <v>0</v>
      </c>
      <c r="AB186" s="113">
        <v>-136.41999999999999</v>
      </c>
      <c r="AC186" s="113">
        <v>-17.38</v>
      </c>
      <c r="AD186" s="113">
        <v>0</v>
      </c>
      <c r="AE186" s="113">
        <v>0</v>
      </c>
      <c r="AF186" s="113">
        <v>-122.36</v>
      </c>
      <c r="AG186" s="113">
        <v>-12.4</v>
      </c>
      <c r="AH186" s="113">
        <v>-95.55</v>
      </c>
      <c r="AI186" s="113">
        <v>-198.61</v>
      </c>
      <c r="AJ186" s="113">
        <v>-48.36</v>
      </c>
      <c r="AK186" s="113">
        <f t="shared" si="11"/>
        <v>-103.25</v>
      </c>
      <c r="AM186" s="309"/>
    </row>
    <row r="187" spans="1:39" x14ac:dyDescent="0.3">
      <c r="A187" s="109" t="str">
        <f t="shared" si="10"/>
        <v>credit    6666020202  Overseas business travel</v>
      </c>
      <c r="B187" s="112" t="s">
        <v>263</v>
      </c>
      <c r="C187" s="113">
        <f>IFERROR(VLOOKUP($A187,MTD!$A$13:$D$1048576,3,0),0)</f>
        <v>-205.42</v>
      </c>
      <c r="D187" s="116">
        <f>IFERROR(VLOOKUP($A187,MTD!$A$13:$D$1048576,4,0),0)</f>
        <v>0</v>
      </c>
      <c r="E187" s="113"/>
      <c r="F187" s="113"/>
      <c r="G187" s="112" t="s">
        <v>263</v>
      </c>
      <c r="H187" s="114">
        <v>0</v>
      </c>
      <c r="I187" s="114">
        <v>0</v>
      </c>
      <c r="J187" s="115">
        <v>0</v>
      </c>
      <c r="K187" s="113">
        <v>0</v>
      </c>
      <c r="P187" s="112" t="s">
        <v>263</v>
      </c>
      <c r="Q187" s="113">
        <f>IFERROR(VLOOKUP($A187,YTD!$A$13:$D$1048576,3,0),0)</f>
        <v>-3469.45</v>
      </c>
      <c r="R187" s="116">
        <f>IFERROR(VLOOKUP($A187,YTD!$A$13:$D$1048576,4,0),0)</f>
        <v>0</v>
      </c>
      <c r="S187" s="113"/>
      <c r="T187" s="113"/>
      <c r="U187" s="112" t="s">
        <v>263</v>
      </c>
      <c r="V187" s="114">
        <v>0</v>
      </c>
      <c r="W187" s="114">
        <v>0</v>
      </c>
      <c r="X187" s="115">
        <v>0</v>
      </c>
      <c r="Y187" s="113">
        <v>0</v>
      </c>
      <c r="Z187" s="113">
        <v>0</v>
      </c>
      <c r="AA187" s="113">
        <v>0</v>
      </c>
      <c r="AB187" s="113">
        <v>0</v>
      </c>
      <c r="AC187" s="113">
        <v>0</v>
      </c>
      <c r="AD187" s="113">
        <v>0</v>
      </c>
      <c r="AE187" s="113">
        <v>-351.05</v>
      </c>
      <c r="AF187" s="113">
        <v>-2075.1</v>
      </c>
      <c r="AG187" s="113">
        <v>-25.29</v>
      </c>
      <c r="AH187" s="113">
        <v>-5.79</v>
      </c>
      <c r="AI187" s="113">
        <v>-806.8</v>
      </c>
      <c r="AJ187" s="113">
        <v>0</v>
      </c>
      <c r="AK187" s="113">
        <f t="shared" si="11"/>
        <v>-205.42</v>
      </c>
      <c r="AM187" s="309"/>
    </row>
    <row r="188" spans="1:39" x14ac:dyDescent="0.3">
      <c r="A188" s="109" t="str">
        <f t="shared" si="10"/>
        <v>credit    6666020204  Travel expense pay to agency</v>
      </c>
      <c r="B188" s="112" t="s">
        <v>264</v>
      </c>
      <c r="C188" s="113">
        <f>IFERROR(VLOOKUP($A188,MTD!$A$13:$D$1048576,3,0),0)</f>
        <v>-38.659999999999997</v>
      </c>
      <c r="D188" s="116">
        <f>IFERROR(VLOOKUP($A188,MTD!$A$13:$D$1048576,4,0),0)</f>
        <v>0</v>
      </c>
      <c r="E188" s="113"/>
      <c r="F188" s="113"/>
      <c r="G188" s="112" t="s">
        <v>264</v>
      </c>
      <c r="H188" s="114">
        <v>0</v>
      </c>
      <c r="I188" s="114">
        <v>0</v>
      </c>
      <c r="J188" s="115">
        <v>0</v>
      </c>
      <c r="K188" s="113">
        <v>0</v>
      </c>
      <c r="P188" s="112" t="s">
        <v>264</v>
      </c>
      <c r="Q188" s="113">
        <f>IFERROR(VLOOKUP($A188,YTD!$A$13:$D$1048576,3,0),0)</f>
        <v>-10952.49</v>
      </c>
      <c r="R188" s="116">
        <f>IFERROR(VLOOKUP($A188,YTD!$A$13:$D$1048576,4,0),0)</f>
        <v>0</v>
      </c>
      <c r="S188" s="113"/>
      <c r="T188" s="113"/>
      <c r="U188" s="112" t="s">
        <v>264</v>
      </c>
      <c r="V188" s="114">
        <v>0</v>
      </c>
      <c r="W188" s="114">
        <v>0</v>
      </c>
      <c r="X188" s="115">
        <v>0</v>
      </c>
      <c r="Y188" s="113">
        <v>0</v>
      </c>
      <c r="Z188" s="113">
        <v>-276.5</v>
      </c>
      <c r="AA188" s="113">
        <v>-27.89</v>
      </c>
      <c r="AB188" s="113">
        <v>1.0900000000000001</v>
      </c>
      <c r="AC188" s="113">
        <v>-15.02</v>
      </c>
      <c r="AD188" s="113">
        <v>-24.75</v>
      </c>
      <c r="AE188" s="113">
        <v>-14.36</v>
      </c>
      <c r="AF188" s="113">
        <v>0.56000000000000005</v>
      </c>
      <c r="AG188" s="113">
        <v>-99.31</v>
      </c>
      <c r="AH188" s="113">
        <v>-123.8</v>
      </c>
      <c r="AI188" s="113">
        <v>-9408.1200000000008</v>
      </c>
      <c r="AJ188" s="113">
        <v>-925.73</v>
      </c>
      <c r="AK188" s="113">
        <f t="shared" si="11"/>
        <v>-38.659999999999997</v>
      </c>
      <c r="AM188" s="309"/>
    </row>
    <row r="189" spans="1:39" x14ac:dyDescent="0.3">
      <c r="A189" s="109" t="str">
        <f t="shared" si="10"/>
        <v>credit    6666020205  Business travel-other</v>
      </c>
      <c r="B189" s="112" t="s">
        <v>265</v>
      </c>
      <c r="C189" s="116">
        <f>IFERROR(VLOOKUP($A189,MTD!$A$13:$D$1048576,3,0),0)</f>
        <v>0</v>
      </c>
      <c r="D189" s="113">
        <f>IFERROR(VLOOKUP($A189,MTD!$A$13:$D$1048576,4,0),0)</f>
        <v>-1943.47</v>
      </c>
      <c r="E189" s="113"/>
      <c r="F189" s="113"/>
      <c r="G189" s="112" t="s">
        <v>265</v>
      </c>
      <c r="H189" s="114">
        <v>0</v>
      </c>
      <c r="I189" s="114">
        <v>0</v>
      </c>
      <c r="J189" s="115">
        <v>0</v>
      </c>
      <c r="K189" s="113">
        <v>0</v>
      </c>
      <c r="P189" s="112" t="s">
        <v>265</v>
      </c>
      <c r="Q189" s="116">
        <f>IFERROR(VLOOKUP($A189,YTD!$A$13:$D$1048576,3,0),0)</f>
        <v>0</v>
      </c>
      <c r="R189" s="113">
        <f>IFERROR(VLOOKUP($A189,YTD!$A$13:$D$1048576,4,0),0)</f>
        <v>-23321.64</v>
      </c>
      <c r="S189" s="113"/>
      <c r="T189" s="113"/>
      <c r="U189" s="112" t="s">
        <v>265</v>
      </c>
      <c r="V189" s="114">
        <v>0</v>
      </c>
      <c r="W189" s="114">
        <v>0</v>
      </c>
      <c r="X189" s="115">
        <v>0</v>
      </c>
      <c r="Y189" s="113">
        <v>0</v>
      </c>
      <c r="Z189" s="113">
        <v>0</v>
      </c>
      <c r="AA189" s="113">
        <v>0</v>
      </c>
      <c r="AB189" s="113">
        <v>0</v>
      </c>
      <c r="AC189" s="113">
        <v>0</v>
      </c>
      <c r="AD189" s="113">
        <v>0</v>
      </c>
      <c r="AE189" s="113">
        <v>0</v>
      </c>
      <c r="AF189" s="113">
        <v>0</v>
      </c>
      <c r="AG189" s="113">
        <v>0</v>
      </c>
      <c r="AH189" s="113">
        <v>0</v>
      </c>
      <c r="AI189" s="113">
        <v>0</v>
      </c>
      <c r="AJ189" s="113">
        <v>0</v>
      </c>
      <c r="AK189" s="113">
        <f t="shared" si="11"/>
        <v>0</v>
      </c>
      <c r="AM189" s="309"/>
    </row>
    <row r="190" spans="1:39" x14ac:dyDescent="0.3">
      <c r="A190" s="109" t="str">
        <f t="shared" si="10"/>
        <v>credit    6666020301  Staff communication expense</v>
      </c>
      <c r="B190" s="112" t="s">
        <v>266</v>
      </c>
      <c r="C190" s="113">
        <f>IFERROR(VLOOKUP($A190,MTD!$A$13:$D$1048576,3,0),0)</f>
        <v>-528.88</v>
      </c>
      <c r="D190" s="116">
        <f>IFERROR(VLOOKUP($A190,MTD!$A$13:$D$1048576,4,0),0)</f>
        <v>0</v>
      </c>
      <c r="E190" s="113"/>
      <c r="F190" s="113"/>
      <c r="G190" s="112" t="s">
        <v>266</v>
      </c>
      <c r="H190" s="114">
        <v>0</v>
      </c>
      <c r="I190" s="114">
        <v>0</v>
      </c>
      <c r="J190" s="115">
        <v>0</v>
      </c>
      <c r="K190" s="113">
        <v>0</v>
      </c>
      <c r="P190" s="112" t="s">
        <v>266</v>
      </c>
      <c r="Q190" s="113">
        <f>IFERROR(VLOOKUP($A190,YTD!$A$13:$D$1048576,3,0),0)</f>
        <v>-6161.12</v>
      </c>
      <c r="R190" s="116">
        <f>IFERROR(VLOOKUP($A190,YTD!$A$13:$D$1048576,4,0),0)</f>
        <v>0</v>
      </c>
      <c r="S190" s="113"/>
      <c r="T190" s="113"/>
      <c r="U190" s="112" t="s">
        <v>266</v>
      </c>
      <c r="V190" s="114">
        <v>0</v>
      </c>
      <c r="W190" s="114">
        <v>0</v>
      </c>
      <c r="X190" s="115">
        <v>0</v>
      </c>
      <c r="Y190" s="113">
        <v>0</v>
      </c>
      <c r="Z190" s="113">
        <v>0</v>
      </c>
      <c r="AA190" s="113">
        <v>0</v>
      </c>
      <c r="AB190" s="113">
        <v>0</v>
      </c>
      <c r="AC190" s="113">
        <v>-1683.57</v>
      </c>
      <c r="AD190" s="113">
        <v>-568.95000000000005</v>
      </c>
      <c r="AE190" s="113">
        <v>-510.43</v>
      </c>
      <c r="AF190" s="113">
        <v>-484.94</v>
      </c>
      <c r="AG190" s="113">
        <v>-713.96</v>
      </c>
      <c r="AH190" s="113">
        <v>-152.1</v>
      </c>
      <c r="AI190" s="113">
        <v>-892.37</v>
      </c>
      <c r="AJ190" s="113">
        <v>-625.91999999999996</v>
      </c>
      <c r="AK190" s="113">
        <f t="shared" si="11"/>
        <v>-528.88</v>
      </c>
      <c r="AM190" s="309"/>
    </row>
    <row r="191" spans="1:39" x14ac:dyDescent="0.3">
      <c r="A191" s="109" t="str">
        <f t="shared" si="10"/>
        <v>credit    6666020302  Communication Expenses</v>
      </c>
      <c r="B191" s="112" t="s">
        <v>268</v>
      </c>
      <c r="C191" s="113">
        <f>IFERROR(VLOOKUP($A191,MTD!$A$13:$D$1048576,3,0),0)</f>
        <v>0</v>
      </c>
      <c r="D191" s="113">
        <f>IFERROR(VLOOKUP($A191,MTD!$A$13:$D$1048576,4,0),0)</f>
        <v>-260</v>
      </c>
      <c r="E191" s="113"/>
      <c r="F191" s="113"/>
      <c r="G191" s="112" t="s">
        <v>268</v>
      </c>
      <c r="H191" s="114">
        <v>0</v>
      </c>
      <c r="I191" s="114">
        <v>0</v>
      </c>
      <c r="J191" s="115">
        <v>0</v>
      </c>
      <c r="K191" s="113">
        <v>0</v>
      </c>
      <c r="P191" s="112" t="s">
        <v>268</v>
      </c>
      <c r="Q191" s="113">
        <f>IFERROR(VLOOKUP($A191,YTD!$A$13:$D$1048576,3,0),0)</f>
        <v>-1108.68</v>
      </c>
      <c r="R191" s="113">
        <f>IFERROR(VLOOKUP($A191,YTD!$A$13:$D$1048576,4,0),0)</f>
        <v>-3120</v>
      </c>
      <c r="S191" s="113"/>
      <c r="T191" s="113"/>
      <c r="U191" s="112" t="s">
        <v>268</v>
      </c>
      <c r="V191" s="114">
        <v>0</v>
      </c>
      <c r="W191" s="114">
        <v>0</v>
      </c>
      <c r="X191" s="115">
        <v>0</v>
      </c>
      <c r="Y191" s="113">
        <v>0</v>
      </c>
      <c r="Z191" s="113">
        <v>-551.79</v>
      </c>
      <c r="AA191" s="113">
        <v>-237.3</v>
      </c>
      <c r="AB191" s="113">
        <v>-319.58999999999997</v>
      </c>
      <c r="AC191" s="113">
        <v>0</v>
      </c>
      <c r="AD191" s="113">
        <v>0</v>
      </c>
      <c r="AE191" s="113">
        <v>0</v>
      </c>
      <c r="AF191" s="113">
        <v>0</v>
      </c>
      <c r="AG191" s="113">
        <v>0</v>
      </c>
      <c r="AH191" s="113">
        <v>0</v>
      </c>
      <c r="AI191" s="113">
        <v>0</v>
      </c>
      <c r="AJ191" s="113">
        <v>0</v>
      </c>
      <c r="AK191" s="113">
        <f t="shared" si="11"/>
        <v>0</v>
      </c>
      <c r="AM191" s="309"/>
    </row>
    <row r="192" spans="1:39" x14ac:dyDescent="0.3">
      <c r="A192" s="109" t="str">
        <f>"credit"&amp;B192</f>
        <v>credit    6666020403  Company car expense</v>
      </c>
      <c r="B192" s="112" t="s">
        <v>269</v>
      </c>
      <c r="C192" s="113"/>
      <c r="D192" s="113"/>
      <c r="E192" s="113"/>
      <c r="F192" s="113"/>
      <c r="G192" s="112" t="s">
        <v>269</v>
      </c>
      <c r="H192" s="114"/>
      <c r="I192" s="114"/>
      <c r="J192" s="115"/>
      <c r="K192" s="113"/>
      <c r="P192" s="112" t="s">
        <v>269</v>
      </c>
      <c r="Q192" s="113"/>
      <c r="R192" s="113"/>
      <c r="S192" s="113"/>
      <c r="T192" s="113"/>
      <c r="U192" s="112" t="s">
        <v>269</v>
      </c>
      <c r="V192" s="114"/>
      <c r="W192" s="114"/>
      <c r="X192" s="115"/>
      <c r="Y192" s="113"/>
      <c r="Z192" s="310"/>
      <c r="AA192" s="310"/>
      <c r="AB192" s="310">
        <v>0</v>
      </c>
      <c r="AC192" s="113"/>
      <c r="AD192" s="113"/>
      <c r="AE192" s="113">
        <v>0</v>
      </c>
      <c r="AF192" s="113">
        <v>0</v>
      </c>
      <c r="AG192" s="113">
        <v>0</v>
      </c>
      <c r="AH192" s="113">
        <v>0</v>
      </c>
      <c r="AI192" s="113">
        <v>0</v>
      </c>
      <c r="AJ192" s="113">
        <v>0</v>
      </c>
      <c r="AK192" s="113">
        <f t="shared" si="11"/>
        <v>0</v>
      </c>
      <c r="AM192" s="309"/>
    </row>
    <row r="193" spans="1:39" x14ac:dyDescent="0.3">
      <c r="A193" s="109" t="str">
        <f t="shared" si="10"/>
        <v>credit    6666020405  Company car expense - maintenance fees</v>
      </c>
      <c r="B193" s="112" t="s">
        <v>270</v>
      </c>
      <c r="C193" s="113">
        <f>IFERROR(VLOOKUP($A193,MTD!$A$13:$D$1048576,3,0),0)</f>
        <v>0</v>
      </c>
      <c r="D193" s="116">
        <f>IFERROR(VLOOKUP($A193,MTD!$A$13:$D$1048576,4,0),0)</f>
        <v>0</v>
      </c>
      <c r="E193" s="113"/>
      <c r="F193" s="113"/>
      <c r="G193" s="112" t="s">
        <v>270</v>
      </c>
      <c r="H193" s="114">
        <v>0</v>
      </c>
      <c r="I193" s="114">
        <v>0</v>
      </c>
      <c r="J193" s="115">
        <v>0</v>
      </c>
      <c r="K193" s="113">
        <v>0</v>
      </c>
      <c r="P193" s="112" t="s">
        <v>270</v>
      </c>
      <c r="Q193" s="113">
        <f>IFERROR(VLOOKUP($A193,YTD!$A$13:$D$1048576,3,0),0)</f>
        <v>0</v>
      </c>
      <c r="R193" s="116">
        <f>IFERROR(VLOOKUP($A193,YTD!$A$13:$D$1048576,4,0),0)</f>
        <v>0</v>
      </c>
      <c r="S193" s="113"/>
      <c r="T193" s="113"/>
      <c r="U193" s="112" t="s">
        <v>270</v>
      </c>
      <c r="V193" s="114">
        <v>0</v>
      </c>
      <c r="W193" s="114">
        <v>0</v>
      </c>
      <c r="X193" s="115">
        <v>0</v>
      </c>
      <c r="Y193" s="113">
        <v>0</v>
      </c>
      <c r="Z193" s="113">
        <v>0</v>
      </c>
      <c r="AA193" s="113">
        <v>0</v>
      </c>
      <c r="AB193" s="113">
        <v>0</v>
      </c>
      <c r="AC193" s="113">
        <v>0</v>
      </c>
      <c r="AD193" s="113">
        <v>0</v>
      </c>
      <c r="AE193" s="113">
        <v>0</v>
      </c>
      <c r="AF193" s="113">
        <v>0</v>
      </c>
      <c r="AG193" s="113">
        <v>0</v>
      </c>
      <c r="AH193" s="113">
        <v>0</v>
      </c>
      <c r="AI193" s="113">
        <v>0</v>
      </c>
      <c r="AJ193" s="113">
        <v>0</v>
      </c>
      <c r="AK193" s="113">
        <f t="shared" si="11"/>
        <v>0</v>
      </c>
      <c r="AM193" s="309"/>
    </row>
    <row r="194" spans="1:39" x14ac:dyDescent="0.3">
      <c r="A194" s="109" t="str">
        <f t="shared" si="10"/>
        <v>credit    6666020504  Newspaper and Periodicals expenditure</v>
      </c>
      <c r="B194" s="112" t="s">
        <v>271</v>
      </c>
      <c r="C194" s="113">
        <f>IFERROR(VLOOKUP($A194,MTD!$A$13:$D$1048576,3,0),0)</f>
        <v>231.94</v>
      </c>
      <c r="D194" s="113">
        <f>IFERROR(VLOOKUP($A194,MTD!$A$13:$D$1048576,4,0),0)</f>
        <v>-84.49</v>
      </c>
      <c r="E194" s="113"/>
      <c r="F194" s="113"/>
      <c r="G194" s="112" t="s">
        <v>271</v>
      </c>
      <c r="H194" s="114">
        <v>0</v>
      </c>
      <c r="I194" s="114">
        <v>0</v>
      </c>
      <c r="J194" s="115">
        <v>0</v>
      </c>
      <c r="K194" s="113">
        <v>0</v>
      </c>
      <c r="P194" s="112" t="s">
        <v>271</v>
      </c>
      <c r="Q194" s="113">
        <f>IFERROR(VLOOKUP($A194,YTD!$A$13:$D$1048576,3,0),0)</f>
        <v>-298.66000000000003</v>
      </c>
      <c r="R194" s="113">
        <f>IFERROR(VLOOKUP($A194,YTD!$A$13:$D$1048576,4,0),0)</f>
        <v>-1013.88</v>
      </c>
      <c r="S194" s="113"/>
      <c r="T194" s="113"/>
      <c r="U194" s="112" t="s">
        <v>271</v>
      </c>
      <c r="V194" s="114">
        <v>0</v>
      </c>
      <c r="W194" s="114">
        <v>0</v>
      </c>
      <c r="X194" s="115">
        <v>0</v>
      </c>
      <c r="Y194" s="113">
        <v>0</v>
      </c>
      <c r="Z194" s="113">
        <v>0</v>
      </c>
      <c r="AA194" s="113">
        <v>0</v>
      </c>
      <c r="AB194" s="113">
        <v>0</v>
      </c>
      <c r="AC194" s="113">
        <v>0</v>
      </c>
      <c r="AD194" s="113">
        <v>0</v>
      </c>
      <c r="AE194" s="113">
        <v>0</v>
      </c>
      <c r="AF194" s="113">
        <v>-93.76</v>
      </c>
      <c r="AG194" s="113">
        <v>-204.9</v>
      </c>
      <c r="AH194" s="113">
        <v>-77.88</v>
      </c>
      <c r="AI194" s="113">
        <v>-78.55</v>
      </c>
      <c r="AJ194" s="113">
        <v>-75.510000000000005</v>
      </c>
      <c r="AK194" s="113">
        <f t="shared" si="11"/>
        <v>231.94</v>
      </c>
      <c r="AM194" s="309"/>
    </row>
    <row r="195" spans="1:39" x14ac:dyDescent="0.3">
      <c r="A195" s="109" t="str">
        <f t="shared" si="10"/>
        <v>credit    6666020508  Postage</v>
      </c>
      <c r="B195" s="112" t="s">
        <v>272</v>
      </c>
      <c r="C195" s="113">
        <f>IFERROR(VLOOKUP($A195,MTD!$A$13:$D$1048576,3,0),0)</f>
        <v>1390.95</v>
      </c>
      <c r="D195" s="113">
        <f>IFERROR(VLOOKUP($A195,MTD!$A$13:$D$1048576,4,0),0)</f>
        <v>-207.24</v>
      </c>
      <c r="E195" s="113"/>
      <c r="F195" s="113"/>
      <c r="G195" s="112" t="s">
        <v>272</v>
      </c>
      <c r="H195" s="114">
        <v>0</v>
      </c>
      <c r="I195" s="114">
        <v>0</v>
      </c>
      <c r="J195" s="115">
        <v>0</v>
      </c>
      <c r="K195" s="113">
        <v>0</v>
      </c>
      <c r="P195" s="112" t="s">
        <v>272</v>
      </c>
      <c r="Q195" s="113">
        <f>IFERROR(VLOOKUP($A195,YTD!$A$13:$D$1048576,3,0),0)</f>
        <v>-327.08</v>
      </c>
      <c r="R195" s="113">
        <f>IFERROR(VLOOKUP($A195,YTD!$A$13:$D$1048576,4,0),0)</f>
        <v>-2486.88</v>
      </c>
      <c r="S195" s="113"/>
      <c r="T195" s="113"/>
      <c r="U195" s="112" t="s">
        <v>272</v>
      </c>
      <c r="V195" s="114">
        <v>0</v>
      </c>
      <c r="W195" s="114">
        <v>0</v>
      </c>
      <c r="X195" s="115">
        <v>0</v>
      </c>
      <c r="Y195" s="113">
        <v>0</v>
      </c>
      <c r="Z195" s="113">
        <v>-330.84</v>
      </c>
      <c r="AA195" s="113">
        <v>-142.61000000000001</v>
      </c>
      <c r="AB195" s="113">
        <v>-208.83</v>
      </c>
      <c r="AC195" s="113">
        <v>-163.29</v>
      </c>
      <c r="AD195" s="113">
        <v>-188.24</v>
      </c>
      <c r="AE195" s="113">
        <v>-154.83000000000001</v>
      </c>
      <c r="AF195" s="113">
        <v>-154.26</v>
      </c>
      <c r="AG195" s="113">
        <v>-114.51</v>
      </c>
      <c r="AH195" s="113">
        <v>-66.739999999999995</v>
      </c>
      <c r="AI195" s="113">
        <v>-192.32</v>
      </c>
      <c r="AJ195" s="113">
        <v>-1.56</v>
      </c>
      <c r="AK195" s="113">
        <f t="shared" si="11"/>
        <v>1390.95</v>
      </c>
      <c r="AM195" s="309"/>
    </row>
    <row r="196" spans="1:39" x14ac:dyDescent="0.3">
      <c r="A196" s="109" t="str">
        <f t="shared" si="10"/>
        <v>credit    6666020602  Training costs Outside the group</v>
      </c>
      <c r="B196" s="112" t="s">
        <v>273</v>
      </c>
      <c r="C196" s="113">
        <f>IFERROR(VLOOKUP($A196,MTD!$A$13:$D$1048576,3,0),0)</f>
        <v>0</v>
      </c>
      <c r="D196" s="113">
        <f>IFERROR(VLOOKUP($A196,MTD!$A$13:$D$1048576,4,0),0)</f>
        <v>-3274.07</v>
      </c>
      <c r="E196" s="113"/>
      <c r="F196" s="113"/>
      <c r="G196" s="112" t="s">
        <v>273</v>
      </c>
      <c r="H196" s="114">
        <v>0</v>
      </c>
      <c r="I196" s="114">
        <v>0</v>
      </c>
      <c r="J196" s="115">
        <v>0</v>
      </c>
      <c r="K196" s="113">
        <v>0</v>
      </c>
      <c r="P196" s="112" t="s">
        <v>273</v>
      </c>
      <c r="Q196" s="113">
        <f>IFERROR(VLOOKUP($A196,YTD!$A$13:$D$1048576,3,0),0)</f>
        <v>-243.28</v>
      </c>
      <c r="R196" s="113">
        <f>IFERROR(VLOOKUP($A196,YTD!$A$13:$D$1048576,4,0),0)</f>
        <v>-39288.839999999997</v>
      </c>
      <c r="S196" s="113"/>
      <c r="T196" s="113"/>
      <c r="U196" s="112" t="s">
        <v>273</v>
      </c>
      <c r="V196" s="114">
        <v>0</v>
      </c>
      <c r="W196" s="114">
        <v>0</v>
      </c>
      <c r="X196" s="115">
        <v>0</v>
      </c>
      <c r="Y196" s="113">
        <v>0</v>
      </c>
      <c r="Z196" s="113">
        <v>0</v>
      </c>
      <c r="AA196" s="113">
        <v>0</v>
      </c>
      <c r="AB196" s="113">
        <v>0</v>
      </c>
      <c r="AC196" s="113">
        <v>0</v>
      </c>
      <c r="AD196" s="113">
        <v>0</v>
      </c>
      <c r="AE196" s="113">
        <v>-203.33</v>
      </c>
      <c r="AF196" s="113">
        <v>-39.840000000000003</v>
      </c>
      <c r="AG196" s="113">
        <v>-0.11</v>
      </c>
      <c r="AH196" s="113">
        <v>0</v>
      </c>
      <c r="AI196" s="113">
        <v>-288.17</v>
      </c>
      <c r="AJ196" s="113">
        <v>288.17</v>
      </c>
      <c r="AK196" s="113">
        <f t="shared" si="11"/>
        <v>0</v>
      </c>
      <c r="AM196" s="309"/>
    </row>
    <row r="197" spans="1:39" x14ac:dyDescent="0.3">
      <c r="A197" s="109" t="str">
        <f t="shared" si="10"/>
        <v>credit    6666020701  Enterprise Property Insurance</v>
      </c>
      <c r="B197" s="112" t="s">
        <v>274</v>
      </c>
      <c r="C197" s="116">
        <f>IFERROR(VLOOKUP($A197,MTD!$A$13:$D$1048576,3,0),0)</f>
        <v>0</v>
      </c>
      <c r="D197" s="116">
        <f>IFERROR(VLOOKUP($A197,MTD!$A$13:$D$1048576,4,0),0)</f>
        <v>0</v>
      </c>
      <c r="E197" s="113"/>
      <c r="F197" s="113"/>
      <c r="G197" s="112" t="s">
        <v>274</v>
      </c>
      <c r="H197" s="114">
        <v>0</v>
      </c>
      <c r="I197" s="114">
        <v>0</v>
      </c>
      <c r="J197" s="115">
        <v>0</v>
      </c>
      <c r="K197" s="113">
        <v>0</v>
      </c>
      <c r="P197" s="112" t="s">
        <v>274</v>
      </c>
      <c r="Q197" s="116">
        <f>IFERROR(VLOOKUP($A197,YTD!$A$13:$D$1048576,3,0),0)</f>
        <v>0</v>
      </c>
      <c r="R197" s="116">
        <f>IFERROR(VLOOKUP($A197,YTD!$A$13:$D$1048576,4,0),0)</f>
        <v>0</v>
      </c>
      <c r="S197" s="113"/>
      <c r="T197" s="113"/>
      <c r="U197" s="112" t="s">
        <v>274</v>
      </c>
      <c r="V197" s="114">
        <v>0</v>
      </c>
      <c r="W197" s="114">
        <v>0</v>
      </c>
      <c r="X197" s="115">
        <v>0</v>
      </c>
      <c r="Y197" s="113">
        <v>0</v>
      </c>
      <c r="Z197" s="113">
        <v>0</v>
      </c>
      <c r="AA197" s="113">
        <v>0</v>
      </c>
      <c r="AB197" s="113">
        <v>0</v>
      </c>
      <c r="AC197" s="113">
        <v>0</v>
      </c>
      <c r="AD197" s="113">
        <v>0</v>
      </c>
      <c r="AE197" s="113">
        <v>0</v>
      </c>
      <c r="AF197" s="113">
        <v>0</v>
      </c>
      <c r="AG197" s="113">
        <v>0</v>
      </c>
      <c r="AH197" s="113">
        <v>0</v>
      </c>
      <c r="AI197" s="113">
        <v>0</v>
      </c>
      <c r="AJ197" s="113">
        <v>0</v>
      </c>
      <c r="AK197" s="113">
        <f t="shared" si="11"/>
        <v>0</v>
      </c>
      <c r="AM197" s="309"/>
    </row>
    <row r="198" spans="1:39" x14ac:dyDescent="0.3">
      <c r="A198" s="109" t="str">
        <f t="shared" si="10"/>
        <v>credit    6666020802  Equipment rental cost</v>
      </c>
      <c r="B198" s="112" t="s">
        <v>275</v>
      </c>
      <c r="C198" s="113">
        <f>IFERROR(VLOOKUP($A198,MTD!$A$13:$D$1048576,3,0),0)</f>
        <v>-11932.43</v>
      </c>
      <c r="D198" s="113">
        <f>IFERROR(VLOOKUP($A198,MTD!$A$13:$D$1048576,4,0),0)</f>
        <v>-18549.259999999998</v>
      </c>
      <c r="E198" s="113"/>
      <c r="F198" s="113"/>
      <c r="G198" s="112" t="s">
        <v>275</v>
      </c>
      <c r="H198" s="114">
        <v>0</v>
      </c>
      <c r="I198" s="114">
        <v>0</v>
      </c>
      <c r="J198" s="115">
        <v>0</v>
      </c>
      <c r="K198" s="113">
        <v>0</v>
      </c>
      <c r="P198" s="112" t="s">
        <v>275</v>
      </c>
      <c r="Q198" s="113">
        <f>IFERROR(VLOOKUP($A198,YTD!$A$13:$D$1048576,3,0),0)</f>
        <v>-142344.95000000001</v>
      </c>
      <c r="R198" s="113">
        <f>IFERROR(VLOOKUP($A198,YTD!$A$13:$D$1048576,4,0),0)</f>
        <v>-201538.52</v>
      </c>
      <c r="S198" s="113"/>
      <c r="T198" s="113"/>
      <c r="U198" s="112" t="s">
        <v>275</v>
      </c>
      <c r="V198" s="114">
        <v>0</v>
      </c>
      <c r="W198" s="114">
        <v>0</v>
      </c>
      <c r="X198" s="115">
        <v>0</v>
      </c>
      <c r="Y198" s="113">
        <v>0</v>
      </c>
      <c r="Z198" s="113">
        <v>-12597.95</v>
      </c>
      <c r="AA198" s="113">
        <v>-11578.01</v>
      </c>
      <c r="AB198" s="113">
        <v>-11635</v>
      </c>
      <c r="AC198" s="113">
        <v>-11635</v>
      </c>
      <c r="AD198" s="113">
        <v>-11635</v>
      </c>
      <c r="AE198" s="113">
        <v>-12562.22</v>
      </c>
      <c r="AF198" s="113">
        <v>-11626.77</v>
      </c>
      <c r="AG198" s="113">
        <v>-10835</v>
      </c>
      <c r="AH198" s="113">
        <v>-11635</v>
      </c>
      <c r="AI198" s="113">
        <v>-13360.31</v>
      </c>
      <c r="AJ198" s="113">
        <v>-11312.26</v>
      </c>
      <c r="AK198" s="113">
        <f t="shared" si="11"/>
        <v>-11932.43</v>
      </c>
      <c r="AM198" s="309"/>
    </row>
    <row r="199" spans="1:39" x14ac:dyDescent="0.3">
      <c r="A199" s="109" t="str">
        <f t="shared" si="10"/>
        <v>credit    6666020803  Car rental cost</v>
      </c>
      <c r="B199" s="112" t="s">
        <v>276</v>
      </c>
      <c r="C199" s="113">
        <f>IFERROR(VLOOKUP($A199,MTD!$A$13:$D$1048576,3,0),0)</f>
        <v>-258.68</v>
      </c>
      <c r="D199" s="113">
        <f>IFERROR(VLOOKUP($A199,MTD!$A$13:$D$1048576,4,0),0)</f>
        <v>-3088.89</v>
      </c>
      <c r="E199" s="113"/>
      <c r="F199" s="113"/>
      <c r="G199" s="112" t="s">
        <v>276</v>
      </c>
      <c r="H199" s="114">
        <v>0</v>
      </c>
      <c r="I199" s="114">
        <v>0</v>
      </c>
      <c r="J199" s="115">
        <v>0</v>
      </c>
      <c r="K199" s="113">
        <v>0</v>
      </c>
      <c r="P199" s="112" t="s">
        <v>276</v>
      </c>
      <c r="Q199" s="113">
        <f>IFERROR(VLOOKUP($A199,YTD!$A$13:$D$1048576,3,0),0)</f>
        <v>-37515.64</v>
      </c>
      <c r="R199" s="113">
        <f>IFERROR(VLOOKUP($A199,YTD!$A$13:$D$1048576,4,0),0)</f>
        <v>-37066.68</v>
      </c>
      <c r="S199" s="113"/>
      <c r="T199" s="113"/>
      <c r="U199" s="112" t="s">
        <v>276</v>
      </c>
      <c r="V199" s="114">
        <v>0</v>
      </c>
      <c r="W199" s="114">
        <v>0</v>
      </c>
      <c r="X199" s="115">
        <v>0</v>
      </c>
      <c r="Y199" s="113">
        <v>0</v>
      </c>
      <c r="Z199" s="113">
        <v>-3762.17</v>
      </c>
      <c r="AA199" s="113">
        <v>-3521.96</v>
      </c>
      <c r="AB199" s="113">
        <v>-3783.78</v>
      </c>
      <c r="AC199" s="113">
        <v>-3182.2</v>
      </c>
      <c r="AD199" s="113">
        <v>-3396.93</v>
      </c>
      <c r="AE199" s="113">
        <v>-2619.56</v>
      </c>
      <c r="AF199" s="113">
        <v>-2901.99</v>
      </c>
      <c r="AG199" s="113">
        <v>-2694.54</v>
      </c>
      <c r="AH199" s="113">
        <v>-1466.72</v>
      </c>
      <c r="AI199" s="113">
        <v>-7962.6</v>
      </c>
      <c r="AJ199" s="113">
        <v>-1964.51</v>
      </c>
      <c r="AK199" s="113">
        <f t="shared" si="11"/>
        <v>-258.68</v>
      </c>
      <c r="AM199" s="309"/>
    </row>
    <row r="200" spans="1:39" x14ac:dyDescent="0.3">
      <c r="A200" s="109" t="str">
        <f t="shared" si="10"/>
        <v>credit    6666021100  Consulting fees</v>
      </c>
      <c r="B200" s="112" t="s">
        <v>277</v>
      </c>
      <c r="C200" s="113">
        <f>IFERROR(VLOOKUP($A200,MTD!$A$13:$D$1048576,3,0),0)</f>
        <v>3277.67</v>
      </c>
      <c r="D200" s="113">
        <f>IFERROR(VLOOKUP($A200,MTD!$A$13:$D$1048576,4,0),0)</f>
        <v>-12427.39</v>
      </c>
      <c r="E200" s="113"/>
      <c r="F200" s="113"/>
      <c r="G200" s="112" t="s">
        <v>277</v>
      </c>
      <c r="H200" s="114">
        <v>0</v>
      </c>
      <c r="I200" s="114">
        <v>0</v>
      </c>
      <c r="J200" s="115">
        <v>0</v>
      </c>
      <c r="K200" s="113">
        <v>0</v>
      </c>
      <c r="P200" s="112" t="s">
        <v>277</v>
      </c>
      <c r="Q200" s="113">
        <f>IFERROR(VLOOKUP($A200,YTD!$A$13:$D$1048576,3,0),0)</f>
        <v>-104791.27</v>
      </c>
      <c r="R200" s="113">
        <f>IFERROR(VLOOKUP($A200,YTD!$A$13:$D$1048576,4,0),0)</f>
        <v>-148626.88</v>
      </c>
      <c r="S200" s="113"/>
      <c r="T200" s="113"/>
      <c r="U200" s="112" t="s">
        <v>277</v>
      </c>
      <c r="V200" s="114">
        <v>0</v>
      </c>
      <c r="W200" s="114">
        <v>0</v>
      </c>
      <c r="X200" s="115">
        <v>0</v>
      </c>
      <c r="Y200" s="113">
        <v>0</v>
      </c>
      <c r="Z200" s="113">
        <v>-14071.09</v>
      </c>
      <c r="AA200" s="113">
        <v>-14214.15</v>
      </c>
      <c r="AB200" s="113">
        <v>-10585.89</v>
      </c>
      <c r="AC200" s="113">
        <v>-9340.0300000000007</v>
      </c>
      <c r="AD200" s="113">
        <v>-9729.52</v>
      </c>
      <c r="AE200" s="113">
        <v>-8568.7199999999993</v>
      </c>
      <c r="AF200" s="113">
        <v>-8800.0300000000007</v>
      </c>
      <c r="AG200" s="113">
        <v>-8440.9500000000007</v>
      </c>
      <c r="AH200" s="113">
        <v>-8443.2099999999991</v>
      </c>
      <c r="AI200" s="113">
        <v>-8663.9</v>
      </c>
      <c r="AJ200" s="113">
        <v>-7211.45</v>
      </c>
      <c r="AK200" s="113">
        <f t="shared" si="11"/>
        <v>3277.67</v>
      </c>
      <c r="AM200" s="309"/>
    </row>
    <row r="201" spans="1:39" x14ac:dyDescent="0.3">
      <c r="A201" s="109" t="str">
        <f t="shared" si="10"/>
        <v>credit    6666021902  Cleaning fees</v>
      </c>
      <c r="B201" s="112" t="s">
        <v>278</v>
      </c>
      <c r="C201" s="113">
        <f>IFERROR(VLOOKUP($A201,MTD!$A$13:$D$1048576,3,0),0)</f>
        <v>-7542.28</v>
      </c>
      <c r="D201" s="113">
        <f>IFERROR(VLOOKUP($A201,MTD!$A$13:$D$1048576,4,0),0)</f>
        <v>-10871.1</v>
      </c>
      <c r="E201" s="113"/>
      <c r="F201" s="113"/>
      <c r="G201" s="112" t="s">
        <v>278</v>
      </c>
      <c r="H201" s="114">
        <v>0</v>
      </c>
      <c r="I201" s="114">
        <v>0</v>
      </c>
      <c r="J201" s="115">
        <v>0</v>
      </c>
      <c r="K201" s="113">
        <v>0</v>
      </c>
      <c r="P201" s="112" t="s">
        <v>278</v>
      </c>
      <c r="Q201" s="113">
        <f>IFERROR(VLOOKUP($A201,YTD!$A$13:$D$1048576,3,0),0)</f>
        <v>-99035.83</v>
      </c>
      <c r="R201" s="113">
        <f>IFERROR(VLOOKUP($A201,YTD!$A$13:$D$1048576,4,0),0)</f>
        <v>-130453.2</v>
      </c>
      <c r="S201" s="113"/>
      <c r="T201" s="113"/>
      <c r="U201" s="112" t="s">
        <v>278</v>
      </c>
      <c r="V201" s="114">
        <v>0</v>
      </c>
      <c r="W201" s="114">
        <v>0</v>
      </c>
      <c r="X201" s="115">
        <v>0</v>
      </c>
      <c r="Y201" s="113">
        <v>0</v>
      </c>
      <c r="Z201" s="113">
        <v>-10096.290000000001</v>
      </c>
      <c r="AA201" s="113">
        <v>-10045.33</v>
      </c>
      <c r="AB201" s="113">
        <v>-13755.41</v>
      </c>
      <c r="AC201" s="113">
        <v>-7994.59</v>
      </c>
      <c r="AD201" s="113">
        <v>-7621.61</v>
      </c>
      <c r="AE201" s="113">
        <v>-6540.7</v>
      </c>
      <c r="AF201" s="113">
        <v>-5832.84</v>
      </c>
      <c r="AG201" s="113">
        <v>-7220.35</v>
      </c>
      <c r="AH201" s="113">
        <v>-7850.15</v>
      </c>
      <c r="AI201" s="113">
        <v>-7777.53</v>
      </c>
      <c r="AJ201" s="113">
        <v>-6758.75</v>
      </c>
      <c r="AK201" s="113">
        <f t="shared" si="11"/>
        <v>-7542.28</v>
      </c>
      <c r="AM201" s="309"/>
    </row>
    <row r="202" spans="1:39" x14ac:dyDescent="0.3">
      <c r="A202" s="109" t="str">
        <f t="shared" si="10"/>
        <v>credit    6666022100  Security</v>
      </c>
      <c r="B202" s="112" t="s">
        <v>279</v>
      </c>
      <c r="C202" s="113">
        <f>IFERROR(VLOOKUP($A202,MTD!$A$13:$D$1048576,3,0),0)</f>
        <v>-3746.4</v>
      </c>
      <c r="D202" s="113">
        <f>IFERROR(VLOOKUP($A202,MTD!$A$13:$D$1048576,4,0),0)</f>
        <v>-8046.31</v>
      </c>
      <c r="E202" s="113"/>
      <c r="F202" s="113"/>
      <c r="G202" s="112" t="s">
        <v>279</v>
      </c>
      <c r="H202" s="114">
        <v>0</v>
      </c>
      <c r="I202" s="114">
        <v>0</v>
      </c>
      <c r="J202" s="115">
        <v>0</v>
      </c>
      <c r="K202" s="113">
        <v>0</v>
      </c>
      <c r="P202" s="112" t="s">
        <v>279</v>
      </c>
      <c r="Q202" s="113">
        <f>IFERROR(VLOOKUP($A202,YTD!$A$13:$D$1048576,3,0),0)</f>
        <v>-53329.33</v>
      </c>
      <c r="R202" s="113">
        <f>IFERROR(VLOOKUP($A202,YTD!$A$13:$D$1048576,4,0),0)</f>
        <v>-96555.72</v>
      </c>
      <c r="S202" s="113"/>
      <c r="T202" s="113"/>
      <c r="U202" s="112" t="s">
        <v>279</v>
      </c>
      <c r="V202" s="114">
        <v>0</v>
      </c>
      <c r="W202" s="114">
        <v>0</v>
      </c>
      <c r="X202" s="115">
        <v>0</v>
      </c>
      <c r="Y202" s="113">
        <v>0</v>
      </c>
      <c r="Z202" s="113">
        <v>-6087.51</v>
      </c>
      <c r="AA202" s="113">
        <v>-5009.3100000000004</v>
      </c>
      <c r="AB202" s="113">
        <v>-6219.68</v>
      </c>
      <c r="AC202" s="113">
        <v>-4792.87</v>
      </c>
      <c r="AD202" s="113">
        <v>-4968.67</v>
      </c>
      <c r="AE202" s="113">
        <v>-4920.57</v>
      </c>
      <c r="AF202" s="113">
        <v>-3999.79</v>
      </c>
      <c r="AG202" s="113">
        <v>-3116.49</v>
      </c>
      <c r="AH202" s="113">
        <v>-3031.04</v>
      </c>
      <c r="AI202" s="113">
        <v>-3710.8</v>
      </c>
      <c r="AJ202" s="113">
        <v>-3726.2</v>
      </c>
      <c r="AK202" s="113">
        <f t="shared" si="11"/>
        <v>-3746.4</v>
      </c>
      <c r="AM202" s="309"/>
    </row>
    <row r="203" spans="1:39" x14ac:dyDescent="0.3">
      <c r="A203" s="109" t="str">
        <f t="shared" si="10"/>
        <v>credit    6666022300  Association dues</v>
      </c>
      <c r="B203" s="112" t="s">
        <v>280</v>
      </c>
      <c r="C203" s="113">
        <f>IFERROR(VLOOKUP($A203,MTD!$A$13:$D$1048576,3,0),0)</f>
        <v>0</v>
      </c>
      <c r="D203" s="116">
        <f>IFERROR(VLOOKUP($A203,MTD!$A$13:$D$1048576,4,0),0)</f>
        <v>0</v>
      </c>
      <c r="E203" s="113"/>
      <c r="F203" s="113"/>
      <c r="G203" s="112" t="s">
        <v>280</v>
      </c>
      <c r="H203" s="114">
        <v>0</v>
      </c>
      <c r="I203" s="114">
        <v>0</v>
      </c>
      <c r="J203" s="115">
        <v>0</v>
      </c>
      <c r="K203" s="113">
        <v>0</v>
      </c>
      <c r="P203" s="112" t="s">
        <v>280</v>
      </c>
      <c r="Q203" s="113">
        <f>IFERROR(VLOOKUP($A203,YTD!$A$13:$D$1048576,3,0),0)</f>
        <v>0</v>
      </c>
      <c r="R203" s="116">
        <f>IFERROR(VLOOKUP($A203,YTD!$A$13:$D$1048576,4,0),0)</f>
        <v>0</v>
      </c>
      <c r="S203" s="113"/>
      <c r="T203" s="113"/>
      <c r="U203" s="112" t="s">
        <v>280</v>
      </c>
      <c r="V203" s="114">
        <v>0</v>
      </c>
      <c r="W203" s="114">
        <v>0</v>
      </c>
      <c r="X203" s="115">
        <v>0</v>
      </c>
      <c r="Y203" s="113">
        <v>0</v>
      </c>
      <c r="Z203" s="113">
        <v>0</v>
      </c>
      <c r="AA203" s="113">
        <v>0</v>
      </c>
      <c r="AB203" s="113">
        <v>0</v>
      </c>
      <c r="AC203" s="113">
        <v>0</v>
      </c>
      <c r="AD203" s="113">
        <v>0</v>
      </c>
      <c r="AE203" s="113">
        <v>0</v>
      </c>
      <c r="AF203" s="113">
        <v>0</v>
      </c>
      <c r="AG203" s="113">
        <v>0</v>
      </c>
      <c r="AH203" s="113">
        <v>0</v>
      </c>
      <c r="AI203" s="113">
        <v>0</v>
      </c>
      <c r="AJ203" s="113">
        <v>0</v>
      </c>
      <c r="AK203" s="113">
        <f t="shared" si="11"/>
        <v>0</v>
      </c>
      <c r="AM203" s="309"/>
    </row>
    <row r="204" spans="1:39" x14ac:dyDescent="0.3">
      <c r="A204" s="109" t="str">
        <f t="shared" si="10"/>
        <v>credit    6666029900  Sundry Expenses</v>
      </c>
      <c r="B204" s="112" t="s">
        <v>281</v>
      </c>
      <c r="C204" s="116">
        <f>IFERROR(VLOOKUP($A204,MTD!$A$13:$D$1048576,3,0),0)</f>
        <v>0</v>
      </c>
      <c r="D204" s="116">
        <f>IFERROR(VLOOKUP($A204,MTD!$A$13:$D$1048576,4,0),0)</f>
        <v>0</v>
      </c>
      <c r="E204" s="113"/>
      <c r="F204" s="113"/>
      <c r="G204" s="112" t="s">
        <v>281</v>
      </c>
      <c r="H204" s="114">
        <v>0</v>
      </c>
      <c r="I204" s="114">
        <v>0</v>
      </c>
      <c r="J204" s="115">
        <v>0</v>
      </c>
      <c r="K204" s="113">
        <v>0</v>
      </c>
      <c r="P204" s="112" t="s">
        <v>281</v>
      </c>
      <c r="Q204" s="116">
        <f>IFERROR(VLOOKUP($A204,YTD!$A$13:$D$1048576,3,0),0)</f>
        <v>-5068.26</v>
      </c>
      <c r="R204" s="116">
        <f>IFERROR(VLOOKUP($A204,YTD!$A$13:$D$1048576,4,0),0)</f>
        <v>0</v>
      </c>
      <c r="S204" s="113"/>
      <c r="T204" s="113"/>
      <c r="U204" s="112" t="s">
        <v>281</v>
      </c>
      <c r="V204" s="114">
        <v>0</v>
      </c>
      <c r="W204" s="114">
        <v>0</v>
      </c>
      <c r="X204" s="115">
        <v>0</v>
      </c>
      <c r="Y204" s="113">
        <v>0</v>
      </c>
      <c r="Z204" s="113">
        <v>0</v>
      </c>
      <c r="AA204" s="113">
        <v>0</v>
      </c>
      <c r="AB204" s="113">
        <v>0</v>
      </c>
      <c r="AC204" s="113">
        <v>-1960.35</v>
      </c>
      <c r="AD204" s="113">
        <v>-51.55</v>
      </c>
      <c r="AE204" s="113">
        <v>-136.04</v>
      </c>
      <c r="AF204" s="113">
        <v>-2920.32</v>
      </c>
      <c r="AG204" s="113">
        <v>0</v>
      </c>
      <c r="AH204" s="113">
        <v>0</v>
      </c>
      <c r="AI204" s="113">
        <v>0</v>
      </c>
      <c r="AJ204" s="113">
        <v>0</v>
      </c>
      <c r="AK204" s="113">
        <f t="shared" si="11"/>
        <v>0</v>
      </c>
      <c r="AM204" s="309"/>
    </row>
    <row r="205" spans="1:39" x14ac:dyDescent="0.3">
      <c r="A205" s="109" t="str">
        <f t="shared" si="10"/>
        <v>credit    6666029997  restructure cost</v>
      </c>
      <c r="B205" s="112" t="s">
        <v>282</v>
      </c>
      <c r="C205" s="116">
        <f>IFERROR(VLOOKUP($A205,MTD!$A$13:$D$1048576,3,0),0)</f>
        <v>0</v>
      </c>
      <c r="D205" s="113">
        <f>IFERROR(VLOOKUP($A205,MTD!$A$13:$D$1048576,4,0),0)</f>
        <v>-444.84</v>
      </c>
      <c r="E205" s="113"/>
      <c r="F205" s="113"/>
      <c r="G205" s="112" t="s">
        <v>282</v>
      </c>
      <c r="H205" s="114">
        <v>0</v>
      </c>
      <c r="I205" s="114">
        <v>0</v>
      </c>
      <c r="J205" s="115">
        <v>0</v>
      </c>
      <c r="K205" s="113">
        <v>0</v>
      </c>
      <c r="P205" s="112" t="s">
        <v>282</v>
      </c>
      <c r="Q205" s="116">
        <f>IFERROR(VLOOKUP($A205,YTD!$A$13:$D$1048576,3,0),0)</f>
        <v>0</v>
      </c>
      <c r="R205" s="113">
        <f>IFERROR(VLOOKUP($A205,YTD!$A$13:$D$1048576,4,0),0)</f>
        <v>-5338.08</v>
      </c>
      <c r="S205" s="113"/>
      <c r="T205" s="113"/>
      <c r="U205" s="112" t="s">
        <v>282</v>
      </c>
      <c r="V205" s="114">
        <v>0</v>
      </c>
      <c r="W205" s="114">
        <v>0</v>
      </c>
      <c r="X205" s="115">
        <v>0</v>
      </c>
      <c r="Y205" s="113">
        <v>0</v>
      </c>
      <c r="Z205" s="113">
        <v>-536.69000000000005</v>
      </c>
      <c r="AA205" s="113">
        <v>-515.42999999999995</v>
      </c>
      <c r="AB205" s="113">
        <v>-409.91</v>
      </c>
      <c r="AC205" s="113">
        <v>-366.23</v>
      </c>
      <c r="AD205" s="113">
        <v>-419.16</v>
      </c>
      <c r="AE205" s="113">
        <v>-329.45</v>
      </c>
      <c r="AF205" s="113">
        <v>-416.02</v>
      </c>
      <c r="AG205" s="113">
        <v>-343.67</v>
      </c>
      <c r="AH205" s="113">
        <v>3336.56</v>
      </c>
      <c r="AI205" s="113">
        <v>-412.16</v>
      </c>
      <c r="AJ205" s="113">
        <v>412.16</v>
      </c>
      <c r="AK205" s="113">
        <f t="shared" si="11"/>
        <v>0</v>
      </c>
      <c r="AM205" s="309"/>
    </row>
    <row r="206" spans="1:39" x14ac:dyDescent="0.3">
      <c r="A206" s="109" t="str">
        <f t="shared" si="10"/>
        <v>credit    6666030300  Design and development fees</v>
      </c>
      <c r="B206" s="112" t="s">
        <v>283</v>
      </c>
      <c r="C206" s="113">
        <f>IFERROR(VLOOKUP($A206,MTD!$A$13:$D$1048576,3,0),0)</f>
        <v>0</v>
      </c>
      <c r="D206" s="116">
        <f>IFERROR(VLOOKUP($A206,MTD!$A$13:$D$1048576,4,0),0)</f>
        <v>0</v>
      </c>
      <c r="E206" s="113"/>
      <c r="F206" s="113"/>
      <c r="G206" s="112" t="s">
        <v>283</v>
      </c>
      <c r="H206" s="114">
        <v>0</v>
      </c>
      <c r="I206" s="114">
        <v>0</v>
      </c>
      <c r="J206" s="115">
        <v>0</v>
      </c>
      <c r="K206" s="113">
        <v>0</v>
      </c>
      <c r="P206" s="112" t="s">
        <v>283</v>
      </c>
      <c r="Q206" s="113">
        <f>IFERROR(VLOOKUP($A206,YTD!$A$13:$D$1048576,3,0),0)</f>
        <v>0</v>
      </c>
      <c r="R206" s="116">
        <f>IFERROR(VLOOKUP($A206,YTD!$A$13:$D$1048576,4,0),0)</f>
        <v>0</v>
      </c>
      <c r="S206" s="113"/>
      <c r="T206" s="113"/>
      <c r="U206" s="112" t="s">
        <v>283</v>
      </c>
      <c r="V206" s="114">
        <v>0</v>
      </c>
      <c r="W206" s="114">
        <v>0</v>
      </c>
      <c r="X206" s="115">
        <v>0</v>
      </c>
      <c r="Y206" s="113">
        <v>0</v>
      </c>
      <c r="Z206" s="113">
        <v>0</v>
      </c>
      <c r="AA206" s="113">
        <v>0</v>
      </c>
      <c r="AB206" s="113">
        <v>0</v>
      </c>
      <c r="AC206" s="113">
        <v>0</v>
      </c>
      <c r="AD206" s="113">
        <v>0</v>
      </c>
      <c r="AE206" s="113">
        <v>0</v>
      </c>
      <c r="AF206" s="113">
        <v>0</v>
      </c>
      <c r="AG206" s="113">
        <v>0</v>
      </c>
      <c r="AH206" s="113">
        <v>0</v>
      </c>
      <c r="AI206" s="113">
        <v>0</v>
      </c>
      <c r="AJ206" s="113">
        <v>0</v>
      </c>
      <c r="AK206" s="113">
        <f t="shared" si="11"/>
        <v>0</v>
      </c>
      <c r="AM206" s="309"/>
    </row>
    <row r="207" spans="1:39" x14ac:dyDescent="0.3">
      <c r="A207" s="109" t="str">
        <f t="shared" si="10"/>
        <v>credit    6666050107  Special distribution costs</v>
      </c>
      <c r="B207" s="112" t="s">
        <v>286</v>
      </c>
      <c r="C207" s="116">
        <f>IFERROR(VLOOKUP($A207,MTD!$A$13:$D$1048576,3,0),0)</f>
        <v>0</v>
      </c>
      <c r="D207" s="116">
        <f>IFERROR(VLOOKUP($A207,MTD!$A$13:$D$1048576,4,0),0)</f>
        <v>0</v>
      </c>
      <c r="E207" s="113"/>
      <c r="F207" s="113"/>
      <c r="G207" s="112" t="s">
        <v>286</v>
      </c>
      <c r="H207" s="114">
        <v>0</v>
      </c>
      <c r="I207" s="114">
        <v>0</v>
      </c>
      <c r="J207" s="115">
        <v>0</v>
      </c>
      <c r="K207" s="113">
        <v>0</v>
      </c>
      <c r="P207" s="112" t="s">
        <v>286</v>
      </c>
      <c r="Q207" s="116">
        <f>IFERROR(VLOOKUP($A207,YTD!$A$13:$D$1048576,3,0),0)</f>
        <v>-0.62</v>
      </c>
      <c r="R207" s="116">
        <f>IFERROR(VLOOKUP($A207,YTD!$A$13:$D$1048576,4,0),0)</f>
        <v>0</v>
      </c>
      <c r="S207" s="113"/>
      <c r="T207" s="113"/>
      <c r="U207" s="112" t="s">
        <v>286</v>
      </c>
      <c r="V207" s="114">
        <v>0</v>
      </c>
      <c r="W207" s="114">
        <v>0</v>
      </c>
      <c r="X207" s="115">
        <v>0</v>
      </c>
      <c r="Y207" s="113">
        <v>0</v>
      </c>
      <c r="Z207" s="113">
        <v>0</v>
      </c>
      <c r="AA207" s="113">
        <v>0</v>
      </c>
      <c r="AB207" s="113">
        <v>0</v>
      </c>
      <c r="AC207" s="113">
        <v>-0.62</v>
      </c>
      <c r="AD207" s="113">
        <v>0</v>
      </c>
      <c r="AE207" s="113">
        <v>0</v>
      </c>
      <c r="AF207" s="113">
        <v>0</v>
      </c>
      <c r="AG207" s="113">
        <v>0</v>
      </c>
      <c r="AH207" s="113">
        <v>0</v>
      </c>
      <c r="AI207" s="113">
        <v>0</v>
      </c>
      <c r="AJ207" s="113">
        <v>0</v>
      </c>
      <c r="AK207" s="113">
        <f t="shared" si="11"/>
        <v>0</v>
      </c>
      <c r="AM207" s="309"/>
    </row>
    <row r="208" spans="1:39" x14ac:dyDescent="0.3">
      <c r="A208" s="109" t="str">
        <f t="shared" si="10"/>
        <v>credit    6666050312  Inventory count different- Semifinished</v>
      </c>
      <c r="B208" s="112" t="s">
        <v>211</v>
      </c>
      <c r="C208" s="113">
        <f>IFERROR(VLOOKUP($A208,MTD!$A$13:$D$1048576,3,0),0)</f>
        <v>-112817.8</v>
      </c>
      <c r="D208" s="116">
        <f>IFERROR(VLOOKUP($A208,MTD!$A$13:$D$1048576,4,0),0)</f>
        <v>0</v>
      </c>
      <c r="E208" s="113"/>
      <c r="F208" s="113"/>
      <c r="G208" s="112" t="s">
        <v>211</v>
      </c>
      <c r="H208" s="114">
        <v>0</v>
      </c>
      <c r="I208" s="114">
        <v>0</v>
      </c>
      <c r="J208" s="115">
        <v>0</v>
      </c>
      <c r="K208" s="113">
        <v>0</v>
      </c>
      <c r="P208" s="112" t="s">
        <v>211</v>
      </c>
      <c r="Q208" s="113">
        <f>IFERROR(VLOOKUP($A208,YTD!$A$13:$D$1048576,3,0),0)</f>
        <v>-203597.4</v>
      </c>
      <c r="R208" s="116">
        <f>IFERROR(VLOOKUP($A208,YTD!$A$13:$D$1048576,4,0),0)</f>
        <v>0</v>
      </c>
      <c r="S208" s="113"/>
      <c r="T208" s="113"/>
      <c r="U208" s="112" t="s">
        <v>211</v>
      </c>
      <c r="V208" s="114">
        <v>0</v>
      </c>
      <c r="W208" s="114">
        <v>0</v>
      </c>
      <c r="X208" s="115">
        <v>0</v>
      </c>
      <c r="Y208" s="113">
        <v>0</v>
      </c>
      <c r="Z208" s="113">
        <v>0</v>
      </c>
      <c r="AA208" s="113">
        <v>-199.94</v>
      </c>
      <c r="AB208" s="113">
        <v>-232</v>
      </c>
      <c r="AC208" s="113">
        <v>-122.36</v>
      </c>
      <c r="AD208" s="113">
        <v>-1369.01</v>
      </c>
      <c r="AE208" s="113">
        <v>-81872.23</v>
      </c>
      <c r="AF208" s="113">
        <v>723.93</v>
      </c>
      <c r="AG208" s="113">
        <v>-2691.82</v>
      </c>
      <c r="AH208" s="113">
        <v>-5155.55</v>
      </c>
      <c r="AI208" s="113">
        <v>-2099.4299999999998</v>
      </c>
      <c r="AJ208" s="113">
        <v>2238.81</v>
      </c>
      <c r="AK208" s="113">
        <f t="shared" si="11"/>
        <v>-112817.8</v>
      </c>
      <c r="AM208" s="309"/>
    </row>
    <row r="209" spans="1:39" x14ac:dyDescent="0.3">
      <c r="A209" s="109" t="str">
        <f t="shared" si="10"/>
        <v>credit    6666070100  Software purchase, development and imple</v>
      </c>
      <c r="B209" s="112" t="s">
        <v>287</v>
      </c>
      <c r="C209" s="116">
        <f>IFERROR(VLOOKUP($A209,MTD!$A$13:$D$1048576,3,0),0)</f>
        <v>0</v>
      </c>
      <c r="D209" s="116">
        <f>IFERROR(VLOOKUP($A209,MTD!$A$13:$D$1048576,4,0),0)</f>
        <v>0</v>
      </c>
      <c r="E209" s="113"/>
      <c r="F209" s="113"/>
      <c r="G209" s="112" t="s">
        <v>287</v>
      </c>
      <c r="H209" s="114">
        <v>0</v>
      </c>
      <c r="I209" s="114">
        <v>0</v>
      </c>
      <c r="J209" s="115">
        <v>0</v>
      </c>
      <c r="K209" s="113">
        <v>0</v>
      </c>
      <c r="P209" s="112" t="s">
        <v>287</v>
      </c>
      <c r="Q209" s="116">
        <f>IFERROR(VLOOKUP($A209,YTD!$A$13:$D$1048576,3,0),0)</f>
        <v>0</v>
      </c>
      <c r="R209" s="116">
        <f>IFERROR(VLOOKUP($A209,YTD!$A$13:$D$1048576,4,0),0)</f>
        <v>0</v>
      </c>
      <c r="S209" s="113"/>
      <c r="T209" s="113"/>
      <c r="U209" s="112" t="s">
        <v>287</v>
      </c>
      <c r="V209" s="114">
        <v>0</v>
      </c>
      <c r="W209" s="114">
        <v>0</v>
      </c>
      <c r="X209" s="115">
        <v>0</v>
      </c>
      <c r="Y209" s="113">
        <v>0</v>
      </c>
      <c r="Z209" s="113">
        <v>0</v>
      </c>
      <c r="AA209" s="113">
        <v>0</v>
      </c>
      <c r="AB209" s="113">
        <v>0</v>
      </c>
      <c r="AC209" s="113">
        <v>0</v>
      </c>
      <c r="AD209" s="113">
        <v>0</v>
      </c>
      <c r="AE209" s="113">
        <v>0</v>
      </c>
      <c r="AF209" s="113">
        <v>0</v>
      </c>
      <c r="AG209" s="113">
        <v>0</v>
      </c>
      <c r="AH209" s="113">
        <v>0</v>
      </c>
      <c r="AI209" s="113">
        <v>0</v>
      </c>
      <c r="AJ209" s="113">
        <v>0</v>
      </c>
      <c r="AK209" s="113">
        <f t="shared" si="11"/>
        <v>0</v>
      </c>
      <c r="AM209" s="309"/>
    </row>
    <row r="210" spans="1:39" x14ac:dyDescent="0.3">
      <c r="A210" s="109" t="str">
        <f t="shared" si="10"/>
        <v>credit    6666070400  IT maint. &amp; repairs hardware</v>
      </c>
      <c r="B210" s="112" t="s">
        <v>289</v>
      </c>
      <c r="C210" s="113">
        <f>IFERROR(VLOOKUP($A210,MTD!$A$13:$D$1048576,3,0),0)</f>
        <v>1626.77</v>
      </c>
      <c r="D210" s="113">
        <f>IFERROR(VLOOKUP($A210,MTD!$A$13:$D$1048576,4,0),0)</f>
        <v>-8219.7000000000007</v>
      </c>
      <c r="E210" s="113"/>
      <c r="F210" s="113"/>
      <c r="G210" s="112" t="s">
        <v>289</v>
      </c>
      <c r="H210" s="114">
        <v>0</v>
      </c>
      <c r="I210" s="114">
        <v>0</v>
      </c>
      <c r="J210" s="115">
        <v>0</v>
      </c>
      <c r="K210" s="113">
        <v>0</v>
      </c>
      <c r="P210" s="112" t="s">
        <v>289</v>
      </c>
      <c r="Q210" s="113">
        <f>IFERROR(VLOOKUP($A210,YTD!$A$13:$D$1048576,3,0),0)</f>
        <v>-72428.08</v>
      </c>
      <c r="R210" s="113">
        <f>IFERROR(VLOOKUP($A210,YTD!$A$13:$D$1048576,4,0),0)</f>
        <v>-98636.4</v>
      </c>
      <c r="S210" s="113"/>
      <c r="T210" s="113"/>
      <c r="U210" s="112" t="s">
        <v>289</v>
      </c>
      <c r="V210" s="114">
        <v>0</v>
      </c>
      <c r="W210" s="114">
        <v>0</v>
      </c>
      <c r="X210" s="115">
        <v>0</v>
      </c>
      <c r="Y210" s="113">
        <v>0</v>
      </c>
      <c r="Z210" s="113">
        <v>-7234.6</v>
      </c>
      <c r="AA210" s="113">
        <v>-2890.75</v>
      </c>
      <c r="AB210" s="113">
        <v>-2583.34</v>
      </c>
      <c r="AC210" s="113">
        <v>-9530.9699999999993</v>
      </c>
      <c r="AD210" s="113">
        <v>-8215.64</v>
      </c>
      <c r="AE210" s="113">
        <v>-6822.1</v>
      </c>
      <c r="AF210" s="113">
        <v>-7070.88</v>
      </c>
      <c r="AG210" s="113">
        <v>-5700.75</v>
      </c>
      <c r="AH210" s="113">
        <v>-3711.86</v>
      </c>
      <c r="AI210" s="113">
        <v>-7843.29</v>
      </c>
      <c r="AJ210" s="113">
        <v>-12450.67</v>
      </c>
      <c r="AK210" s="113">
        <f t="shared" si="11"/>
        <v>1626.77</v>
      </c>
      <c r="AM210" s="309"/>
    </row>
    <row r="211" spans="1:39" x14ac:dyDescent="0.3">
      <c r="A211" s="109" t="str">
        <f t="shared" si="10"/>
        <v>credit    5207000011  Gain of tangible asset disposal</v>
      </c>
      <c r="B211" s="112" t="s">
        <v>290</v>
      </c>
      <c r="C211" s="113">
        <f>IFERROR(VLOOKUP($A211,MTD!$A$13:$D$1048576,3,0),0)</f>
        <v>0</v>
      </c>
      <c r="D211" s="116">
        <f>IFERROR(VLOOKUP($A211,MTD!$A$13:$D$1048576,4,0),0)</f>
        <v>0</v>
      </c>
      <c r="E211" s="113"/>
      <c r="F211" s="113"/>
      <c r="G211" s="112" t="s">
        <v>290</v>
      </c>
      <c r="H211" s="114">
        <v>0</v>
      </c>
      <c r="I211" s="114">
        <v>0</v>
      </c>
      <c r="J211" s="115">
        <v>0</v>
      </c>
      <c r="K211" s="113">
        <v>0</v>
      </c>
      <c r="P211" s="112" t="s">
        <v>290</v>
      </c>
      <c r="Q211" s="113">
        <f>IFERROR(VLOOKUP($A211,YTD!$A$13:$D$1048576,3,0),0)</f>
        <v>0</v>
      </c>
      <c r="R211" s="116">
        <f>IFERROR(VLOOKUP($A211,YTD!$A$13:$D$1048576,4,0),0)</f>
        <v>0</v>
      </c>
      <c r="S211" s="113"/>
      <c r="T211" s="113"/>
      <c r="U211" s="112" t="s">
        <v>290</v>
      </c>
      <c r="V211" s="114">
        <v>0</v>
      </c>
      <c r="W211" s="114">
        <v>0</v>
      </c>
      <c r="X211" s="115">
        <v>0</v>
      </c>
      <c r="Y211" s="113">
        <v>0</v>
      </c>
      <c r="Z211" s="113">
        <v>0</v>
      </c>
      <c r="AA211" s="113">
        <v>0</v>
      </c>
      <c r="AB211" s="113">
        <v>0</v>
      </c>
      <c r="AC211" s="113">
        <v>0</v>
      </c>
      <c r="AD211" s="113">
        <v>0</v>
      </c>
      <c r="AE211" s="113">
        <v>0</v>
      </c>
      <c r="AF211" s="113">
        <v>0</v>
      </c>
      <c r="AG211" s="113">
        <v>0</v>
      </c>
      <c r="AH211" s="113">
        <v>0</v>
      </c>
      <c r="AI211" s="113">
        <v>0</v>
      </c>
      <c r="AJ211" s="113">
        <v>0</v>
      </c>
      <c r="AK211" s="113">
        <f t="shared" si="11"/>
        <v>0</v>
      </c>
      <c r="AM211" s="309"/>
    </row>
    <row r="212" spans="1:39" x14ac:dyDescent="0.3">
      <c r="A212" s="109" t="str">
        <f t="shared" si="10"/>
        <v>credit*   CS_Fix Cost</v>
      </c>
      <c r="B212" s="117" t="s">
        <v>210</v>
      </c>
      <c r="C212" s="118">
        <f>IFERROR(VLOOKUP($A212,MTD!$A$13:$D$1048576,3,0),0)</f>
        <v>-75308.759999999995</v>
      </c>
      <c r="D212" s="118">
        <f>IFERROR(VLOOKUP($A212,MTD!$A$13:$D$1048576,4,0),0)</f>
        <v>-78954.34</v>
      </c>
      <c r="E212" s="118"/>
      <c r="F212" s="118"/>
      <c r="G212" s="117" t="s">
        <v>210</v>
      </c>
      <c r="H212" s="119">
        <v>0</v>
      </c>
      <c r="I212" s="119">
        <v>0</v>
      </c>
      <c r="J212" s="120">
        <v>0</v>
      </c>
      <c r="K212" s="118">
        <v>0</v>
      </c>
      <c r="P212" s="117" t="s">
        <v>210</v>
      </c>
      <c r="Q212" s="118">
        <f>IFERROR(VLOOKUP($A212,YTD!$A$13:$D$1048576,3,0),0)</f>
        <v>-768514.42</v>
      </c>
      <c r="R212" s="118">
        <f>IFERROR(VLOOKUP($A212,YTD!$A$13:$D$1048576,4,0),0)</f>
        <v>-925897.68</v>
      </c>
      <c r="S212" s="118"/>
      <c r="T212" s="118"/>
      <c r="U212" s="117" t="s">
        <v>210</v>
      </c>
      <c r="V212" s="119">
        <v>0</v>
      </c>
      <c r="W212" s="119">
        <v>0</v>
      </c>
      <c r="X212" s="120">
        <v>0</v>
      </c>
      <c r="Y212" s="118">
        <v>0</v>
      </c>
      <c r="Z212" s="118">
        <v>-58717.31</v>
      </c>
      <c r="AA212" s="118">
        <v>-61847.47</v>
      </c>
      <c r="AB212" s="118">
        <v>-64067.01</v>
      </c>
      <c r="AC212" s="118">
        <v>-62650.95</v>
      </c>
      <c r="AD212" s="118">
        <v>-59283.24</v>
      </c>
      <c r="AE212" s="118">
        <v>-136150.29999999999</v>
      </c>
      <c r="AF212" s="118">
        <v>-56211.21</v>
      </c>
      <c r="AG212" s="118">
        <v>-43370.05</v>
      </c>
      <c r="AH212" s="118">
        <v>-39362.25</v>
      </c>
      <c r="AI212" s="118">
        <v>-65839.8</v>
      </c>
      <c r="AJ212" s="118">
        <v>-45706.07</v>
      </c>
      <c r="AK212" s="118">
        <f t="shared" si="11"/>
        <v>-75308.759999999995</v>
      </c>
      <c r="AM212" s="309"/>
    </row>
    <row r="213" spans="1:39" x14ac:dyDescent="0.3">
      <c r="A213" s="109" t="str">
        <f t="shared" si="10"/>
        <v>credit    6666110203  Low value consumables</v>
      </c>
      <c r="B213" s="112" t="s">
        <v>292</v>
      </c>
      <c r="C213" s="113">
        <f>IFERROR(VLOOKUP($A213,MTD!$A$13:$D$1048576,3,0),0)</f>
        <v>52477.61</v>
      </c>
      <c r="D213" s="116">
        <f>IFERROR(VLOOKUP($A213,MTD!$A$13:$D$1048576,4,0),0)</f>
        <v>0</v>
      </c>
      <c r="E213" s="113"/>
      <c r="F213" s="113"/>
      <c r="G213" s="112" t="s">
        <v>292</v>
      </c>
      <c r="H213" s="114">
        <v>0</v>
      </c>
      <c r="I213" s="114">
        <v>0</v>
      </c>
      <c r="J213" s="115">
        <v>0</v>
      </c>
      <c r="K213" s="113">
        <v>0</v>
      </c>
      <c r="P213" s="112" t="s">
        <v>292</v>
      </c>
      <c r="Q213" s="113">
        <f>IFERROR(VLOOKUP($A213,YTD!$A$13:$D$1048576,3,0),0)</f>
        <v>-21973.59</v>
      </c>
      <c r="R213" s="116">
        <f>IFERROR(VLOOKUP($A213,YTD!$A$13:$D$1048576,4,0),0)</f>
        <v>0</v>
      </c>
      <c r="S213" s="113"/>
      <c r="T213" s="113"/>
      <c r="U213" s="112" t="s">
        <v>292</v>
      </c>
      <c r="V213" s="114">
        <v>0</v>
      </c>
      <c r="W213" s="114">
        <v>0</v>
      </c>
      <c r="X213" s="115">
        <v>0</v>
      </c>
      <c r="Y213" s="113">
        <v>0</v>
      </c>
      <c r="Z213" s="113">
        <v>-14402.29</v>
      </c>
      <c r="AA213" s="113">
        <v>-8828.76</v>
      </c>
      <c r="AB213" s="113">
        <v>-4557.8</v>
      </c>
      <c r="AC213" s="113">
        <v>-4080.83</v>
      </c>
      <c r="AD213" s="113">
        <v>-7593.16</v>
      </c>
      <c r="AE213" s="113">
        <v>-1583.4</v>
      </c>
      <c r="AF213" s="113">
        <v>5219.4799999999996</v>
      </c>
      <c r="AG213" s="113">
        <v>-25361.89</v>
      </c>
      <c r="AH213" s="113">
        <v>-4243.79</v>
      </c>
      <c r="AI213" s="113">
        <v>-17674.57</v>
      </c>
      <c r="AJ213" s="113">
        <v>8655.81</v>
      </c>
      <c r="AK213" s="113">
        <f t="shared" si="11"/>
        <v>52477.61</v>
      </c>
      <c r="AM213" s="309"/>
    </row>
    <row r="214" spans="1:39" x14ac:dyDescent="0.3">
      <c r="A214" s="109" t="str">
        <f t="shared" si="10"/>
        <v>credit    5102040000  Other Revenue - Other</v>
      </c>
      <c r="B214" s="112" t="s">
        <v>293</v>
      </c>
      <c r="C214" s="116">
        <f>IFERROR(VLOOKUP($A214,MTD!$A$13:$D$1048576,3,0),0)</f>
        <v>0</v>
      </c>
      <c r="D214" s="116">
        <f>IFERROR(VLOOKUP($A214,MTD!$A$13:$D$1048576,4,0),0)</f>
        <v>0</v>
      </c>
      <c r="E214" s="113"/>
      <c r="F214" s="113"/>
      <c r="G214" s="112" t="s">
        <v>293</v>
      </c>
      <c r="H214" s="114">
        <v>0</v>
      </c>
      <c r="I214" s="114">
        <v>0</v>
      </c>
      <c r="J214" s="115">
        <v>0</v>
      </c>
      <c r="K214" s="113">
        <v>0</v>
      </c>
      <c r="P214" s="112" t="s">
        <v>293</v>
      </c>
      <c r="Q214" s="116">
        <f>IFERROR(VLOOKUP($A214,YTD!$A$13:$D$1048576,3,0),0)</f>
        <v>0</v>
      </c>
      <c r="R214" s="116">
        <f>IFERROR(VLOOKUP($A214,YTD!$A$13:$D$1048576,4,0),0)</f>
        <v>0</v>
      </c>
      <c r="S214" s="113"/>
      <c r="T214" s="113"/>
      <c r="U214" s="112" t="s">
        <v>293</v>
      </c>
      <c r="V214" s="114">
        <v>0</v>
      </c>
      <c r="W214" s="114">
        <v>0</v>
      </c>
      <c r="X214" s="115">
        <v>0</v>
      </c>
      <c r="Y214" s="113">
        <v>0</v>
      </c>
      <c r="Z214" s="113">
        <v>0</v>
      </c>
      <c r="AA214" s="113">
        <v>0</v>
      </c>
      <c r="AB214" s="113">
        <v>0</v>
      </c>
      <c r="AC214" s="113">
        <v>0</v>
      </c>
      <c r="AD214" s="113">
        <v>0</v>
      </c>
      <c r="AE214" s="113">
        <v>0</v>
      </c>
      <c r="AF214" s="113">
        <v>0</v>
      </c>
      <c r="AG214" s="113">
        <v>0</v>
      </c>
      <c r="AH214" s="113">
        <v>0</v>
      </c>
      <c r="AI214" s="113">
        <v>0</v>
      </c>
      <c r="AJ214" s="113">
        <v>0</v>
      </c>
      <c r="AK214" s="113">
        <f t="shared" si="11"/>
        <v>0</v>
      </c>
      <c r="AM214" s="309"/>
    </row>
    <row r="215" spans="1:39" x14ac:dyDescent="0.3">
      <c r="A215" s="109" t="str">
        <f t="shared" si="10"/>
        <v>credit    6666050307  Inventory count different-raw material</v>
      </c>
      <c r="B215" s="112" t="s">
        <v>294</v>
      </c>
      <c r="C215" s="113">
        <f>IFERROR(VLOOKUP($A215,MTD!$A$13:$D$1048576,3,0),0)</f>
        <v>263790.03000000003</v>
      </c>
      <c r="D215" s="116">
        <f>IFERROR(VLOOKUP($A215,MTD!$A$13:$D$1048576,4,0),0)</f>
        <v>0</v>
      </c>
      <c r="E215" s="113"/>
      <c r="F215" s="113"/>
      <c r="G215" s="112" t="s">
        <v>294</v>
      </c>
      <c r="H215" s="114">
        <v>0</v>
      </c>
      <c r="I215" s="114">
        <v>0</v>
      </c>
      <c r="J215" s="115">
        <v>0</v>
      </c>
      <c r="K215" s="113">
        <v>0</v>
      </c>
      <c r="P215" s="112" t="s">
        <v>294</v>
      </c>
      <c r="Q215" s="113">
        <f>IFERROR(VLOOKUP($A215,YTD!$A$13:$D$1048576,3,0),0)</f>
        <v>539600.25</v>
      </c>
      <c r="R215" s="116">
        <f>IFERROR(VLOOKUP($A215,YTD!$A$13:$D$1048576,4,0),0)</f>
        <v>0</v>
      </c>
      <c r="S215" s="113"/>
      <c r="T215" s="113"/>
      <c r="U215" s="112" t="s">
        <v>294</v>
      </c>
      <c r="V215" s="114">
        <v>0</v>
      </c>
      <c r="W215" s="114">
        <v>0</v>
      </c>
      <c r="X215" s="115">
        <v>0</v>
      </c>
      <c r="Y215" s="113">
        <v>0</v>
      </c>
      <c r="Z215" s="113">
        <v>10751.27</v>
      </c>
      <c r="AA215" s="113">
        <v>18216.650000000001</v>
      </c>
      <c r="AB215" s="113">
        <v>13233.36</v>
      </c>
      <c r="AC215" s="113">
        <v>13010.56</v>
      </c>
      <c r="AD215" s="113">
        <v>-14769.61</v>
      </c>
      <c r="AE215" s="113">
        <v>159992.14000000001</v>
      </c>
      <c r="AF215" s="113">
        <v>5998.59</v>
      </c>
      <c r="AG215" s="113">
        <v>17885.79</v>
      </c>
      <c r="AH215" s="113">
        <v>43852.26</v>
      </c>
      <c r="AI215" s="113">
        <v>2170.6999999999998</v>
      </c>
      <c r="AJ215" s="113">
        <v>5468.51</v>
      </c>
      <c r="AK215" s="113">
        <f t="shared" si="11"/>
        <v>263790.03000000003</v>
      </c>
      <c r="AM215" s="309"/>
    </row>
    <row r="216" spans="1:39" x14ac:dyDescent="0.3">
      <c r="A216" s="109" t="str">
        <f t="shared" si="10"/>
        <v>credit*   CS_Variable Cost</v>
      </c>
      <c r="B216" s="117" t="s">
        <v>212</v>
      </c>
      <c r="C216" s="118">
        <f>IFERROR(VLOOKUP($A216,MTD!$A$13:$D$1048576,3,0),0)</f>
        <v>316267.64</v>
      </c>
      <c r="D216" s="125">
        <f>IFERROR(VLOOKUP($A216,MTD!$A$13:$D$1048576,4,0),0)</f>
        <v>0</v>
      </c>
      <c r="E216" s="118"/>
      <c r="F216" s="118"/>
      <c r="G216" s="117" t="s">
        <v>212</v>
      </c>
      <c r="H216" s="119">
        <v>0</v>
      </c>
      <c r="I216" s="119">
        <v>0</v>
      </c>
      <c r="J216" s="120">
        <v>0</v>
      </c>
      <c r="K216" s="118">
        <v>0</v>
      </c>
      <c r="P216" s="117" t="s">
        <v>212</v>
      </c>
      <c r="Q216" s="118">
        <f>IFERROR(VLOOKUP($A216,YTD!$A$13:$D$1048576,3,0),0)</f>
        <v>517626.66</v>
      </c>
      <c r="R216" s="125">
        <f>IFERROR(VLOOKUP($A216,YTD!$A$13:$D$1048576,4,0),0)</f>
        <v>0</v>
      </c>
      <c r="S216" s="118"/>
      <c r="T216" s="118"/>
      <c r="U216" s="117" t="s">
        <v>212</v>
      </c>
      <c r="V216" s="119">
        <v>0</v>
      </c>
      <c r="W216" s="119">
        <v>0</v>
      </c>
      <c r="X216" s="120">
        <v>0</v>
      </c>
      <c r="Y216" s="118">
        <v>0</v>
      </c>
      <c r="Z216" s="118">
        <v>-3651.02</v>
      </c>
      <c r="AA216" s="118">
        <v>9387.89</v>
      </c>
      <c r="AB216" s="118">
        <v>8675.56</v>
      </c>
      <c r="AC216" s="118">
        <v>8929.73</v>
      </c>
      <c r="AD216" s="118">
        <v>-22362.77</v>
      </c>
      <c r="AE216" s="118">
        <v>158408.74</v>
      </c>
      <c r="AF216" s="118">
        <v>11218.07</v>
      </c>
      <c r="AG216" s="118">
        <v>-7476.1</v>
      </c>
      <c r="AH216" s="118">
        <v>39608.47</v>
      </c>
      <c r="AI216" s="118">
        <v>-15503.87</v>
      </c>
      <c r="AJ216" s="118">
        <v>14124.32</v>
      </c>
      <c r="AK216" s="118">
        <f t="shared" si="11"/>
        <v>316267.64</v>
      </c>
      <c r="AM216" s="309"/>
    </row>
    <row r="217" spans="1:39" x14ac:dyDescent="0.3">
      <c r="A217" s="109" t="str">
        <f t="shared" ref="A217:A256" si="12">"credit"&amp;B217</f>
        <v>credit    6666100203  Provision for inventory devaluation - RM</v>
      </c>
      <c r="B217" s="112" t="s">
        <v>295</v>
      </c>
      <c r="C217" s="113">
        <f>IFERROR(VLOOKUP($A217,MTD!$A$13:$D$1048576,3,0),0)</f>
        <v>-114586.24000000001</v>
      </c>
      <c r="D217" s="113">
        <f>IFERROR(VLOOKUP($A217,MTD!$A$13:$D$1048576,4,0),0)</f>
        <v>-25000</v>
      </c>
      <c r="E217" s="113"/>
      <c r="F217" s="113"/>
      <c r="G217" s="112" t="s">
        <v>295</v>
      </c>
      <c r="H217" s="114">
        <v>0</v>
      </c>
      <c r="I217" s="114">
        <v>0</v>
      </c>
      <c r="J217" s="115">
        <v>0</v>
      </c>
      <c r="K217" s="113">
        <v>0</v>
      </c>
      <c r="P217" s="112" t="s">
        <v>295</v>
      </c>
      <c r="Q217" s="113">
        <f>IFERROR(VLOOKUP($A217,YTD!$A$13:$D$1048576,3,0),0)</f>
        <v>-264585.31</v>
      </c>
      <c r="R217" s="113">
        <f>IFERROR(VLOOKUP($A217,YTD!$A$13:$D$1048576,4,0),0)</f>
        <v>-300000</v>
      </c>
      <c r="S217" s="113"/>
      <c r="T217" s="113"/>
      <c r="U217" s="112" t="s">
        <v>295</v>
      </c>
      <c r="V217" s="114">
        <v>0</v>
      </c>
      <c r="W217" s="114">
        <v>0</v>
      </c>
      <c r="X217" s="115">
        <v>0</v>
      </c>
      <c r="Y217" s="113">
        <v>0</v>
      </c>
      <c r="Z217" s="113">
        <v>-27874.31</v>
      </c>
      <c r="AA217" s="113">
        <v>-25000</v>
      </c>
      <c r="AB217" s="113">
        <v>-25000</v>
      </c>
      <c r="AC217" s="113">
        <v>-25000</v>
      </c>
      <c r="AD217" s="113">
        <v>-25000</v>
      </c>
      <c r="AE217" s="113">
        <v>-25000</v>
      </c>
      <c r="AF217" s="113">
        <v>-18943.93</v>
      </c>
      <c r="AG217" s="113">
        <v>25000</v>
      </c>
      <c r="AH217" s="113">
        <v>24130.14</v>
      </c>
      <c r="AI217" s="113">
        <v>-12310.97</v>
      </c>
      <c r="AJ217" s="113">
        <v>-15000</v>
      </c>
      <c r="AK217" s="113">
        <f t="shared" si="11"/>
        <v>-114586.24000000001</v>
      </c>
      <c r="AM217" s="309"/>
    </row>
    <row r="218" spans="1:39" x14ac:dyDescent="0.3">
      <c r="A218" s="109" t="str">
        <f t="shared" si="12"/>
        <v>credit*   CS_Obsolescence</v>
      </c>
      <c r="B218" s="117" t="s">
        <v>213</v>
      </c>
      <c r="C218" s="118">
        <f>IFERROR(VLOOKUP($A218,MTD!$A$13:$D$1048576,3,0),0)</f>
        <v>-114586.24000000001</v>
      </c>
      <c r="D218" s="118">
        <f>IFERROR(VLOOKUP($A218,MTD!$A$13:$D$1048576,4,0),0)</f>
        <v>-25000</v>
      </c>
      <c r="E218" s="118"/>
      <c r="F218" s="118"/>
      <c r="G218" s="117" t="s">
        <v>213</v>
      </c>
      <c r="H218" s="119">
        <v>0</v>
      </c>
      <c r="I218" s="119">
        <v>0</v>
      </c>
      <c r="J218" s="120">
        <v>0</v>
      </c>
      <c r="K218" s="118">
        <v>0</v>
      </c>
      <c r="P218" s="117" t="s">
        <v>213</v>
      </c>
      <c r="Q218" s="118">
        <f>IFERROR(VLOOKUP($A218,YTD!$A$13:$D$1048576,3,0),0)</f>
        <v>-264585.31</v>
      </c>
      <c r="R218" s="118">
        <f>IFERROR(VLOOKUP($A218,YTD!$A$13:$D$1048576,4,0),0)</f>
        <v>-300000</v>
      </c>
      <c r="S218" s="118"/>
      <c r="T218" s="118"/>
      <c r="U218" s="117" t="s">
        <v>213</v>
      </c>
      <c r="V218" s="119">
        <v>0</v>
      </c>
      <c r="W218" s="119">
        <v>0</v>
      </c>
      <c r="X218" s="120">
        <v>0</v>
      </c>
      <c r="Y218" s="118">
        <v>0</v>
      </c>
      <c r="Z218" s="118">
        <v>-27874.31</v>
      </c>
      <c r="AA218" s="118">
        <v>-25000</v>
      </c>
      <c r="AB218" s="118">
        <v>-25000</v>
      </c>
      <c r="AC218" s="118">
        <v>-25000</v>
      </c>
      <c r="AD218" s="118">
        <v>-25000</v>
      </c>
      <c r="AE218" s="118">
        <v>-25000</v>
      </c>
      <c r="AF218" s="118">
        <v>-18943.93</v>
      </c>
      <c r="AG218" s="118">
        <v>25000</v>
      </c>
      <c r="AH218" s="118">
        <v>24130.14</v>
      </c>
      <c r="AI218" s="118">
        <v>-12310.97</v>
      </c>
      <c r="AJ218" s="118">
        <v>-15000</v>
      </c>
      <c r="AK218" s="118">
        <f t="shared" si="11"/>
        <v>-114586.24000000001</v>
      </c>
      <c r="AM218" s="309"/>
    </row>
    <row r="219" spans="1:39" x14ac:dyDescent="0.3">
      <c r="A219" s="109" t="str">
        <f t="shared" si="12"/>
        <v>credit    5301070000  Non-operation revenue-sales of scrapped</v>
      </c>
      <c r="B219" s="112" t="s">
        <v>296</v>
      </c>
      <c r="C219" s="113">
        <f>IFERROR(VLOOKUP($A219,MTD!$A$13:$D$1048576,3,0),0)</f>
        <v>112054.34</v>
      </c>
      <c r="D219" s="113">
        <f>IFERROR(VLOOKUP($A219,MTD!$A$13:$D$1048576,4,0),0)</f>
        <v>124919.02</v>
      </c>
      <c r="E219" s="113"/>
      <c r="F219" s="113"/>
      <c r="G219" s="112" t="s">
        <v>296</v>
      </c>
      <c r="H219" s="114">
        <v>0</v>
      </c>
      <c r="I219" s="114">
        <v>0</v>
      </c>
      <c r="J219" s="115">
        <v>0</v>
      </c>
      <c r="K219" s="113">
        <v>0</v>
      </c>
      <c r="P219" s="112" t="s">
        <v>296</v>
      </c>
      <c r="Q219" s="113">
        <f>IFERROR(VLOOKUP($A219,YTD!$A$13:$D$1048576,3,0),0)</f>
        <v>1094435.07</v>
      </c>
      <c r="R219" s="113">
        <f>IFERROR(VLOOKUP($A219,YTD!$A$13:$D$1048576,4,0),0)</f>
        <v>941253.81</v>
      </c>
      <c r="S219" s="113"/>
      <c r="T219" s="113"/>
      <c r="U219" s="112" t="s">
        <v>296</v>
      </c>
      <c r="V219" s="114">
        <v>0</v>
      </c>
      <c r="W219" s="114">
        <v>0</v>
      </c>
      <c r="X219" s="115">
        <v>0</v>
      </c>
      <c r="Y219" s="113">
        <v>0</v>
      </c>
      <c r="Z219" s="113">
        <v>112540.92</v>
      </c>
      <c r="AA219" s="113">
        <v>85630.79</v>
      </c>
      <c r="AB219" s="113">
        <v>67927.73</v>
      </c>
      <c r="AC219" s="113">
        <v>72652.89</v>
      </c>
      <c r="AD219" s="113">
        <v>73397.41</v>
      </c>
      <c r="AE219" s="113">
        <v>41000.620000000003</v>
      </c>
      <c r="AF219" s="113">
        <v>67831.850000000006</v>
      </c>
      <c r="AG219" s="113">
        <v>112161.92</v>
      </c>
      <c r="AH219" s="113">
        <v>118823.18</v>
      </c>
      <c r="AI219" s="113">
        <v>128119.05</v>
      </c>
      <c r="AJ219" s="113">
        <v>102294.37</v>
      </c>
      <c r="AK219" s="113">
        <f t="shared" si="11"/>
        <v>112054.34</v>
      </c>
      <c r="AM219" s="309"/>
    </row>
    <row r="220" spans="1:39" x14ac:dyDescent="0.3">
      <c r="A220" s="109" t="str">
        <f t="shared" si="12"/>
        <v>credit*   CS_Reselling</v>
      </c>
      <c r="B220" s="117" t="s">
        <v>214</v>
      </c>
      <c r="C220" s="118">
        <f>IFERROR(VLOOKUP($A220,MTD!$A$13:$D$1048576,3,0),0)</f>
        <v>112054.34</v>
      </c>
      <c r="D220" s="118">
        <f>IFERROR(VLOOKUP($A220,MTD!$A$13:$D$1048576,4,0),0)</f>
        <v>124919.02</v>
      </c>
      <c r="E220" s="118"/>
      <c r="F220" s="118"/>
      <c r="G220" s="117" t="s">
        <v>214</v>
      </c>
      <c r="H220" s="119">
        <v>0</v>
      </c>
      <c r="I220" s="119">
        <v>0</v>
      </c>
      <c r="J220" s="120">
        <v>0</v>
      </c>
      <c r="K220" s="118">
        <v>0</v>
      </c>
      <c r="P220" s="117" t="s">
        <v>214</v>
      </c>
      <c r="Q220" s="118">
        <f>IFERROR(VLOOKUP($A220,YTD!$A$13:$D$1048576,3,0),0)</f>
        <v>1094435.07</v>
      </c>
      <c r="R220" s="118">
        <f>IFERROR(VLOOKUP($A220,YTD!$A$13:$D$1048576,4,0),0)</f>
        <v>941253.81</v>
      </c>
      <c r="S220" s="118"/>
      <c r="T220" s="118"/>
      <c r="U220" s="117" t="s">
        <v>214</v>
      </c>
      <c r="V220" s="119">
        <v>0</v>
      </c>
      <c r="W220" s="119">
        <v>0</v>
      </c>
      <c r="X220" s="120">
        <v>0</v>
      </c>
      <c r="Y220" s="118">
        <v>0</v>
      </c>
      <c r="Z220" s="118">
        <v>112540.92</v>
      </c>
      <c r="AA220" s="118">
        <v>85630.79</v>
      </c>
      <c r="AB220" s="118">
        <v>67927.73</v>
      </c>
      <c r="AC220" s="118">
        <v>72652.89</v>
      </c>
      <c r="AD220" s="118">
        <v>73397.41</v>
      </c>
      <c r="AE220" s="118">
        <v>41000.620000000003</v>
      </c>
      <c r="AF220" s="118">
        <v>67831.850000000006</v>
      </c>
      <c r="AG220" s="118">
        <v>112161.92</v>
      </c>
      <c r="AH220" s="118">
        <v>118823.18</v>
      </c>
      <c r="AI220" s="118">
        <v>128119.05</v>
      </c>
      <c r="AJ220" s="118">
        <v>102294.37</v>
      </c>
      <c r="AK220" s="118">
        <f t="shared" si="11"/>
        <v>112054.34</v>
      </c>
      <c r="AM220" s="309"/>
    </row>
    <row r="221" spans="1:39" x14ac:dyDescent="0.3">
      <c r="A221" s="109" t="str">
        <f t="shared" si="12"/>
        <v>credit    6666021602  Electricity</v>
      </c>
      <c r="B221" s="112" t="s">
        <v>297</v>
      </c>
      <c r="C221" s="113">
        <f>IFERROR(VLOOKUP($A221,MTD!$A$13:$D$1048576,3,0),0)</f>
        <v>-587.01</v>
      </c>
      <c r="D221" s="113">
        <f>IFERROR(VLOOKUP($A221,MTD!$A$13:$D$1048576,4,0),0)</f>
        <v>-11936.65</v>
      </c>
      <c r="E221" s="113"/>
      <c r="F221" s="113"/>
      <c r="G221" s="112" t="s">
        <v>297</v>
      </c>
      <c r="H221" s="114">
        <v>0</v>
      </c>
      <c r="I221" s="114">
        <v>0</v>
      </c>
      <c r="J221" s="115">
        <v>0</v>
      </c>
      <c r="K221" s="113">
        <v>0</v>
      </c>
      <c r="P221" s="112" t="s">
        <v>297</v>
      </c>
      <c r="Q221" s="113">
        <f>IFERROR(VLOOKUP($A221,YTD!$A$13:$D$1048576,3,0),0)</f>
        <v>-8136.45</v>
      </c>
      <c r="R221" s="113">
        <f>IFERROR(VLOOKUP($A221,YTD!$A$13:$D$1048576,4,0),0)</f>
        <v>-90148.38</v>
      </c>
      <c r="S221" s="113"/>
      <c r="T221" s="113"/>
      <c r="U221" s="112" t="s">
        <v>297</v>
      </c>
      <c r="V221" s="114">
        <v>0</v>
      </c>
      <c r="W221" s="114">
        <v>0</v>
      </c>
      <c r="X221" s="115">
        <v>0</v>
      </c>
      <c r="Y221" s="113">
        <v>0</v>
      </c>
      <c r="Z221" s="113">
        <v>-733.45</v>
      </c>
      <c r="AA221" s="113">
        <v>-1054.57</v>
      </c>
      <c r="AB221" s="113">
        <v>-577.05999999999995</v>
      </c>
      <c r="AC221" s="113">
        <v>-466.37</v>
      </c>
      <c r="AD221" s="113">
        <v>-555.64</v>
      </c>
      <c r="AE221" s="113">
        <v>459.88</v>
      </c>
      <c r="AF221" s="113">
        <v>-733.34</v>
      </c>
      <c r="AG221" s="113">
        <v>-900.22</v>
      </c>
      <c r="AH221" s="113">
        <v>-906.97</v>
      </c>
      <c r="AI221" s="113">
        <v>-897.67</v>
      </c>
      <c r="AJ221" s="113">
        <v>-1184.03</v>
      </c>
      <c r="AK221" s="113">
        <f t="shared" si="11"/>
        <v>-587.01</v>
      </c>
      <c r="AM221" s="309"/>
    </row>
    <row r="222" spans="1:39" x14ac:dyDescent="0.3">
      <c r="A222" s="109" t="str">
        <f t="shared" si="12"/>
        <v>credit*   CS_Fix Utilities</v>
      </c>
      <c r="B222" s="117" t="s">
        <v>215</v>
      </c>
      <c r="C222" s="118">
        <f>IFERROR(VLOOKUP($A222,MTD!$A$13:$D$1048576,3,0),0)</f>
        <v>-587.01</v>
      </c>
      <c r="D222" s="118">
        <f>IFERROR(VLOOKUP($A222,MTD!$A$13:$D$1048576,4,0),0)</f>
        <v>-11936.65</v>
      </c>
      <c r="E222" s="118"/>
      <c r="F222" s="118"/>
      <c r="G222" s="117" t="s">
        <v>215</v>
      </c>
      <c r="H222" s="119">
        <v>0</v>
      </c>
      <c r="I222" s="119">
        <v>0</v>
      </c>
      <c r="J222" s="120">
        <v>0</v>
      </c>
      <c r="K222" s="118">
        <v>0</v>
      </c>
      <c r="P222" s="117" t="s">
        <v>215</v>
      </c>
      <c r="Q222" s="118">
        <f>IFERROR(VLOOKUP($A222,YTD!$A$13:$D$1048576,3,0),0)</f>
        <v>-8136.45</v>
      </c>
      <c r="R222" s="118">
        <f>IFERROR(VLOOKUP($A222,YTD!$A$13:$D$1048576,4,0),0)</f>
        <v>-90148.38</v>
      </c>
      <c r="S222" s="118"/>
      <c r="T222" s="118"/>
      <c r="U222" s="117" t="s">
        <v>215</v>
      </c>
      <c r="V222" s="119">
        <v>0</v>
      </c>
      <c r="W222" s="119">
        <v>0</v>
      </c>
      <c r="X222" s="120">
        <v>0</v>
      </c>
      <c r="Y222" s="118">
        <v>0</v>
      </c>
      <c r="Z222" s="118">
        <v>-733.45</v>
      </c>
      <c r="AA222" s="118">
        <v>-1054.57</v>
      </c>
      <c r="AB222" s="118">
        <v>-577.05999999999995</v>
      </c>
      <c r="AC222" s="118">
        <v>-466.37</v>
      </c>
      <c r="AD222" s="118">
        <v>-555.64</v>
      </c>
      <c r="AE222" s="118">
        <v>459.88</v>
      </c>
      <c r="AF222" s="118">
        <v>-733.34</v>
      </c>
      <c r="AG222" s="118">
        <v>-900.22</v>
      </c>
      <c r="AH222" s="118">
        <v>-906.97</v>
      </c>
      <c r="AI222" s="118">
        <v>-897.67</v>
      </c>
      <c r="AJ222" s="118">
        <v>-1184.03</v>
      </c>
      <c r="AK222" s="118">
        <f t="shared" ref="AK222:AK285" si="13">C222</f>
        <v>-587.01</v>
      </c>
      <c r="AM222" s="309"/>
    </row>
    <row r="223" spans="1:39" x14ac:dyDescent="0.3">
      <c r="A223" s="109" t="str">
        <f t="shared" si="12"/>
        <v>credit    6666021600  Energy and power cost</v>
      </c>
      <c r="B223" s="112" t="s">
        <v>298</v>
      </c>
      <c r="C223" s="116">
        <f>IFERROR(VLOOKUP($A223,MTD!$A$13:$D$1048576,3,0),0)</f>
        <v>0</v>
      </c>
      <c r="D223" s="116">
        <f>IFERROR(VLOOKUP($A223,MTD!$A$13:$D$1048576,4,0),0)</f>
        <v>0</v>
      </c>
      <c r="E223" s="113"/>
      <c r="F223" s="113"/>
      <c r="G223" s="112" t="s">
        <v>298</v>
      </c>
      <c r="H223" s="114">
        <v>0</v>
      </c>
      <c r="I223" s="114">
        <v>0</v>
      </c>
      <c r="J223" s="115">
        <v>0</v>
      </c>
      <c r="K223" s="113">
        <v>0</v>
      </c>
      <c r="P223" s="112" t="s">
        <v>298</v>
      </c>
      <c r="Q223" s="116">
        <f>IFERROR(VLOOKUP($A223,YTD!$A$13:$D$1048576,3,0),0)</f>
        <v>0</v>
      </c>
      <c r="R223" s="116">
        <f>IFERROR(VLOOKUP($A223,YTD!$A$13:$D$1048576,4,0),0)</f>
        <v>0</v>
      </c>
      <c r="S223" s="113"/>
      <c r="T223" s="113"/>
      <c r="U223" s="112" t="s">
        <v>298</v>
      </c>
      <c r="V223" s="114">
        <v>0</v>
      </c>
      <c r="W223" s="114">
        <v>0</v>
      </c>
      <c r="X223" s="115">
        <v>0</v>
      </c>
      <c r="Y223" s="113">
        <v>0</v>
      </c>
      <c r="Z223" s="113">
        <v>0</v>
      </c>
      <c r="AA223" s="113">
        <v>0</v>
      </c>
      <c r="AB223" s="113">
        <v>0</v>
      </c>
      <c r="AC223" s="113">
        <v>0</v>
      </c>
      <c r="AD223" s="113">
        <v>0</v>
      </c>
      <c r="AE223" s="113">
        <v>0</v>
      </c>
      <c r="AF223" s="113">
        <v>0</v>
      </c>
      <c r="AG223" s="113">
        <v>0</v>
      </c>
      <c r="AH223" s="113">
        <v>0</v>
      </c>
      <c r="AI223" s="113">
        <v>0</v>
      </c>
      <c r="AJ223" s="113">
        <v>0</v>
      </c>
      <c r="AK223" s="113">
        <f t="shared" si="13"/>
        <v>0</v>
      </c>
      <c r="AM223" s="309"/>
    </row>
    <row r="224" spans="1:39" x14ac:dyDescent="0.3">
      <c r="A224" s="109" t="str">
        <f t="shared" si="12"/>
        <v>credit    6666021603  Water</v>
      </c>
      <c r="B224" s="112" t="s">
        <v>299</v>
      </c>
      <c r="C224" s="113">
        <f>IFERROR(VLOOKUP($A224,MTD!$A$13:$D$1048576,3,0),0)</f>
        <v>-1118.6500000000001</v>
      </c>
      <c r="D224" s="116">
        <f>IFERROR(VLOOKUP($A224,MTD!$A$13:$D$1048576,4,0),0)</f>
        <v>0</v>
      </c>
      <c r="E224" s="113"/>
      <c r="F224" s="113"/>
      <c r="G224" s="112" t="s">
        <v>299</v>
      </c>
      <c r="H224" s="114">
        <v>0</v>
      </c>
      <c r="I224" s="114">
        <v>0</v>
      </c>
      <c r="J224" s="115">
        <v>0</v>
      </c>
      <c r="K224" s="113">
        <v>0</v>
      </c>
      <c r="P224" s="112" t="s">
        <v>299</v>
      </c>
      <c r="Q224" s="113">
        <f>IFERROR(VLOOKUP($A224,YTD!$A$13:$D$1048576,3,0),0)</f>
        <v>-10050.64</v>
      </c>
      <c r="R224" s="116">
        <f>IFERROR(VLOOKUP($A224,YTD!$A$13:$D$1048576,4,0),0)</f>
        <v>0</v>
      </c>
      <c r="S224" s="113"/>
      <c r="T224" s="113"/>
      <c r="U224" s="112" t="s">
        <v>299</v>
      </c>
      <c r="V224" s="114">
        <v>0</v>
      </c>
      <c r="W224" s="114">
        <v>0</v>
      </c>
      <c r="X224" s="115">
        <v>0</v>
      </c>
      <c r="Y224" s="113">
        <v>0</v>
      </c>
      <c r="Z224" s="113">
        <v>-504.96</v>
      </c>
      <c r="AA224" s="113">
        <v>-1583.76</v>
      </c>
      <c r="AB224" s="113">
        <v>-871.09</v>
      </c>
      <c r="AC224" s="113">
        <v>-701</v>
      </c>
      <c r="AD224" s="113">
        <v>-828.63</v>
      </c>
      <c r="AE224" s="113">
        <v>-619.28</v>
      </c>
      <c r="AF224" s="113">
        <v>-694.7</v>
      </c>
      <c r="AG224" s="113">
        <v>-456.13</v>
      </c>
      <c r="AH224" s="113">
        <v>-706.27</v>
      </c>
      <c r="AI224" s="113">
        <v>-470.45</v>
      </c>
      <c r="AJ224" s="113">
        <v>-1495.72</v>
      </c>
      <c r="AK224" s="113">
        <f t="shared" si="13"/>
        <v>-1118.6500000000001</v>
      </c>
      <c r="AM224" s="309"/>
    </row>
    <row r="225" spans="1:39" x14ac:dyDescent="0.3">
      <c r="A225" s="109" t="str">
        <f t="shared" si="12"/>
        <v>credit    6666021604  Oil &amp; Gas</v>
      </c>
      <c r="B225" s="112" t="s">
        <v>300</v>
      </c>
      <c r="C225" s="113">
        <f>IFERROR(VLOOKUP($A225,MTD!$A$13:$D$1048576,3,0),0)</f>
        <v>-6842.39</v>
      </c>
      <c r="D225" s="116">
        <f>IFERROR(VLOOKUP($A225,MTD!$A$13:$D$1048576,4,0),0)</f>
        <v>0</v>
      </c>
      <c r="E225" s="113"/>
      <c r="F225" s="113"/>
      <c r="G225" s="112" t="s">
        <v>300</v>
      </c>
      <c r="H225" s="114">
        <v>0</v>
      </c>
      <c r="I225" s="114">
        <v>0</v>
      </c>
      <c r="J225" s="115">
        <v>0</v>
      </c>
      <c r="K225" s="113">
        <v>0</v>
      </c>
      <c r="P225" s="112" t="s">
        <v>300</v>
      </c>
      <c r="Q225" s="113">
        <f>IFERROR(VLOOKUP($A225,YTD!$A$13:$D$1048576,3,0),0)</f>
        <v>-42371.31</v>
      </c>
      <c r="R225" s="116">
        <f>IFERROR(VLOOKUP($A225,YTD!$A$13:$D$1048576,4,0),0)</f>
        <v>0</v>
      </c>
      <c r="S225" s="113"/>
      <c r="T225" s="113"/>
      <c r="U225" s="112" t="s">
        <v>300</v>
      </c>
      <c r="V225" s="114">
        <v>0</v>
      </c>
      <c r="W225" s="114">
        <v>0</v>
      </c>
      <c r="X225" s="115">
        <v>0</v>
      </c>
      <c r="Y225" s="113">
        <v>0</v>
      </c>
      <c r="Z225" s="113">
        <v>-1683.35</v>
      </c>
      <c r="AA225" s="113">
        <v>-5252.52</v>
      </c>
      <c r="AB225" s="113">
        <v>-2672.6</v>
      </c>
      <c r="AC225" s="113">
        <v>-2167.52</v>
      </c>
      <c r="AD225" s="113">
        <v>-2951.8</v>
      </c>
      <c r="AE225" s="113">
        <v>-900.31</v>
      </c>
      <c r="AF225" s="113">
        <v>-2083.4</v>
      </c>
      <c r="AG225" s="113">
        <v>-3962.44</v>
      </c>
      <c r="AH225" s="113">
        <v>-4880.1899999999996</v>
      </c>
      <c r="AI225" s="113">
        <v>-2650.99</v>
      </c>
      <c r="AJ225" s="113">
        <v>-6323.8</v>
      </c>
      <c r="AK225" s="113">
        <f t="shared" si="13"/>
        <v>-6842.39</v>
      </c>
      <c r="AM225" s="309"/>
    </row>
    <row r="226" spans="1:39" x14ac:dyDescent="0.3">
      <c r="A226" s="109" t="str">
        <f t="shared" si="12"/>
        <v>credit*   CS_Variable Utilities</v>
      </c>
      <c r="B226" s="117" t="s">
        <v>216</v>
      </c>
      <c r="C226" s="118">
        <f>IFERROR(VLOOKUP($A226,MTD!$A$13:$D$1048576,3,0),0)</f>
        <v>-7961.04</v>
      </c>
      <c r="D226" s="125">
        <f>IFERROR(VLOOKUP($A226,MTD!$A$13:$D$1048576,4,0),0)</f>
        <v>0</v>
      </c>
      <c r="E226" s="118"/>
      <c r="F226" s="118"/>
      <c r="G226" s="117" t="s">
        <v>216</v>
      </c>
      <c r="H226" s="119">
        <v>0</v>
      </c>
      <c r="I226" s="119">
        <v>0</v>
      </c>
      <c r="J226" s="120">
        <v>0</v>
      </c>
      <c r="K226" s="118">
        <v>0</v>
      </c>
      <c r="P226" s="117" t="s">
        <v>216</v>
      </c>
      <c r="Q226" s="118">
        <f>IFERROR(VLOOKUP($A226,YTD!$A$13:$D$1048576,3,0),0)</f>
        <v>-52421.95</v>
      </c>
      <c r="R226" s="125">
        <f>IFERROR(VLOOKUP($A226,YTD!$A$13:$D$1048576,4,0),0)</f>
        <v>0</v>
      </c>
      <c r="S226" s="118"/>
      <c r="T226" s="118"/>
      <c r="U226" s="117" t="s">
        <v>216</v>
      </c>
      <c r="V226" s="119">
        <v>0</v>
      </c>
      <c r="W226" s="119">
        <v>0</v>
      </c>
      <c r="X226" s="120">
        <v>0</v>
      </c>
      <c r="Y226" s="118">
        <v>0</v>
      </c>
      <c r="Z226" s="118">
        <v>-2188.31</v>
      </c>
      <c r="AA226" s="118">
        <v>-6836.28</v>
      </c>
      <c r="AB226" s="118">
        <v>-3543.69</v>
      </c>
      <c r="AC226" s="118">
        <v>-2868.52</v>
      </c>
      <c r="AD226" s="118">
        <v>-3780.43</v>
      </c>
      <c r="AE226" s="118">
        <v>-1519.59</v>
      </c>
      <c r="AF226" s="118">
        <v>-2778.1</v>
      </c>
      <c r="AG226" s="118">
        <v>-4418.57</v>
      </c>
      <c r="AH226" s="118">
        <v>-5586.46</v>
      </c>
      <c r="AI226" s="118">
        <v>-3121.44</v>
      </c>
      <c r="AJ226" s="118">
        <v>-7819.52</v>
      </c>
      <c r="AK226" s="118">
        <f t="shared" si="13"/>
        <v>-7961.04</v>
      </c>
      <c r="AM226" s="309"/>
    </row>
    <row r="227" spans="1:39" x14ac:dyDescent="0.3">
      <c r="A227" s="109" t="str">
        <f t="shared" si="12"/>
        <v>credit    5001010206  Unemployment Insurance -blue collar-Indi</v>
      </c>
      <c r="B227" s="112" t="s">
        <v>301</v>
      </c>
      <c r="C227" s="113">
        <f>IFERROR(VLOOKUP($A227,MTD!$A$13:$D$1048576,3,0),0)</f>
        <v>-2479.09</v>
      </c>
      <c r="D227" s="116">
        <f>IFERROR(VLOOKUP($A227,MTD!$A$13:$D$1048576,4,0),0)</f>
        <v>0</v>
      </c>
      <c r="E227" s="113"/>
      <c r="F227" s="113"/>
      <c r="G227" s="112" t="s">
        <v>301</v>
      </c>
      <c r="H227" s="114">
        <v>0</v>
      </c>
      <c r="I227" s="114">
        <v>0</v>
      </c>
      <c r="J227" s="115">
        <v>0</v>
      </c>
      <c r="K227" s="113">
        <v>0</v>
      </c>
      <c r="P227" s="112" t="s">
        <v>301</v>
      </c>
      <c r="Q227" s="113">
        <f>IFERROR(VLOOKUP($A227,YTD!$A$13:$D$1048576,3,0),0)</f>
        <v>-27818.1</v>
      </c>
      <c r="R227" s="116">
        <f>IFERROR(VLOOKUP($A227,YTD!$A$13:$D$1048576,4,0),0)</f>
        <v>0</v>
      </c>
      <c r="S227" s="113"/>
      <c r="T227" s="113"/>
      <c r="U227" s="112" t="s">
        <v>301</v>
      </c>
      <c r="V227" s="114">
        <v>0</v>
      </c>
      <c r="W227" s="114">
        <v>0</v>
      </c>
      <c r="X227" s="115">
        <v>0</v>
      </c>
      <c r="Y227" s="113">
        <v>0</v>
      </c>
      <c r="Z227" s="113">
        <v>-2546.9699999999998</v>
      </c>
      <c r="AA227" s="113">
        <v>-1791.58</v>
      </c>
      <c r="AB227" s="113">
        <v>-2106.7199999999998</v>
      </c>
      <c r="AC227" s="113">
        <v>-1755.82</v>
      </c>
      <c r="AD227" s="113">
        <v>-1911.87</v>
      </c>
      <c r="AE227" s="113">
        <v>-1850.1</v>
      </c>
      <c r="AF227" s="113">
        <v>-2010.8</v>
      </c>
      <c r="AG227" s="113">
        <v>-2344.73</v>
      </c>
      <c r="AH227" s="113">
        <v>-3060.65</v>
      </c>
      <c r="AI227" s="113">
        <v>-3445.77</v>
      </c>
      <c r="AJ227" s="113">
        <v>-2514</v>
      </c>
      <c r="AK227" s="113">
        <f t="shared" si="13"/>
        <v>-2479.09</v>
      </c>
      <c r="AM227" s="309"/>
    </row>
    <row r="228" spans="1:39" x14ac:dyDescent="0.3">
      <c r="A228" s="109" t="str">
        <f t="shared" si="12"/>
        <v>credit    6666010184  Salary&amp;Additional Incentive-Blue Collar-</v>
      </c>
      <c r="B228" s="112" t="s">
        <v>302</v>
      </c>
      <c r="C228" s="113">
        <f>IFERROR(VLOOKUP($A228,MTD!$A$13:$D$1048576,3,0),0)</f>
        <v>80.56</v>
      </c>
      <c r="D228" s="116">
        <f>IFERROR(VLOOKUP($A228,MTD!$A$13:$D$1048576,4,0),0)</f>
        <v>0</v>
      </c>
      <c r="E228" s="113"/>
      <c r="F228" s="113"/>
      <c r="G228" s="112" t="s">
        <v>302</v>
      </c>
      <c r="H228" s="114">
        <v>0</v>
      </c>
      <c r="I228" s="114">
        <v>0</v>
      </c>
      <c r="J228" s="115">
        <v>0</v>
      </c>
      <c r="K228" s="113">
        <v>0</v>
      </c>
      <c r="P228" s="112" t="s">
        <v>302</v>
      </c>
      <c r="Q228" s="113">
        <f>IFERROR(VLOOKUP($A228,YTD!$A$13:$D$1048576,3,0),0)</f>
        <v>1903.3</v>
      </c>
      <c r="R228" s="116">
        <f>IFERROR(VLOOKUP($A228,YTD!$A$13:$D$1048576,4,0),0)</f>
        <v>0</v>
      </c>
      <c r="S228" s="113"/>
      <c r="T228" s="113"/>
      <c r="U228" s="112" t="s">
        <v>302</v>
      </c>
      <c r="V228" s="114">
        <v>0</v>
      </c>
      <c r="W228" s="114">
        <v>0</v>
      </c>
      <c r="X228" s="115">
        <v>0</v>
      </c>
      <c r="Y228" s="113">
        <v>0</v>
      </c>
      <c r="Z228" s="113">
        <v>240.79</v>
      </c>
      <c r="AA228" s="113">
        <v>212.95</v>
      </c>
      <c r="AB228" s="113">
        <v>288.89</v>
      </c>
      <c r="AC228" s="113">
        <v>243.01</v>
      </c>
      <c r="AD228" s="113">
        <v>266.7</v>
      </c>
      <c r="AE228" s="113">
        <v>243.08</v>
      </c>
      <c r="AF228" s="113">
        <v>149.77000000000001</v>
      </c>
      <c r="AG228" s="113">
        <v>85.41</v>
      </c>
      <c r="AH228" s="113">
        <v>41.95</v>
      </c>
      <c r="AI228" s="113">
        <v>0.01</v>
      </c>
      <c r="AJ228" s="113">
        <v>50.18</v>
      </c>
      <c r="AK228" s="113">
        <f t="shared" si="13"/>
        <v>80.56</v>
      </c>
      <c r="AM228" s="309"/>
    </row>
    <row r="229" spans="1:39" x14ac:dyDescent="0.3">
      <c r="A229" s="109" t="str">
        <f t="shared" si="12"/>
        <v>credit    6666010186  Overtime-Blue Collar-Indirect</v>
      </c>
      <c r="B229" s="112" t="s">
        <v>303</v>
      </c>
      <c r="C229" s="113">
        <f>IFERROR(VLOOKUP($A229,MTD!$A$13:$D$1048576,3,0),0)</f>
        <v>-6998.69</v>
      </c>
      <c r="D229" s="116">
        <f>IFERROR(VLOOKUP($A229,MTD!$A$13:$D$1048576,4,0),0)</f>
        <v>0</v>
      </c>
      <c r="E229" s="113"/>
      <c r="F229" s="113"/>
      <c r="G229" s="112" t="s">
        <v>303</v>
      </c>
      <c r="H229" s="114">
        <v>0</v>
      </c>
      <c r="I229" s="114">
        <v>0</v>
      </c>
      <c r="J229" s="115">
        <v>0</v>
      </c>
      <c r="K229" s="113">
        <v>0</v>
      </c>
      <c r="P229" s="112" t="s">
        <v>303</v>
      </c>
      <c r="Q229" s="113">
        <f>IFERROR(VLOOKUP($A229,YTD!$A$13:$D$1048576,3,0),0)</f>
        <v>-86451.11</v>
      </c>
      <c r="R229" s="116">
        <f>IFERROR(VLOOKUP($A229,YTD!$A$13:$D$1048576,4,0),0)</f>
        <v>0</v>
      </c>
      <c r="S229" s="113"/>
      <c r="T229" s="113"/>
      <c r="U229" s="112" t="s">
        <v>303</v>
      </c>
      <c r="V229" s="114">
        <v>0</v>
      </c>
      <c r="W229" s="114">
        <v>0</v>
      </c>
      <c r="X229" s="115">
        <v>0</v>
      </c>
      <c r="Y229" s="113">
        <v>0</v>
      </c>
      <c r="Z229" s="113">
        <v>-9438.09</v>
      </c>
      <c r="AA229" s="113">
        <v>-4919.12</v>
      </c>
      <c r="AB229" s="113">
        <v>-3498.53</v>
      </c>
      <c r="AC229" s="113">
        <v>-1512.42</v>
      </c>
      <c r="AD229" s="113">
        <v>-1548.14</v>
      </c>
      <c r="AE229" s="113">
        <v>-3388.46</v>
      </c>
      <c r="AF229" s="113">
        <v>-3499.75</v>
      </c>
      <c r="AG229" s="113">
        <v>-10726.62</v>
      </c>
      <c r="AH229" s="113">
        <v>-9183.4699999999993</v>
      </c>
      <c r="AI229" s="113">
        <v>-24135.21</v>
      </c>
      <c r="AJ229" s="113">
        <v>-7602.61</v>
      </c>
      <c r="AK229" s="113">
        <f t="shared" si="13"/>
        <v>-6998.69</v>
      </c>
      <c r="AM229" s="309"/>
    </row>
    <row r="230" spans="1:39" x14ac:dyDescent="0.3">
      <c r="A230" s="109" t="str">
        <f t="shared" si="12"/>
        <v>credit    6666010189  Salary - Blue collar indirect employees</v>
      </c>
      <c r="B230" s="112" t="s">
        <v>304</v>
      </c>
      <c r="C230" s="113">
        <f>IFERROR(VLOOKUP($A230,MTD!$A$13:$D$1048576,3,0),0)</f>
        <v>20873.580000000002</v>
      </c>
      <c r="D230" s="113">
        <f>IFERROR(VLOOKUP($A230,MTD!$A$13:$D$1048576,4,0),0)</f>
        <v>-228680.84</v>
      </c>
      <c r="E230" s="113"/>
      <c r="F230" s="113"/>
      <c r="G230" s="112" t="s">
        <v>304</v>
      </c>
      <c r="H230" s="114">
        <v>0</v>
      </c>
      <c r="I230" s="114">
        <v>0</v>
      </c>
      <c r="J230" s="115">
        <v>0</v>
      </c>
      <c r="K230" s="113">
        <v>0</v>
      </c>
      <c r="P230" s="112" t="s">
        <v>304</v>
      </c>
      <c r="Q230" s="113">
        <f>IFERROR(VLOOKUP($A230,YTD!$A$13:$D$1048576,3,0),0)</f>
        <v>2900.72</v>
      </c>
      <c r="R230" s="113">
        <f>IFERROR(VLOOKUP($A230,YTD!$A$13:$D$1048576,4,0),0)</f>
        <v>-2008804.17</v>
      </c>
      <c r="S230" s="113"/>
      <c r="T230" s="113"/>
      <c r="U230" s="112" t="s">
        <v>304</v>
      </c>
      <c r="V230" s="114">
        <v>0</v>
      </c>
      <c r="W230" s="114">
        <v>0</v>
      </c>
      <c r="X230" s="115">
        <v>0</v>
      </c>
      <c r="Y230" s="113">
        <v>0</v>
      </c>
      <c r="Z230" s="113">
        <v>0</v>
      </c>
      <c r="AA230" s="113">
        <v>0</v>
      </c>
      <c r="AB230" s="113">
        <v>0</v>
      </c>
      <c r="AC230" s="113">
        <v>0</v>
      </c>
      <c r="AD230" s="113">
        <v>0</v>
      </c>
      <c r="AE230" s="113">
        <v>0</v>
      </c>
      <c r="AF230" s="113">
        <v>1432.44</v>
      </c>
      <c r="AG230" s="113">
        <v>0</v>
      </c>
      <c r="AH230" s="113">
        <v>0</v>
      </c>
      <c r="AI230" s="113">
        <v>0</v>
      </c>
      <c r="AJ230" s="113">
        <v>-19405.3</v>
      </c>
      <c r="AK230" s="113">
        <f t="shared" si="13"/>
        <v>20873.580000000002</v>
      </c>
      <c r="AM230" s="309"/>
    </row>
    <row r="231" spans="1:39" x14ac:dyDescent="0.3">
      <c r="A231" s="109" t="str">
        <f t="shared" si="12"/>
        <v>credit    6666010012  Payroll Taxes- Blue Collar Indirect</v>
      </c>
      <c r="B231" s="112" t="s">
        <v>305</v>
      </c>
      <c r="C231" s="113">
        <f>IFERROR(VLOOKUP($A231,MTD!$A$13:$D$1048576,3,0),0)</f>
        <v>-20183.419999999998</v>
      </c>
      <c r="D231" s="116">
        <f>IFERROR(VLOOKUP($A231,MTD!$A$13:$D$1048576,4,0),0)</f>
        <v>0</v>
      </c>
      <c r="E231" s="113"/>
      <c r="F231" s="113"/>
      <c r="G231" s="112" t="s">
        <v>305</v>
      </c>
      <c r="H231" s="114">
        <v>0</v>
      </c>
      <c r="I231" s="114">
        <v>0</v>
      </c>
      <c r="J231" s="115">
        <v>0</v>
      </c>
      <c r="K231" s="113">
        <v>0</v>
      </c>
      <c r="P231" s="112" t="s">
        <v>305</v>
      </c>
      <c r="Q231" s="113">
        <f>IFERROR(VLOOKUP($A231,YTD!$A$13:$D$1048576,3,0),0)</f>
        <v>-227713.33</v>
      </c>
      <c r="R231" s="116">
        <f>IFERROR(VLOOKUP($A231,YTD!$A$13:$D$1048576,4,0),0)</f>
        <v>0</v>
      </c>
      <c r="S231" s="113"/>
      <c r="T231" s="113"/>
      <c r="U231" s="112" t="s">
        <v>305</v>
      </c>
      <c r="V231" s="114">
        <v>0</v>
      </c>
      <c r="W231" s="114">
        <v>0</v>
      </c>
      <c r="X231" s="115">
        <v>0</v>
      </c>
      <c r="Y231" s="113">
        <v>0</v>
      </c>
      <c r="Z231" s="113">
        <v>-21129.29</v>
      </c>
      <c r="AA231" s="113">
        <v>-14723.43</v>
      </c>
      <c r="AB231" s="113">
        <v>-17417.310000000001</v>
      </c>
      <c r="AC231" s="113">
        <v>-14379.91</v>
      </c>
      <c r="AD231" s="113">
        <v>-15789.56</v>
      </c>
      <c r="AE231" s="113">
        <v>-15202.52</v>
      </c>
      <c r="AF231" s="113">
        <v>-16362.57</v>
      </c>
      <c r="AG231" s="113">
        <v>-19109.13</v>
      </c>
      <c r="AH231" s="113">
        <v>-24919.29</v>
      </c>
      <c r="AI231" s="113">
        <v>-27961.97</v>
      </c>
      <c r="AJ231" s="113">
        <v>-20534.93</v>
      </c>
      <c r="AK231" s="113">
        <f t="shared" si="13"/>
        <v>-20183.419999999998</v>
      </c>
      <c r="AM231" s="309"/>
    </row>
    <row r="232" spans="1:39" x14ac:dyDescent="0.3">
      <c r="A232" s="109" t="str">
        <f t="shared" si="12"/>
        <v>credit    6666010226  Staff Leaving Indemnity - Blue Collar In</v>
      </c>
      <c r="B232" s="112" t="s">
        <v>306</v>
      </c>
      <c r="C232" s="113">
        <f>IFERROR(VLOOKUP($A232,MTD!$A$13:$D$1048576,3,0),0)</f>
        <v>-4588.07</v>
      </c>
      <c r="D232" s="116">
        <f>IFERROR(VLOOKUP($A232,MTD!$A$13:$D$1048576,4,0),0)</f>
        <v>0</v>
      </c>
      <c r="E232" s="113"/>
      <c r="F232" s="113"/>
      <c r="G232" s="112" t="s">
        <v>306</v>
      </c>
      <c r="H232" s="114">
        <v>0</v>
      </c>
      <c r="I232" s="114">
        <v>0</v>
      </c>
      <c r="J232" s="115">
        <v>0</v>
      </c>
      <c r="K232" s="113">
        <v>0</v>
      </c>
      <c r="P232" s="112" t="s">
        <v>306</v>
      </c>
      <c r="Q232" s="113">
        <f>IFERROR(VLOOKUP($A232,YTD!$A$13:$D$1048576,3,0),0)</f>
        <v>-49860.1</v>
      </c>
      <c r="R232" s="116">
        <f>IFERROR(VLOOKUP($A232,YTD!$A$13:$D$1048576,4,0),0)</f>
        <v>0</v>
      </c>
      <c r="S232" s="113"/>
      <c r="T232" s="113"/>
      <c r="U232" s="112" t="s">
        <v>306</v>
      </c>
      <c r="V232" s="114">
        <v>0</v>
      </c>
      <c r="W232" s="114">
        <v>0</v>
      </c>
      <c r="X232" s="115">
        <v>0</v>
      </c>
      <c r="Y232" s="113">
        <v>0</v>
      </c>
      <c r="Z232" s="113">
        <v>-6329.02</v>
      </c>
      <c r="AA232" s="113">
        <v>-3889.72</v>
      </c>
      <c r="AB232" s="113">
        <v>-2881.75</v>
      </c>
      <c r="AC232" s="113">
        <v>-3350.89</v>
      </c>
      <c r="AD232" s="113">
        <v>-3356.97</v>
      </c>
      <c r="AE232" s="113">
        <v>-2804.8</v>
      </c>
      <c r="AF232" s="113">
        <v>-2829.53</v>
      </c>
      <c r="AG232" s="113">
        <v>-4862.97</v>
      </c>
      <c r="AH232" s="113">
        <v>-5098.32</v>
      </c>
      <c r="AI232" s="113">
        <v>-5195.04</v>
      </c>
      <c r="AJ232" s="113">
        <v>-4673.0200000000004</v>
      </c>
      <c r="AK232" s="113">
        <f t="shared" si="13"/>
        <v>-4588.07</v>
      </c>
      <c r="AM232" s="309"/>
    </row>
    <row r="233" spans="1:39" x14ac:dyDescent="0.3">
      <c r="A233" s="109" t="str">
        <f t="shared" si="12"/>
        <v>credit    6666010102  Salary-Blue collar indirect employees- A</v>
      </c>
      <c r="B233" s="112" t="s">
        <v>307</v>
      </c>
      <c r="C233" s="113">
        <f>IFERROR(VLOOKUP($A233,MTD!$A$13:$D$1048576,3,0),0)</f>
        <v>-121813.49</v>
      </c>
      <c r="D233" s="116">
        <f>IFERROR(VLOOKUP($A233,MTD!$A$13:$D$1048576,4,0),0)</f>
        <v>0</v>
      </c>
      <c r="E233" s="113"/>
      <c r="F233" s="113"/>
      <c r="G233" s="112" t="s">
        <v>307</v>
      </c>
      <c r="H233" s="114">
        <v>0</v>
      </c>
      <c r="I233" s="114">
        <v>0</v>
      </c>
      <c r="J233" s="115">
        <v>0</v>
      </c>
      <c r="K233" s="113">
        <v>0</v>
      </c>
      <c r="P233" s="112" t="s">
        <v>307</v>
      </c>
      <c r="Q233" s="113">
        <f>IFERROR(VLOOKUP($A233,YTD!$A$13:$D$1048576,3,0),0)</f>
        <v>-1361849.33</v>
      </c>
      <c r="R233" s="116">
        <f>IFERROR(VLOOKUP($A233,YTD!$A$13:$D$1048576,4,0),0)</f>
        <v>0</v>
      </c>
      <c r="S233" s="113"/>
      <c r="T233" s="113"/>
      <c r="U233" s="112" t="s">
        <v>307</v>
      </c>
      <c r="V233" s="114">
        <v>0</v>
      </c>
      <c r="W233" s="114">
        <v>0</v>
      </c>
      <c r="X233" s="115">
        <v>0</v>
      </c>
      <c r="Y233" s="113">
        <v>0</v>
      </c>
      <c r="Z233" s="113">
        <v>-126159.87</v>
      </c>
      <c r="AA233" s="113">
        <v>-86114.5</v>
      </c>
      <c r="AB233" s="113">
        <v>-110133.4</v>
      </c>
      <c r="AC233" s="113">
        <v>-101048.64</v>
      </c>
      <c r="AD233" s="113">
        <v>-76631.86</v>
      </c>
      <c r="AE233" s="113">
        <v>-92670.8</v>
      </c>
      <c r="AF233" s="113">
        <v>-100810.44</v>
      </c>
      <c r="AG233" s="113">
        <v>-108632.83</v>
      </c>
      <c r="AH233" s="113">
        <v>-148582.16</v>
      </c>
      <c r="AI233" s="113">
        <v>-162647.51999999999</v>
      </c>
      <c r="AJ233" s="113">
        <v>-126603.82</v>
      </c>
      <c r="AK233" s="113">
        <f t="shared" si="13"/>
        <v>-121813.49</v>
      </c>
      <c r="AM233" s="309"/>
    </row>
    <row r="234" spans="1:39" x14ac:dyDescent="0.3">
      <c r="A234" s="109" t="str">
        <f t="shared" si="12"/>
        <v>credit*   CS_Indirect Labour</v>
      </c>
      <c r="B234" s="117" t="s">
        <v>217</v>
      </c>
      <c r="C234" s="118">
        <f>IFERROR(VLOOKUP($A234,MTD!$A$13:$D$1048576,3,0),0)</f>
        <v>-135108.62</v>
      </c>
      <c r="D234" s="118">
        <f>IFERROR(VLOOKUP($A234,MTD!$A$13:$D$1048576,4,0),0)</f>
        <v>-228680.84</v>
      </c>
      <c r="E234" s="118"/>
      <c r="F234" s="118"/>
      <c r="G234" s="117" t="s">
        <v>217</v>
      </c>
      <c r="H234" s="119">
        <v>0</v>
      </c>
      <c r="I234" s="119">
        <v>0</v>
      </c>
      <c r="J234" s="120">
        <v>0</v>
      </c>
      <c r="K234" s="118">
        <v>0</v>
      </c>
      <c r="P234" s="117" t="s">
        <v>217</v>
      </c>
      <c r="Q234" s="118">
        <f>IFERROR(VLOOKUP($A234,YTD!$A$13:$D$1048576,3,0),0)</f>
        <v>-1748887.95</v>
      </c>
      <c r="R234" s="118">
        <f>IFERROR(VLOOKUP($A234,YTD!$A$13:$D$1048576,4,0),0)</f>
        <v>-2008804.17</v>
      </c>
      <c r="S234" s="118"/>
      <c r="T234" s="118"/>
      <c r="U234" s="117" t="s">
        <v>217</v>
      </c>
      <c r="V234" s="119">
        <v>0</v>
      </c>
      <c r="W234" s="119">
        <v>0</v>
      </c>
      <c r="X234" s="120">
        <v>0</v>
      </c>
      <c r="Y234" s="118">
        <v>0</v>
      </c>
      <c r="Z234" s="118">
        <v>-165362.45000000001</v>
      </c>
      <c r="AA234" s="118">
        <v>-111225.4</v>
      </c>
      <c r="AB234" s="118">
        <v>-135748.82</v>
      </c>
      <c r="AC234" s="118">
        <v>-121804.67</v>
      </c>
      <c r="AD234" s="118">
        <v>-98971.7</v>
      </c>
      <c r="AE234" s="118">
        <v>-115673.60000000001</v>
      </c>
      <c r="AF234" s="118">
        <v>-123930.88</v>
      </c>
      <c r="AG234" s="118">
        <v>-145590.87</v>
      </c>
      <c r="AH234" s="118">
        <v>-190801.94</v>
      </c>
      <c r="AI234" s="118">
        <v>-223385.5</v>
      </c>
      <c r="AJ234" s="118">
        <v>-181283.5</v>
      </c>
      <c r="AK234" s="118">
        <f t="shared" si="13"/>
        <v>-135108.62</v>
      </c>
      <c r="AM234" s="309"/>
    </row>
    <row r="235" spans="1:39" x14ac:dyDescent="0.3">
      <c r="A235" s="109" t="str">
        <f t="shared" si="12"/>
        <v>credit    6666010196  Payroll Taxes-White Collar Employee</v>
      </c>
      <c r="B235" s="112" t="s">
        <v>308</v>
      </c>
      <c r="C235" s="113">
        <f>IFERROR(VLOOKUP($A235,MTD!$A$13:$D$1048576,3,0),0)</f>
        <v>-10639.43</v>
      </c>
      <c r="D235" s="116">
        <f>IFERROR(VLOOKUP($A235,MTD!$A$13:$D$1048576,4,0),0)</f>
        <v>0</v>
      </c>
      <c r="E235" s="113"/>
      <c r="F235" s="113"/>
      <c r="G235" s="112" t="s">
        <v>308</v>
      </c>
      <c r="H235" s="114">
        <v>0</v>
      </c>
      <c r="I235" s="114">
        <v>0</v>
      </c>
      <c r="J235" s="115">
        <v>0</v>
      </c>
      <c r="K235" s="113">
        <v>0</v>
      </c>
      <c r="P235" s="112" t="s">
        <v>308</v>
      </c>
      <c r="Q235" s="113">
        <f>IFERROR(VLOOKUP($A235,YTD!$A$13:$D$1048576,3,0),0)</f>
        <v>-145354.54</v>
      </c>
      <c r="R235" s="116">
        <f>IFERROR(VLOOKUP($A235,YTD!$A$13:$D$1048576,4,0),0)</f>
        <v>0</v>
      </c>
      <c r="S235" s="113"/>
      <c r="T235" s="113"/>
      <c r="U235" s="112" t="s">
        <v>308</v>
      </c>
      <c r="V235" s="114">
        <v>0</v>
      </c>
      <c r="W235" s="114">
        <v>0</v>
      </c>
      <c r="X235" s="115">
        <v>0</v>
      </c>
      <c r="Y235" s="113">
        <v>0</v>
      </c>
      <c r="Z235" s="113">
        <v>-14002.36</v>
      </c>
      <c r="AA235" s="113">
        <v>-13300.36</v>
      </c>
      <c r="AB235" s="113">
        <v>-14157.92</v>
      </c>
      <c r="AC235" s="113">
        <v>-12606.21</v>
      </c>
      <c r="AD235" s="113">
        <v>-13247.54</v>
      </c>
      <c r="AE235" s="113">
        <v>-12107.72</v>
      </c>
      <c r="AF235" s="113">
        <v>-11361.08</v>
      </c>
      <c r="AG235" s="113">
        <v>-11132.58</v>
      </c>
      <c r="AH235" s="113">
        <v>-11043.58</v>
      </c>
      <c r="AI235" s="113">
        <v>-10949.75</v>
      </c>
      <c r="AJ235" s="113">
        <v>-10806.01</v>
      </c>
      <c r="AK235" s="113">
        <f t="shared" si="13"/>
        <v>-10639.43</v>
      </c>
      <c r="AM235" s="309"/>
    </row>
    <row r="236" spans="1:39" x14ac:dyDescent="0.3">
      <c r="A236" s="109" t="str">
        <f t="shared" si="12"/>
        <v>credit    6666010101  Salary - White collar employees</v>
      </c>
      <c r="B236" s="112" t="s">
        <v>309</v>
      </c>
      <c r="C236" s="113">
        <f>IFERROR(VLOOKUP($A236,MTD!$A$13:$D$1048576,3,0),0)</f>
        <v>-67625.600000000006</v>
      </c>
      <c r="D236" s="113">
        <f>IFERROR(VLOOKUP($A236,MTD!$A$13:$D$1048576,4,0),0)</f>
        <v>-25018.78</v>
      </c>
      <c r="E236" s="113"/>
      <c r="F236" s="113"/>
      <c r="G236" s="112" t="s">
        <v>309</v>
      </c>
      <c r="H236" s="114">
        <v>0</v>
      </c>
      <c r="I236" s="114">
        <v>0</v>
      </c>
      <c r="J236" s="115">
        <v>0</v>
      </c>
      <c r="K236" s="113">
        <v>0</v>
      </c>
      <c r="P236" s="112" t="s">
        <v>309</v>
      </c>
      <c r="Q236" s="113">
        <f>IFERROR(VLOOKUP($A236,YTD!$A$13:$D$1048576,3,0),0)</f>
        <v>-946261.85</v>
      </c>
      <c r="R236" s="113">
        <f>IFERROR(VLOOKUP($A236,YTD!$A$13:$D$1048576,4,0),0)</f>
        <v>-300519.55</v>
      </c>
      <c r="S236" s="113"/>
      <c r="T236" s="113"/>
      <c r="U236" s="112" t="s">
        <v>309</v>
      </c>
      <c r="V236" s="114">
        <v>0</v>
      </c>
      <c r="W236" s="114">
        <v>0</v>
      </c>
      <c r="X236" s="115">
        <v>0</v>
      </c>
      <c r="Y236" s="113">
        <v>0</v>
      </c>
      <c r="Z236" s="113">
        <v>-90200.85</v>
      </c>
      <c r="AA236" s="113">
        <v>-82861</v>
      </c>
      <c r="AB236" s="113">
        <v>-81610.59</v>
      </c>
      <c r="AC236" s="113">
        <v>-124767.63</v>
      </c>
      <c r="AD236" s="113">
        <v>-86808.4</v>
      </c>
      <c r="AE236" s="113">
        <v>-76281.990000000005</v>
      </c>
      <c r="AF236" s="113">
        <v>-70524.06</v>
      </c>
      <c r="AG236" s="113">
        <v>-65966.460000000006</v>
      </c>
      <c r="AH236" s="113">
        <v>-65679.33</v>
      </c>
      <c r="AI236" s="113">
        <v>-69188.160000000003</v>
      </c>
      <c r="AJ236" s="113">
        <v>-64747.78</v>
      </c>
      <c r="AK236" s="113">
        <f t="shared" si="13"/>
        <v>-67625.600000000006</v>
      </c>
      <c r="AM236" s="309"/>
    </row>
    <row r="237" spans="1:39" x14ac:dyDescent="0.3">
      <c r="A237" s="109" t="str">
        <f t="shared" si="12"/>
        <v>credit    6666010199  Salary-White collar employees -Accrued</v>
      </c>
      <c r="B237" s="112" t="s">
        <v>310</v>
      </c>
      <c r="C237" s="113">
        <f>IFERROR(VLOOKUP($A237,MTD!$A$13:$D$1048576,3,0),0)</f>
        <v>-4055.66</v>
      </c>
      <c r="D237" s="116">
        <f>IFERROR(VLOOKUP($A237,MTD!$A$13:$D$1048576,4,0),0)</f>
        <v>0</v>
      </c>
      <c r="E237" s="113"/>
      <c r="F237" s="113"/>
      <c r="G237" s="112" t="s">
        <v>310</v>
      </c>
      <c r="H237" s="114">
        <v>0</v>
      </c>
      <c r="I237" s="114">
        <v>0</v>
      </c>
      <c r="J237" s="115">
        <v>0</v>
      </c>
      <c r="K237" s="113">
        <v>0</v>
      </c>
      <c r="P237" s="112" t="s">
        <v>310</v>
      </c>
      <c r="Q237" s="113">
        <f>IFERROR(VLOOKUP($A237,YTD!$A$13:$D$1048576,3,0),0)</f>
        <v>-3230.47</v>
      </c>
      <c r="R237" s="116">
        <f>IFERROR(VLOOKUP($A237,YTD!$A$13:$D$1048576,4,0),0)</f>
        <v>0</v>
      </c>
      <c r="S237" s="113"/>
      <c r="T237" s="113"/>
      <c r="U237" s="112" t="s">
        <v>310</v>
      </c>
      <c r="V237" s="114">
        <v>0</v>
      </c>
      <c r="W237" s="114">
        <v>0</v>
      </c>
      <c r="X237" s="115">
        <v>0</v>
      </c>
      <c r="Y237" s="113">
        <v>0</v>
      </c>
      <c r="Z237" s="113">
        <v>-21142.97</v>
      </c>
      <c r="AA237" s="113">
        <v>4732.54</v>
      </c>
      <c r="AB237" s="113">
        <v>-6160.17</v>
      </c>
      <c r="AC237" s="113">
        <v>42558.52</v>
      </c>
      <c r="AD237" s="113">
        <v>-4841.6099999999997</v>
      </c>
      <c r="AE237" s="113">
        <v>4503.79</v>
      </c>
      <c r="AF237" s="113">
        <v>-931.3</v>
      </c>
      <c r="AG237" s="113">
        <v>-7094.95</v>
      </c>
      <c r="AH237" s="113">
        <v>-4317.18</v>
      </c>
      <c r="AI237" s="113">
        <v>-2406.9499999999998</v>
      </c>
      <c r="AJ237" s="113">
        <v>-4074.53</v>
      </c>
      <c r="AK237" s="113">
        <f t="shared" si="13"/>
        <v>-4055.66</v>
      </c>
      <c r="AM237" s="309"/>
    </row>
    <row r="238" spans="1:39" x14ac:dyDescent="0.3">
      <c r="A238" s="109" t="str">
        <f t="shared" si="12"/>
        <v>credit    6666010185  Salary&amp;Additional Incentive-White Collar</v>
      </c>
      <c r="B238" s="112" t="s">
        <v>311</v>
      </c>
      <c r="C238" s="113">
        <f>IFERROR(VLOOKUP($A238,MTD!$A$13:$D$1048576,3,0),0)</f>
        <v>237.48</v>
      </c>
      <c r="D238" s="116">
        <f>IFERROR(VLOOKUP($A238,MTD!$A$13:$D$1048576,4,0),0)</f>
        <v>0</v>
      </c>
      <c r="E238" s="113"/>
      <c r="F238" s="113"/>
      <c r="G238" s="112" t="s">
        <v>311</v>
      </c>
      <c r="H238" s="114">
        <v>0</v>
      </c>
      <c r="I238" s="114">
        <v>0</v>
      </c>
      <c r="J238" s="115">
        <v>0</v>
      </c>
      <c r="K238" s="113">
        <v>0</v>
      </c>
      <c r="P238" s="112" t="s">
        <v>311</v>
      </c>
      <c r="Q238" s="113">
        <f>IFERROR(VLOOKUP($A238,YTD!$A$13:$D$1048576,3,0),0)</f>
        <v>7811.03</v>
      </c>
      <c r="R238" s="116">
        <f>IFERROR(VLOOKUP($A238,YTD!$A$13:$D$1048576,4,0),0)</f>
        <v>0</v>
      </c>
      <c r="S238" s="113"/>
      <c r="T238" s="113"/>
      <c r="U238" s="112" t="s">
        <v>311</v>
      </c>
      <c r="V238" s="114">
        <v>0</v>
      </c>
      <c r="W238" s="114">
        <v>0</v>
      </c>
      <c r="X238" s="115">
        <v>0</v>
      </c>
      <c r="Y238" s="113">
        <v>0</v>
      </c>
      <c r="Z238" s="113">
        <v>873.49</v>
      </c>
      <c r="AA238" s="113">
        <v>1296.32</v>
      </c>
      <c r="AB238" s="113">
        <v>1295.77</v>
      </c>
      <c r="AC238" s="113">
        <v>827.59</v>
      </c>
      <c r="AD238" s="113">
        <v>907.4</v>
      </c>
      <c r="AE238" s="113">
        <v>1143.03</v>
      </c>
      <c r="AF238" s="113">
        <v>775.24</v>
      </c>
      <c r="AG238" s="113">
        <v>752.29</v>
      </c>
      <c r="AH238" s="113">
        <v>-789.38</v>
      </c>
      <c r="AI238" s="113">
        <v>247.88</v>
      </c>
      <c r="AJ238" s="113">
        <v>243.92</v>
      </c>
      <c r="AK238" s="113">
        <f t="shared" si="13"/>
        <v>237.48</v>
      </c>
      <c r="AM238" s="309"/>
    </row>
    <row r="239" spans="1:39" x14ac:dyDescent="0.3">
      <c r="A239" s="109" t="str">
        <f t="shared" si="12"/>
        <v>credit    6666010207  Unemployment insurance companies to pay</v>
      </c>
      <c r="B239" s="112" t="s">
        <v>312</v>
      </c>
      <c r="C239" s="113">
        <f>IFERROR(VLOOKUP($A239,MTD!$A$13:$D$1048576,3,0),0)</f>
        <v>-1021.94</v>
      </c>
      <c r="D239" s="116">
        <f>IFERROR(VLOOKUP($A239,MTD!$A$13:$D$1048576,4,0),0)</f>
        <v>0</v>
      </c>
      <c r="E239" s="113"/>
      <c r="F239" s="113"/>
      <c r="G239" s="112" t="s">
        <v>312</v>
      </c>
      <c r="H239" s="114">
        <v>0</v>
      </c>
      <c r="I239" s="114">
        <v>0</v>
      </c>
      <c r="J239" s="115">
        <v>0</v>
      </c>
      <c r="K239" s="113">
        <v>0</v>
      </c>
      <c r="P239" s="112" t="s">
        <v>312</v>
      </c>
      <c r="Q239" s="113">
        <f>IFERROR(VLOOKUP($A239,YTD!$A$13:$D$1048576,3,0),0)</f>
        <v>-13365.92</v>
      </c>
      <c r="R239" s="116">
        <f>IFERROR(VLOOKUP($A239,YTD!$A$13:$D$1048576,4,0),0)</f>
        <v>0</v>
      </c>
      <c r="S239" s="113"/>
      <c r="T239" s="113"/>
      <c r="U239" s="112" t="s">
        <v>312</v>
      </c>
      <c r="V239" s="114">
        <v>0</v>
      </c>
      <c r="W239" s="114">
        <v>0</v>
      </c>
      <c r="X239" s="115">
        <v>0</v>
      </c>
      <c r="Y239" s="113">
        <v>0</v>
      </c>
      <c r="Z239" s="113">
        <v>-1228.17</v>
      </c>
      <c r="AA239" s="113">
        <v>-1201.5899999999999</v>
      </c>
      <c r="AB239" s="113">
        <v>-1224.46</v>
      </c>
      <c r="AC239" s="113">
        <v>-1082.06</v>
      </c>
      <c r="AD239" s="113">
        <v>-1152.7</v>
      </c>
      <c r="AE239" s="113">
        <v>-1166.96</v>
      </c>
      <c r="AF239" s="113">
        <v>-1086.25</v>
      </c>
      <c r="AG239" s="113">
        <v>-1067.68</v>
      </c>
      <c r="AH239" s="113">
        <v>-1049.8</v>
      </c>
      <c r="AI239" s="113">
        <v>-1049.74</v>
      </c>
      <c r="AJ239" s="113">
        <v>-1034.57</v>
      </c>
      <c r="AK239" s="113">
        <f t="shared" si="13"/>
        <v>-1021.94</v>
      </c>
      <c r="AM239" s="309"/>
    </row>
    <row r="240" spans="1:39" x14ac:dyDescent="0.3">
      <c r="A240" s="109" t="str">
        <f t="shared" si="12"/>
        <v>credit    6666010227  Staff Leaving Indemnity - White collar E</v>
      </c>
      <c r="B240" s="112" t="s">
        <v>314</v>
      </c>
      <c r="C240" s="113">
        <f>IFERROR(VLOOKUP($A240,MTD!$A$13:$D$1048576,3,0),0)</f>
        <v>-1498.04</v>
      </c>
      <c r="D240" s="116">
        <f>IFERROR(VLOOKUP($A240,MTD!$A$13:$D$1048576,4,0),0)</f>
        <v>0</v>
      </c>
      <c r="E240" s="113"/>
      <c r="F240" s="113"/>
      <c r="G240" s="112" t="s">
        <v>314</v>
      </c>
      <c r="H240" s="114">
        <v>0</v>
      </c>
      <c r="I240" s="114">
        <v>0</v>
      </c>
      <c r="J240" s="115">
        <v>0</v>
      </c>
      <c r="K240" s="113">
        <v>0</v>
      </c>
      <c r="P240" s="112" t="s">
        <v>314</v>
      </c>
      <c r="Q240" s="113">
        <f>IFERROR(VLOOKUP($A240,YTD!$A$13:$D$1048576,3,0),0)</f>
        <v>-16414.21</v>
      </c>
      <c r="R240" s="116">
        <f>IFERROR(VLOOKUP($A240,YTD!$A$13:$D$1048576,4,0),0)</f>
        <v>0</v>
      </c>
      <c r="S240" s="113"/>
      <c r="T240" s="113"/>
      <c r="U240" s="112" t="s">
        <v>314</v>
      </c>
      <c r="V240" s="114">
        <v>0</v>
      </c>
      <c r="W240" s="114">
        <v>0</v>
      </c>
      <c r="X240" s="115">
        <v>0</v>
      </c>
      <c r="Y240" s="113">
        <v>0</v>
      </c>
      <c r="Z240" s="113">
        <v>11395.63</v>
      </c>
      <c r="AA240" s="113">
        <v>-14242.61</v>
      </c>
      <c r="AB240" s="113">
        <v>-1264.48</v>
      </c>
      <c r="AC240" s="113">
        <v>-1257.72</v>
      </c>
      <c r="AD240" s="113">
        <v>-1277.8900000000001</v>
      </c>
      <c r="AE240" s="113">
        <v>-1215.73</v>
      </c>
      <c r="AF240" s="113">
        <v>-1248.5</v>
      </c>
      <c r="AG240" s="113">
        <v>-1411.99</v>
      </c>
      <c r="AH240" s="113">
        <v>-1430.43</v>
      </c>
      <c r="AI240" s="113">
        <v>-1462.31</v>
      </c>
      <c r="AJ240" s="113">
        <v>-1500.14</v>
      </c>
      <c r="AK240" s="113">
        <f t="shared" si="13"/>
        <v>-1498.04</v>
      </c>
      <c r="AM240" s="309"/>
    </row>
    <row r="241" spans="1:39" x14ac:dyDescent="0.3">
      <c r="A241" s="109" t="str">
        <f t="shared" si="12"/>
        <v>credit*   CS_Fixed Labour</v>
      </c>
      <c r="B241" s="117" t="s">
        <v>218</v>
      </c>
      <c r="C241" s="118">
        <f>IFERROR(VLOOKUP($A241,MTD!$A$13:$D$1048576,3,0),0)</f>
        <v>-84603.19</v>
      </c>
      <c r="D241" s="118">
        <f>IFERROR(VLOOKUP($A241,MTD!$A$13:$D$1048576,4,0),0)</f>
        <v>-25018.78</v>
      </c>
      <c r="E241" s="118"/>
      <c r="F241" s="118"/>
      <c r="G241" s="117" t="s">
        <v>218</v>
      </c>
      <c r="H241" s="119">
        <v>0</v>
      </c>
      <c r="I241" s="119">
        <v>0</v>
      </c>
      <c r="J241" s="120">
        <v>0</v>
      </c>
      <c r="K241" s="118">
        <v>0</v>
      </c>
      <c r="P241" s="117" t="s">
        <v>218</v>
      </c>
      <c r="Q241" s="118">
        <f>IFERROR(VLOOKUP($A241,YTD!$A$13:$D$1048576,3,0),0)</f>
        <v>-1116815.96</v>
      </c>
      <c r="R241" s="118">
        <f>IFERROR(VLOOKUP($A241,YTD!$A$13:$D$1048576,4,0),0)</f>
        <v>-300519.55</v>
      </c>
      <c r="S241" s="118"/>
      <c r="T241" s="118"/>
      <c r="U241" s="117" t="s">
        <v>218</v>
      </c>
      <c r="V241" s="119">
        <v>0</v>
      </c>
      <c r="W241" s="119">
        <v>0</v>
      </c>
      <c r="X241" s="120">
        <v>0</v>
      </c>
      <c r="Y241" s="118">
        <v>0</v>
      </c>
      <c r="Z241" s="118">
        <v>-114305.23</v>
      </c>
      <c r="AA241" s="118">
        <v>-105576.7</v>
      </c>
      <c r="AB241" s="118">
        <v>-103121.85</v>
      </c>
      <c r="AC241" s="118">
        <v>-96327.51</v>
      </c>
      <c r="AD241" s="118">
        <v>-106420.74</v>
      </c>
      <c r="AE241" s="118">
        <v>-85125.58</v>
      </c>
      <c r="AF241" s="118">
        <v>-84375.95</v>
      </c>
      <c r="AG241" s="118">
        <v>-85921.37</v>
      </c>
      <c r="AH241" s="118">
        <v>-84309.7</v>
      </c>
      <c r="AI241" s="118">
        <v>-84809.03</v>
      </c>
      <c r="AJ241" s="118">
        <v>-81919.11</v>
      </c>
      <c r="AK241" s="118">
        <f t="shared" si="13"/>
        <v>-84603.19</v>
      </c>
      <c r="AM241" s="309"/>
    </row>
    <row r="242" spans="1:39" x14ac:dyDescent="0.3">
      <c r="A242" s="109" t="str">
        <f t="shared" si="12"/>
        <v>credit    6666020903  Other materials</v>
      </c>
      <c r="B242" s="112" t="s">
        <v>315</v>
      </c>
      <c r="C242" s="116">
        <f>IFERROR(VLOOKUP($A242,MTD!$A$13:$D$1048576,3,0),0)</f>
        <v>0</v>
      </c>
      <c r="D242" s="116">
        <f>IFERROR(VLOOKUP($A242,MTD!$A$13:$D$1048576,4,0),0)</f>
        <v>0</v>
      </c>
      <c r="E242" s="113"/>
      <c r="F242" s="113"/>
      <c r="G242" s="112" t="s">
        <v>315</v>
      </c>
      <c r="H242" s="114">
        <v>0</v>
      </c>
      <c r="I242" s="114">
        <v>0</v>
      </c>
      <c r="J242" s="115">
        <v>0</v>
      </c>
      <c r="K242" s="113">
        <v>0</v>
      </c>
      <c r="P242" s="112" t="s">
        <v>315</v>
      </c>
      <c r="Q242" s="116">
        <f>IFERROR(VLOOKUP($A242,YTD!$A$13:$D$1048576,3,0),0)</f>
        <v>3.33</v>
      </c>
      <c r="R242" s="116">
        <f>IFERROR(VLOOKUP($A242,YTD!$A$13:$D$1048576,4,0),0)</f>
        <v>0</v>
      </c>
      <c r="S242" s="113"/>
      <c r="T242" s="113"/>
      <c r="U242" s="112" t="s">
        <v>315</v>
      </c>
      <c r="V242" s="114">
        <v>0</v>
      </c>
      <c r="W242" s="114">
        <v>0</v>
      </c>
      <c r="X242" s="115">
        <v>0</v>
      </c>
      <c r="Y242" s="113">
        <v>0</v>
      </c>
      <c r="Z242" s="113">
        <v>0</v>
      </c>
      <c r="AA242" s="113">
        <v>0</v>
      </c>
      <c r="AB242" s="113">
        <v>0</v>
      </c>
      <c r="AC242" s="113">
        <v>0</v>
      </c>
      <c r="AD242" s="113">
        <v>0</v>
      </c>
      <c r="AE242" s="113">
        <v>0</v>
      </c>
      <c r="AF242" s="113">
        <v>0</v>
      </c>
      <c r="AG242" s="113">
        <v>3.33</v>
      </c>
      <c r="AH242" s="113">
        <v>0</v>
      </c>
      <c r="AI242" s="113">
        <v>0</v>
      </c>
      <c r="AJ242" s="113">
        <v>0</v>
      </c>
      <c r="AK242" s="113">
        <f t="shared" si="13"/>
        <v>0</v>
      </c>
      <c r="AM242" s="309"/>
    </row>
    <row r="243" spans="1:39" x14ac:dyDescent="0.3">
      <c r="A243" s="109" t="str">
        <f t="shared" si="12"/>
        <v>credit    6666010302  Medical expenses</v>
      </c>
      <c r="B243" s="112" t="s">
        <v>316</v>
      </c>
      <c r="C243" s="113">
        <f>IFERROR(VLOOKUP($A243,MTD!$A$13:$D$1048576,3,0),0)</f>
        <v>-1070.48</v>
      </c>
      <c r="D243" s="113">
        <f>IFERROR(VLOOKUP($A243,MTD!$A$13:$D$1048576,4,0),0)</f>
        <v>-8296.6299999999992</v>
      </c>
      <c r="E243" s="113"/>
      <c r="F243" s="113"/>
      <c r="G243" s="112" t="s">
        <v>316</v>
      </c>
      <c r="H243" s="114">
        <v>0</v>
      </c>
      <c r="I243" s="114">
        <v>0</v>
      </c>
      <c r="J243" s="115">
        <v>0</v>
      </c>
      <c r="K243" s="113">
        <v>0</v>
      </c>
      <c r="P243" s="112" t="s">
        <v>316</v>
      </c>
      <c r="Q243" s="113">
        <f>IFERROR(VLOOKUP($A243,YTD!$A$13:$D$1048576,3,0),0)</f>
        <v>-35806.14</v>
      </c>
      <c r="R243" s="113">
        <f>IFERROR(VLOOKUP($A243,YTD!$A$13:$D$1048576,4,0),0)</f>
        <v>-99559.56</v>
      </c>
      <c r="S243" s="113"/>
      <c r="T243" s="113"/>
      <c r="U243" s="112" t="s">
        <v>316</v>
      </c>
      <c r="V243" s="114">
        <v>0</v>
      </c>
      <c r="W243" s="114">
        <v>0</v>
      </c>
      <c r="X243" s="115">
        <v>0</v>
      </c>
      <c r="Y243" s="113">
        <v>0</v>
      </c>
      <c r="Z243" s="113">
        <v>-5150.01</v>
      </c>
      <c r="AA243" s="113">
        <v>-4104.8100000000004</v>
      </c>
      <c r="AB243" s="113">
        <v>-2365.17</v>
      </c>
      <c r="AC243" s="113">
        <v>-2529.73</v>
      </c>
      <c r="AD243" s="113">
        <v>-2324.21</v>
      </c>
      <c r="AE243" s="113">
        <v>-1176.31</v>
      </c>
      <c r="AF243" s="113">
        <v>-1938.36</v>
      </c>
      <c r="AG243" s="113">
        <v>-2396.09</v>
      </c>
      <c r="AH243" s="113">
        <v>-7886.63</v>
      </c>
      <c r="AI243" s="113">
        <v>-2370.88</v>
      </c>
      <c r="AJ243" s="113">
        <v>-2493.46</v>
      </c>
      <c r="AK243" s="113">
        <f t="shared" si="13"/>
        <v>-1070.48</v>
      </c>
      <c r="AM243" s="309"/>
    </row>
    <row r="244" spans="1:39" x14ac:dyDescent="0.3">
      <c r="A244" s="109" t="str">
        <f t="shared" si="12"/>
        <v>credit    6666010314  Work uniforms</v>
      </c>
      <c r="B244" s="112" t="s">
        <v>317</v>
      </c>
      <c r="C244" s="113">
        <f>IFERROR(VLOOKUP($A244,MTD!$A$13:$D$1048576,3,0),0)</f>
        <v>-1841.71</v>
      </c>
      <c r="D244" s="113">
        <f>IFERROR(VLOOKUP($A244,MTD!$A$13:$D$1048576,4,0),0)</f>
        <v>-34917.879999999997</v>
      </c>
      <c r="E244" s="113"/>
      <c r="F244" s="113"/>
      <c r="G244" s="112" t="s">
        <v>317</v>
      </c>
      <c r="H244" s="114">
        <v>0</v>
      </c>
      <c r="I244" s="114">
        <v>0</v>
      </c>
      <c r="J244" s="115">
        <v>0</v>
      </c>
      <c r="K244" s="113">
        <v>0</v>
      </c>
      <c r="P244" s="112" t="s">
        <v>317</v>
      </c>
      <c r="Q244" s="113">
        <f>IFERROR(VLOOKUP($A244,YTD!$A$13:$D$1048576,3,0),0)</f>
        <v>-215930.37</v>
      </c>
      <c r="R244" s="113">
        <f>IFERROR(VLOOKUP($A244,YTD!$A$13:$D$1048576,4,0),0)</f>
        <v>-419014.56</v>
      </c>
      <c r="S244" s="113"/>
      <c r="T244" s="113"/>
      <c r="U244" s="112" t="s">
        <v>317</v>
      </c>
      <c r="V244" s="114">
        <v>0</v>
      </c>
      <c r="W244" s="114">
        <v>0</v>
      </c>
      <c r="X244" s="115">
        <v>0</v>
      </c>
      <c r="Y244" s="113">
        <v>0</v>
      </c>
      <c r="Z244" s="113">
        <v>-23793.09</v>
      </c>
      <c r="AA244" s="113">
        <v>-29574.76</v>
      </c>
      <c r="AB244" s="113">
        <v>-35450.089999999997</v>
      </c>
      <c r="AC244" s="113">
        <v>-22592.49</v>
      </c>
      <c r="AD244" s="113">
        <v>-21754.12</v>
      </c>
      <c r="AE244" s="113">
        <v>428.57</v>
      </c>
      <c r="AF244" s="113">
        <v>-1141.03</v>
      </c>
      <c r="AG244" s="113">
        <v>-174.77</v>
      </c>
      <c r="AH244" s="113">
        <v>-66493.86</v>
      </c>
      <c r="AI244" s="113">
        <v>-14009.17</v>
      </c>
      <c r="AJ244" s="113">
        <v>466.15</v>
      </c>
      <c r="AK244" s="113">
        <f t="shared" si="13"/>
        <v>-1841.71</v>
      </c>
      <c r="AM244" s="309"/>
    </row>
    <row r="245" spans="1:39" x14ac:dyDescent="0.3">
      <c r="A245" s="109" t="str">
        <f t="shared" si="12"/>
        <v>credit    6666020401  local transportation - bus and taxi</v>
      </c>
      <c r="B245" s="112" t="s">
        <v>318</v>
      </c>
      <c r="C245" s="113">
        <f>IFERROR(VLOOKUP($A245,MTD!$A$13:$D$1048576,3,0),0)</f>
        <v>-57201.11</v>
      </c>
      <c r="D245" s="113">
        <f>IFERROR(VLOOKUP($A245,MTD!$A$13:$D$1048576,4,0),0)</f>
        <v>-110222.22</v>
      </c>
      <c r="E245" s="113"/>
      <c r="F245" s="113"/>
      <c r="G245" s="112" t="s">
        <v>318</v>
      </c>
      <c r="H245" s="114">
        <v>0</v>
      </c>
      <c r="I245" s="114">
        <v>0</v>
      </c>
      <c r="J245" s="115">
        <v>0</v>
      </c>
      <c r="K245" s="113">
        <v>0</v>
      </c>
      <c r="P245" s="112" t="s">
        <v>318</v>
      </c>
      <c r="Q245" s="113">
        <f>IFERROR(VLOOKUP($A245,YTD!$A$13:$D$1048576,3,0),0)</f>
        <v>-567469.54</v>
      </c>
      <c r="R245" s="113">
        <f>IFERROR(VLOOKUP($A245,YTD!$A$13:$D$1048576,4,0),0)</f>
        <v>-871485.58</v>
      </c>
      <c r="S245" s="113"/>
      <c r="T245" s="113"/>
      <c r="U245" s="112" t="s">
        <v>318</v>
      </c>
      <c r="V245" s="114">
        <v>0</v>
      </c>
      <c r="W245" s="114">
        <v>0</v>
      </c>
      <c r="X245" s="115">
        <v>0</v>
      </c>
      <c r="Y245" s="113">
        <v>0</v>
      </c>
      <c r="Z245" s="113">
        <v>-56881.75</v>
      </c>
      <c r="AA245" s="113">
        <v>-51775.65</v>
      </c>
      <c r="AB245" s="113">
        <v>-36753.15</v>
      </c>
      <c r="AC245" s="113">
        <v>-35231.919999999998</v>
      </c>
      <c r="AD245" s="113">
        <v>-33297.33</v>
      </c>
      <c r="AE245" s="113">
        <v>-31332.48</v>
      </c>
      <c r="AF245" s="113">
        <v>-38815.1</v>
      </c>
      <c r="AG245" s="113">
        <v>-54376.32</v>
      </c>
      <c r="AH245" s="113">
        <v>-56018.22</v>
      </c>
      <c r="AI245" s="113">
        <v>-59378.93</v>
      </c>
      <c r="AJ245" s="113">
        <v>-56407.58</v>
      </c>
      <c r="AK245" s="113">
        <f t="shared" si="13"/>
        <v>-57201.11</v>
      </c>
      <c r="AM245" s="309"/>
    </row>
    <row r="246" spans="1:39" x14ac:dyDescent="0.3">
      <c r="A246" s="109" t="str">
        <f t="shared" si="12"/>
        <v>credit    6666020502  Working meals</v>
      </c>
      <c r="B246" s="112" t="s">
        <v>320</v>
      </c>
      <c r="C246" s="113">
        <f>IFERROR(VLOOKUP($A246,MTD!$A$13:$D$1048576,3,0),0)</f>
        <v>-56521</v>
      </c>
      <c r="D246" s="113">
        <f>IFERROR(VLOOKUP($A246,MTD!$A$13:$D$1048576,4,0),0)</f>
        <v>-91689.12</v>
      </c>
      <c r="E246" s="113"/>
      <c r="F246" s="113"/>
      <c r="G246" s="112" t="s">
        <v>320</v>
      </c>
      <c r="H246" s="114">
        <v>0</v>
      </c>
      <c r="I246" s="114">
        <v>0</v>
      </c>
      <c r="J246" s="115">
        <v>0</v>
      </c>
      <c r="K246" s="113">
        <v>0</v>
      </c>
      <c r="P246" s="112" t="s">
        <v>320</v>
      </c>
      <c r="Q246" s="113">
        <f>IFERROR(VLOOKUP($A246,YTD!$A$13:$D$1048576,3,0),0)</f>
        <v>-572493.43999999994</v>
      </c>
      <c r="R246" s="113">
        <f>IFERROR(VLOOKUP($A246,YTD!$A$13:$D$1048576,4,0),0)</f>
        <v>-746477.63</v>
      </c>
      <c r="S246" s="113"/>
      <c r="T246" s="113"/>
      <c r="U246" s="112" t="s">
        <v>320</v>
      </c>
      <c r="V246" s="114">
        <v>0</v>
      </c>
      <c r="W246" s="114">
        <v>0</v>
      </c>
      <c r="X246" s="115">
        <v>0</v>
      </c>
      <c r="Y246" s="113">
        <v>0</v>
      </c>
      <c r="Z246" s="113">
        <v>-57504.89</v>
      </c>
      <c r="AA246" s="113">
        <v>-49516.1</v>
      </c>
      <c r="AB246" s="113">
        <v>-41501.68</v>
      </c>
      <c r="AC246" s="113">
        <v>-35853.24</v>
      </c>
      <c r="AD246" s="113">
        <v>-35265.11</v>
      </c>
      <c r="AE246" s="113">
        <v>-29511.09</v>
      </c>
      <c r="AF246" s="113">
        <v>-34743.449999999997</v>
      </c>
      <c r="AG246" s="113">
        <v>-57893.56</v>
      </c>
      <c r="AH246" s="113">
        <v>-59051.78</v>
      </c>
      <c r="AI246" s="113">
        <v>-59962.3</v>
      </c>
      <c r="AJ246" s="113">
        <v>-55169.24</v>
      </c>
      <c r="AK246" s="113">
        <f t="shared" si="13"/>
        <v>-56521</v>
      </c>
      <c r="AM246" s="309"/>
    </row>
    <row r="247" spans="1:39" x14ac:dyDescent="0.3">
      <c r="A247" s="109" t="str">
        <f t="shared" si="12"/>
        <v>credit    6666020503  Office supplies</v>
      </c>
      <c r="B247" s="112" t="s">
        <v>321</v>
      </c>
      <c r="C247" s="113">
        <f>IFERROR(VLOOKUP($A247,MTD!$A$13:$D$1048576,3,0),0)</f>
        <v>2505.88</v>
      </c>
      <c r="D247" s="113">
        <f>IFERROR(VLOOKUP($A247,MTD!$A$13:$D$1048576,4,0),0)</f>
        <v>-2381.59</v>
      </c>
      <c r="E247" s="113"/>
      <c r="F247" s="113"/>
      <c r="G247" s="112" t="s">
        <v>321</v>
      </c>
      <c r="H247" s="114">
        <v>0</v>
      </c>
      <c r="I247" s="114">
        <v>0</v>
      </c>
      <c r="J247" s="115">
        <v>0</v>
      </c>
      <c r="K247" s="113">
        <v>0</v>
      </c>
      <c r="P247" s="112" t="s">
        <v>321</v>
      </c>
      <c r="Q247" s="113">
        <f>IFERROR(VLOOKUP($A247,YTD!$A$13:$D$1048576,3,0),0)</f>
        <v>-8335.7900000000009</v>
      </c>
      <c r="R247" s="113">
        <f>IFERROR(VLOOKUP($A247,YTD!$A$13:$D$1048576,4,0),0)</f>
        <v>-28579.08</v>
      </c>
      <c r="S247" s="113"/>
      <c r="T247" s="113"/>
      <c r="U247" s="112" t="s">
        <v>321</v>
      </c>
      <c r="V247" s="114">
        <v>0</v>
      </c>
      <c r="W247" s="114">
        <v>0</v>
      </c>
      <c r="X247" s="115">
        <v>0</v>
      </c>
      <c r="Y247" s="113">
        <v>0</v>
      </c>
      <c r="Z247" s="113">
        <v>-438.78</v>
      </c>
      <c r="AA247" s="113">
        <v>-1224.53</v>
      </c>
      <c r="AB247" s="113">
        <v>-783.8</v>
      </c>
      <c r="AC247" s="113">
        <v>-1010.28</v>
      </c>
      <c r="AD247" s="113">
        <v>-1005.69</v>
      </c>
      <c r="AE247" s="113">
        <v>-905.88</v>
      </c>
      <c r="AF247" s="113">
        <v>-971.26</v>
      </c>
      <c r="AG247" s="113">
        <v>-504.76</v>
      </c>
      <c r="AH247" s="113">
        <v>-146.79</v>
      </c>
      <c r="AI247" s="113">
        <v>-1868.65</v>
      </c>
      <c r="AJ247" s="113">
        <v>-1981.25</v>
      </c>
      <c r="AK247" s="113">
        <f t="shared" si="13"/>
        <v>2505.88</v>
      </c>
      <c r="AM247" s="309"/>
    </row>
    <row r="248" spans="1:39" x14ac:dyDescent="0.3">
      <c r="A248" s="109" t="str">
        <f t="shared" si="12"/>
        <v>credit    6666021500  Repairs cost</v>
      </c>
      <c r="B248" s="112" t="s">
        <v>322</v>
      </c>
      <c r="C248" s="113">
        <f>IFERROR(VLOOKUP($A248,MTD!$A$13:$D$1048576,3,0),0)</f>
        <v>0</v>
      </c>
      <c r="D248" s="116">
        <f>IFERROR(VLOOKUP($A248,MTD!$A$13:$D$1048576,4,0),0)</f>
        <v>0</v>
      </c>
      <c r="E248" s="113"/>
      <c r="F248" s="113"/>
      <c r="G248" s="112" t="s">
        <v>322</v>
      </c>
      <c r="H248" s="114">
        <v>0</v>
      </c>
      <c r="I248" s="114">
        <v>0</v>
      </c>
      <c r="J248" s="115">
        <v>0</v>
      </c>
      <c r="K248" s="113">
        <v>0</v>
      </c>
      <c r="P248" s="112" t="s">
        <v>322</v>
      </c>
      <c r="Q248" s="113">
        <f>IFERROR(VLOOKUP($A248,YTD!$A$13:$D$1048576,3,0),0)</f>
        <v>-3055.38</v>
      </c>
      <c r="R248" s="116">
        <f>IFERROR(VLOOKUP($A248,YTD!$A$13:$D$1048576,4,0),0)</f>
        <v>0</v>
      </c>
      <c r="S248" s="113"/>
      <c r="T248" s="113"/>
      <c r="U248" s="112" t="s">
        <v>322</v>
      </c>
      <c r="V248" s="114">
        <v>0</v>
      </c>
      <c r="W248" s="114">
        <v>0</v>
      </c>
      <c r="X248" s="115">
        <v>0</v>
      </c>
      <c r="Y248" s="113">
        <v>0</v>
      </c>
      <c r="Z248" s="113">
        <v>-491.29</v>
      </c>
      <c r="AA248" s="113">
        <v>15.07</v>
      </c>
      <c r="AB248" s="113">
        <v>-925.2</v>
      </c>
      <c r="AC248" s="113">
        <v>-64.47</v>
      </c>
      <c r="AD248" s="113">
        <v>-417.74</v>
      </c>
      <c r="AE248" s="113">
        <v>-401.72</v>
      </c>
      <c r="AF248" s="113">
        <v>-404.1</v>
      </c>
      <c r="AG248" s="113">
        <v>-365.93</v>
      </c>
      <c r="AH248" s="113">
        <v>0</v>
      </c>
      <c r="AI248" s="113">
        <v>0</v>
      </c>
      <c r="AJ248" s="113">
        <v>0</v>
      </c>
      <c r="AK248" s="113">
        <f t="shared" si="13"/>
        <v>0</v>
      </c>
      <c r="AM248" s="309"/>
    </row>
    <row r="249" spans="1:39" x14ac:dyDescent="0.3">
      <c r="A249" s="109" t="str">
        <f t="shared" si="12"/>
        <v>credit    6666021502  Repair &amp; Maintain - Building&amp;office</v>
      </c>
      <c r="B249" s="112" t="s">
        <v>323</v>
      </c>
      <c r="C249" s="113">
        <f>IFERROR(VLOOKUP($A249,MTD!$A$13:$D$1048576,3,0),0)</f>
        <v>-14544.11</v>
      </c>
      <c r="D249" s="113">
        <f>IFERROR(VLOOKUP($A249,MTD!$A$13:$D$1048576,4,0),0)</f>
        <v>-48388.84</v>
      </c>
      <c r="E249" s="113"/>
      <c r="F249" s="113"/>
      <c r="G249" s="112" t="s">
        <v>323</v>
      </c>
      <c r="H249" s="114">
        <v>0</v>
      </c>
      <c r="I249" s="114">
        <v>0</v>
      </c>
      <c r="J249" s="115">
        <v>0</v>
      </c>
      <c r="K249" s="113">
        <v>0</v>
      </c>
      <c r="P249" s="112" t="s">
        <v>323</v>
      </c>
      <c r="Q249" s="113">
        <f>IFERROR(VLOOKUP($A249,YTD!$A$13:$D$1048576,3,0),0)</f>
        <v>-105611.94</v>
      </c>
      <c r="R249" s="113">
        <f>IFERROR(VLOOKUP($A249,YTD!$A$13:$D$1048576,4,0),0)</f>
        <v>-580666.07999999996</v>
      </c>
      <c r="S249" s="113"/>
      <c r="T249" s="113"/>
      <c r="U249" s="112" t="s">
        <v>323</v>
      </c>
      <c r="V249" s="114">
        <v>0</v>
      </c>
      <c r="W249" s="114">
        <v>0</v>
      </c>
      <c r="X249" s="115">
        <v>0</v>
      </c>
      <c r="Y249" s="113">
        <v>0</v>
      </c>
      <c r="Z249" s="113">
        <v>-4656.42</v>
      </c>
      <c r="AA249" s="113">
        <v>-26578.59</v>
      </c>
      <c r="AB249" s="113">
        <v>1330.77</v>
      </c>
      <c r="AC249" s="113">
        <v>-35.03</v>
      </c>
      <c r="AD249" s="113">
        <v>-1320.2</v>
      </c>
      <c r="AE249" s="113">
        <v>-5599.34</v>
      </c>
      <c r="AF249" s="113">
        <v>-945.68</v>
      </c>
      <c r="AG249" s="113">
        <v>-2392.92</v>
      </c>
      <c r="AH249" s="113">
        <v>-1736.7</v>
      </c>
      <c r="AI249" s="113">
        <v>-31015.24</v>
      </c>
      <c r="AJ249" s="113">
        <v>-18118.48</v>
      </c>
      <c r="AK249" s="113">
        <f t="shared" si="13"/>
        <v>-14544.11</v>
      </c>
      <c r="AM249" s="309"/>
    </row>
    <row r="250" spans="1:39" x14ac:dyDescent="0.3">
      <c r="A250" s="109" t="str">
        <f t="shared" si="12"/>
        <v>credit    6666021503  Repair &amp; Maintain - Tooling &amp; Equipments</v>
      </c>
      <c r="B250" s="112" t="s">
        <v>324</v>
      </c>
      <c r="C250" s="113">
        <f>IFERROR(VLOOKUP($A250,MTD!$A$13:$D$1048576,3,0),0)</f>
        <v>1136.1199999999999</v>
      </c>
      <c r="D250" s="113">
        <f>IFERROR(VLOOKUP($A250,MTD!$A$13:$D$1048576,4,0),0)</f>
        <v>-9103.7000000000007</v>
      </c>
      <c r="E250" s="113"/>
      <c r="F250" s="113"/>
      <c r="G250" s="112" t="s">
        <v>324</v>
      </c>
      <c r="H250" s="114">
        <v>0</v>
      </c>
      <c r="I250" s="114">
        <v>0</v>
      </c>
      <c r="J250" s="115">
        <v>0</v>
      </c>
      <c r="K250" s="113">
        <v>0</v>
      </c>
      <c r="P250" s="112" t="s">
        <v>324</v>
      </c>
      <c r="Q250" s="113">
        <f>IFERROR(VLOOKUP($A250,YTD!$A$13:$D$1048576,3,0),0)</f>
        <v>-8908.6200000000008</v>
      </c>
      <c r="R250" s="113">
        <f>IFERROR(VLOOKUP($A250,YTD!$A$13:$D$1048576,4,0),0)</f>
        <v>-109244.4</v>
      </c>
      <c r="S250" s="113"/>
      <c r="T250" s="113"/>
      <c r="U250" s="112" t="s">
        <v>324</v>
      </c>
      <c r="V250" s="114">
        <v>0</v>
      </c>
      <c r="W250" s="114">
        <v>0</v>
      </c>
      <c r="X250" s="115">
        <v>0</v>
      </c>
      <c r="Y250" s="113">
        <v>0</v>
      </c>
      <c r="Z250" s="113">
        <v>-312.69</v>
      </c>
      <c r="AA250" s="113">
        <v>-254.46</v>
      </c>
      <c r="AB250" s="113">
        <v>0</v>
      </c>
      <c r="AC250" s="113">
        <v>-25.78</v>
      </c>
      <c r="AD250" s="113">
        <v>-2550</v>
      </c>
      <c r="AE250" s="113">
        <v>-2705.71</v>
      </c>
      <c r="AF250" s="113">
        <v>-3105.19</v>
      </c>
      <c r="AG250" s="113">
        <v>-1783.78</v>
      </c>
      <c r="AH250" s="113">
        <v>-1389.4</v>
      </c>
      <c r="AI250" s="113">
        <v>-41.34</v>
      </c>
      <c r="AJ250" s="113">
        <v>2123.61</v>
      </c>
      <c r="AK250" s="113">
        <f t="shared" si="13"/>
        <v>1136.1199999999999</v>
      </c>
      <c r="AM250" s="309"/>
    </row>
    <row r="251" spans="1:39" x14ac:dyDescent="0.3">
      <c r="A251" s="109" t="str">
        <f t="shared" si="12"/>
        <v>credit    6666021505  Repairs &amp; Maintenance - Vehicles</v>
      </c>
      <c r="B251" s="112" t="s">
        <v>325</v>
      </c>
      <c r="C251" s="113">
        <f>IFERROR(VLOOKUP($A251,MTD!$A$13:$D$1048576,3,0),0)</f>
        <v>-2226.46</v>
      </c>
      <c r="D251" s="116">
        <f>IFERROR(VLOOKUP($A251,MTD!$A$13:$D$1048576,4,0),0)</f>
        <v>0</v>
      </c>
      <c r="E251" s="113"/>
      <c r="F251" s="113"/>
      <c r="G251" s="112" t="s">
        <v>325</v>
      </c>
      <c r="H251" s="114">
        <v>0</v>
      </c>
      <c r="I251" s="114">
        <v>0</v>
      </c>
      <c r="J251" s="115">
        <v>0</v>
      </c>
      <c r="K251" s="113">
        <v>0</v>
      </c>
      <c r="P251" s="112" t="s">
        <v>325</v>
      </c>
      <c r="Q251" s="113">
        <f>IFERROR(VLOOKUP($A251,YTD!$A$13:$D$1048576,3,0),0)</f>
        <v>-2681.71</v>
      </c>
      <c r="R251" s="116">
        <f>IFERROR(VLOOKUP($A251,YTD!$A$13:$D$1048576,4,0),0)</f>
        <v>0</v>
      </c>
      <c r="S251" s="113"/>
      <c r="T251" s="113"/>
      <c r="U251" s="112" t="s">
        <v>325</v>
      </c>
      <c r="V251" s="114">
        <v>0</v>
      </c>
      <c r="W251" s="114">
        <v>0</v>
      </c>
      <c r="X251" s="115">
        <v>0</v>
      </c>
      <c r="Y251" s="113">
        <v>0</v>
      </c>
      <c r="Z251" s="113">
        <v>-4.3</v>
      </c>
      <c r="AA251" s="113">
        <v>-435.4</v>
      </c>
      <c r="AB251" s="113">
        <v>0.17</v>
      </c>
      <c r="AC251" s="113">
        <v>17.66</v>
      </c>
      <c r="AD251" s="113">
        <v>0</v>
      </c>
      <c r="AE251" s="113">
        <v>0</v>
      </c>
      <c r="AF251" s="113">
        <v>0</v>
      </c>
      <c r="AG251" s="113">
        <v>0</v>
      </c>
      <c r="AH251" s="113">
        <v>-33.380000000000003</v>
      </c>
      <c r="AI251" s="113">
        <v>0</v>
      </c>
      <c r="AJ251" s="113">
        <v>0</v>
      </c>
      <c r="AK251" s="113">
        <f t="shared" si="13"/>
        <v>-2226.46</v>
      </c>
      <c r="AM251" s="309"/>
    </row>
    <row r="252" spans="1:39" x14ac:dyDescent="0.3">
      <c r="A252" s="109" t="str">
        <f t="shared" si="12"/>
        <v>credit    6666021506  Repairs &amp; Maintenance - Plant &amp; Machiner</v>
      </c>
      <c r="B252" s="112" t="s">
        <v>326</v>
      </c>
      <c r="C252" s="113">
        <f>IFERROR(VLOOKUP($A252,MTD!$A$13:$D$1048576,3,0),0)</f>
        <v>-7970.66</v>
      </c>
      <c r="D252" s="113">
        <f>IFERROR(VLOOKUP($A252,MTD!$A$13:$D$1048576,4,0),0)</f>
        <v>-25008.68</v>
      </c>
      <c r="E252" s="113"/>
      <c r="F252" s="113"/>
      <c r="G252" s="112" t="s">
        <v>326</v>
      </c>
      <c r="H252" s="114">
        <v>0</v>
      </c>
      <c r="I252" s="114">
        <v>0</v>
      </c>
      <c r="J252" s="115">
        <v>0</v>
      </c>
      <c r="K252" s="113">
        <v>0</v>
      </c>
      <c r="P252" s="112" t="s">
        <v>326</v>
      </c>
      <c r="Q252" s="113">
        <f>IFERROR(VLOOKUP($A252,YTD!$A$13:$D$1048576,3,0),0)</f>
        <v>-218275.83</v>
      </c>
      <c r="R252" s="113">
        <f>IFERROR(VLOOKUP($A252,YTD!$A$13:$D$1048576,4,0),0)</f>
        <v>-300104.15999999997</v>
      </c>
      <c r="S252" s="113"/>
      <c r="T252" s="113"/>
      <c r="U252" s="112" t="s">
        <v>326</v>
      </c>
      <c r="V252" s="114">
        <v>0</v>
      </c>
      <c r="W252" s="114">
        <v>0</v>
      </c>
      <c r="X252" s="115">
        <v>0</v>
      </c>
      <c r="Y252" s="113">
        <v>0</v>
      </c>
      <c r="Z252" s="113">
        <v>-56292.4</v>
      </c>
      <c r="AA252" s="113">
        <v>9881.6299999999992</v>
      </c>
      <c r="AB252" s="113">
        <v>-32061.62</v>
      </c>
      <c r="AC252" s="113">
        <v>-29947.83</v>
      </c>
      <c r="AD252" s="113">
        <v>-22626.73</v>
      </c>
      <c r="AE252" s="113">
        <v>-25457.75</v>
      </c>
      <c r="AF252" s="113">
        <v>-16575.060000000001</v>
      </c>
      <c r="AG252" s="113">
        <v>-16269.55</v>
      </c>
      <c r="AH252" s="113">
        <v>-17355.22</v>
      </c>
      <c r="AI252" s="113">
        <v>2377.4</v>
      </c>
      <c r="AJ252" s="113">
        <v>-5978.04</v>
      </c>
      <c r="AK252" s="113">
        <f t="shared" si="13"/>
        <v>-7970.66</v>
      </c>
      <c r="AM252" s="309"/>
    </row>
    <row r="253" spans="1:39" x14ac:dyDescent="0.3">
      <c r="A253" s="109" t="str">
        <f t="shared" si="12"/>
        <v>credit    6666091600  Garbage disposal charge</v>
      </c>
      <c r="B253" s="112" t="s">
        <v>327</v>
      </c>
      <c r="C253" s="113">
        <f>IFERROR(VLOOKUP($A253,MTD!$A$13:$D$1048576,3,0),0)</f>
        <v>-976.87</v>
      </c>
      <c r="D253" s="113">
        <f>IFERROR(VLOOKUP($A253,MTD!$A$13:$D$1048576,4,0),0)</f>
        <v>-454.18</v>
      </c>
      <c r="E253" s="113"/>
      <c r="F253" s="113"/>
      <c r="G253" s="112" t="s">
        <v>327</v>
      </c>
      <c r="H253" s="114">
        <v>0</v>
      </c>
      <c r="I253" s="114">
        <v>0</v>
      </c>
      <c r="J253" s="115">
        <v>0</v>
      </c>
      <c r="K253" s="113">
        <v>0</v>
      </c>
      <c r="P253" s="112" t="s">
        <v>327</v>
      </c>
      <c r="Q253" s="113">
        <f>IFERROR(VLOOKUP($A253,YTD!$A$13:$D$1048576,3,0),0)</f>
        <v>-4676.03</v>
      </c>
      <c r="R253" s="113">
        <f>IFERROR(VLOOKUP($A253,YTD!$A$13:$D$1048576,4,0),0)</f>
        <v>-4979.5600000000004</v>
      </c>
      <c r="S253" s="113"/>
      <c r="T253" s="113"/>
      <c r="U253" s="112" t="s">
        <v>327</v>
      </c>
      <c r="V253" s="114">
        <v>0</v>
      </c>
      <c r="W253" s="114">
        <v>0</v>
      </c>
      <c r="X253" s="115">
        <v>0</v>
      </c>
      <c r="Y253" s="113">
        <v>0</v>
      </c>
      <c r="Z253" s="113">
        <v>-257.5</v>
      </c>
      <c r="AA253" s="113">
        <v>-114.27</v>
      </c>
      <c r="AB253" s="113">
        <v>-480.76</v>
      </c>
      <c r="AC253" s="113">
        <v>-323.86</v>
      </c>
      <c r="AD253" s="113">
        <v>-190.22</v>
      </c>
      <c r="AE253" s="113">
        <v>-90.28</v>
      </c>
      <c r="AF253" s="113">
        <v>-446.65</v>
      </c>
      <c r="AG253" s="113">
        <v>-478.55</v>
      </c>
      <c r="AH253" s="113">
        <v>-153.59</v>
      </c>
      <c r="AI253" s="113">
        <v>-177.35</v>
      </c>
      <c r="AJ253" s="113">
        <v>-986.13</v>
      </c>
      <c r="AK253" s="113">
        <f t="shared" si="13"/>
        <v>-976.87</v>
      </c>
      <c r="AM253" s="309"/>
    </row>
    <row r="254" spans="1:39" x14ac:dyDescent="0.3">
      <c r="A254" s="109" t="str">
        <f t="shared" si="12"/>
        <v>credit*   CS_Semifix</v>
      </c>
      <c r="B254" s="117" t="s">
        <v>219</v>
      </c>
      <c r="C254" s="118">
        <f>IFERROR(VLOOKUP($A254,MTD!$A$13:$D$1048576,3,0),0)</f>
        <v>-138711.1</v>
      </c>
      <c r="D254" s="118">
        <f>IFERROR(VLOOKUP($A254,MTD!$A$13:$D$1048576,4,0),0)</f>
        <v>-330462.84000000003</v>
      </c>
      <c r="E254" s="118"/>
      <c r="F254" s="118"/>
      <c r="G254" s="117" t="s">
        <v>219</v>
      </c>
      <c r="H254" s="119">
        <v>0</v>
      </c>
      <c r="I254" s="119">
        <v>0</v>
      </c>
      <c r="J254" s="120">
        <v>0</v>
      </c>
      <c r="K254" s="118">
        <v>0</v>
      </c>
      <c r="P254" s="117" t="s">
        <v>219</v>
      </c>
      <c r="Q254" s="118">
        <f>IFERROR(VLOOKUP($A254,YTD!$A$13:$D$1048576,3,0),0)</f>
        <v>-1743339.82</v>
      </c>
      <c r="R254" s="118">
        <f>IFERROR(VLOOKUP($A254,YTD!$A$13:$D$1048576,4,0),0)</f>
        <v>-3160110.61</v>
      </c>
      <c r="S254" s="118"/>
      <c r="T254" s="118"/>
      <c r="U254" s="117" t="s">
        <v>219</v>
      </c>
      <c r="V254" s="119">
        <v>0</v>
      </c>
      <c r="W254" s="119">
        <v>0</v>
      </c>
      <c r="X254" s="120">
        <v>0</v>
      </c>
      <c r="Y254" s="118">
        <v>0</v>
      </c>
      <c r="Z254" s="118">
        <v>-205783.12</v>
      </c>
      <c r="AA254" s="118">
        <v>-153681.87</v>
      </c>
      <c r="AB254" s="118">
        <v>-148990.53</v>
      </c>
      <c r="AC254" s="118">
        <v>-127596.97</v>
      </c>
      <c r="AD254" s="118">
        <v>-120751.35</v>
      </c>
      <c r="AE254" s="118">
        <v>-96751.99</v>
      </c>
      <c r="AF254" s="118">
        <v>-99085.88</v>
      </c>
      <c r="AG254" s="118">
        <v>-136632.9</v>
      </c>
      <c r="AH254" s="118">
        <v>-210265.57</v>
      </c>
      <c r="AI254" s="118">
        <v>-166446.46</v>
      </c>
      <c r="AJ254" s="118">
        <v>-138642.07999999999</v>
      </c>
      <c r="AK254" s="118">
        <f t="shared" si="13"/>
        <v>-138711.1</v>
      </c>
      <c r="AM254" s="309"/>
    </row>
    <row r="255" spans="1:39" x14ac:dyDescent="0.3">
      <c r="A255" s="155" t="str">
        <f t="shared" si="12"/>
        <v>credit**  Credit</v>
      </c>
      <c r="B255" s="121" t="s">
        <v>331</v>
      </c>
      <c r="C255" s="122">
        <f>IFERROR(VLOOKUP($A255,MTD!$A$13:$D$1048576,3,0),0)</f>
        <v>-239885.87</v>
      </c>
      <c r="D255" s="122">
        <f>IFERROR(VLOOKUP($A255,MTD!$A$13:$D$1048576,4,0),0)</f>
        <v>-737890.2</v>
      </c>
      <c r="E255" s="122"/>
      <c r="F255" s="122"/>
      <c r="G255" s="121" t="s">
        <v>331</v>
      </c>
      <c r="H255" s="123">
        <v>0</v>
      </c>
      <c r="I255" s="123">
        <v>0</v>
      </c>
      <c r="J255" s="124">
        <v>0</v>
      </c>
      <c r="K255" s="122">
        <v>0</v>
      </c>
      <c r="P255" s="121" t="s">
        <v>331</v>
      </c>
      <c r="Q255" s="122">
        <f>IFERROR(VLOOKUP($A255,YTD!$A$13:$D$1048576,3,0),0)</f>
        <v>-5494154.0800000001</v>
      </c>
      <c r="R255" s="122">
        <f>IFERROR(VLOOKUP($A255,YTD!$A$13:$D$1048576,4,0),0)</f>
        <v>-7392516.3099999996</v>
      </c>
      <c r="S255" s="122"/>
      <c r="T255" s="122"/>
      <c r="U255" s="121" t="s">
        <v>331</v>
      </c>
      <c r="V255" s="123">
        <v>0</v>
      </c>
      <c r="W255" s="123">
        <v>0</v>
      </c>
      <c r="X255" s="124">
        <v>0</v>
      </c>
      <c r="Y255" s="122">
        <v>0</v>
      </c>
      <c r="Z255" s="122">
        <v>-586858.76</v>
      </c>
      <c r="AA255" s="122">
        <v>-469484.03</v>
      </c>
      <c r="AB255" s="122">
        <v>-546350.54</v>
      </c>
      <c r="AC255" s="122">
        <v>-432263.43</v>
      </c>
      <c r="AD255" s="122">
        <v>-477558.43</v>
      </c>
      <c r="AE255" s="122">
        <v>-352106.69</v>
      </c>
      <c r="AF255" s="122">
        <v>-431897.52</v>
      </c>
      <c r="AG255" s="122">
        <v>-411954.23</v>
      </c>
      <c r="AH255" s="122">
        <v>-475130.54</v>
      </c>
      <c r="AI255" s="122">
        <v>-586468.79</v>
      </c>
      <c r="AJ255" s="122">
        <v>-484195.25</v>
      </c>
      <c r="AK255" s="122">
        <f t="shared" si="13"/>
        <v>-239885.87</v>
      </c>
      <c r="AM255" s="309"/>
    </row>
    <row r="256" spans="1:39" x14ac:dyDescent="0.3">
      <c r="A256" s="155" t="str">
        <f t="shared" si="12"/>
        <v>credit*** Over/Underabsorption</v>
      </c>
      <c r="B256" s="126" t="s">
        <v>332</v>
      </c>
      <c r="C256" s="127">
        <f>IFERROR(VLOOKUP($A256,MTD!$A$13:$D$1048576,3,0),0)</f>
        <v>1533989.74</v>
      </c>
      <c r="D256" s="127">
        <f>IFERROR(VLOOKUP($A256,MTD!$A$13:$D$1048576,4,0),0)</f>
        <v>2539191.6</v>
      </c>
      <c r="E256" s="127"/>
      <c r="F256" s="127"/>
      <c r="G256" s="126" t="s">
        <v>332</v>
      </c>
      <c r="H256" s="128">
        <v>0</v>
      </c>
      <c r="I256" s="128">
        <v>0</v>
      </c>
      <c r="J256" s="128">
        <v>0</v>
      </c>
      <c r="K256" s="127">
        <v>0</v>
      </c>
      <c r="P256" s="126" t="s">
        <v>332</v>
      </c>
      <c r="Q256" s="127">
        <f>IFERROR(VLOOKUP($A256,YTD!$A$13:$D$1048576,3,0),0)</f>
        <v>22431798.469999999</v>
      </c>
      <c r="R256" s="127">
        <f>IFERROR(VLOOKUP($A256,YTD!$A$13:$D$1048576,4,0),0)</f>
        <v>23127689.079999998</v>
      </c>
      <c r="S256" s="127"/>
      <c r="T256" s="127"/>
      <c r="U256" s="126" t="s">
        <v>332</v>
      </c>
      <c r="V256" s="128">
        <v>0</v>
      </c>
      <c r="W256" s="128">
        <v>0</v>
      </c>
      <c r="X256" s="128">
        <v>0</v>
      </c>
      <c r="Y256" s="127">
        <v>0</v>
      </c>
      <c r="Z256" s="127">
        <v>2171546.56</v>
      </c>
      <c r="AA256" s="127">
        <v>1676457.48</v>
      </c>
      <c r="AB256" s="127">
        <v>1889831.5</v>
      </c>
      <c r="AC256" s="127">
        <v>1581268.77</v>
      </c>
      <c r="AD256" s="127">
        <v>1795402.32</v>
      </c>
      <c r="AE256" s="127">
        <v>1494777.56</v>
      </c>
      <c r="AF256" s="127">
        <v>1774520.52</v>
      </c>
      <c r="AG256" s="127">
        <v>1790688.52</v>
      </c>
      <c r="AH256" s="127">
        <v>2187908.79</v>
      </c>
      <c r="AI256" s="127">
        <v>2447087.6800000002</v>
      </c>
      <c r="AJ256" s="127">
        <v>2088319.03</v>
      </c>
      <c r="AK256" s="127">
        <f t="shared" si="13"/>
        <v>1533989.74</v>
      </c>
      <c r="AM256" s="309"/>
    </row>
    <row r="257" spans="1:37" x14ac:dyDescent="0.3"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f t="shared" si="13"/>
        <v>0</v>
      </c>
    </row>
    <row r="258" spans="1:37" x14ac:dyDescent="0.3">
      <c r="A258" s="146" t="s">
        <v>333</v>
      </c>
      <c r="B258" s="147" t="s">
        <v>216</v>
      </c>
      <c r="C258" s="160">
        <v>-6842.39</v>
      </c>
      <c r="D258" s="148"/>
      <c r="E258" s="148"/>
      <c r="F258" s="148"/>
      <c r="G258" s="148"/>
      <c r="H258" s="148"/>
      <c r="I258" s="148"/>
      <c r="J258" s="148"/>
      <c r="K258" s="148"/>
      <c r="P258" s="147" t="s">
        <v>216</v>
      </c>
      <c r="Q258" s="187">
        <f>SUM(Z258:AK258)</f>
        <v>-40344.31</v>
      </c>
      <c r="R258" s="148"/>
      <c r="S258" s="148"/>
      <c r="T258" s="148"/>
      <c r="U258" s="148"/>
      <c r="V258" s="148"/>
      <c r="W258" s="148"/>
      <c r="X258" s="148"/>
      <c r="Y258" s="148"/>
      <c r="Z258" s="187">
        <v>-1683.35</v>
      </c>
      <c r="AA258" s="187">
        <v>-3225.5200000000004</v>
      </c>
      <c r="AB258" s="187">
        <v>-2672.6</v>
      </c>
      <c r="AC258" s="187">
        <v>-2167.52</v>
      </c>
      <c r="AD258" s="187">
        <v>-2951.8</v>
      </c>
      <c r="AE258" s="187">
        <v>-900.31</v>
      </c>
      <c r="AF258" s="187">
        <v>-2083.4</v>
      </c>
      <c r="AG258" s="187">
        <v>-3962.44</v>
      </c>
      <c r="AH258" s="187">
        <v>-4880.1899999999996</v>
      </c>
      <c r="AI258" s="187">
        <v>-2650.99</v>
      </c>
      <c r="AJ258" s="187">
        <v>-6323.8</v>
      </c>
      <c r="AK258" s="187">
        <f t="shared" si="13"/>
        <v>-6842.39</v>
      </c>
    </row>
    <row r="259" spans="1:37" x14ac:dyDescent="0.3">
      <c r="A259" s="146" t="s">
        <v>333</v>
      </c>
      <c r="B259" s="147" t="s">
        <v>215</v>
      </c>
      <c r="C259" s="160">
        <v>6842.39</v>
      </c>
      <c r="D259" s="148"/>
      <c r="E259" s="148"/>
      <c r="F259" s="148"/>
      <c r="G259" s="148"/>
      <c r="H259" s="148"/>
      <c r="I259" s="148"/>
      <c r="J259" s="148"/>
      <c r="K259" s="148"/>
      <c r="P259" s="147" t="s">
        <v>215</v>
      </c>
      <c r="Q259" s="187">
        <f t="shared" ref="Q259:Q265" si="14">SUM(Z259:AK259)</f>
        <v>40344.31</v>
      </c>
      <c r="R259" s="148"/>
      <c r="S259" s="148"/>
      <c r="T259" s="148"/>
      <c r="U259" s="148"/>
      <c r="V259" s="148"/>
      <c r="W259" s="148"/>
      <c r="X259" s="148"/>
      <c r="Y259" s="148"/>
      <c r="Z259" s="187">
        <v>1683.35</v>
      </c>
      <c r="AA259" s="187">
        <v>3225.5200000000004</v>
      </c>
      <c r="AB259" s="187">
        <v>2672.6</v>
      </c>
      <c r="AC259" s="187">
        <v>2167.52</v>
      </c>
      <c r="AD259" s="187">
        <v>2951.8</v>
      </c>
      <c r="AE259" s="187">
        <v>900.31</v>
      </c>
      <c r="AF259" s="187">
        <v>2083.4</v>
      </c>
      <c r="AG259" s="187">
        <v>3962.44</v>
      </c>
      <c r="AH259" s="187">
        <v>4880.1899999999996</v>
      </c>
      <c r="AI259" s="187">
        <v>2650.99</v>
      </c>
      <c r="AJ259" s="187">
        <v>6323.8</v>
      </c>
      <c r="AK259" s="187">
        <f t="shared" si="13"/>
        <v>6842.39</v>
      </c>
    </row>
    <row r="260" spans="1:37" x14ac:dyDescent="0.3">
      <c r="A260" s="146" t="s">
        <v>334</v>
      </c>
      <c r="B260" s="147" t="s">
        <v>216</v>
      </c>
      <c r="C260" s="160">
        <v>-1118.6500000000001</v>
      </c>
      <c r="D260" s="148"/>
      <c r="E260" s="148"/>
      <c r="F260" s="148"/>
      <c r="G260" s="148"/>
      <c r="H260" s="148"/>
      <c r="I260" s="148"/>
      <c r="J260" s="148"/>
      <c r="K260" s="148"/>
      <c r="P260" s="147" t="s">
        <v>216</v>
      </c>
      <c r="Q260" s="187">
        <f t="shared" si="14"/>
        <v>-10050.64</v>
      </c>
      <c r="R260" s="148"/>
      <c r="S260" s="148"/>
      <c r="T260" s="148"/>
      <c r="U260" s="148"/>
      <c r="V260" s="148"/>
      <c r="W260" s="148"/>
      <c r="X260" s="148"/>
      <c r="Y260" s="148"/>
      <c r="Z260" s="187">
        <v>-504.96</v>
      </c>
      <c r="AA260" s="187">
        <v>-1583.76</v>
      </c>
      <c r="AB260" s="187">
        <v>-871.09</v>
      </c>
      <c r="AC260" s="187">
        <v>-701</v>
      </c>
      <c r="AD260" s="187">
        <v>-828.63</v>
      </c>
      <c r="AE260" s="187">
        <v>-619.28</v>
      </c>
      <c r="AF260" s="187">
        <v>-694.7</v>
      </c>
      <c r="AG260" s="187">
        <v>-456.13</v>
      </c>
      <c r="AH260" s="187">
        <v>-706.27</v>
      </c>
      <c r="AI260" s="187">
        <v>-470.45</v>
      </c>
      <c r="AJ260" s="187">
        <v>-1495.72</v>
      </c>
      <c r="AK260" s="187">
        <f t="shared" si="13"/>
        <v>-1118.6500000000001</v>
      </c>
    </row>
    <row r="261" spans="1:37" x14ac:dyDescent="0.3">
      <c r="A261" s="146" t="s">
        <v>334</v>
      </c>
      <c r="B261" s="147" t="s">
        <v>215</v>
      </c>
      <c r="C261" s="160">
        <v>1118.6500000000001</v>
      </c>
      <c r="D261" s="148"/>
      <c r="E261" s="148"/>
      <c r="F261" s="148"/>
      <c r="G261" s="148"/>
      <c r="H261" s="148"/>
      <c r="I261" s="148"/>
      <c r="J261" s="148"/>
      <c r="K261" s="148"/>
      <c r="P261" s="147" t="s">
        <v>215</v>
      </c>
      <c r="Q261" s="187">
        <f t="shared" si="14"/>
        <v>10050.64</v>
      </c>
      <c r="R261" s="148"/>
      <c r="S261" s="148"/>
      <c r="T261" s="148"/>
      <c r="U261" s="148"/>
      <c r="V261" s="148"/>
      <c r="W261" s="148"/>
      <c r="X261" s="148"/>
      <c r="Y261" s="148"/>
      <c r="Z261" s="187">
        <v>504.96</v>
      </c>
      <c r="AA261" s="187">
        <v>1583.76</v>
      </c>
      <c r="AB261" s="187">
        <v>871.09</v>
      </c>
      <c r="AC261" s="187">
        <v>701</v>
      </c>
      <c r="AD261" s="187">
        <v>828.63</v>
      </c>
      <c r="AE261" s="187">
        <v>619.28</v>
      </c>
      <c r="AF261" s="187">
        <v>694.7</v>
      </c>
      <c r="AG261" s="187">
        <v>456.13</v>
      </c>
      <c r="AH261" s="187">
        <v>706.27</v>
      </c>
      <c r="AI261" s="187">
        <v>470.45</v>
      </c>
      <c r="AJ261" s="187">
        <v>1495.72</v>
      </c>
      <c r="AK261" s="187">
        <f t="shared" si="13"/>
        <v>1118.6500000000001</v>
      </c>
    </row>
    <row r="262" spans="1:37" x14ac:dyDescent="0.3">
      <c r="A262" s="146" t="s">
        <v>335</v>
      </c>
      <c r="B262" s="147" t="s">
        <v>208</v>
      </c>
      <c r="C262" s="187"/>
      <c r="D262" s="148"/>
      <c r="E262" s="148"/>
      <c r="F262" s="148"/>
      <c r="G262" s="148"/>
      <c r="H262" s="148"/>
      <c r="I262" s="148"/>
      <c r="J262" s="148"/>
      <c r="K262" s="148"/>
      <c r="P262" s="147" t="s">
        <v>208</v>
      </c>
      <c r="Q262" s="187">
        <f t="shared" si="14"/>
        <v>0</v>
      </c>
      <c r="R262" s="148"/>
      <c r="S262" s="148"/>
      <c r="T262" s="148"/>
      <c r="U262" s="148"/>
      <c r="V262" s="148"/>
      <c r="W262" s="148"/>
      <c r="X262" s="148"/>
      <c r="Y262" s="148"/>
      <c r="Z262" s="187">
        <v>0</v>
      </c>
      <c r="AA262" s="187">
        <v>0</v>
      </c>
      <c r="AB262" s="187">
        <v>-25000</v>
      </c>
      <c r="AC262" s="187">
        <v>25000</v>
      </c>
      <c r="AD262" s="187"/>
      <c r="AE262" s="187">
        <v>0</v>
      </c>
      <c r="AF262" s="187">
        <v>0</v>
      </c>
      <c r="AG262" s="187">
        <v>0</v>
      </c>
      <c r="AH262" s="187">
        <v>0</v>
      </c>
      <c r="AI262" s="187">
        <v>0</v>
      </c>
      <c r="AJ262" s="187">
        <v>0</v>
      </c>
      <c r="AK262" s="187">
        <f t="shared" si="13"/>
        <v>0</v>
      </c>
    </row>
    <row r="263" spans="1:37" x14ac:dyDescent="0.3">
      <c r="A263" s="146" t="s">
        <v>335</v>
      </c>
      <c r="B263" s="147" t="s">
        <v>217</v>
      </c>
      <c r="C263" s="187"/>
      <c r="D263" s="148"/>
      <c r="E263" s="148"/>
      <c r="F263" s="148"/>
      <c r="G263" s="148"/>
      <c r="H263" s="148"/>
      <c r="I263" s="148"/>
      <c r="J263" s="148"/>
      <c r="K263" s="148"/>
      <c r="P263" s="147" t="s">
        <v>217</v>
      </c>
      <c r="Q263" s="187">
        <f t="shared" si="14"/>
        <v>0</v>
      </c>
      <c r="R263" s="148"/>
      <c r="S263" s="148"/>
      <c r="T263" s="148"/>
      <c r="U263" s="148"/>
      <c r="V263" s="148"/>
      <c r="W263" s="148"/>
      <c r="X263" s="148"/>
      <c r="Y263" s="148"/>
      <c r="Z263" s="187">
        <v>0</v>
      </c>
      <c r="AA263" s="187">
        <v>0</v>
      </c>
      <c r="AB263" s="187">
        <v>25000</v>
      </c>
      <c r="AC263" s="187">
        <v>-25000</v>
      </c>
      <c r="AD263" s="187"/>
      <c r="AE263" s="187">
        <v>0</v>
      </c>
      <c r="AF263" s="187">
        <v>0</v>
      </c>
      <c r="AG263" s="187">
        <v>0</v>
      </c>
      <c r="AH263" s="187">
        <v>0</v>
      </c>
      <c r="AI263" s="187">
        <v>0</v>
      </c>
      <c r="AJ263" s="187">
        <v>0</v>
      </c>
      <c r="AK263" s="187">
        <f t="shared" si="13"/>
        <v>0</v>
      </c>
    </row>
    <row r="264" spans="1:37" x14ac:dyDescent="0.3">
      <c r="A264" s="146" t="s">
        <v>336</v>
      </c>
      <c r="B264" s="147" t="s">
        <v>213</v>
      </c>
      <c r="C264" s="187"/>
      <c r="D264" s="148"/>
      <c r="E264" s="148"/>
      <c r="F264" s="148"/>
      <c r="G264" s="148"/>
      <c r="H264" s="148"/>
      <c r="I264" s="148"/>
      <c r="J264" s="148"/>
      <c r="K264" s="148"/>
      <c r="P264" s="147" t="s">
        <v>213</v>
      </c>
      <c r="Q264" s="187">
        <f t="shared" si="14"/>
        <v>0</v>
      </c>
      <c r="R264" s="148"/>
      <c r="S264" s="148"/>
      <c r="T264" s="148"/>
      <c r="U264" s="148"/>
      <c r="V264" s="148"/>
      <c r="W264" s="148"/>
      <c r="X264" s="148"/>
      <c r="Y264" s="148"/>
      <c r="Z264" s="187">
        <v>0</v>
      </c>
      <c r="AA264" s="187">
        <v>0</v>
      </c>
      <c r="AB264" s="187">
        <v>0</v>
      </c>
      <c r="AC264" s="187"/>
      <c r="AD264" s="187"/>
      <c r="AE264" s="187">
        <v>-6056.07</v>
      </c>
      <c r="AF264" s="187">
        <v>6056.07</v>
      </c>
      <c r="AG264" s="187">
        <v>0</v>
      </c>
      <c r="AH264" s="187">
        <v>-12689.03</v>
      </c>
      <c r="AI264" s="187">
        <v>12689.03</v>
      </c>
      <c r="AJ264" s="187">
        <v>0</v>
      </c>
      <c r="AK264" s="187">
        <f t="shared" si="13"/>
        <v>0</v>
      </c>
    </row>
    <row r="265" spans="1:37" x14ac:dyDescent="0.3">
      <c r="A265" s="146" t="s">
        <v>336</v>
      </c>
      <c r="B265" s="147" t="s">
        <v>209</v>
      </c>
      <c r="C265" s="187"/>
      <c r="D265" s="148"/>
      <c r="E265" s="148"/>
      <c r="F265" s="148"/>
      <c r="G265" s="148"/>
      <c r="H265" s="148"/>
      <c r="I265" s="148"/>
      <c r="J265" s="148"/>
      <c r="K265" s="148"/>
      <c r="P265" s="147" t="s">
        <v>209</v>
      </c>
      <c r="Q265" s="187">
        <f t="shared" si="14"/>
        <v>0</v>
      </c>
      <c r="R265" s="148"/>
      <c r="S265" s="148"/>
      <c r="T265" s="148"/>
      <c r="U265" s="148"/>
      <c r="V265" s="148"/>
      <c r="W265" s="148"/>
      <c r="X265" s="148"/>
      <c r="Y265" s="148"/>
      <c r="Z265" s="187">
        <v>0</v>
      </c>
      <c r="AA265" s="187">
        <v>0</v>
      </c>
      <c r="AB265" s="187">
        <v>0</v>
      </c>
      <c r="AC265" s="187"/>
      <c r="AD265" s="187"/>
      <c r="AE265" s="187">
        <v>6056.07</v>
      </c>
      <c r="AF265" s="187">
        <v>-6056.07</v>
      </c>
      <c r="AG265" s="187">
        <v>0</v>
      </c>
      <c r="AH265" s="187">
        <v>12689.03</v>
      </c>
      <c r="AI265" s="187">
        <v>-12689.03</v>
      </c>
      <c r="AJ265" s="187">
        <v>0</v>
      </c>
      <c r="AK265" s="187">
        <f t="shared" si="13"/>
        <v>0</v>
      </c>
    </row>
    <row r="268" spans="1:37" x14ac:dyDescent="0.3">
      <c r="B268" s="110" t="s">
        <v>166</v>
      </c>
      <c r="C268" s="110" t="s">
        <v>171</v>
      </c>
      <c r="D268" s="110" t="s">
        <v>168</v>
      </c>
      <c r="E268" s="110" t="s">
        <v>221</v>
      </c>
      <c r="F268" s="110" t="s">
        <v>222</v>
      </c>
      <c r="G268" s="110" t="s">
        <v>166</v>
      </c>
      <c r="H268" s="110" t="s">
        <v>223</v>
      </c>
      <c r="I268" s="110" t="s">
        <v>224</v>
      </c>
      <c r="J268" s="110" t="s">
        <v>221</v>
      </c>
      <c r="K268" s="110" t="s">
        <v>222</v>
      </c>
      <c r="P268" s="110" t="s">
        <v>166</v>
      </c>
      <c r="Q268" s="110" t="s">
        <v>171</v>
      </c>
      <c r="R268" s="110" t="s">
        <v>168</v>
      </c>
      <c r="S268" s="110" t="s">
        <v>221</v>
      </c>
      <c r="T268" s="110" t="s">
        <v>222</v>
      </c>
      <c r="U268" s="110" t="s">
        <v>166</v>
      </c>
      <c r="V268" s="110" t="s">
        <v>223</v>
      </c>
      <c r="W268" s="110" t="s">
        <v>224</v>
      </c>
      <c r="X268" s="110" t="s">
        <v>221</v>
      </c>
      <c r="Y268" s="110" t="s">
        <v>222</v>
      </c>
      <c r="Z268" s="110" t="s">
        <v>171</v>
      </c>
      <c r="AA268" s="110" t="s">
        <v>171</v>
      </c>
      <c r="AB268" s="110" t="s">
        <v>171</v>
      </c>
      <c r="AC268" s="110" t="s">
        <v>171</v>
      </c>
      <c r="AD268" s="110" t="s">
        <v>171</v>
      </c>
      <c r="AE268" s="110" t="s">
        <v>171</v>
      </c>
      <c r="AF268" s="110" t="str">
        <f t="shared" ref="AF268" si="15">C268</f>
        <v>Act. Costs</v>
      </c>
      <c r="AG268" s="110" t="s">
        <v>168</v>
      </c>
      <c r="AH268" s="110" t="s">
        <v>171</v>
      </c>
      <c r="AI268" s="110" t="s">
        <v>171</v>
      </c>
      <c r="AJ268" s="110" t="s">
        <v>171</v>
      </c>
      <c r="AK268" s="110" t="s">
        <v>171</v>
      </c>
    </row>
    <row r="269" spans="1:37" x14ac:dyDescent="0.3">
      <c r="A269" s="109" t="str">
        <f>"debit"&amp;"ovh"&amp;B269</f>
        <v>debitovh    6666110110  Depreciation-Plant &amp; Machinery</v>
      </c>
      <c r="B269" s="112" t="s">
        <v>228</v>
      </c>
      <c r="C269" s="279">
        <f>IFERROR(VLOOKUP($A269,MTD!$A$13:$D$1048576,3,0),0)</f>
        <v>116.59</v>
      </c>
      <c r="D269" s="112">
        <f>IFERROR(VLOOKUP($A269,MTD!$A$13:$D$1048576,4,0),0)</f>
        <v>0</v>
      </c>
      <c r="E269" s="112"/>
      <c r="F269" s="112"/>
      <c r="G269" s="112" t="s">
        <v>228</v>
      </c>
      <c r="H269" s="112">
        <v>0</v>
      </c>
      <c r="I269" s="112">
        <v>0</v>
      </c>
      <c r="J269" s="112">
        <v>0</v>
      </c>
      <c r="K269" s="112">
        <v>0</v>
      </c>
      <c r="P269" s="112" t="s">
        <v>228</v>
      </c>
      <c r="Q269" s="112">
        <f>IFERROR(VLOOKUP($A269,YTD!$A$13:$D$1048576,3,0),0)</f>
        <v>1372.66</v>
      </c>
      <c r="R269" s="112">
        <f>IFERROR(VLOOKUP($A269,YTD!$A$13:$D$1048576,4,0),0)</f>
        <v>0</v>
      </c>
      <c r="S269" s="112">
        <v>0</v>
      </c>
      <c r="T269" s="112">
        <v>0</v>
      </c>
      <c r="U269" s="112" t="s">
        <v>228</v>
      </c>
      <c r="V269" s="112">
        <v>0</v>
      </c>
      <c r="W269" s="112">
        <v>0</v>
      </c>
      <c r="X269" s="112">
        <v>0</v>
      </c>
      <c r="Y269" s="112">
        <v>0</v>
      </c>
      <c r="Z269" s="279">
        <v>116.58</v>
      </c>
      <c r="AA269" s="279">
        <v>105.3</v>
      </c>
      <c r="AB269" s="279">
        <v>116.58</v>
      </c>
      <c r="AC269" s="279">
        <v>112.82</v>
      </c>
      <c r="AD269" s="279">
        <v>116.58</v>
      </c>
      <c r="AE269" s="279">
        <v>112.82</v>
      </c>
      <c r="AF269" s="279">
        <v>116.59</v>
      </c>
      <c r="AG269" s="112">
        <v>116.57</v>
      </c>
      <c r="AH269" s="112">
        <v>112.83</v>
      </c>
      <c r="AI269" s="112">
        <v>116.58</v>
      </c>
      <c r="AJ269" s="112">
        <v>112.82</v>
      </c>
      <c r="AK269" s="112">
        <f t="shared" si="13"/>
        <v>116.59</v>
      </c>
    </row>
    <row r="270" spans="1:37" x14ac:dyDescent="0.3">
      <c r="A270" s="109" t="str">
        <f t="shared" ref="A270:A329" si="16">"debit"&amp;"ovh"&amp;B270</f>
        <v>debitovh    6666110112  Depreciation of Furniture &amp; Fixture</v>
      </c>
      <c r="B270" s="112" t="s">
        <v>229</v>
      </c>
      <c r="C270" s="279">
        <f>IFERROR(VLOOKUP($A270,MTD!$A$13:$D$1048576,3,0),0)</f>
        <v>73.87</v>
      </c>
      <c r="D270" s="112">
        <f>IFERROR(VLOOKUP($A270,MTD!$A$13:$D$1048576,4,0),0)</f>
        <v>0</v>
      </c>
      <c r="E270" s="112"/>
      <c r="F270" s="112"/>
      <c r="G270" s="112" t="s">
        <v>229</v>
      </c>
      <c r="H270" s="112">
        <v>0</v>
      </c>
      <c r="I270" s="112">
        <v>0</v>
      </c>
      <c r="J270" s="112">
        <v>0</v>
      </c>
      <c r="K270" s="112">
        <v>0</v>
      </c>
      <c r="P270" s="112" t="s">
        <v>229</v>
      </c>
      <c r="Q270" s="112">
        <f>IFERROR(VLOOKUP($A270,YTD!$A$13:$D$1048576,3,0),0)</f>
        <v>1356.64</v>
      </c>
      <c r="R270" s="112">
        <f>IFERROR(VLOOKUP($A270,YTD!$A$13:$D$1048576,4,0),0)</f>
        <v>0</v>
      </c>
      <c r="S270" s="112">
        <v>0</v>
      </c>
      <c r="T270" s="112">
        <v>0</v>
      </c>
      <c r="U270" s="112" t="s">
        <v>229</v>
      </c>
      <c r="V270" s="112">
        <v>0</v>
      </c>
      <c r="W270" s="112">
        <v>0</v>
      </c>
      <c r="X270" s="112">
        <v>0</v>
      </c>
      <c r="Y270" s="112">
        <v>0</v>
      </c>
      <c r="Z270" s="279">
        <v>127.24</v>
      </c>
      <c r="AA270" s="279">
        <v>114.91</v>
      </c>
      <c r="AB270" s="279">
        <v>127.25</v>
      </c>
      <c r="AC270" s="279">
        <v>123.14</v>
      </c>
      <c r="AD270" s="279">
        <v>137.19999999999999</v>
      </c>
      <c r="AE270" s="279">
        <v>142.30000000000001</v>
      </c>
      <c r="AF270" s="279">
        <v>146.75</v>
      </c>
      <c r="AG270" s="112">
        <v>146.72999999999999</v>
      </c>
      <c r="AH270" s="112">
        <v>142.31</v>
      </c>
      <c r="AI270" s="112">
        <v>0</v>
      </c>
      <c r="AJ270" s="112">
        <v>74.94</v>
      </c>
      <c r="AK270" s="112">
        <f t="shared" si="13"/>
        <v>73.87</v>
      </c>
    </row>
    <row r="271" spans="1:37" x14ac:dyDescent="0.3">
      <c r="A271" s="109" t="str">
        <f t="shared" si="16"/>
        <v>debitovh    6666110207  Amortization of Software</v>
      </c>
      <c r="B271" s="112" t="s">
        <v>231</v>
      </c>
      <c r="C271" s="279">
        <f>IFERROR(VLOOKUP($A271,MTD!$A$13:$D$1048576,3,0),0)</f>
        <v>2.2599999999999998</v>
      </c>
      <c r="D271" s="112">
        <f>IFERROR(VLOOKUP($A271,MTD!$A$13:$D$1048576,4,0),0)</f>
        <v>0</v>
      </c>
      <c r="E271" s="112"/>
      <c r="F271" s="112"/>
      <c r="G271" s="112" t="s">
        <v>231</v>
      </c>
      <c r="H271" s="112">
        <v>0</v>
      </c>
      <c r="I271" s="112">
        <v>0</v>
      </c>
      <c r="J271" s="112">
        <v>0</v>
      </c>
      <c r="K271" s="112">
        <v>0</v>
      </c>
      <c r="P271" s="112" t="s">
        <v>231</v>
      </c>
      <c r="Q271" s="112">
        <f>IFERROR(VLOOKUP($A271,YTD!$A$13:$D$1048576,3,0),0)</f>
        <v>237.48</v>
      </c>
      <c r="R271" s="112">
        <f>IFERROR(VLOOKUP($A271,YTD!$A$13:$D$1048576,4,0),0)</f>
        <v>0</v>
      </c>
      <c r="S271" s="112"/>
      <c r="T271" s="112"/>
      <c r="U271" s="112" t="s">
        <v>231</v>
      </c>
      <c r="V271" s="112">
        <v>0</v>
      </c>
      <c r="W271" s="112">
        <v>0</v>
      </c>
      <c r="X271" s="112">
        <v>0</v>
      </c>
      <c r="Y271" s="112">
        <v>0</v>
      </c>
      <c r="Z271" s="279">
        <v>111.5</v>
      </c>
      <c r="AA271" s="279">
        <v>100.71</v>
      </c>
      <c r="AB271" s="279">
        <v>5.21</v>
      </c>
      <c r="AC271" s="279">
        <v>2.19</v>
      </c>
      <c r="AD271" s="279">
        <v>2.2599999999999998</v>
      </c>
      <c r="AE271" s="279">
        <v>2.19</v>
      </c>
      <c r="AF271" s="279">
        <v>2.2599999999999998</v>
      </c>
      <c r="AG271" s="112">
        <v>2.2599999999999998</v>
      </c>
      <c r="AH271" s="112">
        <v>2.19</v>
      </c>
      <c r="AI271" s="112">
        <v>2.2599999999999998</v>
      </c>
      <c r="AJ271" s="112">
        <v>2.19</v>
      </c>
      <c r="AK271" s="112">
        <f t="shared" si="13"/>
        <v>2.2599999999999998</v>
      </c>
    </row>
    <row r="272" spans="1:37" x14ac:dyDescent="0.3">
      <c r="A272" s="109" t="str">
        <f t="shared" si="16"/>
        <v>debitovh    6666110506  Amortization-Leasehold Improvement</v>
      </c>
      <c r="B272" s="112" t="s">
        <v>232</v>
      </c>
      <c r="C272" s="279">
        <f>IFERROR(VLOOKUP($A272,MTD!$A$13:$D$1048576,3,0),0)</f>
        <v>119.68</v>
      </c>
      <c r="D272" s="112">
        <f>IFERROR(VLOOKUP($A272,MTD!$A$13:$D$1048576,4,0),0)</f>
        <v>0</v>
      </c>
      <c r="E272" s="112"/>
      <c r="F272" s="112"/>
      <c r="G272" s="112" t="s">
        <v>232</v>
      </c>
      <c r="H272" s="112">
        <v>0</v>
      </c>
      <c r="I272" s="112">
        <v>0</v>
      </c>
      <c r="J272" s="112">
        <v>0</v>
      </c>
      <c r="K272" s="112">
        <v>0</v>
      </c>
      <c r="P272" s="112" t="s">
        <v>232</v>
      </c>
      <c r="Q272" s="112">
        <f>IFERROR(VLOOKUP($A272,YTD!$A$13:$D$1048576,3,0),0)</f>
        <v>1455.03</v>
      </c>
      <c r="R272" s="112">
        <f>IFERROR(VLOOKUP($A272,YTD!$A$13:$D$1048576,4,0),0)</f>
        <v>0</v>
      </c>
      <c r="S272" s="112"/>
      <c r="T272" s="112"/>
      <c r="U272" s="112" t="s">
        <v>232</v>
      </c>
      <c r="V272" s="112">
        <v>0</v>
      </c>
      <c r="W272" s="112">
        <v>0</v>
      </c>
      <c r="X272" s="112">
        <v>0</v>
      </c>
      <c r="Y272" s="112">
        <v>0</v>
      </c>
      <c r="Z272" s="279">
        <v>124.37</v>
      </c>
      <c r="AA272" s="279">
        <v>112.33</v>
      </c>
      <c r="AB272" s="279">
        <v>124.39</v>
      </c>
      <c r="AC272" s="279">
        <v>120.34</v>
      </c>
      <c r="AD272" s="279">
        <v>124.38</v>
      </c>
      <c r="AE272" s="279">
        <v>120.36</v>
      </c>
      <c r="AF272" s="279">
        <v>124.39</v>
      </c>
      <c r="AG272" s="112">
        <v>124.36</v>
      </c>
      <c r="AH272" s="112">
        <v>120.36</v>
      </c>
      <c r="AI272" s="112">
        <v>124.24</v>
      </c>
      <c r="AJ272" s="112">
        <v>115.83</v>
      </c>
      <c r="AK272" s="112">
        <f t="shared" si="13"/>
        <v>119.68</v>
      </c>
    </row>
    <row r="273" spans="1:37" x14ac:dyDescent="0.3">
      <c r="A273" s="109" t="str">
        <f t="shared" si="16"/>
        <v>debitovh*   CS_Depreciation</v>
      </c>
      <c r="B273" s="117" t="s">
        <v>207</v>
      </c>
      <c r="C273" s="280">
        <f>IFERROR(VLOOKUP($A273,MTD!$A$13:$D$1048576,3,0),0)</f>
        <v>312.39999999999998</v>
      </c>
      <c r="D273" s="117">
        <f>IFERROR(VLOOKUP($A273,MTD!$A$13:$D$1048576,4,0),0)</f>
        <v>0</v>
      </c>
      <c r="E273" s="117"/>
      <c r="F273" s="117"/>
      <c r="G273" s="117" t="s">
        <v>207</v>
      </c>
      <c r="H273" s="117">
        <v>0</v>
      </c>
      <c r="I273" s="117">
        <v>0</v>
      </c>
      <c r="J273" s="117">
        <v>0</v>
      </c>
      <c r="K273" s="117">
        <v>0</v>
      </c>
      <c r="P273" s="117" t="s">
        <v>207</v>
      </c>
      <c r="Q273" s="117">
        <f>IFERROR(VLOOKUP($A273,YTD!$A$13:$D$1048576,3,0),0)</f>
        <v>4421.8100000000004</v>
      </c>
      <c r="R273" s="117">
        <f>IFERROR(VLOOKUP($A273,YTD!$A$13:$D$1048576,4,0),0)</f>
        <v>0</v>
      </c>
      <c r="S273" s="117"/>
      <c r="T273" s="117"/>
      <c r="U273" s="117" t="s">
        <v>207</v>
      </c>
      <c r="V273" s="117">
        <v>0</v>
      </c>
      <c r="W273" s="117">
        <v>0</v>
      </c>
      <c r="X273" s="117">
        <v>0</v>
      </c>
      <c r="Y273" s="117">
        <v>0</v>
      </c>
      <c r="Z273" s="280">
        <v>479.69</v>
      </c>
      <c r="AA273" s="280">
        <v>433.25</v>
      </c>
      <c r="AB273" s="280">
        <v>373.43</v>
      </c>
      <c r="AC273" s="280">
        <v>358.49</v>
      </c>
      <c r="AD273" s="280">
        <v>380.42</v>
      </c>
      <c r="AE273" s="280">
        <v>377.67</v>
      </c>
      <c r="AF273" s="280">
        <v>389.99</v>
      </c>
      <c r="AG273" s="117">
        <v>389.92</v>
      </c>
      <c r="AH273" s="117">
        <v>377.69</v>
      </c>
      <c r="AI273" s="117">
        <v>243.08</v>
      </c>
      <c r="AJ273" s="117">
        <v>305.77999999999997</v>
      </c>
      <c r="AK273" s="117">
        <f t="shared" si="13"/>
        <v>312.39999999999998</v>
      </c>
    </row>
    <row r="274" spans="1:37" x14ac:dyDescent="0.3">
      <c r="A274" s="109" t="str">
        <f t="shared" si="16"/>
        <v>debitovh    5102040406  Other revenue-Service/Secondment agreeme</v>
      </c>
      <c r="B274" s="112" t="s">
        <v>239</v>
      </c>
      <c r="C274" s="279">
        <f>IFERROR(VLOOKUP($A274,MTD!$A$13:$D$1048576,3,0),0)</f>
        <v>0</v>
      </c>
      <c r="D274" s="112">
        <f>IFERROR(VLOOKUP($A274,MTD!$A$13:$D$1048576,4,0),0)</f>
        <v>0</v>
      </c>
      <c r="E274" s="112"/>
      <c r="F274" s="112"/>
      <c r="G274" s="112" t="s">
        <v>239</v>
      </c>
      <c r="H274" s="112">
        <v>0</v>
      </c>
      <c r="I274" s="112">
        <v>0</v>
      </c>
      <c r="J274" s="112">
        <v>0</v>
      </c>
      <c r="K274" s="112">
        <v>0</v>
      </c>
      <c r="P274" s="112" t="s">
        <v>239</v>
      </c>
      <c r="Q274" s="112">
        <f>IFERROR(VLOOKUP($A274,YTD!$A$13:$D$1048576,3,0),0)</f>
        <v>2.82</v>
      </c>
      <c r="R274" s="112">
        <f>IFERROR(VLOOKUP($A274,YTD!$A$13:$D$1048576,4,0),0)</f>
        <v>0</v>
      </c>
      <c r="S274" s="112"/>
      <c r="T274" s="112"/>
      <c r="U274" s="112" t="s">
        <v>239</v>
      </c>
      <c r="V274" s="112">
        <v>0</v>
      </c>
      <c r="W274" s="112">
        <v>0</v>
      </c>
      <c r="X274" s="112">
        <v>0</v>
      </c>
      <c r="Y274" s="112">
        <v>0</v>
      </c>
      <c r="Z274" s="279">
        <v>2.82</v>
      </c>
      <c r="AA274" s="279">
        <v>0</v>
      </c>
      <c r="AB274" s="279">
        <v>0</v>
      </c>
      <c r="AC274" s="279">
        <v>0</v>
      </c>
      <c r="AD274" s="279">
        <v>0</v>
      </c>
      <c r="AE274" s="279">
        <v>0</v>
      </c>
      <c r="AF274" s="279">
        <v>0</v>
      </c>
      <c r="AG274" s="112">
        <v>0</v>
      </c>
      <c r="AH274" s="112">
        <v>0</v>
      </c>
      <c r="AI274" s="112">
        <v>0</v>
      </c>
      <c r="AJ274" s="112">
        <v>0</v>
      </c>
      <c r="AK274" s="112">
        <f t="shared" si="13"/>
        <v>0</v>
      </c>
    </row>
    <row r="275" spans="1:37" x14ac:dyDescent="0.3">
      <c r="A275" s="109" t="str">
        <f t="shared" si="16"/>
        <v>debitovh*   CS_Direct Labour</v>
      </c>
      <c r="B275" s="117" t="s">
        <v>208</v>
      </c>
      <c r="C275" s="280">
        <f>IFERROR(VLOOKUP($A275,MTD!$A$13:$D$1048576,3,0),0)</f>
        <v>65.540000000000006</v>
      </c>
      <c r="D275" s="117">
        <f>IFERROR(VLOOKUP($A275,MTD!$A$13:$D$1048576,4,0),0)</f>
        <v>0</v>
      </c>
      <c r="E275" s="117"/>
      <c r="F275" s="117"/>
      <c r="G275" s="117" t="s">
        <v>208</v>
      </c>
      <c r="H275" s="117">
        <v>0</v>
      </c>
      <c r="I275" s="117">
        <v>0</v>
      </c>
      <c r="J275" s="117">
        <v>0</v>
      </c>
      <c r="K275" s="117">
        <v>0</v>
      </c>
      <c r="P275" s="117" t="s">
        <v>208</v>
      </c>
      <c r="Q275" s="117">
        <f>IFERROR(VLOOKUP($A275,YTD!$A$13:$D$1048576,3,0),0)</f>
        <v>265</v>
      </c>
      <c r="R275" s="117">
        <f>IFERROR(VLOOKUP($A275,YTD!$A$13:$D$1048576,4,0),0)</f>
        <v>0</v>
      </c>
      <c r="S275" s="117"/>
      <c r="T275" s="117"/>
      <c r="U275" s="117" t="s">
        <v>208</v>
      </c>
      <c r="V275" s="117">
        <v>0</v>
      </c>
      <c r="W275" s="117">
        <v>0</v>
      </c>
      <c r="X275" s="117">
        <v>0</v>
      </c>
      <c r="Y275" s="117">
        <v>0</v>
      </c>
      <c r="Z275" s="280">
        <v>2.82</v>
      </c>
      <c r="AA275" s="280">
        <v>0</v>
      </c>
      <c r="AB275" s="280">
        <v>0</v>
      </c>
      <c r="AC275" s="280">
        <v>0</v>
      </c>
      <c r="AD275" s="280">
        <v>0</v>
      </c>
      <c r="AE275" s="280">
        <v>0</v>
      </c>
      <c r="AF275" s="280">
        <v>0</v>
      </c>
      <c r="AG275" s="117">
        <v>0</v>
      </c>
      <c r="AH275" s="117">
        <v>65.55</v>
      </c>
      <c r="AI275" s="117">
        <v>65.540000000000006</v>
      </c>
      <c r="AJ275" s="117">
        <v>65.55</v>
      </c>
      <c r="AK275" s="117">
        <f t="shared" si="13"/>
        <v>65.540000000000006</v>
      </c>
    </row>
    <row r="276" spans="1:37" x14ac:dyDescent="0.3">
      <c r="A276" s="109" t="str">
        <f t="shared" si="16"/>
        <v>debitovh    6666029996  Non-deductible expense-travel.</v>
      </c>
      <c r="B276" s="112" t="s">
        <v>246</v>
      </c>
      <c r="C276" s="279">
        <f>IFERROR(VLOOKUP($A276,MTD!$A$13:$D$1048576,3,0),0)</f>
        <v>20.57</v>
      </c>
      <c r="D276" s="112">
        <f>IFERROR(VLOOKUP($A276,MTD!$A$13:$D$1048576,4,0),0)</f>
        <v>0</v>
      </c>
      <c r="E276" s="112"/>
      <c r="F276" s="112"/>
      <c r="G276" s="112" t="s">
        <v>246</v>
      </c>
      <c r="H276" s="112">
        <v>0</v>
      </c>
      <c r="I276" s="112">
        <v>0</v>
      </c>
      <c r="J276" s="112">
        <v>0</v>
      </c>
      <c r="K276" s="112">
        <v>0</v>
      </c>
      <c r="P276" s="112" t="s">
        <v>246</v>
      </c>
      <c r="Q276" s="112">
        <f>IFERROR(VLOOKUP($A276,YTD!$A$13:$D$1048576,3,0),0)</f>
        <v>83.89</v>
      </c>
      <c r="R276" s="112">
        <f>IFERROR(VLOOKUP($A276,YTD!$A$13:$D$1048576,4,0),0)</f>
        <v>0</v>
      </c>
      <c r="S276" s="112"/>
      <c r="T276" s="112"/>
      <c r="U276" s="112" t="s">
        <v>246</v>
      </c>
      <c r="V276" s="112">
        <v>0</v>
      </c>
      <c r="W276" s="112">
        <v>0</v>
      </c>
      <c r="X276" s="112">
        <v>0</v>
      </c>
      <c r="Y276" s="112">
        <v>0</v>
      </c>
      <c r="Z276" s="279">
        <v>7.07</v>
      </c>
      <c r="AA276" s="279">
        <v>6.53</v>
      </c>
      <c r="AB276" s="279">
        <v>6.4</v>
      </c>
      <c r="AC276" s="279">
        <v>-48.74</v>
      </c>
      <c r="AD276" s="279">
        <v>5.38</v>
      </c>
      <c r="AE276" s="279">
        <v>5.49</v>
      </c>
      <c r="AF276" s="279">
        <v>5.5</v>
      </c>
      <c r="AG276" s="112">
        <v>2.65</v>
      </c>
      <c r="AH276" s="112">
        <v>8.33</v>
      </c>
      <c r="AI276" s="426">
        <v>53.03</v>
      </c>
      <c r="AJ276" s="426">
        <v>11.68</v>
      </c>
      <c r="AK276" s="112">
        <f t="shared" si="13"/>
        <v>20.57</v>
      </c>
    </row>
    <row r="277" spans="1:37" x14ac:dyDescent="0.3">
      <c r="A277" s="109" t="str">
        <f t="shared" si="16"/>
        <v>debitovh    6666029700  Service fee recharge</v>
      </c>
      <c r="B277" s="112" t="s">
        <v>247</v>
      </c>
      <c r="C277" s="279">
        <f>IFERROR(VLOOKUP($A277,MTD!$A$13:$D$1048576,3,0),0)</f>
        <v>29792.03</v>
      </c>
      <c r="D277" s="112">
        <f>IFERROR(VLOOKUP($A277,MTD!$A$13:$D$1048576,4,0),0)</f>
        <v>0</v>
      </c>
      <c r="E277" s="112"/>
      <c r="F277" s="112"/>
      <c r="G277" s="112" t="s">
        <v>247</v>
      </c>
      <c r="H277" s="112">
        <v>0</v>
      </c>
      <c r="I277" s="112">
        <v>0</v>
      </c>
      <c r="J277" s="112">
        <v>0</v>
      </c>
      <c r="K277" s="112">
        <v>0</v>
      </c>
      <c r="P277" s="112" t="s">
        <v>247</v>
      </c>
      <c r="Q277" s="112">
        <f>IFERROR(VLOOKUP($A277,YTD!$A$13:$D$1048576,3,0),0)</f>
        <v>517094.31</v>
      </c>
      <c r="R277" s="112">
        <f>IFERROR(VLOOKUP($A277,YTD!$A$13:$D$1048576,4,0),0)</f>
        <v>0</v>
      </c>
      <c r="S277" s="112"/>
      <c r="T277" s="112"/>
      <c r="U277" s="112" t="s">
        <v>247</v>
      </c>
      <c r="V277" s="112">
        <v>0</v>
      </c>
      <c r="W277" s="112">
        <v>0</v>
      </c>
      <c r="X277" s="112">
        <v>0</v>
      </c>
      <c r="Y277" s="112">
        <v>0</v>
      </c>
      <c r="Z277" s="279">
        <v>38524.300000000003</v>
      </c>
      <c r="AA277" s="279">
        <v>76202.16</v>
      </c>
      <c r="AB277" s="279">
        <v>55385.56</v>
      </c>
      <c r="AC277" s="279">
        <v>15532.81</v>
      </c>
      <c r="AD277" s="279">
        <v>44232.77</v>
      </c>
      <c r="AE277" s="279">
        <v>39354.879999999997</v>
      </c>
      <c r="AF277" s="279">
        <v>44291.92</v>
      </c>
      <c r="AG277" s="112">
        <v>33631.339999999997</v>
      </c>
      <c r="AH277" s="112">
        <v>45215.25</v>
      </c>
      <c r="AI277" s="426">
        <v>53030.33</v>
      </c>
      <c r="AJ277" s="426">
        <v>41900.959999999999</v>
      </c>
      <c r="AK277" s="112">
        <f t="shared" si="13"/>
        <v>29792.03</v>
      </c>
    </row>
    <row r="278" spans="1:37" x14ac:dyDescent="0.3">
      <c r="A278" s="109" t="str">
        <f t="shared" si="16"/>
        <v>debitovh    6666010322  fuel allowance</v>
      </c>
      <c r="B278" s="112" t="s">
        <v>248</v>
      </c>
      <c r="C278" s="279">
        <f>IFERROR(VLOOKUP($A278,MTD!$A$13:$D$1048576,3,0),0)</f>
        <v>742.61</v>
      </c>
      <c r="D278" s="112">
        <f>IFERROR(VLOOKUP($A278,MTD!$A$13:$D$1048576,4,0),0)</f>
        <v>0</v>
      </c>
      <c r="E278" s="112"/>
      <c r="F278" s="112"/>
      <c r="G278" s="112" t="s">
        <v>248</v>
      </c>
      <c r="H278" s="112">
        <v>0</v>
      </c>
      <c r="I278" s="112">
        <v>0</v>
      </c>
      <c r="J278" s="112">
        <v>0</v>
      </c>
      <c r="K278" s="112">
        <v>0</v>
      </c>
      <c r="P278" s="112" t="s">
        <v>248</v>
      </c>
      <c r="Q278" s="112">
        <f>IFERROR(VLOOKUP($A278,YTD!$A$13:$D$1048576,3,0),0)</f>
        <v>1855.74</v>
      </c>
      <c r="R278" s="112">
        <f>IFERROR(VLOOKUP($A278,YTD!$A$13:$D$1048576,4,0),0)</f>
        <v>0</v>
      </c>
      <c r="S278" s="112"/>
      <c r="T278" s="112"/>
      <c r="U278" s="112" t="s">
        <v>248</v>
      </c>
      <c r="V278" s="112">
        <v>0</v>
      </c>
      <c r="W278" s="112">
        <v>0</v>
      </c>
      <c r="X278" s="112">
        <v>0</v>
      </c>
      <c r="Y278" s="112">
        <v>0</v>
      </c>
      <c r="Z278" s="279">
        <v>21.69</v>
      </c>
      <c r="AA278" s="279">
        <v>1.31</v>
      </c>
      <c r="AB278" s="279">
        <v>204.83</v>
      </c>
      <c r="AC278" s="279">
        <v>96.1</v>
      </c>
      <c r="AD278" s="279">
        <v>36.69</v>
      </c>
      <c r="AE278" s="279">
        <v>347.88</v>
      </c>
      <c r="AF278" s="279">
        <v>193.11</v>
      </c>
      <c r="AG278" s="112">
        <v>46.83</v>
      </c>
      <c r="AH278" s="112">
        <v>163.72</v>
      </c>
      <c r="AI278" s="426">
        <v>0.04</v>
      </c>
      <c r="AJ278" s="426">
        <v>0.93</v>
      </c>
      <c r="AK278" s="112">
        <f t="shared" si="13"/>
        <v>742.61</v>
      </c>
    </row>
    <row r="279" spans="1:37" x14ac:dyDescent="0.3">
      <c r="A279" s="109" t="str">
        <f t="shared" si="16"/>
        <v>debitovh    6666020495  Non-deductible expense-travel.</v>
      </c>
      <c r="B279" s="112" t="s">
        <v>249</v>
      </c>
      <c r="C279" s="279">
        <f>IFERROR(VLOOKUP($A279,MTD!$A$13:$D$1048576,3,0),0)</f>
        <v>155.24</v>
      </c>
      <c r="D279" s="112">
        <f>IFERROR(VLOOKUP($A279,MTD!$A$13:$D$1048576,4,0),0)</f>
        <v>0</v>
      </c>
      <c r="E279" s="112"/>
      <c r="F279" s="112"/>
      <c r="G279" s="112" t="s">
        <v>249</v>
      </c>
      <c r="H279" s="112">
        <v>0</v>
      </c>
      <c r="I279" s="112">
        <v>0</v>
      </c>
      <c r="J279" s="112">
        <v>0</v>
      </c>
      <c r="K279" s="112">
        <v>0</v>
      </c>
      <c r="P279" s="112" t="s">
        <v>249</v>
      </c>
      <c r="Q279" s="112">
        <f>IFERROR(VLOOKUP($A279,YTD!$A$13:$D$1048576,3,0),0)</f>
        <v>8327.2999999999993</v>
      </c>
      <c r="R279" s="112">
        <f>IFERROR(VLOOKUP($A279,YTD!$A$13:$D$1048576,4,0),0)</f>
        <v>0</v>
      </c>
      <c r="S279" s="112"/>
      <c r="T279" s="112"/>
      <c r="U279" s="112" t="s">
        <v>249</v>
      </c>
      <c r="V279" s="112">
        <v>0</v>
      </c>
      <c r="W279" s="112">
        <v>0</v>
      </c>
      <c r="X279" s="112">
        <v>0</v>
      </c>
      <c r="Y279" s="112">
        <v>0</v>
      </c>
      <c r="Z279" s="279">
        <v>1.1200000000000001</v>
      </c>
      <c r="AA279" s="279">
        <v>8002.69</v>
      </c>
      <c r="AB279" s="279">
        <v>10.58</v>
      </c>
      <c r="AC279" s="279">
        <v>5.07</v>
      </c>
      <c r="AD279" s="279">
        <v>0.86</v>
      </c>
      <c r="AE279" s="279">
        <v>0</v>
      </c>
      <c r="AF279" s="279">
        <v>52.47</v>
      </c>
      <c r="AG279" s="112">
        <v>0.91</v>
      </c>
      <c r="AH279" s="112">
        <v>59.5</v>
      </c>
      <c r="AI279" s="426">
        <v>4.6100000000000003</v>
      </c>
      <c r="AJ279" s="426">
        <v>34.25</v>
      </c>
      <c r="AK279" s="112">
        <f t="shared" si="13"/>
        <v>155.24</v>
      </c>
    </row>
    <row r="280" spans="1:37" x14ac:dyDescent="0.3">
      <c r="A280" s="109" t="str">
        <f t="shared" si="16"/>
        <v>debitovh    5301060000  Other Income-Subsidy income</v>
      </c>
      <c r="B280" s="112" t="s">
        <v>256</v>
      </c>
      <c r="C280" s="279">
        <f>IFERROR(VLOOKUP($A280,MTD!$A$13:$D$1048576,3,0),0)</f>
        <v>0</v>
      </c>
      <c r="D280" s="112"/>
      <c r="E280" s="112"/>
      <c r="F280" s="112"/>
      <c r="G280" s="112" t="s">
        <v>256</v>
      </c>
      <c r="H280" s="112"/>
      <c r="I280" s="112"/>
      <c r="J280" s="112"/>
      <c r="K280" s="112"/>
      <c r="P280" s="112" t="s">
        <v>256</v>
      </c>
      <c r="Q280" s="112">
        <f>IFERROR(VLOOKUP($A280,YTD!$A$13:$D$1048576,3,0),0)</f>
        <v>-26.56</v>
      </c>
      <c r="R280" s="112">
        <f>IFERROR(VLOOKUP($A280,YTD!$A$13:$D$1048576,4,0),0)</f>
        <v>0</v>
      </c>
      <c r="S280" s="112"/>
      <c r="T280" s="112"/>
      <c r="U280" s="112" t="s">
        <v>256</v>
      </c>
      <c r="V280" s="112"/>
      <c r="W280" s="112"/>
      <c r="X280" s="112"/>
      <c r="Y280" s="112"/>
      <c r="Z280" s="279">
        <v>-26.56</v>
      </c>
      <c r="AA280" s="279">
        <v>0</v>
      </c>
      <c r="AB280" s="279">
        <v>0</v>
      </c>
      <c r="AC280" s="279">
        <v>0</v>
      </c>
      <c r="AD280" s="279">
        <v>0</v>
      </c>
      <c r="AE280" s="279">
        <v>0</v>
      </c>
      <c r="AF280" s="279">
        <v>0</v>
      </c>
      <c r="AG280" s="112">
        <v>0</v>
      </c>
      <c r="AH280" s="112">
        <v>0</v>
      </c>
      <c r="AI280" s="426">
        <v>0</v>
      </c>
      <c r="AJ280" s="426">
        <v>0</v>
      </c>
      <c r="AK280" s="112">
        <f t="shared" si="13"/>
        <v>0</v>
      </c>
    </row>
    <row r="281" spans="1:37" x14ac:dyDescent="0.3">
      <c r="A281" s="109" t="str">
        <f t="shared" si="16"/>
        <v>debitovh    5601050000  Non-Operating Expense - Penalty</v>
      </c>
      <c r="B281" s="112" t="s">
        <v>259</v>
      </c>
      <c r="C281" s="279">
        <f>IFERROR(VLOOKUP($A281,MTD!$A$13:$D$1048576,3,0),0)</f>
        <v>0</v>
      </c>
      <c r="D281" s="112"/>
      <c r="E281" s="112"/>
      <c r="F281" s="112"/>
      <c r="G281" s="112" t="s">
        <v>259</v>
      </c>
      <c r="H281" s="112"/>
      <c r="I281" s="112"/>
      <c r="J281" s="112"/>
      <c r="K281" s="112"/>
      <c r="P281" s="112" t="s">
        <v>259</v>
      </c>
      <c r="Q281" s="112">
        <f>IFERROR(VLOOKUP($A281,YTD!$A$13:$D$1048576,3,0),0)</f>
        <v>28.05</v>
      </c>
      <c r="R281" s="112"/>
      <c r="S281" s="112"/>
      <c r="T281" s="112"/>
      <c r="U281" s="112" t="s">
        <v>259</v>
      </c>
      <c r="V281" s="112"/>
      <c r="W281" s="112"/>
      <c r="X281" s="112"/>
      <c r="Y281" s="112"/>
      <c r="Z281" s="279"/>
      <c r="AA281" s="279"/>
      <c r="AB281" s="279">
        <v>0</v>
      </c>
      <c r="AC281" s="279">
        <v>0</v>
      </c>
      <c r="AD281" s="279">
        <v>13.09</v>
      </c>
      <c r="AE281" s="279">
        <v>0</v>
      </c>
      <c r="AF281" s="279">
        <v>0</v>
      </c>
      <c r="AG281" s="112">
        <v>0</v>
      </c>
      <c r="AH281" s="112">
        <v>0</v>
      </c>
      <c r="AI281" s="426">
        <v>0</v>
      </c>
      <c r="AJ281" s="426">
        <v>0</v>
      </c>
      <c r="AK281" s="112">
        <f t="shared" si="13"/>
        <v>0</v>
      </c>
    </row>
    <row r="282" spans="1:37" x14ac:dyDescent="0.3">
      <c r="A282" s="109" t="str">
        <f t="shared" si="16"/>
        <v>debitovh    5601050100  Non-operation Expense-Others</v>
      </c>
      <c r="B282" s="112" t="s">
        <v>260</v>
      </c>
      <c r="C282" s="279">
        <f>IFERROR(VLOOKUP($A282,MTD!$A$13:$D$1048576,3,0),0)</f>
        <v>41.69</v>
      </c>
      <c r="D282" s="112">
        <f>IFERROR(VLOOKUP($A282,MTD!$A$13:$D$1048576,4,0),0)</f>
        <v>0</v>
      </c>
      <c r="E282" s="112"/>
      <c r="F282" s="112"/>
      <c r="G282" s="112" t="s">
        <v>260</v>
      </c>
      <c r="H282" s="112">
        <v>0</v>
      </c>
      <c r="I282" s="112">
        <v>0</v>
      </c>
      <c r="J282" s="112">
        <v>0</v>
      </c>
      <c r="K282" s="112">
        <v>0</v>
      </c>
      <c r="P282" s="112" t="s">
        <v>260</v>
      </c>
      <c r="Q282" s="112">
        <f>IFERROR(VLOOKUP($A282,YTD!$A$13:$D$1048576,3,0),0)</f>
        <v>1326.59</v>
      </c>
      <c r="R282" s="112">
        <f>IFERROR(VLOOKUP($A282,YTD!$A$13:$D$1048576,4,0),0)</f>
        <v>0</v>
      </c>
      <c r="S282" s="112"/>
      <c r="T282" s="112"/>
      <c r="U282" s="112" t="s">
        <v>260</v>
      </c>
      <c r="V282" s="112">
        <v>0</v>
      </c>
      <c r="W282" s="112">
        <v>0</v>
      </c>
      <c r="X282" s="112">
        <v>0</v>
      </c>
      <c r="Y282" s="112">
        <v>0</v>
      </c>
      <c r="Z282" s="279">
        <v>35.090000000000003</v>
      </c>
      <c r="AA282" s="279">
        <v>342.14</v>
      </c>
      <c r="AB282" s="279">
        <v>329.3</v>
      </c>
      <c r="AC282" s="279">
        <v>21.59</v>
      </c>
      <c r="AD282" s="279">
        <v>14.08</v>
      </c>
      <c r="AE282" s="279">
        <v>53.07</v>
      </c>
      <c r="AF282" s="279">
        <v>177.38</v>
      </c>
      <c r="AG282" s="112">
        <v>57.95</v>
      </c>
      <c r="AH282" s="112">
        <v>171.83</v>
      </c>
      <c r="AI282" s="426">
        <v>62.3</v>
      </c>
      <c r="AJ282" s="426">
        <v>20.170000000000002</v>
      </c>
      <c r="AK282" s="112">
        <f t="shared" si="13"/>
        <v>41.69</v>
      </c>
    </row>
    <row r="283" spans="1:37" x14ac:dyDescent="0.3">
      <c r="A283" s="109" t="str">
        <f t="shared" si="16"/>
        <v>debitovh    5601080000  Non-operating expense-VAT non-deductible</v>
      </c>
      <c r="B283" s="112" t="s">
        <v>337</v>
      </c>
      <c r="C283" s="279">
        <f>IFERROR(VLOOKUP($A283,MTD!$A$13:$D$1048576,3,0),0)</f>
        <v>746.93</v>
      </c>
      <c r="D283" s="112">
        <f>IFERROR(VLOOKUP($A283,MTD!$A$13:$D$1048576,4,0),0)</f>
        <v>0</v>
      </c>
      <c r="E283" s="112"/>
      <c r="F283" s="112"/>
      <c r="G283" s="112" t="s">
        <v>337</v>
      </c>
      <c r="H283" s="112">
        <v>0</v>
      </c>
      <c r="I283" s="112">
        <v>0</v>
      </c>
      <c r="J283" s="112">
        <v>0</v>
      </c>
      <c r="K283" s="112">
        <v>0</v>
      </c>
      <c r="P283" s="112" t="s">
        <v>337</v>
      </c>
      <c r="Q283" s="112">
        <f>IFERROR(VLOOKUP($A283,YTD!$A$13:$D$1048576,3,0),0)</f>
        <v>7563.81</v>
      </c>
      <c r="R283" s="112">
        <f>IFERROR(VLOOKUP($A283,YTD!$A$13:$D$1048576,4,0),0)</f>
        <v>0</v>
      </c>
      <c r="S283" s="112"/>
      <c r="T283" s="112"/>
      <c r="U283" s="112" t="s">
        <v>337</v>
      </c>
      <c r="V283" s="112">
        <v>0</v>
      </c>
      <c r="W283" s="112">
        <v>0</v>
      </c>
      <c r="X283" s="112">
        <v>0</v>
      </c>
      <c r="Y283" s="112">
        <v>0</v>
      </c>
      <c r="Z283" s="279">
        <v>5386.1</v>
      </c>
      <c r="AA283" s="279">
        <v>0.06</v>
      </c>
      <c r="AB283" s="279">
        <v>0</v>
      </c>
      <c r="AC283" s="279">
        <v>464.32</v>
      </c>
      <c r="AD283" s="279">
        <v>2.85</v>
      </c>
      <c r="AE283" s="279">
        <v>0</v>
      </c>
      <c r="AF283" s="279">
        <v>198.96</v>
      </c>
      <c r="AG283" s="112">
        <v>18.559999999999999</v>
      </c>
      <c r="AH283" s="112">
        <v>0</v>
      </c>
      <c r="AI283" s="426">
        <v>746.03</v>
      </c>
      <c r="AJ283" s="426">
        <v>0</v>
      </c>
      <c r="AK283" s="112">
        <f t="shared" si="13"/>
        <v>746.93</v>
      </c>
    </row>
    <row r="284" spans="1:37" x14ac:dyDescent="0.3">
      <c r="A284" s="109" t="str">
        <f>"debit"&amp;"ovh"&amp;B284</f>
        <v>debitovh    6666020101  Entertainment</v>
      </c>
      <c r="B284" s="112" t="s">
        <v>261</v>
      </c>
      <c r="C284" s="279">
        <f>IFERROR(VLOOKUP($A284,MTD!$A$13:$D$1048576,3,0),0)</f>
        <v>174.36</v>
      </c>
      <c r="D284" s="112">
        <f>IFERROR(VLOOKUP($A284,MTD!$A$13:$D$1048576,4,0),0)</f>
        <v>0</v>
      </c>
      <c r="E284" s="112"/>
      <c r="F284" s="112"/>
      <c r="G284" s="112" t="s">
        <v>261</v>
      </c>
      <c r="H284" s="112">
        <v>0</v>
      </c>
      <c r="I284" s="112">
        <v>0</v>
      </c>
      <c r="J284" s="112">
        <v>0</v>
      </c>
      <c r="K284" s="112">
        <v>0</v>
      </c>
      <c r="P284" s="112" t="s">
        <v>261</v>
      </c>
      <c r="Q284" s="112">
        <f>IFERROR(VLOOKUP($A284,YTD!$A$13:$D$1048576,3,0),0)</f>
        <v>1001.8</v>
      </c>
      <c r="R284" s="112">
        <f>IFERROR(VLOOKUP($A284,YTD!$A$13:$D$1048576,4,0),0)</f>
        <v>0</v>
      </c>
      <c r="S284" s="112"/>
      <c r="T284" s="112"/>
      <c r="U284" s="112" t="s">
        <v>261</v>
      </c>
      <c r="V284" s="112"/>
      <c r="W284" s="112"/>
      <c r="X284" s="112"/>
      <c r="Y284" s="112"/>
      <c r="Z284" s="279"/>
      <c r="AA284" s="279"/>
      <c r="AB284" s="333">
        <v>-81.55</v>
      </c>
      <c r="AC284" s="279">
        <v>0</v>
      </c>
      <c r="AD284" s="279">
        <v>0</v>
      </c>
      <c r="AE284" s="279">
        <v>216.25</v>
      </c>
      <c r="AF284" s="279">
        <v>31.8</v>
      </c>
      <c r="AG284" s="112">
        <v>0</v>
      </c>
      <c r="AH284" s="112">
        <v>177.99</v>
      </c>
      <c r="AI284" s="426">
        <v>-7.12</v>
      </c>
      <c r="AJ284" s="426">
        <v>490.07</v>
      </c>
      <c r="AK284" s="112">
        <f t="shared" si="13"/>
        <v>174.36</v>
      </c>
    </row>
    <row r="285" spans="1:37" x14ac:dyDescent="0.3">
      <c r="A285" s="109" t="str">
        <f t="shared" si="16"/>
        <v>debitovh    6666020201  Domestic business travel</v>
      </c>
      <c r="B285" s="112" t="s">
        <v>262</v>
      </c>
      <c r="C285" s="279">
        <f>IFERROR(VLOOKUP($A285,MTD!$A$13:$D$1048576,3,0),0)</f>
        <v>122.68</v>
      </c>
      <c r="D285" s="112">
        <f>IFERROR(VLOOKUP($A285,MTD!$A$13:$D$1048576,4,0),0)</f>
        <v>0</v>
      </c>
      <c r="E285" s="112"/>
      <c r="F285" s="112"/>
      <c r="G285" s="112" t="s">
        <v>262</v>
      </c>
      <c r="H285" s="112">
        <v>0</v>
      </c>
      <c r="I285" s="112">
        <v>0</v>
      </c>
      <c r="J285" s="112">
        <v>0</v>
      </c>
      <c r="K285" s="112">
        <v>0</v>
      </c>
      <c r="P285" s="112" t="s">
        <v>262</v>
      </c>
      <c r="Q285" s="112">
        <f>IFERROR(VLOOKUP($A285,YTD!$A$13:$D$1048576,3,0),0)</f>
        <v>1413.79</v>
      </c>
      <c r="R285" s="112">
        <f>IFERROR(VLOOKUP($A285,YTD!$A$13:$D$1048576,4,0),0)</f>
        <v>0</v>
      </c>
      <c r="S285" s="112"/>
      <c r="T285" s="112"/>
      <c r="U285" s="112" t="s">
        <v>262</v>
      </c>
      <c r="V285" s="112">
        <v>0</v>
      </c>
      <c r="W285" s="112">
        <v>0</v>
      </c>
      <c r="X285" s="112">
        <v>0</v>
      </c>
      <c r="Y285" s="112">
        <v>0</v>
      </c>
      <c r="Z285" s="279">
        <v>28.85</v>
      </c>
      <c r="AA285" s="279">
        <v>47.63</v>
      </c>
      <c r="AB285" s="279">
        <v>78.040000000000006</v>
      </c>
      <c r="AC285" s="279">
        <v>223.22</v>
      </c>
      <c r="AD285" s="279">
        <v>28.89</v>
      </c>
      <c r="AE285" s="279">
        <v>209.69</v>
      </c>
      <c r="AF285" s="279">
        <v>204.83</v>
      </c>
      <c r="AG285" s="112">
        <v>71.41</v>
      </c>
      <c r="AH285" s="112">
        <v>53.68</v>
      </c>
      <c r="AI285" s="426">
        <v>281.8</v>
      </c>
      <c r="AJ285" s="426">
        <v>63.07</v>
      </c>
      <c r="AK285" s="112">
        <f t="shared" si="13"/>
        <v>122.68</v>
      </c>
    </row>
    <row r="286" spans="1:37" x14ac:dyDescent="0.3">
      <c r="A286" s="109" t="str">
        <f t="shared" si="16"/>
        <v>debitovh    6666020204  Travel expense pay to agency</v>
      </c>
      <c r="B286" s="112" t="s">
        <v>264</v>
      </c>
      <c r="C286" s="279">
        <f>IFERROR(VLOOKUP($A286,MTD!$A$13:$D$1048576,3,0),0)</f>
        <v>212.75</v>
      </c>
      <c r="D286" s="112">
        <f>IFERROR(VLOOKUP($A286,MTD!$A$13:$D$1048576,4,0),0)</f>
        <v>0</v>
      </c>
      <c r="E286" s="112"/>
      <c r="F286" s="112"/>
      <c r="G286" s="112" t="s">
        <v>264</v>
      </c>
      <c r="H286" s="112">
        <v>0</v>
      </c>
      <c r="I286" s="112">
        <v>0</v>
      </c>
      <c r="J286" s="112">
        <v>0</v>
      </c>
      <c r="K286" s="112">
        <v>0</v>
      </c>
      <c r="P286" s="112" t="s">
        <v>264</v>
      </c>
      <c r="Q286" s="112">
        <f>IFERROR(VLOOKUP($A286,YTD!$A$13:$D$1048576,3,0),0)</f>
        <v>837.65</v>
      </c>
      <c r="R286" s="112">
        <f>IFERROR(VLOOKUP($A286,YTD!$A$13:$D$1048576,4,0),0)</f>
        <v>0</v>
      </c>
      <c r="S286" s="112"/>
      <c r="T286" s="112"/>
      <c r="U286" s="112" t="s">
        <v>264</v>
      </c>
      <c r="V286" s="112">
        <v>0</v>
      </c>
      <c r="W286" s="112">
        <v>0</v>
      </c>
      <c r="X286" s="112">
        <v>0</v>
      </c>
      <c r="Y286" s="112">
        <v>0</v>
      </c>
      <c r="Z286" s="279">
        <v>0</v>
      </c>
      <c r="AA286" s="279">
        <v>0</v>
      </c>
      <c r="AB286" s="279">
        <v>0</v>
      </c>
      <c r="AC286" s="279">
        <v>3.05</v>
      </c>
      <c r="AD286" s="279">
        <v>0</v>
      </c>
      <c r="AE286" s="279">
        <v>0</v>
      </c>
      <c r="AF286" s="279">
        <v>124.99</v>
      </c>
      <c r="AG286" s="112">
        <v>0</v>
      </c>
      <c r="AH286" s="112">
        <v>115.44</v>
      </c>
      <c r="AI286" s="426">
        <v>37.61</v>
      </c>
      <c r="AJ286" s="426">
        <v>343.81</v>
      </c>
      <c r="AK286" s="112">
        <f t="shared" ref="AK286:AK333" si="17">C286</f>
        <v>212.75</v>
      </c>
    </row>
    <row r="287" spans="1:37" x14ac:dyDescent="0.3">
      <c r="A287" s="109" t="str">
        <f t="shared" si="16"/>
        <v>debitovh    6666020301  Staff communication expense</v>
      </c>
      <c r="B287" s="112" t="s">
        <v>266</v>
      </c>
      <c r="C287" s="279">
        <f>IFERROR(VLOOKUP($A287,MTD!$A$13:$D$1048576,3,0),0)</f>
        <v>142.66999999999999</v>
      </c>
      <c r="D287" s="112">
        <f>IFERROR(VLOOKUP($A287,MTD!$A$13:$D$1048576,4,0),0)</f>
        <v>0</v>
      </c>
      <c r="E287" s="112"/>
      <c r="F287" s="112"/>
      <c r="G287" s="112" t="s">
        <v>266</v>
      </c>
      <c r="H287" s="112">
        <v>0</v>
      </c>
      <c r="I287" s="112">
        <v>0</v>
      </c>
      <c r="J287" s="112">
        <v>0</v>
      </c>
      <c r="K287" s="112">
        <v>0</v>
      </c>
      <c r="P287" s="112" t="s">
        <v>266</v>
      </c>
      <c r="Q287" s="112">
        <f>IFERROR(VLOOKUP($A287,YTD!$A$13:$D$1048576,3,0),0)</f>
        <v>1127.17</v>
      </c>
      <c r="R287" s="112">
        <f>IFERROR(VLOOKUP($A287,YTD!$A$13:$D$1048576,4,0),0)</f>
        <v>0</v>
      </c>
      <c r="S287" s="112"/>
      <c r="T287" s="112"/>
      <c r="U287" s="112" t="s">
        <v>266</v>
      </c>
      <c r="V287" s="112">
        <v>0</v>
      </c>
      <c r="W287" s="112">
        <v>0</v>
      </c>
      <c r="X287" s="112">
        <v>0</v>
      </c>
      <c r="Y287" s="112">
        <v>0</v>
      </c>
      <c r="Z287" s="279">
        <v>3.54</v>
      </c>
      <c r="AA287" s="279">
        <v>68.650000000000006</v>
      </c>
      <c r="AB287" s="279">
        <v>184.99</v>
      </c>
      <c r="AC287" s="279">
        <v>114.1</v>
      </c>
      <c r="AD287" s="279">
        <v>86.09</v>
      </c>
      <c r="AE287" s="279">
        <v>84.21</v>
      </c>
      <c r="AF287" s="279">
        <v>94.2</v>
      </c>
      <c r="AG287" s="112">
        <v>25.73</v>
      </c>
      <c r="AH287" s="112">
        <v>88.66</v>
      </c>
      <c r="AI287" s="426">
        <v>309.89</v>
      </c>
      <c r="AJ287" s="426">
        <v>-75.56</v>
      </c>
      <c r="AK287" s="112">
        <f t="shared" si="17"/>
        <v>142.66999999999999</v>
      </c>
    </row>
    <row r="288" spans="1:37" x14ac:dyDescent="0.3">
      <c r="A288" s="109" t="str">
        <f t="shared" si="16"/>
        <v>debitovh    6666020508  Postage</v>
      </c>
      <c r="B288" s="112" t="s">
        <v>272</v>
      </c>
      <c r="C288" s="279">
        <f>IFERROR(VLOOKUP($A288,MTD!$A$13:$D$1048576,3,0),0)</f>
        <v>20.99</v>
      </c>
      <c r="D288" s="112">
        <f>IFERROR(VLOOKUP($A288,MTD!$A$13:$D$1048576,4,0),0)</f>
        <v>0</v>
      </c>
      <c r="E288" s="112"/>
      <c r="F288" s="112"/>
      <c r="G288" s="112" t="s">
        <v>272</v>
      </c>
      <c r="H288" s="112">
        <v>0</v>
      </c>
      <c r="I288" s="112">
        <v>0</v>
      </c>
      <c r="J288" s="112">
        <v>0</v>
      </c>
      <c r="K288" s="112">
        <v>0</v>
      </c>
      <c r="P288" s="112" t="s">
        <v>272</v>
      </c>
      <c r="Q288" s="112">
        <f>IFERROR(VLOOKUP($A288,YTD!$A$13:$D$1048576,3,0),0)</f>
        <v>490.33</v>
      </c>
      <c r="R288" s="112">
        <f>IFERROR(VLOOKUP($A288,YTD!$A$13:$D$1048576,4,0),0)</f>
        <v>0</v>
      </c>
      <c r="S288" s="112"/>
      <c r="T288" s="112"/>
      <c r="U288" s="112" t="s">
        <v>272</v>
      </c>
      <c r="V288" s="112">
        <v>0</v>
      </c>
      <c r="W288" s="112">
        <v>0</v>
      </c>
      <c r="X288" s="112">
        <v>0</v>
      </c>
      <c r="Y288" s="112">
        <v>0</v>
      </c>
      <c r="Z288" s="279">
        <v>15.97</v>
      </c>
      <c r="AA288" s="279">
        <v>2.63</v>
      </c>
      <c r="AB288" s="279">
        <v>6.78</v>
      </c>
      <c r="AC288" s="279">
        <v>12.83</v>
      </c>
      <c r="AD288" s="279">
        <v>11.04</v>
      </c>
      <c r="AE288" s="279">
        <v>2.34</v>
      </c>
      <c r="AF288" s="279">
        <v>6.22</v>
      </c>
      <c r="AG288" s="112">
        <v>4.49</v>
      </c>
      <c r="AH288" s="112">
        <v>394.42</v>
      </c>
      <c r="AI288" s="426">
        <v>9.74</v>
      </c>
      <c r="AJ288" s="426">
        <v>2.88</v>
      </c>
      <c r="AK288" s="112">
        <f t="shared" si="17"/>
        <v>20.99</v>
      </c>
    </row>
    <row r="289" spans="1:37" x14ac:dyDescent="0.3">
      <c r="A289" s="109" t="str">
        <f>"debit"&amp;"ovh"&amp;B289</f>
        <v>debitovh    6666020602  Training costs Outside the group</v>
      </c>
      <c r="B289" s="112" t="s">
        <v>273</v>
      </c>
      <c r="C289" s="279">
        <f>IFERROR(VLOOKUP($A289,MTD!$A$13:$D$1048576,3,0),0)</f>
        <v>18.940000000000001</v>
      </c>
      <c r="D289" s="112">
        <f>IFERROR(VLOOKUP($A289,MTD!$A$13:$D$1048576,4,0),0)</f>
        <v>0</v>
      </c>
      <c r="E289" s="112"/>
      <c r="F289" s="112"/>
      <c r="G289" s="112" t="s">
        <v>273</v>
      </c>
      <c r="H289" s="112">
        <v>0</v>
      </c>
      <c r="I289" s="112">
        <v>0</v>
      </c>
      <c r="J289" s="112">
        <v>0</v>
      </c>
      <c r="K289" s="112">
        <v>0</v>
      </c>
      <c r="P289" s="112" t="s">
        <v>273</v>
      </c>
      <c r="Q289" s="112">
        <f>IFERROR(VLOOKUP($A289,YTD!$A$13:$D$1048576,3,0),0)</f>
        <v>25.43</v>
      </c>
      <c r="R289" s="112">
        <f>IFERROR(VLOOKUP($A289,YTD!$A$13:$D$1048576,4,0),0)</f>
        <v>0</v>
      </c>
      <c r="S289" s="112"/>
      <c r="T289" s="112"/>
      <c r="U289" s="112" t="s">
        <v>273</v>
      </c>
      <c r="V289" s="112"/>
      <c r="W289" s="112"/>
      <c r="X289" s="112"/>
      <c r="Y289" s="112"/>
      <c r="Z289" s="279">
        <v>0</v>
      </c>
      <c r="AA289" s="279">
        <v>0</v>
      </c>
      <c r="AB289" s="279">
        <v>6</v>
      </c>
      <c r="AC289" s="279">
        <v>0</v>
      </c>
      <c r="AD289" s="279">
        <v>0</v>
      </c>
      <c r="AE289" s="279">
        <v>0</v>
      </c>
      <c r="AF289" s="279">
        <v>0</v>
      </c>
      <c r="AG289" s="112">
        <v>0</v>
      </c>
      <c r="AH289" s="112">
        <v>0</v>
      </c>
      <c r="AI289" s="426">
        <v>0</v>
      </c>
      <c r="AJ289" s="426">
        <v>0</v>
      </c>
      <c r="AK289" s="112">
        <f t="shared" si="17"/>
        <v>18.940000000000001</v>
      </c>
    </row>
    <row r="290" spans="1:37" x14ac:dyDescent="0.3">
      <c r="A290" s="109" t="str">
        <f t="shared" si="16"/>
        <v>debitovh    6666020701  Enterprise Property Insurance</v>
      </c>
      <c r="B290" s="112" t="s">
        <v>274</v>
      </c>
      <c r="C290" s="279">
        <f>IFERROR(VLOOKUP($A290,MTD!$A$13:$D$1048576,3,0),0)</f>
        <v>20688.18</v>
      </c>
      <c r="D290" s="112">
        <f>IFERROR(VLOOKUP($A290,MTD!$A$13:$D$1048576,4,0),0)</f>
        <v>22859.01</v>
      </c>
      <c r="E290" s="112"/>
      <c r="F290" s="112"/>
      <c r="G290" s="112" t="s">
        <v>274</v>
      </c>
      <c r="H290" s="112">
        <v>0</v>
      </c>
      <c r="I290" s="112">
        <v>0</v>
      </c>
      <c r="J290" s="112">
        <v>0</v>
      </c>
      <c r="K290" s="112">
        <v>0</v>
      </c>
      <c r="P290" s="112" t="s">
        <v>274</v>
      </c>
      <c r="Q290" s="112">
        <f>IFERROR(VLOOKUP($A290,YTD!$A$13:$D$1048576,3,0),0)</f>
        <v>248258.15</v>
      </c>
      <c r="R290" s="112">
        <f>IFERROR(VLOOKUP($A290,YTD!$A$13:$D$1048576,4,0),0)</f>
        <v>274308.12</v>
      </c>
      <c r="S290" s="112"/>
      <c r="T290" s="112"/>
      <c r="U290" s="112" t="s">
        <v>274</v>
      </c>
      <c r="V290" s="112">
        <v>0</v>
      </c>
      <c r="W290" s="112">
        <v>0</v>
      </c>
      <c r="X290" s="112">
        <v>0</v>
      </c>
      <c r="Y290" s="112">
        <v>0</v>
      </c>
      <c r="Z290" s="279">
        <v>27082.29</v>
      </c>
      <c r="AA290" s="279">
        <v>20562.47</v>
      </c>
      <c r="AB290" s="279">
        <v>14419.77</v>
      </c>
      <c r="AC290" s="279">
        <v>20688.18</v>
      </c>
      <c r="AD290" s="279">
        <v>20688.18</v>
      </c>
      <c r="AE290" s="279">
        <v>20688.18</v>
      </c>
      <c r="AF290" s="279">
        <v>20688.18</v>
      </c>
      <c r="AG290" s="112">
        <v>20688.18</v>
      </c>
      <c r="AH290" s="112">
        <v>20688.18</v>
      </c>
      <c r="AI290" s="426">
        <v>20688.18</v>
      </c>
      <c r="AJ290" s="426">
        <v>20688.18</v>
      </c>
      <c r="AK290" s="112">
        <f t="shared" si="17"/>
        <v>20688.18</v>
      </c>
    </row>
    <row r="291" spans="1:37" x14ac:dyDescent="0.3">
      <c r="A291" s="109" t="str">
        <f>"debit"&amp;"ovh"&amp;B291</f>
        <v>debitovh    6666020801  Housing rental cost</v>
      </c>
      <c r="B291" s="112" t="s">
        <v>338</v>
      </c>
      <c r="C291" s="279">
        <f>IFERROR(VLOOKUP($A291,MTD!$A$13:$D$1048576,3,0),0)</f>
        <v>170.02</v>
      </c>
      <c r="D291" s="112">
        <f>IFERROR(VLOOKUP($A291,MTD!$A$13:$D$1048576,4,0),0)</f>
        <v>0</v>
      </c>
      <c r="E291" s="112"/>
      <c r="F291" s="112"/>
      <c r="G291" s="112" t="s">
        <v>338</v>
      </c>
      <c r="H291" s="112">
        <v>0</v>
      </c>
      <c r="I291" s="112">
        <v>0</v>
      </c>
      <c r="J291" s="112">
        <v>0</v>
      </c>
      <c r="K291" s="112">
        <v>0</v>
      </c>
      <c r="P291" s="112" t="s">
        <v>338</v>
      </c>
      <c r="Q291" s="112">
        <f>IFERROR(VLOOKUP($A291,YTD!$A$13:$D$1048576,3,0),0)</f>
        <v>698.64</v>
      </c>
      <c r="R291" s="112">
        <f>IFERROR(VLOOKUP($A291,YTD!$A$13:$D$1048576,4,0),0)</f>
        <v>0</v>
      </c>
      <c r="S291" s="112"/>
      <c r="T291" s="112"/>
      <c r="U291" s="112" t="s">
        <v>338</v>
      </c>
      <c r="V291" s="112"/>
      <c r="W291" s="112"/>
      <c r="X291" s="112"/>
      <c r="Y291" s="112"/>
      <c r="Z291" s="279"/>
      <c r="AA291" s="279"/>
      <c r="AB291" s="333">
        <v>35.31</v>
      </c>
      <c r="AC291" s="279">
        <v>0</v>
      </c>
      <c r="AD291" s="279">
        <v>118.03</v>
      </c>
      <c r="AE291" s="279">
        <v>0</v>
      </c>
      <c r="AF291" s="279">
        <v>108.68</v>
      </c>
      <c r="AG291" s="112">
        <v>0.3</v>
      </c>
      <c r="AH291" s="112">
        <v>159.08000000000001</v>
      </c>
      <c r="AI291" s="426">
        <v>53.18</v>
      </c>
      <c r="AJ291" s="426">
        <v>54.04</v>
      </c>
      <c r="AK291" s="112">
        <f t="shared" si="17"/>
        <v>170.02</v>
      </c>
    </row>
    <row r="292" spans="1:37" x14ac:dyDescent="0.3">
      <c r="A292" s="109" t="str">
        <f t="shared" si="16"/>
        <v>debitovh    6666020803  Car rental cost</v>
      </c>
      <c r="B292" s="112" t="s">
        <v>276</v>
      </c>
      <c r="C292" s="279">
        <f>IFERROR(VLOOKUP($A292,MTD!$A$13:$D$1048576,3,0),0)</f>
        <v>716.63</v>
      </c>
      <c r="D292" s="112">
        <f>IFERROR(VLOOKUP($A292,MTD!$A$13:$D$1048576,4,0),0)</f>
        <v>0</v>
      </c>
      <c r="E292" s="112"/>
      <c r="F292" s="112"/>
      <c r="G292" s="112" t="s">
        <v>276</v>
      </c>
      <c r="H292" s="112">
        <v>0</v>
      </c>
      <c r="I292" s="112">
        <v>0</v>
      </c>
      <c r="J292" s="112">
        <v>0</v>
      </c>
      <c r="K292" s="112">
        <v>0</v>
      </c>
      <c r="P292" s="112" t="s">
        <v>276</v>
      </c>
      <c r="Q292" s="112">
        <f>IFERROR(VLOOKUP($A292,YTD!$A$13:$D$1048576,3,0),0)</f>
        <v>1808.76</v>
      </c>
      <c r="R292" s="112">
        <f>IFERROR(VLOOKUP($A292,YTD!$A$13:$D$1048576,4,0),0)</f>
        <v>0</v>
      </c>
      <c r="S292" s="112">
        <v>0</v>
      </c>
      <c r="T292" s="112">
        <v>0</v>
      </c>
      <c r="U292" s="112" t="s">
        <v>276</v>
      </c>
      <c r="V292" s="112">
        <v>0</v>
      </c>
      <c r="W292" s="112">
        <v>0</v>
      </c>
      <c r="X292" s="112">
        <v>0</v>
      </c>
      <c r="Y292" s="112">
        <v>0</v>
      </c>
      <c r="Z292" s="279">
        <v>-4.8099999999999996</v>
      </c>
      <c r="AA292" s="279">
        <v>0</v>
      </c>
      <c r="AB292" s="279">
        <v>0</v>
      </c>
      <c r="AC292" s="279">
        <v>170.58</v>
      </c>
      <c r="AD292" s="279">
        <v>-6.68</v>
      </c>
      <c r="AE292" s="279">
        <v>-18.13</v>
      </c>
      <c r="AF292" s="279">
        <v>-1.03</v>
      </c>
      <c r="AG292" s="112">
        <v>195.59</v>
      </c>
      <c r="AH292" s="112">
        <v>239.79</v>
      </c>
      <c r="AI292" s="426">
        <v>192.23</v>
      </c>
      <c r="AJ292" s="426">
        <v>324.58999999999997</v>
      </c>
      <c r="AK292" s="112">
        <f t="shared" si="17"/>
        <v>716.63</v>
      </c>
    </row>
    <row r="293" spans="1:37" x14ac:dyDescent="0.3">
      <c r="A293" s="109" t="str">
        <f t="shared" si="16"/>
        <v>debitovh    6666021100  Consulting fees</v>
      </c>
      <c r="B293" s="112" t="s">
        <v>277</v>
      </c>
      <c r="C293" s="279">
        <f>IFERROR(VLOOKUP($A293,MTD!$A$13:$D$1048576,3,0),0)</f>
        <v>7684.93</v>
      </c>
      <c r="D293" s="112"/>
      <c r="E293" s="112"/>
      <c r="F293" s="112"/>
      <c r="G293" s="112" t="s">
        <v>277</v>
      </c>
      <c r="H293" s="112"/>
      <c r="I293" s="112"/>
      <c r="J293" s="112"/>
      <c r="K293" s="112"/>
      <c r="P293" s="112" t="s">
        <v>277</v>
      </c>
      <c r="Q293" s="112">
        <f>IFERROR(VLOOKUP($A293,YTD!$A$13:$D$1048576,3,0),0)</f>
        <v>11046.56</v>
      </c>
      <c r="R293" s="112"/>
      <c r="S293" s="112"/>
      <c r="T293" s="112"/>
      <c r="U293" s="112" t="s">
        <v>277</v>
      </c>
      <c r="V293" s="112"/>
      <c r="W293" s="112"/>
      <c r="X293" s="112"/>
      <c r="Y293" s="112"/>
      <c r="Z293" s="279"/>
      <c r="AA293" s="279"/>
      <c r="AB293" s="279">
        <v>210.52</v>
      </c>
      <c r="AC293" s="279">
        <v>100.44</v>
      </c>
      <c r="AD293" s="279">
        <v>-268</v>
      </c>
      <c r="AE293" s="279">
        <v>18.34</v>
      </c>
      <c r="AF293" s="279">
        <v>1284.97</v>
      </c>
      <c r="AG293" s="112">
        <v>1275.9100000000001</v>
      </c>
      <c r="AH293" s="112">
        <v>552.33000000000004</v>
      </c>
      <c r="AI293" s="426">
        <v>196.88</v>
      </c>
      <c r="AJ293" s="426">
        <v>-58.81</v>
      </c>
      <c r="AK293" s="112">
        <f t="shared" si="17"/>
        <v>7684.93</v>
      </c>
    </row>
    <row r="294" spans="1:37" x14ac:dyDescent="0.3">
      <c r="A294" s="109" t="str">
        <f t="shared" si="16"/>
        <v>debitovh    6666021102  Consulting expense-tax</v>
      </c>
      <c r="B294" s="112" t="s">
        <v>339</v>
      </c>
      <c r="C294" s="279">
        <f>IFERROR(VLOOKUP($A294,MTD!$A$13:$D$1048576,3,0),0)</f>
        <v>14752.76</v>
      </c>
      <c r="D294" s="112"/>
      <c r="E294" s="112"/>
      <c r="F294" s="112"/>
      <c r="G294" s="112" t="s">
        <v>339</v>
      </c>
      <c r="H294" s="112"/>
      <c r="I294" s="112"/>
      <c r="J294" s="112"/>
      <c r="K294" s="112"/>
      <c r="P294" s="112" t="s">
        <v>339</v>
      </c>
      <c r="Q294" s="112">
        <f>IFERROR(VLOOKUP($A294,YTD!$A$13:$D$1048576,3,0),0)</f>
        <v>55029.3</v>
      </c>
      <c r="R294" s="112">
        <f>IFERROR(VLOOKUP($A294,YTD!$A$13:$D$1048576,4,0),0)</f>
        <v>0</v>
      </c>
      <c r="S294" s="112"/>
      <c r="T294" s="112"/>
      <c r="U294" s="112" t="s">
        <v>339</v>
      </c>
      <c r="V294" s="112"/>
      <c r="W294" s="112"/>
      <c r="X294" s="112"/>
      <c r="Y294" s="112"/>
      <c r="Z294" s="279">
        <v>750.92</v>
      </c>
      <c r="AA294" s="279">
        <v>11754.58</v>
      </c>
      <c r="AB294" s="279">
        <v>7728.94</v>
      </c>
      <c r="AC294" s="279">
        <v>6879.89</v>
      </c>
      <c r="AD294" s="279">
        <v>-5244.43</v>
      </c>
      <c r="AE294" s="279">
        <v>5460.88</v>
      </c>
      <c r="AF294" s="279">
        <v>1430.69</v>
      </c>
      <c r="AG294" s="112">
        <v>2922.66</v>
      </c>
      <c r="AH294" s="112">
        <v>3009.38</v>
      </c>
      <c r="AI294" s="426">
        <v>2497.79</v>
      </c>
      <c r="AJ294" s="426">
        <v>3085.24</v>
      </c>
      <c r="AK294" s="112">
        <f t="shared" si="17"/>
        <v>14752.76</v>
      </c>
    </row>
    <row r="295" spans="1:37" x14ac:dyDescent="0.3">
      <c r="A295" s="109" t="str">
        <f t="shared" si="16"/>
        <v>debitovh    6666021300  Legal fees</v>
      </c>
      <c r="B295" s="112" t="s">
        <v>340</v>
      </c>
      <c r="C295" s="279">
        <f>IFERROR(VLOOKUP($A295,MTD!$A$13:$D$1048576,3,0),0)</f>
        <v>52.34</v>
      </c>
      <c r="D295" s="112"/>
      <c r="E295" s="112"/>
      <c r="F295" s="112"/>
      <c r="G295" s="112" t="s">
        <v>340</v>
      </c>
      <c r="H295" s="112"/>
      <c r="I295" s="112"/>
      <c r="J295" s="112"/>
      <c r="K295" s="112"/>
      <c r="P295" s="112" t="s">
        <v>340</v>
      </c>
      <c r="Q295" s="112">
        <f>IFERROR(VLOOKUP($A295,YTD!$A$13:$D$1048576,3,0),0)</f>
        <v>1635.6</v>
      </c>
      <c r="R295" s="112">
        <f>IFERROR(VLOOKUP($A295,YTD!$A$13:$D$1048576,4,0),0)</f>
        <v>0</v>
      </c>
      <c r="S295" s="112"/>
      <c r="T295" s="112"/>
      <c r="U295" s="112" t="s">
        <v>340</v>
      </c>
      <c r="V295" s="112"/>
      <c r="W295" s="112"/>
      <c r="X295" s="112"/>
      <c r="Y295" s="112"/>
      <c r="Z295" s="279">
        <v>87.26</v>
      </c>
      <c r="AA295" s="279">
        <v>0</v>
      </c>
      <c r="AB295" s="279">
        <v>856.02</v>
      </c>
      <c r="AC295" s="279">
        <v>156.25</v>
      </c>
      <c r="AD295" s="279">
        <v>56.56</v>
      </c>
      <c r="AE295" s="279">
        <v>241.94</v>
      </c>
      <c r="AF295" s="279">
        <v>8.61</v>
      </c>
      <c r="AG295" s="112">
        <v>0</v>
      </c>
      <c r="AH295" s="112">
        <v>31.27</v>
      </c>
      <c r="AI295" s="426">
        <v>-28.81</v>
      </c>
      <c r="AJ295" s="426">
        <v>174.16</v>
      </c>
      <c r="AK295" s="112">
        <f t="shared" si="17"/>
        <v>52.34</v>
      </c>
    </row>
    <row r="296" spans="1:37" x14ac:dyDescent="0.3">
      <c r="A296" s="109" t="str">
        <f t="shared" si="16"/>
        <v>debitovh    6666021902  Cleaning fees</v>
      </c>
      <c r="B296" s="112" t="s">
        <v>278</v>
      </c>
      <c r="C296" s="279">
        <f>IFERROR(VLOOKUP($A296,MTD!$A$13:$D$1048576,3,0),0)</f>
        <v>-104.06</v>
      </c>
      <c r="D296" s="112"/>
      <c r="E296" s="112"/>
      <c r="F296" s="112"/>
      <c r="G296" s="112" t="s">
        <v>278</v>
      </c>
      <c r="H296" s="112"/>
      <c r="I296" s="112"/>
      <c r="J296" s="112"/>
      <c r="K296" s="112"/>
      <c r="P296" s="112" t="s">
        <v>278</v>
      </c>
      <c r="Q296" s="112">
        <f>IFERROR(VLOOKUP($A296,YTD!$A$13:$D$1048576,3,0),0)</f>
        <v>967.74</v>
      </c>
      <c r="R296" s="112"/>
      <c r="S296" s="112"/>
      <c r="T296" s="112"/>
      <c r="U296" s="112" t="s">
        <v>278</v>
      </c>
      <c r="V296" s="112"/>
      <c r="W296" s="112"/>
      <c r="X296" s="112"/>
      <c r="Y296" s="112"/>
      <c r="Z296" s="279"/>
      <c r="AA296" s="279"/>
      <c r="AB296" s="279">
        <v>43.88</v>
      </c>
      <c r="AC296" s="279">
        <v>0</v>
      </c>
      <c r="AD296" s="279">
        <v>-5.8</v>
      </c>
      <c r="AE296" s="279">
        <v>-15.74</v>
      </c>
      <c r="AF296" s="279">
        <v>429.37</v>
      </c>
      <c r="AG296" s="112">
        <v>713.08</v>
      </c>
      <c r="AH296" s="112">
        <v>1.94</v>
      </c>
      <c r="AI296" s="426">
        <v>-167.6</v>
      </c>
      <c r="AJ296" s="426">
        <v>72.67</v>
      </c>
      <c r="AK296" s="112">
        <f t="shared" si="17"/>
        <v>-104.06</v>
      </c>
    </row>
    <row r="297" spans="1:37" x14ac:dyDescent="0.3">
      <c r="A297" s="109" t="str">
        <f t="shared" si="16"/>
        <v>debitovh    6666022100  Security</v>
      </c>
      <c r="B297" s="112" t="s">
        <v>279</v>
      </c>
      <c r="C297" s="279">
        <f>IFERROR(VLOOKUP($A297,MTD!$A$13:$D$1048576,3,0),0)</f>
        <v>-179.39</v>
      </c>
      <c r="D297" s="112"/>
      <c r="E297" s="112"/>
      <c r="F297" s="112"/>
      <c r="G297" s="112" t="s">
        <v>279</v>
      </c>
      <c r="H297" s="112"/>
      <c r="I297" s="112"/>
      <c r="J297" s="112"/>
      <c r="K297" s="112"/>
      <c r="P297" s="112" t="s">
        <v>279</v>
      </c>
      <c r="Q297" s="112">
        <f>IFERROR(VLOOKUP($A297,YTD!$A$13:$D$1048576,3,0),0)</f>
        <v>584.07000000000005</v>
      </c>
      <c r="R297" s="112"/>
      <c r="S297" s="112"/>
      <c r="T297" s="112"/>
      <c r="U297" s="112" t="s">
        <v>279</v>
      </c>
      <c r="V297" s="112"/>
      <c r="W297" s="112"/>
      <c r="X297" s="112"/>
      <c r="Y297" s="112"/>
      <c r="Z297" s="279"/>
      <c r="AA297" s="279"/>
      <c r="AB297" s="279">
        <v>148.29</v>
      </c>
      <c r="AC297" s="279">
        <v>0</v>
      </c>
      <c r="AD297" s="279">
        <v>-10.63</v>
      </c>
      <c r="AE297" s="279">
        <v>-103.34</v>
      </c>
      <c r="AF297" s="279">
        <v>410</v>
      </c>
      <c r="AG297" s="112">
        <v>402.75</v>
      </c>
      <c r="AH297" s="112">
        <v>3.51</v>
      </c>
      <c r="AI297" s="426">
        <v>-229.06</v>
      </c>
      <c r="AJ297" s="426">
        <v>141.88</v>
      </c>
      <c r="AK297" s="112">
        <f t="shared" si="17"/>
        <v>-179.39</v>
      </c>
    </row>
    <row r="298" spans="1:37" x14ac:dyDescent="0.3">
      <c r="A298" s="109" t="str">
        <f t="shared" si="16"/>
        <v>debitovh    6666022300  Association dues</v>
      </c>
      <c r="B298" s="112" t="s">
        <v>280</v>
      </c>
      <c r="C298" s="279">
        <f>IFERROR(VLOOKUP($A298,MTD!$A$13:$D$1048576,3,0),0)</f>
        <v>3051.24</v>
      </c>
      <c r="D298" s="112"/>
      <c r="E298" s="112"/>
      <c r="F298" s="112"/>
      <c r="G298" s="112" t="s">
        <v>280</v>
      </c>
      <c r="H298" s="112"/>
      <c r="I298" s="112"/>
      <c r="J298" s="112"/>
      <c r="K298" s="112"/>
      <c r="P298" s="112" t="s">
        <v>280</v>
      </c>
      <c r="Q298" s="112">
        <f>IFERROR(VLOOKUP($A298,YTD!$A$13:$D$1048576,3,0),0)</f>
        <v>63346.86</v>
      </c>
      <c r="R298" s="112">
        <f>IFERROR(VLOOKUP($A298,YTD!$A$13:$D$1048576,4,0),0)</f>
        <v>62755.08</v>
      </c>
      <c r="S298" s="112"/>
      <c r="T298" s="112"/>
      <c r="U298" s="112" t="s">
        <v>280</v>
      </c>
      <c r="V298" s="112"/>
      <c r="W298" s="112"/>
      <c r="X298" s="112"/>
      <c r="Y298" s="112"/>
      <c r="Z298" s="279">
        <v>7205.07</v>
      </c>
      <c r="AA298" s="279">
        <v>5734.74</v>
      </c>
      <c r="AB298" s="279">
        <v>5835.21</v>
      </c>
      <c r="AC298" s="279">
        <v>5602.33</v>
      </c>
      <c r="AD298" s="279">
        <v>5552.52</v>
      </c>
      <c r="AE298" s="279">
        <v>4550.8100000000004</v>
      </c>
      <c r="AF298" s="279">
        <v>5245.39</v>
      </c>
      <c r="AG298" s="112">
        <v>4986.1899999999996</v>
      </c>
      <c r="AH298" s="112">
        <v>4495.8999999999996</v>
      </c>
      <c r="AI298" s="426">
        <v>5188.8900000000003</v>
      </c>
      <c r="AJ298" s="426">
        <v>5898.57</v>
      </c>
      <c r="AK298" s="112">
        <f t="shared" si="17"/>
        <v>3051.24</v>
      </c>
    </row>
    <row r="299" spans="1:37" x14ac:dyDescent="0.3">
      <c r="A299" s="109" t="str">
        <f t="shared" si="16"/>
        <v>debitovh    6666029900  Sundry Expenses</v>
      </c>
      <c r="B299" s="112" t="s">
        <v>281</v>
      </c>
      <c r="C299" s="279">
        <f>IFERROR(VLOOKUP($A299,MTD!$A$13:$D$1048576,3,0),0)</f>
        <v>2.2200000000000002</v>
      </c>
      <c r="D299" s="112"/>
      <c r="E299" s="112"/>
      <c r="F299" s="112"/>
      <c r="G299" s="112" t="s">
        <v>281</v>
      </c>
      <c r="H299" s="112"/>
      <c r="I299" s="112"/>
      <c r="J299" s="112"/>
      <c r="K299" s="112"/>
      <c r="P299" s="112" t="s">
        <v>281</v>
      </c>
      <c r="Q299" s="112">
        <f>IFERROR(VLOOKUP($A299,YTD!$A$13:$D$1048576,3,0),0)</f>
        <v>431.64</v>
      </c>
      <c r="R299" s="112">
        <f>IFERROR(VLOOKUP($A299,YTD!$A$13:$D$1048576,4,0),0)</f>
        <v>3401274</v>
      </c>
      <c r="S299" s="112"/>
      <c r="T299" s="112"/>
      <c r="U299" s="112" t="s">
        <v>281</v>
      </c>
      <c r="V299" s="112"/>
      <c r="W299" s="112"/>
      <c r="X299" s="112"/>
      <c r="Y299" s="112"/>
      <c r="Z299" s="279">
        <v>46.06</v>
      </c>
      <c r="AA299" s="279">
        <v>152.41999999999999</v>
      </c>
      <c r="AB299" s="279">
        <v>35.020000000000003</v>
      </c>
      <c r="AC299" s="279">
        <v>11.95</v>
      </c>
      <c r="AD299" s="279">
        <v>101.33</v>
      </c>
      <c r="AE299" s="279">
        <v>25.61</v>
      </c>
      <c r="AF299" s="279">
        <v>3.69</v>
      </c>
      <c r="AG299" s="112">
        <v>17.649999999999999</v>
      </c>
      <c r="AH299" s="112">
        <v>17.579999999999998</v>
      </c>
      <c r="AI299" s="426">
        <v>12.35</v>
      </c>
      <c r="AJ299" s="426">
        <v>5.76</v>
      </c>
      <c r="AK299" s="112">
        <f t="shared" si="17"/>
        <v>2.2200000000000002</v>
      </c>
    </row>
    <row r="300" spans="1:37" x14ac:dyDescent="0.3">
      <c r="A300" s="109" t="str">
        <f t="shared" si="16"/>
        <v>debitovh    6666029997  restructure cost</v>
      </c>
      <c r="B300" s="112" t="s">
        <v>282</v>
      </c>
      <c r="C300" s="279">
        <f>IFERROR(VLOOKUP($A300,MTD!$A$13:$D$1048576,3,0),0)</f>
        <v>0</v>
      </c>
      <c r="D300" s="112"/>
      <c r="E300" s="112"/>
      <c r="F300" s="112"/>
      <c r="G300" s="112" t="s">
        <v>282</v>
      </c>
      <c r="H300" s="112"/>
      <c r="I300" s="112"/>
      <c r="J300" s="112"/>
      <c r="K300" s="112"/>
      <c r="P300" s="112" t="s">
        <v>282</v>
      </c>
      <c r="Q300" s="112">
        <f>IFERROR(VLOOKUP($A300,YTD!$A$13:$D$1048576,3,0),0)</f>
        <v>3304.7</v>
      </c>
      <c r="R300" s="112"/>
      <c r="S300" s="112"/>
      <c r="T300" s="112"/>
      <c r="U300" s="112" t="s">
        <v>282</v>
      </c>
      <c r="V300" s="112"/>
      <c r="W300" s="112"/>
      <c r="X300" s="112"/>
      <c r="Y300" s="112"/>
      <c r="Z300" s="279"/>
      <c r="AA300" s="279"/>
      <c r="AB300" s="279">
        <v>0</v>
      </c>
      <c r="AC300" s="279">
        <v>0</v>
      </c>
      <c r="AD300" s="279">
        <v>0</v>
      </c>
      <c r="AE300" s="279">
        <v>0</v>
      </c>
      <c r="AF300" s="279">
        <v>0</v>
      </c>
      <c r="AG300" s="112">
        <v>0</v>
      </c>
      <c r="AH300" s="112">
        <v>0</v>
      </c>
      <c r="AI300" s="426">
        <v>0</v>
      </c>
      <c r="AJ300" s="426">
        <v>0</v>
      </c>
      <c r="AK300" s="112">
        <f t="shared" si="17"/>
        <v>0</v>
      </c>
    </row>
    <row r="301" spans="1:37" x14ac:dyDescent="0.3">
      <c r="A301" s="109" t="str">
        <f t="shared" si="16"/>
        <v>debitovh    6666031100  Technical Documentation</v>
      </c>
      <c r="B301" s="112" t="s">
        <v>341</v>
      </c>
      <c r="C301" s="279">
        <f>IFERROR(VLOOKUP($A301,MTD!$A$13:$D$1048576,3,0),0)</f>
        <v>0.17</v>
      </c>
      <c r="D301" s="112"/>
      <c r="E301" s="112"/>
      <c r="F301" s="112"/>
      <c r="G301" s="112" t="s">
        <v>341</v>
      </c>
      <c r="H301" s="112"/>
      <c r="I301" s="112"/>
      <c r="J301" s="112"/>
      <c r="K301" s="112"/>
      <c r="P301" s="112" t="s">
        <v>341</v>
      </c>
      <c r="Q301" s="112">
        <f>IFERROR(VLOOKUP($A301,YTD!$A$13:$D$1048576,3,0),0)</f>
        <v>6.86</v>
      </c>
      <c r="R301" s="112"/>
      <c r="S301" s="112"/>
      <c r="T301" s="112"/>
      <c r="U301" s="112" t="s">
        <v>341</v>
      </c>
      <c r="V301" s="112"/>
      <c r="W301" s="112"/>
      <c r="X301" s="112"/>
      <c r="Y301" s="112"/>
      <c r="Z301" s="279"/>
      <c r="AA301" s="279"/>
      <c r="AB301" s="279"/>
      <c r="AC301" s="279"/>
      <c r="AD301" s="279"/>
      <c r="AE301" s="279"/>
      <c r="AF301" s="279"/>
      <c r="AG301" s="112"/>
      <c r="AH301" s="112">
        <v>6.78</v>
      </c>
      <c r="AI301" s="426">
        <v>-0.01</v>
      </c>
      <c r="AJ301" s="426">
        <v>-0.08</v>
      </c>
      <c r="AK301" s="112">
        <f t="shared" si="17"/>
        <v>0.17</v>
      </c>
    </row>
    <row r="302" spans="1:37" x14ac:dyDescent="0.3">
      <c r="A302" s="109" t="str">
        <f t="shared" si="16"/>
        <v>debitovh    6666050107  Special distribution costs</v>
      </c>
      <c r="B302" s="112" t="s">
        <v>286</v>
      </c>
      <c r="C302" s="279">
        <f>IFERROR(VLOOKUP($A302,MTD!$A$13:$D$1048576,3,0),0)</f>
        <v>0</v>
      </c>
      <c r="D302" s="112"/>
      <c r="E302" s="112"/>
      <c r="F302" s="112"/>
      <c r="G302" s="112" t="s">
        <v>286</v>
      </c>
      <c r="H302" s="112"/>
      <c r="I302" s="112"/>
      <c r="J302" s="112"/>
      <c r="K302" s="112"/>
      <c r="P302" s="112" t="s">
        <v>286</v>
      </c>
      <c r="Q302" s="112">
        <f>IFERROR(VLOOKUP($A302,YTD!$A$13:$D$1048576,3,0),0)</f>
        <v>0</v>
      </c>
      <c r="R302" s="112"/>
      <c r="S302" s="112"/>
      <c r="T302" s="112"/>
      <c r="U302" s="112" t="s">
        <v>286</v>
      </c>
      <c r="V302" s="112"/>
      <c r="W302" s="112"/>
      <c r="X302" s="112"/>
      <c r="Y302" s="112"/>
      <c r="Z302" s="279"/>
      <c r="AA302" s="279"/>
      <c r="AB302" s="279">
        <v>12.7</v>
      </c>
      <c r="AC302" s="279">
        <v>9.84</v>
      </c>
      <c r="AD302" s="279">
        <v>0.01</v>
      </c>
      <c r="AE302" s="279">
        <v>0</v>
      </c>
      <c r="AF302" s="279">
        <v>0</v>
      </c>
      <c r="AG302" s="112">
        <v>0</v>
      </c>
      <c r="AH302" s="112">
        <v>-34.22</v>
      </c>
      <c r="AI302" s="426">
        <v>0</v>
      </c>
      <c r="AJ302" s="426">
        <v>0</v>
      </c>
      <c r="AK302" s="112">
        <f t="shared" si="17"/>
        <v>0</v>
      </c>
    </row>
    <row r="303" spans="1:37" x14ac:dyDescent="0.3">
      <c r="A303" s="109" t="str">
        <f t="shared" si="16"/>
        <v>debitovh    6666079999  IT Expense-Internal Charge Out</v>
      </c>
      <c r="B303" s="112" t="s">
        <v>342</v>
      </c>
      <c r="C303" s="279">
        <f>IFERROR(VLOOKUP($A303,MTD!$A$13:$D$1048576,3,0),0)</f>
        <v>-230880.74</v>
      </c>
      <c r="D303" s="112"/>
      <c r="E303" s="112"/>
      <c r="F303" s="112"/>
      <c r="G303" s="112" t="s">
        <v>342</v>
      </c>
      <c r="H303" s="112"/>
      <c r="I303" s="112"/>
      <c r="J303" s="112"/>
      <c r="K303" s="112"/>
      <c r="P303" s="112" t="s">
        <v>342</v>
      </c>
      <c r="Q303" s="112">
        <f>IFERROR(VLOOKUP($A303,YTD!$A$13:$D$1048576,3,0),0)</f>
        <v>1974953.02</v>
      </c>
      <c r="R303" s="112">
        <f>IFERROR(VLOOKUP($A303,YTD!$A$13:$D$1048576,4,0),0)</f>
        <v>0</v>
      </c>
      <c r="S303" s="112"/>
      <c r="T303" s="112"/>
      <c r="U303" s="112" t="s">
        <v>342</v>
      </c>
      <c r="V303" s="112"/>
      <c r="W303" s="112"/>
      <c r="X303" s="112"/>
      <c r="Y303" s="112"/>
      <c r="Z303" s="279">
        <v>194101.9</v>
      </c>
      <c r="AA303" s="279">
        <v>206524.86</v>
      </c>
      <c r="AB303" s="279">
        <v>194166.91</v>
      </c>
      <c r="AC303" s="279">
        <v>194123.57</v>
      </c>
      <c r="AD303" s="279">
        <v>213474.08</v>
      </c>
      <c r="AE303" s="279">
        <v>194123.57</v>
      </c>
      <c r="AF303" s="279">
        <v>194123.57</v>
      </c>
      <c r="AG303" s="112">
        <v>194123.57</v>
      </c>
      <c r="AH303" s="426">
        <v>213474.08</v>
      </c>
      <c r="AI303" s="426">
        <v>213474.08</v>
      </c>
      <c r="AJ303" s="426">
        <v>194123.57</v>
      </c>
      <c r="AK303" s="112">
        <f t="shared" si="17"/>
        <v>-230880.74</v>
      </c>
    </row>
    <row r="304" spans="1:37" x14ac:dyDescent="0.3">
      <c r="A304" s="109" t="str">
        <f t="shared" si="16"/>
        <v>debitovh    6666093800  Other Taxes-CIT Deductible</v>
      </c>
      <c r="B304" s="112" t="s">
        <v>343</v>
      </c>
      <c r="C304" s="279">
        <f>IFERROR(VLOOKUP($A304,MTD!$A$13:$D$1048576,3,0),0)</f>
        <v>0</v>
      </c>
      <c r="D304" s="112"/>
      <c r="E304" s="112"/>
      <c r="F304" s="112"/>
      <c r="G304" s="112" t="s">
        <v>343</v>
      </c>
      <c r="H304" s="112"/>
      <c r="I304" s="112"/>
      <c r="J304" s="112"/>
      <c r="K304" s="112"/>
      <c r="P304" s="112" t="s">
        <v>343</v>
      </c>
      <c r="Q304" s="112">
        <f>IFERROR(VLOOKUP($A304,YTD!$A$13:$D$1048576,3,0),0)</f>
        <v>887.03</v>
      </c>
      <c r="R304" s="112">
        <f>IFERROR(VLOOKUP($A304,YTD!$A$13:$D$1048576,4,0),0)</f>
        <v>0</v>
      </c>
      <c r="S304" s="112"/>
      <c r="T304" s="112"/>
      <c r="U304" s="112" t="s">
        <v>343</v>
      </c>
      <c r="V304" s="112"/>
      <c r="W304" s="112"/>
      <c r="X304" s="112"/>
      <c r="Y304" s="112"/>
      <c r="Z304" s="279">
        <v>117.56</v>
      </c>
      <c r="AA304" s="279">
        <v>145.75</v>
      </c>
      <c r="AB304" s="279">
        <v>120.23</v>
      </c>
      <c r="AC304" s="279">
        <v>139.44</v>
      </c>
      <c r="AD304" s="279">
        <v>67.739999999999995</v>
      </c>
      <c r="AE304" s="279">
        <v>47.65</v>
      </c>
      <c r="AF304" s="279">
        <v>42.84</v>
      </c>
      <c r="AG304" s="112">
        <v>45.12</v>
      </c>
      <c r="AH304" s="112">
        <v>60.04</v>
      </c>
      <c r="AI304" s="426">
        <v>48.75</v>
      </c>
      <c r="AJ304" s="426">
        <v>51.91</v>
      </c>
      <c r="AK304" s="112">
        <f t="shared" si="17"/>
        <v>0</v>
      </c>
    </row>
    <row r="305" spans="1:37" x14ac:dyDescent="0.3">
      <c r="A305" s="109" t="str">
        <f t="shared" si="16"/>
        <v>debitovh    6666090100  Stamp Duty</v>
      </c>
      <c r="B305" s="112" t="s">
        <v>344</v>
      </c>
      <c r="C305" s="279">
        <f>IFERROR(VLOOKUP($A305,MTD!$A$13:$D$1048576,3,0),0)</f>
        <v>0</v>
      </c>
      <c r="D305" s="112"/>
      <c r="E305" s="112"/>
      <c r="F305" s="112"/>
      <c r="G305" s="112" t="s">
        <v>344</v>
      </c>
      <c r="H305" s="112"/>
      <c r="I305" s="112"/>
      <c r="J305" s="112"/>
      <c r="K305" s="112"/>
      <c r="P305" s="112" t="s">
        <v>344</v>
      </c>
      <c r="Q305" s="112">
        <f>IFERROR(VLOOKUP($A305,YTD!$A$13:$D$1048576,3,0),0)</f>
        <v>8540.0400000000009</v>
      </c>
      <c r="R305" s="112">
        <f>IFERROR(VLOOKUP($A305,YTD!$A$13:$D$1048576,4,0),0)</f>
        <v>0</v>
      </c>
      <c r="S305" s="112"/>
      <c r="T305" s="112"/>
      <c r="U305" s="112" t="s">
        <v>344</v>
      </c>
      <c r="V305" s="112"/>
      <c r="W305" s="112"/>
      <c r="X305" s="112"/>
      <c r="Y305" s="112"/>
      <c r="Z305" s="279"/>
      <c r="AA305" s="279"/>
      <c r="AB305" s="279"/>
      <c r="AC305" s="279"/>
      <c r="AD305" s="279"/>
      <c r="AE305" s="279"/>
      <c r="AF305" s="279"/>
      <c r="AG305" s="112"/>
      <c r="AH305" s="112">
        <v>8540.0400000000009</v>
      </c>
      <c r="AI305" s="426">
        <v>0</v>
      </c>
      <c r="AJ305" s="426">
        <v>0</v>
      </c>
      <c r="AK305" s="112">
        <f t="shared" si="17"/>
        <v>0</v>
      </c>
    </row>
    <row r="306" spans="1:37" x14ac:dyDescent="0.3">
      <c r="A306" s="109" t="str">
        <f t="shared" si="16"/>
        <v>debitovh*   CS_Fix Cost</v>
      </c>
      <c r="B306" s="117" t="s">
        <v>210</v>
      </c>
      <c r="C306" s="280">
        <f>IFERROR(VLOOKUP($A306,MTD!$A$13:$D$1048576,3,0),0)</f>
        <v>-151547.16</v>
      </c>
      <c r="D306" s="117"/>
      <c r="E306" s="117"/>
      <c r="F306" s="117"/>
      <c r="G306" s="117" t="s">
        <v>210</v>
      </c>
      <c r="H306" s="117"/>
      <c r="I306" s="117"/>
      <c r="J306" s="117"/>
      <c r="K306" s="117"/>
      <c r="P306" s="117" t="s">
        <v>210</v>
      </c>
      <c r="Q306" s="117">
        <f>IFERROR(VLOOKUP($A306,YTD!$A$13:$D$1048576,3,0),0)</f>
        <v>2908525.84</v>
      </c>
      <c r="R306" s="117">
        <f>IFERROR(VLOOKUP($A306,YTD!$A$13:$D$1048576,4,0),0)</f>
        <v>3738337.2</v>
      </c>
      <c r="S306" s="117"/>
      <c r="T306" s="117"/>
      <c r="U306" s="117" t="s">
        <v>210</v>
      </c>
      <c r="V306" s="117"/>
      <c r="W306" s="117"/>
      <c r="X306" s="117"/>
      <c r="Y306" s="117"/>
      <c r="Z306" s="280">
        <v>273383.42</v>
      </c>
      <c r="AA306" s="280">
        <v>332929.06</v>
      </c>
      <c r="AB306" s="280">
        <v>279744.21999999997</v>
      </c>
      <c r="AC306" s="280">
        <v>244306.86</v>
      </c>
      <c r="AD306" s="280">
        <v>278956.71000000002</v>
      </c>
      <c r="AE306" s="280">
        <v>265293.56</v>
      </c>
      <c r="AF306" s="280">
        <v>269156.34000000003</v>
      </c>
      <c r="AG306" s="117">
        <v>254505.56</v>
      </c>
      <c r="AH306" s="117">
        <v>297921.76</v>
      </c>
      <c r="AI306" s="427">
        <v>296456.44</v>
      </c>
      <c r="AJ306" s="427">
        <v>267419.07</v>
      </c>
      <c r="AK306" s="117">
        <f t="shared" si="17"/>
        <v>-151547.16</v>
      </c>
    </row>
    <row r="307" spans="1:37" x14ac:dyDescent="0.3">
      <c r="A307" s="109" t="str">
        <f t="shared" si="16"/>
        <v>debitovh    5102040000  Other Revenue - Other</v>
      </c>
      <c r="B307" s="112" t="s">
        <v>293</v>
      </c>
      <c r="C307" s="279">
        <f>IFERROR(VLOOKUP($A307,MTD!$A$13:$D$1048576,3,0),0)</f>
        <v>-204.41</v>
      </c>
      <c r="D307" s="112"/>
      <c r="E307" s="112"/>
      <c r="F307" s="112"/>
      <c r="G307" s="112" t="s">
        <v>293</v>
      </c>
      <c r="H307" s="112"/>
      <c r="I307" s="112"/>
      <c r="J307" s="112"/>
      <c r="K307" s="112"/>
      <c r="P307" s="112" t="s">
        <v>293</v>
      </c>
      <c r="Q307" s="112">
        <f>IFERROR(VLOOKUP($A307,YTD!$A$13:$D$1048576,3,0),0)</f>
        <v>-327.54000000000002</v>
      </c>
      <c r="R307" s="112">
        <f>IFERROR(VLOOKUP($A307,YTD!$A$13:$D$1048576,4,0),0)</f>
        <v>0</v>
      </c>
      <c r="S307" s="112"/>
      <c r="T307" s="112"/>
      <c r="U307" s="112" t="s">
        <v>293</v>
      </c>
      <c r="V307" s="112"/>
      <c r="W307" s="112"/>
      <c r="X307" s="112"/>
      <c r="Y307" s="112"/>
      <c r="Z307" s="279">
        <v>-13.61</v>
      </c>
      <c r="AA307" s="279">
        <v>0</v>
      </c>
      <c r="AB307" s="279">
        <v>-109.52</v>
      </c>
      <c r="AC307" s="279">
        <v>0</v>
      </c>
      <c r="AD307" s="279">
        <v>0</v>
      </c>
      <c r="AE307" s="279">
        <v>0</v>
      </c>
      <c r="AF307" s="279">
        <v>0</v>
      </c>
      <c r="AG307" s="112">
        <v>0</v>
      </c>
      <c r="AH307" s="112">
        <v>0</v>
      </c>
      <c r="AI307" s="112">
        <v>0</v>
      </c>
      <c r="AJ307" s="112">
        <v>0</v>
      </c>
      <c r="AK307" s="112">
        <f t="shared" si="17"/>
        <v>-204.41</v>
      </c>
    </row>
    <row r="308" spans="1:37" x14ac:dyDescent="0.3">
      <c r="A308" s="109" t="str">
        <f t="shared" si="16"/>
        <v>debitovh*   CS_Variable Cost</v>
      </c>
      <c r="B308" s="117" t="s">
        <v>212</v>
      </c>
      <c r="C308" s="280">
        <f>IFERROR(VLOOKUP($A308,MTD!$A$13:$D$1048576,3,0),0)</f>
        <v>-204.41</v>
      </c>
      <c r="D308" s="117"/>
      <c r="E308" s="117"/>
      <c r="F308" s="117"/>
      <c r="G308" s="117" t="s">
        <v>212</v>
      </c>
      <c r="H308" s="117"/>
      <c r="I308" s="117"/>
      <c r="J308" s="117"/>
      <c r="K308" s="117"/>
      <c r="P308" s="117" t="s">
        <v>212</v>
      </c>
      <c r="Q308" s="117">
        <f>IFERROR(VLOOKUP($A308,YTD!$A$13:$D$1048576,3,0),0)</f>
        <v>-327.54000000000002</v>
      </c>
      <c r="R308" s="117">
        <f>IFERROR(VLOOKUP($A308,YTD!$A$13:$D$1048576,4,0),0)</f>
        <v>0</v>
      </c>
      <c r="S308" s="117"/>
      <c r="T308" s="117"/>
      <c r="U308" s="117" t="s">
        <v>212</v>
      </c>
      <c r="V308" s="117"/>
      <c r="W308" s="117"/>
      <c r="X308" s="117"/>
      <c r="Y308" s="117"/>
      <c r="Z308" s="280">
        <v>-13.61</v>
      </c>
      <c r="AA308" s="280">
        <v>0</v>
      </c>
      <c r="AB308" s="280">
        <v>-109.52</v>
      </c>
      <c r="AC308" s="280">
        <v>0</v>
      </c>
      <c r="AD308" s="280">
        <v>0</v>
      </c>
      <c r="AE308" s="280">
        <v>0</v>
      </c>
      <c r="AF308" s="280">
        <v>0</v>
      </c>
      <c r="AG308" s="117">
        <v>0</v>
      </c>
      <c r="AH308" s="117">
        <v>0</v>
      </c>
      <c r="AI308" s="117">
        <v>0</v>
      </c>
      <c r="AJ308" s="117">
        <v>0</v>
      </c>
      <c r="AK308" s="117">
        <f t="shared" si="17"/>
        <v>-204.41</v>
      </c>
    </row>
    <row r="309" spans="1:37" x14ac:dyDescent="0.3">
      <c r="A309" s="109" t="str">
        <f t="shared" si="16"/>
        <v>debitovh    6666021600  Energy and power cost</v>
      </c>
      <c r="B309" s="112" t="s">
        <v>298</v>
      </c>
      <c r="C309" s="279">
        <f>IFERROR(VLOOKUP($A309,MTD!$A$13:$D$1048576,3,0),0)</f>
        <v>1498.11</v>
      </c>
      <c r="D309" s="112"/>
      <c r="E309" s="112"/>
      <c r="F309" s="112"/>
      <c r="G309" s="112" t="s">
        <v>298</v>
      </c>
      <c r="H309" s="112"/>
      <c r="I309" s="112"/>
      <c r="J309" s="112"/>
      <c r="K309" s="112"/>
      <c r="P309" s="112" t="s">
        <v>298</v>
      </c>
      <c r="Q309" s="112">
        <f>IFERROR(VLOOKUP($A309,YTD!$A$13:$D$1048576,3,0),0)</f>
        <v>13717.45</v>
      </c>
      <c r="R309" s="112">
        <f>IFERROR(VLOOKUP($A309,YTD!$A$13:$D$1048576,4,0),0)</f>
        <v>0</v>
      </c>
      <c r="S309" s="112"/>
      <c r="T309" s="112"/>
      <c r="U309" s="112" t="s">
        <v>298</v>
      </c>
      <c r="V309" s="112"/>
      <c r="W309" s="112"/>
      <c r="X309" s="112"/>
      <c r="Y309" s="112"/>
      <c r="Z309" s="279">
        <v>304.19</v>
      </c>
      <c r="AA309" s="279">
        <v>2310.31</v>
      </c>
      <c r="AB309" s="279">
        <v>1869.76</v>
      </c>
      <c r="AC309" s="279">
        <v>1707.84</v>
      </c>
      <c r="AD309" s="279">
        <v>802.27</v>
      </c>
      <c r="AE309" s="279">
        <v>804.05</v>
      </c>
      <c r="AF309" s="279">
        <v>945.54</v>
      </c>
      <c r="AG309" s="112">
        <v>991.79</v>
      </c>
      <c r="AH309" s="112">
        <v>947.2</v>
      </c>
      <c r="AI309" s="112">
        <v>887.82</v>
      </c>
      <c r="AJ309" s="112">
        <v>648.57000000000005</v>
      </c>
      <c r="AK309" s="112">
        <f t="shared" si="17"/>
        <v>1498.11</v>
      </c>
    </row>
    <row r="310" spans="1:37" x14ac:dyDescent="0.3">
      <c r="A310" s="109" t="str">
        <f t="shared" si="16"/>
        <v>debitovh    6666021604  Oil &amp; Gas</v>
      </c>
      <c r="B310" s="112" t="s">
        <v>300</v>
      </c>
      <c r="C310" s="279">
        <f>IFERROR(VLOOKUP($A310,MTD!$A$13:$D$1048576,3,0),0)</f>
        <v>32.1</v>
      </c>
      <c r="D310" s="112"/>
      <c r="E310" s="112"/>
      <c r="F310" s="112"/>
      <c r="G310" s="112" t="s">
        <v>300</v>
      </c>
      <c r="H310" s="112"/>
      <c r="I310" s="112"/>
      <c r="J310" s="112"/>
      <c r="K310" s="112"/>
      <c r="P310" s="112" t="s">
        <v>300</v>
      </c>
      <c r="Q310" s="112">
        <f>IFERROR(VLOOKUP($A310,YTD!$A$13:$D$1048576,3,0),0)</f>
        <v>109.26</v>
      </c>
      <c r="R310" s="112"/>
      <c r="S310" s="112"/>
      <c r="T310" s="112"/>
      <c r="U310" s="112"/>
      <c r="V310" s="112"/>
      <c r="W310" s="112"/>
      <c r="X310" s="112"/>
      <c r="Y310" s="112"/>
      <c r="Z310" s="279"/>
      <c r="AA310" s="279"/>
      <c r="AB310" s="279"/>
      <c r="AC310" s="279"/>
      <c r="AD310" s="279"/>
      <c r="AE310" s="279"/>
      <c r="AF310" s="279">
        <v>38.57</v>
      </c>
      <c r="AG310" s="112">
        <v>-0.63</v>
      </c>
      <c r="AH310" s="112">
        <v>-0.74</v>
      </c>
      <c r="AI310" s="112">
        <v>16.93</v>
      </c>
      <c r="AJ310" s="112">
        <v>23.03</v>
      </c>
      <c r="AK310" s="112">
        <f t="shared" si="17"/>
        <v>32.1</v>
      </c>
    </row>
    <row r="311" spans="1:37" x14ac:dyDescent="0.3">
      <c r="A311" s="109" t="str">
        <f t="shared" si="16"/>
        <v>debitovh*   CS_Variable Utilities</v>
      </c>
      <c r="B311" s="117" t="s">
        <v>216</v>
      </c>
      <c r="C311" s="280">
        <f>IFERROR(VLOOKUP($A311,MTD!$A$13:$D$1048576,3,0),0)</f>
        <v>1530.21</v>
      </c>
      <c r="D311" s="117"/>
      <c r="E311" s="117"/>
      <c r="F311" s="117"/>
      <c r="G311" s="117" t="s">
        <v>216</v>
      </c>
      <c r="H311" s="117"/>
      <c r="I311" s="117"/>
      <c r="J311" s="117"/>
      <c r="K311" s="117"/>
      <c r="P311" s="117" t="s">
        <v>216</v>
      </c>
      <c r="Q311" s="117">
        <f>IFERROR(VLOOKUP($A311,YTD!$A$13:$D$1048576,3,0),0)</f>
        <v>13826.71</v>
      </c>
      <c r="R311" s="117">
        <f>IFERROR(VLOOKUP($A311,YTD!$A$13:$D$1048576,4,0),0)</f>
        <v>0</v>
      </c>
      <c r="S311" s="117"/>
      <c r="T311" s="117"/>
      <c r="U311" s="117" t="s">
        <v>216</v>
      </c>
      <c r="V311" s="117"/>
      <c r="W311" s="117"/>
      <c r="X311" s="117"/>
      <c r="Y311" s="117"/>
      <c r="Z311" s="280">
        <v>304.19</v>
      </c>
      <c r="AA311" s="280">
        <v>2310.31</v>
      </c>
      <c r="AB311" s="280">
        <v>1869.76</v>
      </c>
      <c r="AC311" s="280">
        <v>1707.84</v>
      </c>
      <c r="AD311" s="280">
        <v>802.27</v>
      </c>
      <c r="AE311" s="280">
        <v>804.05</v>
      </c>
      <c r="AF311" s="280">
        <v>984.11</v>
      </c>
      <c r="AG311" s="117">
        <v>991.16</v>
      </c>
      <c r="AH311" s="117">
        <v>946.46</v>
      </c>
      <c r="AI311" s="117">
        <v>904.75</v>
      </c>
      <c r="AJ311" s="117">
        <v>671.6</v>
      </c>
      <c r="AK311" s="117">
        <f t="shared" si="17"/>
        <v>1530.21</v>
      </c>
    </row>
    <row r="312" spans="1:37" x14ac:dyDescent="0.3">
      <c r="A312" s="109" t="str">
        <f t="shared" si="16"/>
        <v>debitovh    6666010012  Payroll Taxes- Blue Collar Indirect</v>
      </c>
      <c r="B312" s="112" t="s">
        <v>305</v>
      </c>
      <c r="C312" s="279">
        <f>IFERROR(VLOOKUP($A312,MTD!$A$13:$D$1048576,3,0),0)</f>
        <v>0</v>
      </c>
      <c r="D312" s="112"/>
      <c r="E312" s="112"/>
      <c r="F312" s="112"/>
      <c r="G312" s="112" t="s">
        <v>305</v>
      </c>
      <c r="H312" s="112"/>
      <c r="I312" s="112"/>
      <c r="J312" s="112"/>
      <c r="K312" s="112"/>
      <c r="P312" s="112" t="s">
        <v>305</v>
      </c>
      <c r="Q312" s="112">
        <f>IFERROR(VLOOKUP($A312,YTD!$A$13:$D$1048576,3,0),0)</f>
        <v>60.75</v>
      </c>
      <c r="R312" s="112">
        <f>IFERROR(VLOOKUP($A312,YTD!$A$13:$D$1048576,4,0),0)</f>
        <v>0</v>
      </c>
      <c r="S312" s="112"/>
      <c r="T312" s="112"/>
      <c r="U312" s="112" t="s">
        <v>305</v>
      </c>
      <c r="V312" s="112"/>
      <c r="W312" s="112"/>
      <c r="X312" s="112"/>
      <c r="Y312" s="112"/>
      <c r="Z312" s="279">
        <v>15.28</v>
      </c>
      <c r="AA312" s="279">
        <v>18.559999999999999</v>
      </c>
      <c r="AB312" s="279">
        <v>15.53</v>
      </c>
      <c r="AC312" s="279">
        <v>8.9600000000000009</v>
      </c>
      <c r="AD312" s="279">
        <v>0</v>
      </c>
      <c r="AE312" s="279">
        <v>0</v>
      </c>
      <c r="AF312" s="279">
        <v>0</v>
      </c>
      <c r="AG312" s="112">
        <v>0</v>
      </c>
      <c r="AH312" s="112">
        <v>0</v>
      </c>
      <c r="AI312" s="112">
        <v>2.42</v>
      </c>
      <c r="AJ312" s="112">
        <v>0</v>
      </c>
      <c r="AK312" s="112">
        <f t="shared" si="17"/>
        <v>0</v>
      </c>
    </row>
    <row r="313" spans="1:37" x14ac:dyDescent="0.3">
      <c r="A313" s="109" t="str">
        <f t="shared" si="16"/>
        <v>debitovh    6666010102  Salary-Blue collar indirect employees- A</v>
      </c>
      <c r="B313" s="112" t="s">
        <v>307</v>
      </c>
      <c r="C313" s="279">
        <f>IFERROR(VLOOKUP($A313,MTD!$A$13:$D$1048576,3,0),0)</f>
        <v>27.5</v>
      </c>
      <c r="D313" s="112"/>
      <c r="E313" s="112"/>
      <c r="F313" s="112"/>
      <c r="G313" s="112" t="s">
        <v>307</v>
      </c>
      <c r="H313" s="112"/>
      <c r="I313" s="112"/>
      <c r="J313" s="112"/>
      <c r="K313" s="112"/>
      <c r="P313" s="112" t="s">
        <v>307</v>
      </c>
      <c r="Q313" s="112">
        <f>IFERROR(VLOOKUP($A313,YTD!$A$13:$D$1048576,3,0),0)</f>
        <v>485.3</v>
      </c>
      <c r="R313" s="112">
        <f>IFERROR(VLOOKUP($A313,YTD!$A$13:$D$1048576,4,0),0)</f>
        <v>0</v>
      </c>
      <c r="S313" s="112"/>
      <c r="T313" s="112"/>
      <c r="U313" s="112" t="s">
        <v>307</v>
      </c>
      <c r="V313" s="112"/>
      <c r="W313" s="112"/>
      <c r="X313" s="112"/>
      <c r="Y313" s="112"/>
      <c r="Z313" s="279">
        <v>86.07</v>
      </c>
      <c r="AA313" s="279">
        <v>95.75</v>
      </c>
      <c r="AB313" s="279">
        <v>83.14</v>
      </c>
      <c r="AC313" s="279">
        <v>56.06</v>
      </c>
      <c r="AD313" s="279">
        <v>19.04</v>
      </c>
      <c r="AE313" s="279">
        <v>12.55</v>
      </c>
      <c r="AF313" s="279">
        <v>0</v>
      </c>
      <c r="AG313" s="112">
        <v>0</v>
      </c>
      <c r="AH313" s="112">
        <v>21.14</v>
      </c>
      <c r="AI313" s="112">
        <v>48.45</v>
      </c>
      <c r="AJ313" s="112">
        <v>35.6</v>
      </c>
      <c r="AK313" s="112">
        <f t="shared" si="17"/>
        <v>27.5</v>
      </c>
    </row>
    <row r="314" spans="1:37" x14ac:dyDescent="0.3">
      <c r="A314" s="109" t="str">
        <f t="shared" si="16"/>
        <v>debitovh*   CS_Indirect Labour</v>
      </c>
      <c r="B314" s="117" t="s">
        <v>217</v>
      </c>
      <c r="C314" s="280">
        <f>IFERROR(VLOOKUP($A314,MTD!$A$13:$D$1048576,3,0),0)</f>
        <v>27.5</v>
      </c>
      <c r="D314" s="117"/>
      <c r="E314" s="117"/>
      <c r="F314" s="117"/>
      <c r="G314" s="117" t="s">
        <v>217</v>
      </c>
      <c r="H314" s="117"/>
      <c r="I314" s="117"/>
      <c r="J314" s="117"/>
      <c r="K314" s="117"/>
      <c r="P314" s="117" t="s">
        <v>217</v>
      </c>
      <c r="Q314" s="117">
        <f>IFERROR(VLOOKUP($A314,YTD!$A$13:$D$1048576,3,0),0)</f>
        <v>546.04999999999995</v>
      </c>
      <c r="R314" s="117">
        <f>IFERROR(VLOOKUP($A314,YTD!$A$13:$D$1048576,4,0),0)</f>
        <v>0</v>
      </c>
      <c r="S314" s="117"/>
      <c r="T314" s="117"/>
      <c r="U314" s="117" t="s">
        <v>217</v>
      </c>
      <c r="V314" s="117"/>
      <c r="W314" s="117"/>
      <c r="X314" s="117"/>
      <c r="Y314" s="117"/>
      <c r="Z314" s="280">
        <v>101.35</v>
      </c>
      <c r="AA314" s="280">
        <v>114.31</v>
      </c>
      <c r="AB314" s="280">
        <v>98.67</v>
      </c>
      <c r="AC314" s="280">
        <v>65.02</v>
      </c>
      <c r="AD314" s="280">
        <v>19.04</v>
      </c>
      <c r="AE314" s="280">
        <v>12.55</v>
      </c>
      <c r="AF314" s="280">
        <v>0</v>
      </c>
      <c r="AG314" s="117">
        <v>0</v>
      </c>
      <c r="AH314" s="117">
        <v>21.14</v>
      </c>
      <c r="AI314" s="117">
        <v>50.87</v>
      </c>
      <c r="AJ314" s="117">
        <v>35.6</v>
      </c>
      <c r="AK314" s="117">
        <f t="shared" si="17"/>
        <v>27.5</v>
      </c>
    </row>
    <row r="315" spans="1:37" x14ac:dyDescent="0.3">
      <c r="A315" s="109" t="str">
        <f t="shared" si="16"/>
        <v>debitovh    6666010196  Payroll Taxes-White Collar Employee</v>
      </c>
      <c r="B315" s="112" t="s">
        <v>308</v>
      </c>
      <c r="C315" s="279">
        <f>IFERROR(VLOOKUP($A315,MTD!$A$13:$D$1048576,3,0),0)</f>
        <v>1557.8</v>
      </c>
      <c r="D315" s="112"/>
      <c r="E315" s="112"/>
      <c r="F315" s="112"/>
      <c r="G315" s="112" t="s">
        <v>308</v>
      </c>
      <c r="H315" s="112"/>
      <c r="I315" s="112"/>
      <c r="J315" s="112"/>
      <c r="K315" s="112"/>
      <c r="P315" s="112" t="s">
        <v>308</v>
      </c>
      <c r="Q315" s="112">
        <f>IFERROR(VLOOKUP($A315,YTD!$A$13:$D$1048576,3,0),0)</f>
        <v>20113.27</v>
      </c>
      <c r="R315" s="112">
        <f>IFERROR(VLOOKUP($A315,YTD!$A$13:$D$1048576,4,0),0)</f>
        <v>0</v>
      </c>
      <c r="S315" s="112"/>
      <c r="T315" s="112"/>
      <c r="U315" s="112" t="s">
        <v>308</v>
      </c>
      <c r="V315" s="112"/>
      <c r="W315" s="112"/>
      <c r="X315" s="112"/>
      <c r="Y315" s="112"/>
      <c r="Z315" s="279">
        <v>1675.57</v>
      </c>
      <c r="AA315" s="279">
        <v>1659.05</v>
      </c>
      <c r="AB315" s="279">
        <v>1729.63</v>
      </c>
      <c r="AC315" s="279">
        <v>1598.97</v>
      </c>
      <c r="AD315" s="279">
        <v>1874.42</v>
      </c>
      <c r="AE315" s="279">
        <v>1799.51</v>
      </c>
      <c r="AF315" s="279">
        <v>1708.91</v>
      </c>
      <c r="AG315" s="112">
        <v>1644.2</v>
      </c>
      <c r="AH315" s="112">
        <v>1622.81</v>
      </c>
      <c r="AI315" s="426">
        <v>1633.28</v>
      </c>
      <c r="AJ315" s="426">
        <v>1609.12</v>
      </c>
      <c r="AK315" s="112">
        <f t="shared" si="17"/>
        <v>1557.8</v>
      </c>
    </row>
    <row r="316" spans="1:37" x14ac:dyDescent="0.3">
      <c r="A316" s="109" t="str">
        <f t="shared" si="16"/>
        <v>debitovh    6666010101  Salary - White collar employees</v>
      </c>
      <c r="B316" s="112" t="s">
        <v>309</v>
      </c>
      <c r="C316" s="279">
        <f>IFERROR(VLOOKUP($A316,MTD!$A$13:$D$1048576,3,0),0)</f>
        <v>11206.03</v>
      </c>
      <c r="D316" s="112"/>
      <c r="E316" s="112"/>
      <c r="F316" s="112"/>
      <c r="G316" s="112" t="s">
        <v>309</v>
      </c>
      <c r="H316" s="112"/>
      <c r="I316" s="112"/>
      <c r="J316" s="112"/>
      <c r="K316" s="112"/>
      <c r="P316" s="112" t="s">
        <v>309</v>
      </c>
      <c r="Q316" s="112">
        <f>IFERROR(VLOOKUP($A316,YTD!$A$13:$D$1048576,3,0),0)</f>
        <v>151155.10999999999</v>
      </c>
      <c r="R316" s="112">
        <f>IFERROR(VLOOKUP($A316,YTD!$A$13:$D$1048576,4,0),0)</f>
        <v>0</v>
      </c>
      <c r="S316" s="112"/>
      <c r="T316" s="112"/>
      <c r="U316" s="112" t="s">
        <v>309</v>
      </c>
      <c r="V316" s="112"/>
      <c r="W316" s="112"/>
      <c r="X316" s="112"/>
      <c r="Y316" s="112"/>
      <c r="Z316" s="279">
        <v>11303.87</v>
      </c>
      <c r="AA316" s="279">
        <v>17084.21</v>
      </c>
      <c r="AB316" s="279">
        <v>11614.22</v>
      </c>
      <c r="AC316" s="279">
        <v>15932.87</v>
      </c>
      <c r="AD316" s="279">
        <v>15050.62</v>
      </c>
      <c r="AE316" s="279">
        <v>12174.33</v>
      </c>
      <c r="AF316" s="279">
        <v>11634.34</v>
      </c>
      <c r="AG316" s="112">
        <v>11244</v>
      </c>
      <c r="AH316" s="112">
        <v>11166.04</v>
      </c>
      <c r="AI316" s="426">
        <v>11712.67</v>
      </c>
      <c r="AJ316" s="426">
        <v>11031.91</v>
      </c>
      <c r="AK316" s="112">
        <f t="shared" si="17"/>
        <v>11206.03</v>
      </c>
    </row>
    <row r="317" spans="1:37" x14ac:dyDescent="0.3">
      <c r="A317" s="109" t="str">
        <f t="shared" si="16"/>
        <v>debitovh    6666010199  Salary-White collar employees -Accrued</v>
      </c>
      <c r="B317" s="112" t="s">
        <v>310</v>
      </c>
      <c r="C317" s="279">
        <f>IFERROR(VLOOKUP($A317,MTD!$A$13:$D$1048576,3,0),0)</f>
        <v>100.91</v>
      </c>
      <c r="D317" s="112"/>
      <c r="E317" s="112"/>
      <c r="F317" s="112"/>
      <c r="G317" s="112" t="s">
        <v>310</v>
      </c>
      <c r="H317" s="112"/>
      <c r="I317" s="112"/>
      <c r="J317" s="112"/>
      <c r="K317" s="112"/>
      <c r="P317" s="112" t="s">
        <v>310</v>
      </c>
      <c r="Q317" s="112">
        <f>IFERROR(VLOOKUP($A317,YTD!$A$13:$D$1048576,3,0),0)</f>
        <v>7595.46</v>
      </c>
      <c r="R317" s="112">
        <f>IFERROR(VLOOKUP($A317,YTD!$A$13:$D$1048576,4,0),0)</f>
        <v>0</v>
      </c>
      <c r="S317" s="112"/>
      <c r="T317" s="112"/>
      <c r="U317" s="112" t="s">
        <v>310</v>
      </c>
      <c r="V317" s="112"/>
      <c r="W317" s="112"/>
      <c r="X317" s="112"/>
      <c r="Y317" s="112"/>
      <c r="Z317" s="279">
        <v>1649.66</v>
      </c>
      <c r="AA317" s="279">
        <v>304.82</v>
      </c>
      <c r="AB317" s="279">
        <v>1256.72</v>
      </c>
      <c r="AC317" s="279">
        <v>-155.15</v>
      </c>
      <c r="AD317" s="279">
        <v>1415.56</v>
      </c>
      <c r="AE317" s="279">
        <v>333.06</v>
      </c>
      <c r="AF317" s="279">
        <v>585.87</v>
      </c>
      <c r="AG317" s="112">
        <v>108.55</v>
      </c>
      <c r="AH317" s="112">
        <v>257.25</v>
      </c>
      <c r="AI317" s="426">
        <v>322.87</v>
      </c>
      <c r="AJ317" s="426">
        <v>1415.34</v>
      </c>
      <c r="AK317" s="112">
        <f t="shared" si="17"/>
        <v>100.91</v>
      </c>
    </row>
    <row r="318" spans="1:37" x14ac:dyDescent="0.3">
      <c r="A318" s="109" t="str">
        <f t="shared" si="16"/>
        <v>debitovh    6666010207  Unemployment insurance companies to pay</v>
      </c>
      <c r="B318" s="112" t="s">
        <v>312</v>
      </c>
      <c r="C318" s="279">
        <f>IFERROR(VLOOKUP($A318,MTD!$A$13:$D$1048576,3,0),0)</f>
        <v>164.1</v>
      </c>
      <c r="D318" s="112"/>
      <c r="E318" s="112"/>
      <c r="F318" s="112"/>
      <c r="G318" s="112" t="s">
        <v>312</v>
      </c>
      <c r="H318" s="112"/>
      <c r="I318" s="112"/>
      <c r="J318" s="112"/>
      <c r="K318" s="112"/>
      <c r="P318" s="112" t="s">
        <v>312</v>
      </c>
      <c r="Q318" s="112">
        <f>IFERROR(VLOOKUP($A318,YTD!$A$13:$D$1048576,3,0),0)</f>
        <v>2244.71</v>
      </c>
      <c r="R318" s="112">
        <f>IFERROR(VLOOKUP($A318,YTD!$A$13:$D$1048576,4,0),0)</f>
        <v>0</v>
      </c>
      <c r="S318" s="112"/>
      <c r="T318" s="112"/>
      <c r="U318" s="112" t="s">
        <v>312</v>
      </c>
      <c r="V318" s="112"/>
      <c r="W318" s="112"/>
      <c r="X318" s="112"/>
      <c r="Y318" s="112"/>
      <c r="Z318" s="279">
        <v>212.77</v>
      </c>
      <c r="AA318" s="279">
        <v>209.48</v>
      </c>
      <c r="AB318" s="279">
        <v>207.88</v>
      </c>
      <c r="AC318" s="279">
        <v>192.69</v>
      </c>
      <c r="AD318" s="279">
        <v>198.9</v>
      </c>
      <c r="AE318" s="279">
        <v>191.98</v>
      </c>
      <c r="AF318" s="279">
        <v>180.36</v>
      </c>
      <c r="AG318" s="112">
        <v>173.28</v>
      </c>
      <c r="AH318" s="112">
        <v>171.2</v>
      </c>
      <c r="AI318" s="426">
        <v>172.35</v>
      </c>
      <c r="AJ318" s="426">
        <v>169.72</v>
      </c>
      <c r="AK318" s="112">
        <f t="shared" si="17"/>
        <v>164.1</v>
      </c>
    </row>
    <row r="319" spans="1:37" x14ac:dyDescent="0.3">
      <c r="A319" s="109" t="str">
        <f t="shared" si="16"/>
        <v>debitovh    6666010227  Staff Leaving Indemnity - White collar E</v>
      </c>
      <c r="B319" s="112" t="s">
        <v>314</v>
      </c>
      <c r="C319" s="279">
        <f>IFERROR(VLOOKUP($A319,MTD!$A$13:$D$1048576,3,0),0)</f>
        <v>190.51</v>
      </c>
      <c r="D319" s="112"/>
      <c r="E319" s="112"/>
      <c r="F319" s="112"/>
      <c r="G319" s="112" t="s">
        <v>314</v>
      </c>
      <c r="H319" s="112"/>
      <c r="I319" s="112"/>
      <c r="J319" s="112"/>
      <c r="K319" s="112"/>
      <c r="P319" s="112" t="s">
        <v>314</v>
      </c>
      <c r="Q319" s="112">
        <f>IFERROR(VLOOKUP($A319,YTD!$A$13:$D$1048576,3,0),0)</f>
        <v>2131.71</v>
      </c>
      <c r="R319" s="112">
        <f>IFERROR(VLOOKUP($A319,YTD!$A$13:$D$1048576,4,0),0)</f>
        <v>0</v>
      </c>
      <c r="S319" s="112"/>
      <c r="T319" s="112"/>
      <c r="U319" s="112" t="s">
        <v>314</v>
      </c>
      <c r="V319" s="112"/>
      <c r="W319" s="112"/>
      <c r="X319" s="112"/>
      <c r="Y319" s="112"/>
      <c r="Z319" s="279">
        <v>202.13</v>
      </c>
      <c r="AA319" s="279">
        <v>173.65</v>
      </c>
      <c r="AB319" s="279">
        <v>175.3</v>
      </c>
      <c r="AC319" s="279">
        <v>167.11</v>
      </c>
      <c r="AD319" s="279">
        <v>171.68</v>
      </c>
      <c r="AE319" s="279">
        <v>169.33</v>
      </c>
      <c r="AF319" s="279">
        <v>155.91999999999999</v>
      </c>
      <c r="AG319" s="112">
        <v>175.8</v>
      </c>
      <c r="AH319" s="112">
        <v>177.81</v>
      </c>
      <c r="AI319" s="426">
        <v>181.39</v>
      </c>
      <c r="AJ319" s="426">
        <v>191.08</v>
      </c>
      <c r="AK319" s="112">
        <f t="shared" si="17"/>
        <v>190.51</v>
      </c>
    </row>
    <row r="320" spans="1:37" x14ac:dyDescent="0.3">
      <c r="A320" s="109" t="str">
        <f t="shared" si="16"/>
        <v>debitovh*   CS_Fixed Labour</v>
      </c>
      <c r="B320" s="117" t="s">
        <v>218</v>
      </c>
      <c r="C320" s="280">
        <f>IFERROR(VLOOKUP($A320,MTD!$A$13:$D$1048576,3,0),0)</f>
        <v>13219.35</v>
      </c>
      <c r="D320" s="117"/>
      <c r="E320" s="117"/>
      <c r="F320" s="117"/>
      <c r="G320" s="117" t="s">
        <v>218</v>
      </c>
      <c r="H320" s="117"/>
      <c r="I320" s="117"/>
      <c r="J320" s="117"/>
      <c r="K320" s="117"/>
      <c r="P320" s="117" t="s">
        <v>218</v>
      </c>
      <c r="Q320" s="117">
        <f>IFERROR(VLOOKUP($A320,YTD!$A$13:$D$1048576,3,0),0)</f>
        <v>183240.26</v>
      </c>
      <c r="R320" s="117">
        <f>IFERROR(VLOOKUP($A320,YTD!$A$13:$D$1048576,4,0),0)</f>
        <v>0</v>
      </c>
      <c r="S320" s="117"/>
      <c r="T320" s="117"/>
      <c r="U320" s="117" t="s">
        <v>218</v>
      </c>
      <c r="V320" s="117"/>
      <c r="W320" s="117"/>
      <c r="X320" s="117"/>
      <c r="Y320" s="117"/>
      <c r="Z320" s="280">
        <v>15044</v>
      </c>
      <c r="AA320" s="280">
        <v>19431.21</v>
      </c>
      <c r="AB320" s="280">
        <v>14983.75</v>
      </c>
      <c r="AC320" s="280">
        <v>17736.490000000002</v>
      </c>
      <c r="AD320" s="280">
        <v>18711.18</v>
      </c>
      <c r="AE320" s="280">
        <v>14668.21</v>
      </c>
      <c r="AF320" s="280">
        <v>14265.4</v>
      </c>
      <c r="AG320" s="117">
        <v>13345.83</v>
      </c>
      <c r="AH320" s="117">
        <v>13395.11</v>
      </c>
      <c r="AI320" s="427">
        <v>14022.56</v>
      </c>
      <c r="AJ320" s="427">
        <v>14417.17</v>
      </c>
      <c r="AK320" s="117">
        <f t="shared" si="17"/>
        <v>13219.35</v>
      </c>
    </row>
    <row r="321" spans="1:37" x14ac:dyDescent="0.3">
      <c r="A321" s="109" t="str">
        <f t="shared" si="16"/>
        <v>debitovh    6666010314  Work uniforms</v>
      </c>
      <c r="B321" s="112" t="s">
        <v>317</v>
      </c>
      <c r="C321" s="279">
        <f>IFERROR(VLOOKUP($A321,MTD!$A$13:$D$1048576,3,0),0)</f>
        <v>0</v>
      </c>
      <c r="D321" s="112"/>
      <c r="E321" s="112"/>
      <c r="F321" s="112"/>
      <c r="G321" s="112" t="s">
        <v>317</v>
      </c>
      <c r="H321" s="112"/>
      <c r="I321" s="112"/>
      <c r="J321" s="112"/>
      <c r="K321" s="112"/>
      <c r="P321" s="112" t="s">
        <v>317</v>
      </c>
      <c r="Q321" s="112">
        <f>IFERROR(VLOOKUP($A321,YTD!$A$13:$D$1048576,3,0),0)</f>
        <v>1061.3800000000001</v>
      </c>
      <c r="R321" s="112">
        <f>IFERROR(VLOOKUP($A321,YTD!$A$13:$D$1048576,4,0),0)</f>
        <v>0</v>
      </c>
      <c r="S321" s="112"/>
      <c r="T321" s="112"/>
      <c r="U321" s="112" t="s">
        <v>317</v>
      </c>
      <c r="V321" s="112"/>
      <c r="W321" s="112"/>
      <c r="X321" s="112"/>
      <c r="Y321" s="112"/>
      <c r="Z321" s="279">
        <v>86.65</v>
      </c>
      <c r="AA321" s="279">
        <v>0</v>
      </c>
      <c r="AB321" s="279">
        <v>0</v>
      </c>
      <c r="AC321" s="279">
        <v>0</v>
      </c>
      <c r="AD321" s="279">
        <v>0</v>
      </c>
      <c r="AE321" s="279">
        <v>0</v>
      </c>
      <c r="AF321" s="279">
        <v>0</v>
      </c>
      <c r="AG321" s="112">
        <v>0</v>
      </c>
      <c r="AH321" s="112">
        <v>958.15</v>
      </c>
      <c r="AI321" s="112">
        <v>-0.01</v>
      </c>
      <c r="AJ321" s="112">
        <v>16.59</v>
      </c>
      <c r="AK321" s="112">
        <f t="shared" si="17"/>
        <v>0</v>
      </c>
    </row>
    <row r="322" spans="1:37" x14ac:dyDescent="0.3">
      <c r="A322" s="109" t="str">
        <f t="shared" si="16"/>
        <v>debitovh    6666020401  local transportation - bus and taxi</v>
      </c>
      <c r="B322" s="112" t="s">
        <v>318</v>
      </c>
      <c r="C322" s="279">
        <f>IFERROR(VLOOKUP($A322,MTD!$A$13:$D$1048576,3,0),0)</f>
        <v>77.040000000000006</v>
      </c>
      <c r="D322" s="112"/>
      <c r="E322" s="112"/>
      <c r="F322" s="112"/>
      <c r="G322" s="112" t="s">
        <v>318</v>
      </c>
      <c r="H322" s="112"/>
      <c r="I322" s="112"/>
      <c r="J322" s="112"/>
      <c r="K322" s="112"/>
      <c r="P322" s="112" t="s">
        <v>318</v>
      </c>
      <c r="Q322" s="112">
        <f>IFERROR(VLOOKUP($A322,YTD!$A$13:$D$1048576,3,0),0)</f>
        <v>-544.97</v>
      </c>
      <c r="R322" s="112">
        <f>IFERROR(VLOOKUP($A322,YTD!$A$13:$D$1048576,4,0),0)</f>
        <v>0</v>
      </c>
      <c r="S322" s="112"/>
      <c r="T322" s="112"/>
      <c r="U322" s="112" t="s">
        <v>318</v>
      </c>
      <c r="V322" s="112"/>
      <c r="W322" s="112"/>
      <c r="X322" s="112"/>
      <c r="Y322" s="112"/>
      <c r="Z322" s="279">
        <v>0</v>
      </c>
      <c r="AA322" s="279">
        <v>0</v>
      </c>
      <c r="AB322" s="279">
        <v>0.06</v>
      </c>
      <c r="AC322" s="279">
        <v>-0.01</v>
      </c>
      <c r="AD322" s="279">
        <v>79.69</v>
      </c>
      <c r="AE322" s="279">
        <v>0</v>
      </c>
      <c r="AF322" s="279">
        <v>-620.6</v>
      </c>
      <c r="AG322" s="112">
        <v>0</v>
      </c>
      <c r="AH322" s="112">
        <v>0</v>
      </c>
      <c r="AI322" s="112">
        <v>75.64</v>
      </c>
      <c r="AJ322" s="112">
        <v>-156.79</v>
      </c>
      <c r="AK322" s="112">
        <f t="shared" si="17"/>
        <v>77.040000000000006</v>
      </c>
    </row>
    <row r="323" spans="1:37" x14ac:dyDescent="0.3">
      <c r="A323" s="109" t="str">
        <f t="shared" si="16"/>
        <v>debitovh    6666020502  Working meals</v>
      </c>
      <c r="B323" s="112" t="s">
        <v>320</v>
      </c>
      <c r="C323" s="279">
        <f>IFERROR(VLOOKUP($A323,MTD!$A$13:$D$1048576,3,0),0)</f>
        <v>399.83</v>
      </c>
      <c r="D323" s="112"/>
      <c r="E323" s="112"/>
      <c r="F323" s="112"/>
      <c r="G323" s="112" t="s">
        <v>320</v>
      </c>
      <c r="H323" s="112"/>
      <c r="I323" s="112"/>
      <c r="J323" s="112"/>
      <c r="K323" s="112"/>
      <c r="P323" s="112" t="s">
        <v>320</v>
      </c>
      <c r="Q323" s="112">
        <f>IFERROR(VLOOKUP($A323,YTD!$A$13:$D$1048576,3,0),0)</f>
        <v>59.43</v>
      </c>
      <c r="R323" s="112">
        <f>IFERROR(VLOOKUP($A323,YTD!$A$13:$D$1048576,4,0),0)</f>
        <v>0</v>
      </c>
      <c r="S323" s="112"/>
      <c r="T323" s="112"/>
      <c r="U323" s="112" t="s">
        <v>320</v>
      </c>
      <c r="V323" s="112"/>
      <c r="W323" s="112"/>
      <c r="X323" s="112"/>
      <c r="Y323" s="112"/>
      <c r="Z323" s="279">
        <v>193.79</v>
      </c>
      <c r="AA323" s="279">
        <v>-559.1</v>
      </c>
      <c r="AB323" s="279">
        <v>-496.7</v>
      </c>
      <c r="AC323" s="279">
        <v>-44.34</v>
      </c>
      <c r="AD323" s="279">
        <v>-281.98</v>
      </c>
      <c r="AE323" s="279">
        <v>533.57000000000005</v>
      </c>
      <c r="AF323" s="279">
        <v>-38.380000000000003</v>
      </c>
      <c r="AG323" s="112">
        <v>-345.64</v>
      </c>
      <c r="AH323" s="112">
        <v>-222.17</v>
      </c>
      <c r="AI323" s="112">
        <v>-52.03</v>
      </c>
      <c r="AJ323" s="112">
        <v>972.58</v>
      </c>
      <c r="AK323" s="112">
        <f t="shared" si="17"/>
        <v>399.83</v>
      </c>
    </row>
    <row r="324" spans="1:37" x14ac:dyDescent="0.3">
      <c r="A324" s="109" t="str">
        <f t="shared" si="16"/>
        <v>debitovh    6666020503  Office supplies</v>
      </c>
      <c r="B324" s="112" t="s">
        <v>321</v>
      </c>
      <c r="C324" s="279">
        <f>IFERROR(VLOOKUP($A324,MTD!$A$13:$D$1048576,3,0),0)</f>
        <v>14.17</v>
      </c>
      <c r="D324" s="112"/>
      <c r="E324" s="112"/>
      <c r="F324" s="112"/>
      <c r="G324" s="112" t="s">
        <v>321</v>
      </c>
      <c r="H324" s="112"/>
      <c r="I324" s="112"/>
      <c r="J324" s="112"/>
      <c r="K324" s="112"/>
      <c r="P324" s="112" t="s">
        <v>321</v>
      </c>
      <c r="Q324" s="112">
        <f>IFERROR(VLOOKUP($A324,YTD!$A$13:$D$1048576,3,0),0)</f>
        <v>165.77</v>
      </c>
      <c r="R324" s="112"/>
      <c r="S324" s="112"/>
      <c r="T324" s="112"/>
      <c r="U324" s="112" t="s">
        <v>321</v>
      </c>
      <c r="V324" s="112"/>
      <c r="W324" s="112"/>
      <c r="X324" s="112"/>
      <c r="Y324" s="112"/>
      <c r="Z324" s="279"/>
      <c r="AA324" s="279">
        <v>2.71</v>
      </c>
      <c r="AB324" s="279">
        <v>0.35</v>
      </c>
      <c r="AC324" s="279">
        <v>0</v>
      </c>
      <c r="AD324" s="279">
        <v>3</v>
      </c>
      <c r="AE324" s="279">
        <v>0</v>
      </c>
      <c r="AF324" s="279">
        <v>0</v>
      </c>
      <c r="AG324" s="112">
        <v>72.290000000000006</v>
      </c>
      <c r="AH324" s="112">
        <v>26.76</v>
      </c>
      <c r="AI324" s="112">
        <v>0</v>
      </c>
      <c r="AJ324" s="112">
        <v>46.49</v>
      </c>
      <c r="AK324" s="112">
        <f t="shared" si="17"/>
        <v>14.17</v>
      </c>
    </row>
    <row r="325" spans="1:37" x14ac:dyDescent="0.3">
      <c r="A325" s="109" t="str">
        <f>"debit"&amp;"ovh"&amp;B325</f>
        <v>debitovh    6666021505  Repairs &amp; Maintenance - Vehicles</v>
      </c>
      <c r="B325" s="112" t="s">
        <v>325</v>
      </c>
      <c r="C325" s="279">
        <f>IFERROR(VLOOKUP($A325,MTD!$A$13:$D$1048576,3,0),0)</f>
        <v>26.87</v>
      </c>
      <c r="D325" s="112"/>
      <c r="E325" s="112"/>
      <c r="F325" s="112"/>
      <c r="G325" s="112" t="s">
        <v>325</v>
      </c>
      <c r="H325" s="112"/>
      <c r="I325" s="112"/>
      <c r="J325" s="112"/>
      <c r="K325" s="112"/>
      <c r="P325" s="112" t="s">
        <v>325</v>
      </c>
      <c r="Q325" s="112">
        <f>IFERROR(VLOOKUP($A325,YTD!$A$13:$D$1048576,3,0),0)</f>
        <v>75</v>
      </c>
      <c r="R325" s="112"/>
      <c r="S325" s="112"/>
      <c r="T325" s="112"/>
      <c r="U325" s="112" t="s">
        <v>325</v>
      </c>
      <c r="V325" s="112"/>
      <c r="W325" s="112"/>
      <c r="X325" s="112"/>
      <c r="Y325" s="112"/>
      <c r="Z325" s="279"/>
      <c r="AA325" s="279"/>
      <c r="AB325" s="279"/>
      <c r="AC325" s="279">
        <v>34.130000000000003</v>
      </c>
      <c r="AD325" s="279">
        <v>48.13</v>
      </c>
      <c r="AE325" s="279">
        <v>0</v>
      </c>
      <c r="AF325" s="279">
        <v>0</v>
      </c>
      <c r="AG325" s="112">
        <v>0</v>
      </c>
      <c r="AH325" s="112">
        <v>0</v>
      </c>
      <c r="AI325" s="112">
        <v>0</v>
      </c>
      <c r="AJ325" s="112">
        <v>0</v>
      </c>
      <c r="AK325" s="112">
        <f t="shared" si="17"/>
        <v>26.87</v>
      </c>
    </row>
    <row r="326" spans="1:37" x14ac:dyDescent="0.3">
      <c r="A326" s="109" t="str">
        <f t="shared" si="16"/>
        <v>debitovh    6666021502  Repair &amp; Maintain - Building&amp;office</v>
      </c>
      <c r="B326" s="112" t="s">
        <v>323</v>
      </c>
      <c r="C326" s="279">
        <f>IFERROR(VLOOKUP($A326,MTD!$A$13:$D$1048576,3,0),0)</f>
        <v>114.75</v>
      </c>
      <c r="D326" s="112"/>
      <c r="E326" s="112"/>
      <c r="F326" s="112"/>
      <c r="G326" s="112" t="s">
        <v>323</v>
      </c>
      <c r="H326" s="112"/>
      <c r="I326" s="112"/>
      <c r="J326" s="112"/>
      <c r="K326" s="112"/>
      <c r="P326" s="112" t="s">
        <v>323</v>
      </c>
      <c r="Q326" s="112">
        <f>IFERROR(VLOOKUP($A326,YTD!$A$13:$D$1048576,3,0),0)</f>
        <v>2047.06</v>
      </c>
      <c r="R326" s="112"/>
      <c r="S326" s="112"/>
      <c r="T326" s="112"/>
      <c r="U326" s="112" t="s">
        <v>323</v>
      </c>
      <c r="V326" s="112"/>
      <c r="W326" s="112"/>
      <c r="X326" s="112"/>
      <c r="Y326" s="112"/>
      <c r="Z326" s="279"/>
      <c r="AA326" s="279">
        <v>471.63</v>
      </c>
      <c r="AB326" s="279">
        <v>855.79</v>
      </c>
      <c r="AC326" s="279">
        <v>27.2</v>
      </c>
      <c r="AD326" s="279">
        <v>-0.52</v>
      </c>
      <c r="AE326" s="279">
        <v>-3.63</v>
      </c>
      <c r="AF326" s="279">
        <v>272.92</v>
      </c>
      <c r="AG326" s="112">
        <v>82.9</v>
      </c>
      <c r="AH326" s="112">
        <v>229.41</v>
      </c>
      <c r="AI326" s="112">
        <v>-10.32</v>
      </c>
      <c r="AJ326" s="112">
        <v>0</v>
      </c>
      <c r="AK326" s="112">
        <f t="shared" si="17"/>
        <v>114.75</v>
      </c>
    </row>
    <row r="327" spans="1:37" x14ac:dyDescent="0.3">
      <c r="A327" s="109" t="str">
        <f t="shared" si="16"/>
        <v>debitovh    6666091600  Garbage disposal charge</v>
      </c>
      <c r="B327" s="112" t="s">
        <v>327</v>
      </c>
      <c r="C327" s="279">
        <f>IFERROR(VLOOKUP($A327,MTD!$A$13:$D$1048576,3,0),0)</f>
        <v>5.18</v>
      </c>
      <c r="D327" s="112"/>
      <c r="E327" s="112"/>
      <c r="F327" s="112"/>
      <c r="G327" s="112" t="s">
        <v>327</v>
      </c>
      <c r="H327" s="112"/>
      <c r="I327" s="112"/>
      <c r="J327" s="112"/>
      <c r="K327" s="112"/>
      <c r="P327" s="112" t="s">
        <v>327</v>
      </c>
      <c r="Q327" s="112">
        <f>IFERROR(VLOOKUP($A327,YTD!$A$13:$D$1048576,3,0),0)</f>
        <v>49.08</v>
      </c>
      <c r="R327" s="112"/>
      <c r="S327" s="112"/>
      <c r="T327" s="112"/>
      <c r="U327" s="112" t="s">
        <v>327</v>
      </c>
      <c r="V327" s="112"/>
      <c r="W327" s="112"/>
      <c r="X327" s="112"/>
      <c r="Y327" s="112"/>
      <c r="Z327" s="279"/>
      <c r="AA327" s="279">
        <v>1.45</v>
      </c>
      <c r="AB327" s="279">
        <v>2.69</v>
      </c>
      <c r="AC327" s="279">
        <v>0</v>
      </c>
      <c r="AD327" s="279">
        <v>0</v>
      </c>
      <c r="AE327" s="279">
        <v>1.51</v>
      </c>
      <c r="AF327" s="279">
        <v>0</v>
      </c>
      <c r="AG327" s="112">
        <v>3.73</v>
      </c>
      <c r="AH327" s="112">
        <v>0</v>
      </c>
      <c r="AI327" s="112">
        <v>3.93</v>
      </c>
      <c r="AJ327" s="112">
        <v>3.39</v>
      </c>
      <c r="AK327" s="112">
        <f t="shared" si="17"/>
        <v>5.18</v>
      </c>
    </row>
    <row r="328" spans="1:37" x14ac:dyDescent="0.3">
      <c r="A328" s="109" t="str">
        <f t="shared" si="16"/>
        <v>debitovh*   CS_Semifix</v>
      </c>
      <c r="B328" s="117" t="s">
        <v>219</v>
      </c>
      <c r="C328" s="280">
        <f>IFERROR(VLOOKUP($A328,MTD!$A$13:$D$1048576,3,0),0)</f>
        <v>637.84</v>
      </c>
      <c r="D328" s="117"/>
      <c r="E328" s="117"/>
      <c r="F328" s="117"/>
      <c r="G328" s="117" t="s">
        <v>219</v>
      </c>
      <c r="H328" s="117"/>
      <c r="I328" s="117"/>
      <c r="J328" s="117"/>
      <c r="K328" s="117"/>
      <c r="P328" s="117" t="s">
        <v>219</v>
      </c>
      <c r="Q328" s="117">
        <f>IFERROR(VLOOKUP($A328,YTD!$A$13:$D$1048576,3,0),0)</f>
        <v>2912.75</v>
      </c>
      <c r="R328" s="117">
        <f>IFERROR(VLOOKUP($A328,YTD!$A$13:$D$1048576,4,0),0)</f>
        <v>0</v>
      </c>
      <c r="S328" s="117"/>
      <c r="T328" s="117"/>
      <c r="U328" s="117" t="s">
        <v>219</v>
      </c>
      <c r="V328" s="117"/>
      <c r="W328" s="117"/>
      <c r="X328" s="117"/>
      <c r="Y328" s="117"/>
      <c r="Z328" s="280">
        <v>280.44</v>
      </c>
      <c r="AA328" s="280">
        <v>-83.31</v>
      </c>
      <c r="AB328" s="280">
        <v>362.19</v>
      </c>
      <c r="AC328" s="280">
        <v>16.98</v>
      </c>
      <c r="AD328" s="280">
        <v>-151.68</v>
      </c>
      <c r="AE328" s="280">
        <v>531.45000000000005</v>
      </c>
      <c r="AF328" s="280">
        <v>-386.06</v>
      </c>
      <c r="AG328" s="117">
        <v>-186.72</v>
      </c>
      <c r="AH328" s="117">
        <v>992.15</v>
      </c>
      <c r="AI328" s="117">
        <v>17.21</v>
      </c>
      <c r="AJ328" s="117">
        <v>882.26</v>
      </c>
      <c r="AK328" s="117">
        <f t="shared" si="17"/>
        <v>637.84</v>
      </c>
    </row>
    <row r="329" spans="1:37" x14ac:dyDescent="0.3">
      <c r="A329" s="109" t="str">
        <f t="shared" si="16"/>
        <v>debitovh**  Debit</v>
      </c>
      <c r="B329" s="121" t="s">
        <v>330</v>
      </c>
      <c r="C329" s="281">
        <f>IFERROR(VLOOKUP($A329,MTD!$A$13:$D$1048576,3,0),0)</f>
        <v>-135958.73000000001</v>
      </c>
      <c r="D329" s="121"/>
      <c r="E329" s="121"/>
      <c r="F329" s="121"/>
      <c r="G329" s="121" t="s">
        <v>330</v>
      </c>
      <c r="H329" s="121"/>
      <c r="I329" s="121"/>
      <c r="J329" s="121"/>
      <c r="K329" s="121"/>
      <c r="P329" s="121" t="s">
        <v>330</v>
      </c>
      <c r="Q329" s="121">
        <f>IFERROR(VLOOKUP($A329,YTD!$A$13:$D$1048576,3,0),0)</f>
        <v>3113410.88</v>
      </c>
      <c r="R329" s="121">
        <f>IFERROR(VLOOKUP($A329,YTD!$A$13:$D$1048576,4,0),0)</f>
        <v>3738337.2</v>
      </c>
      <c r="S329" s="121"/>
      <c r="T329" s="121"/>
      <c r="U329" s="121" t="s">
        <v>330</v>
      </c>
      <c r="V329" s="121"/>
      <c r="W329" s="121"/>
      <c r="X329" s="121"/>
      <c r="Y329" s="121"/>
      <c r="Z329" s="425">
        <v>289582.3</v>
      </c>
      <c r="AA329" s="425">
        <v>355134.83</v>
      </c>
      <c r="AB329" s="425">
        <v>297322.5</v>
      </c>
      <c r="AC329" s="425">
        <v>264191.68</v>
      </c>
      <c r="AD329" s="425">
        <v>298717.94</v>
      </c>
      <c r="AE329" s="425">
        <v>281687.49</v>
      </c>
      <c r="AF329" s="425">
        <v>284409.78000000003</v>
      </c>
      <c r="AG329" s="425">
        <v>269045.75</v>
      </c>
      <c r="AH329" s="425">
        <v>313719.86</v>
      </c>
      <c r="AI329" s="425">
        <v>311760.45</v>
      </c>
      <c r="AJ329" s="425">
        <v>283797.03000000003</v>
      </c>
      <c r="AK329" s="121">
        <f t="shared" si="17"/>
        <v>-135958.73000000001</v>
      </c>
    </row>
    <row r="330" spans="1:37" x14ac:dyDescent="0.3">
      <c r="A330" s="109" t="str">
        <f t="shared" ref="A330:A333" si="18">"credit"&amp;"ovh"&amp;B330</f>
        <v>creditovh    600006      OVH Administrative</v>
      </c>
      <c r="B330" s="112" t="s">
        <v>329</v>
      </c>
      <c r="C330" s="279">
        <f>IFERROR(VLOOKUP($A330,MTD!$A$13:$D$1048576,3,0),0)</f>
        <v>135958.59</v>
      </c>
      <c r="D330" s="112"/>
      <c r="E330" s="112"/>
      <c r="F330" s="112"/>
      <c r="G330" s="112" t="s">
        <v>329</v>
      </c>
      <c r="H330" s="112"/>
      <c r="I330" s="112"/>
      <c r="J330" s="112"/>
      <c r="K330" s="112"/>
      <c r="P330" s="112" t="s">
        <v>329</v>
      </c>
      <c r="Q330" s="112">
        <f>IFERROR(VLOOKUP($A330,YTD!$A$13:$D$1048576,3,0),0)</f>
        <v>-3113518.86</v>
      </c>
      <c r="R330" s="112">
        <f>IFERROR(VLOOKUP($A330,YTD!$A$13:$D$1048576,4,0),0)</f>
        <v>-3738337.2</v>
      </c>
      <c r="S330" s="112"/>
      <c r="T330" s="112"/>
      <c r="U330" s="112" t="s">
        <v>329</v>
      </c>
      <c r="V330" s="112"/>
      <c r="W330" s="112"/>
      <c r="X330" s="112"/>
      <c r="Y330" s="112"/>
      <c r="Z330" s="426">
        <v>-289689.19</v>
      </c>
      <c r="AA330" s="426">
        <v>-355134.83</v>
      </c>
      <c r="AB330" s="426">
        <v>0</v>
      </c>
      <c r="AC330" s="426">
        <v>-264191.68</v>
      </c>
      <c r="AD330" s="426">
        <v>-298717.94</v>
      </c>
      <c r="AE330" s="426">
        <v>-281687.49</v>
      </c>
      <c r="AF330" s="426">
        <v>-284409.78000000003</v>
      </c>
      <c r="AG330" s="426">
        <v>-269045.75</v>
      </c>
      <c r="AH330" s="426">
        <v>-313719.86</v>
      </c>
      <c r="AI330" s="426">
        <v>-311760.45</v>
      </c>
      <c r="AJ330" s="426">
        <v>-283797.98</v>
      </c>
      <c r="AK330" s="112">
        <f t="shared" si="17"/>
        <v>135958.59</v>
      </c>
    </row>
    <row r="331" spans="1:37" x14ac:dyDescent="0.3">
      <c r="A331" s="109" t="str">
        <f t="shared" si="18"/>
        <v>creditovh*   CS_OVH_ADM</v>
      </c>
      <c r="B331" s="117" t="s">
        <v>220</v>
      </c>
      <c r="C331" s="280">
        <f>IFERROR(VLOOKUP($A331,MTD!$A$13:$D$1048576,3,0),0)</f>
        <v>135958.59</v>
      </c>
      <c r="D331" s="117"/>
      <c r="E331" s="117"/>
      <c r="F331" s="117"/>
      <c r="G331" s="117" t="s">
        <v>220</v>
      </c>
      <c r="H331" s="117"/>
      <c r="I331" s="117"/>
      <c r="J331" s="117"/>
      <c r="K331" s="117"/>
      <c r="P331" s="117" t="s">
        <v>220</v>
      </c>
      <c r="Q331" s="117">
        <f>IFERROR(VLOOKUP($A331,YTD!$A$13:$D$1048576,3,0),0)</f>
        <v>-3113518.86</v>
      </c>
      <c r="R331" s="117">
        <f>IFERROR(VLOOKUP($A331,YTD!$A$13:$D$1048576,4,0),0)</f>
        <v>-3738337.2</v>
      </c>
      <c r="S331" s="117"/>
      <c r="T331" s="117"/>
      <c r="U331" s="117" t="s">
        <v>220</v>
      </c>
      <c r="V331" s="117"/>
      <c r="W331" s="117"/>
      <c r="X331" s="117"/>
      <c r="Y331" s="117"/>
      <c r="Z331" s="427">
        <v>-289689.19</v>
      </c>
      <c r="AA331" s="427">
        <v>-355134.83</v>
      </c>
      <c r="AB331" s="427">
        <v>-297322.5</v>
      </c>
      <c r="AC331" s="427">
        <v>-264191.68</v>
      </c>
      <c r="AD331" s="427">
        <v>0</v>
      </c>
      <c r="AE331" s="427">
        <v>-281687.49</v>
      </c>
      <c r="AF331" s="427">
        <v>-284409.78000000003</v>
      </c>
      <c r="AG331" s="427">
        <v>-269045.75</v>
      </c>
      <c r="AH331" s="427">
        <v>-313719.86</v>
      </c>
      <c r="AI331" s="427">
        <v>-311760.45</v>
      </c>
      <c r="AJ331" s="427">
        <v>-283797.98</v>
      </c>
      <c r="AK331" s="117">
        <f t="shared" si="17"/>
        <v>135958.59</v>
      </c>
    </row>
    <row r="332" spans="1:37" x14ac:dyDescent="0.3">
      <c r="A332" s="109" t="str">
        <f t="shared" si="18"/>
        <v>creditovh**  Credit</v>
      </c>
      <c r="B332" s="121" t="s">
        <v>331</v>
      </c>
      <c r="C332" s="281">
        <f>IFERROR(VLOOKUP($A332,MTD!$A$13:$D$1048576,3,0),0)</f>
        <v>135958.59</v>
      </c>
      <c r="D332" s="121"/>
      <c r="E332" s="121"/>
      <c r="F332" s="121"/>
      <c r="G332" s="121" t="s">
        <v>331</v>
      </c>
      <c r="H332" s="121"/>
      <c r="I332" s="121"/>
      <c r="J332" s="121"/>
      <c r="K332" s="121"/>
      <c r="P332" s="121" t="s">
        <v>331</v>
      </c>
      <c r="Q332" s="121">
        <f>IFERROR(VLOOKUP($A332,YTD!$A$13:$D$1048576,3,0),0)</f>
        <v>-3113518.86</v>
      </c>
      <c r="R332" s="121">
        <f>IFERROR(VLOOKUP($A332,YTD!$A$13:$D$1048576,4,0),0)</f>
        <v>-3738337.2</v>
      </c>
      <c r="S332" s="121"/>
      <c r="T332" s="121"/>
      <c r="U332" s="121" t="s">
        <v>331</v>
      </c>
      <c r="V332" s="121"/>
      <c r="W332" s="121"/>
      <c r="X332" s="121"/>
      <c r="Y332" s="121"/>
      <c r="Z332" s="425">
        <v>-289689.19</v>
      </c>
      <c r="AA332" s="425">
        <v>-355134.83</v>
      </c>
      <c r="AB332" s="425">
        <v>-297322.5</v>
      </c>
      <c r="AC332" s="425">
        <v>-264191.68</v>
      </c>
      <c r="AD332" s="425">
        <v>0</v>
      </c>
      <c r="AE332" s="425">
        <v>-281687.49</v>
      </c>
      <c r="AF332" s="425">
        <v>-284409.78000000003</v>
      </c>
      <c r="AG332" s="425">
        <v>-269045.75</v>
      </c>
      <c r="AH332" s="425">
        <v>-313719.86</v>
      </c>
      <c r="AI332" s="425">
        <v>-311760.45</v>
      </c>
      <c r="AJ332" s="425">
        <v>-283797.98</v>
      </c>
      <c r="AK332" s="121">
        <f t="shared" si="17"/>
        <v>135958.59</v>
      </c>
    </row>
    <row r="333" spans="1:37" x14ac:dyDescent="0.3">
      <c r="A333" s="109" t="str">
        <f t="shared" si="18"/>
        <v>creditovh*** Over/Underabsorption</v>
      </c>
      <c r="B333" s="126" t="s">
        <v>332</v>
      </c>
      <c r="C333" s="282">
        <f>IFERROR(VLOOKUP($A333,MTD!$A$13:$D$1048576,3,0),0)</f>
        <v>-0.14000000000000001</v>
      </c>
      <c r="D333" s="126"/>
      <c r="E333" s="126"/>
      <c r="F333" s="126"/>
      <c r="G333" s="126" t="s">
        <v>332</v>
      </c>
      <c r="H333" s="126"/>
      <c r="I333" s="126"/>
      <c r="J333" s="126"/>
      <c r="K333" s="126"/>
      <c r="P333" s="126" t="s">
        <v>332</v>
      </c>
      <c r="Q333" s="126">
        <f>IFERROR(VLOOKUP($A333,YTD!$A$13:$D$1048576,3,0),0)</f>
        <v>-107.98</v>
      </c>
      <c r="R333" s="126">
        <f>IFERROR(VLOOKUP($A333,YTD!$A$13:$D$1048576,4,0),0)</f>
        <v>0</v>
      </c>
      <c r="S333" s="126"/>
      <c r="T333" s="126"/>
      <c r="U333" s="126" t="s">
        <v>332</v>
      </c>
      <c r="V333" s="126"/>
      <c r="W333" s="126"/>
      <c r="X333" s="126"/>
      <c r="Y333" s="126"/>
      <c r="Z333" s="428">
        <v>-106.89</v>
      </c>
      <c r="AA333" s="428">
        <v>0</v>
      </c>
      <c r="AB333" s="428">
        <v>0</v>
      </c>
      <c r="AC333" s="428">
        <v>0</v>
      </c>
      <c r="AD333" s="428">
        <v>0</v>
      </c>
      <c r="AE333" s="428">
        <v>0</v>
      </c>
      <c r="AF333" s="428">
        <v>0</v>
      </c>
      <c r="AG333" s="428">
        <v>0</v>
      </c>
      <c r="AH333" s="428">
        <v>0</v>
      </c>
      <c r="AI333" s="428">
        <v>0</v>
      </c>
      <c r="AJ333" s="428">
        <v>-0.95</v>
      </c>
      <c r="AK333" s="126">
        <f t="shared" si="17"/>
        <v>-0.14000000000000001</v>
      </c>
    </row>
  </sheetData>
  <autoFilter ref="B28:K256" xr:uid="{B1DA7A34-8FA8-4647-B9D7-2CD4573A1361}"/>
  <phoneticPr fontId="47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CCBAC-476A-48DF-82FF-049E04967503}">
  <sheetPr codeName="Sheet24">
    <tabColor rgb="FFFF0000"/>
  </sheetPr>
  <dimension ref="A1:M315"/>
  <sheetViews>
    <sheetView zoomScale="70" zoomScaleNormal="70" workbookViewId="0">
      <selection activeCell="C16" sqref="C16"/>
    </sheetView>
  </sheetViews>
  <sheetFormatPr defaultColWidth="8.77734375" defaultRowHeight="14.4" x14ac:dyDescent="0.3"/>
  <cols>
    <col min="1" max="1" width="62.77734375" style="109" bestFit="1" customWidth="1"/>
    <col min="2" max="2" width="60.44140625" style="109" bestFit="1" customWidth="1"/>
    <col min="3" max="3" width="20.44140625" style="109" bestFit="1" customWidth="1"/>
    <col min="4" max="4" width="21.21875" style="109" bestFit="1" customWidth="1"/>
    <col min="5" max="5" width="20.5546875" style="109" bestFit="1" customWidth="1"/>
    <col min="6" max="6" width="17.5546875" style="109" bestFit="1" customWidth="1"/>
    <col min="7" max="7" width="60.44140625" style="109" bestFit="1" customWidth="1"/>
    <col min="8" max="8" width="20.77734375" style="109" bestFit="1" customWidth="1"/>
    <col min="9" max="9" width="18.77734375" style="109" bestFit="1" customWidth="1"/>
    <col min="10" max="10" width="20.5546875" style="109" bestFit="1" customWidth="1"/>
    <col min="11" max="11" width="17.5546875" style="109" bestFit="1" customWidth="1"/>
    <col min="12" max="12" width="69" bestFit="1" customWidth="1"/>
    <col min="13" max="13" width="60.44140625" bestFit="1" customWidth="1"/>
  </cols>
  <sheetData>
    <row r="1" spans="1:13" x14ac:dyDescent="0.3">
      <c r="B1" s="108" t="s">
        <v>345</v>
      </c>
    </row>
    <row r="2" spans="1:13" x14ac:dyDescent="0.3">
      <c r="B2" s="108" t="s">
        <v>346</v>
      </c>
    </row>
    <row r="3" spans="1:13" x14ac:dyDescent="0.3">
      <c r="B3" s="108" t="s">
        <v>347</v>
      </c>
    </row>
    <row r="4" spans="1:13" x14ac:dyDescent="0.3">
      <c r="B4" s="108" t="s">
        <v>348</v>
      </c>
    </row>
    <row r="5" spans="1:13" x14ac:dyDescent="0.3">
      <c r="B5" s="108" t="s">
        <v>349</v>
      </c>
    </row>
    <row r="6" spans="1:13" x14ac:dyDescent="0.3">
      <c r="B6" s="108" t="s">
        <v>362</v>
      </c>
    </row>
    <row r="7" spans="1:13" x14ac:dyDescent="0.3">
      <c r="B7" s="108" t="s">
        <v>351</v>
      </c>
    </row>
    <row r="8" spans="1:13" x14ac:dyDescent="0.3">
      <c r="B8" s="108" t="s">
        <v>352</v>
      </c>
    </row>
    <row r="9" spans="1:13" x14ac:dyDescent="0.3">
      <c r="B9" s="108" t="s">
        <v>353</v>
      </c>
    </row>
    <row r="10" spans="1:13" x14ac:dyDescent="0.3">
      <c r="B10" s="108" t="s">
        <v>354</v>
      </c>
    </row>
    <row r="11" spans="1:13" x14ac:dyDescent="0.3">
      <c r="B11" s="108"/>
    </row>
    <row r="13" spans="1:13" x14ac:dyDescent="0.3">
      <c r="B13" s="110" t="s">
        <v>166</v>
      </c>
      <c r="C13" s="111" t="s">
        <v>171</v>
      </c>
      <c r="D13" s="111" t="s">
        <v>168</v>
      </c>
      <c r="E13" s="111" t="s">
        <v>221</v>
      </c>
      <c r="F13" s="111" t="s">
        <v>222</v>
      </c>
      <c r="G13" s="110" t="s">
        <v>166</v>
      </c>
      <c r="H13" s="111" t="s">
        <v>223</v>
      </c>
      <c r="I13" s="111" t="s">
        <v>224</v>
      </c>
      <c r="J13" s="111" t="s">
        <v>221</v>
      </c>
      <c r="K13" s="111" t="s">
        <v>222</v>
      </c>
      <c r="L13" s="156" t="s">
        <v>363</v>
      </c>
    </row>
    <row r="14" spans="1:13" x14ac:dyDescent="0.3">
      <c r="A14" s="109" t="str">
        <f>"debit"&amp;B14</f>
        <v>debit    6666110101  Depreciation of buildings</v>
      </c>
      <c r="B14" s="112" t="s">
        <v>225</v>
      </c>
      <c r="C14" s="113">
        <v>46969.19</v>
      </c>
      <c r="D14" s="113">
        <v>330497.21000000002</v>
      </c>
      <c r="E14" s="113">
        <v>-283528.02</v>
      </c>
      <c r="F14" s="113">
        <v>-85.788300000000007</v>
      </c>
      <c r="G14" s="112" t="s">
        <v>225</v>
      </c>
      <c r="H14" s="114">
        <v>0</v>
      </c>
      <c r="I14" s="114">
        <v>0</v>
      </c>
      <c r="J14" s="115">
        <v>0</v>
      </c>
      <c r="K14" s="113">
        <v>0</v>
      </c>
      <c r="L14" t="str">
        <f>VLOOKUP(A14,'SAP Actual extraction'!$A$28:$A$1048576,1,0)</f>
        <v>debit    6666110101  Depreciation of buildings</v>
      </c>
      <c r="M14" t="str">
        <f>VLOOKUP(B14,'SAP Actual extraction'!B:B,1,0)</f>
        <v xml:space="preserve">    6666110101  Depreciation of buildings</v>
      </c>
    </row>
    <row r="15" spans="1:13" x14ac:dyDescent="0.3">
      <c r="A15" s="109" t="str">
        <f>"debit"&amp;B15</f>
        <v>debit    6666110107  Depreciation of mold　</v>
      </c>
      <c r="B15" s="112" t="s">
        <v>227</v>
      </c>
      <c r="C15" s="113">
        <v>177796.77</v>
      </c>
      <c r="D15" s="116">
        <v>0</v>
      </c>
      <c r="E15" s="113">
        <v>177796.77</v>
      </c>
      <c r="F15" s="113">
        <v>0</v>
      </c>
      <c r="G15" s="112" t="s">
        <v>227</v>
      </c>
      <c r="H15" s="114">
        <v>0</v>
      </c>
      <c r="I15" s="114">
        <v>0</v>
      </c>
      <c r="J15" s="115">
        <v>0</v>
      </c>
      <c r="K15" s="113">
        <v>0</v>
      </c>
      <c r="L15" t="str">
        <f>VLOOKUP(A15,'SAP Actual extraction'!$A$28:$A$1048576,1,0)</f>
        <v>debit    6666110107  Depreciation of mold　</v>
      </c>
      <c r="M15" t="str">
        <f>VLOOKUP(B15,'SAP Actual extraction'!B:B,1,0)</f>
        <v xml:space="preserve">    6666110107  Depreciation of mold　</v>
      </c>
    </row>
    <row r="16" spans="1:13" x14ac:dyDescent="0.3">
      <c r="A16" s="109" t="str">
        <f t="shared" ref="A16:A79" si="0">"debit"&amp;B16</f>
        <v>debit    6666110110  Depreciation-Plant &amp; Machinery</v>
      </c>
      <c r="B16" s="112" t="s">
        <v>228</v>
      </c>
      <c r="C16" s="113">
        <v>249195.66</v>
      </c>
      <c r="D16" s="116">
        <v>0</v>
      </c>
      <c r="E16" s="113">
        <v>249195.66</v>
      </c>
      <c r="F16" s="113">
        <v>0</v>
      </c>
      <c r="G16" s="112" t="s">
        <v>228</v>
      </c>
      <c r="H16" s="114">
        <v>0</v>
      </c>
      <c r="I16" s="114">
        <v>0</v>
      </c>
      <c r="J16" s="115">
        <v>0</v>
      </c>
      <c r="K16" s="113">
        <v>0</v>
      </c>
      <c r="L16" t="str">
        <f>VLOOKUP(A16,'SAP Actual extraction'!$A$28:$A$1048576,1,0)</f>
        <v>debit    6666110110  Depreciation-Plant &amp; Machinery</v>
      </c>
      <c r="M16" t="str">
        <f>VLOOKUP(B16,'SAP Actual extraction'!B:B,1,0)</f>
        <v xml:space="preserve">    6666110110  Depreciation-Plant &amp; Machinery</v>
      </c>
    </row>
    <row r="17" spans="1:13" x14ac:dyDescent="0.3">
      <c r="A17" s="109" t="str">
        <f t="shared" si="0"/>
        <v>debit    6666110112  Depreciation of Furniture &amp; Fixture</v>
      </c>
      <c r="B17" s="112" t="s">
        <v>229</v>
      </c>
      <c r="C17" s="113">
        <v>19898.27</v>
      </c>
      <c r="D17" s="116">
        <v>0</v>
      </c>
      <c r="E17" s="113">
        <v>19898.27</v>
      </c>
      <c r="F17" s="113">
        <v>0</v>
      </c>
      <c r="G17" s="112" t="s">
        <v>229</v>
      </c>
      <c r="H17" s="114">
        <v>0</v>
      </c>
      <c r="I17" s="114">
        <v>0</v>
      </c>
      <c r="J17" s="115">
        <v>0</v>
      </c>
      <c r="K17" s="113">
        <v>0</v>
      </c>
      <c r="L17" t="str">
        <f>VLOOKUP(A17,'SAP Actual extraction'!$A$28:$A$1048576,1,0)</f>
        <v>debit    6666110112  Depreciation of Furniture &amp; Fixture</v>
      </c>
      <c r="M17" t="str">
        <f>VLOOKUP(B17,'SAP Actual extraction'!B:B,1,0)</f>
        <v xml:space="preserve">    6666110112  Depreciation of Furniture &amp; Fixture</v>
      </c>
    </row>
    <row r="18" spans="1:13" x14ac:dyDescent="0.3">
      <c r="A18" s="109" t="str">
        <f t="shared" si="0"/>
        <v>debit    6666110204  Amortization of license, trademarks and</v>
      </c>
      <c r="B18" s="112" t="s">
        <v>230</v>
      </c>
      <c r="C18" s="113">
        <v>505.04</v>
      </c>
      <c r="D18" s="116">
        <v>0</v>
      </c>
      <c r="E18" s="113">
        <v>505.04</v>
      </c>
      <c r="F18" s="113">
        <v>0</v>
      </c>
      <c r="G18" s="112" t="s">
        <v>230</v>
      </c>
      <c r="H18" s="114">
        <v>0</v>
      </c>
      <c r="I18" s="114">
        <v>0</v>
      </c>
      <c r="J18" s="115">
        <v>0</v>
      </c>
      <c r="K18" s="113">
        <v>0</v>
      </c>
      <c r="L18" t="str">
        <f>VLOOKUP(A18,'SAP Actual extraction'!$A$28:$A$1048576,1,0)</f>
        <v>debit    6666110204  Amortization of license, trademarks and</v>
      </c>
      <c r="M18" t="str">
        <f>VLOOKUP(B18,'SAP Actual extraction'!B:B,1,0)</f>
        <v xml:space="preserve">    6666110204  Amortization of license, trademarks and</v>
      </c>
    </row>
    <row r="19" spans="1:13" x14ac:dyDescent="0.3">
      <c r="A19" s="109" t="str">
        <f t="shared" si="0"/>
        <v>debit    6666110207  Amortization of Software</v>
      </c>
      <c r="B19" s="112" t="s">
        <v>231</v>
      </c>
      <c r="C19" s="113">
        <v>13848.17</v>
      </c>
      <c r="D19" s="116">
        <v>0</v>
      </c>
      <c r="E19" s="113">
        <v>13848.17</v>
      </c>
      <c r="F19" s="113">
        <v>0</v>
      </c>
      <c r="G19" s="112" t="s">
        <v>231</v>
      </c>
      <c r="H19" s="114">
        <v>0</v>
      </c>
      <c r="I19" s="114">
        <v>0</v>
      </c>
      <c r="J19" s="115">
        <v>0</v>
      </c>
      <c r="K19" s="113">
        <v>0</v>
      </c>
      <c r="L19" t="str">
        <f>VLOOKUP(A19,'SAP Actual extraction'!$A$28:$A$1048576,1,0)</f>
        <v>debit    6666110207  Amortization of Software</v>
      </c>
      <c r="M19" t="str">
        <f>VLOOKUP(B19,'SAP Actual extraction'!B:B,1,0)</f>
        <v xml:space="preserve">    6666110207  Amortization of Software</v>
      </c>
    </row>
    <row r="20" spans="1:13" x14ac:dyDescent="0.3">
      <c r="A20" s="109" t="str">
        <f t="shared" si="0"/>
        <v>debit    6666110506  Amortization-Leasehold Improvement</v>
      </c>
      <c r="B20" s="112" t="s">
        <v>232</v>
      </c>
      <c r="C20" s="113">
        <v>350.02</v>
      </c>
      <c r="D20" s="116">
        <v>0</v>
      </c>
      <c r="E20" s="113">
        <v>350.02</v>
      </c>
      <c r="F20" s="113">
        <v>0</v>
      </c>
      <c r="G20" s="112" t="s">
        <v>232</v>
      </c>
      <c r="H20" s="114">
        <v>0</v>
      </c>
      <c r="I20" s="114">
        <v>0</v>
      </c>
      <c r="J20" s="115">
        <v>0</v>
      </c>
      <c r="K20" s="113">
        <v>0</v>
      </c>
      <c r="L20" t="str">
        <f>VLOOKUP(A20,'SAP Actual extraction'!$A$28:$A$1048576,1,0)</f>
        <v>debit    6666110506  Amortization-Leasehold Improvement</v>
      </c>
      <c r="M20" t="str">
        <f>VLOOKUP(B20,'SAP Actual extraction'!B:B,1,0)</f>
        <v xml:space="preserve">    6666110506  Amortization-Leasehold Improvement</v>
      </c>
    </row>
    <row r="21" spans="1:13" x14ac:dyDescent="0.3">
      <c r="A21" s="109" t="str">
        <f t="shared" si="0"/>
        <v>debit*   CS_Depreciation</v>
      </c>
      <c r="B21" s="117" t="s">
        <v>207</v>
      </c>
      <c r="C21" s="118">
        <v>508563.12</v>
      </c>
      <c r="D21" s="118">
        <v>330497.21000000002</v>
      </c>
      <c r="E21" s="118">
        <v>178065.91</v>
      </c>
      <c r="F21" s="118">
        <v>53.8782</v>
      </c>
      <c r="G21" s="117" t="s">
        <v>207</v>
      </c>
      <c r="H21" s="119">
        <v>0</v>
      </c>
      <c r="I21" s="119">
        <v>0</v>
      </c>
      <c r="J21" s="120">
        <v>0</v>
      </c>
      <c r="K21" s="118">
        <v>0</v>
      </c>
      <c r="L21" t="str">
        <f>VLOOKUP(A21,'SAP Actual extraction'!$A$28:$A$1048576,1,0)</f>
        <v>debit*   CS_Depreciation</v>
      </c>
      <c r="M21" t="str">
        <f>VLOOKUP(B21,'SAP Actual extraction'!B:B,1,0)</f>
        <v>*   CS_Depreciation</v>
      </c>
    </row>
    <row r="22" spans="1:13" x14ac:dyDescent="0.3">
      <c r="A22" s="109" t="str">
        <f t="shared" si="0"/>
        <v>debit    5001010205  Unemployment Insurance -blue collar-Dire</v>
      </c>
      <c r="B22" s="112" t="s">
        <v>233</v>
      </c>
      <c r="C22" s="113">
        <v>11595.25</v>
      </c>
      <c r="D22" s="116">
        <v>0</v>
      </c>
      <c r="E22" s="113">
        <v>11595.25</v>
      </c>
      <c r="F22" s="113">
        <v>0</v>
      </c>
      <c r="G22" s="112" t="s">
        <v>233</v>
      </c>
      <c r="H22" s="114">
        <v>0</v>
      </c>
      <c r="I22" s="114">
        <v>0</v>
      </c>
      <c r="J22" s="115">
        <v>0</v>
      </c>
      <c r="K22" s="113">
        <v>0</v>
      </c>
      <c r="L22" t="str">
        <f>VLOOKUP(A22,'SAP Actual extraction'!$A$28:$A$1048576,1,0)</f>
        <v>debit    5001010205  Unemployment Insurance -blue collar-Dire</v>
      </c>
      <c r="M22" t="str">
        <f>VLOOKUP(B22,'SAP Actual extraction'!B:B,1,0)</f>
        <v xml:space="preserve">    5001010205  Unemployment Insurance -blue collar-Dire</v>
      </c>
    </row>
    <row r="23" spans="1:13" x14ac:dyDescent="0.3">
      <c r="A23" s="109" t="str">
        <f t="shared" si="0"/>
        <v>debit    6666010380  Incentive</v>
      </c>
      <c r="B23" s="112" t="s">
        <v>234</v>
      </c>
      <c r="C23" s="113">
        <v>6772.56</v>
      </c>
      <c r="D23" s="116">
        <v>0</v>
      </c>
      <c r="E23" s="113">
        <v>6772.56</v>
      </c>
      <c r="F23" s="113">
        <v>0</v>
      </c>
      <c r="G23" s="112" t="s">
        <v>234</v>
      </c>
      <c r="H23" s="114">
        <v>0</v>
      </c>
      <c r="I23" s="114">
        <v>0</v>
      </c>
      <c r="J23" s="115">
        <v>0</v>
      </c>
      <c r="K23" s="113">
        <v>0</v>
      </c>
      <c r="L23" t="str">
        <f>VLOOKUP(A23,'SAP Actual extraction'!$A$28:$A$1048576,1,0)</f>
        <v>debit    6666010380  Incentive</v>
      </c>
      <c r="M23" t="str">
        <f>VLOOKUP(B23,'SAP Actual extraction'!B:B,1,0)</f>
        <v xml:space="preserve">    6666010380  Incentive</v>
      </c>
    </row>
    <row r="24" spans="1:13" x14ac:dyDescent="0.3">
      <c r="A24" s="109" t="str">
        <f t="shared" si="0"/>
        <v>debit    6666010019  Payroll Taxes - Blue Collar Direct</v>
      </c>
      <c r="B24" s="112" t="s">
        <v>235</v>
      </c>
      <c r="C24" s="113">
        <v>91781.58</v>
      </c>
      <c r="D24" s="116">
        <v>0</v>
      </c>
      <c r="E24" s="113">
        <v>91781.58</v>
      </c>
      <c r="F24" s="113">
        <v>0</v>
      </c>
      <c r="G24" s="112" t="s">
        <v>235</v>
      </c>
      <c r="H24" s="114">
        <v>0</v>
      </c>
      <c r="I24" s="114">
        <v>0</v>
      </c>
      <c r="J24" s="115">
        <v>0</v>
      </c>
      <c r="K24" s="113">
        <v>0</v>
      </c>
      <c r="L24" t="str">
        <f>VLOOKUP(A24,'SAP Actual extraction'!$A$28:$A$1048576,1,0)</f>
        <v>debit    6666010019  Payroll Taxes - Blue Collar Direct</v>
      </c>
      <c r="M24" t="str">
        <f>VLOOKUP(B24,'SAP Actual extraction'!B:B,1,0)</f>
        <v xml:space="preserve">    6666010019  Payroll Taxes - Blue Collar Direct</v>
      </c>
    </row>
    <row r="25" spans="1:13" x14ac:dyDescent="0.3">
      <c r="A25" s="109" t="str">
        <f t="shared" si="0"/>
        <v>debit    6666010183  Overtime-Blue Collar-Direct</v>
      </c>
      <c r="B25" s="112" t="s">
        <v>236</v>
      </c>
      <c r="C25" s="113">
        <v>23427.23</v>
      </c>
      <c r="D25" s="116">
        <v>0</v>
      </c>
      <c r="E25" s="113">
        <v>23427.23</v>
      </c>
      <c r="F25" s="113">
        <v>0</v>
      </c>
      <c r="G25" s="112" t="s">
        <v>236</v>
      </c>
      <c r="H25" s="114">
        <v>0</v>
      </c>
      <c r="I25" s="114">
        <v>0</v>
      </c>
      <c r="J25" s="115">
        <v>0</v>
      </c>
      <c r="K25" s="113">
        <v>0</v>
      </c>
      <c r="L25" t="str">
        <f>VLOOKUP(A25,'SAP Actual extraction'!$A$28:$A$1048576,1,0)</f>
        <v>debit    6666010183  Overtime-Blue Collar-Direct</v>
      </c>
      <c r="M25" t="str">
        <f>VLOOKUP(B25,'SAP Actual extraction'!B:B,1,0)</f>
        <v xml:space="preserve">    6666010183  Overtime-Blue Collar-Direct</v>
      </c>
    </row>
    <row r="26" spans="1:13" x14ac:dyDescent="0.3">
      <c r="A26" s="109" t="str">
        <f t="shared" si="0"/>
        <v>debit    6666010229  Staff Leaving Indemnity - Blue Collar Di</v>
      </c>
      <c r="B26" s="112" t="s">
        <v>237</v>
      </c>
      <c r="C26" s="113">
        <v>25050.12</v>
      </c>
      <c r="D26" s="116">
        <v>0</v>
      </c>
      <c r="E26" s="113">
        <v>25050.12</v>
      </c>
      <c r="F26" s="113">
        <v>0</v>
      </c>
      <c r="G26" s="112" t="s">
        <v>237</v>
      </c>
      <c r="H26" s="114">
        <v>0</v>
      </c>
      <c r="I26" s="114">
        <v>0</v>
      </c>
      <c r="J26" s="115">
        <v>0</v>
      </c>
      <c r="K26" s="113">
        <v>0</v>
      </c>
      <c r="L26" t="str">
        <f>VLOOKUP(A26,'SAP Actual extraction'!$A$28:$A$1048576,1,0)</f>
        <v>debit    6666010229  Staff Leaving Indemnity - Blue Collar Di</v>
      </c>
      <c r="M26" t="str">
        <f>VLOOKUP(B26,'SAP Actual extraction'!B:B,1,0)</f>
        <v xml:space="preserve">    6666010229  Staff Leaving Indemnity - Blue Collar Di</v>
      </c>
    </row>
    <row r="27" spans="1:13" x14ac:dyDescent="0.3">
      <c r="A27" s="109" t="str">
        <f t="shared" si="0"/>
        <v>debit    6666010188  Salary - Blue collar direct employees</v>
      </c>
      <c r="B27" s="112" t="s">
        <v>238</v>
      </c>
      <c r="C27" s="113">
        <v>689710.27</v>
      </c>
      <c r="D27" s="113">
        <v>948977.55</v>
      </c>
      <c r="E27" s="113">
        <v>-259267.28</v>
      </c>
      <c r="F27" s="113">
        <v>-27.320699999999999</v>
      </c>
      <c r="G27" s="112" t="s">
        <v>238</v>
      </c>
      <c r="H27" s="114">
        <v>0</v>
      </c>
      <c r="I27" s="114">
        <v>0</v>
      </c>
      <c r="J27" s="115">
        <v>0</v>
      </c>
      <c r="K27" s="113">
        <v>0</v>
      </c>
      <c r="L27" t="str">
        <f>VLOOKUP(A27,'SAP Actual extraction'!$A$28:$A$1048576,1,0)</f>
        <v>debit    6666010188  Salary - Blue collar direct employees</v>
      </c>
      <c r="M27" t="str">
        <f>VLOOKUP(B27,'SAP Actual extraction'!B:B,1,0)</f>
        <v xml:space="preserve">    6666010188  Salary - Blue collar direct employees</v>
      </c>
    </row>
    <row r="28" spans="1:13" x14ac:dyDescent="0.3">
      <c r="A28" s="109" t="str">
        <f t="shared" si="0"/>
        <v>debit    5102040406  Other revenue-Service/Secondment agreeme</v>
      </c>
      <c r="B28" s="112" t="s">
        <v>239</v>
      </c>
      <c r="C28" s="116">
        <v>0</v>
      </c>
      <c r="D28" s="116">
        <v>0</v>
      </c>
      <c r="E28" s="113">
        <v>0</v>
      </c>
      <c r="F28" s="113">
        <v>0</v>
      </c>
      <c r="G28" s="112" t="s">
        <v>239</v>
      </c>
      <c r="H28" s="114">
        <v>0</v>
      </c>
      <c r="I28" s="114">
        <v>0</v>
      </c>
      <c r="J28" s="115">
        <v>0</v>
      </c>
      <c r="K28" s="113">
        <v>0</v>
      </c>
      <c r="L28" t="str">
        <f>VLOOKUP(A28,'SAP Actual extraction'!$A$28:$A$1048576,1,0)</f>
        <v>debit    5102040406  Other revenue-Service/Secondment agreeme</v>
      </c>
      <c r="M28" t="str">
        <f>VLOOKUP(B28,'SAP Actual extraction'!B:B,1,0)</f>
        <v xml:space="preserve">    5102040406  Other revenue-Service/Secondment agreeme</v>
      </c>
    </row>
    <row r="29" spans="1:13" x14ac:dyDescent="0.3">
      <c r="A29" s="109" t="str">
        <f t="shared" si="0"/>
        <v>debit    6666010115  Salary-Blue collar direct employees-Accr</v>
      </c>
      <c r="B29" s="112" t="s">
        <v>240</v>
      </c>
      <c r="C29" s="113">
        <v>-84906.27</v>
      </c>
      <c r="D29" s="116">
        <v>0</v>
      </c>
      <c r="E29" s="113">
        <v>-84906.27</v>
      </c>
      <c r="F29" s="113">
        <v>0</v>
      </c>
      <c r="G29" s="112" t="s">
        <v>240</v>
      </c>
      <c r="H29" s="114">
        <v>0</v>
      </c>
      <c r="I29" s="114">
        <v>0</v>
      </c>
      <c r="J29" s="115">
        <v>0</v>
      </c>
      <c r="K29" s="113">
        <v>0</v>
      </c>
      <c r="L29" t="str">
        <f>VLOOKUP(A29,'SAP Actual extraction'!$A$28:$A$1048576,1,0)</f>
        <v>debit    6666010115  Salary-Blue collar direct employees-Accr</v>
      </c>
      <c r="M29" t="str">
        <f>VLOOKUP(B29,'SAP Actual extraction'!B:B,1,0)</f>
        <v xml:space="preserve">    6666010115  Salary-Blue collar direct employees-Accr</v>
      </c>
    </row>
    <row r="30" spans="1:13" x14ac:dyDescent="0.3">
      <c r="A30" s="109" t="str">
        <f t="shared" si="0"/>
        <v>debit*   CS_Direct Labour</v>
      </c>
      <c r="B30" s="117" t="s">
        <v>208</v>
      </c>
      <c r="C30" s="118">
        <v>763430.74</v>
      </c>
      <c r="D30" s="118">
        <v>948977.55</v>
      </c>
      <c r="E30" s="118">
        <v>-185546.81</v>
      </c>
      <c r="F30" s="118">
        <v>-19.552299999999999</v>
      </c>
      <c r="G30" s="117" t="s">
        <v>208</v>
      </c>
      <c r="H30" s="119">
        <v>0</v>
      </c>
      <c r="I30" s="119">
        <v>0</v>
      </c>
      <c r="J30" s="120">
        <v>0</v>
      </c>
      <c r="K30" s="118">
        <v>0</v>
      </c>
      <c r="L30" t="str">
        <f>VLOOKUP(A30,'SAP Actual extraction'!$A$28:$A$1048576,1,0)</f>
        <v>debit*   CS_Direct Labour</v>
      </c>
      <c r="M30" t="str">
        <f>VLOOKUP(B30,'SAP Actual extraction'!B:B,1,0)</f>
        <v>*   CS_Direct Labour</v>
      </c>
    </row>
    <row r="31" spans="1:13" x14ac:dyDescent="0.3">
      <c r="A31" s="109" t="str">
        <f t="shared" si="0"/>
        <v>debit    8701530201  Scrap-Raw&amp;#160;Material - Managerial</v>
      </c>
      <c r="B31" s="112" t="s">
        <v>241</v>
      </c>
      <c r="C31" s="116">
        <v>0</v>
      </c>
      <c r="D31" s="113">
        <v>77644.7</v>
      </c>
      <c r="E31" s="113">
        <v>-77644.7</v>
      </c>
      <c r="F31" s="113">
        <v>-100</v>
      </c>
      <c r="G31" s="112" t="s">
        <v>241</v>
      </c>
      <c r="H31" s="114">
        <v>0</v>
      </c>
      <c r="I31" s="114">
        <v>0</v>
      </c>
      <c r="J31" s="115">
        <v>0</v>
      </c>
      <c r="K31" s="113">
        <v>0</v>
      </c>
      <c r="L31" t="str">
        <f>VLOOKUP(A31,'SAP Actual extraction'!$A$28:$A$1048576,1,0)</f>
        <v>debit    8701530201  Scrap-Raw&amp;#160;Material - Managerial</v>
      </c>
      <c r="M31" t="str">
        <f>VLOOKUP(B31,'SAP Actual extraction'!B:B,1,0)</f>
        <v xml:space="preserve">    8701530201  Scrap-Raw&amp;#160;Material - Managerial</v>
      </c>
    </row>
    <row r="32" spans="1:13" x14ac:dyDescent="0.3">
      <c r="A32" s="109" t="str">
        <f t="shared" si="0"/>
        <v>debit    6666050309  SFG scrap</v>
      </c>
      <c r="B32" s="112" t="s">
        <v>242</v>
      </c>
      <c r="C32" s="113">
        <v>41331.019999999997</v>
      </c>
      <c r="D32" s="116">
        <v>0</v>
      </c>
      <c r="E32" s="113">
        <v>41331.019999999997</v>
      </c>
      <c r="F32" s="113">
        <v>0</v>
      </c>
      <c r="G32" s="112" t="s">
        <v>242</v>
      </c>
      <c r="H32" s="114">
        <v>0</v>
      </c>
      <c r="I32" s="114">
        <v>0</v>
      </c>
      <c r="J32" s="115">
        <v>0</v>
      </c>
      <c r="K32" s="113">
        <v>0</v>
      </c>
      <c r="L32" t="str">
        <f>VLOOKUP(A32,'SAP Actual extraction'!$A$28:$A$1048576,1,0)</f>
        <v>debit    6666050309  SFG scrap</v>
      </c>
      <c r="M32" t="str">
        <f>VLOOKUP(B32,'SAP Actual extraction'!B:B,1,0)</f>
        <v xml:space="preserve">    6666050309  SFG scrap</v>
      </c>
    </row>
    <row r="33" spans="1:13" x14ac:dyDescent="0.3">
      <c r="A33" s="109" t="str">
        <f t="shared" si="0"/>
        <v>debit    6666050308  Raw material scrap</v>
      </c>
      <c r="B33" s="112" t="s">
        <v>243</v>
      </c>
      <c r="C33" s="113">
        <v>11211.37</v>
      </c>
      <c r="D33" s="116">
        <v>0</v>
      </c>
      <c r="E33" s="113">
        <v>11211.37</v>
      </c>
      <c r="F33" s="113">
        <v>0</v>
      </c>
      <c r="G33" s="112" t="s">
        <v>243</v>
      </c>
      <c r="H33" s="114">
        <v>0</v>
      </c>
      <c r="I33" s="114">
        <v>0</v>
      </c>
      <c r="J33" s="115">
        <v>0</v>
      </c>
      <c r="K33" s="113">
        <v>0</v>
      </c>
      <c r="L33" t="str">
        <f>VLOOKUP(A33,'SAP Actual extraction'!$A$28:$A$1048576,1,0)</f>
        <v>debit    6666050308  Raw material scrap</v>
      </c>
      <c r="M33" t="str">
        <f>VLOOKUP(B33,'SAP Actual extraction'!B:B,1,0)</f>
        <v xml:space="preserve">    6666050308  Raw material scrap</v>
      </c>
    </row>
    <row r="34" spans="1:13" x14ac:dyDescent="0.3">
      <c r="A34" s="109" t="str">
        <f t="shared" si="0"/>
        <v>debit    6666050306  Finished goods scrap</v>
      </c>
      <c r="B34" s="112" t="s">
        <v>244</v>
      </c>
      <c r="C34" s="113">
        <v>-166</v>
      </c>
      <c r="D34" s="116">
        <v>0</v>
      </c>
      <c r="E34" s="113">
        <v>-166</v>
      </c>
      <c r="F34" s="113">
        <v>0</v>
      </c>
      <c r="G34" s="112" t="s">
        <v>244</v>
      </c>
      <c r="H34" s="114">
        <v>0</v>
      </c>
      <c r="I34" s="114">
        <v>0</v>
      </c>
      <c r="J34" s="115">
        <v>0</v>
      </c>
      <c r="K34" s="113">
        <v>0</v>
      </c>
      <c r="L34" t="str">
        <f>VLOOKUP(A34,'SAP Actual extraction'!$A$28:$A$1048576,1,0)</f>
        <v>debit    6666050306  Finished goods scrap</v>
      </c>
      <c r="M34" t="str">
        <f>VLOOKUP(B34,'SAP Actual extraction'!B:B,1,0)</f>
        <v xml:space="preserve">    6666050306  Finished goods scrap</v>
      </c>
    </row>
    <row r="35" spans="1:13" x14ac:dyDescent="0.3">
      <c r="A35" s="109" t="str">
        <f t="shared" si="0"/>
        <v>debit*   CS_SCRAP_VARIABLE</v>
      </c>
      <c r="B35" s="117" t="s">
        <v>209</v>
      </c>
      <c r="C35" s="118">
        <v>52376.39</v>
      </c>
      <c r="D35" s="118">
        <v>77644.7</v>
      </c>
      <c r="E35" s="118">
        <v>-25268.31</v>
      </c>
      <c r="F35" s="118">
        <v>-32.543500000000002</v>
      </c>
      <c r="G35" s="117" t="s">
        <v>209</v>
      </c>
      <c r="H35" s="119">
        <v>0</v>
      </c>
      <c r="I35" s="119">
        <v>0</v>
      </c>
      <c r="J35" s="120">
        <v>0</v>
      </c>
      <c r="K35" s="118">
        <v>0</v>
      </c>
      <c r="L35" t="str">
        <f>VLOOKUP(A35,'SAP Actual extraction'!$A$28:$A$1048576,1,0)</f>
        <v>debit*   CS_SCRAP_VARIABLE</v>
      </c>
      <c r="M35" t="str">
        <f>VLOOKUP(B35,'SAP Actual extraction'!B:B,1,0)</f>
        <v>*   CS_SCRAP_VARIABLE</v>
      </c>
    </row>
    <row r="36" spans="1:13" x14ac:dyDescent="0.3">
      <c r="A36" s="109" t="str">
        <f t="shared" si="0"/>
        <v>debit    6666029996  Non-deductible expense-travel.</v>
      </c>
      <c r="B36" s="112" t="s">
        <v>246</v>
      </c>
      <c r="C36" s="113">
        <v>349.22</v>
      </c>
      <c r="D36" s="116">
        <v>0</v>
      </c>
      <c r="E36" s="113">
        <v>349.22</v>
      </c>
      <c r="F36" s="113">
        <v>0</v>
      </c>
      <c r="G36" s="112" t="s">
        <v>246</v>
      </c>
      <c r="H36" s="114">
        <v>0</v>
      </c>
      <c r="I36" s="114">
        <v>0</v>
      </c>
      <c r="J36" s="115">
        <v>0</v>
      </c>
      <c r="K36" s="113">
        <v>0</v>
      </c>
      <c r="L36" t="str">
        <f>VLOOKUP(A36,'SAP Actual extraction'!$A$28:$A$1048576,1,0)</f>
        <v>debit    6666029996  Non-deductible expense-travel.</v>
      </c>
      <c r="M36" t="str">
        <f>VLOOKUP(B36,'SAP Actual extraction'!B:B,1,0)</f>
        <v xml:space="preserve">    6666029996  Non-deductible expense-travel.</v>
      </c>
    </row>
    <row r="37" spans="1:13" x14ac:dyDescent="0.3">
      <c r="A37" s="109" t="str">
        <f t="shared" si="0"/>
        <v>debit    6666010322  fuel allowance</v>
      </c>
      <c r="B37" s="112" t="s">
        <v>248</v>
      </c>
      <c r="C37" s="113">
        <v>-9806.92</v>
      </c>
      <c r="D37" s="116">
        <v>0</v>
      </c>
      <c r="E37" s="113">
        <v>-9806.92</v>
      </c>
      <c r="F37" s="113">
        <v>0</v>
      </c>
      <c r="G37" s="112" t="s">
        <v>248</v>
      </c>
      <c r="H37" s="114">
        <v>0</v>
      </c>
      <c r="I37" s="114">
        <v>0</v>
      </c>
      <c r="J37" s="115">
        <v>0</v>
      </c>
      <c r="K37" s="113">
        <v>0</v>
      </c>
      <c r="L37" t="str">
        <f>VLOOKUP(A37,'SAP Actual extraction'!$A$28:$A$1048576,1,0)</f>
        <v>debit    6666010322  fuel allowance</v>
      </c>
      <c r="M37" t="str">
        <f>VLOOKUP(B37,'SAP Actual extraction'!B:B,1,0)</f>
        <v xml:space="preserve">    6666010322  fuel allowance</v>
      </c>
    </row>
    <row r="38" spans="1:13" x14ac:dyDescent="0.3">
      <c r="A38" s="109" t="str">
        <f t="shared" si="0"/>
        <v>debit    6666020495  Non-deductible expense-travel.</v>
      </c>
      <c r="B38" s="112" t="s">
        <v>249</v>
      </c>
      <c r="C38" s="113">
        <v>1889.39</v>
      </c>
      <c r="D38" s="116">
        <v>0</v>
      </c>
      <c r="E38" s="113">
        <v>1889.39</v>
      </c>
      <c r="F38" s="113">
        <v>0</v>
      </c>
      <c r="G38" s="112" t="s">
        <v>249</v>
      </c>
      <c r="H38" s="114">
        <v>0</v>
      </c>
      <c r="I38" s="114">
        <v>0</v>
      </c>
      <c r="J38" s="115">
        <v>0</v>
      </c>
      <c r="K38" s="113">
        <v>0</v>
      </c>
      <c r="L38" t="str">
        <f>VLOOKUP(A38,'SAP Actual extraction'!$A$28:$A$1048576,1,0)</f>
        <v>debit    6666020495  Non-deductible expense-travel.</v>
      </c>
      <c r="M38" t="str">
        <f>VLOOKUP(B38,'SAP Actual extraction'!B:B,1,0)</f>
        <v xml:space="preserve">    6666020495  Non-deductible expense-travel.</v>
      </c>
    </row>
    <row r="39" spans="1:13" x14ac:dyDescent="0.3">
      <c r="A39" s="109" t="str">
        <f t="shared" si="0"/>
        <v>debit    5102010151  Other Rev.-Interco-Epidemic problem comp</v>
      </c>
      <c r="B39" s="112" t="s">
        <v>250</v>
      </c>
      <c r="C39" s="113">
        <v>1518.42</v>
      </c>
      <c r="D39" s="116">
        <v>0</v>
      </c>
      <c r="E39" s="113">
        <v>1518.42</v>
      </c>
      <c r="F39" s="113">
        <v>0</v>
      </c>
      <c r="G39" s="112" t="s">
        <v>250</v>
      </c>
      <c r="H39" s="114">
        <v>0</v>
      </c>
      <c r="I39" s="114">
        <v>0</v>
      </c>
      <c r="J39" s="115">
        <v>0</v>
      </c>
      <c r="K39" s="113">
        <v>0</v>
      </c>
      <c r="L39" t="str">
        <f>VLOOKUP(A39,'SAP Actual extraction'!$A$28:$A$1048576,1,0)</f>
        <v>debit    5102010151  Other Rev.-Interco-Epidemic problem comp</v>
      </c>
      <c r="M39" t="str">
        <f>VLOOKUP(B39,'SAP Actual extraction'!B:B,1,0)</f>
        <v xml:space="preserve">    5102010151  Other Rev.-Interco-Epidemic problem comp</v>
      </c>
    </row>
    <row r="40" spans="1:13" x14ac:dyDescent="0.3">
      <c r="A40" s="109" t="str">
        <f t="shared" si="0"/>
        <v>debit    600008      Indirect Cost</v>
      </c>
      <c r="B40" s="112" t="s">
        <v>355</v>
      </c>
      <c r="C40" s="116">
        <v>0</v>
      </c>
      <c r="D40" s="116">
        <v>0</v>
      </c>
      <c r="E40" s="113">
        <v>0</v>
      </c>
      <c r="F40" s="113">
        <v>0</v>
      </c>
      <c r="G40" s="112" t="s">
        <v>355</v>
      </c>
      <c r="H40" s="114">
        <v>0</v>
      </c>
      <c r="I40" s="114">
        <v>0</v>
      </c>
      <c r="J40" s="115">
        <v>0</v>
      </c>
      <c r="K40" s="113">
        <v>0</v>
      </c>
      <c r="L40" t="e">
        <f>VLOOKUP(A40,'SAP Actual extraction'!$A$28:$A$1048576,1,0)</f>
        <v>#N/A</v>
      </c>
      <c r="M40" t="e">
        <f>VLOOKUP(B40,'SAP Actual extraction'!B:B,1,0)</f>
        <v>#N/A</v>
      </c>
    </row>
    <row r="41" spans="1:13" x14ac:dyDescent="0.3">
      <c r="A41" s="109" t="str">
        <f t="shared" si="0"/>
        <v>debit    600009      Quality Control</v>
      </c>
      <c r="B41" s="112" t="s">
        <v>356</v>
      </c>
      <c r="C41" s="116">
        <v>0</v>
      </c>
      <c r="D41" s="116">
        <v>0</v>
      </c>
      <c r="E41" s="113">
        <v>0</v>
      </c>
      <c r="F41" s="113">
        <v>0</v>
      </c>
      <c r="G41" s="112" t="s">
        <v>356</v>
      </c>
      <c r="H41" s="114">
        <v>0</v>
      </c>
      <c r="I41" s="114">
        <v>0</v>
      </c>
      <c r="J41" s="115">
        <v>0</v>
      </c>
      <c r="K41" s="113">
        <v>0</v>
      </c>
      <c r="L41" t="e">
        <f>VLOOKUP(A41,'SAP Actual extraction'!$A$28:$A$1048576,1,0)</f>
        <v>#N/A</v>
      </c>
      <c r="M41" t="e">
        <f>VLOOKUP(B41,'SAP Actual extraction'!B:B,1,0)</f>
        <v>#N/A</v>
      </c>
    </row>
    <row r="42" spans="1:13" x14ac:dyDescent="0.3">
      <c r="A42" s="109" t="str">
        <f t="shared" si="0"/>
        <v>debit    5001010200  Cost of Manufacture - Raw Material</v>
      </c>
      <c r="B42" s="112" t="s">
        <v>251</v>
      </c>
      <c r="C42" s="116">
        <v>0</v>
      </c>
      <c r="D42" s="116">
        <v>0</v>
      </c>
      <c r="E42" s="113">
        <v>0</v>
      </c>
      <c r="F42" s="113">
        <v>0</v>
      </c>
      <c r="G42" s="112" t="s">
        <v>251</v>
      </c>
      <c r="H42" s="114">
        <v>0</v>
      </c>
      <c r="I42" s="114">
        <v>0</v>
      </c>
      <c r="J42" s="115">
        <v>0</v>
      </c>
      <c r="K42" s="113">
        <v>0</v>
      </c>
      <c r="L42" t="str">
        <f>VLOOKUP(A42,'SAP Actual extraction'!$A$28:$A$1048576,1,0)</f>
        <v>debit    5001010200  Cost of Manufacture - Raw Material</v>
      </c>
      <c r="M42" t="str">
        <f>VLOOKUP(B42,'SAP Actual extraction'!B:B,1,0)</f>
        <v xml:space="preserve">    5001010200  Cost of Manufacture - Raw Material</v>
      </c>
    </row>
    <row r="43" spans="1:13" x14ac:dyDescent="0.3">
      <c r="A43" s="109" t="str">
        <f t="shared" si="0"/>
        <v>debit    5001010201  Cost of Manufacture - Raw Material-Freig</v>
      </c>
      <c r="B43" s="112" t="s">
        <v>252</v>
      </c>
      <c r="C43" s="116">
        <v>0</v>
      </c>
      <c r="D43" s="116">
        <v>0</v>
      </c>
      <c r="E43" s="113">
        <v>0</v>
      </c>
      <c r="F43" s="113">
        <v>0</v>
      </c>
      <c r="G43" s="112" t="s">
        <v>252</v>
      </c>
      <c r="H43" s="114">
        <v>0</v>
      </c>
      <c r="I43" s="114">
        <v>0</v>
      </c>
      <c r="J43" s="115">
        <v>0</v>
      </c>
      <c r="K43" s="113">
        <v>0</v>
      </c>
      <c r="L43" t="str">
        <f>VLOOKUP(A43,'SAP Actual extraction'!$A$28:$A$1048576,1,0)</f>
        <v>debit    5001010201  Cost of Manufacture - Raw Material-Freig</v>
      </c>
      <c r="M43" t="str">
        <f>VLOOKUP(B43,'SAP Actual extraction'!B:B,1,0)</f>
        <v xml:space="preserve">    5001010201  Cost of Manufacture - Raw Material-Freig</v>
      </c>
    </row>
    <row r="44" spans="1:13" x14ac:dyDescent="0.3">
      <c r="A44" s="109" t="str">
        <f t="shared" si="0"/>
        <v>debit    5301060000  Other Income-Subsidy income</v>
      </c>
      <c r="B44" s="112" t="s">
        <v>256</v>
      </c>
      <c r="C44" s="116">
        <v>0</v>
      </c>
      <c r="D44" s="116">
        <v>0</v>
      </c>
      <c r="E44" s="113">
        <v>0</v>
      </c>
      <c r="F44" s="113">
        <v>0</v>
      </c>
      <c r="G44" s="112" t="s">
        <v>256</v>
      </c>
      <c r="H44" s="114">
        <v>0</v>
      </c>
      <c r="I44" s="114">
        <v>0</v>
      </c>
      <c r="J44" s="115">
        <v>0</v>
      </c>
      <c r="K44" s="113">
        <v>0</v>
      </c>
      <c r="L44" t="str">
        <f>VLOOKUP(A44,'SAP Actual extraction'!$A$28:$A$1048576,1,0)</f>
        <v>debit    5301060000  Other Income-Subsidy income</v>
      </c>
      <c r="M44" t="str">
        <f>VLOOKUP(B44,'SAP Actual extraction'!B:B,1,0)</f>
        <v xml:space="preserve">    5301060000  Other Income-Subsidy income</v>
      </c>
    </row>
    <row r="45" spans="1:13" x14ac:dyDescent="0.3">
      <c r="A45" s="109" t="str">
        <f t="shared" si="0"/>
        <v>debit    5301999999  Non-operation revenue-Other</v>
      </c>
      <c r="B45" s="112" t="s">
        <v>257</v>
      </c>
      <c r="C45" s="113">
        <v>-5.42</v>
      </c>
      <c r="D45" s="116">
        <v>0</v>
      </c>
      <c r="E45" s="113">
        <v>-5.42</v>
      </c>
      <c r="F45" s="113">
        <v>0</v>
      </c>
      <c r="G45" s="112" t="s">
        <v>257</v>
      </c>
      <c r="H45" s="114">
        <v>0</v>
      </c>
      <c r="I45" s="114">
        <v>0</v>
      </c>
      <c r="J45" s="115">
        <v>0</v>
      </c>
      <c r="K45" s="113">
        <v>0</v>
      </c>
      <c r="L45" t="str">
        <f>VLOOKUP(A45,'SAP Actual extraction'!$A$28:$A$1048576,1,0)</f>
        <v>debit    5301999999  Non-operation revenue-Other</v>
      </c>
      <c r="M45" t="str">
        <f>VLOOKUP(B45,'SAP Actual extraction'!B:B,1,0)</f>
        <v xml:space="preserve">    5301999999  Non-operation revenue-Other</v>
      </c>
    </row>
    <row r="46" spans="1:13" x14ac:dyDescent="0.3">
      <c r="A46" s="109" t="str">
        <f t="shared" si="0"/>
        <v>debit    5405030000  Other cost-others</v>
      </c>
      <c r="B46" s="112" t="s">
        <v>258</v>
      </c>
      <c r="C46" s="116">
        <v>0</v>
      </c>
      <c r="D46" s="116">
        <v>0</v>
      </c>
      <c r="E46" s="113">
        <v>0</v>
      </c>
      <c r="F46" s="113">
        <v>0</v>
      </c>
      <c r="G46" s="112" t="s">
        <v>258</v>
      </c>
      <c r="H46" s="114">
        <v>0</v>
      </c>
      <c r="I46" s="114">
        <v>0</v>
      </c>
      <c r="J46" s="115">
        <v>0</v>
      </c>
      <c r="K46" s="113">
        <v>0</v>
      </c>
      <c r="L46" t="str">
        <f>VLOOKUP(A46,'SAP Actual extraction'!$A$28:$A$1048576,1,0)</f>
        <v>debit    5405030000  Other cost-others</v>
      </c>
      <c r="M46" t="str">
        <f>VLOOKUP(B46,'SAP Actual extraction'!B:B,1,0)</f>
        <v xml:space="preserve">    5405030000  Other cost-others</v>
      </c>
    </row>
    <row r="47" spans="1:13" x14ac:dyDescent="0.3">
      <c r="A47" s="109" t="str">
        <f t="shared" si="0"/>
        <v>debit    5601020000  Loss on disposal fixed asset</v>
      </c>
      <c r="B47" s="112" t="s">
        <v>357</v>
      </c>
      <c r="C47" s="116">
        <v>0</v>
      </c>
      <c r="D47" s="116">
        <v>0</v>
      </c>
      <c r="E47" s="113">
        <v>0</v>
      </c>
      <c r="F47" s="113">
        <v>0</v>
      </c>
      <c r="G47" s="112" t="s">
        <v>357</v>
      </c>
      <c r="H47" s="114">
        <v>0</v>
      </c>
      <c r="I47" s="114">
        <v>0</v>
      </c>
      <c r="J47" s="115">
        <v>0</v>
      </c>
      <c r="K47" s="113">
        <v>0</v>
      </c>
      <c r="L47" t="e">
        <f>VLOOKUP(A47,'SAP Actual extraction'!$A$28:$A$1048576,1,0)</f>
        <v>#N/A</v>
      </c>
      <c r="M47" t="e">
        <f>VLOOKUP(B47,'SAP Actual extraction'!B:B,1,0)</f>
        <v>#N/A</v>
      </c>
    </row>
    <row r="48" spans="1:13" x14ac:dyDescent="0.3">
      <c r="A48" s="109" t="str">
        <f t="shared" si="0"/>
        <v>debit    5601050100  Non-operation Expense-Others</v>
      </c>
      <c r="B48" s="112" t="s">
        <v>260</v>
      </c>
      <c r="C48" s="113">
        <v>34.78</v>
      </c>
      <c r="D48" s="116">
        <v>0</v>
      </c>
      <c r="E48" s="113">
        <v>34.78</v>
      </c>
      <c r="F48" s="113">
        <v>0</v>
      </c>
      <c r="G48" s="112" t="s">
        <v>260</v>
      </c>
      <c r="H48" s="114">
        <v>0</v>
      </c>
      <c r="I48" s="114">
        <v>0</v>
      </c>
      <c r="J48" s="115">
        <v>0</v>
      </c>
      <c r="K48" s="113">
        <v>0</v>
      </c>
      <c r="L48" t="str">
        <f>VLOOKUP(A48,'SAP Actual extraction'!$A$28:$A$1048576,1,0)</f>
        <v>debit    5601050100  Non-operation Expense-Others</v>
      </c>
      <c r="M48" t="str">
        <f>VLOOKUP(B48,'SAP Actual extraction'!B:B,1,0)</f>
        <v xml:space="preserve">    5601050100  Non-operation Expense-Others</v>
      </c>
    </row>
    <row r="49" spans="1:13" x14ac:dyDescent="0.3">
      <c r="A49" s="109" t="str">
        <f t="shared" si="0"/>
        <v>debit    6666020101  Entertainment</v>
      </c>
      <c r="B49" s="112" t="s">
        <v>261</v>
      </c>
      <c r="C49" s="113">
        <v>-104982.82</v>
      </c>
      <c r="D49" s="113">
        <v>19847.810000000001</v>
      </c>
      <c r="E49" s="113">
        <v>-124830.63</v>
      </c>
      <c r="F49" s="113">
        <v>-628.93910000000005</v>
      </c>
      <c r="G49" s="112" t="s">
        <v>261</v>
      </c>
      <c r="H49" s="114">
        <v>0</v>
      </c>
      <c r="I49" s="114">
        <v>0</v>
      </c>
      <c r="J49" s="115">
        <v>0</v>
      </c>
      <c r="K49" s="113">
        <v>0</v>
      </c>
      <c r="L49" t="str">
        <f>VLOOKUP(A49,'SAP Actual extraction'!$A$28:$A$1048576,1,0)</f>
        <v>debit    6666020101  Entertainment</v>
      </c>
      <c r="M49" t="str">
        <f>VLOOKUP(B49,'SAP Actual extraction'!B:B,1,0)</f>
        <v xml:space="preserve">    6666020101  Entertainment</v>
      </c>
    </row>
    <row r="50" spans="1:13" x14ac:dyDescent="0.3">
      <c r="A50" s="109" t="str">
        <f t="shared" si="0"/>
        <v>debit    6666020201  Domestic business travel</v>
      </c>
      <c r="B50" s="112" t="s">
        <v>262</v>
      </c>
      <c r="C50" s="113">
        <v>315.83</v>
      </c>
      <c r="D50" s="113">
        <v>3623.06</v>
      </c>
      <c r="E50" s="113">
        <v>-3307.23</v>
      </c>
      <c r="F50" s="113">
        <v>-91.282799999999995</v>
      </c>
      <c r="G50" s="112" t="s">
        <v>262</v>
      </c>
      <c r="H50" s="114">
        <v>0</v>
      </c>
      <c r="I50" s="114">
        <v>0</v>
      </c>
      <c r="J50" s="115">
        <v>0</v>
      </c>
      <c r="K50" s="113">
        <v>0</v>
      </c>
      <c r="L50" t="str">
        <f>VLOOKUP(A50,'SAP Actual extraction'!$A$28:$A$1048576,1,0)</f>
        <v>debit    6666020201  Domestic business travel</v>
      </c>
      <c r="M50" t="str">
        <f>VLOOKUP(B50,'SAP Actual extraction'!B:B,1,0)</f>
        <v xml:space="preserve">    6666020201  Domestic business travel</v>
      </c>
    </row>
    <row r="51" spans="1:13" x14ac:dyDescent="0.3">
      <c r="A51" s="109" t="str">
        <f t="shared" si="0"/>
        <v>debit    6666020202  Overseas business travel</v>
      </c>
      <c r="B51" s="112" t="s">
        <v>263</v>
      </c>
      <c r="C51" s="113">
        <v>410.84</v>
      </c>
      <c r="D51" s="116">
        <v>0</v>
      </c>
      <c r="E51" s="113">
        <v>410.84</v>
      </c>
      <c r="F51" s="113">
        <v>0</v>
      </c>
      <c r="G51" s="112" t="s">
        <v>263</v>
      </c>
      <c r="H51" s="114">
        <v>0</v>
      </c>
      <c r="I51" s="114">
        <v>0</v>
      </c>
      <c r="J51" s="115">
        <v>0</v>
      </c>
      <c r="K51" s="113">
        <v>0</v>
      </c>
      <c r="L51" t="str">
        <f>VLOOKUP(A51,'SAP Actual extraction'!$A$28:$A$1048576,1,0)</f>
        <v>debit    6666020202  Overseas business travel</v>
      </c>
      <c r="M51" t="str">
        <f>VLOOKUP(B51,'SAP Actual extraction'!B:B,1,0)</f>
        <v xml:space="preserve">    6666020202  Overseas business travel</v>
      </c>
    </row>
    <row r="52" spans="1:13" x14ac:dyDescent="0.3">
      <c r="A52" s="109" t="str">
        <f t="shared" si="0"/>
        <v>debit    6666020204  Travel expense pay to agency</v>
      </c>
      <c r="B52" s="112" t="s">
        <v>264</v>
      </c>
      <c r="C52" s="113">
        <v>151.86000000000001</v>
      </c>
      <c r="D52" s="116">
        <v>0</v>
      </c>
      <c r="E52" s="113">
        <v>151.86000000000001</v>
      </c>
      <c r="F52" s="113">
        <v>0</v>
      </c>
      <c r="G52" s="112" t="s">
        <v>264</v>
      </c>
      <c r="H52" s="114">
        <v>0</v>
      </c>
      <c r="I52" s="114">
        <v>0</v>
      </c>
      <c r="J52" s="115">
        <v>0</v>
      </c>
      <c r="K52" s="113">
        <v>0</v>
      </c>
      <c r="L52" t="str">
        <f>VLOOKUP(A52,'SAP Actual extraction'!$A$28:$A$1048576,1,0)</f>
        <v>debit    6666020204  Travel expense pay to agency</v>
      </c>
      <c r="M52" t="str">
        <f>VLOOKUP(B52,'SAP Actual extraction'!B:B,1,0)</f>
        <v xml:space="preserve">    6666020204  Travel expense pay to agency</v>
      </c>
    </row>
    <row r="53" spans="1:13" x14ac:dyDescent="0.3">
      <c r="A53" s="109" t="str">
        <f t="shared" si="0"/>
        <v>debit    6666020205  Business travel-other</v>
      </c>
      <c r="B53" s="112" t="s">
        <v>265</v>
      </c>
      <c r="C53" s="116">
        <v>0</v>
      </c>
      <c r="D53" s="113">
        <v>4926.99</v>
      </c>
      <c r="E53" s="113">
        <v>-4926.99</v>
      </c>
      <c r="F53" s="113">
        <v>-100</v>
      </c>
      <c r="G53" s="112" t="s">
        <v>265</v>
      </c>
      <c r="H53" s="114">
        <v>0</v>
      </c>
      <c r="I53" s="114">
        <v>0</v>
      </c>
      <c r="J53" s="115">
        <v>0</v>
      </c>
      <c r="K53" s="113">
        <v>0</v>
      </c>
      <c r="L53" t="str">
        <f>VLOOKUP(A53,'SAP Actual extraction'!$A$28:$A$1048576,1,0)</f>
        <v>debit    6666020205  Business travel-other</v>
      </c>
      <c r="M53" t="str">
        <f>VLOOKUP(B53,'SAP Actual extraction'!B:B,1,0)</f>
        <v xml:space="preserve">    6666020205  Business travel-other</v>
      </c>
    </row>
    <row r="54" spans="1:13" x14ac:dyDescent="0.3">
      <c r="A54" s="109" t="str">
        <f t="shared" si="0"/>
        <v>debit    6666020301  Staff communication expense</v>
      </c>
      <c r="B54" s="112" t="s">
        <v>266</v>
      </c>
      <c r="C54" s="113">
        <v>1265.99</v>
      </c>
      <c r="D54" s="116">
        <v>0</v>
      </c>
      <c r="E54" s="113">
        <v>1265.99</v>
      </c>
      <c r="F54" s="113">
        <v>0</v>
      </c>
      <c r="G54" s="112" t="s">
        <v>266</v>
      </c>
      <c r="H54" s="114">
        <v>0</v>
      </c>
      <c r="I54" s="114">
        <v>0</v>
      </c>
      <c r="J54" s="115">
        <v>0</v>
      </c>
      <c r="K54" s="113">
        <v>0</v>
      </c>
      <c r="L54" t="str">
        <f>VLOOKUP(A54,'SAP Actual extraction'!$A$28:$A$1048576,1,0)</f>
        <v>debit    6666020301  Staff communication expense</v>
      </c>
      <c r="M54" t="str">
        <f>VLOOKUP(B54,'SAP Actual extraction'!B:B,1,0)</f>
        <v xml:space="preserve">    6666020301  Staff communication expense</v>
      </c>
    </row>
    <row r="55" spans="1:13" x14ac:dyDescent="0.3">
      <c r="A55" s="109" t="str">
        <f t="shared" si="0"/>
        <v>debit    6666020302  Communication Expenses</v>
      </c>
      <c r="B55" s="112" t="s">
        <v>268</v>
      </c>
      <c r="C55" s="116">
        <v>0</v>
      </c>
      <c r="D55" s="113">
        <v>603.02</v>
      </c>
      <c r="E55" s="113">
        <v>-603.02</v>
      </c>
      <c r="F55" s="113">
        <v>-100</v>
      </c>
      <c r="G55" s="112" t="s">
        <v>268</v>
      </c>
      <c r="H55" s="114">
        <v>0</v>
      </c>
      <c r="I55" s="114">
        <v>0</v>
      </c>
      <c r="J55" s="115">
        <v>0</v>
      </c>
      <c r="K55" s="113">
        <v>0</v>
      </c>
      <c r="L55" t="str">
        <f>VLOOKUP(A55,'SAP Actual extraction'!$A$28:$A$1048576,1,0)</f>
        <v>debit    6666020302  Communication Expenses</v>
      </c>
      <c r="M55" t="str">
        <f>VLOOKUP(B55,'SAP Actual extraction'!B:B,1,0)</f>
        <v xml:space="preserve">    6666020302  Communication Expenses</v>
      </c>
    </row>
    <row r="56" spans="1:13" x14ac:dyDescent="0.3">
      <c r="A56" s="109" t="str">
        <f t="shared" si="0"/>
        <v>debit    6666020403  Company car expense</v>
      </c>
      <c r="B56" s="112" t="s">
        <v>269</v>
      </c>
      <c r="C56" s="116">
        <v>0</v>
      </c>
      <c r="D56" s="116">
        <v>0</v>
      </c>
      <c r="E56" s="113">
        <v>0</v>
      </c>
      <c r="F56" s="113">
        <v>0</v>
      </c>
      <c r="G56" s="112" t="s">
        <v>269</v>
      </c>
      <c r="H56" s="114">
        <v>0</v>
      </c>
      <c r="I56" s="114">
        <v>0</v>
      </c>
      <c r="J56" s="115">
        <v>0</v>
      </c>
      <c r="K56" s="113">
        <v>0</v>
      </c>
      <c r="L56" t="str">
        <f>VLOOKUP(A56,'SAP Actual extraction'!$A$28:$A$1048576,1,0)</f>
        <v>debit    6666020403  Company car expense</v>
      </c>
      <c r="M56" t="str">
        <f>VLOOKUP(B56,'SAP Actual extraction'!B:B,1,0)</f>
        <v xml:space="preserve">    6666020403  Company car expense</v>
      </c>
    </row>
    <row r="57" spans="1:13" x14ac:dyDescent="0.3">
      <c r="A57" s="109" t="str">
        <f t="shared" si="0"/>
        <v>debit    6666020405  Company car expense - maintenance fees</v>
      </c>
      <c r="B57" s="112" t="s">
        <v>270</v>
      </c>
      <c r="C57" s="116">
        <v>0</v>
      </c>
      <c r="D57" s="116">
        <v>0</v>
      </c>
      <c r="E57" s="113">
        <v>0</v>
      </c>
      <c r="F57" s="113">
        <v>0</v>
      </c>
      <c r="G57" s="112" t="s">
        <v>270</v>
      </c>
      <c r="H57" s="114">
        <v>0</v>
      </c>
      <c r="I57" s="114">
        <v>0</v>
      </c>
      <c r="J57" s="115">
        <v>0</v>
      </c>
      <c r="K57" s="113">
        <v>0</v>
      </c>
      <c r="L57" t="str">
        <f>VLOOKUP(A57,'SAP Actual extraction'!$A$28:$A$1048576,1,0)</f>
        <v>debit    6666020405  Company car expense - maintenance fees</v>
      </c>
      <c r="M57" t="str">
        <f>VLOOKUP(B57,'SAP Actual extraction'!B:B,1,0)</f>
        <v xml:space="preserve">    6666020405  Company car expense - maintenance fees</v>
      </c>
    </row>
    <row r="58" spans="1:13" x14ac:dyDescent="0.3">
      <c r="A58" s="109" t="str">
        <f t="shared" si="0"/>
        <v>debit    6666020504  Newspaper and Periodicals expenditure</v>
      </c>
      <c r="B58" s="112" t="s">
        <v>271</v>
      </c>
      <c r="C58" s="113">
        <v>-463.88</v>
      </c>
      <c r="D58" s="113">
        <v>168.98</v>
      </c>
      <c r="E58" s="113">
        <v>-632.86</v>
      </c>
      <c r="F58" s="113">
        <v>-374.51769999999999</v>
      </c>
      <c r="G58" s="112" t="s">
        <v>271</v>
      </c>
      <c r="H58" s="114">
        <v>0</v>
      </c>
      <c r="I58" s="114">
        <v>0</v>
      </c>
      <c r="J58" s="115">
        <v>0</v>
      </c>
      <c r="K58" s="113">
        <v>0</v>
      </c>
      <c r="L58" t="str">
        <f>VLOOKUP(A58,'SAP Actual extraction'!$A$28:$A$1048576,1,0)</f>
        <v>debit    6666020504  Newspaper and Periodicals expenditure</v>
      </c>
      <c r="M58" t="str">
        <f>VLOOKUP(B58,'SAP Actual extraction'!B:B,1,0)</f>
        <v xml:space="preserve">    6666020504  Newspaper and Periodicals expenditure</v>
      </c>
    </row>
    <row r="59" spans="1:13" x14ac:dyDescent="0.3">
      <c r="A59" s="109" t="str">
        <f t="shared" si="0"/>
        <v>debit    6666020508  Postage</v>
      </c>
      <c r="B59" s="112" t="s">
        <v>272</v>
      </c>
      <c r="C59" s="113">
        <v>-2781.9</v>
      </c>
      <c r="D59" s="113">
        <v>414.48</v>
      </c>
      <c r="E59" s="113">
        <v>-3196.38</v>
      </c>
      <c r="F59" s="113">
        <v>-771.17830000000004</v>
      </c>
      <c r="G59" s="112" t="s">
        <v>272</v>
      </c>
      <c r="H59" s="114">
        <v>0</v>
      </c>
      <c r="I59" s="114">
        <v>0</v>
      </c>
      <c r="J59" s="115">
        <v>0</v>
      </c>
      <c r="K59" s="113">
        <v>0</v>
      </c>
      <c r="L59" t="str">
        <f>VLOOKUP(A59,'SAP Actual extraction'!$A$28:$A$1048576,1,0)</f>
        <v>debit    6666020508  Postage</v>
      </c>
      <c r="M59" t="str">
        <f>VLOOKUP(B59,'SAP Actual extraction'!B:B,1,0)</f>
        <v xml:space="preserve">    6666020508  Postage</v>
      </c>
    </row>
    <row r="60" spans="1:13" x14ac:dyDescent="0.3">
      <c r="A60" s="109" t="str">
        <f t="shared" si="0"/>
        <v>debit    6666020602  Training costs Outside the group</v>
      </c>
      <c r="B60" s="112" t="s">
        <v>273</v>
      </c>
      <c r="C60" s="113">
        <v>271.35000000000002</v>
      </c>
      <c r="D60" s="113">
        <v>8623.0300000000007</v>
      </c>
      <c r="E60" s="113">
        <v>-8351.68</v>
      </c>
      <c r="F60" s="113">
        <v>-96.853200000000001</v>
      </c>
      <c r="G60" s="112" t="s">
        <v>273</v>
      </c>
      <c r="H60" s="114">
        <v>0</v>
      </c>
      <c r="I60" s="114">
        <v>0</v>
      </c>
      <c r="J60" s="115">
        <v>0</v>
      </c>
      <c r="K60" s="113">
        <v>0</v>
      </c>
      <c r="L60" t="str">
        <f>VLOOKUP(A60,'SAP Actual extraction'!$A$28:$A$1048576,1,0)</f>
        <v>debit    6666020602  Training costs Outside the group</v>
      </c>
      <c r="M60" t="str">
        <f>VLOOKUP(B60,'SAP Actual extraction'!B:B,1,0)</f>
        <v xml:space="preserve">    6666020602  Training costs Outside the group</v>
      </c>
    </row>
    <row r="61" spans="1:13" x14ac:dyDescent="0.3">
      <c r="A61" s="109" t="str">
        <f t="shared" si="0"/>
        <v>debit    6666020802  Equipment rental cost</v>
      </c>
      <c r="B61" s="112" t="s">
        <v>275</v>
      </c>
      <c r="C61" s="113">
        <v>23864.86</v>
      </c>
      <c r="D61" s="113">
        <v>37098.519999999997</v>
      </c>
      <c r="E61" s="113">
        <v>-13233.66</v>
      </c>
      <c r="F61" s="113">
        <v>-35.671700000000001</v>
      </c>
      <c r="G61" s="112" t="s">
        <v>275</v>
      </c>
      <c r="H61" s="114">
        <v>0</v>
      </c>
      <c r="I61" s="114">
        <v>0</v>
      </c>
      <c r="J61" s="115">
        <v>0</v>
      </c>
      <c r="K61" s="113">
        <v>0</v>
      </c>
      <c r="L61" t="str">
        <f>VLOOKUP(A61,'SAP Actual extraction'!$A$28:$A$1048576,1,0)</f>
        <v>debit    6666020802  Equipment rental cost</v>
      </c>
      <c r="M61" t="str">
        <f>VLOOKUP(B61,'SAP Actual extraction'!B:B,1,0)</f>
        <v xml:space="preserve">    6666020802  Equipment rental cost</v>
      </c>
    </row>
    <row r="62" spans="1:13" x14ac:dyDescent="0.3">
      <c r="A62" s="109" t="str">
        <f t="shared" si="0"/>
        <v>debit    6666020803  Car rental cost</v>
      </c>
      <c r="B62" s="112" t="s">
        <v>276</v>
      </c>
      <c r="C62" s="113">
        <v>-1184.03</v>
      </c>
      <c r="D62" s="113">
        <v>8535.82</v>
      </c>
      <c r="E62" s="113">
        <v>-9719.85</v>
      </c>
      <c r="F62" s="113">
        <v>-113.87130000000001</v>
      </c>
      <c r="G62" s="112" t="s">
        <v>276</v>
      </c>
      <c r="H62" s="114">
        <v>0</v>
      </c>
      <c r="I62" s="114">
        <v>0</v>
      </c>
      <c r="J62" s="115">
        <v>0</v>
      </c>
      <c r="K62" s="113">
        <v>0</v>
      </c>
      <c r="L62" t="str">
        <f>VLOOKUP(A62,'SAP Actual extraction'!$A$28:$A$1048576,1,0)</f>
        <v>debit    6666020803  Car rental cost</v>
      </c>
      <c r="M62" t="str">
        <f>VLOOKUP(B62,'SAP Actual extraction'!B:B,1,0)</f>
        <v xml:space="preserve">    6666020803  Car rental cost</v>
      </c>
    </row>
    <row r="63" spans="1:13" x14ac:dyDescent="0.3">
      <c r="A63" s="109" t="str">
        <f t="shared" si="0"/>
        <v>debit    6666021100  Consulting fees</v>
      </c>
      <c r="B63" s="112" t="s">
        <v>277</v>
      </c>
      <c r="C63" s="113">
        <v>-6831.4</v>
      </c>
      <c r="D63" s="113">
        <v>24854.78</v>
      </c>
      <c r="E63" s="113">
        <v>-31686.18</v>
      </c>
      <c r="F63" s="113">
        <v>-127.4853</v>
      </c>
      <c r="G63" s="112" t="s">
        <v>277</v>
      </c>
      <c r="H63" s="114">
        <v>0</v>
      </c>
      <c r="I63" s="114">
        <v>0</v>
      </c>
      <c r="J63" s="115">
        <v>0</v>
      </c>
      <c r="K63" s="113">
        <v>0</v>
      </c>
      <c r="L63" t="str">
        <f>VLOOKUP(A63,'SAP Actual extraction'!$A$28:$A$1048576,1,0)</f>
        <v>debit    6666021100  Consulting fees</v>
      </c>
      <c r="M63" t="str">
        <f>VLOOKUP(B63,'SAP Actual extraction'!B:B,1,0)</f>
        <v xml:space="preserve">    6666021100  Consulting fees</v>
      </c>
    </row>
    <row r="64" spans="1:13" x14ac:dyDescent="0.3">
      <c r="A64" s="109" t="str">
        <f t="shared" si="0"/>
        <v>debit    6666021104  Consulting expense-Technical</v>
      </c>
      <c r="B64" s="112" t="s">
        <v>267</v>
      </c>
      <c r="C64" s="116">
        <v>0</v>
      </c>
      <c r="D64" s="116">
        <v>0</v>
      </c>
      <c r="E64" s="113">
        <v>0</v>
      </c>
      <c r="F64" s="113">
        <v>0</v>
      </c>
      <c r="G64" s="112" t="s">
        <v>267</v>
      </c>
      <c r="H64" s="114">
        <v>0</v>
      </c>
      <c r="I64" s="114">
        <v>0</v>
      </c>
      <c r="J64" s="115">
        <v>0</v>
      </c>
      <c r="K64" s="113">
        <v>0</v>
      </c>
      <c r="L64" t="str">
        <f>VLOOKUP(A64,'SAP Actual extraction'!$A$28:$A$1048576,1,0)</f>
        <v>debit    6666021104  Consulting expense-Technical</v>
      </c>
      <c r="M64" t="str">
        <f>VLOOKUP(B64,'SAP Actual extraction'!B:B,1,0)</f>
        <v xml:space="preserve">    6666021104  Consulting expense-Technical</v>
      </c>
    </row>
    <row r="65" spans="1:13" x14ac:dyDescent="0.3">
      <c r="A65" s="109" t="str">
        <f t="shared" si="0"/>
        <v>debit    6666021200  Audit fee</v>
      </c>
      <c r="B65" s="112" t="s">
        <v>358</v>
      </c>
      <c r="C65" s="113">
        <v>-27.2</v>
      </c>
      <c r="D65" s="116">
        <v>0</v>
      </c>
      <c r="E65" s="113">
        <v>-27.2</v>
      </c>
      <c r="F65" s="113">
        <v>0</v>
      </c>
      <c r="G65" s="112" t="s">
        <v>358</v>
      </c>
      <c r="H65" s="114">
        <v>0</v>
      </c>
      <c r="I65" s="114">
        <v>0</v>
      </c>
      <c r="J65" s="115">
        <v>0</v>
      </c>
      <c r="K65" s="113">
        <v>0</v>
      </c>
      <c r="L65" t="e">
        <f>VLOOKUP(A65,'SAP Actual extraction'!$A$28:$A$1048576,1,0)</f>
        <v>#N/A</v>
      </c>
      <c r="M65" t="e">
        <f>VLOOKUP(B65,'SAP Actual extraction'!B:B,1,0)</f>
        <v>#N/A</v>
      </c>
    </row>
    <row r="66" spans="1:13" x14ac:dyDescent="0.3">
      <c r="A66" s="109" t="str">
        <f t="shared" si="0"/>
        <v>debit    6666021902  Cleaning fees</v>
      </c>
      <c r="B66" s="112" t="s">
        <v>278</v>
      </c>
      <c r="C66" s="113">
        <v>15041.11</v>
      </c>
      <c r="D66" s="113">
        <v>21742.2</v>
      </c>
      <c r="E66" s="113">
        <v>-6701.09</v>
      </c>
      <c r="F66" s="113">
        <v>-30.820699999999999</v>
      </c>
      <c r="G66" s="112" t="s">
        <v>278</v>
      </c>
      <c r="H66" s="114">
        <v>0</v>
      </c>
      <c r="I66" s="114">
        <v>0</v>
      </c>
      <c r="J66" s="115">
        <v>0</v>
      </c>
      <c r="K66" s="113">
        <v>0</v>
      </c>
      <c r="L66" t="str">
        <f>VLOOKUP(A66,'SAP Actual extraction'!$A$28:$A$1048576,1,0)</f>
        <v>debit    6666021902  Cleaning fees</v>
      </c>
      <c r="M66" t="str">
        <f>VLOOKUP(B66,'SAP Actual extraction'!B:B,1,0)</f>
        <v xml:space="preserve">    6666021902  Cleaning fees</v>
      </c>
    </row>
    <row r="67" spans="1:13" x14ac:dyDescent="0.3">
      <c r="A67" s="109" t="str">
        <f t="shared" si="0"/>
        <v>debit    6666022100  Security</v>
      </c>
      <c r="B67" s="112" t="s">
        <v>279</v>
      </c>
      <c r="C67" s="113">
        <v>7492.8</v>
      </c>
      <c r="D67" s="113">
        <v>16092.62</v>
      </c>
      <c r="E67" s="113">
        <v>-8599.82</v>
      </c>
      <c r="F67" s="113">
        <v>-53.439500000000002</v>
      </c>
      <c r="G67" s="112" t="s">
        <v>279</v>
      </c>
      <c r="H67" s="114">
        <v>0</v>
      </c>
      <c r="I67" s="114">
        <v>0</v>
      </c>
      <c r="J67" s="115">
        <v>0</v>
      </c>
      <c r="K67" s="113">
        <v>0</v>
      </c>
      <c r="L67" t="str">
        <f>VLOOKUP(A67,'SAP Actual extraction'!$A$28:$A$1048576,1,0)</f>
        <v>debit    6666022100  Security</v>
      </c>
      <c r="M67" t="str">
        <f>VLOOKUP(B67,'SAP Actual extraction'!B:B,1,0)</f>
        <v xml:space="preserve">    6666022100  Security</v>
      </c>
    </row>
    <row r="68" spans="1:13" x14ac:dyDescent="0.3">
      <c r="A68" s="109" t="str">
        <f t="shared" si="0"/>
        <v>debit    6666022300  Association dues</v>
      </c>
      <c r="B68" s="112" t="s">
        <v>280</v>
      </c>
      <c r="C68" s="116">
        <v>0</v>
      </c>
      <c r="D68" s="116">
        <v>0</v>
      </c>
      <c r="E68" s="113">
        <v>0</v>
      </c>
      <c r="F68" s="113">
        <v>0</v>
      </c>
      <c r="G68" s="112" t="s">
        <v>280</v>
      </c>
      <c r="H68" s="114">
        <v>0</v>
      </c>
      <c r="I68" s="114">
        <v>0</v>
      </c>
      <c r="J68" s="115">
        <v>0</v>
      </c>
      <c r="K68" s="113">
        <v>0</v>
      </c>
      <c r="L68" t="str">
        <f>VLOOKUP(A68,'SAP Actual extraction'!$A$28:$A$1048576,1,0)</f>
        <v>debit    6666022300  Association dues</v>
      </c>
      <c r="M68" t="str">
        <f>VLOOKUP(B68,'SAP Actual extraction'!B:B,1,0)</f>
        <v xml:space="preserve">    6666022300  Association dues</v>
      </c>
    </row>
    <row r="69" spans="1:13" x14ac:dyDescent="0.3">
      <c r="A69" s="109" t="str">
        <f t="shared" si="0"/>
        <v>debit    6666029900  Sundry Expenses</v>
      </c>
      <c r="B69" s="112" t="s">
        <v>281</v>
      </c>
      <c r="C69" s="116">
        <v>0</v>
      </c>
      <c r="D69" s="116">
        <v>0</v>
      </c>
      <c r="E69" s="113">
        <v>0</v>
      </c>
      <c r="F69" s="113">
        <v>0</v>
      </c>
      <c r="G69" s="112" t="s">
        <v>281</v>
      </c>
      <c r="H69" s="114">
        <v>0</v>
      </c>
      <c r="I69" s="114">
        <v>0</v>
      </c>
      <c r="J69" s="115">
        <v>0</v>
      </c>
      <c r="K69" s="113">
        <v>0</v>
      </c>
      <c r="L69" t="str">
        <f>VLOOKUP(A69,'SAP Actual extraction'!$A$28:$A$1048576,1,0)</f>
        <v>debit    6666029900  Sundry Expenses</v>
      </c>
      <c r="M69" t="str">
        <f>VLOOKUP(B69,'SAP Actual extraction'!B:B,1,0)</f>
        <v xml:space="preserve">    6666029900  Sundry Expenses</v>
      </c>
    </row>
    <row r="70" spans="1:13" x14ac:dyDescent="0.3">
      <c r="A70" s="109" t="str">
        <f t="shared" si="0"/>
        <v>debit    6666029997  restructure cost</v>
      </c>
      <c r="B70" s="112" t="s">
        <v>282</v>
      </c>
      <c r="C70" s="116">
        <v>0</v>
      </c>
      <c r="D70" s="113">
        <v>889.68</v>
      </c>
      <c r="E70" s="113">
        <v>-889.68</v>
      </c>
      <c r="F70" s="113">
        <v>-100</v>
      </c>
      <c r="G70" s="112" t="s">
        <v>282</v>
      </c>
      <c r="H70" s="114">
        <v>0</v>
      </c>
      <c r="I70" s="114">
        <v>0</v>
      </c>
      <c r="J70" s="115">
        <v>0</v>
      </c>
      <c r="K70" s="113">
        <v>0</v>
      </c>
      <c r="L70" t="str">
        <f>VLOOKUP(A70,'SAP Actual extraction'!$A$28:$A$1048576,1,0)</f>
        <v>debit    6666029997  restructure cost</v>
      </c>
      <c r="M70" t="str">
        <f>VLOOKUP(B70,'SAP Actual extraction'!B:B,1,0)</f>
        <v xml:space="preserve">    6666029997  restructure cost</v>
      </c>
    </row>
    <row r="71" spans="1:13" x14ac:dyDescent="0.3">
      <c r="A71" s="109" t="str">
        <f t="shared" si="0"/>
        <v>debit    6666030300  Design and development fees</v>
      </c>
      <c r="B71" s="112" t="s">
        <v>283</v>
      </c>
      <c r="C71" s="116">
        <v>0</v>
      </c>
      <c r="D71" s="116">
        <v>0</v>
      </c>
      <c r="E71" s="113">
        <v>0</v>
      </c>
      <c r="F71" s="113">
        <v>0</v>
      </c>
      <c r="G71" s="112" t="s">
        <v>283</v>
      </c>
      <c r="H71" s="114">
        <v>0</v>
      </c>
      <c r="I71" s="114">
        <v>0</v>
      </c>
      <c r="J71" s="115">
        <v>0</v>
      </c>
      <c r="K71" s="113">
        <v>0</v>
      </c>
      <c r="L71" t="str">
        <f>VLOOKUP(A71,'SAP Actual extraction'!$A$28:$A$1048576,1,0)</f>
        <v>debit    6666030300  Design and development fees</v>
      </c>
      <c r="M71" t="str">
        <f>VLOOKUP(B71,'SAP Actual extraction'!B:B,1,0)</f>
        <v xml:space="preserve">    6666030300  Design and development fees</v>
      </c>
    </row>
    <row r="72" spans="1:13" x14ac:dyDescent="0.3">
      <c r="A72" s="109" t="str">
        <f t="shared" si="0"/>
        <v>debit    6666050107  Special distribution costs</v>
      </c>
      <c r="B72" s="112" t="s">
        <v>286</v>
      </c>
      <c r="C72" s="113">
        <v>0</v>
      </c>
      <c r="D72" s="116">
        <v>0</v>
      </c>
      <c r="E72" s="113">
        <v>0</v>
      </c>
      <c r="F72" s="113">
        <v>0</v>
      </c>
      <c r="G72" s="112" t="s">
        <v>286</v>
      </c>
      <c r="H72" s="114">
        <v>0</v>
      </c>
      <c r="I72" s="114">
        <v>0</v>
      </c>
      <c r="J72" s="115">
        <v>0</v>
      </c>
      <c r="K72" s="113">
        <v>0</v>
      </c>
      <c r="L72" t="str">
        <f>VLOOKUP(A72,'SAP Actual extraction'!$A$28:$A$1048576,1,0)</f>
        <v>debit    6666050107  Special distribution costs</v>
      </c>
      <c r="M72" t="str">
        <f>VLOOKUP(B72,'SAP Actual extraction'!B:B,1,0)</f>
        <v xml:space="preserve">    6666050107  Special distribution costs</v>
      </c>
    </row>
    <row r="73" spans="1:13" x14ac:dyDescent="0.3">
      <c r="A73" s="109" t="str">
        <f t="shared" si="0"/>
        <v>debit    6666050202  Custom clearance charge</v>
      </c>
      <c r="B73" s="112" t="s">
        <v>359</v>
      </c>
      <c r="C73" s="113">
        <v>40.090000000000003</v>
      </c>
      <c r="D73" s="116">
        <v>0</v>
      </c>
      <c r="E73" s="113">
        <v>40.090000000000003</v>
      </c>
      <c r="F73" s="113">
        <v>0</v>
      </c>
      <c r="G73" s="112" t="s">
        <v>359</v>
      </c>
      <c r="H73" s="114">
        <v>0</v>
      </c>
      <c r="I73" s="114">
        <v>0</v>
      </c>
      <c r="J73" s="115">
        <v>0</v>
      </c>
      <c r="K73" s="113">
        <v>0</v>
      </c>
      <c r="L73" t="e">
        <f>VLOOKUP(A73,'SAP Actual extraction'!$A$28:$A$1048576,1,0)</f>
        <v>#N/A</v>
      </c>
      <c r="M73" t="e">
        <f>VLOOKUP(B73,'SAP Actual extraction'!B:B,1,0)</f>
        <v>#N/A</v>
      </c>
    </row>
    <row r="74" spans="1:13" x14ac:dyDescent="0.3">
      <c r="A74" s="109" t="str">
        <f t="shared" si="0"/>
        <v>debit    6666050312  Inventory count different- Semifinished</v>
      </c>
      <c r="B74" s="112" t="s">
        <v>211</v>
      </c>
      <c r="C74" s="113">
        <v>220553.27</v>
      </c>
      <c r="D74" s="116">
        <v>0</v>
      </c>
      <c r="E74" s="113">
        <v>220553.27</v>
      </c>
      <c r="F74" s="113">
        <v>0</v>
      </c>
      <c r="G74" s="112" t="s">
        <v>211</v>
      </c>
      <c r="H74" s="114">
        <v>0</v>
      </c>
      <c r="I74" s="114">
        <v>0</v>
      </c>
      <c r="J74" s="115">
        <v>0</v>
      </c>
      <c r="K74" s="113">
        <v>0</v>
      </c>
      <c r="L74" t="str">
        <f>VLOOKUP(A74,'SAP Actual extraction'!$A$28:$A$1048576,1,0)</f>
        <v>debit    6666050312  Inventory count different- Semifinished</v>
      </c>
      <c r="M74" t="str">
        <f>VLOOKUP(B74,'SAP Actual extraction'!B:B,1,0)</f>
        <v xml:space="preserve">    6666050312  Inventory count different- Semifinished</v>
      </c>
    </row>
    <row r="75" spans="1:13" x14ac:dyDescent="0.3">
      <c r="A75" s="109" t="str">
        <f t="shared" si="0"/>
        <v>debit    6666070100  Software purchase, development and imple</v>
      </c>
      <c r="B75" s="112" t="s">
        <v>287</v>
      </c>
      <c r="C75" s="116">
        <v>0</v>
      </c>
      <c r="D75" s="116">
        <v>0</v>
      </c>
      <c r="E75" s="113">
        <v>0</v>
      </c>
      <c r="F75" s="113">
        <v>0</v>
      </c>
      <c r="G75" s="112" t="s">
        <v>287</v>
      </c>
      <c r="H75" s="114">
        <v>0</v>
      </c>
      <c r="I75" s="114">
        <v>0</v>
      </c>
      <c r="J75" s="115">
        <v>0</v>
      </c>
      <c r="K75" s="113">
        <v>0</v>
      </c>
      <c r="L75" t="str">
        <f>VLOOKUP(A75,'SAP Actual extraction'!$A$28:$A$1048576,1,0)</f>
        <v>debit    6666070100  Software purchase, development and imple</v>
      </c>
      <c r="M75" t="str">
        <f>VLOOKUP(B75,'SAP Actual extraction'!B:B,1,0)</f>
        <v xml:space="preserve">    6666070100  Software purchase, development and imple</v>
      </c>
    </row>
    <row r="76" spans="1:13" x14ac:dyDescent="0.3">
      <c r="A76" s="109" t="str">
        <f t="shared" si="0"/>
        <v>debit    6666070400  IT maint. &amp; repairs hardware</v>
      </c>
      <c r="B76" s="112" t="s">
        <v>289</v>
      </c>
      <c r="C76" s="113">
        <v>-3253.54</v>
      </c>
      <c r="D76" s="113">
        <v>16439.400000000001</v>
      </c>
      <c r="E76" s="113">
        <v>-19692.939999999999</v>
      </c>
      <c r="F76" s="113">
        <v>-119.7911</v>
      </c>
      <c r="G76" s="112" t="s">
        <v>289</v>
      </c>
      <c r="H76" s="114">
        <v>0</v>
      </c>
      <c r="I76" s="114">
        <v>0</v>
      </c>
      <c r="J76" s="115">
        <v>0</v>
      </c>
      <c r="K76" s="113">
        <v>0</v>
      </c>
      <c r="L76" t="str">
        <f>VLOOKUP(A76,'SAP Actual extraction'!$A$28:$A$1048576,1,0)</f>
        <v>debit    6666070400  IT maint. &amp; repairs hardware</v>
      </c>
      <c r="M76" t="str">
        <f>VLOOKUP(B76,'SAP Actual extraction'!B:B,1,0)</f>
        <v xml:space="preserve">    6666070400  IT maint. &amp; repairs hardware</v>
      </c>
    </row>
    <row r="77" spans="1:13" x14ac:dyDescent="0.3">
      <c r="A77" s="109" t="str">
        <f t="shared" si="0"/>
        <v>debit    5207000011  Gain of tangible asset disposal</v>
      </c>
      <c r="B77" s="112" t="s">
        <v>290</v>
      </c>
      <c r="C77" s="116">
        <v>0</v>
      </c>
      <c r="D77" s="116">
        <v>0</v>
      </c>
      <c r="E77" s="113">
        <v>0</v>
      </c>
      <c r="F77" s="113">
        <v>0</v>
      </c>
      <c r="G77" s="112" t="s">
        <v>290</v>
      </c>
      <c r="H77" s="114">
        <v>0</v>
      </c>
      <c r="I77" s="114">
        <v>0</v>
      </c>
      <c r="J77" s="115">
        <v>0</v>
      </c>
      <c r="K77" s="113">
        <v>0</v>
      </c>
      <c r="L77" t="str">
        <f>VLOOKUP(A77,'SAP Actual extraction'!$A$28:$A$1048576,1,0)</f>
        <v>debit    5207000011  Gain of tangible asset disposal</v>
      </c>
      <c r="M77" t="str">
        <f>VLOOKUP(B77,'SAP Actual extraction'!B:B,1,0)</f>
        <v xml:space="preserve">    5207000011  Gain of tangible asset disposal</v>
      </c>
    </row>
    <row r="78" spans="1:13" x14ac:dyDescent="0.3">
      <c r="A78" s="109" t="str">
        <f t="shared" si="0"/>
        <v>debit    5401050201  COGS-Freight out-Special and sporadic fr</v>
      </c>
      <c r="B78" s="112" t="s">
        <v>291</v>
      </c>
      <c r="C78" s="116">
        <v>0</v>
      </c>
      <c r="D78" s="116">
        <v>0</v>
      </c>
      <c r="E78" s="113">
        <v>0</v>
      </c>
      <c r="F78" s="113">
        <v>0</v>
      </c>
      <c r="G78" s="112" t="s">
        <v>291</v>
      </c>
      <c r="H78" s="114">
        <v>0</v>
      </c>
      <c r="I78" s="114">
        <v>0</v>
      </c>
      <c r="J78" s="115">
        <v>0</v>
      </c>
      <c r="K78" s="113">
        <v>0</v>
      </c>
      <c r="L78" t="str">
        <f>VLOOKUP(A78,'SAP Actual extraction'!$A$28:$A$1048576,1,0)</f>
        <v>debit    5401050201  COGS-Freight out-Special and sporadic fr</v>
      </c>
      <c r="M78" t="str">
        <f>VLOOKUP(B78,'SAP Actual extraction'!B:B,1,0)</f>
        <v xml:space="preserve">    5401050201  COGS-Freight out-Special and sporadic fr</v>
      </c>
    </row>
    <row r="79" spans="1:13" x14ac:dyDescent="0.3">
      <c r="A79" s="109" t="str">
        <f t="shared" si="0"/>
        <v>debit*   CS_Fix Cost</v>
      </c>
      <c r="B79" s="117" t="s">
        <v>210</v>
      </c>
      <c r="C79" s="118">
        <v>143862.70000000001</v>
      </c>
      <c r="D79" s="118">
        <v>163860.39000000001</v>
      </c>
      <c r="E79" s="118">
        <v>-19997.689999999999</v>
      </c>
      <c r="F79" s="118">
        <v>-12.2041</v>
      </c>
      <c r="G79" s="117" t="s">
        <v>210</v>
      </c>
      <c r="H79" s="119">
        <v>0</v>
      </c>
      <c r="I79" s="119">
        <v>0</v>
      </c>
      <c r="J79" s="120">
        <v>0</v>
      </c>
      <c r="K79" s="118">
        <v>0</v>
      </c>
      <c r="L79" t="str">
        <f>VLOOKUP(A79,'SAP Actual extraction'!$A$28:$A$1048576,1,0)</f>
        <v>debit*   CS_Fix Cost</v>
      </c>
      <c r="M79" t="str">
        <f>VLOOKUP(B79,'SAP Actual extraction'!B:B,1,0)</f>
        <v>*   CS_Fix Cost</v>
      </c>
    </row>
    <row r="80" spans="1:13" x14ac:dyDescent="0.3">
      <c r="A80" s="109" t="str">
        <f t="shared" ref="A80:A127" si="1">"debit"&amp;B80</f>
        <v>debit    6666110203  Low value consumables</v>
      </c>
      <c r="B80" s="112" t="s">
        <v>292</v>
      </c>
      <c r="C80" s="113">
        <v>-82039.399999999994</v>
      </c>
      <c r="D80" s="113">
        <v>52728.66</v>
      </c>
      <c r="E80" s="113">
        <v>-134768.06</v>
      </c>
      <c r="F80" s="113">
        <v>-255.58789999999999</v>
      </c>
      <c r="G80" s="112" t="s">
        <v>292</v>
      </c>
      <c r="H80" s="114">
        <v>0</v>
      </c>
      <c r="I80" s="114">
        <v>0</v>
      </c>
      <c r="J80" s="115">
        <v>0</v>
      </c>
      <c r="K80" s="113">
        <v>0</v>
      </c>
      <c r="L80" t="str">
        <f>VLOOKUP(A80,'SAP Actual extraction'!$A$28:$A$1048576,1,0)</f>
        <v>debit    6666110203  Low value consumables</v>
      </c>
      <c r="M80" t="str">
        <f>VLOOKUP(B80,'SAP Actual extraction'!B:B,1,0)</f>
        <v xml:space="preserve">    6666110203  Low value consumables</v>
      </c>
    </row>
    <row r="81" spans="1:13" x14ac:dyDescent="0.3">
      <c r="A81" s="109" t="str">
        <f t="shared" si="1"/>
        <v>debit    5102040000  Other Revenue - Other</v>
      </c>
      <c r="B81" s="112" t="s">
        <v>293</v>
      </c>
      <c r="C81" s="116">
        <v>0</v>
      </c>
      <c r="D81" s="116">
        <v>0</v>
      </c>
      <c r="E81" s="113">
        <v>0</v>
      </c>
      <c r="F81" s="113">
        <v>0</v>
      </c>
      <c r="G81" s="112" t="s">
        <v>293</v>
      </c>
      <c r="H81" s="114">
        <v>0</v>
      </c>
      <c r="I81" s="114">
        <v>0</v>
      </c>
      <c r="J81" s="115">
        <v>0</v>
      </c>
      <c r="K81" s="113">
        <v>0</v>
      </c>
      <c r="L81" t="str">
        <f>VLOOKUP(A81,'SAP Actual extraction'!$A$28:$A$1048576,1,0)</f>
        <v>debit    5102040000  Other Revenue - Other</v>
      </c>
      <c r="M81" t="str">
        <f>VLOOKUP(B81,'SAP Actual extraction'!B:B,1,0)</f>
        <v xml:space="preserve">    5102040000  Other Revenue - Other</v>
      </c>
    </row>
    <row r="82" spans="1:13" x14ac:dyDescent="0.3">
      <c r="A82" s="109" t="str">
        <f t="shared" si="1"/>
        <v>debit    6666050307  Inventory count different-raw material</v>
      </c>
      <c r="B82" s="112" t="s">
        <v>294</v>
      </c>
      <c r="C82" s="113">
        <v>-481026.6</v>
      </c>
      <c r="D82" s="116">
        <v>0</v>
      </c>
      <c r="E82" s="113">
        <v>-481026.6</v>
      </c>
      <c r="F82" s="113">
        <v>0</v>
      </c>
      <c r="G82" s="112" t="s">
        <v>294</v>
      </c>
      <c r="H82" s="114">
        <v>0</v>
      </c>
      <c r="I82" s="114">
        <v>0</v>
      </c>
      <c r="J82" s="115">
        <v>0</v>
      </c>
      <c r="K82" s="113">
        <v>0</v>
      </c>
      <c r="L82" t="str">
        <f>VLOOKUP(A82,'SAP Actual extraction'!$A$28:$A$1048576,1,0)</f>
        <v>debit    6666050307  Inventory count different-raw material</v>
      </c>
      <c r="M82" t="str">
        <f>VLOOKUP(B82,'SAP Actual extraction'!B:B,1,0)</f>
        <v xml:space="preserve">    6666050307  Inventory count different-raw material</v>
      </c>
    </row>
    <row r="83" spans="1:13" x14ac:dyDescent="0.3">
      <c r="A83" s="109" t="str">
        <f t="shared" si="1"/>
        <v>debit*   CS_Variable Cost</v>
      </c>
      <c r="B83" s="117" t="s">
        <v>212</v>
      </c>
      <c r="C83" s="118">
        <v>-563066</v>
      </c>
      <c r="D83" s="118">
        <v>52728.66</v>
      </c>
      <c r="E83" s="118">
        <v>-615794.66</v>
      </c>
      <c r="F83" s="118">
        <v>-1167.8557000000001</v>
      </c>
      <c r="G83" s="117" t="s">
        <v>212</v>
      </c>
      <c r="H83" s="119">
        <v>0</v>
      </c>
      <c r="I83" s="119">
        <v>0</v>
      </c>
      <c r="J83" s="120">
        <v>0</v>
      </c>
      <c r="K83" s="118">
        <v>0</v>
      </c>
      <c r="L83" t="str">
        <f>VLOOKUP(A83,'SAP Actual extraction'!$A$28:$A$1048576,1,0)</f>
        <v>debit*   CS_Variable Cost</v>
      </c>
      <c r="M83" t="str">
        <f>VLOOKUP(B83,'SAP Actual extraction'!B:B,1,0)</f>
        <v>*   CS_Variable Cost</v>
      </c>
    </row>
    <row r="84" spans="1:13" x14ac:dyDescent="0.3">
      <c r="A84" s="109" t="str">
        <f t="shared" si="1"/>
        <v>debit    6666100203  Provision for inventory devaluation - RM</v>
      </c>
      <c r="B84" s="112" t="s">
        <v>295</v>
      </c>
      <c r="C84" s="113">
        <v>229172.48000000001</v>
      </c>
      <c r="D84" s="113">
        <v>50000</v>
      </c>
      <c r="E84" s="113">
        <v>179172.48000000001</v>
      </c>
      <c r="F84" s="113">
        <v>358.34500000000003</v>
      </c>
      <c r="G84" s="112" t="s">
        <v>295</v>
      </c>
      <c r="H84" s="114">
        <v>0</v>
      </c>
      <c r="I84" s="114">
        <v>0</v>
      </c>
      <c r="J84" s="115">
        <v>0</v>
      </c>
      <c r="K84" s="113">
        <v>0</v>
      </c>
      <c r="L84" t="str">
        <f>VLOOKUP(A84,'SAP Actual extraction'!$A$28:$A$1048576,1,0)</f>
        <v>debit    6666100203  Provision for inventory devaluation - RM</v>
      </c>
      <c r="M84" t="str">
        <f>VLOOKUP(B84,'SAP Actual extraction'!B:B,1,0)</f>
        <v xml:space="preserve">    6666100203  Provision for inventory devaluation - RM</v>
      </c>
    </row>
    <row r="85" spans="1:13" x14ac:dyDescent="0.3">
      <c r="A85" s="109" t="str">
        <f t="shared" si="1"/>
        <v>debit*   CS_Obsolescence</v>
      </c>
      <c r="B85" s="117" t="s">
        <v>213</v>
      </c>
      <c r="C85" s="118">
        <v>229172.48000000001</v>
      </c>
      <c r="D85" s="118">
        <v>50000</v>
      </c>
      <c r="E85" s="118">
        <v>179172.48000000001</v>
      </c>
      <c r="F85" s="118">
        <v>358.34500000000003</v>
      </c>
      <c r="G85" s="117" t="s">
        <v>213</v>
      </c>
      <c r="H85" s="119">
        <v>0</v>
      </c>
      <c r="I85" s="119">
        <v>0</v>
      </c>
      <c r="J85" s="120">
        <v>0</v>
      </c>
      <c r="K85" s="118">
        <v>0</v>
      </c>
      <c r="L85" t="str">
        <f>VLOOKUP(A85,'SAP Actual extraction'!$A$28:$A$1048576,1,0)</f>
        <v>debit*   CS_Obsolescence</v>
      </c>
      <c r="M85" t="str">
        <f>VLOOKUP(B85,'SAP Actual extraction'!B:B,1,0)</f>
        <v>*   CS_Obsolescence</v>
      </c>
    </row>
    <row r="86" spans="1:13" x14ac:dyDescent="0.3">
      <c r="A86" s="109" t="str">
        <f t="shared" si="1"/>
        <v>debit    5301070000  Non-operation revenue-sales of scrapped</v>
      </c>
      <c r="B86" s="112" t="s">
        <v>296</v>
      </c>
      <c r="C86" s="113">
        <v>-224108.68</v>
      </c>
      <c r="D86" s="113">
        <v>-249838.04</v>
      </c>
      <c r="E86" s="113">
        <v>25729.360000000001</v>
      </c>
      <c r="F86" s="113">
        <v>-10.298400000000001</v>
      </c>
      <c r="G86" s="112" t="s">
        <v>296</v>
      </c>
      <c r="H86" s="114">
        <v>0</v>
      </c>
      <c r="I86" s="114">
        <v>0</v>
      </c>
      <c r="J86" s="115">
        <v>0</v>
      </c>
      <c r="K86" s="113">
        <v>0</v>
      </c>
      <c r="L86" t="str">
        <f>VLOOKUP(A86,'SAP Actual extraction'!$A$28:$A$1048576,1,0)</f>
        <v>debit    5301070000  Non-operation revenue-sales of scrapped</v>
      </c>
      <c r="M86" t="str">
        <f>VLOOKUP(B86,'SAP Actual extraction'!B:B,1,0)</f>
        <v xml:space="preserve">    5301070000  Non-operation revenue-sales of scrapped</v>
      </c>
    </row>
    <row r="87" spans="1:13" x14ac:dyDescent="0.3">
      <c r="A87" s="109" t="str">
        <f t="shared" si="1"/>
        <v>debit*   CS_Reselling</v>
      </c>
      <c r="B87" s="117" t="s">
        <v>214</v>
      </c>
      <c r="C87" s="118">
        <v>-224108.68</v>
      </c>
      <c r="D87" s="118">
        <v>-249838.04</v>
      </c>
      <c r="E87" s="118">
        <v>25729.360000000001</v>
      </c>
      <c r="F87" s="118">
        <v>-10.298400000000001</v>
      </c>
      <c r="G87" s="117" t="s">
        <v>214</v>
      </c>
      <c r="H87" s="119">
        <v>0</v>
      </c>
      <c r="I87" s="119">
        <v>0</v>
      </c>
      <c r="J87" s="120">
        <v>0</v>
      </c>
      <c r="K87" s="118">
        <v>0</v>
      </c>
      <c r="L87" t="str">
        <f>VLOOKUP(A87,'SAP Actual extraction'!$A$28:$A$1048576,1,0)</f>
        <v>debit*   CS_Reselling</v>
      </c>
      <c r="M87" t="str">
        <f>VLOOKUP(B87,'SAP Actual extraction'!B:B,1,0)</f>
        <v>*   CS_Reselling</v>
      </c>
    </row>
    <row r="88" spans="1:13" x14ac:dyDescent="0.3">
      <c r="A88" s="109" t="str">
        <f t="shared" si="1"/>
        <v>debit    6666021602  Electricity</v>
      </c>
      <c r="B88" s="112" t="s">
        <v>297</v>
      </c>
      <c r="C88" s="113">
        <v>1174.02</v>
      </c>
      <c r="D88" s="113">
        <v>23873.3</v>
      </c>
      <c r="E88" s="113">
        <v>-22699.279999999999</v>
      </c>
      <c r="F88" s="113">
        <v>-95.082300000000004</v>
      </c>
      <c r="G88" s="112" t="s">
        <v>297</v>
      </c>
      <c r="H88" s="114">
        <v>0</v>
      </c>
      <c r="I88" s="114">
        <v>0</v>
      </c>
      <c r="J88" s="115">
        <v>0</v>
      </c>
      <c r="K88" s="113">
        <v>0</v>
      </c>
      <c r="L88" t="str">
        <f>VLOOKUP(A88,'SAP Actual extraction'!$A$28:$A$1048576,1,0)</f>
        <v>debit    6666021602  Electricity</v>
      </c>
      <c r="M88" t="str">
        <f>VLOOKUP(B88,'SAP Actual extraction'!B:B,1,0)</f>
        <v xml:space="preserve">    6666021602  Electricity</v>
      </c>
    </row>
    <row r="89" spans="1:13" x14ac:dyDescent="0.3">
      <c r="A89" s="109" t="str">
        <f t="shared" si="1"/>
        <v>debit*   CS_Fix Utilities</v>
      </c>
      <c r="B89" s="117" t="s">
        <v>215</v>
      </c>
      <c r="C89" s="118">
        <v>1174.02</v>
      </c>
      <c r="D89" s="118">
        <v>23873.3</v>
      </c>
      <c r="E89" s="118">
        <v>-22699.279999999999</v>
      </c>
      <c r="F89" s="118">
        <v>-95.082300000000004</v>
      </c>
      <c r="G89" s="117" t="s">
        <v>215</v>
      </c>
      <c r="H89" s="119">
        <v>0</v>
      </c>
      <c r="I89" s="119">
        <v>0</v>
      </c>
      <c r="J89" s="120">
        <v>0</v>
      </c>
      <c r="K89" s="118">
        <v>0</v>
      </c>
      <c r="L89" t="str">
        <f>VLOOKUP(A89,'SAP Actual extraction'!$A$28:$A$1048576,1,0)</f>
        <v>debit*   CS_Fix Utilities</v>
      </c>
      <c r="M89" t="str">
        <f>VLOOKUP(B89,'SAP Actual extraction'!B:B,1,0)</f>
        <v>*   CS_Fix Utilities</v>
      </c>
    </row>
    <row r="90" spans="1:13" x14ac:dyDescent="0.3">
      <c r="A90" s="109" t="str">
        <f t="shared" si="1"/>
        <v>debit    6666021600  Energy and power cost</v>
      </c>
      <c r="B90" s="112" t="s">
        <v>298</v>
      </c>
      <c r="C90" s="113">
        <v>34611.85</v>
      </c>
      <c r="D90" s="113">
        <v>69880.509999999995</v>
      </c>
      <c r="E90" s="113">
        <v>-35268.660000000003</v>
      </c>
      <c r="F90" s="113">
        <v>-50.47</v>
      </c>
      <c r="G90" s="112" t="s">
        <v>298</v>
      </c>
      <c r="H90" s="114">
        <v>0</v>
      </c>
      <c r="I90" s="114">
        <v>0</v>
      </c>
      <c r="J90" s="115">
        <v>0</v>
      </c>
      <c r="K90" s="113">
        <v>0</v>
      </c>
      <c r="L90" t="str">
        <f>VLOOKUP(A90,'SAP Actual extraction'!$A$28:$A$1048576,1,0)</f>
        <v>debit    6666021600  Energy and power cost</v>
      </c>
      <c r="M90" t="str">
        <f>VLOOKUP(B90,'SAP Actual extraction'!B:B,1,0)</f>
        <v xml:space="preserve">    6666021600  Energy and power cost</v>
      </c>
    </row>
    <row r="91" spans="1:13" x14ac:dyDescent="0.3">
      <c r="A91" s="109" t="str">
        <f t="shared" si="1"/>
        <v>debit    6666021603  Water</v>
      </c>
      <c r="B91" s="112" t="s">
        <v>299</v>
      </c>
      <c r="C91" s="113">
        <v>2237.3000000000002</v>
      </c>
      <c r="D91" s="116">
        <v>0</v>
      </c>
      <c r="E91" s="113">
        <v>2237.3000000000002</v>
      </c>
      <c r="F91" s="113">
        <v>0</v>
      </c>
      <c r="G91" s="112" t="s">
        <v>299</v>
      </c>
      <c r="H91" s="114">
        <v>0</v>
      </c>
      <c r="I91" s="114">
        <v>0</v>
      </c>
      <c r="J91" s="115">
        <v>0</v>
      </c>
      <c r="K91" s="113">
        <v>0</v>
      </c>
      <c r="L91" t="str">
        <f>VLOOKUP(A91,'SAP Actual extraction'!$A$28:$A$1048576,1,0)</f>
        <v>debit    6666021603  Water</v>
      </c>
      <c r="M91" t="str">
        <f>VLOOKUP(B91,'SAP Actual extraction'!B:B,1,0)</f>
        <v xml:space="preserve">    6666021603  Water</v>
      </c>
    </row>
    <row r="92" spans="1:13" x14ac:dyDescent="0.3">
      <c r="A92" s="109" t="str">
        <f t="shared" si="1"/>
        <v>debit    6666021604  Oil &amp; Gas</v>
      </c>
      <c r="B92" s="112" t="s">
        <v>300</v>
      </c>
      <c r="C92" s="113">
        <v>13226.7</v>
      </c>
      <c r="D92" s="113">
        <v>19005.849999999999</v>
      </c>
      <c r="E92" s="113">
        <v>-5779.15</v>
      </c>
      <c r="F92" s="113">
        <v>-30.4072</v>
      </c>
      <c r="G92" s="112" t="s">
        <v>300</v>
      </c>
      <c r="H92" s="114">
        <v>0</v>
      </c>
      <c r="I92" s="114">
        <v>0</v>
      </c>
      <c r="J92" s="115">
        <v>0</v>
      </c>
      <c r="K92" s="113">
        <v>0</v>
      </c>
      <c r="L92" t="str">
        <f>VLOOKUP(A92,'SAP Actual extraction'!$A$28:$A$1048576,1,0)</f>
        <v>debit    6666021604  Oil &amp; Gas</v>
      </c>
      <c r="M92" t="str">
        <f>VLOOKUP(B92,'SAP Actual extraction'!B:B,1,0)</f>
        <v xml:space="preserve">    6666021604  Oil &amp; Gas</v>
      </c>
    </row>
    <row r="93" spans="1:13" x14ac:dyDescent="0.3">
      <c r="A93" s="109" t="str">
        <f t="shared" si="1"/>
        <v>debit*   CS_Variable Utilities</v>
      </c>
      <c r="B93" s="117" t="s">
        <v>216</v>
      </c>
      <c r="C93" s="118">
        <v>50075.85</v>
      </c>
      <c r="D93" s="118">
        <v>88886.36</v>
      </c>
      <c r="E93" s="118">
        <v>-38810.51</v>
      </c>
      <c r="F93" s="118">
        <v>-43.6631</v>
      </c>
      <c r="G93" s="117" t="s">
        <v>216</v>
      </c>
      <c r="H93" s="119">
        <v>0</v>
      </c>
      <c r="I93" s="119">
        <v>0</v>
      </c>
      <c r="J93" s="120">
        <v>0</v>
      </c>
      <c r="K93" s="118">
        <v>0</v>
      </c>
      <c r="L93" t="str">
        <f>VLOOKUP(A93,'SAP Actual extraction'!$A$28:$A$1048576,1,0)</f>
        <v>debit*   CS_Variable Utilities</v>
      </c>
      <c r="M93" t="str">
        <f>VLOOKUP(B93,'SAP Actual extraction'!B:B,1,0)</f>
        <v>*   CS_Variable Utilities</v>
      </c>
    </row>
    <row r="94" spans="1:13" x14ac:dyDescent="0.3">
      <c r="A94" s="109" t="str">
        <f t="shared" si="1"/>
        <v>debit    5001010206  Unemployment Insurance -blue collar-Indi</v>
      </c>
      <c r="B94" s="112" t="s">
        <v>301</v>
      </c>
      <c r="C94" s="113">
        <v>7533.53</v>
      </c>
      <c r="D94" s="116">
        <v>0</v>
      </c>
      <c r="E94" s="113">
        <v>7533.53</v>
      </c>
      <c r="F94" s="113">
        <v>0</v>
      </c>
      <c r="G94" s="112" t="s">
        <v>301</v>
      </c>
      <c r="H94" s="114">
        <v>0</v>
      </c>
      <c r="I94" s="114">
        <v>0</v>
      </c>
      <c r="J94" s="115">
        <v>0</v>
      </c>
      <c r="K94" s="113">
        <v>0</v>
      </c>
      <c r="L94" t="str">
        <f>VLOOKUP(A94,'SAP Actual extraction'!$A$28:$A$1048576,1,0)</f>
        <v>debit    5001010206  Unemployment Insurance -blue collar-Indi</v>
      </c>
      <c r="M94" t="str">
        <f>VLOOKUP(B94,'SAP Actual extraction'!B:B,1,0)</f>
        <v xml:space="preserve">    5001010206  Unemployment Insurance -blue collar-Indi</v>
      </c>
    </row>
    <row r="95" spans="1:13" x14ac:dyDescent="0.3">
      <c r="A95" s="109" t="str">
        <f t="shared" si="1"/>
        <v>debit    6666010184  Salary&amp;Additional Incentive-Blue Collar-</v>
      </c>
      <c r="B95" s="112" t="s">
        <v>302</v>
      </c>
      <c r="C95" s="113">
        <v>-196.23</v>
      </c>
      <c r="D95" s="116">
        <v>0</v>
      </c>
      <c r="E95" s="113">
        <v>-196.23</v>
      </c>
      <c r="F95" s="113">
        <v>0</v>
      </c>
      <c r="G95" s="112" t="s">
        <v>302</v>
      </c>
      <c r="H95" s="114">
        <v>0</v>
      </c>
      <c r="I95" s="114">
        <v>0</v>
      </c>
      <c r="J95" s="115">
        <v>0</v>
      </c>
      <c r="K95" s="113">
        <v>0</v>
      </c>
      <c r="L95" t="str">
        <f>VLOOKUP(A95,'SAP Actual extraction'!$A$28:$A$1048576,1,0)</f>
        <v>debit    6666010184  Salary&amp;Additional Incentive-Blue Collar-</v>
      </c>
      <c r="M95" t="str">
        <f>VLOOKUP(B95,'SAP Actual extraction'!B:B,1,0)</f>
        <v xml:space="preserve">    6666010184  Salary&amp;Additional Incentive-Blue Collar-</v>
      </c>
    </row>
    <row r="96" spans="1:13" x14ac:dyDescent="0.3">
      <c r="A96" s="109" t="str">
        <f t="shared" si="1"/>
        <v>debit    6666010186  Overtime-Blue Collar-Indirect</v>
      </c>
      <c r="B96" s="112" t="s">
        <v>303</v>
      </c>
      <c r="C96" s="113">
        <v>18531.71</v>
      </c>
      <c r="D96" s="116">
        <v>0</v>
      </c>
      <c r="E96" s="113">
        <v>18531.71</v>
      </c>
      <c r="F96" s="113">
        <v>0</v>
      </c>
      <c r="G96" s="112" t="s">
        <v>303</v>
      </c>
      <c r="H96" s="114">
        <v>0</v>
      </c>
      <c r="I96" s="114">
        <v>0</v>
      </c>
      <c r="J96" s="115">
        <v>0</v>
      </c>
      <c r="K96" s="113">
        <v>0</v>
      </c>
      <c r="L96" t="str">
        <f>VLOOKUP(A96,'SAP Actual extraction'!$A$28:$A$1048576,1,0)</f>
        <v>debit    6666010186  Overtime-Blue Collar-Indirect</v>
      </c>
      <c r="M96" t="str">
        <f>VLOOKUP(B96,'SAP Actual extraction'!B:B,1,0)</f>
        <v xml:space="preserve">    6666010186  Overtime-Blue Collar-Indirect</v>
      </c>
    </row>
    <row r="97" spans="1:13" x14ac:dyDescent="0.3">
      <c r="A97" s="109" t="str">
        <f t="shared" si="1"/>
        <v>debit    6666010189  Salary - Blue collar indirect employees</v>
      </c>
      <c r="B97" s="112" t="s">
        <v>304</v>
      </c>
      <c r="C97" s="113">
        <v>-2984.09</v>
      </c>
      <c r="D97" s="113">
        <v>653460.86</v>
      </c>
      <c r="E97" s="113">
        <v>-656444.94999999995</v>
      </c>
      <c r="F97" s="113">
        <v>-100.4567</v>
      </c>
      <c r="G97" s="112" t="s">
        <v>304</v>
      </c>
      <c r="H97" s="114">
        <v>0</v>
      </c>
      <c r="I97" s="114">
        <v>0</v>
      </c>
      <c r="J97" s="115">
        <v>0</v>
      </c>
      <c r="K97" s="113">
        <v>0</v>
      </c>
      <c r="L97" t="str">
        <f>VLOOKUP(A97,'SAP Actual extraction'!$A$28:$A$1048576,1,0)</f>
        <v>debit    6666010189  Salary - Blue collar indirect employees</v>
      </c>
      <c r="M97" t="str">
        <f>VLOOKUP(B97,'SAP Actual extraction'!B:B,1,0)</f>
        <v xml:space="preserve">    6666010189  Salary - Blue collar indirect employees</v>
      </c>
    </row>
    <row r="98" spans="1:13" x14ac:dyDescent="0.3">
      <c r="A98" s="109" t="str">
        <f t="shared" si="1"/>
        <v>debit    6666010012  Payroll Taxes- Blue Collar Indirect</v>
      </c>
      <c r="B98" s="112" t="s">
        <v>305</v>
      </c>
      <c r="C98" s="113">
        <v>60647.66</v>
      </c>
      <c r="D98" s="116">
        <v>0</v>
      </c>
      <c r="E98" s="113">
        <v>60647.66</v>
      </c>
      <c r="F98" s="113">
        <v>0</v>
      </c>
      <c r="G98" s="112" t="s">
        <v>305</v>
      </c>
      <c r="H98" s="114">
        <v>0</v>
      </c>
      <c r="I98" s="114">
        <v>0</v>
      </c>
      <c r="J98" s="115">
        <v>0</v>
      </c>
      <c r="K98" s="113">
        <v>0</v>
      </c>
      <c r="M98" t="str">
        <f>VLOOKUP(B98,'SAP Actual extraction'!B:B,1,0)</f>
        <v xml:space="preserve">    6666010012  Payroll Taxes- Blue Collar Indirect</v>
      </c>
    </row>
    <row r="99" spans="1:13" x14ac:dyDescent="0.3">
      <c r="A99" s="109" t="str">
        <f t="shared" si="1"/>
        <v>debit    6666010226  Staff Leaving Indemnity - Blue Collar In</v>
      </c>
      <c r="B99" s="112" t="s">
        <v>306</v>
      </c>
      <c r="C99" s="113">
        <v>12896.98</v>
      </c>
      <c r="D99" s="116">
        <v>0</v>
      </c>
      <c r="E99" s="113">
        <v>12896.98</v>
      </c>
      <c r="F99" s="113">
        <v>0</v>
      </c>
      <c r="G99" s="112" t="s">
        <v>306</v>
      </c>
      <c r="H99" s="114">
        <v>0</v>
      </c>
      <c r="I99" s="114">
        <v>0</v>
      </c>
      <c r="J99" s="115">
        <v>0</v>
      </c>
      <c r="K99" s="113">
        <v>0</v>
      </c>
      <c r="M99" t="str">
        <f>VLOOKUP(B99,'SAP Actual extraction'!B:B,1,0)</f>
        <v xml:space="preserve">    6666010226  Staff Leaving Indemnity - Blue Collar In</v>
      </c>
    </row>
    <row r="100" spans="1:13" x14ac:dyDescent="0.3">
      <c r="A100" s="109" t="str">
        <f t="shared" si="1"/>
        <v>debit    6666010102  Salary-Blue collar indirect employees- A</v>
      </c>
      <c r="B100" s="112" t="s">
        <v>307</v>
      </c>
      <c r="C100" s="113">
        <v>370101.34</v>
      </c>
      <c r="D100" s="116">
        <v>0</v>
      </c>
      <c r="E100" s="113">
        <v>370101.34</v>
      </c>
      <c r="F100" s="113">
        <v>0</v>
      </c>
      <c r="G100" s="112" t="s">
        <v>307</v>
      </c>
      <c r="H100" s="114">
        <v>0</v>
      </c>
      <c r="I100" s="114">
        <v>0</v>
      </c>
      <c r="J100" s="115">
        <v>0</v>
      </c>
      <c r="K100" s="113">
        <v>0</v>
      </c>
    </row>
    <row r="101" spans="1:13" x14ac:dyDescent="0.3">
      <c r="A101" s="109" t="str">
        <f t="shared" si="1"/>
        <v>debit*   CS_Indirect Labour</v>
      </c>
      <c r="B101" s="117" t="s">
        <v>217</v>
      </c>
      <c r="C101" s="118">
        <v>466530.9</v>
      </c>
      <c r="D101" s="118">
        <v>653460.86</v>
      </c>
      <c r="E101" s="118">
        <v>-186929.96</v>
      </c>
      <c r="F101" s="118">
        <v>-28.606100000000001</v>
      </c>
      <c r="G101" s="117" t="s">
        <v>217</v>
      </c>
      <c r="H101" s="119">
        <v>0</v>
      </c>
      <c r="I101" s="119">
        <v>0</v>
      </c>
      <c r="J101" s="120">
        <v>0</v>
      </c>
      <c r="K101" s="118">
        <v>0</v>
      </c>
    </row>
    <row r="102" spans="1:13" x14ac:dyDescent="0.3">
      <c r="A102" s="109" t="str">
        <f t="shared" si="1"/>
        <v>debit    6666010196  Payroll Taxes-White Collar Employee</v>
      </c>
      <c r="B102" s="112" t="s">
        <v>308</v>
      </c>
      <c r="C102" s="113">
        <v>23985.200000000001</v>
      </c>
      <c r="D102" s="116">
        <v>0</v>
      </c>
      <c r="E102" s="113">
        <v>23985.200000000001</v>
      </c>
      <c r="F102" s="113">
        <v>0</v>
      </c>
      <c r="G102" s="112" t="s">
        <v>308</v>
      </c>
      <c r="H102" s="114">
        <v>0</v>
      </c>
      <c r="I102" s="114">
        <v>0</v>
      </c>
      <c r="J102" s="115">
        <v>0</v>
      </c>
      <c r="K102" s="113">
        <v>0</v>
      </c>
    </row>
    <row r="103" spans="1:13" x14ac:dyDescent="0.3">
      <c r="A103" s="109" t="str">
        <f t="shared" si="1"/>
        <v>debit    6666010101  Salary - White collar employees</v>
      </c>
      <c r="B103" s="112" t="s">
        <v>309</v>
      </c>
      <c r="C103" s="113">
        <v>153462.96</v>
      </c>
      <c r="D103" s="113">
        <v>157619.20000000001</v>
      </c>
      <c r="E103" s="113">
        <v>-4156.24</v>
      </c>
      <c r="F103" s="113">
        <v>-2.6368999999999998</v>
      </c>
      <c r="G103" s="112" t="s">
        <v>309</v>
      </c>
      <c r="H103" s="114">
        <v>0</v>
      </c>
      <c r="I103" s="114">
        <v>0</v>
      </c>
      <c r="J103" s="115">
        <v>0</v>
      </c>
      <c r="K103" s="113">
        <v>0</v>
      </c>
    </row>
    <row r="104" spans="1:13" x14ac:dyDescent="0.3">
      <c r="A104" s="109" t="str">
        <f t="shared" si="1"/>
        <v>debit    6666010199  Salary-White collar employees -Accrued</v>
      </c>
      <c r="B104" s="112" t="s">
        <v>310</v>
      </c>
      <c r="C104" s="113">
        <v>10575.36</v>
      </c>
      <c r="D104" s="116">
        <v>0</v>
      </c>
      <c r="E104" s="113">
        <v>10575.36</v>
      </c>
      <c r="F104" s="113">
        <v>0</v>
      </c>
      <c r="G104" s="112" t="s">
        <v>310</v>
      </c>
      <c r="H104" s="114">
        <v>0</v>
      </c>
      <c r="I104" s="114">
        <v>0</v>
      </c>
      <c r="J104" s="115">
        <v>0</v>
      </c>
      <c r="K104" s="113">
        <v>0</v>
      </c>
      <c r="M104" t="str">
        <f>VLOOKUP(B104,'SAP Actual extraction'!B:B,1,0)</f>
        <v xml:space="preserve">    6666010199  Salary-White collar employees -Accrued</v>
      </c>
    </row>
    <row r="105" spans="1:13" x14ac:dyDescent="0.3">
      <c r="A105" s="109" t="str">
        <f t="shared" si="1"/>
        <v>debit    6666010185  Salary&amp;Additional Incentive-White Collar</v>
      </c>
      <c r="B105" s="112" t="s">
        <v>311</v>
      </c>
      <c r="C105" s="113">
        <v>-613.48</v>
      </c>
      <c r="D105" s="116">
        <v>0</v>
      </c>
      <c r="E105" s="113">
        <v>-613.48</v>
      </c>
      <c r="F105" s="113">
        <v>0</v>
      </c>
      <c r="G105" s="112" t="s">
        <v>311</v>
      </c>
      <c r="H105" s="114">
        <v>0</v>
      </c>
      <c r="I105" s="114">
        <v>0</v>
      </c>
      <c r="J105" s="115">
        <v>0</v>
      </c>
      <c r="K105" s="113">
        <v>0</v>
      </c>
      <c r="M105" t="str">
        <f>VLOOKUP(B105,'SAP Actual extraction'!B:B,1,0)</f>
        <v xml:space="preserve">    6666010185  Salary&amp;Additional Incentive-White Collar</v>
      </c>
    </row>
    <row r="106" spans="1:13" x14ac:dyDescent="0.3">
      <c r="A106" s="109" t="str">
        <f t="shared" si="1"/>
        <v>debit    6666010207  Unemployment insurance companies to pay</v>
      </c>
      <c r="B106" s="112" t="s">
        <v>312</v>
      </c>
      <c r="C106" s="113">
        <v>2324.2800000000002</v>
      </c>
      <c r="D106" s="116">
        <v>0</v>
      </c>
      <c r="E106" s="113">
        <v>2324.2800000000002</v>
      </c>
      <c r="F106" s="113">
        <v>0</v>
      </c>
      <c r="G106" s="112" t="s">
        <v>312</v>
      </c>
      <c r="H106" s="114">
        <v>0</v>
      </c>
      <c r="I106" s="114">
        <v>0</v>
      </c>
      <c r="J106" s="115">
        <v>0</v>
      </c>
      <c r="K106" s="113">
        <v>0</v>
      </c>
      <c r="M106" t="str">
        <f>VLOOKUP(B106,'SAP Actual extraction'!B:B,1,0)</f>
        <v xml:space="preserve">    6666010207  Unemployment insurance companies to pay</v>
      </c>
    </row>
    <row r="107" spans="1:13" x14ac:dyDescent="0.3">
      <c r="A107" s="109" t="str">
        <f t="shared" si="1"/>
        <v>debit    6666010227  Staff Leaving Indemnity - White collar E</v>
      </c>
      <c r="B107" s="112" t="s">
        <v>314</v>
      </c>
      <c r="C107" s="113">
        <v>3452.92</v>
      </c>
      <c r="D107" s="116">
        <v>0</v>
      </c>
      <c r="E107" s="113">
        <v>3452.92</v>
      </c>
      <c r="F107" s="113">
        <v>0</v>
      </c>
      <c r="G107" s="112" t="s">
        <v>314</v>
      </c>
      <c r="H107" s="114">
        <v>0</v>
      </c>
      <c r="I107" s="114">
        <v>0</v>
      </c>
      <c r="J107" s="115">
        <v>0</v>
      </c>
      <c r="K107" s="113">
        <v>0</v>
      </c>
      <c r="M107" t="str">
        <f>VLOOKUP(B107,'SAP Actual extraction'!B:B,1,0)</f>
        <v xml:space="preserve">    6666010227  Staff Leaving Indemnity - White collar E</v>
      </c>
    </row>
    <row r="108" spans="1:13" x14ac:dyDescent="0.3">
      <c r="A108" s="109" t="str">
        <f t="shared" si="1"/>
        <v>debit*   CS_Fixed Labour</v>
      </c>
      <c r="B108" s="117" t="s">
        <v>218</v>
      </c>
      <c r="C108" s="118">
        <v>193187.24</v>
      </c>
      <c r="D108" s="118">
        <v>157619.20000000001</v>
      </c>
      <c r="E108" s="118">
        <v>35568.04</v>
      </c>
      <c r="F108" s="118">
        <v>22.565799999999999</v>
      </c>
      <c r="G108" s="117" t="s">
        <v>218</v>
      </c>
      <c r="H108" s="119">
        <v>0</v>
      </c>
      <c r="I108" s="119">
        <v>0</v>
      </c>
      <c r="J108" s="120">
        <v>0</v>
      </c>
      <c r="K108" s="118">
        <v>0</v>
      </c>
      <c r="L108" t="str">
        <f>VLOOKUP(A108,'SAP Actual extraction'!$A$28:$A$1048576,1,0)</f>
        <v>debit*   CS_Fixed Labour</v>
      </c>
      <c r="M108" t="str">
        <f>VLOOKUP(B108,'SAP Actual extraction'!B:B,1,0)</f>
        <v>*   CS_Fixed Labour</v>
      </c>
    </row>
    <row r="109" spans="1:13" x14ac:dyDescent="0.3">
      <c r="A109" s="109" t="str">
        <f t="shared" si="1"/>
        <v>debit    600007      Maintenance</v>
      </c>
      <c r="B109" s="112" t="s">
        <v>360</v>
      </c>
      <c r="C109" s="116">
        <v>0</v>
      </c>
      <c r="D109" s="116">
        <v>0</v>
      </c>
      <c r="E109" s="113">
        <v>0</v>
      </c>
      <c r="F109" s="113">
        <v>0</v>
      </c>
      <c r="G109" s="112" t="s">
        <v>360</v>
      </c>
      <c r="H109" s="114">
        <v>0</v>
      </c>
      <c r="I109" s="114">
        <v>0</v>
      </c>
      <c r="J109" s="115">
        <v>0</v>
      </c>
      <c r="K109" s="113">
        <v>0</v>
      </c>
      <c r="M109" t="e">
        <f>VLOOKUP(B109,'SAP Actual extraction'!B:B,1,0)</f>
        <v>#N/A</v>
      </c>
    </row>
    <row r="110" spans="1:13" x14ac:dyDescent="0.3">
      <c r="A110" s="109" t="str">
        <f t="shared" si="1"/>
        <v>debit    6666020903  Other materials</v>
      </c>
      <c r="B110" s="112" t="s">
        <v>315</v>
      </c>
      <c r="C110" s="116">
        <v>0</v>
      </c>
      <c r="D110" s="116">
        <v>0</v>
      </c>
      <c r="E110" s="113">
        <v>0</v>
      </c>
      <c r="F110" s="113">
        <v>0</v>
      </c>
      <c r="G110" s="112" t="s">
        <v>315</v>
      </c>
      <c r="H110" s="114">
        <v>0</v>
      </c>
      <c r="I110" s="114">
        <v>0</v>
      </c>
      <c r="J110" s="115">
        <v>0</v>
      </c>
      <c r="K110" s="113">
        <v>0</v>
      </c>
      <c r="L110" t="str">
        <f>VLOOKUP(A110,'SAP Actual extraction'!$A$28:$A$1048576,1,0)</f>
        <v>debit    6666020903  Other materials</v>
      </c>
      <c r="M110" t="str">
        <f>VLOOKUP(B110,'SAP Actual extraction'!B:B,1,0)</f>
        <v xml:space="preserve">    6666020903  Other materials</v>
      </c>
    </row>
    <row r="111" spans="1:13" x14ac:dyDescent="0.3">
      <c r="A111" s="109" t="str">
        <f t="shared" si="1"/>
        <v>debit    6666010302  Medical expenses</v>
      </c>
      <c r="B111" s="112" t="s">
        <v>316</v>
      </c>
      <c r="C111" s="113">
        <v>7525.59</v>
      </c>
      <c r="D111" s="113">
        <v>17550.39</v>
      </c>
      <c r="E111" s="113">
        <v>-10024.799999999999</v>
      </c>
      <c r="F111" s="113">
        <v>-57.120100000000001</v>
      </c>
      <c r="G111" s="112" t="s">
        <v>316</v>
      </c>
      <c r="H111" s="114">
        <v>0</v>
      </c>
      <c r="I111" s="114">
        <v>0</v>
      </c>
      <c r="J111" s="115">
        <v>0</v>
      </c>
      <c r="K111" s="113">
        <v>0</v>
      </c>
      <c r="L111" t="str">
        <f>VLOOKUP(A111,'SAP Actual extraction'!$A$28:$A$1048576,1,0)</f>
        <v>debit    6666010302  Medical expenses</v>
      </c>
      <c r="M111" t="str">
        <f>VLOOKUP(B111,'SAP Actual extraction'!B:B,1,0)</f>
        <v xml:space="preserve">    6666010302  Medical expenses</v>
      </c>
    </row>
    <row r="112" spans="1:13" x14ac:dyDescent="0.3">
      <c r="A112" s="109" t="str">
        <f t="shared" si="1"/>
        <v>debit    6666010314  Work uniforms</v>
      </c>
      <c r="B112" s="112" t="s">
        <v>317</v>
      </c>
      <c r="C112" s="113">
        <v>3683.34</v>
      </c>
      <c r="D112" s="113">
        <v>70952.23</v>
      </c>
      <c r="E112" s="113">
        <v>-67268.89</v>
      </c>
      <c r="F112" s="113">
        <v>-94.808700000000002</v>
      </c>
      <c r="G112" s="112" t="s">
        <v>317</v>
      </c>
      <c r="H112" s="114">
        <v>0</v>
      </c>
      <c r="I112" s="114">
        <v>0</v>
      </c>
      <c r="J112" s="115">
        <v>0</v>
      </c>
      <c r="K112" s="113">
        <v>0</v>
      </c>
      <c r="L112" t="str">
        <f>VLOOKUP(A112,'SAP Actual extraction'!$A$28:$A$1048576,1,0)</f>
        <v>debit    6666010314  Work uniforms</v>
      </c>
      <c r="M112" t="str">
        <f>VLOOKUP(B112,'SAP Actual extraction'!B:B,1,0)</f>
        <v xml:space="preserve">    6666010314  Work uniforms</v>
      </c>
    </row>
    <row r="113" spans="1:13" x14ac:dyDescent="0.3">
      <c r="A113" s="109" t="str">
        <f t="shared" si="1"/>
        <v>debit    6666020401  local transportation - bus and taxi</v>
      </c>
      <c r="B113" s="112" t="s">
        <v>318</v>
      </c>
      <c r="C113" s="113">
        <v>114402.22</v>
      </c>
      <c r="D113" s="113">
        <v>222965.74</v>
      </c>
      <c r="E113" s="113">
        <v>-108563.52</v>
      </c>
      <c r="F113" s="113">
        <v>-48.6907</v>
      </c>
      <c r="G113" s="112" t="s">
        <v>318</v>
      </c>
      <c r="H113" s="114">
        <v>0</v>
      </c>
      <c r="I113" s="114">
        <v>0</v>
      </c>
      <c r="J113" s="115">
        <v>0</v>
      </c>
      <c r="K113" s="113">
        <v>0</v>
      </c>
      <c r="L113" t="str">
        <f>VLOOKUP(A113,'SAP Actual extraction'!$A$28:$A$1048576,1,0)</f>
        <v>debit    6666020401  local transportation - bus and taxi</v>
      </c>
      <c r="M113" t="str">
        <f>VLOOKUP(B113,'SAP Actual extraction'!B:B,1,0)</f>
        <v xml:space="preserve">    6666020401  local transportation - bus and taxi</v>
      </c>
    </row>
    <row r="114" spans="1:13" x14ac:dyDescent="0.3">
      <c r="A114" s="109" t="str">
        <f t="shared" si="1"/>
        <v>debit    6666020502  Working meals</v>
      </c>
      <c r="B114" s="112" t="s">
        <v>320</v>
      </c>
      <c r="C114" s="113">
        <v>113229.99</v>
      </c>
      <c r="D114" s="113">
        <v>185701.17</v>
      </c>
      <c r="E114" s="113">
        <v>-72471.179999999993</v>
      </c>
      <c r="F114" s="113">
        <v>-39.025700000000001</v>
      </c>
      <c r="G114" s="112" t="s">
        <v>320</v>
      </c>
      <c r="H114" s="114">
        <v>0</v>
      </c>
      <c r="I114" s="114">
        <v>0</v>
      </c>
      <c r="J114" s="115">
        <v>0</v>
      </c>
      <c r="K114" s="113">
        <v>0</v>
      </c>
      <c r="L114" t="str">
        <f>VLOOKUP(A114,'SAP Actual extraction'!$A$28:$A$1048576,1,0)</f>
        <v>debit    6666020502  Working meals</v>
      </c>
      <c r="M114" t="str">
        <f>VLOOKUP(B114,'SAP Actual extraction'!B:B,1,0)</f>
        <v xml:space="preserve">    6666020502  Working meals</v>
      </c>
    </row>
    <row r="115" spans="1:13" x14ac:dyDescent="0.3">
      <c r="A115" s="109" t="str">
        <f t="shared" si="1"/>
        <v>debit    6666020503  Office supplies</v>
      </c>
      <c r="B115" s="112" t="s">
        <v>321</v>
      </c>
      <c r="C115" s="113">
        <v>-4862.8500000000004</v>
      </c>
      <c r="D115" s="113">
        <v>4763.18</v>
      </c>
      <c r="E115" s="113">
        <v>-9626.0300000000007</v>
      </c>
      <c r="F115" s="113">
        <v>-202.0925</v>
      </c>
      <c r="G115" s="112" t="s">
        <v>321</v>
      </c>
      <c r="H115" s="114">
        <v>0</v>
      </c>
      <c r="I115" s="114">
        <v>0</v>
      </c>
      <c r="J115" s="115">
        <v>0</v>
      </c>
      <c r="K115" s="113">
        <v>0</v>
      </c>
      <c r="L115" t="str">
        <f>VLOOKUP(A115,'SAP Actual extraction'!$A$28:$A$1048576,1,0)</f>
        <v>debit    6666020503  Office supplies</v>
      </c>
      <c r="M115" t="str">
        <f>VLOOKUP(B115,'SAP Actual extraction'!B:B,1,0)</f>
        <v xml:space="preserve">    6666020503  Office supplies</v>
      </c>
    </row>
    <row r="116" spans="1:13" x14ac:dyDescent="0.3">
      <c r="A116" s="109" t="str">
        <f t="shared" si="1"/>
        <v>debit    6666021500  Repairs cost</v>
      </c>
      <c r="B116" s="112" t="s">
        <v>322</v>
      </c>
      <c r="C116" s="116">
        <v>0</v>
      </c>
      <c r="D116" s="116">
        <v>0</v>
      </c>
      <c r="E116" s="113">
        <v>0</v>
      </c>
      <c r="F116" s="113">
        <v>0</v>
      </c>
      <c r="G116" s="112" t="s">
        <v>322</v>
      </c>
      <c r="H116" s="114">
        <v>0</v>
      </c>
      <c r="I116" s="114">
        <v>0</v>
      </c>
      <c r="J116" s="115">
        <v>0</v>
      </c>
      <c r="K116" s="113">
        <v>0</v>
      </c>
      <c r="L116" t="str">
        <f>VLOOKUP(A116,'SAP Actual extraction'!$A$28:$A$1048576,1,0)</f>
        <v>debit    6666021500  Repairs cost</v>
      </c>
      <c r="M116" t="str">
        <f>VLOOKUP(B116,'SAP Actual extraction'!B:B,1,0)</f>
        <v xml:space="preserve">    6666021500  Repairs cost</v>
      </c>
    </row>
    <row r="117" spans="1:13" x14ac:dyDescent="0.3">
      <c r="A117" s="109" t="str">
        <f t="shared" si="1"/>
        <v>debit    6666021502  Repair &amp; Maintain - Building&amp;office</v>
      </c>
      <c r="B117" s="112" t="s">
        <v>323</v>
      </c>
      <c r="C117" s="113">
        <v>29118.91</v>
      </c>
      <c r="D117" s="113">
        <v>96777.68</v>
      </c>
      <c r="E117" s="113">
        <v>-67658.77</v>
      </c>
      <c r="F117" s="113">
        <v>-69.911500000000004</v>
      </c>
      <c r="G117" s="112" t="s">
        <v>323</v>
      </c>
      <c r="H117" s="114">
        <v>0</v>
      </c>
      <c r="I117" s="114">
        <v>0</v>
      </c>
      <c r="J117" s="115">
        <v>0</v>
      </c>
      <c r="K117" s="113">
        <v>0</v>
      </c>
      <c r="L117" t="str">
        <f>VLOOKUP(A117,'SAP Actual extraction'!$A$28:$A$1048576,1,0)</f>
        <v>debit    6666021502  Repair &amp; Maintain - Building&amp;office</v>
      </c>
      <c r="M117" t="str">
        <f>VLOOKUP(B117,'SAP Actual extraction'!B:B,1,0)</f>
        <v xml:space="preserve">    6666021502  Repair &amp; Maintain - Building&amp;office</v>
      </c>
    </row>
    <row r="118" spans="1:13" x14ac:dyDescent="0.3">
      <c r="A118" s="109" t="str">
        <f t="shared" si="1"/>
        <v>debit    6666021503  Repair &amp; Maintain - Tooling &amp; Equipments</v>
      </c>
      <c r="B118" s="112" t="s">
        <v>324</v>
      </c>
      <c r="C118" s="113">
        <v>3610.82</v>
      </c>
      <c r="D118" s="113">
        <v>18207.400000000001</v>
      </c>
      <c r="E118" s="113">
        <v>-14596.58</v>
      </c>
      <c r="F118" s="113">
        <v>-80.168400000000005</v>
      </c>
      <c r="G118" s="112" t="s">
        <v>324</v>
      </c>
      <c r="H118" s="114">
        <v>0</v>
      </c>
      <c r="I118" s="114">
        <v>0</v>
      </c>
      <c r="J118" s="115">
        <v>0</v>
      </c>
      <c r="K118" s="113">
        <v>0</v>
      </c>
      <c r="L118" t="str">
        <f>VLOOKUP(A118,'SAP Actual extraction'!$A$28:$A$1048576,1,0)</f>
        <v>debit    6666021503  Repair &amp; Maintain - Tooling &amp; Equipments</v>
      </c>
      <c r="M118" t="str">
        <f>VLOOKUP(B118,'SAP Actual extraction'!B:B,1,0)</f>
        <v xml:space="preserve">    6666021503  Repair &amp; Maintain - Tooling &amp; Equipments</v>
      </c>
    </row>
    <row r="119" spans="1:13" x14ac:dyDescent="0.3">
      <c r="A119" s="109" t="str">
        <f t="shared" si="1"/>
        <v>debit    6666021504  Repair &amp; Maintain - Elect. Installation</v>
      </c>
      <c r="B119" s="112" t="s">
        <v>361</v>
      </c>
      <c r="C119" s="113">
        <v>1.4</v>
      </c>
      <c r="D119" s="116">
        <v>0</v>
      </c>
      <c r="E119" s="113">
        <v>1.4</v>
      </c>
      <c r="F119" s="113">
        <v>0</v>
      </c>
      <c r="G119" s="112" t="s">
        <v>361</v>
      </c>
      <c r="H119" s="114">
        <v>0</v>
      </c>
      <c r="I119" s="114">
        <v>0</v>
      </c>
      <c r="J119" s="115">
        <v>0</v>
      </c>
      <c r="K119" s="113">
        <v>0</v>
      </c>
      <c r="M119" t="e">
        <f>VLOOKUP(B119,'SAP Actual extraction'!B:B,1,0)</f>
        <v>#N/A</v>
      </c>
    </row>
    <row r="120" spans="1:13" x14ac:dyDescent="0.3">
      <c r="A120" s="109" t="str">
        <f t="shared" si="1"/>
        <v>debit    6666021505  Repairs &amp; Maintenance - Vehicles</v>
      </c>
      <c r="B120" s="112" t="s">
        <v>325</v>
      </c>
      <c r="C120" s="113">
        <v>4452.92</v>
      </c>
      <c r="D120" s="116">
        <v>0</v>
      </c>
      <c r="E120" s="113">
        <v>4452.92</v>
      </c>
      <c r="F120" s="113">
        <v>0</v>
      </c>
      <c r="G120" s="112" t="s">
        <v>325</v>
      </c>
      <c r="H120" s="114">
        <v>0</v>
      </c>
      <c r="I120" s="114">
        <v>0</v>
      </c>
      <c r="J120" s="115">
        <v>0</v>
      </c>
      <c r="K120" s="113">
        <v>0</v>
      </c>
      <c r="M120" t="str">
        <f>VLOOKUP(B120,'SAP Actual extraction'!B:B,1,0)</f>
        <v xml:space="preserve">    6666021505  Repairs &amp; Maintenance - Vehicles</v>
      </c>
    </row>
    <row r="121" spans="1:13" x14ac:dyDescent="0.3">
      <c r="A121" s="109" t="str">
        <f t="shared" si="1"/>
        <v>debit    6666021506  Repairs &amp; Maintenance - Plant &amp; Machiner</v>
      </c>
      <c r="B121" s="112" t="s">
        <v>326</v>
      </c>
      <c r="C121" s="113">
        <v>15514.16</v>
      </c>
      <c r="D121" s="113">
        <v>50017.36</v>
      </c>
      <c r="E121" s="113">
        <v>-34503.199999999997</v>
      </c>
      <c r="F121" s="113">
        <v>-68.982399999999998</v>
      </c>
      <c r="G121" s="112" t="s">
        <v>326</v>
      </c>
      <c r="H121" s="114">
        <v>0</v>
      </c>
      <c r="I121" s="114">
        <v>0</v>
      </c>
      <c r="J121" s="115">
        <v>0</v>
      </c>
      <c r="K121" s="113">
        <v>0</v>
      </c>
      <c r="M121" t="str">
        <f>VLOOKUP(B121,'SAP Actual extraction'!B:B,1,0)</f>
        <v xml:space="preserve">    6666021506  Repairs &amp; Maintenance - Plant &amp; Machiner</v>
      </c>
    </row>
    <row r="122" spans="1:13" x14ac:dyDescent="0.3">
      <c r="A122" s="109" t="str">
        <f t="shared" si="1"/>
        <v>debit    6666091600  Garbage disposal charge</v>
      </c>
      <c r="B122" s="112" t="s">
        <v>327</v>
      </c>
      <c r="C122" s="113">
        <v>1958.94</v>
      </c>
      <c r="D122" s="113">
        <v>908.36</v>
      </c>
      <c r="E122" s="113">
        <v>1050.58</v>
      </c>
      <c r="F122" s="113">
        <v>115.6568</v>
      </c>
      <c r="G122" s="112" t="s">
        <v>327</v>
      </c>
      <c r="H122" s="114">
        <v>0</v>
      </c>
      <c r="I122" s="114">
        <v>0</v>
      </c>
      <c r="J122" s="115">
        <v>0</v>
      </c>
      <c r="K122" s="113">
        <v>0</v>
      </c>
      <c r="M122" t="str">
        <f>VLOOKUP(B122,'SAP Actual extraction'!B:B,1,0)</f>
        <v xml:space="preserve">    6666091600  Garbage disposal charge</v>
      </c>
    </row>
    <row r="123" spans="1:13" x14ac:dyDescent="0.3">
      <c r="A123" s="109" t="str">
        <f t="shared" si="1"/>
        <v>debit    5401060201  COGS-Repair expense</v>
      </c>
      <c r="B123" s="112" t="s">
        <v>328</v>
      </c>
      <c r="C123" s="116">
        <v>0</v>
      </c>
      <c r="D123" s="116">
        <v>0</v>
      </c>
      <c r="E123" s="113">
        <v>0</v>
      </c>
      <c r="F123" s="113">
        <v>0</v>
      </c>
      <c r="G123" s="112" t="s">
        <v>328</v>
      </c>
      <c r="H123" s="114">
        <v>0</v>
      </c>
      <c r="I123" s="114">
        <v>0</v>
      </c>
      <c r="J123" s="115">
        <v>0</v>
      </c>
      <c r="K123" s="113">
        <v>0</v>
      </c>
    </row>
    <row r="124" spans="1:13" x14ac:dyDescent="0.3">
      <c r="A124" s="109" t="str">
        <f t="shared" si="1"/>
        <v>debit*   CS_Semifix</v>
      </c>
      <c r="B124" s="117" t="s">
        <v>219</v>
      </c>
      <c r="C124" s="118">
        <v>288635.44</v>
      </c>
      <c r="D124" s="118">
        <v>667843.51</v>
      </c>
      <c r="E124" s="118">
        <v>-379208.07</v>
      </c>
      <c r="F124" s="118">
        <v>-56.780999999999999</v>
      </c>
      <c r="G124" s="117" t="s">
        <v>219</v>
      </c>
      <c r="H124" s="119">
        <v>0</v>
      </c>
      <c r="I124" s="119">
        <v>0</v>
      </c>
      <c r="J124" s="120">
        <v>0</v>
      </c>
      <c r="K124" s="118">
        <v>0</v>
      </c>
    </row>
    <row r="125" spans="1:13" x14ac:dyDescent="0.3">
      <c r="A125" s="109" t="str">
        <f t="shared" si="1"/>
        <v>debit    600006      OVH Administrative</v>
      </c>
      <c r="B125" s="112" t="s">
        <v>329</v>
      </c>
      <c r="C125" s="113">
        <v>-135958.59</v>
      </c>
      <c r="D125" s="113">
        <v>311528.09999999998</v>
      </c>
      <c r="E125" s="113">
        <v>-447486.69</v>
      </c>
      <c r="F125" s="113">
        <v>-143.64250000000001</v>
      </c>
      <c r="G125" s="112" t="s">
        <v>329</v>
      </c>
      <c r="H125" s="114">
        <v>0</v>
      </c>
      <c r="I125" s="114">
        <v>0</v>
      </c>
      <c r="J125" s="115">
        <v>0</v>
      </c>
      <c r="K125" s="113">
        <v>0</v>
      </c>
    </row>
    <row r="126" spans="1:13" x14ac:dyDescent="0.3">
      <c r="A126" s="109" t="str">
        <f t="shared" si="1"/>
        <v>debit*   CS_OVH_ADM</v>
      </c>
      <c r="B126" s="117" t="s">
        <v>220</v>
      </c>
      <c r="C126" s="118">
        <v>-135958.59</v>
      </c>
      <c r="D126" s="118">
        <v>311528.09999999998</v>
      </c>
      <c r="E126" s="118">
        <v>-447486.69</v>
      </c>
      <c r="F126" s="118">
        <v>-143.64250000000001</v>
      </c>
      <c r="G126" s="117" t="s">
        <v>220</v>
      </c>
      <c r="H126" s="119">
        <v>0</v>
      </c>
      <c r="I126" s="119">
        <v>0</v>
      </c>
      <c r="J126" s="120">
        <v>0</v>
      </c>
      <c r="K126" s="118">
        <v>0</v>
      </c>
    </row>
    <row r="127" spans="1:13" x14ac:dyDescent="0.3">
      <c r="A127" s="109" t="str">
        <f t="shared" si="1"/>
        <v>debit**  Debit</v>
      </c>
      <c r="B127" s="121" t="s">
        <v>330</v>
      </c>
      <c r="C127" s="122">
        <v>1773875.61</v>
      </c>
      <c r="D127" s="122">
        <v>3277081.8</v>
      </c>
      <c r="E127" s="122">
        <v>-1503206.19</v>
      </c>
      <c r="F127" s="122">
        <v>-45.8703</v>
      </c>
      <c r="G127" s="121" t="s">
        <v>330</v>
      </c>
      <c r="H127" s="123">
        <v>0</v>
      </c>
      <c r="I127" s="123">
        <v>0</v>
      </c>
      <c r="J127" s="124">
        <v>0</v>
      </c>
      <c r="K127" s="122">
        <v>0</v>
      </c>
    </row>
    <row r="128" spans="1:13" x14ac:dyDescent="0.3">
      <c r="A128" s="109" t="str">
        <f t="shared" ref="A128:A155" si="2">"credit"&amp;B128</f>
        <v>credit    6666110101  Depreciation of buildings</v>
      </c>
      <c r="B128" s="112" t="s">
        <v>225</v>
      </c>
      <c r="C128" s="113">
        <v>-22365.439999999999</v>
      </c>
      <c r="D128" s="113">
        <v>-123933.42</v>
      </c>
      <c r="E128" s="113">
        <v>101567.98</v>
      </c>
      <c r="F128" s="113">
        <v>-81.953699999999998</v>
      </c>
      <c r="G128" s="112" t="s">
        <v>225</v>
      </c>
      <c r="H128" s="114">
        <v>0</v>
      </c>
      <c r="I128" s="114">
        <v>0</v>
      </c>
      <c r="J128" s="115">
        <v>0</v>
      </c>
      <c r="K128" s="113">
        <v>0</v>
      </c>
    </row>
    <row r="129" spans="1:11" x14ac:dyDescent="0.3">
      <c r="A129" s="109" t="str">
        <f t="shared" si="2"/>
        <v>credit    6666110107  Depreciation of mold　</v>
      </c>
      <c r="B129" s="112" t="s">
        <v>227</v>
      </c>
      <c r="C129" s="113">
        <v>-12976.99</v>
      </c>
      <c r="D129" s="116">
        <v>0</v>
      </c>
      <c r="E129" s="113">
        <v>-12976.99</v>
      </c>
      <c r="F129" s="113">
        <v>0</v>
      </c>
      <c r="G129" s="112" t="s">
        <v>227</v>
      </c>
      <c r="H129" s="114">
        <v>0</v>
      </c>
      <c r="I129" s="114">
        <v>0</v>
      </c>
      <c r="J129" s="115">
        <v>0</v>
      </c>
      <c r="K129" s="113">
        <v>0</v>
      </c>
    </row>
    <row r="130" spans="1:11" x14ac:dyDescent="0.3">
      <c r="A130" s="109" t="str">
        <f t="shared" si="2"/>
        <v>credit    6666110110  Depreciation-Plant &amp; Machinery</v>
      </c>
      <c r="B130" s="112" t="s">
        <v>228</v>
      </c>
      <c r="C130" s="113">
        <v>-35507.5</v>
      </c>
      <c r="D130" s="116">
        <v>0</v>
      </c>
      <c r="E130" s="113">
        <v>-35507.5</v>
      </c>
      <c r="F130" s="113">
        <v>0</v>
      </c>
      <c r="G130" s="112" t="s">
        <v>228</v>
      </c>
      <c r="H130" s="114">
        <v>0</v>
      </c>
      <c r="I130" s="114">
        <v>0</v>
      </c>
      <c r="J130" s="115">
        <v>0</v>
      </c>
      <c r="K130" s="113">
        <v>0</v>
      </c>
    </row>
    <row r="131" spans="1:11" x14ac:dyDescent="0.3">
      <c r="A131" s="109" t="str">
        <f t="shared" si="2"/>
        <v>credit    6666110112  Depreciation of Furniture &amp; Fixture</v>
      </c>
      <c r="B131" s="112" t="s">
        <v>229</v>
      </c>
      <c r="C131" s="113">
        <v>-5440.73</v>
      </c>
      <c r="D131" s="116">
        <v>0</v>
      </c>
      <c r="E131" s="113">
        <v>-5440.73</v>
      </c>
      <c r="F131" s="113">
        <v>0</v>
      </c>
      <c r="G131" s="112" t="s">
        <v>229</v>
      </c>
      <c r="H131" s="114">
        <v>0</v>
      </c>
      <c r="I131" s="114">
        <v>0</v>
      </c>
      <c r="J131" s="115">
        <v>0</v>
      </c>
      <c r="K131" s="113">
        <v>0</v>
      </c>
    </row>
    <row r="132" spans="1:11" x14ac:dyDescent="0.3">
      <c r="A132" s="109" t="str">
        <f t="shared" si="2"/>
        <v>credit    6666110204  Amortization of license, trademarks and</v>
      </c>
      <c r="B132" s="112" t="s">
        <v>230</v>
      </c>
      <c r="C132" s="113">
        <v>-252.52</v>
      </c>
      <c r="D132" s="116">
        <v>0</v>
      </c>
      <c r="E132" s="113">
        <v>-252.52</v>
      </c>
      <c r="F132" s="113">
        <v>0</v>
      </c>
      <c r="G132" s="112" t="s">
        <v>230</v>
      </c>
      <c r="H132" s="114">
        <v>0</v>
      </c>
      <c r="I132" s="114">
        <v>0</v>
      </c>
      <c r="J132" s="115">
        <v>0</v>
      </c>
      <c r="K132" s="113">
        <v>0</v>
      </c>
    </row>
    <row r="133" spans="1:11" x14ac:dyDescent="0.3">
      <c r="A133" s="109" t="str">
        <f t="shared" si="2"/>
        <v>credit    6666110207  Amortization of Software</v>
      </c>
      <c r="B133" s="112" t="s">
        <v>231</v>
      </c>
      <c r="C133" s="113">
        <v>-6364.35</v>
      </c>
      <c r="D133" s="116">
        <v>0</v>
      </c>
      <c r="E133" s="113">
        <v>-6364.35</v>
      </c>
      <c r="F133" s="113">
        <v>0</v>
      </c>
      <c r="G133" s="112" t="s">
        <v>231</v>
      </c>
      <c r="H133" s="114">
        <v>0</v>
      </c>
      <c r="I133" s="114">
        <v>0</v>
      </c>
      <c r="J133" s="115">
        <v>0</v>
      </c>
      <c r="K133" s="113">
        <v>0</v>
      </c>
    </row>
    <row r="134" spans="1:11" x14ac:dyDescent="0.3">
      <c r="A134" s="109" t="str">
        <f t="shared" si="2"/>
        <v>credit    6666110506  Amortization-Leasehold Improvement</v>
      </c>
      <c r="B134" s="112" t="s">
        <v>232</v>
      </c>
      <c r="C134" s="113">
        <v>-159.02000000000001</v>
      </c>
      <c r="D134" s="116">
        <v>0</v>
      </c>
      <c r="E134" s="113">
        <v>-159.02000000000001</v>
      </c>
      <c r="F134" s="113">
        <v>0</v>
      </c>
      <c r="G134" s="112" t="s">
        <v>232</v>
      </c>
      <c r="H134" s="114">
        <v>0</v>
      </c>
      <c r="I134" s="114">
        <v>0</v>
      </c>
      <c r="J134" s="115">
        <v>0</v>
      </c>
      <c r="K134" s="113">
        <v>0</v>
      </c>
    </row>
    <row r="135" spans="1:11" x14ac:dyDescent="0.3">
      <c r="A135" s="109" t="str">
        <f t="shared" si="2"/>
        <v>credit*   CS_Depreciation</v>
      </c>
      <c r="B135" s="117" t="s">
        <v>207</v>
      </c>
      <c r="C135" s="118">
        <v>-83066.55</v>
      </c>
      <c r="D135" s="118">
        <v>-123933.42</v>
      </c>
      <c r="E135" s="118">
        <v>40866.870000000003</v>
      </c>
      <c r="F135" s="118">
        <v>-32.974899999999998</v>
      </c>
      <c r="G135" s="117" t="s">
        <v>207</v>
      </c>
      <c r="H135" s="119">
        <v>0</v>
      </c>
      <c r="I135" s="119">
        <v>0</v>
      </c>
      <c r="J135" s="120">
        <v>0</v>
      </c>
      <c r="K135" s="118">
        <v>0</v>
      </c>
    </row>
    <row r="136" spans="1:11" x14ac:dyDescent="0.3">
      <c r="A136" s="109" t="str">
        <f t="shared" si="2"/>
        <v>credit    5001010205  Unemployment Insurance -blue collar-Dire</v>
      </c>
      <c r="B136" s="112" t="s">
        <v>233</v>
      </c>
      <c r="C136" s="116">
        <v>0</v>
      </c>
      <c r="D136" s="116">
        <v>0</v>
      </c>
      <c r="E136" s="113">
        <v>0</v>
      </c>
      <c r="F136" s="113">
        <v>0</v>
      </c>
      <c r="G136" s="112" t="s">
        <v>233</v>
      </c>
      <c r="H136" s="114">
        <v>0</v>
      </c>
      <c r="I136" s="114">
        <v>0</v>
      </c>
      <c r="J136" s="115">
        <v>0</v>
      </c>
      <c r="K136" s="113">
        <v>0</v>
      </c>
    </row>
    <row r="137" spans="1:11" x14ac:dyDescent="0.3">
      <c r="A137" s="109" t="str">
        <f t="shared" si="2"/>
        <v>credit    6666010380  Incentive</v>
      </c>
      <c r="B137" s="112" t="s">
        <v>234</v>
      </c>
      <c r="C137" s="113">
        <v>-1557.39</v>
      </c>
      <c r="D137" s="116">
        <v>0</v>
      </c>
      <c r="E137" s="113">
        <v>-1557.39</v>
      </c>
      <c r="F137" s="113">
        <v>0</v>
      </c>
      <c r="G137" s="112" t="s">
        <v>234</v>
      </c>
      <c r="H137" s="114">
        <v>0</v>
      </c>
      <c r="I137" s="114">
        <v>0</v>
      </c>
      <c r="J137" s="115">
        <v>0</v>
      </c>
      <c r="K137" s="113">
        <v>0</v>
      </c>
    </row>
    <row r="138" spans="1:11" x14ac:dyDescent="0.3">
      <c r="A138" s="109" t="str">
        <f t="shared" si="2"/>
        <v>credit    6666010019  Payroll Taxes - Blue Collar Direct</v>
      </c>
      <c r="B138" s="112" t="s">
        <v>235</v>
      </c>
      <c r="C138" s="116">
        <v>0</v>
      </c>
      <c r="D138" s="116">
        <v>0</v>
      </c>
      <c r="E138" s="113">
        <v>0</v>
      </c>
      <c r="F138" s="113">
        <v>0</v>
      </c>
      <c r="G138" s="112" t="s">
        <v>235</v>
      </c>
      <c r="H138" s="114">
        <v>0</v>
      </c>
      <c r="I138" s="114">
        <v>0</v>
      </c>
      <c r="J138" s="115">
        <v>0</v>
      </c>
      <c r="K138" s="113">
        <v>0</v>
      </c>
    </row>
    <row r="139" spans="1:11" x14ac:dyDescent="0.3">
      <c r="A139" s="109" t="str">
        <f t="shared" si="2"/>
        <v>credit    6666010183  Overtime-Blue Collar-Direct</v>
      </c>
      <c r="B139" s="112" t="s">
        <v>236</v>
      </c>
      <c r="C139" s="116">
        <v>0</v>
      </c>
      <c r="D139" s="116">
        <v>0</v>
      </c>
      <c r="E139" s="113">
        <v>0</v>
      </c>
      <c r="F139" s="113">
        <v>0</v>
      </c>
      <c r="G139" s="112" t="s">
        <v>236</v>
      </c>
      <c r="H139" s="114">
        <v>0</v>
      </c>
      <c r="I139" s="114">
        <v>0</v>
      </c>
      <c r="J139" s="115">
        <v>0</v>
      </c>
      <c r="K139" s="113">
        <v>0</v>
      </c>
    </row>
    <row r="140" spans="1:11" x14ac:dyDescent="0.3">
      <c r="A140" s="109" t="str">
        <f t="shared" si="2"/>
        <v>credit    6666010229  Staff Leaving Indemnity - Blue Collar Di</v>
      </c>
      <c r="B140" s="112" t="s">
        <v>237</v>
      </c>
      <c r="C140" s="116">
        <v>0</v>
      </c>
      <c r="D140" s="116">
        <v>0</v>
      </c>
      <c r="E140" s="113">
        <v>0</v>
      </c>
      <c r="F140" s="113">
        <v>0</v>
      </c>
      <c r="G140" s="112" t="s">
        <v>237</v>
      </c>
      <c r="H140" s="114">
        <v>0</v>
      </c>
      <c r="I140" s="114">
        <v>0</v>
      </c>
      <c r="J140" s="115">
        <v>0</v>
      </c>
      <c r="K140" s="113">
        <v>0</v>
      </c>
    </row>
    <row r="141" spans="1:11" x14ac:dyDescent="0.3">
      <c r="A141" s="109" t="str">
        <f t="shared" si="2"/>
        <v>credit    6666010188  Salary - Blue collar direct employees</v>
      </c>
      <c r="B141" s="112" t="s">
        <v>238</v>
      </c>
      <c r="C141" s="116">
        <v>0</v>
      </c>
      <c r="D141" s="116">
        <v>0</v>
      </c>
      <c r="E141" s="113">
        <v>0</v>
      </c>
      <c r="F141" s="113">
        <v>0</v>
      </c>
      <c r="G141" s="112" t="s">
        <v>238</v>
      </c>
      <c r="H141" s="114">
        <v>0</v>
      </c>
      <c r="I141" s="114">
        <v>0</v>
      </c>
      <c r="J141" s="115">
        <v>0</v>
      </c>
      <c r="K141" s="113">
        <v>0</v>
      </c>
    </row>
    <row r="142" spans="1:11" x14ac:dyDescent="0.3">
      <c r="A142" s="109" t="str">
        <f t="shared" si="2"/>
        <v>credit    5102040406  Other revenue-Service/Secondment agreeme</v>
      </c>
      <c r="B142" s="112" t="s">
        <v>239</v>
      </c>
      <c r="C142" s="116">
        <v>0</v>
      </c>
      <c r="D142" s="116">
        <v>0</v>
      </c>
      <c r="E142" s="113">
        <v>0</v>
      </c>
      <c r="F142" s="113">
        <v>0</v>
      </c>
      <c r="G142" s="112" t="s">
        <v>239</v>
      </c>
      <c r="H142" s="114">
        <v>0</v>
      </c>
      <c r="I142" s="114">
        <v>0</v>
      </c>
      <c r="J142" s="115">
        <v>0</v>
      </c>
      <c r="K142" s="113">
        <v>0</v>
      </c>
    </row>
    <row r="143" spans="1:11" x14ac:dyDescent="0.3">
      <c r="A143" s="109" t="str">
        <f t="shared" si="2"/>
        <v>credit*   CS_Direct Labour</v>
      </c>
      <c r="B143" s="117" t="s">
        <v>208</v>
      </c>
      <c r="C143" s="118">
        <v>-1557.39</v>
      </c>
      <c r="D143" s="125">
        <v>0</v>
      </c>
      <c r="E143" s="118">
        <v>-1557.39</v>
      </c>
      <c r="F143" s="118">
        <v>0</v>
      </c>
      <c r="G143" s="117" t="s">
        <v>208</v>
      </c>
      <c r="H143" s="119">
        <v>0</v>
      </c>
      <c r="I143" s="119">
        <v>0</v>
      </c>
      <c r="J143" s="120">
        <v>0</v>
      </c>
      <c r="K143" s="118">
        <v>0</v>
      </c>
    </row>
    <row r="144" spans="1:11" x14ac:dyDescent="0.3">
      <c r="A144" s="109" t="str">
        <f t="shared" si="2"/>
        <v>credit    8701530201  Scrap-Raw&amp;#160;Material - Managerial</v>
      </c>
      <c r="B144" s="112" t="s">
        <v>241</v>
      </c>
      <c r="C144" s="116">
        <v>0</v>
      </c>
      <c r="D144" s="113">
        <v>-38822.35</v>
      </c>
      <c r="E144" s="113">
        <v>38822.35</v>
      </c>
      <c r="F144" s="113">
        <v>-100</v>
      </c>
      <c r="G144" s="112" t="s">
        <v>241</v>
      </c>
      <c r="H144" s="114">
        <v>0</v>
      </c>
      <c r="I144" s="114">
        <v>0</v>
      </c>
      <c r="J144" s="115">
        <v>0</v>
      </c>
      <c r="K144" s="113">
        <v>0</v>
      </c>
    </row>
    <row r="145" spans="1:13" x14ac:dyDescent="0.3">
      <c r="A145" s="109" t="str">
        <f t="shared" si="2"/>
        <v>credit    6666050309  SFG scrap</v>
      </c>
      <c r="B145" s="112" t="s">
        <v>242</v>
      </c>
      <c r="C145" s="113">
        <v>-21328.98</v>
      </c>
      <c r="D145" s="116">
        <v>0</v>
      </c>
      <c r="E145" s="113">
        <v>-21328.98</v>
      </c>
      <c r="F145" s="113">
        <v>0</v>
      </c>
      <c r="G145" s="112" t="s">
        <v>242</v>
      </c>
      <c r="H145" s="114">
        <v>0</v>
      </c>
      <c r="I145" s="114">
        <v>0</v>
      </c>
      <c r="J145" s="115">
        <v>0</v>
      </c>
      <c r="K145" s="113">
        <v>0</v>
      </c>
    </row>
    <row r="146" spans="1:13" x14ac:dyDescent="0.3">
      <c r="A146" s="109" t="str">
        <f t="shared" si="2"/>
        <v>credit    6666050308  Raw material scrap</v>
      </c>
      <c r="B146" s="112" t="s">
        <v>243</v>
      </c>
      <c r="C146" s="113">
        <v>-5388.97</v>
      </c>
      <c r="D146" s="116">
        <v>0</v>
      </c>
      <c r="E146" s="113">
        <v>-5388.97</v>
      </c>
      <c r="F146" s="113">
        <v>0</v>
      </c>
      <c r="G146" s="112" t="s">
        <v>243</v>
      </c>
      <c r="H146" s="114">
        <v>0</v>
      </c>
      <c r="I146" s="114">
        <v>0</v>
      </c>
      <c r="J146" s="115">
        <v>0</v>
      </c>
      <c r="K146" s="113">
        <v>0</v>
      </c>
    </row>
    <row r="147" spans="1:13" x14ac:dyDescent="0.3">
      <c r="A147" s="109" t="str">
        <f t="shared" si="2"/>
        <v>credit    6666050306  Finished goods scrap</v>
      </c>
      <c r="B147" s="112" t="s">
        <v>244</v>
      </c>
      <c r="C147" s="116">
        <v>0</v>
      </c>
      <c r="D147" s="116">
        <v>0</v>
      </c>
      <c r="E147" s="113">
        <v>0</v>
      </c>
      <c r="F147" s="113">
        <v>0</v>
      </c>
      <c r="G147" s="112" t="s">
        <v>244</v>
      </c>
      <c r="H147" s="114">
        <v>0</v>
      </c>
      <c r="I147" s="114">
        <v>0</v>
      </c>
      <c r="J147" s="115">
        <v>0</v>
      </c>
      <c r="K147" s="113">
        <v>0</v>
      </c>
    </row>
    <row r="148" spans="1:13" x14ac:dyDescent="0.3">
      <c r="A148" s="109" t="str">
        <f t="shared" si="2"/>
        <v>credit*   CS_SCRAP_VARIABLE</v>
      </c>
      <c r="B148" s="117" t="s">
        <v>209</v>
      </c>
      <c r="C148" s="118">
        <v>-26717.95</v>
      </c>
      <c r="D148" s="118">
        <v>-38822.35</v>
      </c>
      <c r="E148" s="118">
        <v>12104.4</v>
      </c>
      <c r="F148" s="118">
        <v>-31.178899999999999</v>
      </c>
      <c r="G148" s="117" t="s">
        <v>209</v>
      </c>
      <c r="H148" s="119">
        <v>0</v>
      </c>
      <c r="I148" s="119">
        <v>0</v>
      </c>
      <c r="J148" s="120">
        <v>0</v>
      </c>
      <c r="K148" s="118">
        <v>0</v>
      </c>
    </row>
    <row r="149" spans="1:13" x14ac:dyDescent="0.3">
      <c r="A149" s="109" t="str">
        <f t="shared" si="2"/>
        <v>credit    6666029996  Non-deductible expense-travel.</v>
      </c>
      <c r="B149" s="112" t="s">
        <v>246</v>
      </c>
      <c r="C149" s="113">
        <v>-148.72999999999999</v>
      </c>
      <c r="D149" s="116">
        <v>0</v>
      </c>
      <c r="E149" s="113">
        <v>-148.72999999999999</v>
      </c>
      <c r="F149" s="113">
        <v>0</v>
      </c>
      <c r="G149" s="112" t="s">
        <v>246</v>
      </c>
      <c r="H149" s="114">
        <v>0</v>
      </c>
      <c r="I149" s="114">
        <v>0</v>
      </c>
      <c r="J149" s="115">
        <v>0</v>
      </c>
      <c r="K149" s="113">
        <v>0</v>
      </c>
    </row>
    <row r="150" spans="1:13" x14ac:dyDescent="0.3">
      <c r="A150" s="109" t="str">
        <f t="shared" si="2"/>
        <v>credit    6666010322  fuel allowance</v>
      </c>
      <c r="B150" s="112" t="s">
        <v>248</v>
      </c>
      <c r="C150" s="113">
        <v>5320.97</v>
      </c>
      <c r="D150" s="116">
        <v>0</v>
      </c>
      <c r="E150" s="113">
        <v>5320.97</v>
      </c>
      <c r="F150" s="113">
        <v>0</v>
      </c>
      <c r="G150" s="112" t="s">
        <v>248</v>
      </c>
      <c r="H150" s="114">
        <v>0</v>
      </c>
      <c r="I150" s="114">
        <v>0</v>
      </c>
      <c r="J150" s="115">
        <v>0</v>
      </c>
      <c r="K150" s="113">
        <v>0</v>
      </c>
    </row>
    <row r="151" spans="1:13" x14ac:dyDescent="0.3">
      <c r="A151" s="109" t="str">
        <f t="shared" si="2"/>
        <v>credit    6666020495  Non-deductible expense-travel.</v>
      </c>
      <c r="B151" s="112" t="s">
        <v>249</v>
      </c>
      <c r="C151" s="113">
        <v>-807.52</v>
      </c>
      <c r="D151" s="116">
        <v>0</v>
      </c>
      <c r="E151" s="113">
        <v>-807.52</v>
      </c>
      <c r="F151" s="113">
        <v>0</v>
      </c>
      <c r="G151" s="112" t="s">
        <v>249</v>
      </c>
      <c r="H151" s="114">
        <v>0</v>
      </c>
      <c r="I151" s="114">
        <v>0</v>
      </c>
      <c r="J151" s="115">
        <v>0</v>
      </c>
      <c r="K151" s="113">
        <v>0</v>
      </c>
    </row>
    <row r="152" spans="1:13" x14ac:dyDescent="0.3">
      <c r="A152" s="109" t="str">
        <f t="shared" si="2"/>
        <v>credit    5102010151  Other Rev.-Interco-Epidemic problem comp</v>
      </c>
      <c r="B152" s="112" t="s">
        <v>250</v>
      </c>
      <c r="C152" s="113">
        <v>-1518.42</v>
      </c>
      <c r="D152" s="116">
        <v>0</v>
      </c>
      <c r="E152" s="113">
        <v>-1518.42</v>
      </c>
      <c r="F152" s="113">
        <v>0</v>
      </c>
      <c r="G152" s="112" t="s">
        <v>250</v>
      </c>
      <c r="H152" s="114">
        <v>0</v>
      </c>
      <c r="I152" s="114">
        <v>0</v>
      </c>
      <c r="J152" s="115">
        <v>0</v>
      </c>
      <c r="K152" s="113">
        <v>0</v>
      </c>
    </row>
    <row r="153" spans="1:13" x14ac:dyDescent="0.3">
      <c r="A153" s="109" t="str">
        <f t="shared" si="2"/>
        <v>credit    600008      Indirect Cost</v>
      </c>
      <c r="B153" s="112" t="s">
        <v>355</v>
      </c>
      <c r="C153" s="116">
        <v>0</v>
      </c>
      <c r="D153" s="116">
        <v>0</v>
      </c>
      <c r="E153" s="113">
        <v>0</v>
      </c>
      <c r="F153" s="113">
        <v>0</v>
      </c>
      <c r="G153" s="112" t="s">
        <v>355</v>
      </c>
      <c r="H153" s="114">
        <v>0</v>
      </c>
      <c r="I153" s="114">
        <v>0</v>
      </c>
      <c r="J153" s="115">
        <v>0</v>
      </c>
      <c r="K153" s="113">
        <v>0</v>
      </c>
    </row>
    <row r="154" spans="1:13" x14ac:dyDescent="0.3">
      <c r="A154" s="109" t="str">
        <f t="shared" si="2"/>
        <v>credit    600009      Quality Control</v>
      </c>
      <c r="B154" s="112" t="s">
        <v>356</v>
      </c>
      <c r="C154" s="116">
        <v>0</v>
      </c>
      <c r="D154" s="116">
        <v>0</v>
      </c>
      <c r="E154" s="113">
        <v>0</v>
      </c>
      <c r="F154" s="113">
        <v>0</v>
      </c>
      <c r="G154" s="112" t="s">
        <v>356</v>
      </c>
      <c r="H154" s="114">
        <v>0</v>
      </c>
      <c r="I154" s="114">
        <v>0</v>
      </c>
      <c r="J154" s="115">
        <v>0</v>
      </c>
      <c r="K154" s="113">
        <v>0</v>
      </c>
    </row>
    <row r="155" spans="1:13" x14ac:dyDescent="0.3">
      <c r="A155" s="109" t="str">
        <f t="shared" si="2"/>
        <v>credit    5001010200  Cost of Manufacture - Raw Material</v>
      </c>
      <c r="B155" s="112" t="s">
        <v>251</v>
      </c>
      <c r="C155" s="116">
        <v>0</v>
      </c>
      <c r="D155" s="116">
        <v>0</v>
      </c>
      <c r="E155" s="113">
        <v>0</v>
      </c>
      <c r="F155" s="113">
        <v>0</v>
      </c>
      <c r="G155" s="112" t="s">
        <v>251</v>
      </c>
      <c r="H155" s="114">
        <v>0</v>
      </c>
      <c r="I155" s="114">
        <v>0</v>
      </c>
      <c r="J155" s="115">
        <v>0</v>
      </c>
      <c r="K155" s="113">
        <v>0</v>
      </c>
      <c r="L155" t="str">
        <f>VLOOKUP(A155,'SAP Actual extraction'!$A$28:$A$1048576,1,0)</f>
        <v>credit    5001010200  Cost of Manufacture - Raw Material</v>
      </c>
      <c r="M155" t="str">
        <f>VLOOKUP(B155,'SAP Actual extraction'!B:B,1,0)</f>
        <v xml:space="preserve">    5001010200  Cost of Manufacture - Raw Material</v>
      </c>
    </row>
    <row r="156" spans="1:13" x14ac:dyDescent="0.3">
      <c r="A156" s="109" t="str">
        <f t="shared" ref="A156:A232" si="3">"credit"&amp;B156</f>
        <v>credit    5301060000  Other Income-Subsidy income</v>
      </c>
      <c r="B156" s="112" t="s">
        <v>256</v>
      </c>
      <c r="C156" s="116">
        <v>0</v>
      </c>
      <c r="D156" s="116">
        <v>0</v>
      </c>
      <c r="E156" s="113">
        <v>0</v>
      </c>
      <c r="F156" s="113">
        <v>0</v>
      </c>
      <c r="G156" s="112" t="s">
        <v>256</v>
      </c>
      <c r="H156" s="114">
        <v>0</v>
      </c>
      <c r="I156" s="114">
        <v>0</v>
      </c>
      <c r="J156" s="115">
        <v>0</v>
      </c>
      <c r="K156" s="113">
        <v>0</v>
      </c>
      <c r="L156" t="str">
        <f>VLOOKUP(A156,'SAP Actual extraction'!$A$28:$A$1048576,1,0)</f>
        <v>credit    5301060000  Other Income-Subsidy income</v>
      </c>
      <c r="M156" t="str">
        <f>VLOOKUP(B156,'SAP Actual extraction'!B:B,1,0)</f>
        <v xml:space="preserve">    5301060000  Other Income-Subsidy income</v>
      </c>
    </row>
    <row r="157" spans="1:13" x14ac:dyDescent="0.3">
      <c r="A157" s="109" t="str">
        <f t="shared" si="3"/>
        <v>credit    5301999999  Non-operation revenue-Other</v>
      </c>
      <c r="B157" s="112" t="s">
        <v>257</v>
      </c>
      <c r="C157" s="116">
        <v>0</v>
      </c>
      <c r="D157" s="116">
        <v>0</v>
      </c>
      <c r="E157" s="113">
        <v>0</v>
      </c>
      <c r="F157" s="113">
        <v>0</v>
      </c>
      <c r="G157" s="112" t="s">
        <v>257</v>
      </c>
      <c r="H157" s="114">
        <v>0</v>
      </c>
      <c r="I157" s="114">
        <v>0</v>
      </c>
      <c r="J157" s="115">
        <v>0</v>
      </c>
      <c r="K157" s="113">
        <v>0</v>
      </c>
      <c r="L157" t="str">
        <f>VLOOKUP(A157,'SAP Actual extraction'!$A$28:$A$1048576,1,0)</f>
        <v>credit    5301999999  Non-operation revenue-Other</v>
      </c>
      <c r="M157" t="str">
        <f>VLOOKUP(B157,'SAP Actual extraction'!B:B,1,0)</f>
        <v xml:space="preserve">    5301999999  Non-operation revenue-Other</v>
      </c>
    </row>
    <row r="158" spans="1:13" x14ac:dyDescent="0.3">
      <c r="A158" s="109" t="str">
        <f t="shared" si="3"/>
        <v>credit    5405030000  Other cost-others</v>
      </c>
      <c r="B158" s="112" t="s">
        <v>258</v>
      </c>
      <c r="C158" s="116">
        <v>0</v>
      </c>
      <c r="D158" s="116">
        <v>0</v>
      </c>
      <c r="E158" s="113">
        <v>0</v>
      </c>
      <c r="F158" s="113">
        <v>0</v>
      </c>
      <c r="G158" s="112" t="s">
        <v>258</v>
      </c>
      <c r="H158" s="114">
        <v>0</v>
      </c>
      <c r="I158" s="114">
        <v>0</v>
      </c>
      <c r="J158" s="115">
        <v>0</v>
      </c>
      <c r="K158" s="113">
        <v>0</v>
      </c>
      <c r="L158" t="str">
        <f>VLOOKUP(A158,'SAP Actual extraction'!$A$28:$A$1048576,1,0)</f>
        <v>credit    5405030000  Other cost-others</v>
      </c>
      <c r="M158" t="str">
        <f>VLOOKUP(B158,'SAP Actual extraction'!B:B,1,0)</f>
        <v xml:space="preserve">    5405030000  Other cost-others</v>
      </c>
    </row>
    <row r="159" spans="1:13" x14ac:dyDescent="0.3">
      <c r="A159" s="109" t="str">
        <f t="shared" si="3"/>
        <v>credit    5601020000  Loss on disposal fixed asset</v>
      </c>
      <c r="B159" s="112" t="s">
        <v>357</v>
      </c>
      <c r="C159" s="116">
        <v>0</v>
      </c>
      <c r="D159" s="116">
        <v>0</v>
      </c>
      <c r="E159" s="113">
        <v>0</v>
      </c>
      <c r="F159" s="113">
        <v>0</v>
      </c>
      <c r="G159" s="112" t="s">
        <v>357</v>
      </c>
      <c r="H159" s="114">
        <v>0</v>
      </c>
      <c r="I159" s="114">
        <v>0</v>
      </c>
      <c r="J159" s="115">
        <v>0</v>
      </c>
      <c r="K159" s="113">
        <v>0</v>
      </c>
      <c r="L159" t="e">
        <f>VLOOKUP(A159,'SAP Actual extraction'!$A$28:$A$1048576,1,0)</f>
        <v>#N/A</v>
      </c>
      <c r="M159" t="e">
        <f>VLOOKUP(B159,'SAP Actual extraction'!B:B,1,0)</f>
        <v>#N/A</v>
      </c>
    </row>
    <row r="160" spans="1:13" x14ac:dyDescent="0.3">
      <c r="A160" s="109" t="str">
        <f t="shared" si="3"/>
        <v>credit    5601050100  Non-operation Expense-Others</v>
      </c>
      <c r="B160" s="112" t="s">
        <v>260</v>
      </c>
      <c r="C160" s="116">
        <v>0</v>
      </c>
      <c r="D160" s="116">
        <v>0</v>
      </c>
      <c r="E160" s="113">
        <v>0</v>
      </c>
      <c r="F160" s="113">
        <v>0</v>
      </c>
      <c r="G160" s="112" t="s">
        <v>260</v>
      </c>
      <c r="H160" s="114">
        <v>0</v>
      </c>
      <c r="I160" s="114">
        <v>0</v>
      </c>
      <c r="J160" s="115">
        <v>0</v>
      </c>
      <c r="K160" s="113">
        <v>0</v>
      </c>
      <c r="L160" t="str">
        <f>VLOOKUP(A160,'SAP Actual extraction'!$A$28:$A$1048576,1,0)</f>
        <v>credit    5601050100  Non-operation Expense-Others</v>
      </c>
      <c r="M160" t="str">
        <f>VLOOKUP(B160,'SAP Actual extraction'!B:B,1,0)</f>
        <v xml:space="preserve">    5601050100  Non-operation Expense-Others</v>
      </c>
    </row>
    <row r="161" spans="1:13" x14ac:dyDescent="0.3">
      <c r="A161" s="109" t="str">
        <f t="shared" si="3"/>
        <v>credit    6666020101  Entertainment</v>
      </c>
      <c r="B161" s="112" t="s">
        <v>261</v>
      </c>
      <c r="C161" s="113">
        <v>52491.41</v>
      </c>
      <c r="D161" s="113">
        <v>-9726.0499999999993</v>
      </c>
      <c r="E161" s="113">
        <v>62217.46</v>
      </c>
      <c r="F161" s="113">
        <v>-639.69920000000002</v>
      </c>
      <c r="G161" s="112" t="s">
        <v>261</v>
      </c>
      <c r="H161" s="114">
        <v>0</v>
      </c>
      <c r="I161" s="114">
        <v>0</v>
      </c>
      <c r="J161" s="115">
        <v>0</v>
      </c>
      <c r="K161" s="113">
        <v>0</v>
      </c>
      <c r="L161" t="str">
        <f>VLOOKUP(A161,'SAP Actual extraction'!$A$28:$A$1048576,1,0)</f>
        <v>credit    6666020101  Entertainment</v>
      </c>
      <c r="M161" t="str">
        <f>VLOOKUP(B161,'SAP Actual extraction'!B:B,1,0)</f>
        <v xml:space="preserve">    6666020101  Entertainment</v>
      </c>
    </row>
    <row r="162" spans="1:13" x14ac:dyDescent="0.3">
      <c r="A162" s="109" t="str">
        <f t="shared" si="3"/>
        <v>credit    6666020201  Domestic business travel</v>
      </c>
      <c r="B162" s="112" t="s">
        <v>262</v>
      </c>
      <c r="C162" s="113">
        <v>-103.25</v>
      </c>
      <c r="D162" s="113">
        <v>-1811.53</v>
      </c>
      <c r="E162" s="113">
        <v>1708.28</v>
      </c>
      <c r="F162" s="113">
        <v>-94.300399999999996</v>
      </c>
      <c r="G162" s="112" t="s">
        <v>262</v>
      </c>
      <c r="H162" s="114">
        <v>0</v>
      </c>
      <c r="I162" s="114">
        <v>0</v>
      </c>
      <c r="J162" s="115">
        <v>0</v>
      </c>
      <c r="K162" s="113">
        <v>0</v>
      </c>
      <c r="L162" t="str">
        <f>VLOOKUP(A162,'SAP Actual extraction'!$A$28:$A$1048576,1,0)</f>
        <v>credit    6666020201  Domestic business travel</v>
      </c>
      <c r="M162" t="str">
        <f>VLOOKUP(B162,'SAP Actual extraction'!B:B,1,0)</f>
        <v xml:space="preserve">    6666020201  Domestic business travel</v>
      </c>
    </row>
    <row r="163" spans="1:13" x14ac:dyDescent="0.3">
      <c r="A163" s="109" t="str">
        <f t="shared" si="3"/>
        <v>credit    6666020202  Overseas business travel</v>
      </c>
      <c r="B163" s="112" t="s">
        <v>263</v>
      </c>
      <c r="C163" s="113">
        <v>-205.42</v>
      </c>
      <c r="D163" s="116">
        <v>0</v>
      </c>
      <c r="E163" s="113">
        <v>-205.42</v>
      </c>
      <c r="F163" s="113">
        <v>0</v>
      </c>
      <c r="G163" s="112" t="s">
        <v>263</v>
      </c>
      <c r="H163" s="114">
        <v>0</v>
      </c>
      <c r="I163" s="114">
        <v>0</v>
      </c>
      <c r="J163" s="115">
        <v>0</v>
      </c>
      <c r="K163" s="113">
        <v>0</v>
      </c>
      <c r="L163" t="str">
        <f>VLOOKUP(A163,'SAP Actual extraction'!$A$28:$A$1048576,1,0)</f>
        <v>credit    6666020202  Overseas business travel</v>
      </c>
      <c r="M163" t="str">
        <f>VLOOKUP(B163,'SAP Actual extraction'!B:B,1,0)</f>
        <v xml:space="preserve">    6666020202  Overseas business travel</v>
      </c>
    </row>
    <row r="164" spans="1:13" x14ac:dyDescent="0.3">
      <c r="A164" s="109" t="str">
        <f t="shared" si="3"/>
        <v>credit    6666020204  Travel expense pay to agency</v>
      </c>
      <c r="B164" s="112" t="s">
        <v>264</v>
      </c>
      <c r="C164" s="113">
        <v>-38.659999999999997</v>
      </c>
      <c r="D164" s="116">
        <v>0</v>
      </c>
      <c r="E164" s="113">
        <v>-38.659999999999997</v>
      </c>
      <c r="F164" s="113">
        <v>0</v>
      </c>
      <c r="G164" s="112" t="s">
        <v>264</v>
      </c>
      <c r="H164" s="114">
        <v>0</v>
      </c>
      <c r="I164" s="114">
        <v>0</v>
      </c>
      <c r="J164" s="115">
        <v>0</v>
      </c>
      <c r="K164" s="113">
        <v>0</v>
      </c>
      <c r="L164" t="str">
        <f>VLOOKUP(A164,'SAP Actual extraction'!$A$28:$A$1048576,1,0)</f>
        <v>credit    6666020204  Travel expense pay to agency</v>
      </c>
      <c r="M164" t="str">
        <f>VLOOKUP(B164,'SAP Actual extraction'!B:B,1,0)</f>
        <v xml:space="preserve">    6666020204  Travel expense pay to agency</v>
      </c>
    </row>
    <row r="165" spans="1:13" x14ac:dyDescent="0.3">
      <c r="A165" s="109" t="str">
        <f t="shared" si="3"/>
        <v>credit    6666020205  Business travel-other</v>
      </c>
      <c r="B165" s="112" t="s">
        <v>265</v>
      </c>
      <c r="C165" s="116">
        <v>0</v>
      </c>
      <c r="D165" s="113">
        <v>-1943.47</v>
      </c>
      <c r="E165" s="113">
        <v>1943.47</v>
      </c>
      <c r="F165" s="113">
        <v>-100</v>
      </c>
      <c r="G165" s="112" t="s">
        <v>265</v>
      </c>
      <c r="H165" s="114">
        <v>0</v>
      </c>
      <c r="I165" s="114">
        <v>0</v>
      </c>
      <c r="J165" s="115">
        <v>0</v>
      </c>
      <c r="K165" s="113">
        <v>0</v>
      </c>
      <c r="L165" t="str">
        <f>VLOOKUP(A165,'SAP Actual extraction'!$A$28:$A$1048576,1,0)</f>
        <v>credit    6666020205  Business travel-other</v>
      </c>
      <c r="M165" t="str">
        <f>VLOOKUP(B165,'SAP Actual extraction'!B:B,1,0)</f>
        <v xml:space="preserve">    6666020205  Business travel-other</v>
      </c>
    </row>
    <row r="166" spans="1:13" x14ac:dyDescent="0.3">
      <c r="A166" s="109" t="str">
        <f t="shared" si="3"/>
        <v>credit    6666020301  Staff communication expense</v>
      </c>
      <c r="B166" s="112" t="s">
        <v>266</v>
      </c>
      <c r="C166" s="113">
        <v>-528.88</v>
      </c>
      <c r="D166" s="116">
        <v>0</v>
      </c>
      <c r="E166" s="113">
        <v>-528.88</v>
      </c>
      <c r="F166" s="113">
        <v>0</v>
      </c>
      <c r="G166" s="112" t="s">
        <v>266</v>
      </c>
      <c r="H166" s="114">
        <v>0</v>
      </c>
      <c r="I166" s="114">
        <v>0</v>
      </c>
      <c r="J166" s="115">
        <v>0</v>
      </c>
      <c r="K166" s="113">
        <v>0</v>
      </c>
      <c r="L166" t="str">
        <f>VLOOKUP(A166,'SAP Actual extraction'!$A$28:$A$1048576,1,0)</f>
        <v>credit    6666020301  Staff communication expense</v>
      </c>
      <c r="M166" t="str">
        <f>VLOOKUP(B166,'SAP Actual extraction'!B:B,1,0)</f>
        <v xml:space="preserve">    6666020301  Staff communication expense</v>
      </c>
    </row>
    <row r="167" spans="1:13" x14ac:dyDescent="0.3">
      <c r="A167" s="109" t="str">
        <f t="shared" si="3"/>
        <v>credit    6666020302  Communication Expenses</v>
      </c>
      <c r="B167" s="112" t="s">
        <v>268</v>
      </c>
      <c r="C167" s="116">
        <v>0</v>
      </c>
      <c r="D167" s="113">
        <v>-260</v>
      </c>
      <c r="E167" s="113">
        <v>260</v>
      </c>
      <c r="F167" s="113">
        <v>-100</v>
      </c>
      <c r="G167" s="112" t="s">
        <v>268</v>
      </c>
      <c r="H167" s="114">
        <v>0</v>
      </c>
      <c r="I167" s="114">
        <v>0</v>
      </c>
      <c r="J167" s="115">
        <v>0</v>
      </c>
      <c r="K167" s="113">
        <v>0</v>
      </c>
      <c r="L167" t="str">
        <f>VLOOKUP(A167,'SAP Actual extraction'!$A$28:$A$1048576,1,0)</f>
        <v>credit    6666020302  Communication Expenses</v>
      </c>
      <c r="M167" t="str">
        <f>VLOOKUP(B167,'SAP Actual extraction'!B:B,1,0)</f>
        <v xml:space="preserve">    6666020302  Communication Expenses</v>
      </c>
    </row>
    <row r="168" spans="1:13" x14ac:dyDescent="0.3">
      <c r="A168" s="109" t="str">
        <f t="shared" si="3"/>
        <v>credit    6666020403  Company car expense</v>
      </c>
      <c r="B168" s="112" t="s">
        <v>269</v>
      </c>
      <c r="C168" s="116">
        <v>0</v>
      </c>
      <c r="D168" s="116">
        <v>0</v>
      </c>
      <c r="E168" s="113">
        <v>0</v>
      </c>
      <c r="F168" s="113">
        <v>0</v>
      </c>
      <c r="G168" s="112" t="s">
        <v>269</v>
      </c>
      <c r="H168" s="114">
        <v>0</v>
      </c>
      <c r="I168" s="114">
        <v>0</v>
      </c>
      <c r="J168" s="115">
        <v>0</v>
      </c>
      <c r="K168" s="113">
        <v>0</v>
      </c>
      <c r="L168" t="str">
        <f>VLOOKUP(A168,'SAP Actual extraction'!$A$28:$A$1048576,1,0)</f>
        <v>credit    6666020403  Company car expense</v>
      </c>
      <c r="M168" t="str">
        <f>VLOOKUP(B168,'SAP Actual extraction'!B:B,1,0)</f>
        <v xml:space="preserve">    6666020403  Company car expense</v>
      </c>
    </row>
    <row r="169" spans="1:13" x14ac:dyDescent="0.3">
      <c r="A169" s="109" t="str">
        <f t="shared" si="3"/>
        <v>credit    6666020405  Company car expense - maintenance fees</v>
      </c>
      <c r="B169" s="112" t="s">
        <v>270</v>
      </c>
      <c r="C169" s="116">
        <v>0</v>
      </c>
      <c r="D169" s="116">
        <v>0</v>
      </c>
      <c r="E169" s="113">
        <v>0</v>
      </c>
      <c r="F169" s="113">
        <v>0</v>
      </c>
      <c r="G169" s="112" t="s">
        <v>270</v>
      </c>
      <c r="H169" s="114">
        <v>0</v>
      </c>
      <c r="I169" s="114">
        <v>0</v>
      </c>
      <c r="J169" s="115">
        <v>0</v>
      </c>
      <c r="K169" s="113">
        <v>0</v>
      </c>
      <c r="L169" t="str">
        <f>VLOOKUP(A169,'SAP Actual extraction'!$A$28:$A$1048576,1,0)</f>
        <v>credit    6666020405  Company car expense - maintenance fees</v>
      </c>
      <c r="M169" t="str">
        <f>VLOOKUP(B169,'SAP Actual extraction'!B:B,1,0)</f>
        <v xml:space="preserve">    6666020405  Company car expense - maintenance fees</v>
      </c>
    </row>
    <row r="170" spans="1:13" x14ac:dyDescent="0.3">
      <c r="A170" s="109" t="str">
        <f t="shared" si="3"/>
        <v>credit    6666020504  Newspaper and Periodicals expenditure</v>
      </c>
      <c r="B170" s="112" t="s">
        <v>271</v>
      </c>
      <c r="C170" s="113">
        <v>231.94</v>
      </c>
      <c r="D170" s="113">
        <v>-84.49</v>
      </c>
      <c r="E170" s="113">
        <v>316.43</v>
      </c>
      <c r="F170" s="113">
        <v>-374.51769999999999</v>
      </c>
      <c r="G170" s="112" t="s">
        <v>271</v>
      </c>
      <c r="H170" s="114">
        <v>0</v>
      </c>
      <c r="I170" s="114">
        <v>0</v>
      </c>
      <c r="J170" s="115">
        <v>0</v>
      </c>
      <c r="K170" s="113">
        <v>0</v>
      </c>
      <c r="L170" t="str">
        <f>VLOOKUP(A170,'SAP Actual extraction'!$A$28:$A$1048576,1,0)</f>
        <v>credit    6666020504  Newspaper and Periodicals expenditure</v>
      </c>
      <c r="M170" t="str">
        <f>VLOOKUP(B170,'SAP Actual extraction'!B:B,1,0)</f>
        <v xml:space="preserve">    6666020504  Newspaper and Periodicals expenditure</v>
      </c>
    </row>
    <row r="171" spans="1:13" x14ac:dyDescent="0.3">
      <c r="A171" s="109" t="str">
        <f t="shared" si="3"/>
        <v>credit    6666020508  Postage</v>
      </c>
      <c r="B171" s="112" t="s">
        <v>272</v>
      </c>
      <c r="C171" s="113">
        <v>1390.95</v>
      </c>
      <c r="D171" s="113">
        <v>-207.24</v>
      </c>
      <c r="E171" s="113">
        <v>1598.19</v>
      </c>
      <c r="F171" s="113">
        <v>-771.17830000000004</v>
      </c>
      <c r="G171" s="112" t="s">
        <v>272</v>
      </c>
      <c r="H171" s="114">
        <v>0</v>
      </c>
      <c r="I171" s="114">
        <v>0</v>
      </c>
      <c r="J171" s="115">
        <v>0</v>
      </c>
      <c r="K171" s="113">
        <v>0</v>
      </c>
      <c r="M171" t="str">
        <f>VLOOKUP(B171,'SAP Actual extraction'!B:B,1,0)</f>
        <v xml:space="preserve">    6666020508  Postage</v>
      </c>
    </row>
    <row r="172" spans="1:13" x14ac:dyDescent="0.3">
      <c r="A172" s="109" t="str">
        <f t="shared" si="3"/>
        <v>credit    6666020602  Training costs Outside the group</v>
      </c>
      <c r="B172" s="112" t="s">
        <v>273</v>
      </c>
      <c r="C172" s="116">
        <v>0</v>
      </c>
      <c r="D172" s="113">
        <v>-3274.07</v>
      </c>
      <c r="E172" s="113">
        <v>3274.07</v>
      </c>
      <c r="F172" s="113">
        <v>-100</v>
      </c>
      <c r="G172" s="112" t="s">
        <v>273</v>
      </c>
      <c r="H172" s="114">
        <v>0</v>
      </c>
      <c r="I172" s="114">
        <v>0</v>
      </c>
      <c r="J172" s="115">
        <v>0</v>
      </c>
      <c r="K172" s="113">
        <v>0</v>
      </c>
      <c r="L172" t="str">
        <f>VLOOKUP(A172,'SAP Actual extraction'!$A$28:$A$1048576,1,0)</f>
        <v>credit    6666020602  Training costs Outside the group</v>
      </c>
      <c r="M172" t="str">
        <f>VLOOKUP(B172,'SAP Actual extraction'!B:B,1,0)</f>
        <v xml:space="preserve">    6666020602  Training costs Outside the group</v>
      </c>
    </row>
    <row r="173" spans="1:13" x14ac:dyDescent="0.3">
      <c r="A173" s="109" t="str">
        <f t="shared" si="3"/>
        <v>credit    6666020802  Equipment rental cost</v>
      </c>
      <c r="B173" s="112" t="s">
        <v>275</v>
      </c>
      <c r="C173" s="113">
        <v>-11932.43</v>
      </c>
      <c r="D173" s="113">
        <v>-18549.259999999998</v>
      </c>
      <c r="E173" s="113">
        <v>6616.83</v>
      </c>
      <c r="F173" s="113">
        <v>-35.671700000000001</v>
      </c>
      <c r="G173" s="112" t="s">
        <v>275</v>
      </c>
      <c r="H173" s="114">
        <v>0</v>
      </c>
      <c r="I173" s="114">
        <v>0</v>
      </c>
      <c r="J173" s="115">
        <v>0</v>
      </c>
      <c r="K173" s="113">
        <v>0</v>
      </c>
      <c r="L173" t="str">
        <f>VLOOKUP(A173,'SAP Actual extraction'!$A$28:$A$1048576,1,0)</f>
        <v>credit    6666020802  Equipment rental cost</v>
      </c>
      <c r="M173" t="str">
        <f>VLOOKUP(B173,'SAP Actual extraction'!B:B,1,0)</f>
        <v xml:space="preserve">    6666020802  Equipment rental cost</v>
      </c>
    </row>
    <row r="174" spans="1:13" x14ac:dyDescent="0.3">
      <c r="A174" s="109" t="str">
        <f>"credit"&amp;B174</f>
        <v>credit    6666020803  Car rental cost</v>
      </c>
      <c r="B174" s="112" t="s">
        <v>276</v>
      </c>
      <c r="C174" s="113">
        <v>-258.68</v>
      </c>
      <c r="D174" s="113">
        <v>-3088.89</v>
      </c>
      <c r="E174" s="113">
        <v>2830.21</v>
      </c>
      <c r="F174" s="113">
        <v>-91.625500000000002</v>
      </c>
      <c r="G174" s="112" t="s">
        <v>276</v>
      </c>
      <c r="H174" s="114">
        <v>0</v>
      </c>
      <c r="I174" s="114">
        <v>0</v>
      </c>
      <c r="J174" s="115">
        <v>0</v>
      </c>
      <c r="K174" s="113">
        <v>0</v>
      </c>
      <c r="M174" t="str">
        <f>VLOOKUP(B174,'SAP Actual extraction'!B:B,1,0)</f>
        <v xml:space="preserve">    6666020803  Car rental cost</v>
      </c>
    </row>
    <row r="175" spans="1:13" x14ac:dyDescent="0.3">
      <c r="A175" s="109" t="str">
        <f>"credit"&amp;B175</f>
        <v>credit    6666021100  Consulting fees</v>
      </c>
      <c r="B175" s="112" t="s">
        <v>277</v>
      </c>
      <c r="C175" s="113">
        <v>3277.67</v>
      </c>
      <c r="D175" s="113">
        <v>-12427.39</v>
      </c>
      <c r="E175" s="113">
        <v>15705.06</v>
      </c>
      <c r="F175" s="113">
        <v>-126.3746</v>
      </c>
      <c r="G175" s="112" t="s">
        <v>277</v>
      </c>
      <c r="H175" s="114">
        <v>0</v>
      </c>
      <c r="I175" s="114">
        <v>0</v>
      </c>
      <c r="J175" s="115">
        <v>0</v>
      </c>
      <c r="K175" s="113">
        <v>0</v>
      </c>
      <c r="M175" t="str">
        <f>VLOOKUP(B175,'SAP Actual extraction'!B:B,1,0)</f>
        <v xml:space="preserve">    6666021100  Consulting fees</v>
      </c>
    </row>
    <row r="176" spans="1:13" x14ac:dyDescent="0.3">
      <c r="A176" s="109" t="str">
        <f t="shared" si="3"/>
        <v>credit    6666021104  Consulting expense-Technical</v>
      </c>
      <c r="B176" s="112" t="s">
        <v>267</v>
      </c>
      <c r="C176" s="116">
        <v>0</v>
      </c>
      <c r="D176" s="116">
        <v>0</v>
      </c>
      <c r="E176" s="113">
        <v>0</v>
      </c>
      <c r="F176" s="113">
        <v>0</v>
      </c>
      <c r="G176" s="112" t="s">
        <v>267</v>
      </c>
      <c r="H176" s="114">
        <v>0</v>
      </c>
      <c r="I176" s="114">
        <v>0</v>
      </c>
      <c r="J176" s="115">
        <v>0</v>
      </c>
      <c r="K176" s="113">
        <v>0</v>
      </c>
      <c r="L176" t="e">
        <f>VLOOKUP(A176,'SAP Actual extraction'!$A$28:$A$1048576,1,0)</f>
        <v>#N/A</v>
      </c>
      <c r="M176" t="str">
        <f>VLOOKUP(B176,'SAP Actual extraction'!B:B,1,0)</f>
        <v xml:space="preserve">    6666021104  Consulting expense-Technical</v>
      </c>
    </row>
    <row r="177" spans="1:13" x14ac:dyDescent="0.3">
      <c r="A177" s="109" t="str">
        <f t="shared" si="3"/>
        <v>credit    6666021902  Cleaning fees</v>
      </c>
      <c r="B177" s="112" t="s">
        <v>278</v>
      </c>
      <c r="C177" s="113">
        <v>-7542.28</v>
      </c>
      <c r="D177" s="113">
        <v>-10871.1</v>
      </c>
      <c r="E177" s="113">
        <v>3328.82</v>
      </c>
      <c r="F177" s="113">
        <v>-30.620799999999999</v>
      </c>
      <c r="G177" s="112" t="s">
        <v>278</v>
      </c>
      <c r="H177" s="114">
        <v>0</v>
      </c>
      <c r="I177" s="114">
        <v>0</v>
      </c>
      <c r="J177" s="115">
        <v>0</v>
      </c>
      <c r="K177" s="113">
        <v>0</v>
      </c>
      <c r="L177" t="str">
        <f>VLOOKUP(A177,'SAP Actual extraction'!$A$28:$A$1048576,1,0)</f>
        <v>credit    6666021902  Cleaning fees</v>
      </c>
      <c r="M177" t="str">
        <f>VLOOKUP(B177,'SAP Actual extraction'!B:B,1,0)</f>
        <v xml:space="preserve">    6666021902  Cleaning fees</v>
      </c>
    </row>
    <row r="178" spans="1:13" x14ac:dyDescent="0.3">
      <c r="A178" s="109" t="str">
        <f t="shared" si="3"/>
        <v>credit    6666022100  Security</v>
      </c>
      <c r="B178" s="112" t="s">
        <v>279</v>
      </c>
      <c r="C178" s="113">
        <v>-3746.4</v>
      </c>
      <c r="D178" s="113">
        <v>-8046.31</v>
      </c>
      <c r="E178" s="113">
        <v>4299.91</v>
      </c>
      <c r="F178" s="113">
        <v>-53.439500000000002</v>
      </c>
      <c r="G178" s="112" t="s">
        <v>279</v>
      </c>
      <c r="H178" s="114">
        <v>0</v>
      </c>
      <c r="I178" s="114">
        <v>0</v>
      </c>
      <c r="J178" s="115">
        <v>0</v>
      </c>
      <c r="K178" s="113">
        <v>0</v>
      </c>
      <c r="L178" t="str">
        <f>VLOOKUP(A178,'SAP Actual extraction'!$A$28:$A$1048576,1,0)</f>
        <v>credit    6666022100  Security</v>
      </c>
      <c r="M178" t="str">
        <f>VLOOKUP(B178,'SAP Actual extraction'!B:B,1,0)</f>
        <v xml:space="preserve">    6666022100  Security</v>
      </c>
    </row>
    <row r="179" spans="1:13" x14ac:dyDescent="0.3">
      <c r="A179" s="109" t="str">
        <f t="shared" si="3"/>
        <v>credit    6666022300  Association dues</v>
      </c>
      <c r="B179" s="112" t="s">
        <v>280</v>
      </c>
      <c r="C179" s="116">
        <v>0</v>
      </c>
      <c r="D179" s="116">
        <v>0</v>
      </c>
      <c r="E179" s="113">
        <v>0</v>
      </c>
      <c r="F179" s="113">
        <v>0</v>
      </c>
      <c r="G179" s="112" t="s">
        <v>280</v>
      </c>
      <c r="H179" s="114">
        <v>0</v>
      </c>
      <c r="I179" s="114">
        <v>0</v>
      </c>
      <c r="J179" s="115">
        <v>0</v>
      </c>
      <c r="K179" s="113">
        <v>0</v>
      </c>
      <c r="L179" t="str">
        <f>VLOOKUP(A179,'SAP Actual extraction'!$A$28:$A$1048576,1,0)</f>
        <v>credit    6666022300  Association dues</v>
      </c>
      <c r="M179" t="str">
        <f>VLOOKUP(B179,'SAP Actual extraction'!B:B,1,0)</f>
        <v xml:space="preserve">    6666022300  Association dues</v>
      </c>
    </row>
    <row r="180" spans="1:13" x14ac:dyDescent="0.3">
      <c r="A180" s="109" t="str">
        <f t="shared" si="3"/>
        <v>credit    6666029900  Sundry Expenses</v>
      </c>
      <c r="B180" s="112" t="s">
        <v>281</v>
      </c>
      <c r="C180" s="116">
        <v>0</v>
      </c>
      <c r="D180" s="116">
        <v>0</v>
      </c>
      <c r="E180" s="113">
        <v>0</v>
      </c>
      <c r="F180" s="113">
        <v>0</v>
      </c>
      <c r="G180" s="112" t="s">
        <v>281</v>
      </c>
      <c r="H180" s="114">
        <v>0</v>
      </c>
      <c r="I180" s="114">
        <v>0</v>
      </c>
      <c r="J180" s="115">
        <v>0</v>
      </c>
      <c r="K180" s="113">
        <v>0</v>
      </c>
      <c r="L180" t="str">
        <f>VLOOKUP(A180,'SAP Actual extraction'!$A$28:$A$1048576,1,0)</f>
        <v>credit    6666029900  Sundry Expenses</v>
      </c>
      <c r="M180" t="str">
        <f>VLOOKUP(B180,'SAP Actual extraction'!B:B,1,0)</f>
        <v xml:space="preserve">    6666029900  Sundry Expenses</v>
      </c>
    </row>
    <row r="181" spans="1:13" x14ac:dyDescent="0.3">
      <c r="A181" s="109" t="str">
        <f t="shared" si="3"/>
        <v>credit    6666029997  restructure cost</v>
      </c>
      <c r="B181" s="112" t="s">
        <v>282</v>
      </c>
      <c r="C181" s="116">
        <v>0</v>
      </c>
      <c r="D181" s="113">
        <v>-444.84</v>
      </c>
      <c r="E181" s="113">
        <v>444.84</v>
      </c>
      <c r="F181" s="113">
        <v>-100</v>
      </c>
      <c r="G181" s="112" t="s">
        <v>282</v>
      </c>
      <c r="H181" s="114">
        <v>0</v>
      </c>
      <c r="I181" s="114">
        <v>0</v>
      </c>
      <c r="J181" s="115">
        <v>0</v>
      </c>
      <c r="K181" s="113">
        <v>0</v>
      </c>
      <c r="L181" t="str">
        <f>VLOOKUP(A181,'SAP Actual extraction'!$A$28:$A$1048576,1,0)</f>
        <v>credit    6666029997  restructure cost</v>
      </c>
      <c r="M181" t="str">
        <f>VLOOKUP(B181,'SAP Actual extraction'!B:B,1,0)</f>
        <v xml:space="preserve">    6666029997  restructure cost</v>
      </c>
    </row>
    <row r="182" spans="1:13" x14ac:dyDescent="0.3">
      <c r="A182" s="109" t="str">
        <f t="shared" si="3"/>
        <v>credit    6666030300  Design and development fees</v>
      </c>
      <c r="B182" s="112" t="s">
        <v>283</v>
      </c>
      <c r="C182" s="116">
        <v>0</v>
      </c>
      <c r="D182" s="116">
        <v>0</v>
      </c>
      <c r="E182" s="113">
        <v>0</v>
      </c>
      <c r="F182" s="113">
        <v>0</v>
      </c>
      <c r="G182" s="112" t="s">
        <v>283</v>
      </c>
      <c r="H182" s="114">
        <v>0</v>
      </c>
      <c r="I182" s="114">
        <v>0</v>
      </c>
      <c r="J182" s="115">
        <v>0</v>
      </c>
      <c r="K182" s="113">
        <v>0</v>
      </c>
      <c r="L182" t="str">
        <f>VLOOKUP(A182,'SAP Actual extraction'!$A$28:$A$1048576,1,0)</f>
        <v>credit    6666030300  Design and development fees</v>
      </c>
      <c r="M182" t="str">
        <f>VLOOKUP(B182,'SAP Actual extraction'!B:B,1,0)</f>
        <v xml:space="preserve">    6666030300  Design and development fees</v>
      </c>
    </row>
    <row r="183" spans="1:13" x14ac:dyDescent="0.3">
      <c r="A183" s="109" t="str">
        <f t="shared" si="3"/>
        <v>credit    6666050107  Special distribution costs</v>
      </c>
      <c r="B183" s="112" t="s">
        <v>286</v>
      </c>
      <c r="C183" s="116">
        <v>0</v>
      </c>
      <c r="D183" s="116">
        <v>0</v>
      </c>
      <c r="E183" s="113">
        <v>0</v>
      </c>
      <c r="F183" s="113">
        <v>0</v>
      </c>
      <c r="G183" s="112" t="s">
        <v>286</v>
      </c>
      <c r="H183" s="114">
        <v>0</v>
      </c>
      <c r="I183" s="114">
        <v>0</v>
      </c>
      <c r="J183" s="115">
        <v>0</v>
      </c>
      <c r="K183" s="113">
        <v>0</v>
      </c>
      <c r="L183" t="str">
        <f>VLOOKUP(A183,'SAP Actual extraction'!$A$28:$A$1048576,1,0)</f>
        <v>credit    6666050107  Special distribution costs</v>
      </c>
      <c r="M183" t="str">
        <f>VLOOKUP(B183,'SAP Actual extraction'!B:B,1,0)</f>
        <v xml:space="preserve">    6666050107  Special distribution costs</v>
      </c>
    </row>
    <row r="184" spans="1:13" x14ac:dyDescent="0.3">
      <c r="A184" s="109" t="str">
        <f t="shared" si="3"/>
        <v>credit    6666050312  Inventory count different- Semifinished</v>
      </c>
      <c r="B184" s="112" t="s">
        <v>211</v>
      </c>
      <c r="C184" s="113">
        <v>-112817.8</v>
      </c>
      <c r="D184" s="116">
        <v>0</v>
      </c>
      <c r="E184" s="113">
        <v>-112817.8</v>
      </c>
      <c r="F184" s="113">
        <v>0</v>
      </c>
      <c r="G184" s="112" t="s">
        <v>211</v>
      </c>
      <c r="H184" s="114">
        <v>0</v>
      </c>
      <c r="I184" s="114">
        <v>0</v>
      </c>
      <c r="J184" s="115">
        <v>0</v>
      </c>
      <c r="K184" s="113">
        <v>0</v>
      </c>
      <c r="L184" t="str">
        <f>VLOOKUP(A184,'SAP Actual extraction'!$A$28:$A$1048576,1,0)</f>
        <v>credit    6666050312  Inventory count different- Semifinished</v>
      </c>
      <c r="M184" t="str">
        <f>VLOOKUP(B184,'SAP Actual extraction'!B:B,1,0)</f>
        <v xml:space="preserve">    6666050312  Inventory count different- Semifinished</v>
      </c>
    </row>
    <row r="185" spans="1:13" x14ac:dyDescent="0.3">
      <c r="A185" s="109" t="str">
        <f t="shared" si="3"/>
        <v>credit    6666070100  Software purchase, development and imple</v>
      </c>
      <c r="B185" s="112" t="s">
        <v>287</v>
      </c>
      <c r="C185" s="116">
        <v>0</v>
      </c>
      <c r="D185" s="116">
        <v>0</v>
      </c>
      <c r="E185" s="113">
        <v>0</v>
      </c>
      <c r="F185" s="113">
        <v>0</v>
      </c>
      <c r="G185" s="112" t="s">
        <v>287</v>
      </c>
      <c r="H185" s="114">
        <v>0</v>
      </c>
      <c r="I185" s="114">
        <v>0</v>
      </c>
      <c r="J185" s="115">
        <v>0</v>
      </c>
      <c r="K185" s="113">
        <v>0</v>
      </c>
      <c r="L185" t="str">
        <f>VLOOKUP(A185,'SAP Actual extraction'!$A$28:$A$1048576,1,0)</f>
        <v>credit    6666070100  Software purchase, development and imple</v>
      </c>
      <c r="M185" t="str">
        <f>VLOOKUP(B185,'SAP Actual extraction'!B:B,1,0)</f>
        <v xml:space="preserve">    6666070100  Software purchase, development and imple</v>
      </c>
    </row>
    <row r="186" spans="1:13" x14ac:dyDescent="0.3">
      <c r="A186" s="109" t="str">
        <f t="shared" si="3"/>
        <v>credit    6666070400  IT maint. &amp; repairs hardware</v>
      </c>
      <c r="B186" s="112" t="s">
        <v>289</v>
      </c>
      <c r="C186" s="113">
        <v>1626.77</v>
      </c>
      <c r="D186" s="113">
        <v>-8219.7000000000007</v>
      </c>
      <c r="E186" s="113">
        <v>9846.4699999999993</v>
      </c>
      <c r="F186" s="113">
        <v>-119.7911</v>
      </c>
      <c r="G186" s="112" t="s">
        <v>289</v>
      </c>
      <c r="H186" s="114">
        <v>0</v>
      </c>
      <c r="I186" s="114">
        <v>0</v>
      </c>
      <c r="J186" s="115">
        <v>0</v>
      </c>
      <c r="K186" s="113">
        <v>0</v>
      </c>
      <c r="L186" t="str">
        <f>VLOOKUP(A186,'SAP Actual extraction'!$A$28:$A$1048576,1,0)</f>
        <v>credit    6666070400  IT maint. &amp; repairs hardware</v>
      </c>
      <c r="M186" t="str">
        <f>VLOOKUP(B186,'SAP Actual extraction'!B:B,1,0)</f>
        <v xml:space="preserve">    6666070400  IT maint. &amp; repairs hardware</v>
      </c>
    </row>
    <row r="187" spans="1:13" x14ac:dyDescent="0.3">
      <c r="A187" s="109" t="str">
        <f t="shared" si="3"/>
        <v>credit    5401050201  COGS-Freight out-Special and sporadic fr</v>
      </c>
      <c r="B187" s="112" t="s">
        <v>291</v>
      </c>
      <c r="C187" s="116">
        <v>0</v>
      </c>
      <c r="D187" s="116">
        <v>0</v>
      </c>
      <c r="E187" s="113">
        <v>0</v>
      </c>
      <c r="F187" s="113">
        <v>0</v>
      </c>
      <c r="G187" s="112" t="s">
        <v>291</v>
      </c>
      <c r="H187" s="114">
        <v>0</v>
      </c>
      <c r="I187" s="114">
        <v>0</v>
      </c>
      <c r="J187" s="115">
        <v>0</v>
      </c>
      <c r="K187" s="113">
        <v>0</v>
      </c>
      <c r="L187" t="e">
        <f>VLOOKUP(A187,'SAP Actual extraction'!$A$28:$A$1048576,1,0)</f>
        <v>#N/A</v>
      </c>
      <c r="M187" t="str">
        <f>VLOOKUP(B187,'SAP Actual extraction'!B:B,1,0)</f>
        <v xml:space="preserve">    5401050201  COGS-Freight out-Special and sporadic fr</v>
      </c>
    </row>
    <row r="188" spans="1:13" x14ac:dyDescent="0.3">
      <c r="A188" s="109" t="str">
        <f t="shared" si="3"/>
        <v>credit*   CS_Fix Cost</v>
      </c>
      <c r="B188" s="117" t="s">
        <v>210</v>
      </c>
      <c r="C188" s="118">
        <v>-75308.759999999995</v>
      </c>
      <c r="D188" s="118">
        <v>-78954.34</v>
      </c>
      <c r="E188" s="118">
        <v>3645.58</v>
      </c>
      <c r="F188" s="118">
        <v>-4.6173000000000002</v>
      </c>
      <c r="G188" s="117" t="s">
        <v>210</v>
      </c>
      <c r="H188" s="119">
        <v>0</v>
      </c>
      <c r="I188" s="119">
        <v>0</v>
      </c>
      <c r="J188" s="120">
        <v>0</v>
      </c>
      <c r="K188" s="118">
        <v>0</v>
      </c>
      <c r="L188" t="str">
        <f>VLOOKUP(A188,'SAP Actual extraction'!$A$28:$A$1048576,1,0)</f>
        <v>credit*   CS_Fix Cost</v>
      </c>
      <c r="M188" t="str">
        <f>VLOOKUP(B188,'SAP Actual extraction'!B:B,1,0)</f>
        <v>*   CS_Fix Cost</v>
      </c>
    </row>
    <row r="189" spans="1:13" x14ac:dyDescent="0.3">
      <c r="A189" s="109" t="str">
        <f t="shared" si="3"/>
        <v>credit    6666110203  Low value consumables</v>
      </c>
      <c r="B189" s="112" t="s">
        <v>292</v>
      </c>
      <c r="C189" s="113">
        <v>52477.61</v>
      </c>
      <c r="D189" s="116">
        <v>0</v>
      </c>
      <c r="E189" s="113">
        <v>52477.61</v>
      </c>
      <c r="F189" s="113">
        <v>0</v>
      </c>
      <c r="G189" s="112" t="s">
        <v>292</v>
      </c>
      <c r="H189" s="114">
        <v>0</v>
      </c>
      <c r="I189" s="114">
        <v>0</v>
      </c>
      <c r="J189" s="115">
        <v>0</v>
      </c>
      <c r="K189" s="113">
        <v>0</v>
      </c>
      <c r="L189" t="str">
        <f>VLOOKUP(A189,'SAP Actual extraction'!$A$28:$A$1048576,1,0)</f>
        <v>credit    6666110203  Low value consumables</v>
      </c>
      <c r="M189" t="str">
        <f>VLOOKUP(B189,'SAP Actual extraction'!B:B,1,0)</f>
        <v xml:space="preserve">    6666110203  Low value consumables</v>
      </c>
    </row>
    <row r="190" spans="1:13" x14ac:dyDescent="0.3">
      <c r="A190" s="109" t="str">
        <f t="shared" si="3"/>
        <v>credit    5102040000  Other Revenue - Other</v>
      </c>
      <c r="B190" s="112" t="s">
        <v>293</v>
      </c>
      <c r="C190" s="116">
        <v>0</v>
      </c>
      <c r="D190" s="116">
        <v>0</v>
      </c>
      <c r="E190" s="113">
        <v>0</v>
      </c>
      <c r="F190" s="113">
        <v>0</v>
      </c>
      <c r="G190" s="112" t="s">
        <v>293</v>
      </c>
      <c r="H190" s="114">
        <v>0</v>
      </c>
      <c r="I190" s="114">
        <v>0</v>
      </c>
      <c r="J190" s="115">
        <v>0</v>
      </c>
      <c r="K190" s="113">
        <v>0</v>
      </c>
      <c r="L190" t="str">
        <f>VLOOKUP(A190,'SAP Actual extraction'!$A$28:$A$1048576,1,0)</f>
        <v>credit    5102040000  Other Revenue - Other</v>
      </c>
      <c r="M190" t="str">
        <f>VLOOKUP(B190,'SAP Actual extraction'!B:B,1,0)</f>
        <v xml:space="preserve">    5102040000  Other Revenue - Other</v>
      </c>
    </row>
    <row r="191" spans="1:13" x14ac:dyDescent="0.3">
      <c r="A191" s="109" t="str">
        <f t="shared" si="3"/>
        <v>credit    6666050307  Inventory count different-raw material</v>
      </c>
      <c r="B191" s="112" t="s">
        <v>294</v>
      </c>
      <c r="C191" s="113">
        <v>263790.03000000003</v>
      </c>
      <c r="D191" s="116">
        <v>0</v>
      </c>
      <c r="E191" s="113">
        <v>263790.03000000003</v>
      </c>
      <c r="F191" s="113">
        <v>0</v>
      </c>
      <c r="G191" s="112" t="s">
        <v>294</v>
      </c>
      <c r="H191" s="114">
        <v>0</v>
      </c>
      <c r="I191" s="114">
        <v>0</v>
      </c>
      <c r="J191" s="115">
        <v>0</v>
      </c>
      <c r="K191" s="113">
        <v>0</v>
      </c>
      <c r="L191" t="str">
        <f>VLOOKUP(A191,'SAP Actual extraction'!$A$28:$A$1048576,1,0)</f>
        <v>credit    6666050307  Inventory count different-raw material</v>
      </c>
      <c r="M191" t="str">
        <f>VLOOKUP(B191,'SAP Actual extraction'!B:B,1,0)</f>
        <v xml:space="preserve">    6666050307  Inventory count different-raw material</v>
      </c>
    </row>
    <row r="192" spans="1:13" x14ac:dyDescent="0.3">
      <c r="A192" s="109" t="str">
        <f t="shared" si="3"/>
        <v>credit*   CS_Variable Cost</v>
      </c>
      <c r="B192" s="117" t="s">
        <v>212</v>
      </c>
      <c r="C192" s="118">
        <v>316267.64</v>
      </c>
      <c r="D192" s="125">
        <v>0</v>
      </c>
      <c r="E192" s="118">
        <v>316267.64</v>
      </c>
      <c r="F192" s="118">
        <v>0</v>
      </c>
      <c r="G192" s="117" t="s">
        <v>212</v>
      </c>
      <c r="H192" s="119">
        <v>0</v>
      </c>
      <c r="I192" s="119">
        <v>0</v>
      </c>
      <c r="J192" s="120">
        <v>0</v>
      </c>
      <c r="K192" s="118">
        <v>0</v>
      </c>
      <c r="L192" t="str">
        <f>VLOOKUP(A192,'SAP Actual extraction'!$A$28:$A$1048576,1,0)</f>
        <v>credit*   CS_Variable Cost</v>
      </c>
      <c r="M192" t="str">
        <f>VLOOKUP(B192,'SAP Actual extraction'!B:B,1,0)</f>
        <v>*   CS_Variable Cost</v>
      </c>
    </row>
    <row r="193" spans="1:13" x14ac:dyDescent="0.3">
      <c r="A193" s="109" t="str">
        <f t="shared" si="3"/>
        <v>credit    6666100203  Provision for inventory devaluation - RM</v>
      </c>
      <c r="B193" s="112" t="s">
        <v>295</v>
      </c>
      <c r="C193" s="113">
        <v>-114586.24000000001</v>
      </c>
      <c r="D193" s="113">
        <v>-25000</v>
      </c>
      <c r="E193" s="113">
        <v>-89586.240000000005</v>
      </c>
      <c r="F193" s="113">
        <v>358.34500000000003</v>
      </c>
      <c r="G193" s="112" t="s">
        <v>295</v>
      </c>
      <c r="H193" s="114">
        <v>0</v>
      </c>
      <c r="I193" s="114">
        <v>0</v>
      </c>
      <c r="J193" s="115">
        <v>0</v>
      </c>
      <c r="K193" s="113">
        <v>0</v>
      </c>
      <c r="L193" t="str">
        <f>VLOOKUP(A193,'SAP Actual extraction'!$A$28:$A$1048576,1,0)</f>
        <v>credit    6666100203  Provision for inventory devaluation - RM</v>
      </c>
      <c r="M193" t="str">
        <f>VLOOKUP(B193,'SAP Actual extraction'!B:B,1,0)</f>
        <v xml:space="preserve">    6666100203  Provision for inventory devaluation - RM</v>
      </c>
    </row>
    <row r="194" spans="1:13" x14ac:dyDescent="0.3">
      <c r="A194" s="109" t="str">
        <f t="shared" si="3"/>
        <v>credit*   CS_Obsolescence</v>
      </c>
      <c r="B194" s="117" t="s">
        <v>213</v>
      </c>
      <c r="C194" s="118">
        <v>-114586.24000000001</v>
      </c>
      <c r="D194" s="118">
        <v>-25000</v>
      </c>
      <c r="E194" s="118">
        <v>-89586.240000000005</v>
      </c>
      <c r="F194" s="118">
        <v>358.34500000000003</v>
      </c>
      <c r="G194" s="117" t="s">
        <v>213</v>
      </c>
      <c r="H194" s="119">
        <v>0</v>
      </c>
      <c r="I194" s="119">
        <v>0</v>
      </c>
      <c r="J194" s="120">
        <v>0</v>
      </c>
      <c r="K194" s="118">
        <v>0</v>
      </c>
      <c r="L194" t="str">
        <f>VLOOKUP(A194,'SAP Actual extraction'!$A$28:$A$1048576,1,0)</f>
        <v>credit*   CS_Obsolescence</v>
      </c>
      <c r="M194" t="str">
        <f>VLOOKUP(B194,'SAP Actual extraction'!B:B,1,0)</f>
        <v>*   CS_Obsolescence</v>
      </c>
    </row>
    <row r="195" spans="1:13" x14ac:dyDescent="0.3">
      <c r="A195" s="109" t="str">
        <f t="shared" si="3"/>
        <v>credit    5301070000  Non-operation revenue-sales of scrapped</v>
      </c>
      <c r="B195" s="112" t="s">
        <v>296</v>
      </c>
      <c r="C195" s="113">
        <v>112054.34</v>
      </c>
      <c r="D195" s="113">
        <v>124919.02</v>
      </c>
      <c r="E195" s="113">
        <v>-12864.68</v>
      </c>
      <c r="F195" s="113">
        <v>-10.298400000000001</v>
      </c>
      <c r="G195" s="112" t="s">
        <v>296</v>
      </c>
      <c r="H195" s="114">
        <v>0</v>
      </c>
      <c r="I195" s="114">
        <v>0</v>
      </c>
      <c r="J195" s="115">
        <v>0</v>
      </c>
      <c r="K195" s="113">
        <v>0</v>
      </c>
      <c r="L195" t="str">
        <f>VLOOKUP(A195,'SAP Actual extraction'!$A$28:$A$1048576,1,0)</f>
        <v>credit    5301070000  Non-operation revenue-sales of scrapped</v>
      </c>
      <c r="M195" t="str">
        <f>VLOOKUP(B195,'SAP Actual extraction'!B:B,1,0)</f>
        <v xml:space="preserve">    5301070000  Non-operation revenue-sales of scrapped</v>
      </c>
    </row>
    <row r="196" spans="1:13" x14ac:dyDescent="0.3">
      <c r="A196" s="109" t="str">
        <f t="shared" si="3"/>
        <v>credit*   CS_Reselling</v>
      </c>
      <c r="B196" s="117" t="s">
        <v>214</v>
      </c>
      <c r="C196" s="118">
        <v>112054.34</v>
      </c>
      <c r="D196" s="118">
        <v>124919.02</v>
      </c>
      <c r="E196" s="118">
        <v>-12864.68</v>
      </c>
      <c r="F196" s="118">
        <v>-10.298400000000001</v>
      </c>
      <c r="G196" s="117" t="s">
        <v>214</v>
      </c>
      <c r="H196" s="119">
        <v>0</v>
      </c>
      <c r="I196" s="119">
        <v>0</v>
      </c>
      <c r="J196" s="120">
        <v>0</v>
      </c>
      <c r="K196" s="118">
        <v>0</v>
      </c>
      <c r="L196" t="str">
        <f>VLOOKUP(A196,'SAP Actual extraction'!$A$28:$A$1048576,1,0)</f>
        <v>credit*   CS_Reselling</v>
      </c>
      <c r="M196" t="str">
        <f>VLOOKUP(B196,'SAP Actual extraction'!B:B,1,0)</f>
        <v>*   CS_Reselling</v>
      </c>
    </row>
    <row r="197" spans="1:13" x14ac:dyDescent="0.3">
      <c r="A197" s="109" t="str">
        <f t="shared" si="3"/>
        <v>credit    6666021602  Electricity</v>
      </c>
      <c r="B197" s="112" t="s">
        <v>297</v>
      </c>
      <c r="C197" s="113">
        <v>-587.01</v>
      </c>
      <c r="D197" s="113">
        <v>-11936.65</v>
      </c>
      <c r="E197" s="113">
        <v>11349.64</v>
      </c>
      <c r="F197" s="113">
        <v>-95.082300000000004</v>
      </c>
      <c r="G197" s="112" t="s">
        <v>297</v>
      </c>
      <c r="H197" s="114">
        <v>0</v>
      </c>
      <c r="I197" s="114">
        <v>0</v>
      </c>
      <c r="J197" s="115">
        <v>0</v>
      </c>
      <c r="K197" s="113">
        <v>0</v>
      </c>
      <c r="L197" t="str">
        <f>VLOOKUP(A197,'SAP Actual extraction'!$A$28:$A$1048576,1,0)</f>
        <v>credit    6666021602  Electricity</v>
      </c>
      <c r="M197" t="str">
        <f>VLOOKUP(B197,'SAP Actual extraction'!B:B,1,0)</f>
        <v xml:space="preserve">    6666021602  Electricity</v>
      </c>
    </row>
    <row r="198" spans="1:13" x14ac:dyDescent="0.3">
      <c r="A198" s="109" t="str">
        <f t="shared" si="3"/>
        <v>credit*   CS_Fix Utilities</v>
      </c>
      <c r="B198" s="117" t="s">
        <v>215</v>
      </c>
      <c r="C198" s="118">
        <v>-587.01</v>
      </c>
      <c r="D198" s="118">
        <v>-11936.65</v>
      </c>
      <c r="E198" s="118">
        <v>11349.64</v>
      </c>
      <c r="F198" s="118">
        <v>-95.082300000000004</v>
      </c>
      <c r="G198" s="117" t="s">
        <v>215</v>
      </c>
      <c r="H198" s="119">
        <v>0</v>
      </c>
      <c r="I198" s="119">
        <v>0</v>
      </c>
      <c r="J198" s="120">
        <v>0</v>
      </c>
      <c r="K198" s="118">
        <v>0</v>
      </c>
      <c r="L198" t="str">
        <f>VLOOKUP(A198,'SAP Actual extraction'!$A$28:$A$1048576,1,0)</f>
        <v>credit*   CS_Fix Utilities</v>
      </c>
      <c r="M198" t="str">
        <f>VLOOKUP(B198,'SAP Actual extraction'!B:B,1,0)</f>
        <v>*   CS_Fix Utilities</v>
      </c>
    </row>
    <row r="199" spans="1:13" x14ac:dyDescent="0.3">
      <c r="A199" s="109" t="str">
        <f t="shared" si="3"/>
        <v>credit    6666021603  Water</v>
      </c>
      <c r="B199" s="112" t="s">
        <v>299</v>
      </c>
      <c r="C199" s="113">
        <v>-1118.6500000000001</v>
      </c>
      <c r="D199" s="116">
        <v>0</v>
      </c>
      <c r="E199" s="113">
        <v>-1118.6500000000001</v>
      </c>
      <c r="F199" s="113">
        <v>0</v>
      </c>
      <c r="G199" s="112" t="s">
        <v>299</v>
      </c>
      <c r="H199" s="114">
        <v>0</v>
      </c>
      <c r="I199" s="114">
        <v>0</v>
      </c>
      <c r="J199" s="115">
        <v>0</v>
      </c>
      <c r="K199" s="113">
        <v>0</v>
      </c>
      <c r="L199" t="str">
        <f>VLOOKUP(A199,'SAP Actual extraction'!$A$28:$A$1048576,1,0)</f>
        <v>credit    6666021603  Water</v>
      </c>
      <c r="M199" t="str">
        <f>VLOOKUP(B199,'SAP Actual extraction'!B:B,1,0)</f>
        <v xml:space="preserve">    6666021603  Water</v>
      </c>
    </row>
    <row r="200" spans="1:13" x14ac:dyDescent="0.3">
      <c r="A200" s="109" t="str">
        <f t="shared" si="3"/>
        <v>credit    6666021604  Oil &amp; Gas</v>
      </c>
      <c r="B200" s="112" t="s">
        <v>300</v>
      </c>
      <c r="C200" s="113">
        <v>-6842.39</v>
      </c>
      <c r="D200" s="116">
        <v>0</v>
      </c>
      <c r="E200" s="113">
        <v>-6842.39</v>
      </c>
      <c r="F200" s="113">
        <v>0</v>
      </c>
      <c r="G200" s="112" t="s">
        <v>300</v>
      </c>
      <c r="H200" s="114">
        <v>0</v>
      </c>
      <c r="I200" s="114">
        <v>0</v>
      </c>
      <c r="J200" s="115">
        <v>0</v>
      </c>
      <c r="K200" s="113">
        <v>0</v>
      </c>
      <c r="L200" t="str">
        <f>VLOOKUP(A200,'SAP Actual extraction'!$A$28:$A$1048576,1,0)</f>
        <v>credit    6666021604  Oil &amp; Gas</v>
      </c>
      <c r="M200" t="str">
        <f>VLOOKUP(B200,'SAP Actual extraction'!B:B,1,0)</f>
        <v xml:space="preserve">    6666021604  Oil &amp; Gas</v>
      </c>
    </row>
    <row r="201" spans="1:13" x14ac:dyDescent="0.3">
      <c r="A201" s="109" t="str">
        <f t="shared" si="3"/>
        <v>credit*   CS_Variable Utilities</v>
      </c>
      <c r="B201" s="117" t="s">
        <v>216</v>
      </c>
      <c r="C201" s="118">
        <v>-7961.04</v>
      </c>
      <c r="D201" s="125">
        <v>0</v>
      </c>
      <c r="E201" s="118">
        <v>-7961.04</v>
      </c>
      <c r="F201" s="118">
        <v>0</v>
      </c>
      <c r="G201" s="117" t="s">
        <v>216</v>
      </c>
      <c r="H201" s="119">
        <v>0</v>
      </c>
      <c r="I201" s="119">
        <v>0</v>
      </c>
      <c r="J201" s="120">
        <v>0</v>
      </c>
      <c r="K201" s="118">
        <v>0</v>
      </c>
      <c r="L201" t="str">
        <f>VLOOKUP(A201,'SAP Actual extraction'!$A$28:$A$1048576,1,0)</f>
        <v>credit*   CS_Variable Utilities</v>
      </c>
      <c r="M201" t="str">
        <f>VLOOKUP(B201,'SAP Actual extraction'!B:B,1,0)</f>
        <v>*   CS_Variable Utilities</v>
      </c>
    </row>
    <row r="202" spans="1:13" x14ac:dyDescent="0.3">
      <c r="A202" s="109" t="str">
        <f t="shared" si="3"/>
        <v>credit    5001010206  Unemployment Insurance -blue collar-Indi</v>
      </c>
      <c r="B202" s="112" t="s">
        <v>301</v>
      </c>
      <c r="C202" s="113">
        <v>-2479.09</v>
      </c>
      <c r="D202" s="116">
        <v>0</v>
      </c>
      <c r="E202" s="113">
        <v>-2479.09</v>
      </c>
      <c r="F202" s="113">
        <v>0</v>
      </c>
      <c r="G202" s="112" t="s">
        <v>301</v>
      </c>
      <c r="H202" s="114">
        <v>0</v>
      </c>
      <c r="I202" s="114">
        <v>0</v>
      </c>
      <c r="J202" s="115">
        <v>0</v>
      </c>
      <c r="K202" s="113">
        <v>0</v>
      </c>
      <c r="L202" t="str">
        <f>VLOOKUP(A202,'SAP Actual extraction'!$A$28:$A$1048576,1,0)</f>
        <v>credit    5001010206  Unemployment Insurance -blue collar-Indi</v>
      </c>
      <c r="M202" t="str">
        <f>VLOOKUP(B202,'SAP Actual extraction'!B:B,1,0)</f>
        <v xml:space="preserve">    5001010206  Unemployment Insurance -blue collar-Indi</v>
      </c>
    </row>
    <row r="203" spans="1:13" x14ac:dyDescent="0.3">
      <c r="A203" s="109" t="str">
        <f t="shared" si="3"/>
        <v>credit    6666010184  Salary&amp;Additional Incentive-Blue Collar-</v>
      </c>
      <c r="B203" s="112" t="s">
        <v>302</v>
      </c>
      <c r="C203" s="113">
        <v>80.56</v>
      </c>
      <c r="D203" s="116">
        <v>0</v>
      </c>
      <c r="E203" s="113">
        <v>80.56</v>
      </c>
      <c r="F203" s="113">
        <v>0</v>
      </c>
      <c r="G203" s="112" t="s">
        <v>302</v>
      </c>
      <c r="H203" s="114">
        <v>0</v>
      </c>
      <c r="I203" s="114">
        <v>0</v>
      </c>
      <c r="J203" s="115">
        <v>0</v>
      </c>
      <c r="K203" s="113">
        <v>0</v>
      </c>
      <c r="L203" t="str">
        <f>VLOOKUP(A203,'SAP Actual extraction'!$A$28:$A$1048576,1,0)</f>
        <v>credit    6666010184  Salary&amp;Additional Incentive-Blue Collar-</v>
      </c>
      <c r="M203" t="str">
        <f>VLOOKUP(B203,'SAP Actual extraction'!B:B,1,0)</f>
        <v xml:space="preserve">    6666010184  Salary&amp;Additional Incentive-Blue Collar-</v>
      </c>
    </row>
    <row r="204" spans="1:13" x14ac:dyDescent="0.3">
      <c r="A204" s="109" t="str">
        <f t="shared" si="3"/>
        <v>credit    6666010186  Overtime-Blue Collar-Indirect</v>
      </c>
      <c r="B204" s="112" t="s">
        <v>303</v>
      </c>
      <c r="C204" s="113">
        <v>-6998.69</v>
      </c>
      <c r="D204" s="116">
        <v>0</v>
      </c>
      <c r="E204" s="113">
        <v>-6998.69</v>
      </c>
      <c r="F204" s="113">
        <v>0</v>
      </c>
      <c r="G204" s="112" t="s">
        <v>303</v>
      </c>
      <c r="H204" s="114">
        <v>0</v>
      </c>
      <c r="I204" s="114">
        <v>0</v>
      </c>
      <c r="J204" s="115">
        <v>0</v>
      </c>
      <c r="K204" s="113">
        <v>0</v>
      </c>
      <c r="L204" t="str">
        <f>VLOOKUP(A204,'SAP Actual extraction'!$A$28:$A$1048576,1,0)</f>
        <v>credit    6666010186  Overtime-Blue Collar-Indirect</v>
      </c>
      <c r="M204" t="str">
        <f>VLOOKUP(B204,'SAP Actual extraction'!B:B,1,0)</f>
        <v xml:space="preserve">    6666010186  Overtime-Blue Collar-Indirect</v>
      </c>
    </row>
    <row r="205" spans="1:13" x14ac:dyDescent="0.3">
      <c r="A205" s="109" t="str">
        <f t="shared" si="3"/>
        <v>credit    6666010189  Salary - Blue collar indirect employees</v>
      </c>
      <c r="B205" s="112" t="s">
        <v>304</v>
      </c>
      <c r="C205" s="113">
        <v>20873.580000000002</v>
      </c>
      <c r="D205" s="113">
        <v>-228680.84</v>
      </c>
      <c r="E205" s="113">
        <v>249554.42</v>
      </c>
      <c r="F205" s="113">
        <v>-109.12779999999999</v>
      </c>
      <c r="G205" s="112" t="s">
        <v>304</v>
      </c>
      <c r="H205" s="114">
        <v>0</v>
      </c>
      <c r="I205" s="114">
        <v>0</v>
      </c>
      <c r="J205" s="115">
        <v>0</v>
      </c>
      <c r="K205" s="113">
        <v>0</v>
      </c>
      <c r="L205" t="str">
        <f>VLOOKUP(A205,'SAP Actual extraction'!$A$28:$A$1048576,1,0)</f>
        <v>credit    6666010189  Salary - Blue collar indirect employees</v>
      </c>
      <c r="M205" t="str">
        <f>VLOOKUP(B205,'SAP Actual extraction'!B:B,1,0)</f>
        <v xml:space="preserve">    6666010189  Salary - Blue collar indirect employees</v>
      </c>
    </row>
    <row r="206" spans="1:13" x14ac:dyDescent="0.3">
      <c r="A206" s="109" t="str">
        <f t="shared" si="3"/>
        <v>credit    6666010012  Payroll Taxes- Blue Collar Indirect</v>
      </c>
      <c r="B206" s="112" t="s">
        <v>305</v>
      </c>
      <c r="C206" s="113">
        <v>-20183.419999999998</v>
      </c>
      <c r="D206" s="116">
        <v>0</v>
      </c>
      <c r="E206" s="113">
        <v>-20183.419999999998</v>
      </c>
      <c r="F206" s="113">
        <v>0</v>
      </c>
      <c r="G206" s="112" t="s">
        <v>305</v>
      </c>
      <c r="H206" s="114">
        <v>0</v>
      </c>
      <c r="I206" s="114">
        <v>0</v>
      </c>
      <c r="J206" s="115">
        <v>0</v>
      </c>
      <c r="K206" s="113">
        <v>0</v>
      </c>
      <c r="L206" t="str">
        <f>VLOOKUP(A206,'SAP Actual extraction'!$A$28:$A$1048576,1,0)</f>
        <v>credit    6666010012  Payroll Taxes- Blue Collar Indirect</v>
      </c>
      <c r="M206" t="str">
        <f>VLOOKUP(B206,'SAP Actual extraction'!B:B,1,0)</f>
        <v xml:space="preserve">    6666010012  Payroll Taxes- Blue Collar Indirect</v>
      </c>
    </row>
    <row r="207" spans="1:13" x14ac:dyDescent="0.3">
      <c r="A207" s="109" t="str">
        <f t="shared" si="3"/>
        <v>credit    6666010226  Staff Leaving Indemnity - Blue Collar In</v>
      </c>
      <c r="B207" s="112" t="s">
        <v>306</v>
      </c>
      <c r="C207" s="113">
        <v>-4588.07</v>
      </c>
      <c r="D207" s="116">
        <v>0</v>
      </c>
      <c r="E207" s="113">
        <v>-4588.07</v>
      </c>
      <c r="F207" s="113">
        <v>0</v>
      </c>
      <c r="G207" s="112" t="s">
        <v>306</v>
      </c>
      <c r="H207" s="114">
        <v>0</v>
      </c>
      <c r="I207" s="114">
        <v>0</v>
      </c>
      <c r="J207" s="115">
        <v>0</v>
      </c>
      <c r="K207" s="113">
        <v>0</v>
      </c>
      <c r="L207" t="str">
        <f>VLOOKUP(A207,'SAP Actual extraction'!$A$28:$A$1048576,1,0)</f>
        <v>credit    6666010226  Staff Leaving Indemnity - Blue Collar In</v>
      </c>
      <c r="M207" t="str">
        <f>VLOOKUP(B207,'SAP Actual extraction'!B:B,1,0)</f>
        <v xml:space="preserve">    6666010226  Staff Leaving Indemnity - Blue Collar In</v>
      </c>
    </row>
    <row r="208" spans="1:13" x14ac:dyDescent="0.3">
      <c r="A208" s="109" t="str">
        <f t="shared" si="3"/>
        <v>credit    6666010102  Salary-Blue collar indirect employees- A</v>
      </c>
      <c r="B208" s="112" t="s">
        <v>307</v>
      </c>
      <c r="C208" s="113">
        <v>-121813.49</v>
      </c>
      <c r="D208" s="116">
        <v>0</v>
      </c>
      <c r="E208" s="113">
        <v>-121813.49</v>
      </c>
      <c r="F208" s="113">
        <v>0</v>
      </c>
      <c r="G208" s="112" t="s">
        <v>307</v>
      </c>
      <c r="H208" s="114">
        <v>0</v>
      </c>
      <c r="I208" s="114">
        <v>0</v>
      </c>
      <c r="J208" s="115">
        <v>0</v>
      </c>
      <c r="K208" s="113">
        <v>0</v>
      </c>
      <c r="L208" t="str">
        <f>VLOOKUP(A208,'SAP Actual extraction'!$A$28:$A$1048576,1,0)</f>
        <v>credit    6666010102  Salary-Blue collar indirect employees- A</v>
      </c>
      <c r="M208" t="str">
        <f>VLOOKUP(B208,'SAP Actual extraction'!B:B,1,0)</f>
        <v xml:space="preserve">    6666010102  Salary-Blue collar indirect employees- A</v>
      </c>
    </row>
    <row r="209" spans="1:13" x14ac:dyDescent="0.3">
      <c r="A209" s="109" t="str">
        <f t="shared" si="3"/>
        <v>credit*   CS_Indirect Labour</v>
      </c>
      <c r="B209" s="117" t="s">
        <v>217</v>
      </c>
      <c r="C209" s="118">
        <v>-135108.62</v>
      </c>
      <c r="D209" s="118">
        <v>-228680.84</v>
      </c>
      <c r="E209" s="118">
        <v>93572.22</v>
      </c>
      <c r="F209" s="118">
        <v>-40.918300000000002</v>
      </c>
      <c r="G209" s="117" t="s">
        <v>217</v>
      </c>
      <c r="H209" s="119">
        <v>0</v>
      </c>
      <c r="I209" s="119">
        <v>0</v>
      </c>
      <c r="J209" s="120">
        <v>0</v>
      </c>
      <c r="K209" s="118">
        <v>0</v>
      </c>
      <c r="L209" t="str">
        <f>VLOOKUP(A209,'SAP Actual extraction'!$A$28:$A$1048576,1,0)</f>
        <v>credit*   CS_Indirect Labour</v>
      </c>
      <c r="M209" t="str">
        <f>VLOOKUP(B209,'SAP Actual extraction'!B:B,1,0)</f>
        <v>*   CS_Indirect Labour</v>
      </c>
    </row>
    <row r="210" spans="1:13" x14ac:dyDescent="0.3">
      <c r="A210" s="109" t="str">
        <f t="shared" si="3"/>
        <v>credit    6666010196  Payroll Taxes-White Collar Employee</v>
      </c>
      <c r="B210" s="112" t="s">
        <v>308</v>
      </c>
      <c r="C210" s="113">
        <v>-10639.43</v>
      </c>
      <c r="D210" s="116">
        <v>0</v>
      </c>
      <c r="E210" s="113">
        <v>-10639.43</v>
      </c>
      <c r="F210" s="113">
        <v>0</v>
      </c>
      <c r="G210" s="112" t="s">
        <v>308</v>
      </c>
      <c r="H210" s="114">
        <v>0</v>
      </c>
      <c r="I210" s="114">
        <v>0</v>
      </c>
      <c r="J210" s="115">
        <v>0</v>
      </c>
      <c r="K210" s="113">
        <v>0</v>
      </c>
      <c r="L210" t="str">
        <f>VLOOKUP(A210,'SAP Actual extraction'!$A$28:$A$1048576,1,0)</f>
        <v>credit    6666010196  Payroll Taxes-White Collar Employee</v>
      </c>
      <c r="M210" t="str">
        <f>VLOOKUP(B210,'SAP Actual extraction'!B:B,1,0)</f>
        <v xml:space="preserve">    6666010196  Payroll Taxes-White Collar Employee</v>
      </c>
    </row>
    <row r="211" spans="1:13" x14ac:dyDescent="0.3">
      <c r="A211" s="109" t="str">
        <f t="shared" si="3"/>
        <v>credit    6666010101  Salary - White collar employees</v>
      </c>
      <c r="B211" s="112" t="s">
        <v>309</v>
      </c>
      <c r="C211" s="113">
        <v>-67625.600000000006</v>
      </c>
      <c r="D211" s="113">
        <v>-25018.78</v>
      </c>
      <c r="E211" s="113">
        <v>-42606.82</v>
      </c>
      <c r="F211" s="113">
        <v>170.29939999999999</v>
      </c>
      <c r="G211" s="112" t="s">
        <v>309</v>
      </c>
      <c r="H211" s="114">
        <v>0</v>
      </c>
      <c r="I211" s="114">
        <v>0</v>
      </c>
      <c r="J211" s="115">
        <v>0</v>
      </c>
      <c r="K211" s="113">
        <v>0</v>
      </c>
      <c r="L211" t="str">
        <f>VLOOKUP(A211,'SAP Actual extraction'!$A$28:$A$1048576,1,0)</f>
        <v>credit    6666010101  Salary - White collar employees</v>
      </c>
      <c r="M211" t="str">
        <f>VLOOKUP(B211,'SAP Actual extraction'!B:B,1,0)</f>
        <v xml:space="preserve">    6666010101  Salary - White collar employees</v>
      </c>
    </row>
    <row r="212" spans="1:13" x14ac:dyDescent="0.3">
      <c r="A212" s="109" t="str">
        <f t="shared" si="3"/>
        <v>credit    6666010199  Salary-White collar employees -Accrued</v>
      </c>
      <c r="B212" s="112" t="s">
        <v>310</v>
      </c>
      <c r="C212" s="113">
        <v>-4055.66</v>
      </c>
      <c r="D212" s="116">
        <v>0</v>
      </c>
      <c r="E212" s="113">
        <v>-4055.66</v>
      </c>
      <c r="F212" s="113">
        <v>0</v>
      </c>
      <c r="G212" s="112" t="s">
        <v>310</v>
      </c>
      <c r="H212" s="114">
        <v>0</v>
      </c>
      <c r="I212" s="114">
        <v>0</v>
      </c>
      <c r="J212" s="115">
        <v>0</v>
      </c>
      <c r="K212" s="113">
        <v>0</v>
      </c>
      <c r="L212" t="str">
        <f>VLOOKUP(A212,'SAP Actual extraction'!$A$28:$A$1048576,1,0)</f>
        <v>credit    6666010199  Salary-White collar employees -Accrued</v>
      </c>
      <c r="M212" t="str">
        <f>VLOOKUP(B212,'SAP Actual extraction'!B:B,1,0)</f>
        <v xml:space="preserve">    6666010199  Salary-White collar employees -Accrued</v>
      </c>
    </row>
    <row r="213" spans="1:13" x14ac:dyDescent="0.3">
      <c r="A213" s="109" t="str">
        <f t="shared" si="3"/>
        <v>credit    6666010185  Salary&amp;Additional Incentive-White Collar</v>
      </c>
      <c r="B213" s="112" t="s">
        <v>311</v>
      </c>
      <c r="C213" s="113">
        <v>237.48</v>
      </c>
      <c r="D213" s="116">
        <v>0</v>
      </c>
      <c r="E213" s="113">
        <v>237.48</v>
      </c>
      <c r="F213" s="113">
        <v>0</v>
      </c>
      <c r="G213" s="112" t="s">
        <v>311</v>
      </c>
      <c r="H213" s="114">
        <v>0</v>
      </c>
      <c r="I213" s="114">
        <v>0</v>
      </c>
      <c r="J213" s="115">
        <v>0</v>
      </c>
      <c r="K213" s="113">
        <v>0</v>
      </c>
      <c r="L213" t="str">
        <f>VLOOKUP(A213,'SAP Actual extraction'!$A$28:$A$1048576,1,0)</f>
        <v>credit    6666010185  Salary&amp;Additional Incentive-White Collar</v>
      </c>
      <c r="M213" t="str">
        <f>VLOOKUP(B213,'SAP Actual extraction'!B:B,1,0)</f>
        <v xml:space="preserve">    6666010185  Salary&amp;Additional Incentive-White Collar</v>
      </c>
    </row>
    <row r="214" spans="1:13" x14ac:dyDescent="0.3">
      <c r="A214" s="109" t="str">
        <f t="shared" si="3"/>
        <v>credit    6666010207  Unemployment insurance companies to pay</v>
      </c>
      <c r="B214" s="112" t="s">
        <v>312</v>
      </c>
      <c r="C214" s="113">
        <v>-1021.94</v>
      </c>
      <c r="D214" s="116">
        <v>0</v>
      </c>
      <c r="E214" s="113">
        <v>-1021.94</v>
      </c>
      <c r="F214" s="113">
        <v>0</v>
      </c>
      <c r="G214" s="112" t="s">
        <v>312</v>
      </c>
      <c r="H214" s="114">
        <v>0</v>
      </c>
      <c r="I214" s="114">
        <v>0</v>
      </c>
      <c r="J214" s="115">
        <v>0</v>
      </c>
      <c r="K214" s="113">
        <v>0</v>
      </c>
      <c r="L214" t="str">
        <f>VLOOKUP(A214,'SAP Actual extraction'!$A$28:$A$1048576,1,0)</f>
        <v>credit    6666010207  Unemployment insurance companies to pay</v>
      </c>
      <c r="M214" t="str">
        <f>VLOOKUP(B214,'SAP Actual extraction'!B:B,1,0)</f>
        <v xml:space="preserve">    6666010207  Unemployment insurance companies to pay</v>
      </c>
    </row>
    <row r="215" spans="1:13" x14ac:dyDescent="0.3">
      <c r="A215" s="109" t="str">
        <f t="shared" si="3"/>
        <v>credit    6666010227  Staff Leaving Indemnity - White collar E</v>
      </c>
      <c r="B215" s="112" t="s">
        <v>314</v>
      </c>
      <c r="C215" s="113">
        <v>-1498.04</v>
      </c>
      <c r="D215" s="116">
        <v>0</v>
      </c>
      <c r="E215" s="113">
        <v>-1498.04</v>
      </c>
      <c r="F215" s="113">
        <v>0</v>
      </c>
      <c r="G215" s="112" t="s">
        <v>314</v>
      </c>
      <c r="H215" s="114">
        <v>0</v>
      </c>
      <c r="I215" s="114">
        <v>0</v>
      </c>
      <c r="J215" s="115">
        <v>0</v>
      </c>
      <c r="K215" s="113">
        <v>0</v>
      </c>
      <c r="L215" t="str">
        <f>VLOOKUP(A215,'SAP Actual extraction'!$A$28:$A$1048576,1,0)</f>
        <v>credit    6666010227  Staff Leaving Indemnity - White collar E</v>
      </c>
      <c r="M215" t="str">
        <f>VLOOKUP(B215,'SAP Actual extraction'!B:B,1,0)</f>
        <v xml:space="preserve">    6666010227  Staff Leaving Indemnity - White collar E</v>
      </c>
    </row>
    <row r="216" spans="1:13" x14ac:dyDescent="0.3">
      <c r="A216" s="109" t="str">
        <f t="shared" si="3"/>
        <v>credit*   CS_Fixed Labour</v>
      </c>
      <c r="B216" s="117" t="s">
        <v>218</v>
      </c>
      <c r="C216" s="118">
        <v>-84603.19</v>
      </c>
      <c r="D216" s="118">
        <v>-25018.78</v>
      </c>
      <c r="E216" s="118">
        <v>-59584.41</v>
      </c>
      <c r="F216" s="118">
        <v>238.15870000000001</v>
      </c>
      <c r="G216" s="117" t="s">
        <v>218</v>
      </c>
      <c r="H216" s="119">
        <v>0</v>
      </c>
      <c r="I216" s="119">
        <v>0</v>
      </c>
      <c r="J216" s="120">
        <v>0</v>
      </c>
      <c r="K216" s="118">
        <v>0</v>
      </c>
      <c r="L216" t="str">
        <f>VLOOKUP(A216,'SAP Actual extraction'!$A$28:$A$1048576,1,0)</f>
        <v>credit*   CS_Fixed Labour</v>
      </c>
      <c r="M216" t="str">
        <f>VLOOKUP(B216,'SAP Actual extraction'!B:B,1,0)</f>
        <v>*   CS_Fixed Labour</v>
      </c>
    </row>
    <row r="217" spans="1:13" x14ac:dyDescent="0.3">
      <c r="A217" s="109" t="str">
        <f t="shared" si="3"/>
        <v>credit    600007      Maintenance</v>
      </c>
      <c r="B217" s="112" t="s">
        <v>360</v>
      </c>
      <c r="C217" s="116">
        <v>0</v>
      </c>
      <c r="D217" s="116">
        <v>0</v>
      </c>
      <c r="E217" s="113">
        <v>0</v>
      </c>
      <c r="F217" s="113">
        <v>0</v>
      </c>
      <c r="G217" s="112" t="s">
        <v>360</v>
      </c>
      <c r="H217" s="114">
        <v>0</v>
      </c>
      <c r="I217" s="114">
        <v>0</v>
      </c>
      <c r="J217" s="115">
        <v>0</v>
      </c>
      <c r="K217" s="113">
        <v>0</v>
      </c>
      <c r="L217" t="e">
        <f>VLOOKUP(A217,'SAP Actual extraction'!$A$28:$A$1048576,1,0)</f>
        <v>#N/A</v>
      </c>
      <c r="M217" t="e">
        <f>VLOOKUP(B217,'SAP Actual extraction'!B:B,1,0)</f>
        <v>#N/A</v>
      </c>
    </row>
    <row r="218" spans="1:13" x14ac:dyDescent="0.3">
      <c r="A218" s="109" t="str">
        <f t="shared" si="3"/>
        <v>credit    6666020903  Other materials</v>
      </c>
      <c r="B218" s="112" t="s">
        <v>315</v>
      </c>
      <c r="C218" s="116">
        <v>0</v>
      </c>
      <c r="D218" s="116">
        <v>0</v>
      </c>
      <c r="E218" s="113">
        <v>0</v>
      </c>
      <c r="F218" s="113">
        <v>0</v>
      </c>
      <c r="G218" s="112" t="s">
        <v>315</v>
      </c>
      <c r="H218" s="114">
        <v>0</v>
      </c>
      <c r="I218" s="114">
        <v>0</v>
      </c>
      <c r="J218" s="115">
        <v>0</v>
      </c>
      <c r="K218" s="113">
        <v>0</v>
      </c>
      <c r="L218" t="str">
        <f>VLOOKUP(A218,'SAP Actual extraction'!$A$28:$A$1048576,1,0)</f>
        <v>credit    6666020903  Other materials</v>
      </c>
      <c r="M218" t="str">
        <f>VLOOKUP(B218,'SAP Actual extraction'!B:B,1,0)</f>
        <v xml:space="preserve">    6666020903  Other materials</v>
      </c>
    </row>
    <row r="219" spans="1:13" x14ac:dyDescent="0.3">
      <c r="A219" s="109" t="str">
        <f t="shared" si="3"/>
        <v>credit    6666010302  Medical expenses</v>
      </c>
      <c r="B219" s="112" t="s">
        <v>316</v>
      </c>
      <c r="C219" s="113">
        <v>-1070.48</v>
      </c>
      <c r="D219" s="113">
        <v>-8296.6299999999992</v>
      </c>
      <c r="E219" s="113">
        <v>7226.15</v>
      </c>
      <c r="F219" s="113">
        <v>-87.097399999999993</v>
      </c>
      <c r="G219" s="112" t="s">
        <v>316</v>
      </c>
      <c r="H219" s="114">
        <v>0</v>
      </c>
      <c r="I219" s="114">
        <v>0</v>
      </c>
      <c r="J219" s="115">
        <v>0</v>
      </c>
      <c r="K219" s="113">
        <v>0</v>
      </c>
      <c r="L219" t="str">
        <f>VLOOKUP(A219,'SAP Actual extraction'!$A$28:$A$1048576,1,0)</f>
        <v>credit    6666010302  Medical expenses</v>
      </c>
      <c r="M219" t="str">
        <f>VLOOKUP(B219,'SAP Actual extraction'!B:B,1,0)</f>
        <v xml:space="preserve">    6666010302  Medical expenses</v>
      </c>
    </row>
    <row r="220" spans="1:13" x14ac:dyDescent="0.3">
      <c r="A220" s="109" t="str">
        <f t="shared" si="3"/>
        <v>credit    6666010314  Work uniforms</v>
      </c>
      <c r="B220" s="112" t="s">
        <v>317</v>
      </c>
      <c r="C220" s="113">
        <v>-1841.71</v>
      </c>
      <c r="D220" s="113">
        <v>-34917.879999999997</v>
      </c>
      <c r="E220" s="113">
        <v>33076.17</v>
      </c>
      <c r="F220" s="113">
        <v>-94.7256</v>
      </c>
      <c r="G220" s="112" t="s">
        <v>317</v>
      </c>
      <c r="H220" s="114">
        <v>0</v>
      </c>
      <c r="I220" s="114">
        <v>0</v>
      </c>
      <c r="J220" s="115">
        <v>0</v>
      </c>
      <c r="K220" s="113">
        <v>0</v>
      </c>
      <c r="L220" t="str">
        <f>VLOOKUP(A220,'SAP Actual extraction'!$A$28:$A$1048576,1,0)</f>
        <v>credit    6666010314  Work uniforms</v>
      </c>
      <c r="M220" t="str">
        <f>VLOOKUP(B220,'SAP Actual extraction'!B:B,1,0)</f>
        <v xml:space="preserve">    6666010314  Work uniforms</v>
      </c>
    </row>
    <row r="221" spans="1:13" x14ac:dyDescent="0.3">
      <c r="A221" s="109" t="str">
        <f t="shared" si="3"/>
        <v>credit    6666020401  local transportation - bus and taxi</v>
      </c>
      <c r="B221" s="112" t="s">
        <v>318</v>
      </c>
      <c r="C221" s="113">
        <v>-57201.11</v>
      </c>
      <c r="D221" s="113">
        <v>-110222.22</v>
      </c>
      <c r="E221" s="113">
        <v>53021.11</v>
      </c>
      <c r="F221" s="113">
        <v>-48.1038</v>
      </c>
      <c r="G221" s="112" t="s">
        <v>318</v>
      </c>
      <c r="H221" s="114">
        <v>0</v>
      </c>
      <c r="I221" s="114">
        <v>0</v>
      </c>
      <c r="J221" s="115">
        <v>0</v>
      </c>
      <c r="K221" s="113">
        <v>0</v>
      </c>
      <c r="L221" t="str">
        <f>VLOOKUP(A221,'SAP Actual extraction'!$A$28:$A$1048576,1,0)</f>
        <v>credit    6666020401  local transportation - bus and taxi</v>
      </c>
      <c r="M221" t="str">
        <f>VLOOKUP(B221,'SAP Actual extraction'!B:B,1,0)</f>
        <v xml:space="preserve">    6666020401  local transportation - bus and taxi</v>
      </c>
    </row>
    <row r="222" spans="1:13" x14ac:dyDescent="0.3">
      <c r="A222" s="109" t="str">
        <f t="shared" si="3"/>
        <v>credit    6666020502  Working meals</v>
      </c>
      <c r="B222" s="112" t="s">
        <v>320</v>
      </c>
      <c r="C222" s="113">
        <v>-56521</v>
      </c>
      <c r="D222" s="113">
        <v>-91689.12</v>
      </c>
      <c r="E222" s="113">
        <v>35168.120000000003</v>
      </c>
      <c r="F222" s="113">
        <v>-38.355800000000002</v>
      </c>
      <c r="G222" s="112" t="s">
        <v>320</v>
      </c>
      <c r="H222" s="114">
        <v>0</v>
      </c>
      <c r="I222" s="114">
        <v>0</v>
      </c>
      <c r="J222" s="115">
        <v>0</v>
      </c>
      <c r="K222" s="113">
        <v>0</v>
      </c>
      <c r="L222" t="str">
        <f>VLOOKUP(A222,'SAP Actual extraction'!$A$28:$A$1048576,1,0)</f>
        <v>credit    6666020502  Working meals</v>
      </c>
      <c r="M222" t="str">
        <f>VLOOKUP(B222,'SAP Actual extraction'!B:B,1,0)</f>
        <v xml:space="preserve">    6666020502  Working meals</v>
      </c>
    </row>
    <row r="223" spans="1:13" x14ac:dyDescent="0.3">
      <c r="A223" s="109" t="str">
        <f t="shared" si="3"/>
        <v>credit    6666020503  Office supplies</v>
      </c>
      <c r="B223" s="112" t="s">
        <v>321</v>
      </c>
      <c r="C223" s="113">
        <v>2505.88</v>
      </c>
      <c r="D223" s="113">
        <v>-2381.59</v>
      </c>
      <c r="E223" s="113">
        <v>4887.47</v>
      </c>
      <c r="F223" s="113">
        <v>-205.21879999999999</v>
      </c>
      <c r="G223" s="112" t="s">
        <v>321</v>
      </c>
      <c r="H223" s="114">
        <v>0</v>
      </c>
      <c r="I223" s="114">
        <v>0</v>
      </c>
      <c r="J223" s="115">
        <v>0</v>
      </c>
      <c r="K223" s="113">
        <v>0</v>
      </c>
      <c r="L223" t="str">
        <f>VLOOKUP(A223,'SAP Actual extraction'!$A$28:$A$1048576,1,0)</f>
        <v>credit    6666020503  Office supplies</v>
      </c>
      <c r="M223" t="str">
        <f>VLOOKUP(B223,'SAP Actual extraction'!B:B,1,0)</f>
        <v xml:space="preserve">    6666020503  Office supplies</v>
      </c>
    </row>
    <row r="224" spans="1:13" x14ac:dyDescent="0.3">
      <c r="A224" s="109" t="str">
        <f t="shared" si="3"/>
        <v>credit    6666021500  Repairs cost</v>
      </c>
      <c r="B224" s="112" t="s">
        <v>322</v>
      </c>
      <c r="C224" s="116">
        <v>0</v>
      </c>
      <c r="D224" s="116">
        <v>0</v>
      </c>
      <c r="E224" s="113">
        <v>0</v>
      </c>
      <c r="F224" s="113">
        <v>0</v>
      </c>
      <c r="G224" s="112" t="s">
        <v>322</v>
      </c>
      <c r="H224" s="114">
        <v>0</v>
      </c>
      <c r="I224" s="114">
        <v>0</v>
      </c>
      <c r="J224" s="115">
        <v>0</v>
      </c>
      <c r="K224" s="113">
        <v>0</v>
      </c>
      <c r="L224" t="str">
        <f>VLOOKUP(A224,'SAP Actual extraction'!$A$28:$A$1048576,1,0)</f>
        <v>credit    6666021500  Repairs cost</v>
      </c>
      <c r="M224" t="str">
        <f>VLOOKUP(B224,'SAP Actual extraction'!B:B,1,0)</f>
        <v xml:space="preserve">    6666021500  Repairs cost</v>
      </c>
    </row>
    <row r="225" spans="1:13" x14ac:dyDescent="0.3">
      <c r="A225" s="109" t="str">
        <f t="shared" si="3"/>
        <v>credit    6666021502  Repair &amp; Maintain - Building&amp;office</v>
      </c>
      <c r="B225" s="112" t="s">
        <v>323</v>
      </c>
      <c r="C225" s="113">
        <v>-14544.11</v>
      </c>
      <c r="D225" s="113">
        <v>-48388.84</v>
      </c>
      <c r="E225" s="113">
        <v>33844.730000000003</v>
      </c>
      <c r="F225" s="113">
        <v>-69.943299999999994</v>
      </c>
      <c r="G225" s="112" t="s">
        <v>323</v>
      </c>
      <c r="H225" s="114">
        <v>0</v>
      </c>
      <c r="I225" s="114">
        <v>0</v>
      </c>
      <c r="J225" s="115">
        <v>0</v>
      </c>
      <c r="K225" s="113">
        <v>0</v>
      </c>
      <c r="L225" t="str">
        <f>VLOOKUP(A225,'SAP Actual extraction'!$A$28:$A$1048576,1,0)</f>
        <v>credit    6666021502  Repair &amp; Maintain - Building&amp;office</v>
      </c>
      <c r="M225" t="str">
        <f>VLOOKUP(B225,'SAP Actual extraction'!B:B,1,0)</f>
        <v xml:space="preserve">    6666021502  Repair &amp; Maintain - Building&amp;office</v>
      </c>
    </row>
    <row r="226" spans="1:13" x14ac:dyDescent="0.3">
      <c r="A226" s="109" t="str">
        <f t="shared" si="3"/>
        <v>credit    6666021503  Repair &amp; Maintain - Tooling &amp; Equipments</v>
      </c>
      <c r="B226" s="112" t="s">
        <v>324</v>
      </c>
      <c r="C226" s="113">
        <v>1136.1199999999999</v>
      </c>
      <c r="D226" s="113">
        <v>-9103.7000000000007</v>
      </c>
      <c r="E226" s="113">
        <v>10239.82</v>
      </c>
      <c r="F226" s="113">
        <v>-112.4798</v>
      </c>
      <c r="G226" s="112" t="s">
        <v>324</v>
      </c>
      <c r="H226" s="114">
        <v>0</v>
      </c>
      <c r="I226" s="114">
        <v>0</v>
      </c>
      <c r="J226" s="115">
        <v>0</v>
      </c>
      <c r="K226" s="113">
        <v>0</v>
      </c>
      <c r="L226" t="str">
        <f>VLOOKUP(A226,'SAP Actual extraction'!$A$28:$A$1048576,1,0)</f>
        <v>credit    6666021503  Repair &amp; Maintain - Tooling &amp; Equipments</v>
      </c>
      <c r="M226" t="str">
        <f>VLOOKUP(B226,'SAP Actual extraction'!B:B,1,0)</f>
        <v xml:space="preserve">    6666021503  Repair &amp; Maintain - Tooling &amp; Equipments</v>
      </c>
    </row>
    <row r="227" spans="1:13" x14ac:dyDescent="0.3">
      <c r="A227" s="109" t="str">
        <f t="shared" si="3"/>
        <v>credit    6666021504  Repair &amp; Maintain - Elect. Installation</v>
      </c>
      <c r="B227" s="112" t="s">
        <v>361</v>
      </c>
      <c r="C227" s="113">
        <v>-0.7</v>
      </c>
      <c r="D227" s="116">
        <v>0</v>
      </c>
      <c r="E227" s="113">
        <v>-0.7</v>
      </c>
      <c r="F227" s="113">
        <v>0</v>
      </c>
      <c r="G227" s="112" t="s">
        <v>361</v>
      </c>
      <c r="H227" s="114">
        <v>0</v>
      </c>
      <c r="I227" s="114">
        <v>0</v>
      </c>
      <c r="J227" s="115">
        <v>0</v>
      </c>
      <c r="K227" s="113">
        <v>0</v>
      </c>
      <c r="L227" t="e">
        <f>VLOOKUP(A227,'SAP Actual extraction'!$A$28:$A$1048576,1,0)</f>
        <v>#N/A</v>
      </c>
      <c r="M227" t="e">
        <f>VLOOKUP(B227,'SAP Actual extraction'!B:B,1,0)</f>
        <v>#N/A</v>
      </c>
    </row>
    <row r="228" spans="1:13" x14ac:dyDescent="0.3">
      <c r="A228" s="109" t="str">
        <f t="shared" si="3"/>
        <v>credit    6666021505  Repairs &amp; Maintenance - Vehicles</v>
      </c>
      <c r="B228" s="112" t="s">
        <v>325</v>
      </c>
      <c r="C228" s="113">
        <v>-2226.46</v>
      </c>
      <c r="D228" s="116">
        <v>0</v>
      </c>
      <c r="E228" s="113">
        <v>-2226.46</v>
      </c>
      <c r="F228" s="113">
        <v>0</v>
      </c>
      <c r="G228" s="112" t="s">
        <v>325</v>
      </c>
      <c r="H228" s="114">
        <v>0</v>
      </c>
      <c r="I228" s="114">
        <v>0</v>
      </c>
      <c r="J228" s="115">
        <v>0</v>
      </c>
      <c r="K228" s="113">
        <v>0</v>
      </c>
      <c r="L228" t="str">
        <f>VLOOKUP(A228,'SAP Actual extraction'!$A$28:$A$1048576,1,0)</f>
        <v>credit    6666021505  Repairs &amp; Maintenance - Vehicles</v>
      </c>
      <c r="M228" t="str">
        <f>VLOOKUP(B228,'SAP Actual extraction'!B:B,1,0)</f>
        <v xml:space="preserve">    6666021505  Repairs &amp; Maintenance - Vehicles</v>
      </c>
    </row>
    <row r="229" spans="1:13" x14ac:dyDescent="0.3">
      <c r="A229" s="109" t="str">
        <f t="shared" si="3"/>
        <v>credit    6666021506  Repairs &amp; Maintenance - Plant &amp; Machiner</v>
      </c>
      <c r="B229" s="112" t="s">
        <v>326</v>
      </c>
      <c r="C229" s="113">
        <v>-7970.66</v>
      </c>
      <c r="D229" s="113">
        <v>-25008.68</v>
      </c>
      <c r="E229" s="113">
        <v>17038.02</v>
      </c>
      <c r="F229" s="113">
        <v>-68.128399999999999</v>
      </c>
      <c r="G229" s="112" t="s">
        <v>326</v>
      </c>
      <c r="H229" s="114">
        <v>0</v>
      </c>
      <c r="I229" s="114">
        <v>0</v>
      </c>
      <c r="J229" s="115">
        <v>0</v>
      </c>
      <c r="K229" s="113">
        <v>0</v>
      </c>
      <c r="L229" t="str">
        <f>VLOOKUP(A229,'SAP Actual extraction'!$A$28:$A$1048576,1,0)</f>
        <v>credit    6666021506  Repairs &amp; Maintenance - Plant &amp; Machiner</v>
      </c>
      <c r="M229" t="str">
        <f>VLOOKUP(B229,'SAP Actual extraction'!B:B,1,0)</f>
        <v xml:space="preserve">    6666021506  Repairs &amp; Maintenance - Plant &amp; Machiner</v>
      </c>
    </row>
    <row r="230" spans="1:13" x14ac:dyDescent="0.3">
      <c r="A230" s="109" t="str">
        <f t="shared" si="3"/>
        <v>credit    6666091600  Garbage disposal charge</v>
      </c>
      <c r="B230" s="112" t="s">
        <v>327</v>
      </c>
      <c r="C230" s="113">
        <v>-976.87</v>
      </c>
      <c r="D230" s="113">
        <v>-454.18</v>
      </c>
      <c r="E230" s="113">
        <v>-522.69000000000005</v>
      </c>
      <c r="F230" s="113">
        <v>115.0843</v>
      </c>
      <c r="G230" s="112" t="s">
        <v>327</v>
      </c>
      <c r="H230" s="114">
        <v>0</v>
      </c>
      <c r="I230" s="114">
        <v>0</v>
      </c>
      <c r="J230" s="115">
        <v>0</v>
      </c>
      <c r="K230" s="113">
        <v>0</v>
      </c>
      <c r="L230" t="str">
        <f>VLOOKUP(A230,'SAP Actual extraction'!$A$28:$A$1048576,1,0)</f>
        <v>credit    6666091600  Garbage disposal charge</v>
      </c>
      <c r="M230" t="str">
        <f>VLOOKUP(B230,'SAP Actual extraction'!B:B,1,0)</f>
        <v xml:space="preserve">    6666091600  Garbage disposal charge</v>
      </c>
    </row>
    <row r="231" spans="1:13" x14ac:dyDescent="0.3">
      <c r="A231" s="109" t="str">
        <f t="shared" si="3"/>
        <v>credit    5401060201  COGS-Repair expense</v>
      </c>
      <c r="B231" s="112" t="s">
        <v>328</v>
      </c>
      <c r="C231" s="116">
        <v>0</v>
      </c>
      <c r="D231" s="116">
        <v>0</v>
      </c>
      <c r="E231" s="113">
        <v>0</v>
      </c>
      <c r="F231" s="113">
        <v>0</v>
      </c>
      <c r="G231" s="112" t="s">
        <v>328</v>
      </c>
      <c r="H231" s="114">
        <v>0</v>
      </c>
      <c r="I231" s="114">
        <v>0</v>
      </c>
      <c r="J231" s="115">
        <v>0</v>
      </c>
      <c r="K231" s="113">
        <v>0</v>
      </c>
      <c r="L231" t="e">
        <f>VLOOKUP(A231,'SAP Actual extraction'!$A$28:$A$1048576,1,0)</f>
        <v>#N/A</v>
      </c>
      <c r="M231" t="str">
        <f>VLOOKUP(B231,'SAP Actual extraction'!B:B,1,0)</f>
        <v xml:space="preserve">    5401060201  COGS-Repair expense</v>
      </c>
    </row>
    <row r="232" spans="1:13" x14ac:dyDescent="0.3">
      <c r="A232" s="109" t="str">
        <f t="shared" si="3"/>
        <v>credit*   CS_Semifix</v>
      </c>
      <c r="B232" s="117" t="s">
        <v>219</v>
      </c>
      <c r="C232" s="118">
        <v>-138711.1</v>
      </c>
      <c r="D232" s="118">
        <v>-330462.84000000003</v>
      </c>
      <c r="E232" s="118">
        <v>191751.74</v>
      </c>
      <c r="F232" s="118">
        <v>-58.025199999999998</v>
      </c>
      <c r="G232" s="117" t="s">
        <v>219</v>
      </c>
      <c r="H232" s="119">
        <v>0</v>
      </c>
      <c r="I232" s="119">
        <v>0</v>
      </c>
      <c r="J232" s="120">
        <v>0</v>
      </c>
      <c r="K232" s="118">
        <v>0</v>
      </c>
      <c r="L232" t="str">
        <f>VLOOKUP(A232,'SAP Actual extraction'!$A$28:$A$1048576,1,0)</f>
        <v>credit*   CS_Semifix</v>
      </c>
      <c r="M232" t="str">
        <f>VLOOKUP(B232,'SAP Actual extraction'!B:B,1,0)</f>
        <v>*   CS_Semifix</v>
      </c>
    </row>
    <row r="233" spans="1:13" x14ac:dyDescent="0.3">
      <c r="A233" s="109" t="str">
        <f t="shared" ref="A233:A234" si="4">"credit"&amp;B233</f>
        <v>credit**  Credit</v>
      </c>
      <c r="B233" s="121" t="s">
        <v>331</v>
      </c>
      <c r="C233" s="122">
        <v>-239885.87</v>
      </c>
      <c r="D233" s="122">
        <v>-737890.2</v>
      </c>
      <c r="E233" s="122">
        <v>498004.33</v>
      </c>
      <c r="F233" s="122">
        <v>-67.490300000000005</v>
      </c>
      <c r="G233" s="121" t="s">
        <v>331</v>
      </c>
      <c r="H233" s="123">
        <v>0</v>
      </c>
      <c r="I233" s="123">
        <v>0</v>
      </c>
      <c r="J233" s="124">
        <v>0</v>
      </c>
      <c r="K233" s="122">
        <v>0</v>
      </c>
      <c r="L233" t="str">
        <f>VLOOKUP(A233,'SAP Actual extraction'!$A$28:$A$1048576,1,0)</f>
        <v>credit**  Credit</v>
      </c>
      <c r="M233" t="str">
        <f>VLOOKUP(B233,'SAP Actual extraction'!B:B,1,0)</f>
        <v>**  Credit</v>
      </c>
    </row>
    <row r="234" spans="1:13" x14ac:dyDescent="0.3">
      <c r="A234" s="109" t="str">
        <f t="shared" si="4"/>
        <v>credit*** Over/Underabsorption</v>
      </c>
      <c r="B234" s="126" t="s">
        <v>332</v>
      </c>
      <c r="C234" s="127">
        <v>1533989.74</v>
      </c>
      <c r="D234" s="127">
        <v>2539191.6</v>
      </c>
      <c r="E234" s="127">
        <v>-1005201.86</v>
      </c>
      <c r="F234" s="127">
        <v>-39.587499999999999</v>
      </c>
      <c r="G234" s="126" t="s">
        <v>332</v>
      </c>
      <c r="H234" s="128">
        <v>0</v>
      </c>
      <c r="I234" s="128">
        <v>0</v>
      </c>
      <c r="J234" s="128">
        <v>0</v>
      </c>
      <c r="K234" s="127">
        <v>0</v>
      </c>
      <c r="L234" t="str">
        <f>VLOOKUP(A234,'SAP Actual extraction'!$A$28:$A$1048576,1,0)</f>
        <v>credit*** Over/Underabsorption</v>
      </c>
      <c r="M234" t="str">
        <f>VLOOKUP(B234,'SAP Actual extraction'!B:B,1,0)</f>
        <v>*** Over/Underabsorption</v>
      </c>
    </row>
    <row r="235" spans="1:13" x14ac:dyDescent="0.3">
      <c r="C235" s="188"/>
      <c r="L235" s="109"/>
      <c r="M235" s="109"/>
    </row>
    <row r="236" spans="1:13" x14ac:dyDescent="0.3">
      <c r="C236" s="188"/>
      <c r="L236" s="109"/>
      <c r="M236" s="109"/>
    </row>
    <row r="237" spans="1:13" x14ac:dyDescent="0.3">
      <c r="B237" s="110" t="s">
        <v>166</v>
      </c>
      <c r="C237" s="111" t="s">
        <v>171</v>
      </c>
      <c r="D237" s="111" t="s">
        <v>168</v>
      </c>
      <c r="E237" s="111" t="s">
        <v>221</v>
      </c>
      <c r="F237" s="111" t="s">
        <v>222</v>
      </c>
      <c r="G237" s="110" t="s">
        <v>166</v>
      </c>
      <c r="H237" s="111" t="s">
        <v>223</v>
      </c>
      <c r="I237" s="111" t="s">
        <v>224</v>
      </c>
      <c r="J237" s="111" t="s">
        <v>221</v>
      </c>
      <c r="K237" s="111" t="s">
        <v>222</v>
      </c>
    </row>
    <row r="238" spans="1:13" x14ac:dyDescent="0.3">
      <c r="A238" s="109" t="str">
        <f t="shared" ref="A238:A301" si="5">"debit"&amp;"ovh"&amp;B238</f>
        <v>debitovh    6666110110  Depreciation-Plant &amp; Machinery</v>
      </c>
      <c r="B238" s="112" t="s">
        <v>228</v>
      </c>
      <c r="C238" s="113">
        <v>116.59</v>
      </c>
      <c r="D238" s="116">
        <v>0</v>
      </c>
      <c r="E238" s="113">
        <v>116.59</v>
      </c>
      <c r="F238" s="113">
        <v>0</v>
      </c>
      <c r="G238" s="112" t="s">
        <v>228</v>
      </c>
      <c r="H238" s="114">
        <v>0</v>
      </c>
      <c r="I238" s="114">
        <v>0</v>
      </c>
      <c r="J238" s="115">
        <v>0</v>
      </c>
      <c r="K238" s="113">
        <v>0</v>
      </c>
      <c r="L238" t="str">
        <f>VLOOKUP(A238,'SAP Actual extraction'!$A$28:$A$1048576,1,0)</f>
        <v>debitovh    6666110110  Depreciation-Plant &amp; Machinery</v>
      </c>
      <c r="M238" t="str">
        <f>VLOOKUP(B238,'SAP Actual extraction'!B:B,1,0)</f>
        <v xml:space="preserve">    6666110110  Depreciation-Plant &amp; Machinery</v>
      </c>
    </row>
    <row r="239" spans="1:13" x14ac:dyDescent="0.3">
      <c r="A239" s="109" t="str">
        <f t="shared" si="5"/>
        <v>debitovh    6666110112  Depreciation of Furniture &amp; Fixture</v>
      </c>
      <c r="B239" s="112" t="s">
        <v>229</v>
      </c>
      <c r="C239" s="113">
        <v>73.87</v>
      </c>
      <c r="D239" s="116">
        <v>0</v>
      </c>
      <c r="E239" s="113">
        <v>73.87</v>
      </c>
      <c r="F239" s="113">
        <v>0</v>
      </c>
      <c r="G239" s="112" t="s">
        <v>229</v>
      </c>
      <c r="H239" s="114">
        <v>0</v>
      </c>
      <c r="I239" s="114">
        <v>0</v>
      </c>
      <c r="J239" s="115">
        <v>0</v>
      </c>
      <c r="K239" s="113">
        <v>0</v>
      </c>
      <c r="L239" t="str">
        <f>VLOOKUP(A239,'SAP Actual extraction'!$A$28:$A$1048576,1,0)</f>
        <v>debitovh    6666110112  Depreciation of Furniture &amp; Fixture</v>
      </c>
      <c r="M239" t="str">
        <f>VLOOKUP(B239,'SAP Actual extraction'!B:B,1,0)</f>
        <v xml:space="preserve">    6666110112  Depreciation of Furniture &amp; Fixture</v>
      </c>
    </row>
    <row r="240" spans="1:13" x14ac:dyDescent="0.3">
      <c r="A240" s="109" t="str">
        <f t="shared" si="5"/>
        <v>debitovh    6666110207  Amortization of Software</v>
      </c>
      <c r="B240" s="112" t="s">
        <v>231</v>
      </c>
      <c r="C240" s="113">
        <v>2.2599999999999998</v>
      </c>
      <c r="D240" s="116">
        <v>0</v>
      </c>
      <c r="E240" s="113">
        <v>2.2599999999999998</v>
      </c>
      <c r="F240" s="113">
        <v>0</v>
      </c>
      <c r="G240" s="112" t="s">
        <v>231</v>
      </c>
      <c r="H240" s="114">
        <v>0</v>
      </c>
      <c r="I240" s="114">
        <v>0</v>
      </c>
      <c r="J240" s="115">
        <v>0</v>
      </c>
      <c r="K240" s="113">
        <v>0</v>
      </c>
      <c r="L240" t="str">
        <f>VLOOKUP(A240,'SAP Actual extraction'!$A$28:$A$1048576,1,0)</f>
        <v>debitovh    6666110207  Amortization of Software</v>
      </c>
      <c r="M240" t="str">
        <f>VLOOKUP(B240,'SAP Actual extraction'!B:B,1,0)</f>
        <v xml:space="preserve">    6666110207  Amortization of Software</v>
      </c>
    </row>
    <row r="241" spans="1:13" x14ac:dyDescent="0.3">
      <c r="A241" s="109" t="str">
        <f t="shared" si="5"/>
        <v>debitovh    6666110506  Amortization-Leasehold Improvement</v>
      </c>
      <c r="B241" s="112" t="s">
        <v>232</v>
      </c>
      <c r="C241" s="113">
        <v>119.68</v>
      </c>
      <c r="D241" s="116">
        <v>0</v>
      </c>
      <c r="E241" s="113">
        <v>119.68</v>
      </c>
      <c r="F241" s="113">
        <v>0</v>
      </c>
      <c r="G241" s="112" t="s">
        <v>232</v>
      </c>
      <c r="H241" s="114">
        <v>0</v>
      </c>
      <c r="I241" s="114">
        <v>0</v>
      </c>
      <c r="J241" s="115">
        <v>0</v>
      </c>
      <c r="K241" s="113">
        <v>0</v>
      </c>
      <c r="L241" t="str">
        <f>VLOOKUP(A241,'SAP Actual extraction'!$A$28:$A$1048576,1,0)</f>
        <v>debitovh    6666110506  Amortization-Leasehold Improvement</v>
      </c>
      <c r="M241" t="str">
        <f>VLOOKUP(B241,'SAP Actual extraction'!B:B,1,0)</f>
        <v xml:space="preserve">    6666110506  Amortization-Leasehold Improvement</v>
      </c>
    </row>
    <row r="242" spans="1:13" x14ac:dyDescent="0.3">
      <c r="A242" s="154" t="str">
        <f t="shared" si="5"/>
        <v>debitovh*   CS_Depreciation</v>
      </c>
      <c r="B242" s="117" t="s">
        <v>207</v>
      </c>
      <c r="C242" s="118">
        <v>312.39999999999998</v>
      </c>
      <c r="D242" s="125">
        <v>0</v>
      </c>
      <c r="E242" s="118">
        <v>312.39999999999998</v>
      </c>
      <c r="F242" s="118">
        <v>0</v>
      </c>
      <c r="G242" s="117" t="s">
        <v>207</v>
      </c>
      <c r="H242" s="119">
        <v>0</v>
      </c>
      <c r="I242" s="119">
        <v>0</v>
      </c>
      <c r="J242" s="120">
        <v>0</v>
      </c>
      <c r="K242" s="118">
        <v>0</v>
      </c>
      <c r="L242" t="str">
        <f>VLOOKUP(A242,'SAP Actual extraction'!$A$28:$A$1048576,1,0)</f>
        <v>debitovh*   CS_Depreciation</v>
      </c>
      <c r="M242" t="str">
        <f>VLOOKUP(B242,'SAP Actual extraction'!B:B,1,0)</f>
        <v>*   CS_Depreciation</v>
      </c>
    </row>
    <row r="243" spans="1:13" x14ac:dyDescent="0.3">
      <c r="A243" s="109" t="str">
        <f t="shared" si="5"/>
        <v>debitovh    6666010380  Incentive</v>
      </c>
      <c r="B243" s="112" t="s">
        <v>234</v>
      </c>
      <c r="C243" s="113">
        <v>65.540000000000006</v>
      </c>
      <c r="D243" s="116">
        <v>0</v>
      </c>
      <c r="E243" s="113">
        <v>65.540000000000006</v>
      </c>
      <c r="F243" s="113">
        <v>0</v>
      </c>
      <c r="G243" s="112" t="s">
        <v>234</v>
      </c>
      <c r="H243" s="114">
        <v>0</v>
      </c>
      <c r="I243" s="114">
        <v>0</v>
      </c>
      <c r="J243" s="115">
        <v>0</v>
      </c>
      <c r="K243" s="113">
        <v>0</v>
      </c>
      <c r="L243" t="e">
        <f>VLOOKUP(A243,'SAP Actual extraction'!$A$28:$A$1048576,1,0)</f>
        <v>#N/A</v>
      </c>
      <c r="M243" t="str">
        <f>VLOOKUP(B243,'SAP Actual extraction'!B:B,1,0)</f>
        <v xml:space="preserve">    6666010380  Incentive</v>
      </c>
    </row>
    <row r="244" spans="1:13" x14ac:dyDescent="0.3">
      <c r="A244" s="109" t="str">
        <f t="shared" si="5"/>
        <v>debitovh    5102040406  Other revenue-Service/Secondment agreeme</v>
      </c>
      <c r="B244" s="112" t="s">
        <v>239</v>
      </c>
      <c r="C244" s="116">
        <v>0</v>
      </c>
      <c r="D244" s="116">
        <v>0</v>
      </c>
      <c r="E244" s="113">
        <v>0</v>
      </c>
      <c r="F244" s="113">
        <v>0</v>
      </c>
      <c r="G244" s="112" t="s">
        <v>239</v>
      </c>
      <c r="H244" s="114">
        <v>0</v>
      </c>
      <c r="I244" s="114">
        <v>0</v>
      </c>
      <c r="J244" s="115">
        <v>0</v>
      </c>
      <c r="K244" s="113">
        <v>0</v>
      </c>
      <c r="L244" t="str">
        <f>VLOOKUP(A244,'SAP Actual extraction'!$A$28:$A$1048576,1,0)</f>
        <v>debitovh    5102040406  Other revenue-Service/Secondment agreeme</v>
      </c>
      <c r="M244" t="str">
        <f>VLOOKUP(B244,'SAP Actual extraction'!B:B,1,0)</f>
        <v xml:space="preserve">    5102040406  Other revenue-Service/Secondment agreeme</v>
      </c>
    </row>
    <row r="245" spans="1:13" x14ac:dyDescent="0.3">
      <c r="A245" s="109" t="str">
        <f t="shared" si="5"/>
        <v>debitovh*   CS_Direct Labour</v>
      </c>
      <c r="B245" s="117" t="s">
        <v>208</v>
      </c>
      <c r="C245" s="118">
        <v>65.540000000000006</v>
      </c>
      <c r="D245" s="125">
        <v>0</v>
      </c>
      <c r="E245" s="118">
        <v>65.540000000000006</v>
      </c>
      <c r="F245" s="118">
        <v>0</v>
      </c>
      <c r="G245" s="117" t="s">
        <v>208</v>
      </c>
      <c r="H245" s="119">
        <v>0</v>
      </c>
      <c r="I245" s="119">
        <v>0</v>
      </c>
      <c r="J245" s="120">
        <v>0</v>
      </c>
      <c r="K245" s="118">
        <v>0</v>
      </c>
      <c r="L245" t="str">
        <f>VLOOKUP(A245,'SAP Actual extraction'!$A$28:$A$1048576,1,0)</f>
        <v>debitovh*   CS_Direct Labour</v>
      </c>
      <c r="M245" t="str">
        <f>VLOOKUP(B245,'SAP Actual extraction'!B:B,1,0)</f>
        <v>*   CS_Direct Labour</v>
      </c>
    </row>
    <row r="246" spans="1:13" x14ac:dyDescent="0.3">
      <c r="A246" s="109" t="str">
        <f t="shared" si="5"/>
        <v>debitovh    6666029996  Non-deductible expense-travel.</v>
      </c>
      <c r="B246" s="112" t="s">
        <v>246</v>
      </c>
      <c r="C246" s="113">
        <v>20.57</v>
      </c>
      <c r="D246" s="116">
        <v>0</v>
      </c>
      <c r="E246" s="113">
        <v>20.57</v>
      </c>
      <c r="F246" s="113">
        <v>0</v>
      </c>
      <c r="G246" s="112" t="s">
        <v>246</v>
      </c>
      <c r="H246" s="114">
        <v>0</v>
      </c>
      <c r="I246" s="114">
        <v>0</v>
      </c>
      <c r="J246" s="115">
        <v>0</v>
      </c>
      <c r="K246" s="113">
        <v>0</v>
      </c>
      <c r="L246" t="str">
        <f>VLOOKUP(A246,'SAP Actual extraction'!$A$28:$A$1048576,1,0)</f>
        <v>debitovh    6666029996  Non-deductible expense-travel.</v>
      </c>
      <c r="M246" t="str">
        <f>VLOOKUP(B246,'SAP Actual extraction'!B:B,1,0)</f>
        <v xml:space="preserve">    6666029996  Non-deductible expense-travel.</v>
      </c>
    </row>
    <row r="247" spans="1:13" x14ac:dyDescent="0.3">
      <c r="A247" s="109" t="str">
        <f t="shared" si="5"/>
        <v>debitovh    6666029700  Service fee recharge</v>
      </c>
      <c r="B247" s="112" t="s">
        <v>247</v>
      </c>
      <c r="C247" s="113">
        <v>29792.03</v>
      </c>
      <c r="D247" s="116">
        <v>0</v>
      </c>
      <c r="E247" s="113">
        <v>29792.03</v>
      </c>
      <c r="F247" s="113">
        <v>0</v>
      </c>
      <c r="G247" s="112" t="s">
        <v>247</v>
      </c>
      <c r="H247" s="114">
        <v>0</v>
      </c>
      <c r="I247" s="114">
        <v>0</v>
      </c>
      <c r="J247" s="115">
        <v>0</v>
      </c>
      <c r="K247" s="113">
        <v>0</v>
      </c>
      <c r="L247" t="str">
        <f>VLOOKUP(A247,'SAP Actual extraction'!$A$28:$A$1048576,1,0)</f>
        <v>debitovh    6666029700  Service fee recharge</v>
      </c>
      <c r="M247" t="str">
        <f>VLOOKUP(B247,'SAP Actual extraction'!B:B,1,0)</f>
        <v xml:space="preserve">    6666029700  Service fee recharge</v>
      </c>
    </row>
    <row r="248" spans="1:13" x14ac:dyDescent="0.3">
      <c r="A248" s="109" t="str">
        <f t="shared" si="5"/>
        <v>debitovh    6666010322  fuel allowance</v>
      </c>
      <c r="B248" s="112" t="s">
        <v>248</v>
      </c>
      <c r="C248" s="113">
        <v>742.61</v>
      </c>
      <c r="D248" s="116">
        <v>0</v>
      </c>
      <c r="E248" s="113">
        <v>742.61</v>
      </c>
      <c r="F248" s="113">
        <v>0</v>
      </c>
      <c r="G248" s="112" t="s">
        <v>248</v>
      </c>
      <c r="H248" s="114">
        <v>0</v>
      </c>
      <c r="I248" s="114">
        <v>0</v>
      </c>
      <c r="J248" s="115">
        <v>0</v>
      </c>
      <c r="K248" s="113">
        <v>0</v>
      </c>
      <c r="L248" t="str">
        <f>VLOOKUP(A248,'SAP Actual extraction'!$A$28:$A$1048576,1,0)</f>
        <v>debitovh    6666010322  fuel allowance</v>
      </c>
      <c r="M248" t="str">
        <f>VLOOKUP(B248,'SAP Actual extraction'!B:B,1,0)</f>
        <v xml:space="preserve">    6666010322  fuel allowance</v>
      </c>
    </row>
    <row r="249" spans="1:13" x14ac:dyDescent="0.3">
      <c r="A249" s="109" t="str">
        <f t="shared" si="5"/>
        <v>debitovh    6666020495  Non-deductible expense-travel.</v>
      </c>
      <c r="B249" s="112" t="s">
        <v>249</v>
      </c>
      <c r="C249" s="113">
        <v>155.24</v>
      </c>
      <c r="D249" s="116">
        <v>0</v>
      </c>
      <c r="E249" s="113">
        <v>155.24</v>
      </c>
      <c r="F249" s="113">
        <v>0</v>
      </c>
      <c r="G249" s="112" t="s">
        <v>249</v>
      </c>
      <c r="H249" s="114">
        <v>0</v>
      </c>
      <c r="I249" s="114">
        <v>0</v>
      </c>
      <c r="J249" s="115">
        <v>0</v>
      </c>
      <c r="K249" s="113">
        <v>0</v>
      </c>
      <c r="L249" t="str">
        <f>VLOOKUP(A249,'SAP Actual extraction'!$A$28:$A$1048576,1,0)</f>
        <v>debitovh    6666020495  Non-deductible expense-travel.</v>
      </c>
      <c r="M249" t="str">
        <f>VLOOKUP(B249,'SAP Actual extraction'!B:B,1,0)</f>
        <v xml:space="preserve">    6666020495  Non-deductible expense-travel.</v>
      </c>
    </row>
    <row r="250" spans="1:13" x14ac:dyDescent="0.3">
      <c r="A250" s="109" t="str">
        <f t="shared" si="5"/>
        <v>debitovh    5301060000  Other Income-Subsidy income</v>
      </c>
      <c r="B250" s="112" t="s">
        <v>256</v>
      </c>
      <c r="C250" s="116">
        <v>0</v>
      </c>
      <c r="D250" s="116">
        <v>0</v>
      </c>
      <c r="E250" s="113">
        <v>0</v>
      </c>
      <c r="F250" s="113">
        <v>0</v>
      </c>
      <c r="G250" s="112" t="s">
        <v>256</v>
      </c>
      <c r="H250" s="114">
        <v>0</v>
      </c>
      <c r="I250" s="114">
        <v>0</v>
      </c>
      <c r="J250" s="115">
        <v>0</v>
      </c>
      <c r="K250" s="113">
        <v>0</v>
      </c>
      <c r="L250" t="str">
        <f>VLOOKUP(A250,'SAP Actual extraction'!$A$28:$A$1048576,1,0)</f>
        <v>debitovh    5301060000  Other Income-Subsidy income</v>
      </c>
      <c r="M250" t="str">
        <f>VLOOKUP(B250,'SAP Actual extraction'!B:B,1,0)</f>
        <v xml:space="preserve">    5301060000  Other Income-Subsidy income</v>
      </c>
    </row>
    <row r="251" spans="1:13" x14ac:dyDescent="0.3">
      <c r="A251" s="109" t="str">
        <f t="shared" si="5"/>
        <v>debitovh    5301999999  Non-operation revenue-Other</v>
      </c>
      <c r="B251" s="112" t="s">
        <v>257</v>
      </c>
      <c r="C251" s="116">
        <v>0</v>
      </c>
      <c r="D251" s="116">
        <v>0</v>
      </c>
      <c r="E251" s="113">
        <v>0</v>
      </c>
      <c r="F251" s="113">
        <v>0</v>
      </c>
      <c r="G251" s="112" t="s">
        <v>257</v>
      </c>
      <c r="H251" s="114">
        <v>0</v>
      </c>
      <c r="I251" s="114">
        <v>0</v>
      </c>
      <c r="J251" s="115">
        <v>0</v>
      </c>
      <c r="K251" s="113">
        <v>0</v>
      </c>
      <c r="L251" t="e">
        <f>VLOOKUP(A251,'SAP Actual extraction'!$A$28:$A$1048576,1,0)</f>
        <v>#N/A</v>
      </c>
      <c r="M251" t="str">
        <f>VLOOKUP(B251,'SAP Actual extraction'!B:B,1,0)</f>
        <v xml:space="preserve">    5301999999  Non-operation revenue-Other</v>
      </c>
    </row>
    <row r="252" spans="1:13" x14ac:dyDescent="0.3">
      <c r="A252" s="109" t="str">
        <f t="shared" si="5"/>
        <v>debitovh    5601020000  Loss on disposal fixed asset</v>
      </c>
      <c r="B252" s="112" t="s">
        <v>357</v>
      </c>
      <c r="C252" s="116">
        <v>0</v>
      </c>
      <c r="D252" s="116">
        <v>0</v>
      </c>
      <c r="E252" s="113">
        <v>0</v>
      </c>
      <c r="F252" s="113">
        <v>0</v>
      </c>
      <c r="G252" s="112" t="s">
        <v>357</v>
      </c>
      <c r="H252" s="114">
        <v>0</v>
      </c>
      <c r="I252" s="114">
        <v>0</v>
      </c>
      <c r="J252" s="115">
        <v>0</v>
      </c>
      <c r="K252" s="113">
        <v>0</v>
      </c>
      <c r="L252" t="e">
        <f>VLOOKUP(A252,'SAP Actual extraction'!$A$28:$A$1048576,1,0)</f>
        <v>#N/A</v>
      </c>
      <c r="M252" t="e">
        <f>VLOOKUP(B252,'SAP Actual extraction'!B:B,1,0)</f>
        <v>#N/A</v>
      </c>
    </row>
    <row r="253" spans="1:13" x14ac:dyDescent="0.3">
      <c r="A253" s="109" t="str">
        <f t="shared" si="5"/>
        <v>debitovh    5601050000  Non-Operating Expense - Penalty</v>
      </c>
      <c r="B253" s="112" t="s">
        <v>259</v>
      </c>
      <c r="C253" s="116">
        <v>0</v>
      </c>
      <c r="D253" s="116">
        <v>0</v>
      </c>
      <c r="E253" s="113">
        <v>0</v>
      </c>
      <c r="F253" s="113">
        <v>0</v>
      </c>
      <c r="G253" s="112" t="s">
        <v>259</v>
      </c>
      <c r="H253" s="114">
        <v>0</v>
      </c>
      <c r="I253" s="114">
        <v>0</v>
      </c>
      <c r="J253" s="115">
        <v>0</v>
      </c>
      <c r="K253" s="113">
        <v>0</v>
      </c>
      <c r="L253" t="str">
        <f>VLOOKUP(A253,'SAP Actual extraction'!$A$28:$A$1048576,1,0)</f>
        <v>debitovh    5601050000  Non-Operating Expense - Penalty</v>
      </c>
      <c r="M253" t="str">
        <f>VLOOKUP(B253,'SAP Actual extraction'!B:B,1,0)</f>
        <v xml:space="preserve">    5601050000  Non-Operating Expense - Penalty</v>
      </c>
    </row>
    <row r="254" spans="1:13" x14ac:dyDescent="0.3">
      <c r="A254" s="109" t="str">
        <f t="shared" si="5"/>
        <v>debitovh    5601050100  Non-operation Expense-Others</v>
      </c>
      <c r="B254" s="112" t="s">
        <v>260</v>
      </c>
      <c r="C254" s="113">
        <v>41.69</v>
      </c>
      <c r="D254" s="116">
        <v>0</v>
      </c>
      <c r="E254" s="113">
        <v>41.69</v>
      </c>
      <c r="F254" s="113">
        <v>0</v>
      </c>
      <c r="G254" s="112" t="s">
        <v>260</v>
      </c>
      <c r="H254" s="114">
        <v>0</v>
      </c>
      <c r="I254" s="114">
        <v>0</v>
      </c>
      <c r="J254" s="115">
        <v>0</v>
      </c>
      <c r="K254" s="113">
        <v>0</v>
      </c>
      <c r="L254" t="str">
        <f>VLOOKUP(A254,'SAP Actual extraction'!$A$28:$A$1048576,1,0)</f>
        <v>debitovh    5601050100  Non-operation Expense-Others</v>
      </c>
      <c r="M254" t="str">
        <f>VLOOKUP(B254,'SAP Actual extraction'!B:B,1,0)</f>
        <v xml:space="preserve">    5601050100  Non-operation Expense-Others</v>
      </c>
    </row>
    <row r="255" spans="1:13" x14ac:dyDescent="0.3">
      <c r="A255" s="109" t="str">
        <f t="shared" si="5"/>
        <v>debitovh    5601080000  Non-operating expense-VAT non-deductible</v>
      </c>
      <c r="B255" s="112" t="s">
        <v>337</v>
      </c>
      <c r="C255" s="113">
        <v>746.93</v>
      </c>
      <c r="D255" s="116">
        <v>0</v>
      </c>
      <c r="E255" s="113">
        <v>746.93</v>
      </c>
      <c r="F255" s="113">
        <v>0</v>
      </c>
      <c r="G255" s="112" t="s">
        <v>337</v>
      </c>
      <c r="H255" s="114">
        <v>0</v>
      </c>
      <c r="I255" s="114">
        <v>0</v>
      </c>
      <c r="J255" s="115">
        <v>0</v>
      </c>
      <c r="K255" s="113">
        <v>0</v>
      </c>
      <c r="L255" t="str">
        <f>VLOOKUP(A255,'SAP Actual extraction'!$A$28:$A$1048576,1,0)</f>
        <v>debitovh    5601080000  Non-operating expense-VAT non-deductible</v>
      </c>
      <c r="M255" t="str">
        <f>VLOOKUP(B255,'SAP Actual extraction'!B:B,1,0)</f>
        <v xml:space="preserve">    5601080000  Non-operating expense-VAT non-deductible</v>
      </c>
    </row>
    <row r="256" spans="1:13" x14ac:dyDescent="0.3">
      <c r="A256" s="109" t="str">
        <f t="shared" si="5"/>
        <v>debitovh    6666020101  Entertainment</v>
      </c>
      <c r="B256" s="112" t="s">
        <v>261</v>
      </c>
      <c r="C256" s="113">
        <v>174.36</v>
      </c>
      <c r="D256" s="116">
        <v>0</v>
      </c>
      <c r="E256" s="113">
        <v>174.36</v>
      </c>
      <c r="F256" s="113">
        <v>0</v>
      </c>
      <c r="G256" s="112" t="s">
        <v>261</v>
      </c>
      <c r="H256" s="114">
        <v>0</v>
      </c>
      <c r="I256" s="114">
        <v>0</v>
      </c>
      <c r="J256" s="115">
        <v>0</v>
      </c>
      <c r="K256" s="113">
        <v>0</v>
      </c>
      <c r="L256" t="str">
        <f>VLOOKUP(A256,'SAP Actual extraction'!$A$28:$A$1048576,1,0)</f>
        <v>debitovh    6666020101  Entertainment</v>
      </c>
      <c r="M256" t="str">
        <f>VLOOKUP(B256,'SAP Actual extraction'!B:B,1,0)</f>
        <v xml:space="preserve">    6666020101  Entertainment</v>
      </c>
    </row>
    <row r="257" spans="1:13" x14ac:dyDescent="0.3">
      <c r="A257" s="109" t="str">
        <f t="shared" si="5"/>
        <v>debitovh    6666020201  Domestic business travel</v>
      </c>
      <c r="B257" s="112" t="s">
        <v>262</v>
      </c>
      <c r="C257" s="113">
        <v>122.68</v>
      </c>
      <c r="D257" s="116">
        <v>0</v>
      </c>
      <c r="E257" s="113">
        <v>122.68</v>
      </c>
      <c r="F257" s="113">
        <v>0</v>
      </c>
      <c r="G257" s="112" t="s">
        <v>262</v>
      </c>
      <c r="H257" s="114">
        <v>0</v>
      </c>
      <c r="I257" s="114">
        <v>0</v>
      </c>
      <c r="J257" s="115">
        <v>0</v>
      </c>
      <c r="K257" s="113">
        <v>0</v>
      </c>
      <c r="L257" t="str">
        <f>VLOOKUP(A257,'SAP Actual extraction'!$A$28:$A$1048576,1,0)</f>
        <v>debitovh    6666020201  Domestic business travel</v>
      </c>
      <c r="M257" t="str">
        <f>VLOOKUP(B257,'SAP Actual extraction'!B:B,1,0)</f>
        <v xml:space="preserve">    6666020201  Domestic business travel</v>
      </c>
    </row>
    <row r="258" spans="1:13" x14ac:dyDescent="0.3">
      <c r="A258" s="109" t="str">
        <f t="shared" si="5"/>
        <v>debitovh    6666020202  Overseas business travel</v>
      </c>
      <c r="B258" s="112" t="s">
        <v>263</v>
      </c>
      <c r="C258" s="113">
        <v>2.4</v>
      </c>
      <c r="D258" s="116">
        <v>0</v>
      </c>
      <c r="E258" s="113">
        <v>2.4</v>
      </c>
      <c r="F258" s="113">
        <v>0</v>
      </c>
      <c r="G258" s="112" t="s">
        <v>263</v>
      </c>
      <c r="H258" s="114">
        <v>0</v>
      </c>
      <c r="I258" s="114">
        <v>0</v>
      </c>
      <c r="J258" s="115">
        <v>0</v>
      </c>
      <c r="K258" s="113">
        <v>0</v>
      </c>
      <c r="L258" t="e">
        <f>VLOOKUP(A258,'SAP Actual extraction'!$A$28:$A$1048576,1,0)</f>
        <v>#N/A</v>
      </c>
      <c r="M258" t="str">
        <f>VLOOKUP(B258,'SAP Actual extraction'!B:B,1,0)</f>
        <v xml:space="preserve">    6666020202  Overseas business travel</v>
      </c>
    </row>
    <row r="259" spans="1:13" x14ac:dyDescent="0.3">
      <c r="A259" s="109" t="str">
        <f t="shared" si="5"/>
        <v>debitovh    6666020204  Travel expense pay to agency</v>
      </c>
      <c r="B259" s="112" t="s">
        <v>264</v>
      </c>
      <c r="C259" s="113">
        <v>212.75</v>
      </c>
      <c r="D259" s="116">
        <v>0</v>
      </c>
      <c r="E259" s="113">
        <v>212.75</v>
      </c>
      <c r="F259" s="113">
        <v>0</v>
      </c>
      <c r="G259" s="112" t="s">
        <v>264</v>
      </c>
      <c r="H259" s="114">
        <v>0</v>
      </c>
      <c r="I259" s="114">
        <v>0</v>
      </c>
      <c r="J259" s="115">
        <v>0</v>
      </c>
      <c r="K259" s="113">
        <v>0</v>
      </c>
      <c r="L259" t="str">
        <f>VLOOKUP(A259,'SAP Actual extraction'!$A$28:$A$1048576,1,0)</f>
        <v>debitovh    6666020204  Travel expense pay to agency</v>
      </c>
      <c r="M259" t="str">
        <f>VLOOKUP(B259,'SAP Actual extraction'!B:B,1,0)</f>
        <v xml:space="preserve">    6666020204  Travel expense pay to agency</v>
      </c>
    </row>
    <row r="260" spans="1:13" x14ac:dyDescent="0.3">
      <c r="A260" s="109" t="str">
        <f t="shared" si="5"/>
        <v>debitovh    6666020301  Staff communication expense</v>
      </c>
      <c r="B260" s="112" t="s">
        <v>266</v>
      </c>
      <c r="C260" s="113">
        <v>142.66999999999999</v>
      </c>
      <c r="D260" s="116">
        <v>0</v>
      </c>
      <c r="E260" s="113">
        <v>142.66999999999999</v>
      </c>
      <c r="F260" s="113">
        <v>0</v>
      </c>
      <c r="G260" s="112" t="s">
        <v>266</v>
      </c>
      <c r="H260" s="114">
        <v>0</v>
      </c>
      <c r="I260" s="114">
        <v>0</v>
      </c>
      <c r="J260" s="115">
        <v>0</v>
      </c>
      <c r="K260" s="113">
        <v>0</v>
      </c>
      <c r="L260" t="str">
        <f>VLOOKUP(A260,'SAP Actual extraction'!$A$28:$A$1048576,1,0)</f>
        <v>debitovh    6666020301  Staff communication expense</v>
      </c>
      <c r="M260" t="str">
        <f>VLOOKUP(B260,'SAP Actual extraction'!B:B,1,0)</f>
        <v xml:space="preserve">    6666020301  Staff communication expense</v>
      </c>
    </row>
    <row r="261" spans="1:13" x14ac:dyDescent="0.3">
      <c r="A261" s="109" t="str">
        <f t="shared" si="5"/>
        <v>debitovh    6666020403  Company car expense</v>
      </c>
      <c r="B261" s="112" t="s">
        <v>269</v>
      </c>
      <c r="C261" s="116">
        <v>0</v>
      </c>
      <c r="D261" s="116">
        <v>0</v>
      </c>
      <c r="E261" s="113">
        <v>0</v>
      </c>
      <c r="F261" s="113">
        <v>0</v>
      </c>
      <c r="G261" s="112" t="s">
        <v>269</v>
      </c>
      <c r="H261" s="114">
        <v>0</v>
      </c>
      <c r="I261" s="114">
        <v>0</v>
      </c>
      <c r="J261" s="115">
        <v>0</v>
      </c>
      <c r="K261" s="113">
        <v>0</v>
      </c>
      <c r="L261" t="e">
        <f>VLOOKUP(A261,'SAP Actual extraction'!$A$28:$A$1048576,1,0)</f>
        <v>#N/A</v>
      </c>
      <c r="M261" t="str">
        <f>VLOOKUP(B261,'SAP Actual extraction'!B:B,1,0)</f>
        <v xml:space="preserve">    6666020403  Company car expense</v>
      </c>
    </row>
    <row r="262" spans="1:13" x14ac:dyDescent="0.3">
      <c r="A262" s="109" t="str">
        <f t="shared" si="5"/>
        <v>debitovh    6666020504  Newspaper and Periodicals expenditure</v>
      </c>
      <c r="B262" s="112" t="s">
        <v>271</v>
      </c>
      <c r="C262" s="113">
        <v>-40.799999999999997</v>
      </c>
      <c r="D262" s="116">
        <v>0</v>
      </c>
      <c r="E262" s="113">
        <v>-40.799999999999997</v>
      </c>
      <c r="F262" s="113">
        <v>0</v>
      </c>
      <c r="G262" s="112" t="s">
        <v>271</v>
      </c>
      <c r="H262" s="114">
        <v>0</v>
      </c>
      <c r="I262" s="114">
        <v>0</v>
      </c>
      <c r="J262" s="115">
        <v>0</v>
      </c>
      <c r="K262" s="113">
        <v>0</v>
      </c>
      <c r="L262" t="e">
        <f>VLOOKUP(A262,'SAP Actual extraction'!$A$28:$A$1048576,1,0)</f>
        <v>#N/A</v>
      </c>
      <c r="M262" t="str">
        <f>VLOOKUP(B262,'SAP Actual extraction'!B:B,1,0)</f>
        <v xml:space="preserve">    6666020504  Newspaper and Periodicals expenditure</v>
      </c>
    </row>
    <row r="263" spans="1:13" x14ac:dyDescent="0.3">
      <c r="A263" s="109" t="str">
        <f t="shared" si="5"/>
        <v>debitovh    6666020508  Postage</v>
      </c>
      <c r="B263" s="112" t="s">
        <v>272</v>
      </c>
      <c r="C263" s="113">
        <v>20.99</v>
      </c>
      <c r="D263" s="116">
        <v>0</v>
      </c>
      <c r="E263" s="113">
        <v>20.99</v>
      </c>
      <c r="F263" s="113">
        <v>0</v>
      </c>
      <c r="G263" s="112" t="s">
        <v>272</v>
      </c>
      <c r="H263" s="114">
        <v>0</v>
      </c>
      <c r="I263" s="114">
        <v>0</v>
      </c>
      <c r="J263" s="115">
        <v>0</v>
      </c>
      <c r="K263" s="113">
        <v>0</v>
      </c>
      <c r="L263" t="str">
        <f>VLOOKUP(A263,'SAP Actual extraction'!$A$28:$A$1048576,1,0)</f>
        <v>debitovh    6666020508  Postage</v>
      </c>
      <c r="M263" t="str">
        <f>VLOOKUP(B263,'SAP Actual extraction'!B:B,1,0)</f>
        <v xml:space="preserve">    6666020508  Postage</v>
      </c>
    </row>
    <row r="264" spans="1:13" x14ac:dyDescent="0.3">
      <c r="A264" s="109" t="str">
        <f t="shared" si="5"/>
        <v>debitovh    6666020602  Training costs Outside the group</v>
      </c>
      <c r="B264" s="112" t="s">
        <v>273</v>
      </c>
      <c r="C264" s="113">
        <v>18.940000000000001</v>
      </c>
      <c r="D264" s="116">
        <v>0</v>
      </c>
      <c r="E264" s="113">
        <v>18.940000000000001</v>
      </c>
      <c r="F264" s="113">
        <v>0</v>
      </c>
      <c r="G264" s="112" t="s">
        <v>273</v>
      </c>
      <c r="H264" s="114">
        <v>0</v>
      </c>
      <c r="I264" s="114">
        <v>0</v>
      </c>
      <c r="J264" s="115">
        <v>0</v>
      </c>
      <c r="K264" s="113">
        <v>0</v>
      </c>
      <c r="L264" t="str">
        <f>VLOOKUP(A264,'SAP Actual extraction'!$A$28:$A$1048576,1,0)</f>
        <v>debitovh    6666020602  Training costs Outside the group</v>
      </c>
      <c r="M264" t="str">
        <f>VLOOKUP(B264,'SAP Actual extraction'!B:B,1,0)</f>
        <v xml:space="preserve">    6666020602  Training costs Outside the group</v>
      </c>
    </row>
    <row r="265" spans="1:13" x14ac:dyDescent="0.3">
      <c r="A265" s="109" t="str">
        <f t="shared" si="5"/>
        <v>debitovh    6666020701  Enterprise Property Insurance</v>
      </c>
      <c r="B265" s="112" t="s">
        <v>274</v>
      </c>
      <c r="C265" s="113">
        <v>20688.18</v>
      </c>
      <c r="D265" s="113">
        <v>22859.01</v>
      </c>
      <c r="E265" s="113">
        <v>-2170.83</v>
      </c>
      <c r="F265" s="113">
        <v>-9.4966000000000008</v>
      </c>
      <c r="G265" s="112" t="s">
        <v>274</v>
      </c>
      <c r="H265" s="114">
        <v>0</v>
      </c>
      <c r="I265" s="114">
        <v>0</v>
      </c>
      <c r="J265" s="115">
        <v>0</v>
      </c>
      <c r="K265" s="113">
        <v>0</v>
      </c>
      <c r="L265" t="str">
        <f>VLOOKUP(A265,'SAP Actual extraction'!$A$28:$A$1048576,1,0)</f>
        <v>debitovh    6666020701  Enterprise Property Insurance</v>
      </c>
      <c r="M265" t="str">
        <f>VLOOKUP(B265,'SAP Actual extraction'!B:B,1,0)</f>
        <v xml:space="preserve">    6666020701  Enterprise Property Insurance</v>
      </c>
    </row>
    <row r="266" spans="1:13" x14ac:dyDescent="0.3">
      <c r="A266" s="109" t="str">
        <f t="shared" si="5"/>
        <v>debitovh    6666020801  Housing rental cost</v>
      </c>
      <c r="B266" s="112" t="s">
        <v>338</v>
      </c>
      <c r="C266" s="113">
        <v>170.02</v>
      </c>
      <c r="D266" s="116">
        <v>0</v>
      </c>
      <c r="E266" s="113">
        <v>170.02</v>
      </c>
      <c r="F266" s="113">
        <v>0</v>
      </c>
      <c r="G266" s="112" t="s">
        <v>338</v>
      </c>
      <c r="H266" s="114">
        <v>0</v>
      </c>
      <c r="I266" s="114">
        <v>0</v>
      </c>
      <c r="J266" s="115">
        <v>0</v>
      </c>
      <c r="K266" s="113">
        <v>0</v>
      </c>
      <c r="L266" t="str">
        <f>VLOOKUP(A266,'SAP Actual extraction'!$A$28:$A$1048576,1,0)</f>
        <v>debitovh    6666020801  Housing rental cost</v>
      </c>
      <c r="M266" t="str">
        <f>VLOOKUP(B266,'SAP Actual extraction'!B:B,1,0)</f>
        <v xml:space="preserve">    6666020801  Housing rental cost</v>
      </c>
    </row>
    <row r="267" spans="1:13" x14ac:dyDescent="0.3">
      <c r="A267" s="109" t="str">
        <f t="shared" si="5"/>
        <v>debitovh    6666020802  Equipment rental cost</v>
      </c>
      <c r="B267" s="112" t="s">
        <v>275</v>
      </c>
      <c r="C267" s="116">
        <v>0</v>
      </c>
      <c r="D267" s="116">
        <v>0</v>
      </c>
      <c r="E267" s="113">
        <v>0</v>
      </c>
      <c r="F267" s="113">
        <v>0</v>
      </c>
      <c r="G267" s="112" t="s">
        <v>275</v>
      </c>
      <c r="H267" s="114">
        <v>0</v>
      </c>
      <c r="I267" s="114">
        <v>0</v>
      </c>
      <c r="J267" s="115">
        <v>0</v>
      </c>
      <c r="K267" s="113">
        <v>0</v>
      </c>
      <c r="L267" t="e">
        <f>VLOOKUP(A267,'SAP Actual extraction'!$A$28:$A$1048576,1,0)</f>
        <v>#N/A</v>
      </c>
      <c r="M267" t="str">
        <f>VLOOKUP(B267,'SAP Actual extraction'!B:B,1,0)</f>
        <v xml:space="preserve">    6666020802  Equipment rental cost</v>
      </c>
    </row>
    <row r="268" spans="1:13" x14ac:dyDescent="0.3">
      <c r="A268" s="109" t="str">
        <f t="shared" si="5"/>
        <v>debitovh    6666020803  Car rental cost</v>
      </c>
      <c r="B268" s="112" t="s">
        <v>276</v>
      </c>
      <c r="C268" s="113">
        <v>716.63</v>
      </c>
      <c r="D268" s="116">
        <v>0</v>
      </c>
      <c r="E268" s="113">
        <v>716.63</v>
      </c>
      <c r="F268" s="113">
        <v>0</v>
      </c>
      <c r="G268" s="112" t="s">
        <v>276</v>
      </c>
      <c r="H268" s="114">
        <v>0</v>
      </c>
      <c r="I268" s="114">
        <v>0</v>
      </c>
      <c r="J268" s="115">
        <v>0</v>
      </c>
      <c r="K268" s="113">
        <v>0</v>
      </c>
      <c r="L268" t="str">
        <f>VLOOKUP(A268,'SAP Actual extraction'!$A$28:$A$1048576,1,0)</f>
        <v>debitovh    6666020803  Car rental cost</v>
      </c>
      <c r="M268" t="str">
        <f>VLOOKUP(B268,'SAP Actual extraction'!B:B,1,0)</f>
        <v xml:space="preserve">    6666020803  Car rental cost</v>
      </c>
    </row>
    <row r="269" spans="1:13" x14ac:dyDescent="0.3">
      <c r="A269" s="109" t="str">
        <f t="shared" si="5"/>
        <v>debitovh    6666021100  Consulting fees</v>
      </c>
      <c r="B269" s="112" t="s">
        <v>277</v>
      </c>
      <c r="C269" s="113">
        <v>7684.93</v>
      </c>
      <c r="D269" s="116">
        <v>0</v>
      </c>
      <c r="E269" s="113">
        <v>7684.93</v>
      </c>
      <c r="F269" s="113">
        <v>0</v>
      </c>
      <c r="G269" s="112" t="s">
        <v>277</v>
      </c>
      <c r="H269" s="114">
        <v>0</v>
      </c>
      <c r="I269" s="114">
        <v>0</v>
      </c>
      <c r="J269" s="115">
        <v>0</v>
      </c>
      <c r="K269" s="113">
        <v>0</v>
      </c>
      <c r="L269" t="str">
        <f>VLOOKUP(A269,'SAP Actual extraction'!$A$28:$A$1048576,1,0)</f>
        <v>debitovh    6666021100  Consulting fees</v>
      </c>
      <c r="M269" t="str">
        <f>VLOOKUP(B269,'SAP Actual extraction'!B:B,1,0)</f>
        <v xml:space="preserve">    6666021100  Consulting fees</v>
      </c>
    </row>
    <row r="270" spans="1:13" x14ac:dyDescent="0.3">
      <c r="A270" s="109" t="str">
        <f t="shared" si="5"/>
        <v>debitovh    6666021102  Consulting expense-tax</v>
      </c>
      <c r="B270" s="112" t="s">
        <v>339</v>
      </c>
      <c r="C270" s="113">
        <v>14752.76</v>
      </c>
      <c r="D270" s="116">
        <v>0</v>
      </c>
      <c r="E270" s="113">
        <v>14752.76</v>
      </c>
      <c r="F270" s="113">
        <v>0</v>
      </c>
      <c r="G270" s="112" t="s">
        <v>339</v>
      </c>
      <c r="H270" s="114">
        <v>0</v>
      </c>
      <c r="I270" s="114">
        <v>0</v>
      </c>
      <c r="J270" s="115">
        <v>0</v>
      </c>
      <c r="K270" s="113">
        <v>0</v>
      </c>
      <c r="L270" t="str">
        <f>VLOOKUP(A270,'SAP Actual extraction'!$A$28:$A$1048576,1,0)</f>
        <v>debitovh    6666021102  Consulting expense-tax</v>
      </c>
      <c r="M270" t="str">
        <f>VLOOKUP(B270,'SAP Actual extraction'!B:B,1,0)</f>
        <v xml:space="preserve">    6666021102  Consulting expense-tax</v>
      </c>
    </row>
    <row r="271" spans="1:13" x14ac:dyDescent="0.3">
      <c r="A271" s="109" t="str">
        <f t="shared" si="5"/>
        <v>debitovh    6666021104  Consulting expense-Technical</v>
      </c>
      <c r="B271" s="112" t="s">
        <v>267</v>
      </c>
      <c r="C271" s="113">
        <v>71.89</v>
      </c>
      <c r="D271" s="116">
        <v>0</v>
      </c>
      <c r="E271" s="113">
        <v>71.89</v>
      </c>
      <c r="F271" s="113">
        <v>0</v>
      </c>
      <c r="G271" s="112" t="s">
        <v>267</v>
      </c>
      <c r="H271" s="114">
        <v>0</v>
      </c>
      <c r="I271" s="114">
        <v>0</v>
      </c>
      <c r="J271" s="115">
        <v>0</v>
      </c>
      <c r="K271" s="113">
        <v>0</v>
      </c>
      <c r="L271" t="e">
        <f>VLOOKUP(A271,'SAP Actual extraction'!$A$28:$A$1048576,1,0)</f>
        <v>#N/A</v>
      </c>
      <c r="M271" t="str">
        <f>VLOOKUP(B271,'SAP Actual extraction'!B:B,1,0)</f>
        <v xml:space="preserve">    6666021104  Consulting expense-Technical</v>
      </c>
    </row>
    <row r="272" spans="1:13" x14ac:dyDescent="0.3">
      <c r="A272" s="109" t="str">
        <f t="shared" si="5"/>
        <v>debitovh    6666021300  Legal fees</v>
      </c>
      <c r="B272" s="112" t="s">
        <v>340</v>
      </c>
      <c r="C272" s="113">
        <v>52.34</v>
      </c>
      <c r="D272" s="116">
        <v>0</v>
      </c>
      <c r="E272" s="113">
        <v>52.34</v>
      </c>
      <c r="F272" s="113">
        <v>0</v>
      </c>
      <c r="G272" s="112" t="s">
        <v>340</v>
      </c>
      <c r="H272" s="114">
        <v>0</v>
      </c>
      <c r="I272" s="114">
        <v>0</v>
      </c>
      <c r="J272" s="115">
        <v>0</v>
      </c>
      <c r="K272" s="113">
        <v>0</v>
      </c>
      <c r="L272" t="str">
        <f>VLOOKUP(A272,'SAP Actual extraction'!$A$28:$A$1048576,1,0)</f>
        <v>debitovh    6666021300  Legal fees</v>
      </c>
      <c r="M272" t="str">
        <f>VLOOKUP(B272,'SAP Actual extraction'!B:B,1,0)</f>
        <v xml:space="preserve">    6666021300  Legal fees</v>
      </c>
    </row>
    <row r="273" spans="1:13" x14ac:dyDescent="0.3">
      <c r="A273" s="109" t="str">
        <f t="shared" si="5"/>
        <v>debitovh    6666021902  Cleaning fees</v>
      </c>
      <c r="B273" s="112" t="s">
        <v>278</v>
      </c>
      <c r="C273" s="113">
        <v>-104.06</v>
      </c>
      <c r="D273" s="116">
        <v>0</v>
      </c>
      <c r="E273" s="113">
        <v>-104.06</v>
      </c>
      <c r="F273" s="113">
        <v>0</v>
      </c>
      <c r="G273" s="112" t="s">
        <v>278</v>
      </c>
      <c r="H273" s="114">
        <v>0</v>
      </c>
      <c r="I273" s="114">
        <v>0</v>
      </c>
      <c r="J273" s="115">
        <v>0</v>
      </c>
      <c r="K273" s="113">
        <v>0</v>
      </c>
      <c r="L273" t="str">
        <f>VLOOKUP(A273,'SAP Actual extraction'!$A$28:$A$1048576,1,0)</f>
        <v>debitovh    6666021902  Cleaning fees</v>
      </c>
      <c r="M273" t="str">
        <f>VLOOKUP(B273,'SAP Actual extraction'!B:B,1,0)</f>
        <v xml:space="preserve">    6666021902  Cleaning fees</v>
      </c>
    </row>
    <row r="274" spans="1:13" x14ac:dyDescent="0.3">
      <c r="A274" s="109" t="str">
        <f t="shared" si="5"/>
        <v>debitovh    6666022100  Security</v>
      </c>
      <c r="B274" s="112" t="s">
        <v>279</v>
      </c>
      <c r="C274" s="113">
        <v>-179.39</v>
      </c>
      <c r="D274" s="116">
        <v>0</v>
      </c>
      <c r="E274" s="113">
        <v>-179.39</v>
      </c>
      <c r="F274" s="113">
        <v>0</v>
      </c>
      <c r="G274" s="112" t="s">
        <v>279</v>
      </c>
      <c r="H274" s="114">
        <v>0</v>
      </c>
      <c r="I274" s="114">
        <v>0</v>
      </c>
      <c r="J274" s="115">
        <v>0</v>
      </c>
      <c r="K274" s="113">
        <v>0</v>
      </c>
      <c r="L274" t="str">
        <f>VLOOKUP(A274,'SAP Actual extraction'!$A$28:$A$1048576,1,0)</f>
        <v>debitovh    6666022100  Security</v>
      </c>
      <c r="M274" t="str">
        <f>VLOOKUP(B274,'SAP Actual extraction'!B:B,1,0)</f>
        <v xml:space="preserve">    6666022100  Security</v>
      </c>
    </row>
    <row r="275" spans="1:13" x14ac:dyDescent="0.3">
      <c r="A275" s="109" t="str">
        <f t="shared" si="5"/>
        <v>debitovh    6666022300  Association dues</v>
      </c>
      <c r="B275" s="112" t="s">
        <v>280</v>
      </c>
      <c r="C275" s="113">
        <v>3051.24</v>
      </c>
      <c r="D275" s="113">
        <v>5229.59</v>
      </c>
      <c r="E275" s="113">
        <v>-2178.35</v>
      </c>
      <c r="F275" s="113">
        <v>-41.654299999999999</v>
      </c>
      <c r="G275" s="112" t="s">
        <v>280</v>
      </c>
      <c r="H275" s="114">
        <v>0</v>
      </c>
      <c r="I275" s="114">
        <v>0</v>
      </c>
      <c r="J275" s="115">
        <v>0</v>
      </c>
      <c r="K275" s="113">
        <v>0</v>
      </c>
      <c r="L275" t="str">
        <f>VLOOKUP(A275,'SAP Actual extraction'!$A$28:$A$1048576,1,0)</f>
        <v>debitovh    6666022300  Association dues</v>
      </c>
      <c r="M275" t="str">
        <f>VLOOKUP(B275,'SAP Actual extraction'!B:B,1,0)</f>
        <v xml:space="preserve">    6666022300  Association dues</v>
      </c>
    </row>
    <row r="276" spans="1:13" x14ac:dyDescent="0.3">
      <c r="A276" s="109" t="str">
        <f t="shared" si="5"/>
        <v>debitovh    6666029900  Sundry Expenses</v>
      </c>
      <c r="B276" s="112" t="s">
        <v>281</v>
      </c>
      <c r="C276" s="113">
        <v>2.2200000000000002</v>
      </c>
      <c r="D276" s="113">
        <v>283439.5</v>
      </c>
      <c r="E276" s="113">
        <v>-283437.28000000003</v>
      </c>
      <c r="F276" s="113">
        <v>-99.999200000000002</v>
      </c>
      <c r="G276" s="112" t="s">
        <v>281</v>
      </c>
      <c r="H276" s="114">
        <v>0</v>
      </c>
      <c r="I276" s="114">
        <v>0</v>
      </c>
      <c r="J276" s="115">
        <v>0</v>
      </c>
      <c r="K276" s="113">
        <v>0</v>
      </c>
      <c r="L276" t="str">
        <f>VLOOKUP(A276,'SAP Actual extraction'!$A$28:$A$1048576,1,0)</f>
        <v>debitovh    6666029900  Sundry Expenses</v>
      </c>
      <c r="M276" t="str">
        <f>VLOOKUP(B276,'SAP Actual extraction'!B:B,1,0)</f>
        <v xml:space="preserve">    6666029900  Sundry Expenses</v>
      </c>
    </row>
    <row r="277" spans="1:13" x14ac:dyDescent="0.3">
      <c r="A277" s="109" t="str">
        <f t="shared" si="5"/>
        <v>debitovh    6666029997  restructure cost</v>
      </c>
      <c r="B277" s="112" t="s">
        <v>282</v>
      </c>
      <c r="C277" s="116">
        <v>0</v>
      </c>
      <c r="D277" s="116">
        <v>0</v>
      </c>
      <c r="E277" s="113">
        <v>0</v>
      </c>
      <c r="F277" s="113">
        <v>0</v>
      </c>
      <c r="G277" s="112" t="s">
        <v>282</v>
      </c>
      <c r="H277" s="114">
        <v>0</v>
      </c>
      <c r="I277" s="114">
        <v>0</v>
      </c>
      <c r="J277" s="115">
        <v>0</v>
      </c>
      <c r="K277" s="113">
        <v>0</v>
      </c>
      <c r="L277" t="str">
        <f>VLOOKUP(A277,'SAP Actual extraction'!$A$28:$A$1048576,1,0)</f>
        <v>debitovh    6666029997  restructure cost</v>
      </c>
      <c r="M277" t="str">
        <f>VLOOKUP(B277,'SAP Actual extraction'!B:B,1,0)</f>
        <v xml:space="preserve">    6666029997  restructure cost</v>
      </c>
    </row>
    <row r="278" spans="1:13" x14ac:dyDescent="0.3">
      <c r="A278" s="109" t="str">
        <f t="shared" si="5"/>
        <v>debitovh    6666031100  Technical Documentation</v>
      </c>
      <c r="B278" s="112" t="s">
        <v>341</v>
      </c>
      <c r="C278" s="113">
        <v>0.17</v>
      </c>
      <c r="D278" s="116">
        <v>0</v>
      </c>
      <c r="E278" s="113">
        <v>0.17</v>
      </c>
      <c r="F278" s="113">
        <v>0</v>
      </c>
      <c r="G278" s="112" t="s">
        <v>341</v>
      </c>
      <c r="H278" s="114">
        <v>0</v>
      </c>
      <c r="I278" s="114">
        <v>0</v>
      </c>
      <c r="J278" s="115">
        <v>0</v>
      </c>
      <c r="K278" s="113">
        <v>0</v>
      </c>
      <c r="L278" t="str">
        <f>VLOOKUP(A278,'SAP Actual extraction'!$A$28:$A$1048576,1,0)</f>
        <v>debitovh    6666031100  Technical Documentation</v>
      </c>
      <c r="M278" t="str">
        <f>VLOOKUP(B278,'SAP Actual extraction'!B:B,1,0)</f>
        <v xml:space="preserve">    6666031100  Technical Documentation</v>
      </c>
    </row>
    <row r="279" spans="1:13" x14ac:dyDescent="0.3">
      <c r="A279" s="109" t="str">
        <f t="shared" si="5"/>
        <v>debitovh    6666050107  Special distribution costs</v>
      </c>
      <c r="B279" s="112" t="s">
        <v>286</v>
      </c>
      <c r="C279" s="116">
        <v>0</v>
      </c>
      <c r="D279" s="116">
        <v>0</v>
      </c>
      <c r="E279" s="113">
        <v>0</v>
      </c>
      <c r="F279" s="113">
        <v>0</v>
      </c>
      <c r="G279" s="112" t="s">
        <v>286</v>
      </c>
      <c r="H279" s="114">
        <v>0</v>
      </c>
      <c r="I279" s="114">
        <v>0</v>
      </c>
      <c r="J279" s="115">
        <v>0</v>
      </c>
      <c r="K279" s="113">
        <v>0</v>
      </c>
      <c r="L279" t="str">
        <f>VLOOKUP(A279,'SAP Actual extraction'!$A$28:$A$1048576,1,0)</f>
        <v>debitovh    6666050107  Special distribution costs</v>
      </c>
      <c r="M279" t="str">
        <f>VLOOKUP(B279,'SAP Actual extraction'!B:B,1,0)</f>
        <v xml:space="preserve">    6666050107  Special distribution costs</v>
      </c>
    </row>
    <row r="280" spans="1:13" x14ac:dyDescent="0.3">
      <c r="A280" s="109" t="str">
        <f t="shared" si="5"/>
        <v>debitovh    6666070400  IT maint. &amp; repairs hardware</v>
      </c>
      <c r="B280" s="112" t="s">
        <v>289</v>
      </c>
      <c r="C280" s="113">
        <v>273.58999999999997</v>
      </c>
      <c r="D280" s="116">
        <v>0</v>
      </c>
      <c r="E280" s="113">
        <v>273.58999999999997</v>
      </c>
      <c r="F280" s="113">
        <v>0</v>
      </c>
      <c r="G280" s="112" t="s">
        <v>289</v>
      </c>
      <c r="H280" s="114">
        <v>0</v>
      </c>
      <c r="I280" s="114">
        <v>0</v>
      </c>
      <c r="J280" s="115">
        <v>0</v>
      </c>
      <c r="K280" s="113">
        <v>0</v>
      </c>
      <c r="L280" t="e">
        <f>VLOOKUP(A280,'SAP Actual extraction'!$A$28:$A$1048576,1,0)</f>
        <v>#N/A</v>
      </c>
      <c r="M280" t="str">
        <f>VLOOKUP(B280,'SAP Actual extraction'!B:B,1,0)</f>
        <v xml:space="preserve">    6666070400  IT maint. &amp; repairs hardware</v>
      </c>
    </row>
    <row r="281" spans="1:13" x14ac:dyDescent="0.3">
      <c r="A281" s="109" t="str">
        <f t="shared" si="5"/>
        <v>debitovh    6666079999  IT Expense-Internal Charge Out</v>
      </c>
      <c r="B281" s="112" t="s">
        <v>342</v>
      </c>
      <c r="C281" s="113">
        <v>-230880.74</v>
      </c>
      <c r="D281" s="116">
        <v>0</v>
      </c>
      <c r="E281" s="113">
        <v>-230880.74</v>
      </c>
      <c r="F281" s="113">
        <v>0</v>
      </c>
      <c r="G281" s="112" t="s">
        <v>342</v>
      </c>
      <c r="H281" s="114">
        <v>0</v>
      </c>
      <c r="I281" s="114">
        <v>0</v>
      </c>
      <c r="J281" s="115">
        <v>0</v>
      </c>
      <c r="K281" s="113">
        <v>0</v>
      </c>
      <c r="L281" t="str">
        <f>VLOOKUP(A281,'SAP Actual extraction'!$A$28:$A$1048576,1,0)</f>
        <v>debitovh    6666079999  IT Expense-Internal Charge Out</v>
      </c>
      <c r="M281" t="str">
        <f>VLOOKUP(B281,'SAP Actual extraction'!B:B,1,0)</f>
        <v xml:space="preserve">    6666079999  IT Expense-Internal Charge Out</v>
      </c>
    </row>
    <row r="282" spans="1:13" x14ac:dyDescent="0.3">
      <c r="A282" s="109" t="str">
        <f t="shared" si="5"/>
        <v>debitovh    6666090100  Stamp Duty</v>
      </c>
      <c r="B282" s="112" t="s">
        <v>344</v>
      </c>
      <c r="C282" s="116">
        <v>0</v>
      </c>
      <c r="D282" s="116">
        <v>0</v>
      </c>
      <c r="E282" s="113">
        <v>0</v>
      </c>
      <c r="F282" s="113">
        <v>0</v>
      </c>
      <c r="G282" s="112" t="s">
        <v>344</v>
      </c>
      <c r="H282" s="114">
        <v>0</v>
      </c>
      <c r="I282" s="114">
        <v>0</v>
      </c>
      <c r="J282" s="115">
        <v>0</v>
      </c>
      <c r="K282" s="113">
        <v>0</v>
      </c>
      <c r="L282" t="str">
        <f>VLOOKUP(A282,'SAP Actual extraction'!$A$28:$A$1048576,1,0)</f>
        <v>debitovh    6666090100  Stamp Duty</v>
      </c>
      <c r="M282" t="str">
        <f>VLOOKUP(B282,'SAP Actual extraction'!B:B,1,0)</f>
        <v xml:space="preserve">    6666090100  Stamp Duty</v>
      </c>
    </row>
    <row r="283" spans="1:13" x14ac:dyDescent="0.3">
      <c r="A283" s="109" t="str">
        <f t="shared" si="5"/>
        <v>debitovh    6666093800  Other Taxes-CIT Deductible</v>
      </c>
      <c r="B283" s="112" t="s">
        <v>343</v>
      </c>
      <c r="C283" s="116">
        <v>0</v>
      </c>
      <c r="D283" s="116">
        <v>0</v>
      </c>
      <c r="E283" s="113">
        <v>0</v>
      </c>
      <c r="F283" s="113">
        <v>0</v>
      </c>
      <c r="G283" s="112" t="s">
        <v>343</v>
      </c>
      <c r="H283" s="114">
        <v>0</v>
      </c>
      <c r="I283" s="114">
        <v>0</v>
      </c>
      <c r="J283" s="115">
        <v>0</v>
      </c>
      <c r="K283" s="113">
        <v>0</v>
      </c>
      <c r="L283" t="str">
        <f>VLOOKUP(A283,'SAP Actual extraction'!$A$28:$A$1048576,1,0)</f>
        <v>debitovh    6666093800  Other Taxes-CIT Deductible</v>
      </c>
      <c r="M283" t="str">
        <f>VLOOKUP(B283,'SAP Actual extraction'!B:B,1,0)</f>
        <v xml:space="preserve">    6666093800  Other Taxes-CIT Deductible</v>
      </c>
    </row>
    <row r="284" spans="1:13" x14ac:dyDescent="0.3">
      <c r="A284" s="109" t="str">
        <f t="shared" si="5"/>
        <v>debitovh    5207000011  Gain of tangible asset disposal</v>
      </c>
      <c r="B284" s="112" t="s">
        <v>290</v>
      </c>
      <c r="C284" s="116">
        <v>0</v>
      </c>
      <c r="D284" s="116">
        <v>0</v>
      </c>
      <c r="E284" s="113">
        <v>0</v>
      </c>
      <c r="F284" s="113">
        <v>0</v>
      </c>
      <c r="G284" s="112" t="s">
        <v>290</v>
      </c>
      <c r="H284" s="114">
        <v>0</v>
      </c>
      <c r="I284" s="114">
        <v>0</v>
      </c>
      <c r="J284" s="115">
        <v>0</v>
      </c>
      <c r="K284" s="113">
        <v>0</v>
      </c>
      <c r="L284" t="e">
        <f>VLOOKUP(A284,'SAP Actual extraction'!$A$28:$A$1048576,1,0)</f>
        <v>#N/A</v>
      </c>
      <c r="M284" t="str">
        <f>VLOOKUP(B284,'SAP Actual extraction'!B:B,1,0)</f>
        <v xml:space="preserve">    5207000011  Gain of tangible asset disposal</v>
      </c>
    </row>
    <row r="285" spans="1:13" x14ac:dyDescent="0.3">
      <c r="A285" s="109" t="str">
        <f t="shared" si="5"/>
        <v>debitovh    5401050201  COGS-Freight out-Special and sporadic fr</v>
      </c>
      <c r="B285" s="112" t="s">
        <v>291</v>
      </c>
      <c r="C285" s="116">
        <v>0</v>
      </c>
      <c r="D285" s="116">
        <v>0</v>
      </c>
      <c r="E285" s="113">
        <v>0</v>
      </c>
      <c r="F285" s="113">
        <v>0</v>
      </c>
      <c r="G285" s="112" t="s">
        <v>291</v>
      </c>
      <c r="H285" s="114">
        <v>0</v>
      </c>
      <c r="I285" s="114">
        <v>0</v>
      </c>
      <c r="J285" s="115">
        <v>0</v>
      </c>
      <c r="K285" s="113">
        <v>0</v>
      </c>
      <c r="L285" t="e">
        <f>VLOOKUP(A285,'SAP Actual extraction'!$A$28:$A$1048576,1,0)</f>
        <v>#N/A</v>
      </c>
      <c r="M285" t="str">
        <f>VLOOKUP(B285,'SAP Actual extraction'!B:B,1,0)</f>
        <v xml:space="preserve">    5401050201  COGS-Freight out-Special and sporadic fr</v>
      </c>
    </row>
    <row r="286" spans="1:13" x14ac:dyDescent="0.3">
      <c r="A286" s="109" t="str">
        <f t="shared" si="5"/>
        <v>debitovh*   CS_Fix Cost</v>
      </c>
      <c r="B286" s="117" t="s">
        <v>210</v>
      </c>
      <c r="C286" s="118">
        <v>-151547.16</v>
      </c>
      <c r="D286" s="118">
        <v>311528.09999999998</v>
      </c>
      <c r="E286" s="118">
        <v>-463075.26</v>
      </c>
      <c r="F286" s="118">
        <v>-148.6464</v>
      </c>
      <c r="G286" s="117" t="s">
        <v>210</v>
      </c>
      <c r="H286" s="119">
        <v>0</v>
      </c>
      <c r="I286" s="119">
        <v>0</v>
      </c>
      <c r="J286" s="120">
        <v>0</v>
      </c>
      <c r="K286" s="118">
        <v>0</v>
      </c>
      <c r="L286" t="str">
        <f>VLOOKUP(A286,'SAP Actual extraction'!$A$28:$A$1048576,1,0)</f>
        <v>debitovh*   CS_Fix Cost</v>
      </c>
      <c r="M286" t="str">
        <f>VLOOKUP(B286,'SAP Actual extraction'!B:B,1,0)</f>
        <v>*   CS_Fix Cost</v>
      </c>
    </row>
    <row r="287" spans="1:13" x14ac:dyDescent="0.3">
      <c r="A287" s="109" t="str">
        <f t="shared" si="5"/>
        <v>debitovh    5102040000  Other Revenue - Other</v>
      </c>
      <c r="B287" s="112" t="s">
        <v>293</v>
      </c>
      <c r="C287" s="113">
        <v>-204.41</v>
      </c>
      <c r="D287" s="116">
        <v>0</v>
      </c>
      <c r="E287" s="113">
        <v>-204.41</v>
      </c>
      <c r="F287" s="113">
        <v>0</v>
      </c>
      <c r="G287" s="112" t="s">
        <v>293</v>
      </c>
      <c r="H287" s="114">
        <v>0</v>
      </c>
      <c r="I287" s="114">
        <v>0</v>
      </c>
      <c r="J287" s="115">
        <v>0</v>
      </c>
      <c r="K287" s="113">
        <v>0</v>
      </c>
      <c r="L287" t="str">
        <f>VLOOKUP(A287,'SAP Actual extraction'!$A$28:$A$1048576,1,0)</f>
        <v>debitovh    5102040000  Other Revenue - Other</v>
      </c>
      <c r="M287" t="str">
        <f>VLOOKUP(B287,'SAP Actual extraction'!B:B,1,0)</f>
        <v xml:space="preserve">    5102040000  Other Revenue - Other</v>
      </c>
    </row>
    <row r="288" spans="1:13" x14ac:dyDescent="0.3">
      <c r="A288" s="109" t="str">
        <f t="shared" si="5"/>
        <v>debitovh*   CS_Variable Cost</v>
      </c>
      <c r="B288" s="117" t="s">
        <v>212</v>
      </c>
      <c r="C288" s="118">
        <v>-204.41</v>
      </c>
      <c r="D288" s="125">
        <v>0</v>
      </c>
      <c r="E288" s="118">
        <v>-204.41</v>
      </c>
      <c r="F288" s="118">
        <v>0</v>
      </c>
      <c r="G288" s="117" t="s">
        <v>212</v>
      </c>
      <c r="H288" s="119">
        <v>0</v>
      </c>
      <c r="I288" s="119">
        <v>0</v>
      </c>
      <c r="J288" s="120">
        <v>0</v>
      </c>
      <c r="K288" s="118">
        <v>0</v>
      </c>
      <c r="L288" t="str">
        <f>VLOOKUP(A288,'SAP Actual extraction'!$A$28:$A$1048576,1,0)</f>
        <v>debitovh*   CS_Variable Cost</v>
      </c>
      <c r="M288" t="str">
        <f>VLOOKUP(B288,'SAP Actual extraction'!B:B,1,0)</f>
        <v>*   CS_Variable Cost</v>
      </c>
    </row>
    <row r="289" spans="1:13" x14ac:dyDescent="0.3">
      <c r="A289" s="109" t="str">
        <f t="shared" si="5"/>
        <v>debitovh    5301070000  Non-operation revenue-sales of scrapped</v>
      </c>
      <c r="B289" s="112" t="s">
        <v>296</v>
      </c>
      <c r="C289" s="116">
        <v>0</v>
      </c>
      <c r="D289" s="116">
        <v>0</v>
      </c>
      <c r="E289" s="113">
        <v>0</v>
      </c>
      <c r="F289" s="113">
        <v>0</v>
      </c>
      <c r="G289" s="112" t="s">
        <v>296</v>
      </c>
      <c r="H289" s="114">
        <v>0</v>
      </c>
      <c r="I289" s="114">
        <v>0</v>
      </c>
      <c r="J289" s="115">
        <v>0</v>
      </c>
      <c r="K289" s="113">
        <v>0</v>
      </c>
      <c r="L289" t="e">
        <f>VLOOKUP(A289,'SAP Actual extraction'!$A$28:$A$1048576,1,0)</f>
        <v>#N/A</v>
      </c>
      <c r="M289" t="str">
        <f>VLOOKUP(B289,'SAP Actual extraction'!B:B,1,0)</f>
        <v xml:space="preserve">    5301070000  Non-operation revenue-sales of scrapped</v>
      </c>
    </row>
    <row r="290" spans="1:13" x14ac:dyDescent="0.3">
      <c r="A290" s="109" t="str">
        <f t="shared" si="5"/>
        <v>debitovh*   CS_Reselling</v>
      </c>
      <c r="B290" s="117" t="s">
        <v>214</v>
      </c>
      <c r="C290" s="125">
        <v>0</v>
      </c>
      <c r="D290" s="125">
        <v>0</v>
      </c>
      <c r="E290" s="118">
        <v>0</v>
      </c>
      <c r="F290" s="118">
        <v>0</v>
      </c>
      <c r="G290" s="117" t="s">
        <v>214</v>
      </c>
      <c r="H290" s="119">
        <v>0</v>
      </c>
      <c r="I290" s="119">
        <v>0</v>
      </c>
      <c r="J290" s="120">
        <v>0</v>
      </c>
      <c r="K290" s="118">
        <v>0</v>
      </c>
      <c r="L290" t="e">
        <f>VLOOKUP(A290,'SAP Actual extraction'!$A$28:$A$1048576,1,0)</f>
        <v>#N/A</v>
      </c>
      <c r="M290" t="str">
        <f>VLOOKUP(B290,'SAP Actual extraction'!B:B,1,0)</f>
        <v>*   CS_Reselling</v>
      </c>
    </row>
    <row r="291" spans="1:13" x14ac:dyDescent="0.3">
      <c r="A291" s="109" t="str">
        <f t="shared" si="5"/>
        <v>debitovh    6666021600  Energy and power cost</v>
      </c>
      <c r="B291" s="112" t="s">
        <v>298</v>
      </c>
      <c r="C291" s="113">
        <v>1498.11</v>
      </c>
      <c r="D291" s="116">
        <v>0</v>
      </c>
      <c r="E291" s="113">
        <v>1498.11</v>
      </c>
      <c r="F291" s="113">
        <v>0</v>
      </c>
      <c r="G291" s="112" t="s">
        <v>298</v>
      </c>
      <c r="H291" s="114">
        <v>0</v>
      </c>
      <c r="I291" s="114">
        <v>0</v>
      </c>
      <c r="J291" s="115">
        <v>0</v>
      </c>
      <c r="K291" s="113">
        <v>0</v>
      </c>
      <c r="L291" t="str">
        <f>VLOOKUP(A291,'SAP Actual extraction'!$A$28:$A$1048576,1,0)</f>
        <v>debitovh    6666021600  Energy and power cost</v>
      </c>
      <c r="M291" t="str">
        <f>VLOOKUP(B291,'SAP Actual extraction'!B:B,1,0)</f>
        <v xml:space="preserve">    6666021600  Energy and power cost</v>
      </c>
    </row>
    <row r="292" spans="1:13" x14ac:dyDescent="0.3">
      <c r="A292" s="109" t="str">
        <f t="shared" si="5"/>
        <v>debitovh    6666021604  Oil &amp; Gas</v>
      </c>
      <c r="B292" s="112" t="s">
        <v>300</v>
      </c>
      <c r="C292" s="113">
        <v>32.1</v>
      </c>
      <c r="D292" s="116">
        <v>0</v>
      </c>
      <c r="E292" s="113">
        <v>32.1</v>
      </c>
      <c r="F292" s="113">
        <v>0</v>
      </c>
      <c r="G292" s="112" t="s">
        <v>300</v>
      </c>
      <c r="H292" s="114">
        <v>0</v>
      </c>
      <c r="I292" s="114">
        <v>0</v>
      </c>
      <c r="J292" s="115">
        <v>0</v>
      </c>
      <c r="K292" s="113">
        <v>0</v>
      </c>
      <c r="L292" t="str">
        <f>VLOOKUP(A292,'SAP Actual extraction'!$A$28:$A$1048576,1,0)</f>
        <v>debitovh    6666021604  Oil &amp; Gas</v>
      </c>
      <c r="M292" t="str">
        <f>VLOOKUP(B292,'SAP Actual extraction'!B:B,1,0)</f>
        <v xml:space="preserve">    6666021604  Oil &amp; Gas</v>
      </c>
    </row>
    <row r="293" spans="1:13" x14ac:dyDescent="0.3">
      <c r="A293" s="109" t="str">
        <f t="shared" si="5"/>
        <v>debitovh*   CS_Variable Utilities</v>
      </c>
      <c r="B293" s="117" t="s">
        <v>216</v>
      </c>
      <c r="C293" s="118">
        <v>1530.21</v>
      </c>
      <c r="D293" s="125">
        <v>0</v>
      </c>
      <c r="E293" s="118">
        <v>1530.21</v>
      </c>
      <c r="F293" s="118">
        <v>0</v>
      </c>
      <c r="G293" s="117" t="s">
        <v>216</v>
      </c>
      <c r="H293" s="119">
        <v>0</v>
      </c>
      <c r="I293" s="119">
        <v>0</v>
      </c>
      <c r="J293" s="120">
        <v>0</v>
      </c>
      <c r="K293" s="118">
        <v>0</v>
      </c>
      <c r="L293" t="str">
        <f>VLOOKUP(A293,'SAP Actual extraction'!$A$28:$A$1048576,1,0)</f>
        <v>debitovh*   CS_Variable Utilities</v>
      </c>
      <c r="M293" t="str">
        <f>VLOOKUP(B293,'SAP Actual extraction'!B:B,1,0)</f>
        <v>*   CS_Variable Utilities</v>
      </c>
    </row>
    <row r="294" spans="1:13" x14ac:dyDescent="0.3">
      <c r="A294" s="109" t="str">
        <f t="shared" si="5"/>
        <v>debitovh    6666010012  Payroll Taxes- Blue Collar Indirect</v>
      </c>
      <c r="B294" s="112" t="s">
        <v>305</v>
      </c>
      <c r="C294" s="116">
        <v>0</v>
      </c>
      <c r="D294" s="116">
        <v>0</v>
      </c>
      <c r="E294" s="113">
        <v>0</v>
      </c>
      <c r="F294" s="113">
        <v>0</v>
      </c>
      <c r="G294" s="112" t="s">
        <v>305</v>
      </c>
      <c r="H294" s="114">
        <v>0</v>
      </c>
      <c r="I294" s="114">
        <v>0</v>
      </c>
      <c r="J294" s="115">
        <v>0</v>
      </c>
      <c r="K294" s="113">
        <v>0</v>
      </c>
      <c r="L294" t="str">
        <f>VLOOKUP(A294,'SAP Actual extraction'!$A$28:$A$1048576,1,0)</f>
        <v>debitovh    6666010012  Payroll Taxes- Blue Collar Indirect</v>
      </c>
      <c r="M294" t="str">
        <f>VLOOKUP(B294,'SAP Actual extraction'!B:B,1,0)</f>
        <v xml:space="preserve">    6666010012  Payroll Taxes- Blue Collar Indirect</v>
      </c>
    </row>
    <row r="295" spans="1:13" x14ac:dyDescent="0.3">
      <c r="A295" s="109" t="str">
        <f t="shared" si="5"/>
        <v>debitovh    6666010102  Salary-Blue collar indirect employees- A</v>
      </c>
      <c r="B295" s="112" t="s">
        <v>307</v>
      </c>
      <c r="C295" s="113">
        <v>27.5</v>
      </c>
      <c r="D295" s="116">
        <v>0</v>
      </c>
      <c r="E295" s="113">
        <v>27.5</v>
      </c>
      <c r="F295" s="113">
        <v>0</v>
      </c>
      <c r="G295" s="112" t="s">
        <v>307</v>
      </c>
      <c r="H295" s="114">
        <v>0</v>
      </c>
      <c r="I295" s="114">
        <v>0</v>
      </c>
      <c r="J295" s="115">
        <v>0</v>
      </c>
      <c r="K295" s="113">
        <v>0</v>
      </c>
      <c r="L295" t="str">
        <f>VLOOKUP(A295,'SAP Actual extraction'!$A$28:$A$1048576,1,0)</f>
        <v>debitovh    6666010102  Salary-Blue collar indirect employees- A</v>
      </c>
      <c r="M295" t="str">
        <f>VLOOKUP(B295,'SAP Actual extraction'!B:B,1,0)</f>
        <v xml:space="preserve">    6666010102  Salary-Blue collar indirect employees- A</v>
      </c>
    </row>
    <row r="296" spans="1:13" x14ac:dyDescent="0.3">
      <c r="A296" s="109" t="str">
        <f t="shared" si="5"/>
        <v>debitovh*   CS_Indirect Labour</v>
      </c>
      <c r="B296" s="117" t="s">
        <v>217</v>
      </c>
      <c r="C296" s="118">
        <v>27.5</v>
      </c>
      <c r="D296" s="125">
        <v>0</v>
      </c>
      <c r="E296" s="118">
        <v>27.5</v>
      </c>
      <c r="F296" s="118">
        <v>0</v>
      </c>
      <c r="G296" s="117" t="s">
        <v>217</v>
      </c>
      <c r="H296" s="119">
        <v>0</v>
      </c>
      <c r="I296" s="119">
        <v>0</v>
      </c>
      <c r="J296" s="120">
        <v>0</v>
      </c>
      <c r="K296" s="118">
        <v>0</v>
      </c>
      <c r="L296" t="str">
        <f>VLOOKUP(A296,'SAP Actual extraction'!$A$28:$A$1048576,1,0)</f>
        <v>debitovh*   CS_Indirect Labour</v>
      </c>
      <c r="M296" t="str">
        <f>VLOOKUP(B296,'SAP Actual extraction'!B:B,1,0)</f>
        <v>*   CS_Indirect Labour</v>
      </c>
    </row>
    <row r="297" spans="1:13" x14ac:dyDescent="0.3">
      <c r="A297" s="109" t="str">
        <f t="shared" si="5"/>
        <v>debitovh    6666010196  Payroll Taxes-White Collar Employee</v>
      </c>
      <c r="B297" s="112" t="s">
        <v>308</v>
      </c>
      <c r="C297" s="113">
        <v>1557.8</v>
      </c>
      <c r="D297" s="116">
        <v>0</v>
      </c>
      <c r="E297" s="113">
        <v>1557.8</v>
      </c>
      <c r="F297" s="113">
        <v>0</v>
      </c>
      <c r="G297" s="112" t="s">
        <v>308</v>
      </c>
      <c r="H297" s="114">
        <v>0</v>
      </c>
      <c r="I297" s="114">
        <v>0</v>
      </c>
      <c r="J297" s="115">
        <v>0</v>
      </c>
      <c r="K297" s="113">
        <v>0</v>
      </c>
      <c r="L297" t="str">
        <f>VLOOKUP(A297,'SAP Actual extraction'!$A$28:$A$1048576,1,0)</f>
        <v>debitovh    6666010196  Payroll Taxes-White Collar Employee</v>
      </c>
      <c r="M297" t="str">
        <f>VLOOKUP(B297,'SAP Actual extraction'!B:B,1,0)</f>
        <v xml:space="preserve">    6666010196  Payroll Taxes-White Collar Employee</v>
      </c>
    </row>
    <row r="298" spans="1:13" x14ac:dyDescent="0.3">
      <c r="A298" s="109" t="str">
        <f t="shared" si="5"/>
        <v>debitovh    6666010101  Salary - White collar employees</v>
      </c>
      <c r="B298" s="112" t="s">
        <v>309</v>
      </c>
      <c r="C298" s="113">
        <v>11206.03</v>
      </c>
      <c r="D298" s="116">
        <v>0</v>
      </c>
      <c r="E298" s="113">
        <v>11206.03</v>
      </c>
      <c r="F298" s="113">
        <v>0</v>
      </c>
      <c r="G298" s="112" t="s">
        <v>309</v>
      </c>
      <c r="H298" s="114">
        <v>0</v>
      </c>
      <c r="I298" s="114">
        <v>0</v>
      </c>
      <c r="J298" s="115">
        <v>0</v>
      </c>
      <c r="K298" s="113">
        <v>0</v>
      </c>
      <c r="L298" t="str">
        <f>VLOOKUP(A298,'SAP Actual extraction'!$A$28:$A$1048576,1,0)</f>
        <v>debitovh    6666010101  Salary - White collar employees</v>
      </c>
      <c r="M298" t="str">
        <f>VLOOKUP(B298,'SAP Actual extraction'!B:B,1,0)</f>
        <v xml:space="preserve">    6666010101  Salary - White collar employees</v>
      </c>
    </row>
    <row r="299" spans="1:13" x14ac:dyDescent="0.3">
      <c r="A299" s="109" t="str">
        <f t="shared" si="5"/>
        <v>debitovh    6666010199  Salary-White collar employees -Accrued</v>
      </c>
      <c r="B299" s="112" t="s">
        <v>310</v>
      </c>
      <c r="C299" s="113">
        <v>100.91</v>
      </c>
      <c r="D299" s="116">
        <v>0</v>
      </c>
      <c r="E299" s="113">
        <v>100.91</v>
      </c>
      <c r="F299" s="113">
        <v>0</v>
      </c>
      <c r="G299" s="112" t="s">
        <v>310</v>
      </c>
      <c r="H299" s="114">
        <v>0</v>
      </c>
      <c r="I299" s="114">
        <v>0</v>
      </c>
      <c r="J299" s="115">
        <v>0</v>
      </c>
      <c r="K299" s="113">
        <v>0</v>
      </c>
      <c r="L299" t="str">
        <f>VLOOKUP(A299,'SAP Actual extraction'!$A$28:$A$1048576,1,0)</f>
        <v>debitovh    6666010199  Salary-White collar employees -Accrued</v>
      </c>
      <c r="M299" t="str">
        <f>VLOOKUP(B299,'SAP Actual extraction'!B:B,1,0)</f>
        <v xml:space="preserve">    6666010199  Salary-White collar employees -Accrued</v>
      </c>
    </row>
    <row r="300" spans="1:13" x14ac:dyDescent="0.3">
      <c r="A300" s="109" t="str">
        <f t="shared" si="5"/>
        <v>debitovh    6666010207  Unemployment insurance companies to pay</v>
      </c>
      <c r="B300" s="112" t="s">
        <v>312</v>
      </c>
      <c r="C300" s="113">
        <v>164.1</v>
      </c>
      <c r="D300" s="116">
        <v>0</v>
      </c>
      <c r="E300" s="113">
        <v>164.1</v>
      </c>
      <c r="F300" s="113">
        <v>0</v>
      </c>
      <c r="G300" s="112" t="s">
        <v>312</v>
      </c>
      <c r="H300" s="114">
        <v>0</v>
      </c>
      <c r="I300" s="114">
        <v>0</v>
      </c>
      <c r="J300" s="115">
        <v>0</v>
      </c>
      <c r="K300" s="113">
        <v>0</v>
      </c>
      <c r="L300" t="str">
        <f>VLOOKUP(A300,'SAP Actual extraction'!$A$28:$A$1048576,1,0)</f>
        <v>debitovh    6666010207  Unemployment insurance companies to pay</v>
      </c>
      <c r="M300" t="str">
        <f>VLOOKUP(B300,'SAP Actual extraction'!B:B,1,0)</f>
        <v xml:space="preserve">    6666010207  Unemployment insurance companies to pay</v>
      </c>
    </row>
    <row r="301" spans="1:13" x14ac:dyDescent="0.3">
      <c r="A301" s="109" t="str">
        <f t="shared" si="5"/>
        <v>debitovh    6666010227  Staff Leaving Indemnity - White collar E</v>
      </c>
      <c r="B301" s="112" t="s">
        <v>314</v>
      </c>
      <c r="C301" s="113">
        <v>190.51</v>
      </c>
      <c r="D301" s="116">
        <v>0</v>
      </c>
      <c r="E301" s="113">
        <v>190.51</v>
      </c>
      <c r="F301" s="113">
        <v>0</v>
      </c>
      <c r="G301" s="112" t="s">
        <v>314</v>
      </c>
      <c r="H301" s="114">
        <v>0</v>
      </c>
      <c r="I301" s="114">
        <v>0</v>
      </c>
      <c r="J301" s="115">
        <v>0</v>
      </c>
      <c r="K301" s="113">
        <v>0</v>
      </c>
      <c r="L301" t="str">
        <f>VLOOKUP(A301,'SAP Actual extraction'!$A$28:$A$1048576,1,0)</f>
        <v>debitovh    6666010227  Staff Leaving Indemnity - White collar E</v>
      </c>
      <c r="M301" t="str">
        <f>VLOOKUP(B301,'SAP Actual extraction'!B:B,1,0)</f>
        <v xml:space="preserve">    6666010227  Staff Leaving Indemnity - White collar E</v>
      </c>
    </row>
    <row r="302" spans="1:13" x14ac:dyDescent="0.3">
      <c r="A302" s="109" t="str">
        <f t="shared" ref="A302:A311" si="6">"debit"&amp;"ovh"&amp;B302</f>
        <v>debitovh*   CS_Fixed Labour</v>
      </c>
      <c r="B302" s="117" t="s">
        <v>218</v>
      </c>
      <c r="C302" s="118">
        <v>13219.35</v>
      </c>
      <c r="D302" s="125">
        <v>0</v>
      </c>
      <c r="E302" s="118">
        <v>13219.35</v>
      </c>
      <c r="F302" s="118">
        <v>0</v>
      </c>
      <c r="G302" s="117" t="s">
        <v>218</v>
      </c>
      <c r="H302" s="119">
        <v>0</v>
      </c>
      <c r="I302" s="119">
        <v>0</v>
      </c>
      <c r="J302" s="120">
        <v>0</v>
      </c>
      <c r="K302" s="118">
        <v>0</v>
      </c>
      <c r="L302" t="str">
        <f>VLOOKUP(A302,'SAP Actual extraction'!$A$28:$A$1048576,1,0)</f>
        <v>debitovh*   CS_Fixed Labour</v>
      </c>
      <c r="M302" t="str">
        <f>VLOOKUP(B302,'SAP Actual extraction'!B:B,1,0)</f>
        <v>*   CS_Fixed Labour</v>
      </c>
    </row>
    <row r="303" spans="1:13" x14ac:dyDescent="0.3">
      <c r="A303" s="109" t="str">
        <f t="shared" si="6"/>
        <v>debitovh    6666010314  Work uniforms</v>
      </c>
      <c r="B303" s="112" t="s">
        <v>317</v>
      </c>
      <c r="C303" s="116">
        <v>0</v>
      </c>
      <c r="D303" s="116">
        <v>0</v>
      </c>
      <c r="E303" s="113">
        <v>0</v>
      </c>
      <c r="F303" s="113">
        <v>0</v>
      </c>
      <c r="G303" s="112" t="s">
        <v>317</v>
      </c>
      <c r="H303" s="114">
        <v>0</v>
      </c>
      <c r="I303" s="114">
        <v>0</v>
      </c>
      <c r="J303" s="115">
        <v>0</v>
      </c>
      <c r="K303" s="113">
        <v>0</v>
      </c>
      <c r="L303" t="str">
        <f>VLOOKUP(A303,'SAP Actual extraction'!$A$28:$A$1048576,1,0)</f>
        <v>debitovh    6666010314  Work uniforms</v>
      </c>
      <c r="M303" t="str">
        <f>VLOOKUP(B303,'SAP Actual extraction'!B:B,1,0)</f>
        <v xml:space="preserve">    6666010314  Work uniforms</v>
      </c>
    </row>
    <row r="304" spans="1:13" x14ac:dyDescent="0.3">
      <c r="A304" s="109" t="str">
        <f t="shared" si="6"/>
        <v>debitovh    6666020401  local transportation - bus and taxi</v>
      </c>
      <c r="B304" s="112" t="s">
        <v>318</v>
      </c>
      <c r="C304" s="113">
        <v>77.040000000000006</v>
      </c>
      <c r="D304" s="116">
        <v>0</v>
      </c>
      <c r="E304" s="113">
        <v>77.040000000000006</v>
      </c>
      <c r="F304" s="113">
        <v>0</v>
      </c>
      <c r="G304" s="112" t="s">
        <v>318</v>
      </c>
      <c r="H304" s="114">
        <v>0</v>
      </c>
      <c r="I304" s="114">
        <v>0</v>
      </c>
      <c r="J304" s="115">
        <v>0</v>
      </c>
      <c r="K304" s="113">
        <v>0</v>
      </c>
      <c r="L304" t="str">
        <f>VLOOKUP(A304,'SAP Actual extraction'!$A$28:$A$1048576,1,0)</f>
        <v>debitovh    6666020401  local transportation - bus and taxi</v>
      </c>
      <c r="M304" t="str">
        <f>VLOOKUP(B304,'SAP Actual extraction'!B:B,1,0)</f>
        <v xml:space="preserve">    6666020401  local transportation - bus and taxi</v>
      </c>
    </row>
    <row r="305" spans="1:13" x14ac:dyDescent="0.3">
      <c r="A305" s="109" t="str">
        <f t="shared" si="6"/>
        <v>debitovh    6666020502  Working meals</v>
      </c>
      <c r="B305" s="112" t="s">
        <v>320</v>
      </c>
      <c r="C305" s="113">
        <v>399.83</v>
      </c>
      <c r="D305" s="116">
        <v>0</v>
      </c>
      <c r="E305" s="113">
        <v>399.83</v>
      </c>
      <c r="F305" s="113">
        <v>0</v>
      </c>
      <c r="G305" s="112" t="s">
        <v>320</v>
      </c>
      <c r="H305" s="114">
        <v>0</v>
      </c>
      <c r="I305" s="114">
        <v>0</v>
      </c>
      <c r="J305" s="115">
        <v>0</v>
      </c>
      <c r="K305" s="113">
        <v>0</v>
      </c>
      <c r="L305" t="str">
        <f>VLOOKUP(A305,'SAP Actual extraction'!$A$28:$A$1048576,1,0)</f>
        <v>debitovh    6666020502  Working meals</v>
      </c>
      <c r="M305" t="str">
        <f>VLOOKUP(B305,'SAP Actual extraction'!B:B,1,0)</f>
        <v xml:space="preserve">    6666020502  Working meals</v>
      </c>
    </row>
    <row r="306" spans="1:13" x14ac:dyDescent="0.3">
      <c r="A306" s="109" t="str">
        <f t="shared" si="6"/>
        <v>debitovh    6666020503  Office supplies</v>
      </c>
      <c r="B306" s="112" t="s">
        <v>321</v>
      </c>
      <c r="C306" s="113">
        <v>14.17</v>
      </c>
      <c r="D306" s="116">
        <v>0</v>
      </c>
      <c r="E306" s="113">
        <v>14.17</v>
      </c>
      <c r="F306" s="113">
        <v>0</v>
      </c>
      <c r="G306" s="112" t="s">
        <v>321</v>
      </c>
      <c r="H306" s="114">
        <v>0</v>
      </c>
      <c r="I306" s="114">
        <v>0</v>
      </c>
      <c r="J306" s="115">
        <v>0</v>
      </c>
      <c r="K306" s="113">
        <v>0</v>
      </c>
      <c r="L306" t="str">
        <f>VLOOKUP(A306,'SAP Actual extraction'!$A$28:$A$1048576,1,0)</f>
        <v>debitovh    6666020503  Office supplies</v>
      </c>
      <c r="M306" t="str">
        <f>VLOOKUP(B306,'SAP Actual extraction'!B:B,1,0)</f>
        <v xml:space="preserve">    6666020503  Office supplies</v>
      </c>
    </row>
    <row r="307" spans="1:13" x14ac:dyDescent="0.3">
      <c r="A307" s="109" t="str">
        <f t="shared" si="6"/>
        <v>debitovh    6666021502  Repair &amp; Maintain - Building&amp;office</v>
      </c>
      <c r="B307" s="112" t="s">
        <v>323</v>
      </c>
      <c r="C307" s="113">
        <v>114.75</v>
      </c>
      <c r="D307" s="116">
        <v>0</v>
      </c>
      <c r="E307" s="113">
        <v>114.75</v>
      </c>
      <c r="F307" s="113">
        <v>0</v>
      </c>
      <c r="G307" s="112" t="s">
        <v>323</v>
      </c>
      <c r="H307" s="114">
        <v>0</v>
      </c>
      <c r="I307" s="114">
        <v>0</v>
      </c>
      <c r="J307" s="115">
        <v>0</v>
      </c>
      <c r="K307" s="113">
        <v>0</v>
      </c>
      <c r="L307" t="str">
        <f>VLOOKUP(A307,'SAP Actual extraction'!$A$28:$A$1048576,1,0)</f>
        <v>debitovh    6666021502  Repair &amp; Maintain - Building&amp;office</v>
      </c>
      <c r="M307" t="str">
        <f>VLOOKUP(B307,'SAP Actual extraction'!B:B,1,0)</f>
        <v xml:space="preserve">    6666021502  Repair &amp; Maintain - Building&amp;office</v>
      </c>
    </row>
    <row r="308" spans="1:13" x14ac:dyDescent="0.3">
      <c r="A308" s="109" t="str">
        <f t="shared" si="6"/>
        <v>debitovh    6666021505  Repairs &amp; Maintenance - Vehicles</v>
      </c>
      <c r="B308" s="112" t="s">
        <v>325</v>
      </c>
      <c r="C308" s="113">
        <v>26.87</v>
      </c>
      <c r="D308" s="116">
        <v>0</v>
      </c>
      <c r="E308" s="113">
        <v>26.87</v>
      </c>
      <c r="F308" s="113">
        <v>0</v>
      </c>
      <c r="G308" s="112" t="s">
        <v>325</v>
      </c>
      <c r="H308" s="114">
        <v>0</v>
      </c>
      <c r="I308" s="114">
        <v>0</v>
      </c>
      <c r="J308" s="115">
        <v>0</v>
      </c>
      <c r="K308" s="113">
        <v>0</v>
      </c>
      <c r="L308" t="str">
        <f>VLOOKUP(A308,'SAP Actual extraction'!$A$28:$A$1048576,1,0)</f>
        <v>debitovh    6666021505  Repairs &amp; Maintenance - Vehicles</v>
      </c>
      <c r="M308" t="str">
        <f>VLOOKUP(B308,'SAP Actual extraction'!B:B,1,0)</f>
        <v xml:space="preserve">    6666021505  Repairs &amp; Maintenance - Vehicles</v>
      </c>
    </row>
    <row r="309" spans="1:13" x14ac:dyDescent="0.3">
      <c r="A309" s="109" t="str">
        <f t="shared" si="6"/>
        <v>debitovh    6666091600  Garbage disposal charge</v>
      </c>
      <c r="B309" s="112" t="s">
        <v>327</v>
      </c>
      <c r="C309" s="113">
        <v>5.18</v>
      </c>
      <c r="D309" s="116">
        <v>0</v>
      </c>
      <c r="E309" s="113">
        <v>5.18</v>
      </c>
      <c r="F309" s="113">
        <v>0</v>
      </c>
      <c r="G309" s="112" t="s">
        <v>327</v>
      </c>
      <c r="H309" s="114">
        <v>0</v>
      </c>
      <c r="I309" s="114">
        <v>0</v>
      </c>
      <c r="J309" s="115">
        <v>0</v>
      </c>
      <c r="K309" s="113">
        <v>0</v>
      </c>
      <c r="L309" t="str">
        <f>VLOOKUP(A309,'SAP Actual extraction'!$A$28:$A$1048576,1,0)</f>
        <v>debitovh    6666091600  Garbage disposal charge</v>
      </c>
      <c r="M309" t="str">
        <f>VLOOKUP(B309,'SAP Actual extraction'!B:B,1,0)</f>
        <v xml:space="preserve">    6666091600  Garbage disposal charge</v>
      </c>
    </row>
    <row r="310" spans="1:13" x14ac:dyDescent="0.3">
      <c r="A310" s="109" t="str">
        <f t="shared" si="6"/>
        <v>debitovh*   CS_Semifix</v>
      </c>
      <c r="B310" s="117" t="s">
        <v>219</v>
      </c>
      <c r="C310" s="118">
        <v>637.84</v>
      </c>
      <c r="D310" s="125">
        <v>0</v>
      </c>
      <c r="E310" s="118">
        <v>637.84</v>
      </c>
      <c r="F310" s="118">
        <v>0</v>
      </c>
      <c r="G310" s="117" t="s">
        <v>219</v>
      </c>
      <c r="H310" s="119">
        <v>0</v>
      </c>
      <c r="I310" s="119">
        <v>0</v>
      </c>
      <c r="J310" s="120">
        <v>0</v>
      </c>
      <c r="K310" s="118">
        <v>0</v>
      </c>
      <c r="L310" t="str">
        <f>VLOOKUP(A310,'SAP Actual extraction'!$A$28:$A$1048576,1,0)</f>
        <v>debitovh*   CS_Semifix</v>
      </c>
      <c r="M310" t="str">
        <f>VLOOKUP(B310,'SAP Actual extraction'!B:B,1,0)</f>
        <v>*   CS_Semifix</v>
      </c>
    </row>
    <row r="311" spans="1:13" x14ac:dyDescent="0.3">
      <c r="A311" s="109" t="str">
        <f t="shared" si="6"/>
        <v>debitovh**  Debit</v>
      </c>
      <c r="B311" s="121" t="s">
        <v>330</v>
      </c>
      <c r="C311" s="122">
        <v>-135958.73000000001</v>
      </c>
      <c r="D311" s="122">
        <v>311528.09999999998</v>
      </c>
      <c r="E311" s="122">
        <v>-447486.83</v>
      </c>
      <c r="F311" s="122">
        <v>-143.64250000000001</v>
      </c>
      <c r="G311" s="121" t="s">
        <v>330</v>
      </c>
      <c r="H311" s="123">
        <v>0</v>
      </c>
      <c r="I311" s="123">
        <v>0</v>
      </c>
      <c r="J311" s="124">
        <v>0</v>
      </c>
      <c r="K311" s="122">
        <v>0</v>
      </c>
      <c r="L311" t="str">
        <f>VLOOKUP(A311,'SAP Actual extraction'!$A$28:$A$1048576,1,0)</f>
        <v>debitovh**  Debit</v>
      </c>
      <c r="M311" t="str">
        <f>VLOOKUP(B311,'SAP Actual extraction'!B:B,1,0)</f>
        <v>**  Debit</v>
      </c>
    </row>
    <row r="312" spans="1:13" x14ac:dyDescent="0.3">
      <c r="A312" s="154" t="str">
        <f t="shared" ref="A312:A315" si="7">"credit"&amp;"ovh"&amp;B312</f>
        <v>creditovh    600006      OVH Administrative</v>
      </c>
      <c r="B312" s="112" t="s">
        <v>329</v>
      </c>
      <c r="C312" s="113">
        <v>135958.59</v>
      </c>
      <c r="D312" s="113">
        <v>-311528.09999999998</v>
      </c>
      <c r="E312" s="113">
        <v>447486.69</v>
      </c>
      <c r="F312" s="113">
        <v>-143.64250000000001</v>
      </c>
      <c r="G312" s="112" t="s">
        <v>329</v>
      </c>
      <c r="H312" s="114">
        <v>0</v>
      </c>
      <c r="I312" s="114">
        <v>0</v>
      </c>
      <c r="J312" s="115">
        <v>0</v>
      </c>
      <c r="K312" s="113">
        <v>0</v>
      </c>
      <c r="L312" t="str">
        <f>VLOOKUP(A312,'SAP Actual extraction'!$A$28:$A$1048576,1,0)</f>
        <v>creditovh    600006      OVH Administrative</v>
      </c>
      <c r="M312" t="str">
        <f>VLOOKUP(B312,'SAP Actual extraction'!B:B,1,0)</f>
        <v xml:space="preserve">    600006      OVH Administrative</v>
      </c>
    </row>
    <row r="313" spans="1:13" x14ac:dyDescent="0.3">
      <c r="A313" s="154" t="str">
        <f t="shared" si="7"/>
        <v>creditovh*   CS_OVH_ADM</v>
      </c>
      <c r="B313" s="117" t="s">
        <v>220</v>
      </c>
      <c r="C313" s="118">
        <v>135958.59</v>
      </c>
      <c r="D313" s="118">
        <v>-311528.09999999998</v>
      </c>
      <c r="E313" s="118">
        <v>447486.69</v>
      </c>
      <c r="F313" s="118">
        <v>-143.64250000000001</v>
      </c>
      <c r="G313" s="117" t="s">
        <v>220</v>
      </c>
      <c r="H313" s="119">
        <v>0</v>
      </c>
      <c r="I313" s="119">
        <v>0</v>
      </c>
      <c r="J313" s="120">
        <v>0</v>
      </c>
      <c r="K313" s="118">
        <v>0</v>
      </c>
    </row>
    <row r="314" spans="1:13" x14ac:dyDescent="0.3">
      <c r="A314" s="154" t="str">
        <f t="shared" si="7"/>
        <v>creditovh**  Credit</v>
      </c>
      <c r="B314" s="121" t="s">
        <v>331</v>
      </c>
      <c r="C314" s="122">
        <v>135958.59</v>
      </c>
      <c r="D314" s="122">
        <v>-311528.09999999998</v>
      </c>
      <c r="E314" s="122">
        <v>447486.69</v>
      </c>
      <c r="F314" s="122">
        <v>-143.64250000000001</v>
      </c>
      <c r="G314" s="121" t="s">
        <v>331</v>
      </c>
      <c r="H314" s="123">
        <v>0</v>
      </c>
      <c r="I314" s="123">
        <v>0</v>
      </c>
      <c r="J314" s="124">
        <v>0</v>
      </c>
      <c r="K314" s="122">
        <v>0</v>
      </c>
    </row>
    <row r="315" spans="1:13" x14ac:dyDescent="0.3">
      <c r="A315" s="154" t="str">
        <f t="shared" si="7"/>
        <v>creditovh*** Over/Underabsorption</v>
      </c>
      <c r="B315" s="126" t="s">
        <v>332</v>
      </c>
      <c r="C315" s="127">
        <v>-0.14000000000000001</v>
      </c>
      <c r="D315" s="127">
        <v>0</v>
      </c>
      <c r="E315" s="127">
        <v>-0.14000000000000001</v>
      </c>
      <c r="F315" s="127">
        <v>0</v>
      </c>
      <c r="G315" s="126" t="s">
        <v>332</v>
      </c>
      <c r="H315" s="128">
        <v>0</v>
      </c>
      <c r="I315" s="128">
        <v>0</v>
      </c>
      <c r="J315" s="128">
        <v>0</v>
      </c>
      <c r="K315" s="127">
        <v>0</v>
      </c>
    </row>
  </sheetData>
  <autoFilter ref="A13:L234" xr:uid="{1FECCBAC-476A-48DF-82FF-049E04967503}"/>
  <conditionalFormatting sqref="L14:L234 L237:L806">
    <cfRule type="cellIs" dxfId="9" priority="1" operator="notEqual">
      <formula>A14</formula>
    </cfRule>
  </conditionalFormatting>
  <conditionalFormatting sqref="O231">
    <cfRule type="cellIs" dxfId="8" priority="3" operator="notEqual">
      <formula>A233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66BC2-0740-4D50-A9E2-6387B8679B36}">
  <sheetPr codeName="Sheet25">
    <tabColor rgb="FFFF0000"/>
  </sheetPr>
  <dimension ref="A1:M320"/>
  <sheetViews>
    <sheetView topLeftCell="B292" zoomScale="60" zoomScaleNormal="60" workbookViewId="0">
      <selection activeCell="C16" sqref="C16"/>
    </sheetView>
  </sheetViews>
  <sheetFormatPr defaultColWidth="8.77734375" defaultRowHeight="14.4" x14ac:dyDescent="0.3"/>
  <cols>
    <col min="1" max="1" width="54.5546875" style="109" bestFit="1" customWidth="1"/>
    <col min="2" max="2" width="72.5546875" style="109" bestFit="1" customWidth="1"/>
    <col min="3" max="3" width="13.21875" style="109" customWidth="1"/>
    <col min="4" max="5" width="14.44140625" style="109" bestFit="1" customWidth="1"/>
    <col min="6" max="6" width="8.21875" style="109" bestFit="1" customWidth="1"/>
    <col min="7" max="7" width="49.77734375" style="109" bestFit="1" customWidth="1"/>
    <col min="8" max="8" width="11.21875" style="109" bestFit="1" customWidth="1"/>
    <col min="9" max="9" width="9.21875" style="109" bestFit="1" customWidth="1"/>
    <col min="10" max="10" width="10.5546875" style="109" bestFit="1" customWidth="1"/>
    <col min="11" max="11" width="8.21875" style="109" bestFit="1" customWidth="1"/>
    <col min="12" max="12" width="55" bestFit="1" customWidth="1"/>
  </cols>
  <sheetData>
    <row r="1" spans="1:13" x14ac:dyDescent="0.3">
      <c r="B1" s="108" t="s">
        <v>345</v>
      </c>
    </row>
    <row r="2" spans="1:13" x14ac:dyDescent="0.3">
      <c r="B2" s="108" t="s">
        <v>346</v>
      </c>
    </row>
    <row r="3" spans="1:13" x14ac:dyDescent="0.3">
      <c r="B3" s="108" t="s">
        <v>347</v>
      </c>
    </row>
    <row r="4" spans="1:13" x14ac:dyDescent="0.3">
      <c r="B4" s="108" t="s">
        <v>348</v>
      </c>
    </row>
    <row r="5" spans="1:13" x14ac:dyDescent="0.3">
      <c r="B5" s="108" t="s">
        <v>349</v>
      </c>
    </row>
    <row r="6" spans="1:13" x14ac:dyDescent="0.3">
      <c r="B6" s="108" t="s">
        <v>350</v>
      </c>
    </row>
    <row r="7" spans="1:13" x14ac:dyDescent="0.3">
      <c r="B7" s="108" t="s">
        <v>351</v>
      </c>
    </row>
    <row r="8" spans="1:13" x14ac:dyDescent="0.3">
      <c r="B8" s="108" t="s">
        <v>352</v>
      </c>
    </row>
    <row r="9" spans="1:13" x14ac:dyDescent="0.3">
      <c r="B9" s="108" t="s">
        <v>353</v>
      </c>
    </row>
    <row r="10" spans="1:13" x14ac:dyDescent="0.3">
      <c r="B10" s="108" t="s">
        <v>354</v>
      </c>
    </row>
    <row r="11" spans="1:13" x14ac:dyDescent="0.3">
      <c r="B11" s="108"/>
    </row>
    <row r="13" spans="1:13" x14ac:dyDescent="0.3">
      <c r="B13" s="110" t="s">
        <v>166</v>
      </c>
      <c r="C13" s="111" t="s">
        <v>171</v>
      </c>
      <c r="D13" s="111" t="s">
        <v>168</v>
      </c>
      <c r="E13" s="111" t="s">
        <v>221</v>
      </c>
      <c r="F13" s="111" t="s">
        <v>222</v>
      </c>
      <c r="G13" s="110" t="s">
        <v>166</v>
      </c>
      <c r="H13" s="111" t="s">
        <v>223</v>
      </c>
      <c r="I13" s="111" t="s">
        <v>224</v>
      </c>
      <c r="J13" s="111" t="s">
        <v>221</v>
      </c>
      <c r="K13" s="111" t="s">
        <v>222</v>
      </c>
    </row>
    <row r="14" spans="1:13" x14ac:dyDescent="0.3">
      <c r="A14" s="109" t="str">
        <f>"debit"&amp;B14</f>
        <v>debit    6666110101  Depreciation of buildings</v>
      </c>
      <c r="B14" s="112" t="s">
        <v>225</v>
      </c>
      <c r="C14" s="113">
        <v>548912.24</v>
      </c>
      <c r="D14" s="113">
        <v>3469128.23</v>
      </c>
      <c r="E14" s="113">
        <v>-2920215.99</v>
      </c>
      <c r="F14" s="113">
        <v>-84.177199999999999</v>
      </c>
      <c r="G14" s="112" t="s">
        <v>225</v>
      </c>
      <c r="H14" s="114">
        <v>0</v>
      </c>
      <c r="I14" s="114">
        <v>0</v>
      </c>
      <c r="J14" s="115">
        <v>0</v>
      </c>
      <c r="K14" s="113">
        <v>0</v>
      </c>
      <c r="L14" t="str">
        <f>VLOOKUP(A14,'SAP Actual extraction'!$A$28:$A$1048576,1,0)</f>
        <v>debit    6666110101  Depreciation of buildings</v>
      </c>
      <c r="M14" t="str">
        <f>VLOOKUP(B14,'SAP Actual extraction'!B:B,1,0)</f>
        <v xml:space="preserve">    6666110101  Depreciation of buildings</v>
      </c>
    </row>
    <row r="15" spans="1:13" x14ac:dyDescent="0.3">
      <c r="A15" s="109" t="str">
        <f t="shared" ref="A15:A112" si="0">"debit"&amp;B15</f>
        <v>debit    6666110107  Depreciation of mold　</v>
      </c>
      <c r="B15" s="112" t="s">
        <v>227</v>
      </c>
      <c r="C15" s="113">
        <v>1828204.56</v>
      </c>
      <c r="D15" s="116">
        <v>0</v>
      </c>
      <c r="E15" s="113">
        <v>1828204.56</v>
      </c>
      <c r="F15" s="113">
        <v>0</v>
      </c>
      <c r="G15" s="112" t="s">
        <v>227</v>
      </c>
      <c r="H15" s="114">
        <v>0</v>
      </c>
      <c r="I15" s="114">
        <v>0</v>
      </c>
      <c r="J15" s="115">
        <v>0</v>
      </c>
      <c r="K15" s="113">
        <v>0</v>
      </c>
      <c r="L15" t="str">
        <f>VLOOKUP(A15,'SAP Actual extraction'!$A$28:$A$1048576,1,0)</f>
        <v>debit    6666110107  Depreciation of mold　</v>
      </c>
      <c r="M15" t="str">
        <f>VLOOKUP(B15,'SAP Actual extraction'!B:B,1,0)</f>
        <v xml:space="preserve">    6666110107  Depreciation of mold　</v>
      </c>
    </row>
    <row r="16" spans="1:13" x14ac:dyDescent="0.3">
      <c r="A16" s="109" t="str">
        <f t="shared" si="0"/>
        <v>debit    6666110110  Depreciation-Plant &amp; Machinery</v>
      </c>
      <c r="B16" s="112" t="s">
        <v>228</v>
      </c>
      <c r="C16" s="113">
        <v>2885061.37</v>
      </c>
      <c r="D16" s="116">
        <v>0</v>
      </c>
      <c r="E16" s="113">
        <v>2885061.37</v>
      </c>
      <c r="F16" s="113">
        <v>0</v>
      </c>
      <c r="G16" s="112" t="s">
        <v>228</v>
      </c>
      <c r="H16" s="114">
        <v>0</v>
      </c>
      <c r="I16" s="114">
        <v>0</v>
      </c>
      <c r="J16" s="115">
        <v>0</v>
      </c>
      <c r="K16" s="113">
        <v>0</v>
      </c>
      <c r="L16" t="str">
        <f>VLOOKUP(A16,'SAP Actual extraction'!$A$28:$A$1048576,1,0)</f>
        <v>debit    6666110110  Depreciation-Plant &amp; Machinery</v>
      </c>
      <c r="M16" t="str">
        <f>VLOOKUP(B16,'SAP Actual extraction'!B:B,1,0)</f>
        <v xml:space="preserve">    6666110110  Depreciation-Plant &amp; Machinery</v>
      </c>
    </row>
    <row r="17" spans="1:13" x14ac:dyDescent="0.3">
      <c r="A17" s="109" t="str">
        <f t="shared" si="0"/>
        <v>debit    6666110112  Depreciation of Furniture &amp; Fixture</v>
      </c>
      <c r="B17" s="112" t="s">
        <v>229</v>
      </c>
      <c r="C17" s="113">
        <v>226228.88</v>
      </c>
      <c r="D17" s="116">
        <v>0</v>
      </c>
      <c r="E17" s="113">
        <v>226228.88</v>
      </c>
      <c r="F17" s="113">
        <v>0</v>
      </c>
      <c r="G17" s="112" t="s">
        <v>229</v>
      </c>
      <c r="H17" s="114">
        <v>0</v>
      </c>
      <c r="I17" s="114">
        <v>0</v>
      </c>
      <c r="J17" s="115">
        <v>0</v>
      </c>
      <c r="K17" s="113">
        <v>0</v>
      </c>
      <c r="L17" t="str">
        <f>VLOOKUP(A17,'SAP Actual extraction'!$A$28:$A$1048576,1,0)</f>
        <v>debit    6666110112  Depreciation of Furniture &amp; Fixture</v>
      </c>
      <c r="M17" t="str">
        <f>VLOOKUP(B17,'SAP Actual extraction'!B:B,1,0)</f>
        <v xml:space="preserve">    6666110112  Depreciation of Furniture &amp; Fixture</v>
      </c>
    </row>
    <row r="18" spans="1:13" x14ac:dyDescent="0.3">
      <c r="A18" s="109" t="str">
        <f t="shared" si="0"/>
        <v>debit    6666110204  Amortization of license, trademarks and</v>
      </c>
      <c r="B18" s="112" t="s">
        <v>230</v>
      </c>
      <c r="C18" s="113">
        <v>6060.4</v>
      </c>
      <c r="D18" s="116">
        <v>0</v>
      </c>
      <c r="E18" s="113">
        <v>6060.4</v>
      </c>
      <c r="F18" s="113">
        <v>0</v>
      </c>
      <c r="G18" s="112" t="s">
        <v>230</v>
      </c>
      <c r="H18" s="114">
        <v>0</v>
      </c>
      <c r="I18" s="114">
        <v>0</v>
      </c>
      <c r="J18" s="115">
        <v>0</v>
      </c>
      <c r="K18" s="113">
        <v>0</v>
      </c>
      <c r="L18" t="str">
        <f>VLOOKUP(A18,'SAP Actual extraction'!$A$28:$A$1048576,1,0)</f>
        <v>debit    6666110204  Amortization of license, trademarks and</v>
      </c>
      <c r="M18" t="str">
        <f>VLOOKUP(B18,'SAP Actual extraction'!B:B,1,0)</f>
        <v xml:space="preserve">    6666110204  Amortization of license, trademarks and</v>
      </c>
    </row>
    <row r="19" spans="1:13" x14ac:dyDescent="0.3">
      <c r="A19" s="109" t="str">
        <f t="shared" si="0"/>
        <v>debit    6666110207  Amortization of Software</v>
      </c>
      <c r="B19" s="112" t="s">
        <v>231</v>
      </c>
      <c r="C19" s="113">
        <v>162846.74</v>
      </c>
      <c r="D19" s="116">
        <v>0</v>
      </c>
      <c r="E19" s="113">
        <v>162846.74</v>
      </c>
      <c r="F19" s="113">
        <v>0</v>
      </c>
      <c r="G19" s="112" t="s">
        <v>231</v>
      </c>
      <c r="H19" s="114">
        <v>0</v>
      </c>
      <c r="I19" s="114">
        <v>0</v>
      </c>
      <c r="J19" s="115">
        <v>0</v>
      </c>
      <c r="K19" s="113">
        <v>0</v>
      </c>
      <c r="L19" t="str">
        <f>VLOOKUP(A19,'SAP Actual extraction'!$A$28:$A$1048576,1,0)</f>
        <v>debit    6666110207  Amortization of Software</v>
      </c>
      <c r="M19" t="str">
        <f>VLOOKUP(B19,'SAP Actual extraction'!B:B,1,0)</f>
        <v xml:space="preserve">    6666110207  Amortization of Software</v>
      </c>
    </row>
    <row r="20" spans="1:13" x14ac:dyDescent="0.3">
      <c r="A20" s="109" t="str">
        <f t="shared" si="0"/>
        <v>debit    6666110506  Amortization-Leasehold Improvement</v>
      </c>
      <c r="B20" s="112" t="s">
        <v>232</v>
      </c>
      <c r="C20" s="113">
        <v>10297.42</v>
      </c>
      <c r="D20" s="116">
        <v>0</v>
      </c>
      <c r="E20" s="113">
        <v>10297.42</v>
      </c>
      <c r="F20" s="113">
        <v>0</v>
      </c>
      <c r="G20" s="112" t="s">
        <v>232</v>
      </c>
      <c r="H20" s="114">
        <v>0</v>
      </c>
      <c r="I20" s="114">
        <v>0</v>
      </c>
      <c r="J20" s="115">
        <v>0</v>
      </c>
      <c r="K20" s="113">
        <v>0</v>
      </c>
      <c r="L20" t="str">
        <f>VLOOKUP(A20,'SAP Actual extraction'!$A$28:$A$1048576,1,0)</f>
        <v>debit    6666110506  Amortization-Leasehold Improvement</v>
      </c>
      <c r="M20" t="str">
        <f>VLOOKUP(B20,'SAP Actual extraction'!B:B,1,0)</f>
        <v xml:space="preserve">    6666110506  Amortization-Leasehold Improvement</v>
      </c>
    </row>
    <row r="21" spans="1:13" x14ac:dyDescent="0.3">
      <c r="A21" s="109" t="str">
        <f t="shared" si="0"/>
        <v>debit*   CS_Depreciation</v>
      </c>
      <c r="B21" s="117" t="s">
        <v>207</v>
      </c>
      <c r="C21" s="118">
        <v>5667611.6100000003</v>
      </c>
      <c r="D21" s="118">
        <v>3469128.23</v>
      </c>
      <c r="E21" s="118">
        <v>2198483.38</v>
      </c>
      <c r="F21" s="118">
        <v>63.372799999999998</v>
      </c>
      <c r="G21" s="117" t="s">
        <v>207</v>
      </c>
      <c r="H21" s="119">
        <v>0</v>
      </c>
      <c r="I21" s="119">
        <v>0</v>
      </c>
      <c r="J21" s="120">
        <v>0</v>
      </c>
      <c r="K21" s="118">
        <v>0</v>
      </c>
      <c r="L21" t="str">
        <f>VLOOKUP(A21,'SAP Actual extraction'!$A$28:$A$1048576,1,0)</f>
        <v>debit*   CS_Depreciation</v>
      </c>
      <c r="M21" t="str">
        <f>VLOOKUP(B21,'SAP Actual extraction'!B:B,1,0)</f>
        <v>*   CS_Depreciation</v>
      </c>
    </row>
    <row r="22" spans="1:13" x14ac:dyDescent="0.3">
      <c r="A22" s="109" t="str">
        <f t="shared" si="0"/>
        <v>debit    5001010205  Unemployment Insurance -blue collar-Dire</v>
      </c>
      <c r="B22" s="112" t="s">
        <v>233</v>
      </c>
      <c r="C22" s="113">
        <v>126557.26</v>
      </c>
      <c r="D22" s="116">
        <v>0</v>
      </c>
      <c r="E22" s="113">
        <v>126557.26</v>
      </c>
      <c r="F22" s="113">
        <v>0</v>
      </c>
      <c r="G22" s="112" t="s">
        <v>233</v>
      </c>
      <c r="H22" s="114">
        <v>0</v>
      </c>
      <c r="I22" s="114">
        <v>0</v>
      </c>
      <c r="J22" s="115">
        <v>0</v>
      </c>
      <c r="K22" s="113">
        <v>0</v>
      </c>
      <c r="L22" t="str">
        <f>VLOOKUP(A22,'SAP Actual extraction'!$A$28:$A$1048576,1,0)</f>
        <v>debit    5001010205  Unemployment Insurance -blue collar-Dire</v>
      </c>
      <c r="M22" t="str">
        <f>VLOOKUP(B22,'SAP Actual extraction'!B:B,1,0)</f>
        <v xml:space="preserve">    5001010205  Unemployment Insurance -blue collar-Dire</v>
      </c>
    </row>
    <row r="23" spans="1:13" x14ac:dyDescent="0.3">
      <c r="A23" s="109" t="str">
        <f t="shared" si="0"/>
        <v>debit    6666010380  Incentive</v>
      </c>
      <c r="B23" s="112" t="s">
        <v>234</v>
      </c>
      <c r="C23" s="113">
        <v>8285.91</v>
      </c>
      <c r="D23" s="116">
        <v>0</v>
      </c>
      <c r="E23" s="113">
        <v>8285.91</v>
      </c>
      <c r="F23" s="113">
        <v>0</v>
      </c>
      <c r="G23" s="112" t="s">
        <v>234</v>
      </c>
      <c r="H23" s="114">
        <v>0</v>
      </c>
      <c r="I23" s="114">
        <v>0</v>
      </c>
      <c r="J23" s="115">
        <v>0</v>
      </c>
      <c r="K23" s="113">
        <v>0</v>
      </c>
      <c r="L23" t="str">
        <f>VLOOKUP(A23,'SAP Actual extraction'!$A$28:$A$1048576,1,0)</f>
        <v>debit    6666010380  Incentive</v>
      </c>
      <c r="M23" t="str">
        <f>VLOOKUP(B23,'SAP Actual extraction'!B:B,1,0)</f>
        <v xml:space="preserve">    6666010380  Incentive</v>
      </c>
    </row>
    <row r="24" spans="1:13" x14ac:dyDescent="0.3">
      <c r="A24" s="109" t="str">
        <f t="shared" si="0"/>
        <v>debit    6666010019  Payroll Taxes - Blue Collar Direct</v>
      </c>
      <c r="B24" s="112" t="s">
        <v>235</v>
      </c>
      <c r="C24" s="113">
        <v>1003180.47</v>
      </c>
      <c r="D24" s="116">
        <v>0</v>
      </c>
      <c r="E24" s="113">
        <v>1003180.47</v>
      </c>
      <c r="F24" s="113">
        <v>0</v>
      </c>
      <c r="G24" s="112" t="s">
        <v>235</v>
      </c>
      <c r="H24" s="114">
        <v>0</v>
      </c>
      <c r="I24" s="114">
        <v>0</v>
      </c>
      <c r="J24" s="115">
        <v>0</v>
      </c>
      <c r="K24" s="113">
        <v>0</v>
      </c>
      <c r="L24" t="str">
        <f>VLOOKUP(A24,'SAP Actual extraction'!$A$28:$A$1048576,1,0)</f>
        <v>debit    6666010019  Payroll Taxes - Blue Collar Direct</v>
      </c>
      <c r="M24" t="str">
        <f>VLOOKUP(B24,'SAP Actual extraction'!B:B,1,0)</f>
        <v xml:space="preserve">    6666010019  Payroll Taxes - Blue Collar Direct</v>
      </c>
    </row>
    <row r="25" spans="1:13" x14ac:dyDescent="0.3">
      <c r="A25" s="109" t="str">
        <f t="shared" si="0"/>
        <v>debit    6666010183  Overtime-Blue Collar-Direct</v>
      </c>
      <c r="B25" s="112" t="s">
        <v>236</v>
      </c>
      <c r="C25" s="113">
        <v>309703.39</v>
      </c>
      <c r="D25" s="116">
        <v>0</v>
      </c>
      <c r="E25" s="113">
        <v>309703.39</v>
      </c>
      <c r="F25" s="113">
        <v>0</v>
      </c>
      <c r="G25" s="112" t="s">
        <v>236</v>
      </c>
      <c r="H25" s="114">
        <v>0</v>
      </c>
      <c r="I25" s="114">
        <v>0</v>
      </c>
      <c r="J25" s="115">
        <v>0</v>
      </c>
      <c r="K25" s="113">
        <v>0</v>
      </c>
      <c r="L25" t="str">
        <f>VLOOKUP(A25,'SAP Actual extraction'!$A$28:$A$1048576,1,0)</f>
        <v>debit    6666010183  Overtime-Blue Collar-Direct</v>
      </c>
      <c r="M25" t="str">
        <f>VLOOKUP(B25,'SAP Actual extraction'!B:B,1,0)</f>
        <v xml:space="preserve">    6666010183  Overtime-Blue Collar-Direct</v>
      </c>
    </row>
    <row r="26" spans="1:13" x14ac:dyDescent="0.3">
      <c r="A26" s="109" t="str">
        <f t="shared" si="0"/>
        <v>debit    6666010229  Staff Leaving Indemnity - Blue Collar Di</v>
      </c>
      <c r="B26" s="112" t="s">
        <v>237</v>
      </c>
      <c r="C26" s="113">
        <v>171583.57</v>
      </c>
      <c r="D26" s="116">
        <v>0</v>
      </c>
      <c r="E26" s="113">
        <v>171583.57</v>
      </c>
      <c r="F26" s="113">
        <v>0</v>
      </c>
      <c r="G26" s="112" t="s">
        <v>237</v>
      </c>
      <c r="H26" s="114">
        <v>0</v>
      </c>
      <c r="I26" s="114">
        <v>0</v>
      </c>
      <c r="J26" s="115">
        <v>0</v>
      </c>
      <c r="K26" s="113">
        <v>0</v>
      </c>
      <c r="L26" t="str">
        <f>VLOOKUP(A26,'SAP Actual extraction'!$A$28:$A$1048576,1,0)</f>
        <v>debit    6666010229  Staff Leaving Indemnity - Blue Collar Di</v>
      </c>
      <c r="M26" t="str">
        <f>VLOOKUP(B26,'SAP Actual extraction'!B:B,1,0)</f>
        <v xml:space="preserve">    6666010229  Staff Leaving Indemnity - Blue Collar Di</v>
      </c>
    </row>
    <row r="27" spans="1:13" x14ac:dyDescent="0.3">
      <c r="A27" s="109" t="str">
        <f t="shared" si="0"/>
        <v>debit    6666010188  Salary - Blue collar direct employees</v>
      </c>
      <c r="B27" s="112" t="s">
        <v>238</v>
      </c>
      <c r="C27" s="113">
        <v>5631501.4400000004</v>
      </c>
      <c r="D27" s="113">
        <v>6777862.1600000001</v>
      </c>
      <c r="E27" s="113">
        <v>-1146360.72</v>
      </c>
      <c r="F27" s="113">
        <v>-16.9133</v>
      </c>
      <c r="G27" s="112" t="s">
        <v>238</v>
      </c>
      <c r="H27" s="114">
        <v>0</v>
      </c>
      <c r="I27" s="114">
        <v>0</v>
      </c>
      <c r="J27" s="115">
        <v>0</v>
      </c>
      <c r="K27" s="113">
        <v>0</v>
      </c>
      <c r="L27" t="str">
        <f>VLOOKUP(A27,'SAP Actual extraction'!$A$28:$A$1048576,1,0)</f>
        <v>debit    6666010188  Salary - Blue collar direct employees</v>
      </c>
      <c r="M27" t="str">
        <f>VLOOKUP(B27,'SAP Actual extraction'!B:B,1,0)</f>
        <v xml:space="preserve">    6666010188  Salary - Blue collar direct employees</v>
      </c>
    </row>
    <row r="28" spans="1:13" x14ac:dyDescent="0.3">
      <c r="A28" s="109" t="str">
        <f t="shared" si="0"/>
        <v>debit    5102040406  Other revenue-Service/Secondment agreeme</v>
      </c>
      <c r="B28" s="112" t="s">
        <v>239</v>
      </c>
      <c r="C28" s="113">
        <v>101.12</v>
      </c>
      <c r="D28" s="116">
        <v>0</v>
      </c>
      <c r="E28" s="113">
        <v>101.12</v>
      </c>
      <c r="F28" s="113">
        <v>0</v>
      </c>
      <c r="G28" s="112" t="s">
        <v>239</v>
      </c>
      <c r="H28" s="114">
        <v>0</v>
      </c>
      <c r="I28" s="114">
        <v>0</v>
      </c>
      <c r="J28" s="115">
        <v>0</v>
      </c>
      <c r="K28" s="113">
        <v>0</v>
      </c>
      <c r="L28" t="str">
        <f>VLOOKUP(A28,'SAP Actual extraction'!$A$28:$A$1048576,1,0)</f>
        <v>debit    5102040406  Other revenue-Service/Secondment agreeme</v>
      </c>
      <c r="M28" t="str">
        <f>VLOOKUP(B28,'SAP Actual extraction'!B:B,1,0)</f>
        <v xml:space="preserve">    5102040406  Other revenue-Service/Secondment agreeme</v>
      </c>
    </row>
    <row r="29" spans="1:13" x14ac:dyDescent="0.3">
      <c r="A29" s="109" t="str">
        <f t="shared" si="0"/>
        <v>debit    6666010115  Salary-Blue collar direct employees-Accr</v>
      </c>
      <c r="B29" s="112" t="s">
        <v>240</v>
      </c>
      <c r="C29" s="113">
        <v>-83220.03</v>
      </c>
      <c r="D29" s="116">
        <v>0</v>
      </c>
      <c r="E29" s="113">
        <v>-83220.03</v>
      </c>
      <c r="F29" s="113">
        <v>0</v>
      </c>
      <c r="G29" s="112" t="s">
        <v>240</v>
      </c>
      <c r="H29" s="114">
        <v>0</v>
      </c>
      <c r="I29" s="114">
        <v>0</v>
      </c>
      <c r="J29" s="115">
        <v>0</v>
      </c>
      <c r="K29" s="113">
        <v>0</v>
      </c>
      <c r="L29" t="str">
        <f>VLOOKUP(A29,'SAP Actual extraction'!$A$28:$A$1048576,1,0)</f>
        <v>debit    6666010115  Salary-Blue collar direct employees-Accr</v>
      </c>
      <c r="M29" t="str">
        <f>VLOOKUP(B29,'SAP Actual extraction'!B:B,1,0)</f>
        <v xml:space="preserve">    6666010115  Salary-Blue collar direct employees-Accr</v>
      </c>
    </row>
    <row r="30" spans="1:13" x14ac:dyDescent="0.3">
      <c r="A30" s="109" t="str">
        <f t="shared" si="0"/>
        <v>debit*   CS_Direct Labour</v>
      </c>
      <c r="B30" s="117" t="s">
        <v>208</v>
      </c>
      <c r="C30" s="118">
        <v>7167693.1299999999</v>
      </c>
      <c r="D30" s="118">
        <v>6777862.1600000001</v>
      </c>
      <c r="E30" s="118">
        <v>389830.97</v>
      </c>
      <c r="F30" s="118">
        <v>5.7515000000000001</v>
      </c>
      <c r="G30" s="117" t="s">
        <v>208</v>
      </c>
      <c r="H30" s="119">
        <v>0</v>
      </c>
      <c r="I30" s="119">
        <v>0</v>
      </c>
      <c r="J30" s="120">
        <v>0</v>
      </c>
      <c r="K30" s="118">
        <v>0</v>
      </c>
      <c r="L30" t="str">
        <f>VLOOKUP(A30,'SAP Actual extraction'!$A$28:$A$1048576,1,0)</f>
        <v>debit*   CS_Direct Labour</v>
      </c>
      <c r="M30" t="str">
        <f>VLOOKUP(B30,'SAP Actual extraction'!B:B,1,0)</f>
        <v>*   CS_Direct Labour</v>
      </c>
    </row>
    <row r="31" spans="1:13" x14ac:dyDescent="0.3">
      <c r="A31" s="109" t="str">
        <f t="shared" si="0"/>
        <v>debit    8701530201  Scrap-Raw&amp;#160;Material - Managerial</v>
      </c>
      <c r="B31" s="112" t="s">
        <v>241</v>
      </c>
      <c r="C31" s="116">
        <v>0</v>
      </c>
      <c r="D31" s="113">
        <v>622923.69999999995</v>
      </c>
      <c r="E31" s="113">
        <v>-622923.69999999995</v>
      </c>
      <c r="F31" s="113">
        <v>-100</v>
      </c>
      <c r="G31" s="112" t="s">
        <v>241</v>
      </c>
      <c r="H31" s="114">
        <v>0</v>
      </c>
      <c r="I31" s="114">
        <v>0</v>
      </c>
      <c r="J31" s="115">
        <v>0</v>
      </c>
      <c r="K31" s="113">
        <v>0</v>
      </c>
      <c r="L31" t="str">
        <f>VLOOKUP(A31,'SAP Actual extraction'!$A$28:$A$1048576,1,0)</f>
        <v>debit    8701530201  Scrap-Raw&amp;#160;Material - Managerial</v>
      </c>
      <c r="M31" t="str">
        <f>VLOOKUP(B31,'SAP Actual extraction'!B:B,1,0)</f>
        <v xml:space="preserve">    8701530201  Scrap-Raw&amp;#160;Material - Managerial</v>
      </c>
    </row>
    <row r="32" spans="1:13" x14ac:dyDescent="0.3">
      <c r="A32" s="109" t="str">
        <f t="shared" si="0"/>
        <v>debit    6666050309  SFG scrap</v>
      </c>
      <c r="B32" s="112" t="s">
        <v>242</v>
      </c>
      <c r="C32" s="113">
        <v>532426.13</v>
      </c>
      <c r="D32" s="116">
        <v>0</v>
      </c>
      <c r="E32" s="113">
        <v>532426.13</v>
      </c>
      <c r="F32" s="113">
        <v>0</v>
      </c>
      <c r="G32" s="112" t="s">
        <v>242</v>
      </c>
      <c r="H32" s="114">
        <v>0</v>
      </c>
      <c r="I32" s="114">
        <v>0</v>
      </c>
      <c r="J32" s="115">
        <v>0</v>
      </c>
      <c r="K32" s="113">
        <v>0</v>
      </c>
      <c r="L32" t="str">
        <f>VLOOKUP(A32,'SAP Actual extraction'!$A$28:$A$1048576,1,0)</f>
        <v>debit    6666050309  SFG scrap</v>
      </c>
      <c r="M32" t="str">
        <f>VLOOKUP(B32,'SAP Actual extraction'!B:B,1,0)</f>
        <v xml:space="preserve">    6666050309  SFG scrap</v>
      </c>
    </row>
    <row r="33" spans="1:13" x14ac:dyDescent="0.3">
      <c r="A33" s="109" t="str">
        <f t="shared" si="0"/>
        <v>debit    6666050308  Raw material scrap</v>
      </c>
      <c r="B33" s="112" t="s">
        <v>243</v>
      </c>
      <c r="C33" s="113">
        <v>139157.59</v>
      </c>
      <c r="D33" s="116">
        <v>0</v>
      </c>
      <c r="E33" s="113">
        <v>139157.59</v>
      </c>
      <c r="F33" s="113">
        <v>0</v>
      </c>
      <c r="G33" s="112" t="s">
        <v>243</v>
      </c>
      <c r="H33" s="114">
        <v>0</v>
      </c>
      <c r="I33" s="114">
        <v>0</v>
      </c>
      <c r="J33" s="115">
        <v>0</v>
      </c>
      <c r="K33" s="113">
        <v>0</v>
      </c>
      <c r="L33" t="str">
        <f>VLOOKUP(A33,'SAP Actual extraction'!$A$28:$A$1048576,1,0)</f>
        <v>debit    6666050308  Raw material scrap</v>
      </c>
      <c r="M33" t="str">
        <f>VLOOKUP(B33,'SAP Actual extraction'!B:B,1,0)</f>
        <v xml:space="preserve">    6666050308  Raw material scrap</v>
      </c>
    </row>
    <row r="34" spans="1:13" x14ac:dyDescent="0.3">
      <c r="A34" s="109" t="str">
        <f t="shared" si="0"/>
        <v>debit    6666050306  Finished goods scrap</v>
      </c>
      <c r="B34" s="112" t="s">
        <v>244</v>
      </c>
      <c r="C34" s="113">
        <v>1542.01</v>
      </c>
      <c r="D34" s="116">
        <v>0</v>
      </c>
      <c r="E34" s="113">
        <v>1542.01</v>
      </c>
      <c r="F34" s="113">
        <v>0</v>
      </c>
      <c r="G34" s="112" t="s">
        <v>244</v>
      </c>
      <c r="H34" s="114">
        <v>0</v>
      </c>
      <c r="I34" s="114">
        <v>0</v>
      </c>
      <c r="J34" s="115">
        <v>0</v>
      </c>
      <c r="K34" s="113">
        <v>0</v>
      </c>
      <c r="L34" t="str">
        <f>VLOOKUP(A34,'SAP Actual extraction'!$A$28:$A$1048576,1,0)</f>
        <v>debit    6666050306  Finished goods scrap</v>
      </c>
      <c r="M34" t="str">
        <f>VLOOKUP(B34,'SAP Actual extraction'!B:B,1,0)</f>
        <v xml:space="preserve">    6666050306  Finished goods scrap</v>
      </c>
    </row>
    <row r="35" spans="1:13" x14ac:dyDescent="0.3">
      <c r="A35" s="109" t="str">
        <f t="shared" si="0"/>
        <v>debit*   CS_SCRAP_VARIABLE</v>
      </c>
      <c r="B35" s="117" t="s">
        <v>209</v>
      </c>
      <c r="C35" s="118">
        <v>673125.73</v>
      </c>
      <c r="D35" s="118">
        <v>622923.69999999995</v>
      </c>
      <c r="E35" s="118">
        <v>50202.03</v>
      </c>
      <c r="F35" s="118">
        <v>8.0591000000000008</v>
      </c>
      <c r="G35" s="117" t="s">
        <v>209</v>
      </c>
      <c r="H35" s="119">
        <v>0</v>
      </c>
      <c r="I35" s="119">
        <v>0</v>
      </c>
      <c r="J35" s="120">
        <v>0</v>
      </c>
      <c r="K35" s="118">
        <v>0</v>
      </c>
      <c r="L35" t="str">
        <f>VLOOKUP(A35,'SAP Actual extraction'!$A$28:$A$1048576,1,0)</f>
        <v>debit*   CS_SCRAP_VARIABLE</v>
      </c>
      <c r="M35" t="str">
        <f>VLOOKUP(B35,'SAP Actual extraction'!B:B,1,0)</f>
        <v>*   CS_SCRAP_VARIABLE</v>
      </c>
    </row>
    <row r="36" spans="1:13" x14ac:dyDescent="0.3">
      <c r="A36" s="109" t="str">
        <f t="shared" si="0"/>
        <v>debit    6666029996  Non-deductible expense-travel.</v>
      </c>
      <c r="B36" s="112" t="s">
        <v>246</v>
      </c>
      <c r="C36" s="113">
        <v>382.95</v>
      </c>
      <c r="D36" s="116">
        <v>0</v>
      </c>
      <c r="E36" s="113">
        <v>382.95</v>
      </c>
      <c r="F36" s="113">
        <v>0</v>
      </c>
      <c r="G36" s="112" t="s">
        <v>246</v>
      </c>
      <c r="H36" s="114">
        <v>0</v>
      </c>
      <c r="I36" s="114">
        <v>0</v>
      </c>
      <c r="J36" s="115">
        <v>0</v>
      </c>
      <c r="K36" s="113">
        <v>0</v>
      </c>
      <c r="L36" t="str">
        <f>VLOOKUP(A36,'SAP Actual extraction'!$A$28:$A$1048576,1,0)</f>
        <v>debit    6666029996  Non-deductible expense-travel.</v>
      </c>
      <c r="M36" t="str">
        <f>VLOOKUP(B36,'SAP Actual extraction'!B:B,1,0)</f>
        <v xml:space="preserve">    6666029996  Non-deductible expense-travel.</v>
      </c>
    </row>
    <row r="37" spans="1:13" x14ac:dyDescent="0.3">
      <c r="A37" s="109" t="str">
        <f t="shared" si="0"/>
        <v>debit    6666010322  fuel allowance</v>
      </c>
      <c r="B37" s="112" t="s">
        <v>248</v>
      </c>
      <c r="C37" s="113">
        <v>37421.58</v>
      </c>
      <c r="D37" s="116">
        <v>0</v>
      </c>
      <c r="E37" s="113">
        <v>37421.58</v>
      </c>
      <c r="F37" s="113">
        <v>0</v>
      </c>
      <c r="G37" s="112" t="s">
        <v>248</v>
      </c>
      <c r="H37" s="114">
        <v>0</v>
      </c>
      <c r="I37" s="114">
        <v>0</v>
      </c>
      <c r="J37" s="115">
        <v>0</v>
      </c>
      <c r="K37" s="113">
        <v>0</v>
      </c>
      <c r="L37" t="str">
        <f>VLOOKUP(A37,'SAP Actual extraction'!$A$28:$A$1048576,1,0)</f>
        <v>debit    6666010322  fuel allowance</v>
      </c>
      <c r="M37" t="str">
        <f>VLOOKUP(B37,'SAP Actual extraction'!B:B,1,0)</f>
        <v xml:space="preserve">    6666010322  fuel allowance</v>
      </c>
    </row>
    <row r="38" spans="1:13" x14ac:dyDescent="0.3">
      <c r="A38" s="109" t="str">
        <f t="shared" si="0"/>
        <v>debit    6666020495  Non-deductible expense-travel.</v>
      </c>
      <c r="B38" s="112" t="s">
        <v>249</v>
      </c>
      <c r="C38" s="113">
        <v>11023.7</v>
      </c>
      <c r="D38" s="116">
        <v>0</v>
      </c>
      <c r="E38" s="113">
        <v>11023.7</v>
      </c>
      <c r="F38" s="113">
        <v>0</v>
      </c>
      <c r="G38" s="112" t="s">
        <v>249</v>
      </c>
      <c r="H38" s="114">
        <v>0</v>
      </c>
      <c r="I38" s="114">
        <v>0</v>
      </c>
      <c r="J38" s="115">
        <v>0</v>
      </c>
      <c r="K38" s="113">
        <v>0</v>
      </c>
      <c r="L38" t="str">
        <f>VLOOKUP(A38,'SAP Actual extraction'!$A$28:$A$1048576,1,0)</f>
        <v>debit    6666020495  Non-deductible expense-travel.</v>
      </c>
      <c r="M38" t="str">
        <f>VLOOKUP(B38,'SAP Actual extraction'!B:B,1,0)</f>
        <v xml:space="preserve">    6666020495  Non-deductible expense-travel.</v>
      </c>
    </row>
    <row r="39" spans="1:13" x14ac:dyDescent="0.3">
      <c r="A39" s="109" t="str">
        <f t="shared" si="0"/>
        <v>debit    5102010151  Other Rev.-Interco-Epidemic problem comp</v>
      </c>
      <c r="B39" s="112" t="s">
        <v>250</v>
      </c>
      <c r="C39" s="113">
        <v>-1137.56</v>
      </c>
      <c r="D39" s="116">
        <v>0</v>
      </c>
      <c r="E39" s="113">
        <v>-1137.56</v>
      </c>
      <c r="F39" s="113">
        <v>0</v>
      </c>
      <c r="G39" s="112" t="s">
        <v>250</v>
      </c>
      <c r="H39" s="114">
        <v>0</v>
      </c>
      <c r="I39" s="114">
        <v>0</v>
      </c>
      <c r="J39" s="115">
        <v>0</v>
      </c>
      <c r="K39" s="113">
        <v>0</v>
      </c>
      <c r="L39" t="str">
        <f>VLOOKUP(A39,'SAP Actual extraction'!$A$28:$A$1048576,1,0)</f>
        <v>debit    5102010151  Other Rev.-Interco-Epidemic problem comp</v>
      </c>
      <c r="M39" t="str">
        <f>VLOOKUP(B39,'SAP Actual extraction'!B:B,1,0)</f>
        <v xml:space="preserve">    5102010151  Other Rev.-Interco-Epidemic problem comp</v>
      </c>
    </row>
    <row r="40" spans="1:13" x14ac:dyDescent="0.3">
      <c r="A40" s="109" t="str">
        <f t="shared" si="0"/>
        <v>debit    600008      Indirect Cost</v>
      </c>
      <c r="B40" s="112" t="s">
        <v>355</v>
      </c>
      <c r="C40" s="116">
        <v>0</v>
      </c>
      <c r="D40" s="116">
        <v>0</v>
      </c>
      <c r="E40" s="113">
        <v>0</v>
      </c>
      <c r="F40" s="113">
        <v>0</v>
      </c>
      <c r="G40" s="112" t="s">
        <v>355</v>
      </c>
      <c r="H40" s="114">
        <v>0</v>
      </c>
      <c r="I40" s="114">
        <v>0</v>
      </c>
      <c r="J40" s="115">
        <v>0</v>
      </c>
      <c r="K40" s="113">
        <v>0</v>
      </c>
      <c r="L40" t="e">
        <f>VLOOKUP(A40,'SAP Actual extraction'!$A$28:$A$1048576,1,0)</f>
        <v>#N/A</v>
      </c>
      <c r="M40" t="e">
        <f>VLOOKUP(B40,'SAP Actual extraction'!B:B,1,0)</f>
        <v>#N/A</v>
      </c>
    </row>
    <row r="41" spans="1:13" x14ac:dyDescent="0.3">
      <c r="A41" s="109" t="str">
        <f t="shared" si="0"/>
        <v>debit    600009      Quality Control</v>
      </c>
      <c r="B41" s="112" t="s">
        <v>356</v>
      </c>
      <c r="C41" s="116">
        <v>0</v>
      </c>
      <c r="D41" s="116">
        <v>0</v>
      </c>
      <c r="E41" s="113">
        <v>0</v>
      </c>
      <c r="F41" s="113">
        <v>0</v>
      </c>
      <c r="G41" s="112" t="s">
        <v>356</v>
      </c>
      <c r="H41" s="114">
        <v>0</v>
      </c>
      <c r="I41" s="114">
        <v>0</v>
      </c>
      <c r="J41" s="115">
        <v>0</v>
      </c>
      <c r="K41" s="113">
        <v>0</v>
      </c>
      <c r="L41" t="e">
        <f>VLOOKUP(A41,'SAP Actual extraction'!$A$28:$A$1048576,1,0)</f>
        <v>#N/A</v>
      </c>
      <c r="M41" t="e">
        <f>VLOOKUP(B41,'SAP Actual extraction'!B:B,1,0)</f>
        <v>#N/A</v>
      </c>
    </row>
    <row r="42" spans="1:13" x14ac:dyDescent="0.3">
      <c r="A42" s="109" t="str">
        <f t="shared" si="0"/>
        <v>debit    5001010200  Cost of Manufacture - Raw Material</v>
      </c>
      <c r="B42" s="112" t="s">
        <v>251</v>
      </c>
      <c r="C42" s="113">
        <v>525.6</v>
      </c>
      <c r="D42" s="116">
        <v>0</v>
      </c>
      <c r="E42" s="113">
        <v>525.6</v>
      </c>
      <c r="F42" s="113">
        <v>0</v>
      </c>
      <c r="G42" s="112" t="s">
        <v>251</v>
      </c>
      <c r="H42" s="114">
        <v>0</v>
      </c>
      <c r="I42" s="114">
        <v>0</v>
      </c>
      <c r="J42" s="115">
        <v>0</v>
      </c>
      <c r="K42" s="113">
        <v>0</v>
      </c>
      <c r="L42" t="str">
        <f>VLOOKUP(A42,'SAP Actual extraction'!$A$28:$A$1048576,1,0)</f>
        <v>debit    5001010200  Cost of Manufacture - Raw Material</v>
      </c>
      <c r="M42" t="str">
        <f>VLOOKUP(B42,'SAP Actual extraction'!B:B,1,0)</f>
        <v xml:space="preserve">    5001010200  Cost of Manufacture - Raw Material</v>
      </c>
    </row>
    <row r="43" spans="1:13" x14ac:dyDescent="0.3">
      <c r="A43" s="109" t="str">
        <f t="shared" si="0"/>
        <v>debit    5001010201  Cost of Manufacture - Raw Material-Freig</v>
      </c>
      <c r="B43" s="112" t="s">
        <v>252</v>
      </c>
      <c r="C43" s="113">
        <v>0.85</v>
      </c>
      <c r="D43" s="116">
        <v>0</v>
      </c>
      <c r="E43" s="113">
        <v>0.85</v>
      </c>
      <c r="F43" s="113">
        <v>0</v>
      </c>
      <c r="G43" s="112" t="s">
        <v>252</v>
      </c>
      <c r="H43" s="114">
        <v>0</v>
      </c>
      <c r="I43" s="114">
        <v>0</v>
      </c>
      <c r="J43" s="115">
        <v>0</v>
      </c>
      <c r="K43" s="113">
        <v>0</v>
      </c>
      <c r="L43" t="str">
        <f>VLOOKUP(A43,'SAP Actual extraction'!$A$28:$A$1048576,1,0)</f>
        <v>debit    5001010201  Cost of Manufacture - Raw Material-Freig</v>
      </c>
      <c r="M43" t="str">
        <f>VLOOKUP(B43,'SAP Actual extraction'!B:B,1,0)</f>
        <v xml:space="preserve">    5001010201  Cost of Manufacture - Raw Material-Freig</v>
      </c>
    </row>
    <row r="44" spans="1:13" x14ac:dyDescent="0.3">
      <c r="A44" s="109" t="str">
        <f t="shared" si="0"/>
        <v>debit    5301060000  Other Income-Subsidy income</v>
      </c>
      <c r="B44" s="112" t="s">
        <v>256</v>
      </c>
      <c r="C44" s="116">
        <v>0</v>
      </c>
      <c r="D44" s="116">
        <v>0</v>
      </c>
      <c r="E44" s="113">
        <v>0</v>
      </c>
      <c r="F44" s="113">
        <v>0</v>
      </c>
      <c r="G44" s="112" t="s">
        <v>256</v>
      </c>
      <c r="H44" s="114">
        <v>0</v>
      </c>
      <c r="I44" s="114">
        <v>0</v>
      </c>
      <c r="J44" s="115">
        <v>0</v>
      </c>
      <c r="K44" s="113">
        <v>0</v>
      </c>
      <c r="L44" t="str">
        <f>VLOOKUP(A44,'SAP Actual extraction'!$A$28:$A$1048576,1,0)</f>
        <v>debit    5301060000  Other Income-Subsidy income</v>
      </c>
      <c r="M44" t="str">
        <f>VLOOKUP(B44,'SAP Actual extraction'!B:B,1,0)</f>
        <v xml:space="preserve">    5301060000  Other Income-Subsidy income</v>
      </c>
    </row>
    <row r="45" spans="1:13" x14ac:dyDescent="0.3">
      <c r="A45" s="109" t="str">
        <f t="shared" si="0"/>
        <v>debit    5301999999  Non-operation revenue-Other</v>
      </c>
      <c r="B45" s="112" t="s">
        <v>257</v>
      </c>
      <c r="C45" s="113">
        <v>-71.319999999999993</v>
      </c>
      <c r="D45" s="116">
        <v>0</v>
      </c>
      <c r="E45" s="113">
        <v>-71.319999999999993</v>
      </c>
      <c r="F45" s="113">
        <v>0</v>
      </c>
      <c r="G45" s="112" t="s">
        <v>257</v>
      </c>
      <c r="H45" s="114">
        <v>0</v>
      </c>
      <c r="I45" s="114">
        <v>0</v>
      </c>
      <c r="J45" s="115">
        <v>0</v>
      </c>
      <c r="K45" s="113">
        <v>0</v>
      </c>
      <c r="L45" t="str">
        <f>VLOOKUP(A45,'SAP Actual extraction'!$A$28:$A$1048576,1,0)</f>
        <v>debit    5301999999  Non-operation revenue-Other</v>
      </c>
      <c r="M45" t="str">
        <f>VLOOKUP(B45,'SAP Actual extraction'!B:B,1,0)</f>
        <v xml:space="preserve">    5301999999  Non-operation revenue-Other</v>
      </c>
    </row>
    <row r="46" spans="1:13" x14ac:dyDescent="0.3">
      <c r="A46" s="109" t="str">
        <f t="shared" si="0"/>
        <v>debit    5405030000  Other cost-others</v>
      </c>
      <c r="B46" s="112" t="s">
        <v>258</v>
      </c>
      <c r="C46" s="113">
        <v>6880.62</v>
      </c>
      <c r="D46" s="116">
        <v>0</v>
      </c>
      <c r="E46" s="113">
        <v>6880.62</v>
      </c>
      <c r="F46" s="113">
        <v>0</v>
      </c>
      <c r="G46" s="112" t="s">
        <v>258</v>
      </c>
      <c r="H46" s="114">
        <v>0</v>
      </c>
      <c r="I46" s="114">
        <v>0</v>
      </c>
      <c r="J46" s="115">
        <v>0</v>
      </c>
      <c r="K46" s="113">
        <v>0</v>
      </c>
      <c r="L46" t="str">
        <f>VLOOKUP(A46,'SAP Actual extraction'!$A$28:$A$1048576,1,0)</f>
        <v>debit    5405030000  Other cost-others</v>
      </c>
      <c r="M46" t="str">
        <f>VLOOKUP(B46,'SAP Actual extraction'!B:B,1,0)</f>
        <v xml:space="preserve">    5405030000  Other cost-others</v>
      </c>
    </row>
    <row r="47" spans="1:13" x14ac:dyDescent="0.3">
      <c r="A47" s="109" t="str">
        <f t="shared" si="0"/>
        <v>debit    5601020000  Loss on disposal fixed asset</v>
      </c>
      <c r="B47" s="112" t="s">
        <v>357</v>
      </c>
      <c r="C47" s="116">
        <v>0</v>
      </c>
      <c r="D47" s="116">
        <v>0</v>
      </c>
      <c r="E47" s="113">
        <v>0</v>
      </c>
      <c r="F47" s="113">
        <v>0</v>
      </c>
      <c r="G47" s="112" t="s">
        <v>357</v>
      </c>
      <c r="H47" s="114">
        <v>0</v>
      </c>
      <c r="I47" s="114">
        <v>0</v>
      </c>
      <c r="J47" s="115">
        <v>0</v>
      </c>
      <c r="K47" s="113">
        <v>0</v>
      </c>
      <c r="L47" t="e">
        <f>VLOOKUP(A47,'SAP Actual extraction'!$A$28:$A$1048576,1,0)</f>
        <v>#N/A</v>
      </c>
      <c r="M47" t="e">
        <f>VLOOKUP(B47,'SAP Actual extraction'!B:B,1,0)</f>
        <v>#N/A</v>
      </c>
    </row>
    <row r="48" spans="1:13" x14ac:dyDescent="0.3">
      <c r="A48" s="109" t="str">
        <f t="shared" si="0"/>
        <v>debit    5601050100  Non-operation Expense-Others</v>
      </c>
      <c r="B48" s="112" t="s">
        <v>260</v>
      </c>
      <c r="C48" s="113">
        <v>881.25</v>
      </c>
      <c r="D48" s="116">
        <v>0</v>
      </c>
      <c r="E48" s="113">
        <v>881.25</v>
      </c>
      <c r="F48" s="113">
        <v>0</v>
      </c>
      <c r="G48" s="112" t="s">
        <v>260</v>
      </c>
      <c r="H48" s="114">
        <v>0</v>
      </c>
      <c r="I48" s="114">
        <v>0</v>
      </c>
      <c r="J48" s="115">
        <v>0</v>
      </c>
      <c r="K48" s="113">
        <v>0</v>
      </c>
      <c r="L48" t="str">
        <f>VLOOKUP(A48,'SAP Actual extraction'!$A$28:$A$1048576,1,0)</f>
        <v>debit    5601050100  Non-operation Expense-Others</v>
      </c>
      <c r="M48" t="str">
        <f>VLOOKUP(B48,'SAP Actual extraction'!B:B,1,0)</f>
        <v xml:space="preserve">    5601050100  Non-operation Expense-Others</v>
      </c>
    </row>
    <row r="49" spans="1:13" x14ac:dyDescent="0.3">
      <c r="A49" s="109" t="str">
        <f t="shared" si="0"/>
        <v>debit    6666020101  Entertainment</v>
      </c>
      <c r="B49" s="112" t="s">
        <v>261</v>
      </c>
      <c r="C49" s="113">
        <v>2692.31</v>
      </c>
      <c r="D49" s="113">
        <v>238031.87</v>
      </c>
      <c r="E49" s="113">
        <v>-235339.56</v>
      </c>
      <c r="F49" s="113">
        <v>-98.868899999999996</v>
      </c>
      <c r="G49" s="112" t="s">
        <v>261</v>
      </c>
      <c r="H49" s="114">
        <v>0</v>
      </c>
      <c r="I49" s="114">
        <v>0</v>
      </c>
      <c r="J49" s="115">
        <v>0</v>
      </c>
      <c r="K49" s="113">
        <v>0</v>
      </c>
      <c r="L49" t="str">
        <f>VLOOKUP(A49,'SAP Actual extraction'!$A$28:$A$1048576,1,0)</f>
        <v>debit    6666020101  Entertainment</v>
      </c>
      <c r="M49" t="str">
        <f>VLOOKUP(B49,'SAP Actual extraction'!B:B,1,0)</f>
        <v xml:space="preserve">    6666020101  Entertainment</v>
      </c>
    </row>
    <row r="50" spans="1:13" x14ac:dyDescent="0.3">
      <c r="A50" s="109" t="str">
        <f t="shared" si="0"/>
        <v>debit    6666020201  Domestic business travel</v>
      </c>
      <c r="B50" s="112" t="s">
        <v>262</v>
      </c>
      <c r="C50" s="113">
        <v>1861.84</v>
      </c>
      <c r="D50" s="113">
        <v>43476.72</v>
      </c>
      <c r="E50" s="113">
        <v>-41614.879999999997</v>
      </c>
      <c r="F50" s="113">
        <v>-95.717600000000004</v>
      </c>
      <c r="G50" s="112" t="s">
        <v>262</v>
      </c>
      <c r="H50" s="114">
        <v>0</v>
      </c>
      <c r="I50" s="114">
        <v>0</v>
      </c>
      <c r="J50" s="115">
        <v>0</v>
      </c>
      <c r="K50" s="113">
        <v>0</v>
      </c>
      <c r="L50" t="str">
        <f>VLOOKUP(A50,'SAP Actual extraction'!$A$28:$A$1048576,1,0)</f>
        <v>debit    6666020201  Domestic business travel</v>
      </c>
      <c r="M50" t="str">
        <f>VLOOKUP(B50,'SAP Actual extraction'!B:B,1,0)</f>
        <v xml:space="preserve">    6666020201  Domestic business travel</v>
      </c>
    </row>
    <row r="51" spans="1:13" x14ac:dyDescent="0.3">
      <c r="A51" s="109" t="str">
        <f t="shared" si="0"/>
        <v>debit    6666020202  Overseas business travel</v>
      </c>
      <c r="B51" s="112" t="s">
        <v>263</v>
      </c>
      <c r="C51" s="113">
        <v>7560.75</v>
      </c>
      <c r="D51" s="116">
        <v>0</v>
      </c>
      <c r="E51" s="113">
        <v>7560.75</v>
      </c>
      <c r="F51" s="113">
        <v>0</v>
      </c>
      <c r="G51" s="112" t="s">
        <v>263</v>
      </c>
      <c r="H51" s="114">
        <v>0</v>
      </c>
      <c r="I51" s="114">
        <v>0</v>
      </c>
      <c r="J51" s="115">
        <v>0</v>
      </c>
      <c r="K51" s="113">
        <v>0</v>
      </c>
      <c r="L51" t="str">
        <f>VLOOKUP(A51,'SAP Actual extraction'!$A$28:$A$1048576,1,0)</f>
        <v>debit    6666020202  Overseas business travel</v>
      </c>
      <c r="M51" t="str">
        <f>VLOOKUP(B51,'SAP Actual extraction'!B:B,1,0)</f>
        <v xml:space="preserve">    6666020202  Overseas business travel</v>
      </c>
    </row>
    <row r="52" spans="1:13" x14ac:dyDescent="0.3">
      <c r="A52" s="109" t="str">
        <f t="shared" si="0"/>
        <v>debit    6666020204  Travel expense pay to agency</v>
      </c>
      <c r="B52" s="112" t="s">
        <v>264</v>
      </c>
      <c r="C52" s="113">
        <v>22412.44</v>
      </c>
      <c r="D52" s="116">
        <v>0</v>
      </c>
      <c r="E52" s="113">
        <v>22412.44</v>
      </c>
      <c r="F52" s="113">
        <v>0</v>
      </c>
      <c r="G52" s="112" t="s">
        <v>264</v>
      </c>
      <c r="H52" s="114">
        <v>0</v>
      </c>
      <c r="I52" s="114">
        <v>0</v>
      </c>
      <c r="J52" s="115">
        <v>0</v>
      </c>
      <c r="K52" s="113">
        <v>0</v>
      </c>
      <c r="L52" t="str">
        <f>VLOOKUP(A52,'SAP Actual extraction'!$A$28:$A$1048576,1,0)</f>
        <v>debit    6666020204  Travel expense pay to agency</v>
      </c>
      <c r="M52" t="str">
        <f>VLOOKUP(B52,'SAP Actual extraction'!B:B,1,0)</f>
        <v xml:space="preserve">    6666020204  Travel expense pay to agency</v>
      </c>
    </row>
    <row r="53" spans="1:13" x14ac:dyDescent="0.3">
      <c r="A53" s="109" t="str">
        <f t="shared" si="0"/>
        <v>debit    6666020205  Business travel-other</v>
      </c>
      <c r="B53" s="112" t="s">
        <v>265</v>
      </c>
      <c r="C53" s="116">
        <v>0</v>
      </c>
      <c r="D53" s="113">
        <v>58857.48</v>
      </c>
      <c r="E53" s="113">
        <v>-58857.48</v>
      </c>
      <c r="F53" s="113">
        <v>-100</v>
      </c>
      <c r="G53" s="112" t="s">
        <v>265</v>
      </c>
      <c r="H53" s="114">
        <v>0</v>
      </c>
      <c r="I53" s="114">
        <v>0</v>
      </c>
      <c r="J53" s="115">
        <v>0</v>
      </c>
      <c r="K53" s="113">
        <v>0</v>
      </c>
      <c r="L53" t="str">
        <f>VLOOKUP(A53,'SAP Actual extraction'!$A$28:$A$1048576,1,0)</f>
        <v>debit    6666020205  Business travel-other</v>
      </c>
      <c r="M53" t="str">
        <f>VLOOKUP(B53,'SAP Actual extraction'!B:B,1,0)</f>
        <v xml:space="preserve">    6666020205  Business travel-other</v>
      </c>
    </row>
    <row r="54" spans="1:13" x14ac:dyDescent="0.3">
      <c r="A54" s="109" t="str">
        <f t="shared" si="0"/>
        <v>debit    6666020301  Staff communication expense</v>
      </c>
      <c r="B54" s="112" t="s">
        <v>266</v>
      </c>
      <c r="C54" s="113">
        <v>14843.78</v>
      </c>
      <c r="D54" s="116">
        <v>0</v>
      </c>
      <c r="E54" s="113">
        <v>14843.78</v>
      </c>
      <c r="F54" s="113">
        <v>0</v>
      </c>
      <c r="G54" s="112" t="s">
        <v>266</v>
      </c>
      <c r="H54" s="114">
        <v>0</v>
      </c>
      <c r="I54" s="114">
        <v>0</v>
      </c>
      <c r="J54" s="115">
        <v>0</v>
      </c>
      <c r="K54" s="113">
        <v>0</v>
      </c>
      <c r="L54" t="str">
        <f>VLOOKUP(A54,'SAP Actual extraction'!$A$28:$A$1048576,1,0)</f>
        <v>debit    6666020301  Staff communication expense</v>
      </c>
      <c r="M54" t="str">
        <f>VLOOKUP(B54,'SAP Actual extraction'!B:B,1,0)</f>
        <v xml:space="preserve">    6666020301  Staff communication expense</v>
      </c>
    </row>
    <row r="55" spans="1:13" x14ac:dyDescent="0.3">
      <c r="A55" s="109" t="str">
        <f t="shared" si="0"/>
        <v>debit    6666020302  Communication Expenses</v>
      </c>
      <c r="B55" s="112" t="s">
        <v>268</v>
      </c>
      <c r="C55" s="113">
        <v>2217.36</v>
      </c>
      <c r="D55" s="113">
        <v>7206.84</v>
      </c>
      <c r="E55" s="113">
        <v>-4989.4799999999996</v>
      </c>
      <c r="F55" s="113">
        <v>-69.232600000000005</v>
      </c>
      <c r="G55" s="112" t="s">
        <v>268</v>
      </c>
      <c r="H55" s="114">
        <v>0</v>
      </c>
      <c r="I55" s="114">
        <v>0</v>
      </c>
      <c r="J55" s="115">
        <v>0</v>
      </c>
      <c r="K55" s="113">
        <v>0</v>
      </c>
      <c r="L55" t="str">
        <f>VLOOKUP(A55,'SAP Actual extraction'!$A$28:$A$1048576,1,0)</f>
        <v>debit    6666020302  Communication Expenses</v>
      </c>
      <c r="M55" t="str">
        <f>VLOOKUP(B55,'SAP Actual extraction'!B:B,1,0)</f>
        <v xml:space="preserve">    6666020302  Communication Expenses</v>
      </c>
    </row>
    <row r="56" spans="1:13" x14ac:dyDescent="0.3">
      <c r="A56" s="109" t="str">
        <f t="shared" si="0"/>
        <v>debit    6666020403  Company car expense</v>
      </c>
      <c r="B56" s="112" t="s">
        <v>269</v>
      </c>
      <c r="C56" s="113">
        <v>14.06</v>
      </c>
      <c r="D56" s="116">
        <v>0</v>
      </c>
      <c r="E56" s="113">
        <v>14.06</v>
      </c>
      <c r="F56" s="113">
        <v>0</v>
      </c>
      <c r="G56" s="112" t="s">
        <v>269</v>
      </c>
      <c r="H56" s="114">
        <v>0</v>
      </c>
      <c r="I56" s="114">
        <v>0</v>
      </c>
      <c r="J56" s="115">
        <v>0</v>
      </c>
      <c r="K56" s="113">
        <v>0</v>
      </c>
      <c r="L56" t="str">
        <f>VLOOKUP(A56,'SAP Actual extraction'!$A$28:$A$1048576,1,0)</f>
        <v>debit    6666020403  Company car expense</v>
      </c>
      <c r="M56" t="str">
        <f>VLOOKUP(B56,'SAP Actual extraction'!B:B,1,0)</f>
        <v xml:space="preserve">    6666020403  Company car expense</v>
      </c>
    </row>
    <row r="57" spans="1:13" x14ac:dyDescent="0.3">
      <c r="A57" s="109" t="str">
        <f t="shared" si="0"/>
        <v>debit    6666020405  Company car expense - maintenance fees</v>
      </c>
      <c r="B57" s="112" t="s">
        <v>270</v>
      </c>
      <c r="C57" s="116">
        <v>0</v>
      </c>
      <c r="D57" s="116">
        <v>0</v>
      </c>
      <c r="E57" s="113">
        <v>0</v>
      </c>
      <c r="F57" s="113">
        <v>0</v>
      </c>
      <c r="G57" s="112" t="s">
        <v>270</v>
      </c>
      <c r="H57" s="114">
        <v>0</v>
      </c>
      <c r="I57" s="114">
        <v>0</v>
      </c>
      <c r="J57" s="115">
        <v>0</v>
      </c>
      <c r="K57" s="113">
        <v>0</v>
      </c>
      <c r="L57" t="str">
        <f>VLOOKUP(A57,'SAP Actual extraction'!$A$28:$A$1048576,1,0)</f>
        <v>debit    6666020405  Company car expense - maintenance fees</v>
      </c>
      <c r="M57" t="str">
        <f>VLOOKUP(B57,'SAP Actual extraction'!B:B,1,0)</f>
        <v xml:space="preserve">    6666020405  Company car expense - maintenance fees</v>
      </c>
    </row>
    <row r="58" spans="1:13" x14ac:dyDescent="0.3">
      <c r="A58" s="109" t="str">
        <f t="shared" si="0"/>
        <v>debit    6666020504  Newspaper and Periodicals expenditure</v>
      </c>
      <c r="B58" s="112" t="s">
        <v>271</v>
      </c>
      <c r="C58" s="113">
        <v>597.32000000000005</v>
      </c>
      <c r="D58" s="113">
        <v>2027.76</v>
      </c>
      <c r="E58" s="113">
        <v>-1430.44</v>
      </c>
      <c r="F58" s="113">
        <v>-70.542900000000003</v>
      </c>
      <c r="G58" s="112" t="s">
        <v>271</v>
      </c>
      <c r="H58" s="114">
        <v>0</v>
      </c>
      <c r="I58" s="114">
        <v>0</v>
      </c>
      <c r="J58" s="115">
        <v>0</v>
      </c>
      <c r="K58" s="113">
        <v>0</v>
      </c>
      <c r="L58" t="str">
        <f>VLOOKUP(A58,'SAP Actual extraction'!$A$28:$A$1048576,1,0)</f>
        <v>debit    6666020504  Newspaper and Periodicals expenditure</v>
      </c>
      <c r="M58" t="str">
        <f>VLOOKUP(B58,'SAP Actual extraction'!B:B,1,0)</f>
        <v xml:space="preserve">    6666020504  Newspaper and Periodicals expenditure</v>
      </c>
    </row>
    <row r="59" spans="1:13" x14ac:dyDescent="0.3">
      <c r="A59" s="109" t="str">
        <f t="shared" si="0"/>
        <v>debit    6666020508  Postage</v>
      </c>
      <c r="B59" s="112" t="s">
        <v>272</v>
      </c>
      <c r="C59" s="113">
        <v>654.16</v>
      </c>
      <c r="D59" s="113">
        <v>4973.76</v>
      </c>
      <c r="E59" s="113">
        <v>-4319.6000000000004</v>
      </c>
      <c r="F59" s="113">
        <v>-86.847800000000007</v>
      </c>
      <c r="G59" s="112" t="s">
        <v>272</v>
      </c>
      <c r="H59" s="114">
        <v>0</v>
      </c>
      <c r="I59" s="114">
        <v>0</v>
      </c>
      <c r="J59" s="115">
        <v>0</v>
      </c>
      <c r="K59" s="113">
        <v>0</v>
      </c>
      <c r="L59" t="str">
        <f>VLOOKUP(A59,'SAP Actual extraction'!$A$28:$A$1048576,1,0)</f>
        <v>debit    6666020508  Postage</v>
      </c>
      <c r="M59" t="str">
        <f>VLOOKUP(B59,'SAP Actual extraction'!B:B,1,0)</f>
        <v xml:space="preserve">    6666020508  Postage</v>
      </c>
    </row>
    <row r="60" spans="1:13" x14ac:dyDescent="0.3">
      <c r="A60" s="109" t="str">
        <f t="shared" si="0"/>
        <v>debit    6666020602  Training costs Outside the group</v>
      </c>
      <c r="B60" s="112" t="s">
        <v>273</v>
      </c>
      <c r="C60" s="113">
        <v>887.63</v>
      </c>
      <c r="D60" s="113">
        <v>103406.51</v>
      </c>
      <c r="E60" s="113">
        <v>-102518.88</v>
      </c>
      <c r="F60" s="113">
        <v>-99.141599999999997</v>
      </c>
      <c r="G60" s="112" t="s">
        <v>273</v>
      </c>
      <c r="H60" s="114">
        <v>0</v>
      </c>
      <c r="I60" s="114">
        <v>0</v>
      </c>
      <c r="J60" s="115">
        <v>0</v>
      </c>
      <c r="K60" s="113">
        <v>0</v>
      </c>
      <c r="L60" t="str">
        <f>VLOOKUP(A60,'SAP Actual extraction'!$A$28:$A$1048576,1,0)</f>
        <v>debit    6666020602  Training costs Outside the group</v>
      </c>
      <c r="M60" t="str">
        <f>VLOOKUP(B60,'SAP Actual extraction'!B:B,1,0)</f>
        <v xml:space="preserve">    6666020602  Training costs Outside the group</v>
      </c>
    </row>
    <row r="61" spans="1:13" x14ac:dyDescent="0.3">
      <c r="A61" s="109" t="str">
        <f t="shared" si="0"/>
        <v>debit    6666020802  Equipment rental cost</v>
      </c>
      <c r="B61" s="112" t="s">
        <v>275</v>
      </c>
      <c r="C61" s="113">
        <v>284725.03000000003</v>
      </c>
      <c r="D61" s="113">
        <v>403077.04</v>
      </c>
      <c r="E61" s="113">
        <v>-118352.01</v>
      </c>
      <c r="F61" s="113">
        <v>-29.362100000000002</v>
      </c>
      <c r="G61" s="112" t="s">
        <v>275</v>
      </c>
      <c r="H61" s="114">
        <v>0</v>
      </c>
      <c r="I61" s="114">
        <v>0</v>
      </c>
      <c r="J61" s="115">
        <v>0</v>
      </c>
      <c r="K61" s="113">
        <v>0</v>
      </c>
      <c r="L61" t="str">
        <f>VLOOKUP(A61,'SAP Actual extraction'!$A$28:$A$1048576,1,0)</f>
        <v>debit    6666020802  Equipment rental cost</v>
      </c>
      <c r="M61" t="str">
        <f>VLOOKUP(B61,'SAP Actual extraction'!B:B,1,0)</f>
        <v xml:space="preserve">    6666020802  Equipment rental cost</v>
      </c>
    </row>
    <row r="62" spans="1:13" x14ac:dyDescent="0.3">
      <c r="A62" s="109" t="str">
        <f t="shared" si="0"/>
        <v>debit    6666020803  Car rental cost</v>
      </c>
      <c r="B62" s="112" t="s">
        <v>276</v>
      </c>
      <c r="C62" s="113">
        <v>103456.31</v>
      </c>
      <c r="D62" s="113">
        <v>101929.89</v>
      </c>
      <c r="E62" s="113">
        <v>1526.42</v>
      </c>
      <c r="F62" s="113">
        <v>1.4975000000000001</v>
      </c>
      <c r="G62" s="112" t="s">
        <v>276</v>
      </c>
      <c r="H62" s="114">
        <v>0</v>
      </c>
      <c r="I62" s="114">
        <v>0</v>
      </c>
      <c r="J62" s="115">
        <v>0</v>
      </c>
      <c r="K62" s="113">
        <v>0</v>
      </c>
      <c r="L62" t="str">
        <f>VLOOKUP(A62,'SAP Actual extraction'!$A$28:$A$1048576,1,0)</f>
        <v>debit    6666020803  Car rental cost</v>
      </c>
      <c r="M62" t="str">
        <f>VLOOKUP(B62,'SAP Actual extraction'!B:B,1,0)</f>
        <v xml:space="preserve">    6666020803  Car rental cost</v>
      </c>
    </row>
    <row r="63" spans="1:13" x14ac:dyDescent="0.3">
      <c r="A63" s="109" t="str">
        <f t="shared" si="0"/>
        <v>debit    6666021100  Consulting fees</v>
      </c>
      <c r="B63" s="112" t="s">
        <v>277</v>
      </c>
      <c r="C63" s="113">
        <v>209322.45</v>
      </c>
      <c r="D63" s="113">
        <v>297253.76000000001</v>
      </c>
      <c r="E63" s="113">
        <v>-87931.31</v>
      </c>
      <c r="F63" s="113">
        <v>-29.581199999999999</v>
      </c>
      <c r="G63" s="112" t="s">
        <v>277</v>
      </c>
      <c r="H63" s="114">
        <v>0</v>
      </c>
      <c r="I63" s="114">
        <v>0</v>
      </c>
      <c r="J63" s="115">
        <v>0</v>
      </c>
      <c r="K63" s="113">
        <v>0</v>
      </c>
      <c r="L63" t="str">
        <f>VLOOKUP(A63,'SAP Actual extraction'!$A$28:$A$1048576,1,0)</f>
        <v>debit    6666021100  Consulting fees</v>
      </c>
      <c r="M63" t="str">
        <f>VLOOKUP(B63,'SAP Actual extraction'!B:B,1,0)</f>
        <v xml:space="preserve">    6666021100  Consulting fees</v>
      </c>
    </row>
    <row r="64" spans="1:13" x14ac:dyDescent="0.3">
      <c r="A64" s="109" t="str">
        <f t="shared" si="0"/>
        <v>debit    6666021104  Consulting expense-Technical</v>
      </c>
      <c r="B64" s="112" t="s">
        <v>267</v>
      </c>
      <c r="C64" s="113">
        <v>-2.36</v>
      </c>
      <c r="D64" s="116">
        <v>0</v>
      </c>
      <c r="E64" s="113">
        <v>-2.36</v>
      </c>
      <c r="F64" s="113">
        <v>0</v>
      </c>
      <c r="G64" s="112" t="s">
        <v>267</v>
      </c>
      <c r="H64" s="114">
        <v>0</v>
      </c>
      <c r="I64" s="114">
        <v>0</v>
      </c>
      <c r="J64" s="115">
        <v>0</v>
      </c>
      <c r="K64" s="113">
        <v>0</v>
      </c>
      <c r="L64" t="str">
        <f>VLOOKUP(A64,'SAP Actual extraction'!$A$28:$A$1048576,1,0)</f>
        <v>debit    6666021104  Consulting expense-Technical</v>
      </c>
      <c r="M64" t="str">
        <f>VLOOKUP(B64,'SAP Actual extraction'!B:B,1,0)</f>
        <v xml:space="preserve">    6666021104  Consulting expense-Technical</v>
      </c>
    </row>
    <row r="65" spans="1:13" x14ac:dyDescent="0.3">
      <c r="A65" s="109" t="str">
        <f t="shared" si="0"/>
        <v>debit    6666021200  Audit fee</v>
      </c>
      <c r="B65" s="112" t="s">
        <v>358</v>
      </c>
      <c r="C65" s="113">
        <v>-27.2</v>
      </c>
      <c r="D65" s="116">
        <v>0</v>
      </c>
      <c r="E65" s="113">
        <v>-27.2</v>
      </c>
      <c r="F65" s="113">
        <v>0</v>
      </c>
      <c r="G65" s="112" t="s">
        <v>358</v>
      </c>
      <c r="H65" s="114">
        <v>0</v>
      </c>
      <c r="I65" s="114">
        <v>0</v>
      </c>
      <c r="J65" s="115">
        <v>0</v>
      </c>
      <c r="K65" s="113">
        <v>0</v>
      </c>
      <c r="L65" t="e">
        <f>VLOOKUP(A65,'SAP Actual extraction'!$A$28:$A$1048576,1,0)</f>
        <v>#N/A</v>
      </c>
      <c r="M65" t="e">
        <f>VLOOKUP(B65,'SAP Actual extraction'!B:B,1,0)</f>
        <v>#N/A</v>
      </c>
    </row>
    <row r="66" spans="1:13" x14ac:dyDescent="0.3">
      <c r="A66" s="109" t="str">
        <f t="shared" si="0"/>
        <v>debit    6666021902  Cleaning fees</v>
      </c>
      <c r="B66" s="112" t="s">
        <v>278</v>
      </c>
      <c r="C66" s="113">
        <v>207841.02</v>
      </c>
      <c r="D66" s="113">
        <v>260906.4</v>
      </c>
      <c r="E66" s="113">
        <v>-53065.38</v>
      </c>
      <c r="F66" s="113">
        <v>-20.338899999999999</v>
      </c>
      <c r="G66" s="112" t="s">
        <v>278</v>
      </c>
      <c r="H66" s="114">
        <v>0</v>
      </c>
      <c r="I66" s="114">
        <v>0</v>
      </c>
      <c r="J66" s="115">
        <v>0</v>
      </c>
      <c r="K66" s="113">
        <v>0</v>
      </c>
      <c r="L66" t="str">
        <f>VLOOKUP(A66,'SAP Actual extraction'!$A$28:$A$1048576,1,0)</f>
        <v>debit    6666021902  Cleaning fees</v>
      </c>
      <c r="M66" t="str">
        <f>VLOOKUP(B66,'SAP Actual extraction'!B:B,1,0)</f>
        <v xml:space="preserve">    6666021902  Cleaning fees</v>
      </c>
    </row>
    <row r="67" spans="1:13" x14ac:dyDescent="0.3">
      <c r="A67" s="109" t="str">
        <f t="shared" si="0"/>
        <v>debit    6666022100  Security</v>
      </c>
      <c r="B67" s="112" t="s">
        <v>279</v>
      </c>
      <c r="C67" s="113">
        <v>106658.66</v>
      </c>
      <c r="D67" s="113">
        <v>193111.44</v>
      </c>
      <c r="E67" s="113">
        <v>-86452.78</v>
      </c>
      <c r="F67" s="113">
        <v>-44.768300000000004</v>
      </c>
      <c r="G67" s="112" t="s">
        <v>279</v>
      </c>
      <c r="H67" s="114">
        <v>0</v>
      </c>
      <c r="I67" s="114">
        <v>0</v>
      </c>
      <c r="J67" s="115">
        <v>0</v>
      </c>
      <c r="K67" s="113">
        <v>0</v>
      </c>
      <c r="L67" t="str">
        <f>VLOOKUP(A67,'SAP Actual extraction'!$A$28:$A$1048576,1,0)</f>
        <v>debit    6666022100  Security</v>
      </c>
      <c r="M67" t="str">
        <f>VLOOKUP(B67,'SAP Actual extraction'!B:B,1,0)</f>
        <v xml:space="preserve">    6666022100  Security</v>
      </c>
    </row>
    <row r="68" spans="1:13" x14ac:dyDescent="0.3">
      <c r="A68" s="109" t="str">
        <f t="shared" si="0"/>
        <v>debit    6666022300  Association dues</v>
      </c>
      <c r="B68" s="112" t="s">
        <v>280</v>
      </c>
      <c r="C68" s="116">
        <v>0</v>
      </c>
      <c r="D68" s="116">
        <v>0</v>
      </c>
      <c r="E68" s="113">
        <v>0</v>
      </c>
      <c r="F68" s="113">
        <v>0</v>
      </c>
      <c r="G68" s="112" t="s">
        <v>280</v>
      </c>
      <c r="H68" s="114">
        <v>0</v>
      </c>
      <c r="I68" s="114">
        <v>0</v>
      </c>
      <c r="J68" s="115">
        <v>0</v>
      </c>
      <c r="K68" s="113">
        <v>0</v>
      </c>
      <c r="L68" t="str">
        <f>VLOOKUP(A68,'SAP Actual extraction'!$A$28:$A$1048576,1,0)</f>
        <v>debit    6666022300  Association dues</v>
      </c>
      <c r="M68" t="str">
        <f>VLOOKUP(B68,'SAP Actual extraction'!B:B,1,0)</f>
        <v xml:space="preserve">    6666022300  Association dues</v>
      </c>
    </row>
    <row r="69" spans="1:13" x14ac:dyDescent="0.3">
      <c r="A69" s="109" t="str">
        <f t="shared" si="0"/>
        <v>debit    6666029900  Sundry Expenses</v>
      </c>
      <c r="B69" s="112" t="s">
        <v>281</v>
      </c>
      <c r="C69" s="113">
        <v>10153.23</v>
      </c>
      <c r="D69" s="116">
        <v>0</v>
      </c>
      <c r="E69" s="113">
        <v>10153.23</v>
      </c>
      <c r="F69" s="113">
        <v>0</v>
      </c>
      <c r="G69" s="112" t="s">
        <v>281</v>
      </c>
      <c r="H69" s="114">
        <v>0</v>
      </c>
      <c r="I69" s="114">
        <v>0</v>
      </c>
      <c r="J69" s="115">
        <v>0</v>
      </c>
      <c r="K69" s="113">
        <v>0</v>
      </c>
      <c r="L69" t="str">
        <f>VLOOKUP(A69,'SAP Actual extraction'!$A$28:$A$1048576,1,0)</f>
        <v>debit    6666029900  Sundry Expenses</v>
      </c>
      <c r="M69" t="str">
        <f>VLOOKUP(B69,'SAP Actual extraction'!B:B,1,0)</f>
        <v xml:space="preserve">    6666029900  Sundry Expenses</v>
      </c>
    </row>
    <row r="70" spans="1:13" x14ac:dyDescent="0.3">
      <c r="A70" s="109" t="str">
        <f t="shared" si="0"/>
        <v>debit    6666029997  restructure cost</v>
      </c>
      <c r="B70" s="112" t="s">
        <v>282</v>
      </c>
      <c r="C70" s="113">
        <v>29510.78</v>
      </c>
      <c r="D70" s="113">
        <v>10676.16</v>
      </c>
      <c r="E70" s="113">
        <v>18834.62</v>
      </c>
      <c r="F70" s="113">
        <v>176.41759999999999</v>
      </c>
      <c r="G70" s="112" t="s">
        <v>282</v>
      </c>
      <c r="H70" s="114">
        <v>0</v>
      </c>
      <c r="I70" s="114">
        <v>0</v>
      </c>
      <c r="J70" s="115">
        <v>0</v>
      </c>
      <c r="K70" s="113">
        <v>0</v>
      </c>
      <c r="L70" t="str">
        <f>VLOOKUP(A70,'SAP Actual extraction'!$A$28:$A$1048576,1,0)</f>
        <v>debit    6666029997  restructure cost</v>
      </c>
      <c r="M70" t="str">
        <f>VLOOKUP(B70,'SAP Actual extraction'!B:B,1,0)</f>
        <v xml:space="preserve">    6666029997  restructure cost</v>
      </c>
    </row>
    <row r="71" spans="1:13" x14ac:dyDescent="0.3">
      <c r="A71" s="109" t="str">
        <f t="shared" si="0"/>
        <v>debit    6666030300  Design and development fees</v>
      </c>
      <c r="B71" s="112" t="s">
        <v>283</v>
      </c>
      <c r="C71" s="116">
        <v>0</v>
      </c>
      <c r="D71" s="116">
        <v>0</v>
      </c>
      <c r="E71" s="113">
        <v>0</v>
      </c>
      <c r="F71" s="113">
        <v>0</v>
      </c>
      <c r="G71" s="112" t="s">
        <v>283</v>
      </c>
      <c r="H71" s="114">
        <v>0</v>
      </c>
      <c r="I71" s="114">
        <v>0</v>
      </c>
      <c r="J71" s="115">
        <v>0</v>
      </c>
      <c r="K71" s="113">
        <v>0</v>
      </c>
      <c r="L71" t="str">
        <f>VLOOKUP(A71,'SAP Actual extraction'!$A$28:$A$1048576,1,0)</f>
        <v>debit    6666030300  Design and development fees</v>
      </c>
      <c r="M71" t="str">
        <f>VLOOKUP(B71,'SAP Actual extraction'!B:B,1,0)</f>
        <v xml:space="preserve">    6666030300  Design and development fees</v>
      </c>
    </row>
    <row r="72" spans="1:13" x14ac:dyDescent="0.3">
      <c r="A72" s="109" t="str">
        <f t="shared" si="0"/>
        <v>debit    6666050107  Special distribution costs</v>
      </c>
      <c r="B72" s="112" t="s">
        <v>286</v>
      </c>
      <c r="C72" s="113">
        <v>3.13</v>
      </c>
      <c r="D72" s="116">
        <v>0</v>
      </c>
      <c r="E72" s="113">
        <v>3.13</v>
      </c>
      <c r="F72" s="113">
        <v>0</v>
      </c>
      <c r="G72" s="112" t="s">
        <v>286</v>
      </c>
      <c r="H72" s="114">
        <v>0</v>
      </c>
      <c r="I72" s="114">
        <v>0</v>
      </c>
      <c r="J72" s="115">
        <v>0</v>
      </c>
      <c r="K72" s="113">
        <v>0</v>
      </c>
      <c r="L72" t="str">
        <f>VLOOKUP(A72,'SAP Actual extraction'!$A$28:$A$1048576,1,0)</f>
        <v>debit    6666050107  Special distribution costs</v>
      </c>
      <c r="M72" t="str">
        <f>VLOOKUP(B72,'SAP Actual extraction'!B:B,1,0)</f>
        <v xml:space="preserve">    6666050107  Special distribution costs</v>
      </c>
    </row>
    <row r="73" spans="1:13" x14ac:dyDescent="0.3">
      <c r="A73" s="109" t="str">
        <f t="shared" si="0"/>
        <v>debit    6666050202  Custom clearance charge</v>
      </c>
      <c r="B73" s="112" t="s">
        <v>359</v>
      </c>
      <c r="C73" s="113">
        <v>40.090000000000003</v>
      </c>
      <c r="D73" s="116">
        <v>0</v>
      </c>
      <c r="E73" s="113">
        <v>40.090000000000003</v>
      </c>
      <c r="F73" s="113">
        <v>0</v>
      </c>
      <c r="G73" s="112" t="s">
        <v>359</v>
      </c>
      <c r="H73" s="114">
        <v>0</v>
      </c>
      <c r="I73" s="114">
        <v>0</v>
      </c>
      <c r="J73" s="115">
        <v>0</v>
      </c>
      <c r="K73" s="113">
        <v>0</v>
      </c>
      <c r="L73" t="e">
        <f>VLOOKUP(A73,'SAP Actual extraction'!$A$28:$A$1048576,1,0)</f>
        <v>#N/A</v>
      </c>
      <c r="M73" t="e">
        <f>VLOOKUP(B73,'SAP Actual extraction'!B:B,1,0)</f>
        <v>#N/A</v>
      </c>
    </row>
    <row r="74" spans="1:13" x14ac:dyDescent="0.3">
      <c r="A74" s="109" t="str">
        <f t="shared" si="0"/>
        <v>debit    6666050312  Inventory count different- Semifinished</v>
      </c>
      <c r="B74" s="112" t="s">
        <v>211</v>
      </c>
      <c r="C74" s="113">
        <v>402034.93</v>
      </c>
      <c r="D74" s="116">
        <v>0</v>
      </c>
      <c r="E74" s="113">
        <v>402034.93</v>
      </c>
      <c r="F74" s="113">
        <v>0</v>
      </c>
      <c r="G74" s="112" t="s">
        <v>211</v>
      </c>
      <c r="H74" s="114">
        <v>0</v>
      </c>
      <c r="I74" s="114">
        <v>0</v>
      </c>
      <c r="J74" s="115">
        <v>0</v>
      </c>
      <c r="K74" s="113">
        <v>0</v>
      </c>
      <c r="L74" t="str">
        <f>VLOOKUP(A74,'SAP Actual extraction'!$A$28:$A$1048576,1,0)</f>
        <v>debit    6666050312  Inventory count different- Semifinished</v>
      </c>
      <c r="M74" t="str">
        <f>VLOOKUP(B74,'SAP Actual extraction'!B:B,1,0)</f>
        <v xml:space="preserve">    6666050312  Inventory count different- Semifinished</v>
      </c>
    </row>
    <row r="75" spans="1:13" x14ac:dyDescent="0.3">
      <c r="A75" s="109" t="str">
        <f t="shared" si="0"/>
        <v>debit    6666070100  Software purchase, development and imple</v>
      </c>
      <c r="B75" s="112" t="s">
        <v>287</v>
      </c>
      <c r="C75" s="116">
        <v>0</v>
      </c>
      <c r="D75" s="116">
        <v>0</v>
      </c>
      <c r="E75" s="113">
        <v>0</v>
      </c>
      <c r="F75" s="113">
        <v>0</v>
      </c>
      <c r="G75" s="112" t="s">
        <v>287</v>
      </c>
      <c r="H75" s="114">
        <v>0</v>
      </c>
      <c r="I75" s="114">
        <v>0</v>
      </c>
      <c r="J75" s="115">
        <v>0</v>
      </c>
      <c r="K75" s="113">
        <v>0</v>
      </c>
      <c r="L75" t="str">
        <f>VLOOKUP(A75,'SAP Actual extraction'!$A$28:$A$1048576,1,0)</f>
        <v>debit    6666070100  Software purchase, development and imple</v>
      </c>
      <c r="M75" t="str">
        <f>VLOOKUP(B75,'SAP Actual extraction'!B:B,1,0)</f>
        <v xml:space="preserve">    6666070100  Software purchase, development and imple</v>
      </c>
    </row>
    <row r="76" spans="1:13" x14ac:dyDescent="0.3">
      <c r="A76" s="109" t="str">
        <f t="shared" si="0"/>
        <v>debit    6666070400  IT maint. &amp; repairs hardware</v>
      </c>
      <c r="B76" s="112" t="s">
        <v>289</v>
      </c>
      <c r="C76" s="113">
        <v>146324.29</v>
      </c>
      <c r="D76" s="113">
        <v>197272.8</v>
      </c>
      <c r="E76" s="113">
        <v>-50948.51</v>
      </c>
      <c r="F76" s="113">
        <v>-25.8264</v>
      </c>
      <c r="G76" s="112" t="s">
        <v>289</v>
      </c>
      <c r="H76" s="114">
        <v>0</v>
      </c>
      <c r="I76" s="114">
        <v>0</v>
      </c>
      <c r="J76" s="115">
        <v>0</v>
      </c>
      <c r="K76" s="113">
        <v>0</v>
      </c>
      <c r="L76" t="str">
        <f>VLOOKUP(A76,'SAP Actual extraction'!$A$28:$A$1048576,1,0)</f>
        <v>debit    6666070400  IT maint. &amp; repairs hardware</v>
      </c>
      <c r="M76" t="str">
        <f>VLOOKUP(B76,'SAP Actual extraction'!B:B,1,0)</f>
        <v xml:space="preserve">    6666070400  IT maint. &amp; repairs hardware</v>
      </c>
    </row>
    <row r="77" spans="1:13" x14ac:dyDescent="0.3">
      <c r="A77" s="109" t="str">
        <f t="shared" si="0"/>
        <v>debit    5207000011  Gain of tangible asset disposal</v>
      </c>
      <c r="B77" s="112" t="s">
        <v>290</v>
      </c>
      <c r="C77" s="116">
        <v>0</v>
      </c>
      <c r="D77" s="116">
        <v>0</v>
      </c>
      <c r="E77" s="113">
        <v>0</v>
      </c>
      <c r="F77" s="113">
        <v>0</v>
      </c>
      <c r="G77" s="112" t="s">
        <v>290</v>
      </c>
      <c r="H77" s="114">
        <v>0</v>
      </c>
      <c r="I77" s="114">
        <v>0</v>
      </c>
      <c r="J77" s="115">
        <v>0</v>
      </c>
      <c r="K77" s="113">
        <v>0</v>
      </c>
      <c r="L77" t="str">
        <f>VLOOKUP(A77,'SAP Actual extraction'!$A$28:$A$1048576,1,0)</f>
        <v>debit    5207000011  Gain of tangible asset disposal</v>
      </c>
      <c r="M77" t="str">
        <f>VLOOKUP(B77,'SAP Actual extraction'!B:B,1,0)</f>
        <v xml:space="preserve">    5207000011  Gain of tangible asset disposal</v>
      </c>
    </row>
    <row r="78" spans="1:13" x14ac:dyDescent="0.3">
      <c r="A78" s="109" t="str">
        <f t="shared" si="0"/>
        <v>debit    5401050201  COGS-Freight out-Special and sporadic fr</v>
      </c>
      <c r="B78" s="112" t="s">
        <v>291</v>
      </c>
      <c r="C78" s="113">
        <v>184.69</v>
      </c>
      <c r="D78" s="116">
        <v>0</v>
      </c>
      <c r="E78" s="113">
        <v>184.69</v>
      </c>
      <c r="F78" s="113">
        <v>0</v>
      </c>
      <c r="G78" s="112" t="s">
        <v>291</v>
      </c>
      <c r="H78" s="114">
        <v>0</v>
      </c>
      <c r="I78" s="114">
        <v>0</v>
      </c>
      <c r="J78" s="115">
        <v>0</v>
      </c>
      <c r="K78" s="113">
        <v>0</v>
      </c>
      <c r="L78" t="str">
        <f>VLOOKUP(A78,'SAP Actual extraction'!$A$28:$A$1048576,1,0)</f>
        <v>debit    5401050201  COGS-Freight out-Special and sporadic fr</v>
      </c>
      <c r="M78" t="str">
        <f>VLOOKUP(B78,'SAP Actual extraction'!B:B,1,0)</f>
        <v xml:space="preserve">    5401050201  COGS-Freight out-Special and sporadic fr</v>
      </c>
    </row>
    <row r="79" spans="1:13" x14ac:dyDescent="0.3">
      <c r="A79" s="109" t="str">
        <f t="shared" si="0"/>
        <v>debit*   CS_Fix Cost</v>
      </c>
      <c r="B79" s="117" t="s">
        <v>210</v>
      </c>
      <c r="C79" s="118">
        <v>1609874.37</v>
      </c>
      <c r="D79" s="118">
        <v>1922208.43</v>
      </c>
      <c r="E79" s="118">
        <v>-312334.06</v>
      </c>
      <c r="F79" s="118">
        <v>-16.248699999999999</v>
      </c>
      <c r="G79" s="117" t="s">
        <v>210</v>
      </c>
      <c r="H79" s="119">
        <v>0</v>
      </c>
      <c r="I79" s="119">
        <v>0</v>
      </c>
      <c r="J79" s="120">
        <v>0</v>
      </c>
      <c r="K79" s="118">
        <v>0</v>
      </c>
      <c r="L79" t="str">
        <f>VLOOKUP(A79,'SAP Actual extraction'!$A$28:$A$1048576,1,0)</f>
        <v>debit*   CS_Fix Cost</v>
      </c>
      <c r="M79" t="str">
        <f>VLOOKUP(B79,'SAP Actual extraction'!B:B,1,0)</f>
        <v>*   CS_Fix Cost</v>
      </c>
    </row>
    <row r="80" spans="1:13" x14ac:dyDescent="0.3">
      <c r="A80" s="109" t="str">
        <f t="shared" si="0"/>
        <v>debit    6666110203  Low value consumables</v>
      </c>
      <c r="B80" s="112" t="s">
        <v>292</v>
      </c>
      <c r="C80" s="113">
        <v>270438.76</v>
      </c>
      <c r="D80" s="113">
        <v>429809.88</v>
      </c>
      <c r="E80" s="113">
        <v>-159371.12</v>
      </c>
      <c r="F80" s="113">
        <v>-37.0794</v>
      </c>
      <c r="G80" s="112" t="s">
        <v>292</v>
      </c>
      <c r="H80" s="114">
        <v>0</v>
      </c>
      <c r="I80" s="114">
        <v>0</v>
      </c>
      <c r="J80" s="115">
        <v>0</v>
      </c>
      <c r="K80" s="113">
        <v>0</v>
      </c>
      <c r="L80" t="str">
        <f>VLOOKUP(A80,'SAP Actual extraction'!$A$28:$A$1048576,1,0)</f>
        <v>debit    6666110203  Low value consumables</v>
      </c>
      <c r="M80" t="str">
        <f>VLOOKUP(B80,'SAP Actual extraction'!B:B,1,0)</f>
        <v xml:space="preserve">    6666110203  Low value consumables</v>
      </c>
    </row>
    <row r="81" spans="1:13" x14ac:dyDescent="0.3">
      <c r="A81" s="109" t="str">
        <f t="shared" si="0"/>
        <v>debit    5102040000  Other Revenue - Other</v>
      </c>
      <c r="B81" s="112" t="s">
        <v>293</v>
      </c>
      <c r="C81" s="116">
        <v>0</v>
      </c>
      <c r="D81" s="116">
        <v>0</v>
      </c>
      <c r="E81" s="113">
        <v>0</v>
      </c>
      <c r="F81" s="113">
        <v>0</v>
      </c>
      <c r="G81" s="112" t="s">
        <v>293</v>
      </c>
      <c r="H81" s="114">
        <v>0</v>
      </c>
      <c r="I81" s="114">
        <v>0</v>
      </c>
      <c r="J81" s="115">
        <v>0</v>
      </c>
      <c r="K81" s="113">
        <v>0</v>
      </c>
      <c r="L81" t="str">
        <f>VLOOKUP(A81,'SAP Actual extraction'!$A$28:$A$1048576,1,0)</f>
        <v>debit    5102040000  Other Revenue - Other</v>
      </c>
      <c r="M81" t="str">
        <f>VLOOKUP(B81,'SAP Actual extraction'!B:B,1,0)</f>
        <v xml:space="preserve">    5102040000  Other Revenue - Other</v>
      </c>
    </row>
    <row r="82" spans="1:13" x14ac:dyDescent="0.3">
      <c r="A82" s="109" t="str">
        <f t="shared" si="0"/>
        <v>debit    6666050307  Inventory count different-raw material</v>
      </c>
      <c r="B82" s="112" t="s">
        <v>294</v>
      </c>
      <c r="C82" s="113">
        <v>-997336.67</v>
      </c>
      <c r="D82" s="116">
        <v>0</v>
      </c>
      <c r="E82" s="113">
        <v>-997336.67</v>
      </c>
      <c r="F82" s="113">
        <v>0</v>
      </c>
      <c r="G82" s="112" t="s">
        <v>294</v>
      </c>
      <c r="H82" s="114">
        <v>0</v>
      </c>
      <c r="I82" s="114">
        <v>0</v>
      </c>
      <c r="J82" s="115">
        <v>0</v>
      </c>
      <c r="K82" s="113">
        <v>0</v>
      </c>
      <c r="L82" t="str">
        <f>VLOOKUP(A82,'SAP Actual extraction'!$A$28:$A$1048576,1,0)</f>
        <v>debit    6666050307  Inventory count different-raw material</v>
      </c>
      <c r="M82" t="str">
        <f>VLOOKUP(B82,'SAP Actual extraction'!B:B,1,0)</f>
        <v xml:space="preserve">    6666050307  Inventory count different-raw material</v>
      </c>
    </row>
    <row r="83" spans="1:13" x14ac:dyDescent="0.3">
      <c r="A83" s="109" t="str">
        <f t="shared" si="0"/>
        <v>debit*   CS_Variable Cost</v>
      </c>
      <c r="B83" s="117" t="s">
        <v>212</v>
      </c>
      <c r="C83" s="118">
        <v>-726897.91</v>
      </c>
      <c r="D83" s="118">
        <v>429809.88</v>
      </c>
      <c r="E83" s="118">
        <v>-1156707.79</v>
      </c>
      <c r="F83" s="118">
        <v>-269.12079999999997</v>
      </c>
      <c r="G83" s="117" t="s">
        <v>212</v>
      </c>
      <c r="H83" s="119">
        <v>0</v>
      </c>
      <c r="I83" s="119">
        <v>0</v>
      </c>
      <c r="J83" s="120">
        <v>0</v>
      </c>
      <c r="K83" s="118">
        <v>0</v>
      </c>
      <c r="L83" t="str">
        <f>VLOOKUP(A83,'SAP Actual extraction'!$A$28:$A$1048576,1,0)</f>
        <v>debit*   CS_Variable Cost</v>
      </c>
      <c r="M83" t="str">
        <f>VLOOKUP(B83,'SAP Actual extraction'!B:B,1,0)</f>
        <v>*   CS_Variable Cost</v>
      </c>
    </row>
    <row r="84" spans="1:13" x14ac:dyDescent="0.3">
      <c r="A84" s="109" t="str">
        <f t="shared" si="0"/>
        <v>debit    6666100203  Provision for inventory devaluation - RM</v>
      </c>
      <c r="B84" s="112" t="s">
        <v>295</v>
      </c>
      <c r="C84" s="113">
        <v>529170.62</v>
      </c>
      <c r="D84" s="113">
        <v>600000</v>
      </c>
      <c r="E84" s="113">
        <v>-70829.38</v>
      </c>
      <c r="F84" s="113">
        <v>-11.8049</v>
      </c>
      <c r="G84" s="112" t="s">
        <v>295</v>
      </c>
      <c r="H84" s="114">
        <v>0</v>
      </c>
      <c r="I84" s="114">
        <v>0</v>
      </c>
      <c r="J84" s="115">
        <v>0</v>
      </c>
      <c r="K84" s="113">
        <v>0</v>
      </c>
      <c r="L84" t="str">
        <f>VLOOKUP(A84,'SAP Actual extraction'!$A$28:$A$1048576,1,0)</f>
        <v>debit    6666100203  Provision for inventory devaluation - RM</v>
      </c>
      <c r="M84" t="str">
        <f>VLOOKUP(B84,'SAP Actual extraction'!B:B,1,0)</f>
        <v xml:space="preserve">    6666100203  Provision for inventory devaluation - RM</v>
      </c>
    </row>
    <row r="85" spans="1:13" x14ac:dyDescent="0.3">
      <c r="A85" s="109" t="str">
        <f t="shared" si="0"/>
        <v>debit*   CS_Obsolescence</v>
      </c>
      <c r="B85" s="117" t="s">
        <v>213</v>
      </c>
      <c r="C85" s="118">
        <v>529170.62</v>
      </c>
      <c r="D85" s="118">
        <v>600000</v>
      </c>
      <c r="E85" s="118">
        <v>-70829.38</v>
      </c>
      <c r="F85" s="118">
        <v>-11.8049</v>
      </c>
      <c r="G85" s="117" t="s">
        <v>213</v>
      </c>
      <c r="H85" s="119">
        <v>0</v>
      </c>
      <c r="I85" s="119">
        <v>0</v>
      </c>
      <c r="J85" s="120">
        <v>0</v>
      </c>
      <c r="K85" s="118">
        <v>0</v>
      </c>
      <c r="L85" t="str">
        <f>VLOOKUP(A85,'SAP Actual extraction'!$A$28:$A$1048576,1,0)</f>
        <v>debit*   CS_Obsolescence</v>
      </c>
      <c r="M85" t="str">
        <f>VLOOKUP(B85,'SAP Actual extraction'!B:B,1,0)</f>
        <v>*   CS_Obsolescence</v>
      </c>
    </row>
    <row r="86" spans="1:13" x14ac:dyDescent="0.3">
      <c r="A86" s="109" t="str">
        <f t="shared" si="0"/>
        <v>debit    5301070000  Non-operation revenue-sales of scrapped</v>
      </c>
      <c r="B86" s="112" t="s">
        <v>296</v>
      </c>
      <c r="C86" s="113">
        <v>-2189060.41</v>
      </c>
      <c r="D86" s="113">
        <v>-1882507.62</v>
      </c>
      <c r="E86" s="113">
        <v>-306552.78999999998</v>
      </c>
      <c r="F86" s="113">
        <v>16.284300000000002</v>
      </c>
      <c r="G86" s="112" t="s">
        <v>296</v>
      </c>
      <c r="H86" s="114">
        <v>0</v>
      </c>
      <c r="I86" s="114">
        <v>0</v>
      </c>
      <c r="J86" s="115">
        <v>0</v>
      </c>
      <c r="K86" s="113">
        <v>0</v>
      </c>
      <c r="L86" t="str">
        <f>VLOOKUP(A86,'SAP Actual extraction'!$A$28:$A$1048576,1,0)</f>
        <v>debit    5301070000  Non-operation revenue-sales of scrapped</v>
      </c>
      <c r="M86" t="str">
        <f>VLOOKUP(B86,'SAP Actual extraction'!B:B,1,0)</f>
        <v xml:space="preserve">    5301070000  Non-operation revenue-sales of scrapped</v>
      </c>
    </row>
    <row r="87" spans="1:13" x14ac:dyDescent="0.3">
      <c r="A87" s="109" t="str">
        <f t="shared" si="0"/>
        <v>debit*   CS_Reselling</v>
      </c>
      <c r="B87" s="117" t="s">
        <v>214</v>
      </c>
      <c r="C87" s="118">
        <v>-2189060.41</v>
      </c>
      <c r="D87" s="118">
        <v>-1882507.62</v>
      </c>
      <c r="E87" s="118">
        <v>-306552.78999999998</v>
      </c>
      <c r="F87" s="118">
        <v>16.284300000000002</v>
      </c>
      <c r="G87" s="117" t="s">
        <v>214</v>
      </c>
      <c r="H87" s="119">
        <v>0</v>
      </c>
      <c r="I87" s="119">
        <v>0</v>
      </c>
      <c r="J87" s="120">
        <v>0</v>
      </c>
      <c r="K87" s="118">
        <v>0</v>
      </c>
      <c r="L87" t="str">
        <f>VLOOKUP(A87,'SAP Actual extraction'!$A$28:$A$1048576,1,0)</f>
        <v>debit*   CS_Reselling</v>
      </c>
      <c r="M87" t="str">
        <f>VLOOKUP(B87,'SAP Actual extraction'!B:B,1,0)</f>
        <v>*   CS_Reselling</v>
      </c>
    </row>
    <row r="88" spans="1:13" x14ac:dyDescent="0.3">
      <c r="A88" s="109" t="str">
        <f t="shared" si="0"/>
        <v>debit    6666021602  Electricity</v>
      </c>
      <c r="B88" s="112" t="s">
        <v>297</v>
      </c>
      <c r="C88" s="113">
        <v>16288.92</v>
      </c>
      <c r="D88" s="113">
        <v>180296.76</v>
      </c>
      <c r="E88" s="113">
        <v>-164007.84</v>
      </c>
      <c r="F88" s="113">
        <v>-90.965500000000006</v>
      </c>
      <c r="G88" s="112" t="s">
        <v>297</v>
      </c>
      <c r="H88" s="114">
        <v>0</v>
      </c>
      <c r="I88" s="114">
        <v>0</v>
      </c>
      <c r="J88" s="115">
        <v>0</v>
      </c>
      <c r="K88" s="113">
        <v>0</v>
      </c>
      <c r="L88" t="str">
        <f>VLOOKUP(A88,'SAP Actual extraction'!$A$28:$A$1048576,1,0)</f>
        <v>debit    6666021602  Electricity</v>
      </c>
      <c r="M88" t="str">
        <f>VLOOKUP(B88,'SAP Actual extraction'!B:B,1,0)</f>
        <v xml:space="preserve">    6666021602  Electricity</v>
      </c>
    </row>
    <row r="89" spans="1:13" x14ac:dyDescent="0.3">
      <c r="A89" s="109" t="str">
        <f t="shared" si="0"/>
        <v>debit*   CS_Fix Utilities</v>
      </c>
      <c r="B89" s="117" t="s">
        <v>215</v>
      </c>
      <c r="C89" s="118">
        <v>16288.92</v>
      </c>
      <c r="D89" s="118">
        <v>180296.76</v>
      </c>
      <c r="E89" s="118">
        <v>-164007.84</v>
      </c>
      <c r="F89" s="118">
        <v>-90.965500000000006</v>
      </c>
      <c r="G89" s="117" t="s">
        <v>215</v>
      </c>
      <c r="H89" s="119">
        <v>0</v>
      </c>
      <c r="I89" s="119">
        <v>0</v>
      </c>
      <c r="J89" s="120">
        <v>0</v>
      </c>
      <c r="K89" s="118">
        <v>0</v>
      </c>
      <c r="L89" t="str">
        <f>VLOOKUP(A89,'SAP Actual extraction'!$A$28:$A$1048576,1,0)</f>
        <v>debit*   CS_Fix Utilities</v>
      </c>
      <c r="M89" t="str">
        <f>VLOOKUP(B89,'SAP Actual extraction'!B:B,1,0)</f>
        <v>*   CS_Fix Utilities</v>
      </c>
    </row>
    <row r="90" spans="1:13" x14ac:dyDescent="0.3">
      <c r="A90" s="109" t="str">
        <f t="shared" si="0"/>
        <v>debit    6666021600  Energy and power cost</v>
      </c>
      <c r="B90" s="112" t="s">
        <v>298</v>
      </c>
      <c r="C90" s="113">
        <v>451500.12</v>
      </c>
      <c r="D90" s="113">
        <v>532582.1</v>
      </c>
      <c r="E90" s="113">
        <v>-81081.98</v>
      </c>
      <c r="F90" s="113">
        <v>-15.224299999999999</v>
      </c>
      <c r="G90" s="112" t="s">
        <v>298</v>
      </c>
      <c r="H90" s="114">
        <v>0</v>
      </c>
      <c r="I90" s="114">
        <v>0</v>
      </c>
      <c r="J90" s="115">
        <v>0</v>
      </c>
      <c r="K90" s="113">
        <v>0</v>
      </c>
      <c r="L90" t="str">
        <f>VLOOKUP(A90,'SAP Actual extraction'!$A$28:$A$1048576,1,0)</f>
        <v>debit    6666021600  Energy and power cost</v>
      </c>
      <c r="M90" t="str">
        <f>VLOOKUP(B90,'SAP Actual extraction'!B:B,1,0)</f>
        <v xml:space="preserve">    6666021600  Energy and power cost</v>
      </c>
    </row>
    <row r="91" spans="1:13" x14ac:dyDescent="0.3">
      <c r="A91" s="109" t="str">
        <f t="shared" si="0"/>
        <v>debit    6666021603  Water</v>
      </c>
      <c r="B91" s="112" t="s">
        <v>299</v>
      </c>
      <c r="C91" s="113">
        <v>20101.28</v>
      </c>
      <c r="D91" s="116">
        <v>0</v>
      </c>
      <c r="E91" s="113">
        <v>20101.28</v>
      </c>
      <c r="F91" s="113">
        <v>0</v>
      </c>
      <c r="G91" s="112" t="s">
        <v>299</v>
      </c>
      <c r="H91" s="114">
        <v>0</v>
      </c>
      <c r="I91" s="114">
        <v>0</v>
      </c>
      <c r="J91" s="115">
        <v>0</v>
      </c>
      <c r="K91" s="113">
        <v>0</v>
      </c>
      <c r="L91" t="str">
        <f>VLOOKUP(A91,'SAP Actual extraction'!$A$28:$A$1048576,1,0)</f>
        <v>debit    6666021603  Water</v>
      </c>
      <c r="M91" t="str">
        <f>VLOOKUP(B91,'SAP Actual extraction'!B:B,1,0)</f>
        <v xml:space="preserve">    6666021603  Water</v>
      </c>
    </row>
    <row r="92" spans="1:13" x14ac:dyDescent="0.3">
      <c r="A92" s="109" t="str">
        <f t="shared" si="0"/>
        <v>debit    6666021604  Oil &amp; Gas</v>
      </c>
      <c r="B92" s="112" t="s">
        <v>300</v>
      </c>
      <c r="C92" s="113">
        <v>181314.51</v>
      </c>
      <c r="D92" s="113">
        <v>135392.01999999999</v>
      </c>
      <c r="E92" s="113">
        <v>45922.49</v>
      </c>
      <c r="F92" s="113">
        <v>33.918199999999999</v>
      </c>
      <c r="G92" s="112" t="s">
        <v>300</v>
      </c>
      <c r="H92" s="114">
        <v>0</v>
      </c>
      <c r="I92" s="114">
        <v>0</v>
      </c>
      <c r="J92" s="115">
        <v>0</v>
      </c>
      <c r="K92" s="113">
        <v>0</v>
      </c>
      <c r="L92" t="str">
        <f>VLOOKUP(A92,'SAP Actual extraction'!$A$28:$A$1048576,1,0)</f>
        <v>debit    6666021604  Oil &amp; Gas</v>
      </c>
      <c r="M92" t="str">
        <f>VLOOKUP(B92,'SAP Actual extraction'!B:B,1,0)</f>
        <v xml:space="preserve">    6666021604  Oil &amp; Gas</v>
      </c>
    </row>
    <row r="93" spans="1:13" x14ac:dyDescent="0.3">
      <c r="A93" s="109" t="str">
        <f t="shared" si="0"/>
        <v>debit*   CS_Variable Utilities</v>
      </c>
      <c r="B93" s="117" t="s">
        <v>216</v>
      </c>
      <c r="C93" s="118">
        <v>652915.91</v>
      </c>
      <c r="D93" s="118">
        <v>667974.12</v>
      </c>
      <c r="E93" s="118">
        <v>-15058.21</v>
      </c>
      <c r="F93" s="118">
        <v>-2.2543000000000002</v>
      </c>
      <c r="G93" s="117" t="s">
        <v>216</v>
      </c>
      <c r="H93" s="119">
        <v>0</v>
      </c>
      <c r="I93" s="119">
        <v>0</v>
      </c>
      <c r="J93" s="120">
        <v>0</v>
      </c>
      <c r="K93" s="118">
        <v>0</v>
      </c>
      <c r="L93" t="str">
        <f>VLOOKUP(A93,'SAP Actual extraction'!$A$28:$A$1048576,1,0)</f>
        <v>debit*   CS_Variable Utilities</v>
      </c>
      <c r="M93" t="str">
        <f>VLOOKUP(B93,'SAP Actual extraction'!B:B,1,0)</f>
        <v>*   CS_Variable Utilities</v>
      </c>
    </row>
    <row r="94" spans="1:13" x14ac:dyDescent="0.3">
      <c r="A94" s="109" t="str">
        <f t="shared" si="0"/>
        <v>debit    5001010206  Unemployment Insurance -blue collar-Indi</v>
      </c>
      <c r="B94" s="112" t="s">
        <v>301</v>
      </c>
      <c r="C94" s="113">
        <v>81917.13</v>
      </c>
      <c r="D94" s="116">
        <v>0</v>
      </c>
      <c r="E94" s="113">
        <v>81917.13</v>
      </c>
      <c r="F94" s="113">
        <v>0</v>
      </c>
      <c r="G94" s="112" t="s">
        <v>301</v>
      </c>
      <c r="H94" s="114">
        <v>0</v>
      </c>
      <c r="I94" s="114">
        <v>0</v>
      </c>
      <c r="J94" s="115">
        <v>0</v>
      </c>
      <c r="K94" s="113">
        <v>0</v>
      </c>
      <c r="L94" t="str">
        <f>VLOOKUP(A94,'SAP Actual extraction'!$A$28:$A$1048576,1,0)</f>
        <v>debit    5001010206  Unemployment Insurance -blue collar-Indi</v>
      </c>
      <c r="M94" t="str">
        <f>VLOOKUP(B94,'SAP Actual extraction'!B:B,1,0)</f>
        <v xml:space="preserve">    5001010206  Unemployment Insurance -blue collar-Indi</v>
      </c>
    </row>
    <row r="95" spans="1:13" x14ac:dyDescent="0.3">
      <c r="A95" s="109" t="str">
        <f t="shared" si="0"/>
        <v>debit    6666010184  Salary&amp;Additional Incentive-Blue Collar-</v>
      </c>
      <c r="B95" s="112" t="s">
        <v>302</v>
      </c>
      <c r="C95" s="113">
        <v>-4878.17</v>
      </c>
      <c r="D95" s="116">
        <v>0</v>
      </c>
      <c r="E95" s="113">
        <v>-4878.17</v>
      </c>
      <c r="F95" s="113">
        <v>0</v>
      </c>
      <c r="G95" s="112" t="s">
        <v>302</v>
      </c>
      <c r="H95" s="114">
        <v>0</v>
      </c>
      <c r="I95" s="114">
        <v>0</v>
      </c>
      <c r="J95" s="115">
        <v>0</v>
      </c>
      <c r="K95" s="113">
        <v>0</v>
      </c>
      <c r="L95" t="str">
        <f>VLOOKUP(A95,'SAP Actual extraction'!$A$28:$A$1048576,1,0)</f>
        <v>debit    6666010184  Salary&amp;Additional Incentive-Blue Collar-</v>
      </c>
      <c r="M95" t="str">
        <f>VLOOKUP(B95,'SAP Actual extraction'!B:B,1,0)</f>
        <v xml:space="preserve">    6666010184  Salary&amp;Additional Incentive-Blue Collar-</v>
      </c>
    </row>
    <row r="96" spans="1:13" x14ac:dyDescent="0.3">
      <c r="A96" s="109" t="str">
        <f t="shared" si="0"/>
        <v>debit    6666010186  Overtime-Blue Collar-Indirect</v>
      </c>
      <c r="B96" s="112" t="s">
        <v>303</v>
      </c>
      <c r="C96" s="113">
        <v>240171.08</v>
      </c>
      <c r="D96" s="116">
        <v>0</v>
      </c>
      <c r="E96" s="113">
        <v>240171.08</v>
      </c>
      <c r="F96" s="113">
        <v>0</v>
      </c>
      <c r="G96" s="112" t="s">
        <v>303</v>
      </c>
      <c r="H96" s="114">
        <v>0</v>
      </c>
      <c r="I96" s="114">
        <v>0</v>
      </c>
      <c r="J96" s="115">
        <v>0</v>
      </c>
      <c r="K96" s="113">
        <v>0</v>
      </c>
      <c r="L96" t="str">
        <f>VLOOKUP(A96,'SAP Actual extraction'!$A$28:$A$1048576,1,0)</f>
        <v>debit    6666010186  Overtime-Blue Collar-Indirect</v>
      </c>
      <c r="M96" t="str">
        <f>VLOOKUP(B96,'SAP Actual extraction'!B:B,1,0)</f>
        <v xml:space="preserve">    6666010186  Overtime-Blue Collar-Indirect</v>
      </c>
    </row>
    <row r="97" spans="1:13" x14ac:dyDescent="0.3">
      <c r="A97" s="109" t="str">
        <f t="shared" si="0"/>
        <v>debit    6666010189  Salary - Blue collar indirect employees</v>
      </c>
      <c r="B97" s="112" t="s">
        <v>304</v>
      </c>
      <c r="C97" s="113">
        <v>117055.28</v>
      </c>
      <c r="D97" s="113">
        <v>5690117.2000000002</v>
      </c>
      <c r="E97" s="113">
        <v>-5573061.9199999999</v>
      </c>
      <c r="F97" s="113">
        <v>-97.942800000000005</v>
      </c>
      <c r="G97" s="112" t="s">
        <v>304</v>
      </c>
      <c r="H97" s="114">
        <v>0</v>
      </c>
      <c r="I97" s="114">
        <v>0</v>
      </c>
      <c r="J97" s="115">
        <v>0</v>
      </c>
      <c r="K97" s="113">
        <v>0</v>
      </c>
      <c r="L97" t="str">
        <f>VLOOKUP(A97,'SAP Actual extraction'!$A$28:$A$1048576,1,0)</f>
        <v>debit    6666010189  Salary - Blue collar indirect employees</v>
      </c>
      <c r="M97" t="str">
        <f>VLOOKUP(B97,'SAP Actual extraction'!B:B,1,0)</f>
        <v xml:space="preserve">    6666010189  Salary - Blue collar indirect employees</v>
      </c>
    </row>
    <row r="98" spans="1:13" x14ac:dyDescent="0.3">
      <c r="A98" s="109" t="str">
        <f t="shared" si="0"/>
        <v>debit    6666010012  Payroll Taxes- Blue Collar Indirect</v>
      </c>
      <c r="B98" s="112" t="s">
        <v>305</v>
      </c>
      <c r="C98" s="113">
        <v>662369.15</v>
      </c>
      <c r="D98" s="116">
        <v>0</v>
      </c>
      <c r="E98" s="113">
        <v>662369.15</v>
      </c>
      <c r="F98" s="113">
        <v>0</v>
      </c>
      <c r="G98" s="112" t="s">
        <v>305</v>
      </c>
      <c r="H98" s="114">
        <v>0</v>
      </c>
      <c r="I98" s="114">
        <v>0</v>
      </c>
      <c r="J98" s="115">
        <v>0</v>
      </c>
      <c r="K98" s="113">
        <v>0</v>
      </c>
      <c r="L98" t="str">
        <f>VLOOKUP(A98,'SAP Actual extraction'!$A$28:$A$1048576,1,0)</f>
        <v>debit    6666010012  Payroll Taxes- Blue Collar Indirect</v>
      </c>
      <c r="M98" t="str">
        <f>VLOOKUP(B98,'SAP Actual extraction'!B:B,1,0)</f>
        <v xml:space="preserve">    6666010012  Payroll Taxes- Blue Collar Indirect</v>
      </c>
    </row>
    <row r="99" spans="1:13" x14ac:dyDescent="0.3">
      <c r="A99" s="109" t="str">
        <f t="shared" si="0"/>
        <v>debit    6666010226  Staff Leaving Indemnity - Blue Collar In</v>
      </c>
      <c r="B99" s="112" t="s">
        <v>306</v>
      </c>
      <c r="C99" s="113">
        <v>134812.34</v>
      </c>
      <c r="D99" s="116">
        <v>0</v>
      </c>
      <c r="E99" s="113">
        <v>134812.34</v>
      </c>
      <c r="F99" s="113">
        <v>0</v>
      </c>
      <c r="G99" s="112" t="s">
        <v>306</v>
      </c>
      <c r="H99" s="114">
        <v>0</v>
      </c>
      <c r="I99" s="114">
        <v>0</v>
      </c>
      <c r="J99" s="115">
        <v>0</v>
      </c>
      <c r="K99" s="113">
        <v>0</v>
      </c>
      <c r="L99" t="str">
        <f>VLOOKUP(A99,'SAP Actual extraction'!$A$28:$A$1048576,1,0)</f>
        <v>debit    6666010226  Staff Leaving Indemnity - Blue Collar In</v>
      </c>
      <c r="M99" t="str">
        <f>VLOOKUP(B99,'SAP Actual extraction'!B:B,1,0)</f>
        <v xml:space="preserve">    6666010226  Staff Leaving Indemnity - Blue Collar In</v>
      </c>
    </row>
    <row r="100" spans="1:13" x14ac:dyDescent="0.3">
      <c r="A100" s="109" t="str">
        <f t="shared" si="0"/>
        <v>debit    6666010102  Salary-Blue collar indirect employees- A</v>
      </c>
      <c r="B100" s="112" t="s">
        <v>307</v>
      </c>
      <c r="C100" s="113">
        <v>3992139.53</v>
      </c>
      <c r="D100" s="116">
        <v>0</v>
      </c>
      <c r="E100" s="113">
        <v>3992139.53</v>
      </c>
      <c r="F100" s="113">
        <v>0</v>
      </c>
      <c r="G100" s="112" t="s">
        <v>307</v>
      </c>
      <c r="H100" s="114">
        <v>0</v>
      </c>
      <c r="I100" s="114">
        <v>0</v>
      </c>
      <c r="J100" s="115">
        <v>0</v>
      </c>
      <c r="K100" s="113">
        <v>0</v>
      </c>
      <c r="L100" t="str">
        <f>VLOOKUP(A100,'SAP Actual extraction'!$A$28:$A$1048576,1,0)</f>
        <v>debit    6666010102  Salary-Blue collar indirect employees- A</v>
      </c>
      <c r="M100" t="str">
        <f>VLOOKUP(B100,'SAP Actual extraction'!B:B,1,0)</f>
        <v xml:space="preserve">    6666010102  Salary-Blue collar indirect employees- A</v>
      </c>
    </row>
    <row r="101" spans="1:13" x14ac:dyDescent="0.3">
      <c r="A101" s="109" t="str">
        <f t="shared" si="0"/>
        <v>debit*   CS_Indirect Labour</v>
      </c>
      <c r="B101" s="117" t="s">
        <v>217</v>
      </c>
      <c r="C101" s="118">
        <v>5223586.34</v>
      </c>
      <c r="D101" s="118">
        <v>5690117.2000000002</v>
      </c>
      <c r="E101" s="118">
        <v>-466530.86</v>
      </c>
      <c r="F101" s="118">
        <v>-8.1989999999999998</v>
      </c>
      <c r="G101" s="117" t="s">
        <v>217</v>
      </c>
      <c r="H101" s="119">
        <v>0</v>
      </c>
      <c r="I101" s="119">
        <v>0</v>
      </c>
      <c r="J101" s="120">
        <v>0</v>
      </c>
      <c r="K101" s="118">
        <v>0</v>
      </c>
      <c r="L101" t="str">
        <f>VLOOKUP(A101,'SAP Actual extraction'!$A$28:$A$1048576,1,0)</f>
        <v>debit*   CS_Indirect Labour</v>
      </c>
      <c r="M101" t="str">
        <f>VLOOKUP(B101,'SAP Actual extraction'!B:B,1,0)</f>
        <v>*   CS_Indirect Labour</v>
      </c>
    </row>
    <row r="102" spans="1:13" x14ac:dyDescent="0.3">
      <c r="A102" s="109" t="str">
        <f t="shared" si="0"/>
        <v>debit    6666010196  Payroll Taxes-White Collar Employee</v>
      </c>
      <c r="B102" s="112" t="s">
        <v>308</v>
      </c>
      <c r="C102" s="113">
        <v>330634.90999999997</v>
      </c>
      <c r="D102" s="116">
        <v>0</v>
      </c>
      <c r="E102" s="113">
        <v>330634.90999999997</v>
      </c>
      <c r="F102" s="113">
        <v>0</v>
      </c>
      <c r="G102" s="112" t="s">
        <v>308</v>
      </c>
      <c r="H102" s="114">
        <v>0</v>
      </c>
      <c r="I102" s="114">
        <v>0</v>
      </c>
      <c r="J102" s="115">
        <v>0</v>
      </c>
      <c r="K102" s="113">
        <v>0</v>
      </c>
      <c r="L102" t="str">
        <f>VLOOKUP(A102,'SAP Actual extraction'!$A$28:$A$1048576,1,0)</f>
        <v>debit    6666010196  Payroll Taxes-White Collar Employee</v>
      </c>
      <c r="M102" t="str">
        <f>VLOOKUP(B102,'SAP Actual extraction'!B:B,1,0)</f>
        <v xml:space="preserve">    6666010196  Payroll Taxes-White Collar Employee</v>
      </c>
    </row>
    <row r="103" spans="1:13" x14ac:dyDescent="0.3">
      <c r="A103" s="109" t="str">
        <f t="shared" si="0"/>
        <v>debit    6666010101  Salary - White collar employees</v>
      </c>
      <c r="B103" s="112" t="s">
        <v>309</v>
      </c>
      <c r="C103" s="113">
        <v>2188477.89</v>
      </c>
      <c r="D103" s="113">
        <v>1900124.61</v>
      </c>
      <c r="E103" s="113">
        <v>288353.28000000003</v>
      </c>
      <c r="F103" s="113">
        <v>15.1755</v>
      </c>
      <c r="G103" s="112" t="s">
        <v>309</v>
      </c>
      <c r="H103" s="114">
        <v>0</v>
      </c>
      <c r="I103" s="114">
        <v>0</v>
      </c>
      <c r="J103" s="115">
        <v>0</v>
      </c>
      <c r="K103" s="113">
        <v>0</v>
      </c>
      <c r="L103" t="str">
        <f>VLOOKUP(A103,'SAP Actual extraction'!$A$28:$A$1048576,1,0)</f>
        <v>debit    6666010101  Salary - White collar employees</v>
      </c>
      <c r="M103" t="str">
        <f>VLOOKUP(B103,'SAP Actual extraction'!B:B,1,0)</f>
        <v xml:space="preserve">    6666010101  Salary - White collar employees</v>
      </c>
    </row>
    <row r="104" spans="1:13" x14ac:dyDescent="0.3">
      <c r="A104" s="109" t="str">
        <f t="shared" si="0"/>
        <v>debit    6666010199  Salary-White collar employees -Accrued</v>
      </c>
      <c r="B104" s="112" t="s">
        <v>310</v>
      </c>
      <c r="C104" s="113">
        <v>-33801.910000000003</v>
      </c>
      <c r="D104" s="116">
        <v>0</v>
      </c>
      <c r="E104" s="113">
        <v>-33801.910000000003</v>
      </c>
      <c r="F104" s="113">
        <v>0</v>
      </c>
      <c r="G104" s="112" t="s">
        <v>310</v>
      </c>
      <c r="H104" s="114">
        <v>0</v>
      </c>
      <c r="I104" s="114">
        <v>0</v>
      </c>
      <c r="J104" s="115">
        <v>0</v>
      </c>
      <c r="K104" s="113">
        <v>0</v>
      </c>
      <c r="L104" t="str">
        <f>VLOOKUP(A104,'SAP Actual extraction'!$A$28:$A$1048576,1,0)</f>
        <v>debit    6666010199  Salary-White collar employees -Accrued</v>
      </c>
      <c r="M104" t="str">
        <f>VLOOKUP(B104,'SAP Actual extraction'!B:B,1,0)</f>
        <v xml:space="preserve">    6666010199  Salary-White collar employees -Accrued</v>
      </c>
    </row>
    <row r="105" spans="1:13" x14ac:dyDescent="0.3">
      <c r="A105" s="109" t="str">
        <f t="shared" si="0"/>
        <v>debit    6666010185  Salary&amp;Additional Incentive-White Collar</v>
      </c>
      <c r="B105" s="112" t="s">
        <v>311</v>
      </c>
      <c r="C105" s="113">
        <v>-17030.21</v>
      </c>
      <c r="D105" s="116">
        <v>0</v>
      </c>
      <c r="E105" s="113">
        <v>-17030.21</v>
      </c>
      <c r="F105" s="113">
        <v>0</v>
      </c>
      <c r="G105" s="112" t="s">
        <v>311</v>
      </c>
      <c r="H105" s="114">
        <v>0</v>
      </c>
      <c r="I105" s="114">
        <v>0</v>
      </c>
      <c r="J105" s="115">
        <v>0</v>
      </c>
      <c r="K105" s="113">
        <v>0</v>
      </c>
      <c r="L105" t="str">
        <f>VLOOKUP(A105,'SAP Actual extraction'!$A$28:$A$1048576,1,0)</f>
        <v>debit    6666010185  Salary&amp;Additional Incentive-White Collar</v>
      </c>
      <c r="M105" t="str">
        <f>VLOOKUP(B105,'SAP Actual extraction'!B:B,1,0)</f>
        <v xml:space="preserve">    6666010185  Salary&amp;Additional Incentive-White Collar</v>
      </c>
    </row>
    <row r="106" spans="1:13" x14ac:dyDescent="0.3">
      <c r="A106" s="109" t="str">
        <f t="shared" si="0"/>
        <v>debit    6666010207  Unemployment insurance companies to pay</v>
      </c>
      <c r="B106" s="112" t="s">
        <v>312</v>
      </c>
      <c r="C106" s="113">
        <v>30832.76</v>
      </c>
      <c r="D106" s="116">
        <v>0</v>
      </c>
      <c r="E106" s="113">
        <v>30832.76</v>
      </c>
      <c r="F106" s="113">
        <v>0</v>
      </c>
      <c r="G106" s="112" t="s">
        <v>312</v>
      </c>
      <c r="H106" s="114">
        <v>0</v>
      </c>
      <c r="I106" s="114">
        <v>0</v>
      </c>
      <c r="J106" s="115">
        <v>0</v>
      </c>
      <c r="K106" s="113">
        <v>0</v>
      </c>
      <c r="L106" t="str">
        <f>VLOOKUP(A106,'SAP Actual extraction'!$A$28:$A$1048576,1,0)</f>
        <v>debit    6666010207  Unemployment insurance companies to pay</v>
      </c>
      <c r="M106" t="str">
        <f>VLOOKUP(B106,'SAP Actual extraction'!B:B,1,0)</f>
        <v xml:space="preserve">    6666010207  Unemployment insurance companies to pay</v>
      </c>
    </row>
    <row r="107" spans="1:13" x14ac:dyDescent="0.3">
      <c r="A107" s="109" t="str">
        <f t="shared" si="0"/>
        <v>debit    6666010227  Staff Leaving Indemnity - White collar E</v>
      </c>
      <c r="B107" s="112" t="s">
        <v>314</v>
      </c>
      <c r="C107" s="113">
        <v>38043.449999999997</v>
      </c>
      <c r="D107" s="116">
        <v>0</v>
      </c>
      <c r="E107" s="113">
        <v>38043.449999999997</v>
      </c>
      <c r="F107" s="113">
        <v>0</v>
      </c>
      <c r="G107" s="112" t="s">
        <v>314</v>
      </c>
      <c r="H107" s="114">
        <v>0</v>
      </c>
      <c r="I107" s="114">
        <v>0</v>
      </c>
      <c r="J107" s="115">
        <v>0</v>
      </c>
      <c r="K107" s="113">
        <v>0</v>
      </c>
      <c r="L107" t="str">
        <f>VLOOKUP(A107,'SAP Actual extraction'!$A$28:$A$1048576,1,0)</f>
        <v>debit    6666010227  Staff Leaving Indemnity - White collar E</v>
      </c>
      <c r="M107" t="str">
        <f>VLOOKUP(B107,'SAP Actual extraction'!B:B,1,0)</f>
        <v xml:space="preserve">    6666010227  Staff Leaving Indemnity - White collar E</v>
      </c>
    </row>
    <row r="108" spans="1:13" x14ac:dyDescent="0.3">
      <c r="A108" s="109" t="str">
        <f t="shared" si="0"/>
        <v>debit*   CS_Fixed Labour</v>
      </c>
      <c r="B108" s="117" t="s">
        <v>218</v>
      </c>
      <c r="C108" s="118">
        <v>2537156.89</v>
      </c>
      <c r="D108" s="118">
        <v>1900124.61</v>
      </c>
      <c r="E108" s="118">
        <v>637032.28</v>
      </c>
      <c r="F108" s="118">
        <v>33.525799999999997</v>
      </c>
      <c r="G108" s="117" t="s">
        <v>218</v>
      </c>
      <c r="H108" s="119">
        <v>0</v>
      </c>
      <c r="I108" s="119">
        <v>0</v>
      </c>
      <c r="J108" s="120">
        <v>0</v>
      </c>
      <c r="K108" s="118">
        <v>0</v>
      </c>
      <c r="L108" t="str">
        <f>VLOOKUP(A108,'SAP Actual extraction'!$A$28:$A$1048576,1,0)</f>
        <v>debit*   CS_Fixed Labour</v>
      </c>
      <c r="M108" t="str">
        <f>VLOOKUP(B108,'SAP Actual extraction'!B:B,1,0)</f>
        <v>*   CS_Fixed Labour</v>
      </c>
    </row>
    <row r="109" spans="1:13" x14ac:dyDescent="0.3">
      <c r="A109" s="109" t="str">
        <f t="shared" si="0"/>
        <v>debit    600007      Maintenance</v>
      </c>
      <c r="B109" s="112" t="s">
        <v>360</v>
      </c>
      <c r="C109" s="116">
        <v>0</v>
      </c>
      <c r="D109" s="116">
        <v>0</v>
      </c>
      <c r="E109" s="113">
        <v>0</v>
      </c>
      <c r="F109" s="113">
        <v>0</v>
      </c>
      <c r="G109" s="112" t="s">
        <v>360</v>
      </c>
      <c r="H109" s="114">
        <v>0</v>
      </c>
      <c r="I109" s="114">
        <v>0</v>
      </c>
      <c r="J109" s="115">
        <v>0</v>
      </c>
      <c r="K109" s="113">
        <v>0</v>
      </c>
      <c r="L109" t="e">
        <f>VLOOKUP(A109,'SAP Actual extraction'!$A$28:$A$1048576,1,0)</f>
        <v>#N/A</v>
      </c>
      <c r="M109" t="e">
        <f>VLOOKUP(B109,'SAP Actual extraction'!B:B,1,0)</f>
        <v>#N/A</v>
      </c>
    </row>
    <row r="110" spans="1:13" x14ac:dyDescent="0.3">
      <c r="A110" s="109" t="str">
        <f t="shared" si="0"/>
        <v>debit    6666020903  Other materials</v>
      </c>
      <c r="B110" s="112" t="s">
        <v>315</v>
      </c>
      <c r="C110" s="113">
        <v>-10.9</v>
      </c>
      <c r="D110" s="116">
        <v>0</v>
      </c>
      <c r="E110" s="113">
        <v>-10.9</v>
      </c>
      <c r="F110" s="113">
        <v>0</v>
      </c>
      <c r="G110" s="112" t="s">
        <v>315</v>
      </c>
      <c r="H110" s="114">
        <v>0</v>
      </c>
      <c r="I110" s="114">
        <v>0</v>
      </c>
      <c r="J110" s="115">
        <v>0</v>
      </c>
      <c r="K110" s="113">
        <v>0</v>
      </c>
      <c r="L110" t="str">
        <f>VLOOKUP(A110,'SAP Actual extraction'!$A$28:$A$1048576,1,0)</f>
        <v>debit    6666020903  Other materials</v>
      </c>
      <c r="M110" t="str">
        <f>VLOOKUP(B110,'SAP Actual extraction'!B:B,1,0)</f>
        <v xml:space="preserve">    6666020903  Other materials</v>
      </c>
    </row>
    <row r="111" spans="1:13" x14ac:dyDescent="0.3">
      <c r="A111" s="109" t="str">
        <f t="shared" si="0"/>
        <v>debit    6666010302  Medical expenses</v>
      </c>
      <c r="B111" s="112" t="s">
        <v>316</v>
      </c>
      <c r="C111" s="113">
        <v>146680.87</v>
      </c>
      <c r="D111" s="113">
        <v>210312.98</v>
      </c>
      <c r="E111" s="113">
        <v>-63632.11</v>
      </c>
      <c r="F111" s="113">
        <v>-30.2559</v>
      </c>
      <c r="G111" s="112" t="s">
        <v>316</v>
      </c>
      <c r="H111" s="114">
        <v>0</v>
      </c>
      <c r="I111" s="114">
        <v>0</v>
      </c>
      <c r="J111" s="115">
        <v>0</v>
      </c>
      <c r="K111" s="113">
        <v>0</v>
      </c>
      <c r="L111" t="str">
        <f>VLOOKUP(A111,'SAP Actual extraction'!$A$28:$A$1048576,1,0)</f>
        <v>debit    6666010302  Medical expenses</v>
      </c>
      <c r="M111" t="str">
        <f>VLOOKUP(B111,'SAP Actual extraction'!B:B,1,0)</f>
        <v xml:space="preserve">    6666010302  Medical expenses</v>
      </c>
    </row>
    <row r="112" spans="1:13" x14ac:dyDescent="0.3">
      <c r="A112" s="109" t="str">
        <f t="shared" si="0"/>
        <v>debit    6666010314  Work uniforms</v>
      </c>
      <c r="B112" s="112" t="s">
        <v>317</v>
      </c>
      <c r="C112" s="113">
        <v>460642.61</v>
      </c>
      <c r="D112" s="113">
        <v>851013.46</v>
      </c>
      <c r="E112" s="113">
        <v>-390370.85</v>
      </c>
      <c r="F112" s="113">
        <v>-45.871299999999998</v>
      </c>
      <c r="G112" s="112" t="s">
        <v>317</v>
      </c>
      <c r="H112" s="114">
        <v>0</v>
      </c>
      <c r="I112" s="114">
        <v>0</v>
      </c>
      <c r="J112" s="115">
        <v>0</v>
      </c>
      <c r="K112" s="113">
        <v>0</v>
      </c>
      <c r="L112" t="str">
        <f>VLOOKUP(A112,'SAP Actual extraction'!$A$28:$A$1048576,1,0)</f>
        <v>debit    6666010314  Work uniforms</v>
      </c>
      <c r="M112" t="str">
        <f>VLOOKUP(B112,'SAP Actual extraction'!B:B,1,0)</f>
        <v xml:space="preserve">    6666010314  Work uniforms</v>
      </c>
    </row>
    <row r="113" spans="1:13" x14ac:dyDescent="0.3">
      <c r="A113" s="109" t="str">
        <f t="shared" ref="A113:A129" si="1">"debit"&amp;B113</f>
        <v>debit    6666020401  local transportation - bus and taxi</v>
      </c>
      <c r="B113" s="112" t="s">
        <v>318</v>
      </c>
      <c r="C113" s="113">
        <v>1145686.9099999999</v>
      </c>
      <c r="D113" s="113">
        <v>1774092.66</v>
      </c>
      <c r="E113" s="113">
        <v>-628405.75</v>
      </c>
      <c r="F113" s="113">
        <v>-35.421199999999999</v>
      </c>
      <c r="G113" s="112" t="s">
        <v>318</v>
      </c>
      <c r="H113" s="114">
        <v>0</v>
      </c>
      <c r="I113" s="114">
        <v>0</v>
      </c>
      <c r="J113" s="115">
        <v>0</v>
      </c>
      <c r="K113" s="113">
        <v>0</v>
      </c>
      <c r="L113" t="str">
        <f>VLOOKUP(A113,'SAP Actual extraction'!$A$28:$A$1048576,1,0)</f>
        <v>debit    6666020401  local transportation - bus and taxi</v>
      </c>
      <c r="M113" t="str">
        <f>VLOOKUP(B113,'SAP Actual extraction'!B:B,1,0)</f>
        <v xml:space="preserve">    6666020401  local transportation - bus and taxi</v>
      </c>
    </row>
    <row r="114" spans="1:13" x14ac:dyDescent="0.3">
      <c r="A114" s="109" t="str">
        <f t="shared" si="1"/>
        <v>debit    6666020502  Working meals</v>
      </c>
      <c r="B114" s="112" t="s">
        <v>320</v>
      </c>
      <c r="C114" s="113">
        <v>1158592.3</v>
      </c>
      <c r="D114" s="113">
        <v>1521365.06</v>
      </c>
      <c r="E114" s="113">
        <v>-362772.76</v>
      </c>
      <c r="F114" s="113">
        <v>-23.845199999999998</v>
      </c>
      <c r="G114" s="112" t="s">
        <v>320</v>
      </c>
      <c r="H114" s="114">
        <v>0</v>
      </c>
      <c r="I114" s="114">
        <v>0</v>
      </c>
      <c r="J114" s="115">
        <v>0</v>
      </c>
      <c r="K114" s="113">
        <v>0</v>
      </c>
      <c r="L114" t="str">
        <f>VLOOKUP(A114,'SAP Actual extraction'!$A$28:$A$1048576,1,0)</f>
        <v>debit    6666020502  Working meals</v>
      </c>
      <c r="M114" t="str">
        <f>VLOOKUP(B114,'SAP Actual extraction'!B:B,1,0)</f>
        <v xml:space="preserve">    6666020502  Working meals</v>
      </c>
    </row>
    <row r="115" spans="1:13" x14ac:dyDescent="0.3">
      <c r="A115" s="109" t="str">
        <f t="shared" si="1"/>
        <v>debit    6666020503  Office supplies</v>
      </c>
      <c r="B115" s="112" t="s">
        <v>321</v>
      </c>
      <c r="C115" s="113">
        <v>16855.740000000002</v>
      </c>
      <c r="D115" s="113">
        <v>57158.16</v>
      </c>
      <c r="E115" s="113">
        <v>-40302.42</v>
      </c>
      <c r="F115" s="113">
        <v>-70.510400000000004</v>
      </c>
      <c r="G115" s="112" t="s">
        <v>321</v>
      </c>
      <c r="H115" s="114">
        <v>0</v>
      </c>
      <c r="I115" s="114">
        <v>0</v>
      </c>
      <c r="J115" s="115">
        <v>0</v>
      </c>
      <c r="K115" s="113">
        <v>0</v>
      </c>
      <c r="L115" t="str">
        <f>VLOOKUP(A115,'SAP Actual extraction'!$A$28:$A$1048576,1,0)</f>
        <v>debit    6666020503  Office supplies</v>
      </c>
      <c r="M115" t="str">
        <f>VLOOKUP(B115,'SAP Actual extraction'!B:B,1,0)</f>
        <v xml:space="preserve">    6666020503  Office supplies</v>
      </c>
    </row>
    <row r="116" spans="1:13" x14ac:dyDescent="0.3">
      <c r="A116" s="109" t="str">
        <f t="shared" si="1"/>
        <v>debit    6666021500  Repairs cost</v>
      </c>
      <c r="B116" s="112" t="s">
        <v>322</v>
      </c>
      <c r="C116" s="113">
        <v>6141.13</v>
      </c>
      <c r="D116" s="116">
        <v>0</v>
      </c>
      <c r="E116" s="113">
        <v>6141.13</v>
      </c>
      <c r="F116" s="113">
        <v>0</v>
      </c>
      <c r="G116" s="112" t="s">
        <v>322</v>
      </c>
      <c r="H116" s="114">
        <v>0</v>
      </c>
      <c r="I116" s="114">
        <v>0</v>
      </c>
      <c r="J116" s="115">
        <v>0</v>
      </c>
      <c r="K116" s="113">
        <v>0</v>
      </c>
      <c r="L116" t="str">
        <f>VLOOKUP(A116,'SAP Actual extraction'!$A$28:$A$1048576,1,0)</f>
        <v>debit    6666021500  Repairs cost</v>
      </c>
      <c r="M116" t="str">
        <f>VLOOKUP(B116,'SAP Actual extraction'!B:B,1,0)</f>
        <v xml:space="preserve">    6666021500  Repairs cost</v>
      </c>
    </row>
    <row r="117" spans="1:13" x14ac:dyDescent="0.3">
      <c r="A117" s="109" t="str">
        <f t="shared" si="1"/>
        <v>debit    6666021502  Repair &amp; Maintain - Building&amp;office</v>
      </c>
      <c r="B117" s="112" t="s">
        <v>323</v>
      </c>
      <c r="C117" s="113">
        <v>211276.31</v>
      </c>
      <c r="D117" s="113">
        <v>1161332.1599999999</v>
      </c>
      <c r="E117" s="113">
        <v>-950055.85</v>
      </c>
      <c r="F117" s="113">
        <v>-81.807400000000001</v>
      </c>
      <c r="G117" s="112" t="s">
        <v>323</v>
      </c>
      <c r="H117" s="114">
        <v>0</v>
      </c>
      <c r="I117" s="114">
        <v>0</v>
      </c>
      <c r="J117" s="115">
        <v>0</v>
      </c>
      <c r="K117" s="113">
        <v>0</v>
      </c>
      <c r="L117" t="str">
        <f>VLOOKUP(A117,'SAP Actual extraction'!$A$28:$A$1048576,1,0)</f>
        <v>debit    6666021502  Repair &amp; Maintain - Building&amp;office</v>
      </c>
      <c r="M117" t="str">
        <f>VLOOKUP(B117,'SAP Actual extraction'!B:B,1,0)</f>
        <v xml:space="preserve">    6666021502  Repair &amp; Maintain - Building&amp;office</v>
      </c>
    </row>
    <row r="118" spans="1:13" x14ac:dyDescent="0.3">
      <c r="A118" s="109" t="str">
        <f t="shared" si="1"/>
        <v>debit    6666021503  Repair &amp; Maintain - Tooling &amp; Equipments</v>
      </c>
      <c r="B118" s="112" t="s">
        <v>324</v>
      </c>
      <c r="C118" s="113">
        <v>53238.53</v>
      </c>
      <c r="D118" s="113">
        <v>218488.8</v>
      </c>
      <c r="E118" s="113">
        <v>-165250.26999999999</v>
      </c>
      <c r="F118" s="113">
        <v>-75.633300000000006</v>
      </c>
      <c r="G118" s="112" t="s">
        <v>324</v>
      </c>
      <c r="H118" s="114">
        <v>0</v>
      </c>
      <c r="I118" s="114">
        <v>0</v>
      </c>
      <c r="J118" s="115">
        <v>0</v>
      </c>
      <c r="K118" s="113">
        <v>0</v>
      </c>
      <c r="L118" t="str">
        <f>VLOOKUP(A118,'SAP Actual extraction'!$A$28:$A$1048576,1,0)</f>
        <v>debit    6666021503  Repair &amp; Maintain - Tooling &amp; Equipments</v>
      </c>
      <c r="M118" t="str">
        <f>VLOOKUP(B118,'SAP Actual extraction'!B:B,1,0)</f>
        <v xml:space="preserve">    6666021503  Repair &amp; Maintain - Tooling &amp; Equipments</v>
      </c>
    </row>
    <row r="119" spans="1:13" x14ac:dyDescent="0.3">
      <c r="A119" s="109" t="str">
        <f t="shared" si="1"/>
        <v>debit    6666021504  Repair &amp; Maintain - Elect. Installation</v>
      </c>
      <c r="B119" s="112" t="s">
        <v>361</v>
      </c>
      <c r="C119" s="113">
        <v>196.72</v>
      </c>
      <c r="D119" s="116">
        <v>0</v>
      </c>
      <c r="E119" s="113">
        <v>196.72</v>
      </c>
      <c r="F119" s="113">
        <v>0</v>
      </c>
      <c r="G119" s="112" t="s">
        <v>361</v>
      </c>
      <c r="H119" s="114">
        <v>0</v>
      </c>
      <c r="I119" s="114">
        <v>0</v>
      </c>
      <c r="J119" s="115">
        <v>0</v>
      </c>
      <c r="K119" s="113">
        <v>0</v>
      </c>
    </row>
    <row r="120" spans="1:13" x14ac:dyDescent="0.3">
      <c r="A120" s="109" t="str">
        <f t="shared" si="1"/>
        <v>debit    6666021505  Repairs &amp; Maintenance - Vehicles</v>
      </c>
      <c r="B120" s="112" t="s">
        <v>325</v>
      </c>
      <c r="C120" s="113">
        <v>5363.42</v>
      </c>
      <c r="D120" s="116">
        <v>0</v>
      </c>
      <c r="E120" s="113">
        <v>5363.42</v>
      </c>
      <c r="F120" s="113">
        <v>0</v>
      </c>
      <c r="G120" s="112" t="s">
        <v>325</v>
      </c>
      <c r="H120" s="114">
        <v>0</v>
      </c>
      <c r="I120" s="114">
        <v>0</v>
      </c>
      <c r="J120" s="115">
        <v>0</v>
      </c>
      <c r="K120" s="113">
        <v>0</v>
      </c>
    </row>
    <row r="121" spans="1:13" x14ac:dyDescent="0.3">
      <c r="A121" s="109" t="str">
        <f t="shared" si="1"/>
        <v>debit    6666021506  Repairs &amp; Maintenance - Plant &amp; Machiner</v>
      </c>
      <c r="B121" s="112" t="s">
        <v>326</v>
      </c>
      <c r="C121" s="113">
        <v>436930.45</v>
      </c>
      <c r="D121" s="113">
        <v>600208.31999999995</v>
      </c>
      <c r="E121" s="113">
        <v>-163277.87</v>
      </c>
      <c r="F121" s="113">
        <v>-27.203499999999998</v>
      </c>
      <c r="G121" s="112" t="s">
        <v>326</v>
      </c>
      <c r="H121" s="114">
        <v>0</v>
      </c>
      <c r="I121" s="114">
        <v>0</v>
      </c>
      <c r="J121" s="115">
        <v>0</v>
      </c>
      <c r="K121" s="113">
        <v>0</v>
      </c>
    </row>
    <row r="122" spans="1:13" x14ac:dyDescent="0.3">
      <c r="A122" s="109" t="str">
        <f t="shared" si="1"/>
        <v>debit    6666091600  Garbage disposal charge</v>
      </c>
      <c r="B122" s="112" t="s">
        <v>327</v>
      </c>
      <c r="C122" s="113">
        <v>9374.4</v>
      </c>
      <c r="D122" s="113">
        <v>9959.1200000000008</v>
      </c>
      <c r="E122" s="113">
        <v>-584.72</v>
      </c>
      <c r="F122" s="113">
        <v>-5.8712</v>
      </c>
      <c r="G122" s="112" t="s">
        <v>327</v>
      </c>
      <c r="H122" s="114">
        <v>0</v>
      </c>
      <c r="I122" s="114">
        <v>0</v>
      </c>
      <c r="J122" s="115">
        <v>0</v>
      </c>
      <c r="K122" s="113">
        <v>0</v>
      </c>
    </row>
    <row r="123" spans="1:13" x14ac:dyDescent="0.3">
      <c r="A123" s="109" t="str">
        <f t="shared" si="1"/>
        <v>debit    5401060201  COGS-Repair expense</v>
      </c>
      <c r="B123" s="112" t="s">
        <v>328</v>
      </c>
      <c r="C123" s="116">
        <v>0</v>
      </c>
      <c r="D123" s="116">
        <v>0</v>
      </c>
      <c r="E123" s="113">
        <v>0</v>
      </c>
      <c r="F123" s="113">
        <v>0</v>
      </c>
      <c r="G123" s="112" t="s">
        <v>328</v>
      </c>
      <c r="H123" s="114">
        <v>0</v>
      </c>
      <c r="I123" s="114">
        <v>0</v>
      </c>
      <c r="J123" s="115">
        <v>0</v>
      </c>
      <c r="K123" s="113">
        <v>0</v>
      </c>
    </row>
    <row r="124" spans="1:13" x14ac:dyDescent="0.3">
      <c r="A124" s="109" t="str">
        <f t="shared" si="1"/>
        <v>debit*   CS_Semifix</v>
      </c>
      <c r="B124" s="117" t="s">
        <v>219</v>
      </c>
      <c r="C124" s="118">
        <v>3650968.49</v>
      </c>
      <c r="D124" s="118">
        <v>6403930.7199999997</v>
      </c>
      <c r="E124" s="118">
        <v>-2752962.23</v>
      </c>
      <c r="F124" s="118">
        <v>-42.988599999999998</v>
      </c>
      <c r="G124" s="117" t="s">
        <v>219</v>
      </c>
      <c r="H124" s="119">
        <v>0</v>
      </c>
      <c r="I124" s="119">
        <v>0</v>
      </c>
      <c r="J124" s="120">
        <v>0</v>
      </c>
      <c r="K124" s="118">
        <v>0</v>
      </c>
    </row>
    <row r="125" spans="1:13" x14ac:dyDescent="0.3">
      <c r="A125" s="109" t="str">
        <f t="shared" si="1"/>
        <v>debit    600006      OVH Administrative</v>
      </c>
      <c r="B125" s="112" t="s">
        <v>329</v>
      </c>
      <c r="C125" s="113">
        <v>3113518.86</v>
      </c>
      <c r="D125" s="113">
        <v>3738337.2</v>
      </c>
      <c r="E125" s="113">
        <v>-624818.34</v>
      </c>
      <c r="F125" s="113">
        <v>-16.713799999999999</v>
      </c>
      <c r="G125" s="112" t="s">
        <v>329</v>
      </c>
      <c r="H125" s="114">
        <v>0</v>
      </c>
      <c r="I125" s="114">
        <v>0</v>
      </c>
      <c r="J125" s="115">
        <v>0</v>
      </c>
      <c r="K125" s="113">
        <v>0</v>
      </c>
    </row>
    <row r="126" spans="1:13" x14ac:dyDescent="0.3">
      <c r="A126" s="109" t="str">
        <f t="shared" si="1"/>
        <v>debit*   CS_OVH_ADM</v>
      </c>
      <c r="B126" s="117" t="s">
        <v>220</v>
      </c>
      <c r="C126" s="118">
        <v>3113518.86</v>
      </c>
      <c r="D126" s="118">
        <v>3738337.2</v>
      </c>
      <c r="E126" s="118">
        <v>-624818.34</v>
      </c>
      <c r="F126" s="118">
        <v>-16.713799999999999</v>
      </c>
      <c r="G126" s="117" t="s">
        <v>220</v>
      </c>
      <c r="H126" s="119">
        <v>0</v>
      </c>
      <c r="I126" s="119">
        <v>0</v>
      </c>
      <c r="J126" s="120">
        <v>0</v>
      </c>
      <c r="K126" s="118">
        <v>0</v>
      </c>
    </row>
    <row r="127" spans="1:13" x14ac:dyDescent="0.3">
      <c r="A127" s="109" t="str">
        <f t="shared" si="1"/>
        <v>debit**  Debit</v>
      </c>
      <c r="B127" s="121" t="s">
        <v>330</v>
      </c>
      <c r="C127" s="122">
        <v>27925952.550000001</v>
      </c>
      <c r="D127" s="122">
        <v>30520205.390000001</v>
      </c>
      <c r="E127" s="122">
        <v>-2594252.84</v>
      </c>
      <c r="F127" s="122">
        <v>-8.5000999999999998</v>
      </c>
      <c r="G127" s="121" t="s">
        <v>330</v>
      </c>
      <c r="H127" s="123">
        <v>0</v>
      </c>
      <c r="I127" s="123">
        <v>0</v>
      </c>
      <c r="J127" s="124">
        <v>0</v>
      </c>
      <c r="K127" s="122">
        <v>0</v>
      </c>
    </row>
    <row r="128" spans="1:13" x14ac:dyDescent="0.3">
      <c r="A128" s="109" t="str">
        <f t="shared" si="1"/>
        <v>debit    6666110101  Depreciation of buildings</v>
      </c>
      <c r="B128" s="112" t="s">
        <v>225</v>
      </c>
      <c r="C128" s="113">
        <v>-262777.90999999997</v>
      </c>
      <c r="D128" s="113">
        <v>-1236827.8799999999</v>
      </c>
      <c r="E128" s="113">
        <v>974049.97</v>
      </c>
      <c r="F128" s="113">
        <v>-78.753900000000002</v>
      </c>
      <c r="G128" s="112" t="s">
        <v>225</v>
      </c>
      <c r="H128" s="114">
        <v>0</v>
      </c>
      <c r="I128" s="114">
        <v>0</v>
      </c>
      <c r="J128" s="115">
        <v>0</v>
      </c>
      <c r="K128" s="113">
        <v>0</v>
      </c>
    </row>
    <row r="129" spans="1:13" x14ac:dyDescent="0.3">
      <c r="A129" s="109" t="str">
        <f t="shared" si="1"/>
        <v>debit    6666110107  Depreciation of mold　</v>
      </c>
      <c r="B129" s="112" t="s">
        <v>227</v>
      </c>
      <c r="C129" s="113">
        <v>-157847.15</v>
      </c>
      <c r="D129" s="116">
        <v>0</v>
      </c>
      <c r="E129" s="113">
        <v>-157847.15</v>
      </c>
      <c r="F129" s="113">
        <v>0</v>
      </c>
      <c r="G129" s="112" t="s">
        <v>227</v>
      </c>
      <c r="H129" s="114">
        <v>0</v>
      </c>
      <c r="I129" s="114">
        <v>0</v>
      </c>
      <c r="J129" s="115">
        <v>0</v>
      </c>
      <c r="K129" s="113">
        <v>0</v>
      </c>
    </row>
    <row r="130" spans="1:13" x14ac:dyDescent="0.3">
      <c r="A130" s="109" t="str">
        <f t="shared" ref="A130:A134" si="2">"credit"&amp;B130</f>
        <v>credit    6666110110  Depreciation-Plant &amp; Machinery</v>
      </c>
      <c r="B130" s="112" t="s">
        <v>228</v>
      </c>
      <c r="C130" s="113">
        <v>-483967.9</v>
      </c>
      <c r="D130" s="116">
        <v>0</v>
      </c>
      <c r="E130" s="113">
        <v>-483967.9</v>
      </c>
      <c r="F130" s="113">
        <v>0</v>
      </c>
      <c r="G130" s="112" t="s">
        <v>228</v>
      </c>
      <c r="H130" s="114">
        <v>0</v>
      </c>
      <c r="I130" s="114">
        <v>0</v>
      </c>
      <c r="J130" s="115">
        <v>0</v>
      </c>
      <c r="K130" s="113">
        <v>0</v>
      </c>
    </row>
    <row r="131" spans="1:13" x14ac:dyDescent="0.3">
      <c r="A131" s="109" t="str">
        <f t="shared" si="2"/>
        <v>credit    6666110112  Depreciation of Furniture &amp; Fixture</v>
      </c>
      <c r="B131" s="112" t="s">
        <v>229</v>
      </c>
      <c r="C131" s="113">
        <v>-59958.92</v>
      </c>
      <c r="D131" s="116">
        <v>0</v>
      </c>
      <c r="E131" s="113">
        <v>-59958.92</v>
      </c>
      <c r="F131" s="113">
        <v>0</v>
      </c>
      <c r="G131" s="112" t="s">
        <v>229</v>
      </c>
      <c r="H131" s="114">
        <v>0</v>
      </c>
      <c r="I131" s="114">
        <v>0</v>
      </c>
      <c r="J131" s="115">
        <v>0</v>
      </c>
      <c r="K131" s="113">
        <v>0</v>
      </c>
    </row>
    <row r="132" spans="1:13" x14ac:dyDescent="0.3">
      <c r="A132" s="109" t="str">
        <f t="shared" si="2"/>
        <v>credit    6666110204  Amortization of license, trademarks and</v>
      </c>
      <c r="B132" s="112" t="s">
        <v>230</v>
      </c>
      <c r="C132" s="113">
        <v>-3030.2</v>
      </c>
      <c r="D132" s="116">
        <v>0</v>
      </c>
      <c r="E132" s="113">
        <v>-3030.2</v>
      </c>
      <c r="F132" s="113">
        <v>0</v>
      </c>
      <c r="G132" s="112" t="s">
        <v>230</v>
      </c>
      <c r="H132" s="114">
        <v>0</v>
      </c>
      <c r="I132" s="114">
        <v>0</v>
      </c>
      <c r="J132" s="115">
        <v>0</v>
      </c>
      <c r="K132" s="113">
        <v>0</v>
      </c>
    </row>
    <row r="133" spans="1:13" x14ac:dyDescent="0.3">
      <c r="A133" s="109" t="str">
        <f t="shared" si="2"/>
        <v>credit    6666110207  Amortization of Software</v>
      </c>
      <c r="B133" s="112" t="s">
        <v>231</v>
      </c>
      <c r="C133" s="113">
        <v>-75306.91</v>
      </c>
      <c r="D133" s="116">
        <v>0</v>
      </c>
      <c r="E133" s="113">
        <v>-75306.91</v>
      </c>
      <c r="F133" s="113">
        <v>0</v>
      </c>
      <c r="G133" s="112" t="s">
        <v>231</v>
      </c>
      <c r="H133" s="114">
        <v>0</v>
      </c>
      <c r="I133" s="114">
        <v>0</v>
      </c>
      <c r="J133" s="115">
        <v>0</v>
      </c>
      <c r="K133" s="113">
        <v>0</v>
      </c>
    </row>
    <row r="134" spans="1:13" x14ac:dyDescent="0.3">
      <c r="A134" s="109" t="str">
        <f t="shared" si="2"/>
        <v>credit    6666110506  Amortization-Leasehold Improvement</v>
      </c>
      <c r="B134" s="112" t="s">
        <v>232</v>
      </c>
      <c r="C134" s="113">
        <v>-4841.75</v>
      </c>
      <c r="D134" s="116">
        <v>0</v>
      </c>
      <c r="E134" s="113">
        <v>-4841.75</v>
      </c>
      <c r="F134" s="113">
        <v>0</v>
      </c>
      <c r="G134" s="112" t="s">
        <v>232</v>
      </c>
      <c r="H134" s="114">
        <v>0</v>
      </c>
      <c r="I134" s="114">
        <v>0</v>
      </c>
      <c r="J134" s="115">
        <v>0</v>
      </c>
      <c r="K134" s="113">
        <v>0</v>
      </c>
    </row>
    <row r="135" spans="1:13" x14ac:dyDescent="0.3">
      <c r="A135" s="109" t="str">
        <f t="shared" ref="A135:A138" si="3">"credit"&amp;B135</f>
        <v>credit*   CS_Depreciation</v>
      </c>
      <c r="B135" s="117" t="s">
        <v>207</v>
      </c>
      <c r="C135" s="118">
        <v>-1047730.74</v>
      </c>
      <c r="D135" s="118">
        <v>-1236827.8799999999</v>
      </c>
      <c r="E135" s="118">
        <v>189097.14</v>
      </c>
      <c r="F135" s="118">
        <v>-15.2889</v>
      </c>
      <c r="G135" s="117" t="s">
        <v>207</v>
      </c>
      <c r="H135" s="119">
        <v>0</v>
      </c>
      <c r="I135" s="119">
        <v>0</v>
      </c>
      <c r="J135" s="120">
        <v>0</v>
      </c>
      <c r="K135" s="118">
        <v>0</v>
      </c>
    </row>
    <row r="136" spans="1:13" x14ac:dyDescent="0.3">
      <c r="A136" s="109" t="str">
        <f t="shared" si="3"/>
        <v>credit    5001010205  Unemployment Insurance -blue collar-Dire</v>
      </c>
      <c r="B136" s="112" t="s">
        <v>233</v>
      </c>
      <c r="C136" s="113">
        <v>-40.53</v>
      </c>
      <c r="D136" s="116">
        <v>0</v>
      </c>
      <c r="E136" s="113">
        <v>-40.53</v>
      </c>
      <c r="F136" s="113">
        <v>0</v>
      </c>
      <c r="G136" s="112" t="s">
        <v>233</v>
      </c>
      <c r="H136" s="114">
        <v>0</v>
      </c>
      <c r="I136" s="114">
        <v>0</v>
      </c>
      <c r="J136" s="115">
        <v>0</v>
      </c>
      <c r="K136" s="113">
        <v>0</v>
      </c>
      <c r="L136" t="str">
        <f>VLOOKUP(A136,'SAP Actual extraction'!$A$28:$A$1048576,1,0)</f>
        <v>credit    5001010205  Unemployment Insurance -blue collar-Dire</v>
      </c>
      <c r="M136" t="str">
        <f>VLOOKUP(B136,'SAP Actual extraction'!B:B,1,0)</f>
        <v xml:space="preserve">    5001010205  Unemployment Insurance -blue collar-Dire</v>
      </c>
    </row>
    <row r="137" spans="1:13" x14ac:dyDescent="0.3">
      <c r="A137" s="109" t="str">
        <f t="shared" si="3"/>
        <v>credit    6666010380  Incentive</v>
      </c>
      <c r="B137" s="112" t="s">
        <v>234</v>
      </c>
      <c r="C137" s="113">
        <v>-6229.56</v>
      </c>
      <c r="D137" s="116">
        <v>0</v>
      </c>
      <c r="E137" s="113">
        <v>-6229.56</v>
      </c>
      <c r="F137" s="113">
        <v>0</v>
      </c>
      <c r="G137" s="112" t="s">
        <v>234</v>
      </c>
      <c r="H137" s="114">
        <v>0</v>
      </c>
      <c r="I137" s="114">
        <v>0</v>
      </c>
      <c r="J137" s="115">
        <v>0</v>
      </c>
      <c r="K137" s="113">
        <v>0</v>
      </c>
      <c r="L137" t="e">
        <f>VLOOKUP(A137,'SAP Actual extraction'!$A$28:$A$1048576,1,0)</f>
        <v>#N/A</v>
      </c>
      <c r="M137" t="str">
        <f>VLOOKUP(B137,'SAP Actual extraction'!B:B,1,0)</f>
        <v xml:space="preserve">    6666010380  Incentive</v>
      </c>
    </row>
    <row r="138" spans="1:13" x14ac:dyDescent="0.3">
      <c r="A138" s="109" t="str">
        <f t="shared" si="3"/>
        <v>credit    6666010019  Payroll Taxes - Blue Collar Direct</v>
      </c>
      <c r="B138" s="112" t="s">
        <v>235</v>
      </c>
      <c r="C138" s="113">
        <v>-319.17</v>
      </c>
      <c r="D138" s="116">
        <v>0</v>
      </c>
      <c r="E138" s="113">
        <v>-319.17</v>
      </c>
      <c r="F138" s="113">
        <v>0</v>
      </c>
      <c r="G138" s="112" t="s">
        <v>235</v>
      </c>
      <c r="H138" s="114">
        <v>0</v>
      </c>
      <c r="I138" s="114">
        <v>0</v>
      </c>
      <c r="J138" s="115">
        <v>0</v>
      </c>
      <c r="K138" s="113">
        <v>0</v>
      </c>
      <c r="L138" t="str">
        <f>VLOOKUP(A138,'SAP Actual extraction'!$A$28:$A$1048576,1,0)</f>
        <v>credit    6666010019  Payroll Taxes - Blue Collar Direct</v>
      </c>
      <c r="M138" t="str">
        <f>VLOOKUP(B138,'SAP Actual extraction'!B:B,1,0)</f>
        <v xml:space="preserve">    6666010019  Payroll Taxes - Blue Collar Direct</v>
      </c>
    </row>
    <row r="139" spans="1:13" x14ac:dyDescent="0.3">
      <c r="A139" s="109" t="str">
        <f t="shared" ref="A139:A202" si="4">"credit"&amp;B139</f>
        <v>credit    6666010183  Overtime-Blue Collar-Direct</v>
      </c>
      <c r="B139" s="112" t="s">
        <v>236</v>
      </c>
      <c r="C139" s="113">
        <v>-14.07</v>
      </c>
      <c r="D139" s="116">
        <v>0</v>
      </c>
      <c r="E139" s="113">
        <v>-14.07</v>
      </c>
      <c r="F139" s="113">
        <v>0</v>
      </c>
      <c r="G139" s="112" t="s">
        <v>236</v>
      </c>
      <c r="H139" s="114">
        <v>0</v>
      </c>
      <c r="I139" s="114">
        <v>0</v>
      </c>
      <c r="J139" s="115">
        <v>0</v>
      </c>
      <c r="K139" s="113">
        <v>0</v>
      </c>
      <c r="L139" t="str">
        <f>VLOOKUP(A139,'SAP Actual extraction'!$A$28:$A$1048576,1,0)</f>
        <v>credit    6666010183  Overtime-Blue Collar-Direct</v>
      </c>
      <c r="M139" t="str">
        <f>VLOOKUP(B139,'SAP Actual extraction'!B:B,1,0)</f>
        <v xml:space="preserve">    6666010183  Overtime-Blue Collar-Direct</v>
      </c>
    </row>
    <row r="140" spans="1:13" x14ac:dyDescent="0.3">
      <c r="A140" s="109" t="str">
        <f t="shared" si="4"/>
        <v>credit    6666010229  Staff Leaving Indemnity - Blue Collar Di</v>
      </c>
      <c r="B140" s="112" t="s">
        <v>237</v>
      </c>
      <c r="C140" s="113">
        <v>-61.4</v>
      </c>
      <c r="D140" s="116">
        <v>0</v>
      </c>
      <c r="E140" s="113">
        <v>-61.4</v>
      </c>
      <c r="F140" s="113">
        <v>0</v>
      </c>
      <c r="G140" s="112" t="s">
        <v>237</v>
      </c>
      <c r="H140" s="114">
        <v>0</v>
      </c>
      <c r="I140" s="114">
        <v>0</v>
      </c>
      <c r="J140" s="115">
        <v>0</v>
      </c>
      <c r="K140" s="113">
        <v>0</v>
      </c>
      <c r="L140" t="str">
        <f>VLOOKUP(A140,'SAP Actual extraction'!$A$28:$A$1048576,1,0)</f>
        <v>credit    6666010229  Staff Leaving Indemnity - Blue Collar Di</v>
      </c>
      <c r="M140" t="str">
        <f>VLOOKUP(B140,'SAP Actual extraction'!B:B,1,0)</f>
        <v xml:space="preserve">    6666010229  Staff Leaving Indemnity - Blue Collar Di</v>
      </c>
    </row>
    <row r="141" spans="1:13" x14ac:dyDescent="0.3">
      <c r="A141" s="109" t="str">
        <f t="shared" si="4"/>
        <v>credit    6666010188  Salary - Blue collar direct employees</v>
      </c>
      <c r="B141" s="112" t="s">
        <v>238</v>
      </c>
      <c r="C141" s="113">
        <v>-1511.39</v>
      </c>
      <c r="D141" s="116">
        <v>0</v>
      </c>
      <c r="E141" s="113">
        <v>-1511.39</v>
      </c>
      <c r="F141" s="113">
        <v>0</v>
      </c>
      <c r="G141" s="112" t="s">
        <v>238</v>
      </c>
      <c r="H141" s="114">
        <v>0</v>
      </c>
      <c r="I141" s="114">
        <v>0</v>
      </c>
      <c r="J141" s="115">
        <v>0</v>
      </c>
      <c r="K141" s="113">
        <v>0</v>
      </c>
      <c r="L141" t="str">
        <f>VLOOKUP(A141,'SAP Actual extraction'!$A$28:$A$1048576,1,0)</f>
        <v>credit    6666010188  Salary - Blue collar direct employees</v>
      </c>
      <c r="M141" t="str">
        <f>VLOOKUP(B141,'SAP Actual extraction'!B:B,1,0)</f>
        <v xml:space="preserve">    6666010188  Salary - Blue collar direct employees</v>
      </c>
    </row>
    <row r="142" spans="1:13" x14ac:dyDescent="0.3">
      <c r="A142" s="109" t="str">
        <f t="shared" si="4"/>
        <v>credit    5102040406  Other revenue-Service/Secondment agreeme</v>
      </c>
      <c r="B142" s="112" t="s">
        <v>239</v>
      </c>
      <c r="C142" s="113">
        <v>-50.56</v>
      </c>
      <c r="D142" s="116">
        <v>0</v>
      </c>
      <c r="E142" s="113">
        <v>-50.56</v>
      </c>
      <c r="F142" s="113">
        <v>0</v>
      </c>
      <c r="G142" s="112" t="s">
        <v>239</v>
      </c>
      <c r="H142" s="114">
        <v>0</v>
      </c>
      <c r="I142" s="114">
        <v>0</v>
      </c>
      <c r="J142" s="115">
        <v>0</v>
      </c>
      <c r="K142" s="113">
        <v>0</v>
      </c>
      <c r="L142" t="str">
        <f>VLOOKUP(A142,'SAP Actual extraction'!$A$28:$A$1048576,1,0)</f>
        <v>credit    5102040406  Other revenue-Service/Secondment agreeme</v>
      </c>
      <c r="M142" t="str">
        <f>VLOOKUP(B142,'SAP Actual extraction'!B:B,1,0)</f>
        <v xml:space="preserve">    5102040406  Other revenue-Service/Secondment agreeme</v>
      </c>
    </row>
    <row r="143" spans="1:13" x14ac:dyDescent="0.3">
      <c r="A143" s="109" t="str">
        <f t="shared" si="4"/>
        <v>credit*   CS_Direct Labour</v>
      </c>
      <c r="B143" s="117" t="s">
        <v>208</v>
      </c>
      <c r="C143" s="118">
        <v>-8226.68</v>
      </c>
      <c r="D143" s="125">
        <v>0</v>
      </c>
      <c r="E143" s="118">
        <v>-8226.68</v>
      </c>
      <c r="F143" s="118">
        <v>0</v>
      </c>
      <c r="G143" s="117" t="s">
        <v>208</v>
      </c>
      <c r="H143" s="119">
        <v>0</v>
      </c>
      <c r="I143" s="119">
        <v>0</v>
      </c>
      <c r="J143" s="120">
        <v>0</v>
      </c>
      <c r="K143" s="118">
        <v>0</v>
      </c>
      <c r="L143" t="str">
        <f>VLOOKUP(A143,'SAP Actual extraction'!$A$28:$A$1048576,1,0)</f>
        <v>credit*   CS_Direct Labour</v>
      </c>
      <c r="M143" t="str">
        <f>VLOOKUP(B143,'SAP Actual extraction'!B:B,1,0)</f>
        <v>*   CS_Direct Labour</v>
      </c>
    </row>
    <row r="144" spans="1:13" x14ac:dyDescent="0.3">
      <c r="A144" s="109" t="str">
        <f t="shared" si="4"/>
        <v>credit    8701530201  Scrap-Raw&amp;#160;Material - Managerial</v>
      </c>
      <c r="B144" s="112" t="s">
        <v>241</v>
      </c>
      <c r="C144" s="116">
        <v>0</v>
      </c>
      <c r="D144" s="113">
        <v>-311461.84999999998</v>
      </c>
      <c r="E144" s="113">
        <v>311461.84999999998</v>
      </c>
      <c r="F144" s="113">
        <v>-100</v>
      </c>
      <c r="G144" s="112" t="s">
        <v>241</v>
      </c>
      <c r="H144" s="114">
        <v>0</v>
      </c>
      <c r="I144" s="114">
        <v>0</v>
      </c>
      <c r="J144" s="115">
        <v>0</v>
      </c>
      <c r="K144" s="113">
        <v>0</v>
      </c>
      <c r="L144" t="str">
        <f>VLOOKUP(A144,'SAP Actual extraction'!$A$28:$A$1048576,1,0)</f>
        <v>credit    8701530201  Scrap-Raw&amp;#160;Material - Managerial</v>
      </c>
      <c r="M144" t="str">
        <f>VLOOKUP(B144,'SAP Actual extraction'!B:B,1,0)</f>
        <v xml:space="preserve">    8701530201  Scrap-Raw&amp;#160;Material - Managerial</v>
      </c>
    </row>
    <row r="145" spans="1:13" x14ac:dyDescent="0.3">
      <c r="A145" s="109" t="str">
        <f t="shared" si="4"/>
        <v>credit    6666050309  SFG scrap</v>
      </c>
      <c r="B145" s="112" t="s">
        <v>242</v>
      </c>
      <c r="C145" s="113">
        <v>-269668.21999999997</v>
      </c>
      <c r="D145" s="116">
        <v>0</v>
      </c>
      <c r="E145" s="113">
        <v>-269668.21999999997</v>
      </c>
      <c r="F145" s="113">
        <v>0</v>
      </c>
      <c r="G145" s="112" t="s">
        <v>242</v>
      </c>
      <c r="H145" s="114">
        <v>0</v>
      </c>
      <c r="I145" s="114">
        <v>0</v>
      </c>
      <c r="J145" s="115">
        <v>0</v>
      </c>
      <c r="K145" s="113">
        <v>0</v>
      </c>
      <c r="L145" t="str">
        <f>VLOOKUP(A145,'SAP Actual extraction'!$A$28:$A$1048576,1,0)</f>
        <v>credit    6666050309  SFG scrap</v>
      </c>
      <c r="M145" t="str">
        <f>VLOOKUP(B145,'SAP Actual extraction'!B:B,1,0)</f>
        <v xml:space="preserve">    6666050309  SFG scrap</v>
      </c>
    </row>
    <row r="146" spans="1:13" x14ac:dyDescent="0.3">
      <c r="A146" s="109" t="str">
        <f t="shared" si="4"/>
        <v>credit    6666050308  Raw material scrap</v>
      </c>
      <c r="B146" s="112" t="s">
        <v>243</v>
      </c>
      <c r="C146" s="113">
        <v>-76964.02</v>
      </c>
      <c r="D146" s="116">
        <v>0</v>
      </c>
      <c r="E146" s="113">
        <v>-76964.02</v>
      </c>
      <c r="F146" s="113">
        <v>0</v>
      </c>
      <c r="G146" s="112" t="s">
        <v>243</v>
      </c>
      <c r="H146" s="114">
        <v>0</v>
      </c>
      <c r="I146" s="114">
        <v>0</v>
      </c>
      <c r="J146" s="115">
        <v>0</v>
      </c>
      <c r="K146" s="113">
        <v>0</v>
      </c>
      <c r="L146" t="str">
        <f>VLOOKUP(A146,'SAP Actual extraction'!$A$28:$A$1048576,1,0)</f>
        <v>credit    6666050308  Raw material scrap</v>
      </c>
      <c r="M146" t="str">
        <f>VLOOKUP(B146,'SAP Actual extraction'!B:B,1,0)</f>
        <v xml:space="preserve">    6666050308  Raw material scrap</v>
      </c>
    </row>
    <row r="147" spans="1:13" x14ac:dyDescent="0.3">
      <c r="A147" s="109" t="str">
        <f t="shared" si="4"/>
        <v>credit    6666050306  Finished goods scrap</v>
      </c>
      <c r="B147" s="112" t="s">
        <v>244</v>
      </c>
      <c r="C147" s="113">
        <v>-924.29</v>
      </c>
      <c r="D147" s="116">
        <v>0</v>
      </c>
      <c r="E147" s="113">
        <v>-924.29</v>
      </c>
      <c r="F147" s="113">
        <v>0</v>
      </c>
      <c r="G147" s="112" t="s">
        <v>244</v>
      </c>
      <c r="H147" s="114">
        <v>0</v>
      </c>
      <c r="I147" s="114">
        <v>0</v>
      </c>
      <c r="J147" s="115">
        <v>0</v>
      </c>
      <c r="K147" s="113">
        <v>0</v>
      </c>
      <c r="L147" t="str">
        <f>VLOOKUP(A147,'SAP Actual extraction'!$A$28:$A$1048576,1,0)</f>
        <v>credit    6666050306  Finished goods scrap</v>
      </c>
      <c r="M147" t="str">
        <f>VLOOKUP(B147,'SAP Actual extraction'!B:B,1,0)</f>
        <v xml:space="preserve">    6666050306  Finished goods scrap</v>
      </c>
    </row>
    <row r="148" spans="1:13" x14ac:dyDescent="0.3">
      <c r="A148" s="109" t="str">
        <f t="shared" si="4"/>
        <v>credit*   CS_SCRAP_VARIABLE</v>
      </c>
      <c r="B148" s="117" t="s">
        <v>209</v>
      </c>
      <c r="C148" s="118">
        <v>-347556.53</v>
      </c>
      <c r="D148" s="118">
        <v>-311461.84999999998</v>
      </c>
      <c r="E148" s="118">
        <v>-36094.68</v>
      </c>
      <c r="F148" s="118">
        <v>11.588800000000001</v>
      </c>
      <c r="G148" s="117" t="s">
        <v>209</v>
      </c>
      <c r="H148" s="119">
        <v>0</v>
      </c>
      <c r="I148" s="119">
        <v>0</v>
      </c>
      <c r="J148" s="120">
        <v>0</v>
      </c>
      <c r="K148" s="118">
        <v>0</v>
      </c>
      <c r="L148" t="str">
        <f>VLOOKUP(A148,'SAP Actual extraction'!$A$28:$A$1048576,1,0)</f>
        <v>credit*   CS_SCRAP_VARIABLE</v>
      </c>
      <c r="M148" t="str">
        <f>VLOOKUP(B148,'SAP Actual extraction'!B:B,1,0)</f>
        <v>*   CS_SCRAP_VARIABLE</v>
      </c>
    </row>
    <row r="149" spans="1:13" x14ac:dyDescent="0.3">
      <c r="A149" s="109" t="str">
        <f t="shared" si="4"/>
        <v>credit    6666029996  Non-deductible expense-travel.</v>
      </c>
      <c r="B149" s="112" t="s">
        <v>246</v>
      </c>
      <c r="C149" s="113">
        <v>-148.72999999999999</v>
      </c>
      <c r="D149" s="116">
        <v>0</v>
      </c>
      <c r="E149" s="113">
        <v>-148.72999999999999</v>
      </c>
      <c r="F149" s="113">
        <v>0</v>
      </c>
      <c r="G149" s="112" t="s">
        <v>246</v>
      </c>
      <c r="H149" s="114">
        <v>0</v>
      </c>
      <c r="I149" s="114">
        <v>0</v>
      </c>
      <c r="J149" s="115">
        <v>0</v>
      </c>
      <c r="K149" s="113">
        <v>0</v>
      </c>
      <c r="L149" t="str">
        <f>VLOOKUP(A149,'SAP Actual extraction'!$A$28:$A$1048576,1,0)</f>
        <v>credit    6666029996  Non-deductible expense-travel.</v>
      </c>
      <c r="M149" t="str">
        <f>VLOOKUP(B149,'SAP Actual extraction'!B:B,1,0)</f>
        <v xml:space="preserve">    6666029996  Non-deductible expense-travel.</v>
      </c>
    </row>
    <row r="150" spans="1:13" x14ac:dyDescent="0.3">
      <c r="A150" s="109" t="str">
        <f t="shared" si="4"/>
        <v>credit    6666010322  fuel allowance</v>
      </c>
      <c r="B150" s="112" t="s">
        <v>248</v>
      </c>
      <c r="C150" s="113">
        <v>-16807.599999999999</v>
      </c>
      <c r="D150" s="116">
        <v>0</v>
      </c>
      <c r="E150" s="113">
        <v>-16807.599999999999</v>
      </c>
      <c r="F150" s="113">
        <v>0</v>
      </c>
      <c r="G150" s="112" t="s">
        <v>248</v>
      </c>
      <c r="H150" s="114">
        <v>0</v>
      </c>
      <c r="I150" s="114">
        <v>0</v>
      </c>
      <c r="J150" s="115">
        <v>0</v>
      </c>
      <c r="K150" s="113">
        <v>0</v>
      </c>
      <c r="L150" t="str">
        <f>VLOOKUP(A150,'SAP Actual extraction'!$A$28:$A$1048576,1,0)</f>
        <v>credit    6666010322  fuel allowance</v>
      </c>
      <c r="M150" t="str">
        <f>VLOOKUP(B150,'SAP Actual extraction'!B:B,1,0)</f>
        <v xml:space="preserve">    6666010322  fuel allowance</v>
      </c>
    </row>
    <row r="151" spans="1:13" x14ac:dyDescent="0.3">
      <c r="A151" s="109" t="str">
        <f t="shared" si="4"/>
        <v>credit    6666020495  Non-deductible expense-travel.</v>
      </c>
      <c r="B151" s="112" t="s">
        <v>249</v>
      </c>
      <c r="C151" s="113">
        <v>-4655.66</v>
      </c>
      <c r="D151" s="116">
        <v>0</v>
      </c>
      <c r="E151" s="113">
        <v>-4655.66</v>
      </c>
      <c r="F151" s="113">
        <v>0</v>
      </c>
      <c r="G151" s="112" t="s">
        <v>249</v>
      </c>
      <c r="H151" s="114">
        <v>0</v>
      </c>
      <c r="I151" s="114">
        <v>0</v>
      </c>
      <c r="J151" s="115">
        <v>0</v>
      </c>
      <c r="K151" s="113">
        <v>0</v>
      </c>
      <c r="L151" t="str">
        <f>VLOOKUP(A151,'SAP Actual extraction'!$A$28:$A$1048576,1,0)</f>
        <v>credit    6666020495  Non-deductible expense-travel.</v>
      </c>
      <c r="M151" t="str">
        <f>VLOOKUP(B151,'SAP Actual extraction'!B:B,1,0)</f>
        <v xml:space="preserve">    6666020495  Non-deductible expense-travel.</v>
      </c>
    </row>
    <row r="152" spans="1:13" x14ac:dyDescent="0.3">
      <c r="A152" s="109" t="str">
        <f t="shared" si="4"/>
        <v>credit    5102010151  Other Rev.-Interco-Epidemic problem comp</v>
      </c>
      <c r="B152" s="112" t="s">
        <v>250</v>
      </c>
      <c r="C152" s="113">
        <v>-190.43</v>
      </c>
      <c r="D152" s="116">
        <v>0</v>
      </c>
      <c r="E152" s="113">
        <v>-190.43</v>
      </c>
      <c r="F152" s="113">
        <v>0</v>
      </c>
      <c r="G152" s="112" t="s">
        <v>250</v>
      </c>
      <c r="H152" s="114">
        <v>0</v>
      </c>
      <c r="I152" s="114">
        <v>0</v>
      </c>
      <c r="J152" s="115">
        <v>0</v>
      </c>
      <c r="K152" s="113">
        <v>0</v>
      </c>
      <c r="L152" t="str">
        <f>VLOOKUP(A152,'SAP Actual extraction'!$A$28:$A$1048576,1,0)</f>
        <v>credit    5102010151  Other Rev.-Interco-Epidemic problem comp</v>
      </c>
      <c r="M152" t="str">
        <f>VLOOKUP(B152,'SAP Actual extraction'!B:B,1,0)</f>
        <v xml:space="preserve">    5102010151  Other Rev.-Interco-Epidemic problem comp</v>
      </c>
    </row>
    <row r="153" spans="1:13" x14ac:dyDescent="0.3">
      <c r="A153" s="109" t="str">
        <f t="shared" si="4"/>
        <v>credit    600008      Indirect Cost</v>
      </c>
      <c r="B153" s="112" t="s">
        <v>355</v>
      </c>
      <c r="C153" s="116">
        <v>0</v>
      </c>
      <c r="D153" s="116">
        <v>0</v>
      </c>
      <c r="E153" s="113">
        <v>0</v>
      </c>
      <c r="F153" s="113">
        <v>0</v>
      </c>
      <c r="G153" s="112" t="s">
        <v>355</v>
      </c>
      <c r="H153" s="114">
        <v>0</v>
      </c>
      <c r="I153" s="114">
        <v>0</v>
      </c>
      <c r="J153" s="115">
        <v>0</v>
      </c>
      <c r="K153" s="113">
        <v>0</v>
      </c>
      <c r="L153" t="e">
        <f>VLOOKUP(A153,'SAP Actual extraction'!$A$28:$A$1048576,1,0)</f>
        <v>#N/A</v>
      </c>
      <c r="M153" t="e">
        <f>VLOOKUP(B153,'SAP Actual extraction'!B:B,1,0)</f>
        <v>#N/A</v>
      </c>
    </row>
    <row r="154" spans="1:13" x14ac:dyDescent="0.3">
      <c r="A154" s="109" t="str">
        <f t="shared" si="4"/>
        <v>credit    600009      Quality Control</v>
      </c>
      <c r="B154" s="112" t="s">
        <v>356</v>
      </c>
      <c r="C154" s="116">
        <v>0</v>
      </c>
      <c r="D154" s="116">
        <v>0</v>
      </c>
      <c r="E154" s="113">
        <v>0</v>
      </c>
      <c r="F154" s="113">
        <v>0</v>
      </c>
      <c r="G154" s="112" t="s">
        <v>356</v>
      </c>
      <c r="H154" s="114">
        <v>0</v>
      </c>
      <c r="I154" s="114">
        <v>0</v>
      </c>
      <c r="J154" s="115">
        <v>0</v>
      </c>
      <c r="K154" s="113">
        <v>0</v>
      </c>
      <c r="L154" t="e">
        <f>VLOOKUP(A154,'SAP Actual extraction'!$A$28:$A$1048576,1,0)</f>
        <v>#N/A</v>
      </c>
      <c r="M154" t="e">
        <f>VLOOKUP(B154,'SAP Actual extraction'!B:B,1,0)</f>
        <v>#N/A</v>
      </c>
    </row>
    <row r="155" spans="1:13" x14ac:dyDescent="0.3">
      <c r="A155" s="109" t="str">
        <f t="shared" si="4"/>
        <v>credit    5001010200  Cost of Manufacture - Raw Material</v>
      </c>
      <c r="B155" s="112" t="s">
        <v>251</v>
      </c>
      <c r="C155" s="113">
        <v>-126.8</v>
      </c>
      <c r="D155" s="116">
        <v>0</v>
      </c>
      <c r="E155" s="113">
        <v>-126.8</v>
      </c>
      <c r="F155" s="113">
        <v>0</v>
      </c>
      <c r="G155" s="112" t="s">
        <v>251</v>
      </c>
      <c r="H155" s="114">
        <v>0</v>
      </c>
      <c r="I155" s="114">
        <v>0</v>
      </c>
      <c r="J155" s="115">
        <v>0</v>
      </c>
      <c r="K155" s="113">
        <v>0</v>
      </c>
      <c r="L155" t="str">
        <f>VLOOKUP(A155,'SAP Actual extraction'!$A$28:$A$1048576,1,0)</f>
        <v>credit    5001010200  Cost of Manufacture - Raw Material</v>
      </c>
      <c r="M155" t="str">
        <f>VLOOKUP(B155,'SAP Actual extraction'!B:B,1,0)</f>
        <v xml:space="preserve">    5001010200  Cost of Manufacture - Raw Material</v>
      </c>
    </row>
    <row r="156" spans="1:13" x14ac:dyDescent="0.3">
      <c r="A156" s="109" t="str">
        <f t="shared" si="4"/>
        <v>credit    5301060000  Other Income-Subsidy income</v>
      </c>
      <c r="B156" s="112" t="s">
        <v>256</v>
      </c>
      <c r="C156" s="116">
        <v>0</v>
      </c>
      <c r="D156" s="116">
        <v>0</v>
      </c>
      <c r="E156" s="113">
        <v>0</v>
      </c>
      <c r="F156" s="113">
        <v>0</v>
      </c>
      <c r="G156" s="112" t="s">
        <v>256</v>
      </c>
      <c r="H156" s="114">
        <v>0</v>
      </c>
      <c r="I156" s="114">
        <v>0</v>
      </c>
      <c r="J156" s="115">
        <v>0</v>
      </c>
      <c r="K156" s="113">
        <v>0</v>
      </c>
      <c r="L156" t="str">
        <f>VLOOKUP(A156,'SAP Actual extraction'!$A$28:$A$1048576,1,0)</f>
        <v>credit    5301060000  Other Income-Subsidy income</v>
      </c>
      <c r="M156" t="str">
        <f>VLOOKUP(B156,'SAP Actual extraction'!B:B,1,0)</f>
        <v xml:space="preserve">    5301060000  Other Income-Subsidy income</v>
      </c>
    </row>
    <row r="157" spans="1:13" x14ac:dyDescent="0.3">
      <c r="A157" s="109" t="str">
        <f t="shared" si="4"/>
        <v>credit    5301999999  Non-operation revenue-Other</v>
      </c>
      <c r="B157" s="112" t="s">
        <v>257</v>
      </c>
      <c r="C157" s="113">
        <v>-0.05</v>
      </c>
      <c r="D157" s="116">
        <v>0</v>
      </c>
      <c r="E157" s="113">
        <v>-0.05</v>
      </c>
      <c r="F157" s="113">
        <v>0</v>
      </c>
      <c r="G157" s="112" t="s">
        <v>257</v>
      </c>
      <c r="H157" s="114">
        <v>0</v>
      </c>
      <c r="I157" s="114">
        <v>0</v>
      </c>
      <c r="J157" s="115">
        <v>0</v>
      </c>
      <c r="K157" s="113">
        <v>0</v>
      </c>
      <c r="L157" t="str">
        <f>VLOOKUP(A157,'SAP Actual extraction'!$A$28:$A$1048576,1,0)</f>
        <v>credit    5301999999  Non-operation revenue-Other</v>
      </c>
      <c r="M157" t="str">
        <f>VLOOKUP(B157,'SAP Actual extraction'!B:B,1,0)</f>
        <v xml:space="preserve">    5301999999  Non-operation revenue-Other</v>
      </c>
    </row>
    <row r="158" spans="1:13" x14ac:dyDescent="0.3">
      <c r="A158" s="109" t="str">
        <f t="shared" si="4"/>
        <v>credit    5405030000  Other cost-others</v>
      </c>
      <c r="B158" s="112" t="s">
        <v>258</v>
      </c>
      <c r="C158" s="113">
        <v>-3431.77</v>
      </c>
      <c r="D158" s="116">
        <v>0</v>
      </c>
      <c r="E158" s="113">
        <v>-3431.77</v>
      </c>
      <c r="F158" s="113">
        <v>0</v>
      </c>
      <c r="G158" s="112" t="s">
        <v>258</v>
      </c>
      <c r="H158" s="114">
        <v>0</v>
      </c>
      <c r="I158" s="114">
        <v>0</v>
      </c>
      <c r="J158" s="115">
        <v>0</v>
      </c>
      <c r="K158" s="113">
        <v>0</v>
      </c>
      <c r="L158" t="str">
        <f>VLOOKUP(A158,'SAP Actual extraction'!$A$28:$A$1048576,1,0)</f>
        <v>credit    5405030000  Other cost-others</v>
      </c>
      <c r="M158" t="str">
        <f>VLOOKUP(B158,'SAP Actual extraction'!B:B,1,0)</f>
        <v xml:space="preserve">    5405030000  Other cost-others</v>
      </c>
    </row>
    <row r="159" spans="1:13" x14ac:dyDescent="0.3">
      <c r="A159" s="109" t="str">
        <f t="shared" si="4"/>
        <v>credit    5601020000  Loss on disposal fixed asset</v>
      </c>
      <c r="B159" s="112" t="s">
        <v>357</v>
      </c>
      <c r="C159" s="116">
        <v>0</v>
      </c>
      <c r="D159" s="116">
        <v>0</v>
      </c>
      <c r="E159" s="113">
        <v>0</v>
      </c>
      <c r="F159" s="113">
        <v>0</v>
      </c>
      <c r="G159" s="112" t="s">
        <v>357</v>
      </c>
      <c r="H159" s="114">
        <v>0</v>
      </c>
      <c r="I159" s="114">
        <v>0</v>
      </c>
      <c r="J159" s="115">
        <v>0</v>
      </c>
      <c r="K159" s="113">
        <v>0</v>
      </c>
      <c r="L159" t="e">
        <f>VLOOKUP(A159,'SAP Actual extraction'!$A$28:$A$1048576,1,0)</f>
        <v>#N/A</v>
      </c>
      <c r="M159" t="e">
        <f>VLOOKUP(B159,'SAP Actual extraction'!B:B,1,0)</f>
        <v>#N/A</v>
      </c>
    </row>
    <row r="160" spans="1:13" x14ac:dyDescent="0.3">
      <c r="A160" s="109" t="str">
        <f t="shared" si="4"/>
        <v>credit    5601050100  Non-operation Expense-Others</v>
      </c>
      <c r="B160" s="112" t="s">
        <v>260</v>
      </c>
      <c r="C160" s="113">
        <v>-347.51</v>
      </c>
      <c r="D160" s="116">
        <v>0</v>
      </c>
      <c r="E160" s="113">
        <v>-347.51</v>
      </c>
      <c r="F160" s="113">
        <v>0</v>
      </c>
      <c r="G160" s="112" t="s">
        <v>260</v>
      </c>
      <c r="H160" s="114">
        <v>0</v>
      </c>
      <c r="I160" s="114">
        <v>0</v>
      </c>
      <c r="J160" s="115">
        <v>0</v>
      </c>
      <c r="K160" s="113">
        <v>0</v>
      </c>
      <c r="L160" t="str">
        <f>VLOOKUP(A160,'SAP Actual extraction'!$A$28:$A$1048576,1,0)</f>
        <v>credit    5601050100  Non-operation Expense-Others</v>
      </c>
      <c r="M160" t="str">
        <f>VLOOKUP(B160,'SAP Actual extraction'!B:B,1,0)</f>
        <v xml:space="preserve">    5601050100  Non-operation Expense-Others</v>
      </c>
    </row>
    <row r="161" spans="1:13" x14ac:dyDescent="0.3">
      <c r="A161" s="109" t="str">
        <f t="shared" si="4"/>
        <v>credit    6666020101  Entertainment</v>
      </c>
      <c r="B161" s="112" t="s">
        <v>261</v>
      </c>
      <c r="C161" s="113">
        <v>-1309.23</v>
      </c>
      <c r="D161" s="113">
        <v>-116712.6</v>
      </c>
      <c r="E161" s="113">
        <v>115403.37</v>
      </c>
      <c r="F161" s="113">
        <v>-98.878200000000007</v>
      </c>
      <c r="G161" s="112" t="s">
        <v>261</v>
      </c>
      <c r="H161" s="114">
        <v>0</v>
      </c>
      <c r="I161" s="114">
        <v>0</v>
      </c>
      <c r="J161" s="115">
        <v>0</v>
      </c>
      <c r="K161" s="113">
        <v>0</v>
      </c>
      <c r="L161" t="str">
        <f>VLOOKUP(A161,'SAP Actual extraction'!$A$28:$A$1048576,1,0)</f>
        <v>credit    6666020101  Entertainment</v>
      </c>
      <c r="M161" t="str">
        <f>VLOOKUP(B161,'SAP Actual extraction'!B:B,1,0)</f>
        <v xml:space="preserve">    6666020101  Entertainment</v>
      </c>
    </row>
    <row r="162" spans="1:13" x14ac:dyDescent="0.3">
      <c r="A162" s="109" t="str">
        <f t="shared" si="4"/>
        <v>credit    6666020201  Domestic business travel</v>
      </c>
      <c r="B162" s="112" t="s">
        <v>262</v>
      </c>
      <c r="C162" s="113">
        <v>-734.33</v>
      </c>
      <c r="D162" s="113">
        <v>-21738.36</v>
      </c>
      <c r="E162" s="113">
        <v>21004.03</v>
      </c>
      <c r="F162" s="113">
        <v>-96.622</v>
      </c>
      <c r="G162" s="112" t="s">
        <v>262</v>
      </c>
      <c r="H162" s="114">
        <v>0</v>
      </c>
      <c r="I162" s="114">
        <v>0</v>
      </c>
      <c r="J162" s="115">
        <v>0</v>
      </c>
      <c r="K162" s="113">
        <v>0</v>
      </c>
      <c r="L162" t="str">
        <f>VLOOKUP(A162,'SAP Actual extraction'!$A$28:$A$1048576,1,0)</f>
        <v>credit    6666020201  Domestic business travel</v>
      </c>
      <c r="M162" t="str">
        <f>VLOOKUP(B162,'SAP Actual extraction'!B:B,1,0)</f>
        <v xml:space="preserve">    6666020201  Domestic business travel</v>
      </c>
    </row>
    <row r="163" spans="1:13" x14ac:dyDescent="0.3">
      <c r="A163" s="109" t="str">
        <f t="shared" si="4"/>
        <v>credit    6666020202  Overseas business travel</v>
      </c>
      <c r="B163" s="112" t="s">
        <v>263</v>
      </c>
      <c r="C163" s="113">
        <v>-3469.45</v>
      </c>
      <c r="D163" s="116">
        <v>0</v>
      </c>
      <c r="E163" s="113">
        <v>-3469.45</v>
      </c>
      <c r="F163" s="113">
        <v>0</v>
      </c>
      <c r="G163" s="112" t="s">
        <v>263</v>
      </c>
      <c r="H163" s="114">
        <v>0</v>
      </c>
      <c r="I163" s="114">
        <v>0</v>
      </c>
      <c r="J163" s="115">
        <v>0</v>
      </c>
      <c r="K163" s="113">
        <v>0</v>
      </c>
      <c r="L163" t="str">
        <f>VLOOKUP(A163,'SAP Actual extraction'!$A$28:$A$1048576,1,0)</f>
        <v>credit    6666020202  Overseas business travel</v>
      </c>
      <c r="M163" t="str">
        <f>VLOOKUP(B163,'SAP Actual extraction'!B:B,1,0)</f>
        <v xml:space="preserve">    6666020202  Overseas business travel</v>
      </c>
    </row>
    <row r="164" spans="1:13" x14ac:dyDescent="0.3">
      <c r="A164" s="109" t="str">
        <f t="shared" si="4"/>
        <v>credit    6666020204  Travel expense pay to agency</v>
      </c>
      <c r="B164" s="112" t="s">
        <v>264</v>
      </c>
      <c r="C164" s="113">
        <v>-10952.49</v>
      </c>
      <c r="D164" s="116">
        <v>0</v>
      </c>
      <c r="E164" s="113">
        <v>-10952.49</v>
      </c>
      <c r="F164" s="113">
        <v>0</v>
      </c>
      <c r="G164" s="112" t="s">
        <v>264</v>
      </c>
      <c r="H164" s="114">
        <v>0</v>
      </c>
      <c r="I164" s="114">
        <v>0</v>
      </c>
      <c r="J164" s="115">
        <v>0</v>
      </c>
      <c r="K164" s="113">
        <v>0</v>
      </c>
      <c r="L164" t="str">
        <f>VLOOKUP(A164,'SAP Actual extraction'!$A$28:$A$1048576,1,0)</f>
        <v>credit    6666020204  Travel expense pay to agency</v>
      </c>
      <c r="M164" t="str">
        <f>VLOOKUP(B164,'SAP Actual extraction'!B:B,1,0)</f>
        <v xml:space="preserve">    6666020204  Travel expense pay to agency</v>
      </c>
    </row>
    <row r="165" spans="1:13" x14ac:dyDescent="0.3">
      <c r="A165" s="109" t="str">
        <f t="shared" si="4"/>
        <v>credit    6666020205  Business travel-other</v>
      </c>
      <c r="B165" s="112" t="s">
        <v>265</v>
      </c>
      <c r="C165" s="116">
        <v>0</v>
      </c>
      <c r="D165" s="113">
        <v>-23321.64</v>
      </c>
      <c r="E165" s="113">
        <v>23321.64</v>
      </c>
      <c r="F165" s="113">
        <v>-100</v>
      </c>
      <c r="G165" s="112" t="s">
        <v>265</v>
      </c>
      <c r="H165" s="114">
        <v>0</v>
      </c>
      <c r="I165" s="114">
        <v>0</v>
      </c>
      <c r="J165" s="115">
        <v>0</v>
      </c>
      <c r="K165" s="113">
        <v>0</v>
      </c>
      <c r="L165" t="str">
        <f>VLOOKUP(A165,'SAP Actual extraction'!$A$28:$A$1048576,1,0)</f>
        <v>credit    6666020205  Business travel-other</v>
      </c>
      <c r="M165" t="str">
        <f>VLOOKUP(B165,'SAP Actual extraction'!B:B,1,0)</f>
        <v xml:space="preserve">    6666020205  Business travel-other</v>
      </c>
    </row>
    <row r="166" spans="1:13" x14ac:dyDescent="0.3">
      <c r="A166" s="109" t="str">
        <f t="shared" si="4"/>
        <v>credit    6666020301  Staff communication expense</v>
      </c>
      <c r="B166" s="112" t="s">
        <v>266</v>
      </c>
      <c r="C166" s="113">
        <v>-6161.12</v>
      </c>
      <c r="D166" s="116">
        <v>0</v>
      </c>
      <c r="E166" s="113">
        <v>-6161.12</v>
      </c>
      <c r="F166" s="113">
        <v>0</v>
      </c>
      <c r="G166" s="112" t="s">
        <v>266</v>
      </c>
      <c r="H166" s="114">
        <v>0</v>
      </c>
      <c r="I166" s="114">
        <v>0</v>
      </c>
      <c r="J166" s="115">
        <v>0</v>
      </c>
      <c r="K166" s="113">
        <v>0</v>
      </c>
      <c r="L166" t="str">
        <f>VLOOKUP(A166,'SAP Actual extraction'!$A$28:$A$1048576,1,0)</f>
        <v>credit    6666020301  Staff communication expense</v>
      </c>
      <c r="M166" t="str">
        <f>VLOOKUP(B166,'SAP Actual extraction'!B:B,1,0)</f>
        <v xml:space="preserve">    6666020301  Staff communication expense</v>
      </c>
    </row>
    <row r="167" spans="1:13" x14ac:dyDescent="0.3">
      <c r="A167" s="109" t="str">
        <f t="shared" si="4"/>
        <v>credit    6666020302  Communication Expenses</v>
      </c>
      <c r="B167" s="112" t="s">
        <v>268</v>
      </c>
      <c r="C167" s="113">
        <v>-1108.68</v>
      </c>
      <c r="D167" s="113">
        <v>-3120</v>
      </c>
      <c r="E167" s="113">
        <v>2011.32</v>
      </c>
      <c r="F167" s="113">
        <v>-64.465400000000002</v>
      </c>
      <c r="G167" s="112" t="s">
        <v>268</v>
      </c>
      <c r="H167" s="114">
        <v>0</v>
      </c>
      <c r="I167" s="114">
        <v>0</v>
      </c>
      <c r="J167" s="115">
        <v>0</v>
      </c>
      <c r="K167" s="113">
        <v>0</v>
      </c>
      <c r="L167" t="str">
        <f>VLOOKUP(A167,'SAP Actual extraction'!$A$28:$A$1048576,1,0)</f>
        <v>credit    6666020302  Communication Expenses</v>
      </c>
      <c r="M167" t="str">
        <f>VLOOKUP(B167,'SAP Actual extraction'!B:B,1,0)</f>
        <v xml:space="preserve">    6666020302  Communication Expenses</v>
      </c>
    </row>
    <row r="168" spans="1:13" x14ac:dyDescent="0.3">
      <c r="A168" s="109" t="str">
        <f t="shared" si="4"/>
        <v>credit    6666020403  Company car expense</v>
      </c>
      <c r="B168" s="112" t="s">
        <v>269</v>
      </c>
      <c r="C168" s="113">
        <v>-0.35</v>
      </c>
      <c r="D168" s="116">
        <v>0</v>
      </c>
      <c r="E168" s="113">
        <v>-0.35</v>
      </c>
      <c r="F168" s="113">
        <v>0</v>
      </c>
      <c r="G168" s="112" t="s">
        <v>269</v>
      </c>
      <c r="H168" s="114">
        <v>0</v>
      </c>
      <c r="I168" s="114">
        <v>0</v>
      </c>
      <c r="J168" s="115">
        <v>0</v>
      </c>
      <c r="K168" s="113">
        <v>0</v>
      </c>
      <c r="L168" t="str">
        <f>VLOOKUP(A168,'SAP Actual extraction'!$A$28:$A$1048576,1,0)</f>
        <v>credit    6666020403  Company car expense</v>
      </c>
      <c r="M168" t="str">
        <f>VLOOKUP(B168,'SAP Actual extraction'!B:B,1,0)</f>
        <v xml:space="preserve">    6666020403  Company car expense</v>
      </c>
    </row>
    <row r="169" spans="1:13" x14ac:dyDescent="0.3">
      <c r="A169" s="109" t="str">
        <f t="shared" si="4"/>
        <v>credit    6666020405  Company car expense - maintenance fees</v>
      </c>
      <c r="B169" s="112" t="s">
        <v>270</v>
      </c>
      <c r="C169" s="116">
        <v>0</v>
      </c>
      <c r="D169" s="116">
        <v>0</v>
      </c>
      <c r="E169" s="113">
        <v>0</v>
      </c>
      <c r="F169" s="113">
        <v>0</v>
      </c>
      <c r="G169" s="112" t="s">
        <v>270</v>
      </c>
      <c r="H169" s="114">
        <v>0</v>
      </c>
      <c r="I169" s="114">
        <v>0</v>
      </c>
      <c r="J169" s="115">
        <v>0</v>
      </c>
      <c r="K169" s="113">
        <v>0</v>
      </c>
      <c r="L169" t="str">
        <f>VLOOKUP(A169,'SAP Actual extraction'!$A$28:$A$1048576,1,0)</f>
        <v>credit    6666020405  Company car expense - maintenance fees</v>
      </c>
      <c r="M169" t="str">
        <f>VLOOKUP(B169,'SAP Actual extraction'!B:B,1,0)</f>
        <v xml:space="preserve">    6666020405  Company car expense - maintenance fees</v>
      </c>
    </row>
    <row r="170" spans="1:13" x14ac:dyDescent="0.3">
      <c r="A170" s="109" t="str">
        <f t="shared" si="4"/>
        <v>credit    6666020504  Newspaper and Periodicals expenditure</v>
      </c>
      <c r="B170" s="112" t="s">
        <v>271</v>
      </c>
      <c r="C170" s="113">
        <v>-298.66000000000003</v>
      </c>
      <c r="D170" s="113">
        <v>-1013.88</v>
      </c>
      <c r="E170" s="113">
        <v>715.22</v>
      </c>
      <c r="F170" s="113">
        <v>-70.542900000000003</v>
      </c>
      <c r="G170" s="112" t="s">
        <v>271</v>
      </c>
      <c r="H170" s="114">
        <v>0</v>
      </c>
      <c r="I170" s="114">
        <v>0</v>
      </c>
      <c r="J170" s="115">
        <v>0</v>
      </c>
      <c r="K170" s="113">
        <v>0</v>
      </c>
      <c r="L170" t="str">
        <f>VLOOKUP(A170,'SAP Actual extraction'!$A$28:$A$1048576,1,0)</f>
        <v>credit    6666020504  Newspaper and Periodicals expenditure</v>
      </c>
      <c r="M170" t="str">
        <f>VLOOKUP(B170,'SAP Actual extraction'!B:B,1,0)</f>
        <v xml:space="preserve">    6666020504  Newspaper and Periodicals expenditure</v>
      </c>
    </row>
    <row r="171" spans="1:13" x14ac:dyDescent="0.3">
      <c r="A171" s="109" t="str">
        <f t="shared" si="4"/>
        <v>credit    6666020508  Postage</v>
      </c>
      <c r="B171" s="112" t="s">
        <v>272</v>
      </c>
      <c r="C171" s="113">
        <v>-327.08</v>
      </c>
      <c r="D171" s="113">
        <v>-2486.88</v>
      </c>
      <c r="E171" s="113">
        <v>2159.8000000000002</v>
      </c>
      <c r="F171" s="113">
        <v>-86.847800000000007</v>
      </c>
      <c r="G171" s="112" t="s">
        <v>272</v>
      </c>
      <c r="H171" s="114">
        <v>0</v>
      </c>
      <c r="I171" s="114">
        <v>0</v>
      </c>
      <c r="J171" s="115">
        <v>0</v>
      </c>
      <c r="K171" s="113">
        <v>0</v>
      </c>
      <c r="L171" t="str">
        <f>VLOOKUP(A171,'SAP Actual extraction'!$A$28:$A$1048576,1,0)</f>
        <v>credit    6666020508  Postage</v>
      </c>
      <c r="M171" t="str">
        <f>VLOOKUP(B171,'SAP Actual extraction'!B:B,1,0)</f>
        <v xml:space="preserve">    6666020508  Postage</v>
      </c>
    </row>
    <row r="172" spans="1:13" x14ac:dyDescent="0.3">
      <c r="A172" s="109" t="str">
        <f t="shared" si="4"/>
        <v>credit    6666020602  Training costs Outside the group</v>
      </c>
      <c r="B172" s="112" t="s">
        <v>273</v>
      </c>
      <c r="C172" s="113">
        <v>-243.28</v>
      </c>
      <c r="D172" s="113">
        <v>-39288.839999999997</v>
      </c>
      <c r="E172" s="113">
        <v>39045.56</v>
      </c>
      <c r="F172" s="113">
        <v>-99.380799999999994</v>
      </c>
      <c r="G172" s="112" t="s">
        <v>273</v>
      </c>
      <c r="H172" s="114">
        <v>0</v>
      </c>
      <c r="I172" s="114">
        <v>0</v>
      </c>
      <c r="J172" s="115">
        <v>0</v>
      </c>
      <c r="K172" s="113">
        <v>0</v>
      </c>
      <c r="L172" t="str">
        <f>VLOOKUP(A172,'SAP Actual extraction'!$A$28:$A$1048576,1,0)</f>
        <v>credit    6666020602  Training costs Outside the group</v>
      </c>
      <c r="M172" t="str">
        <f>VLOOKUP(B172,'SAP Actual extraction'!B:B,1,0)</f>
        <v xml:space="preserve">    6666020602  Training costs Outside the group</v>
      </c>
    </row>
    <row r="173" spans="1:13" x14ac:dyDescent="0.3">
      <c r="A173" s="109" t="str">
        <f t="shared" si="4"/>
        <v>credit    6666020802  Equipment rental cost</v>
      </c>
      <c r="B173" s="112" t="s">
        <v>275</v>
      </c>
      <c r="C173" s="113">
        <v>-142344.95000000001</v>
      </c>
      <c r="D173" s="113">
        <v>-201538.52</v>
      </c>
      <c r="E173" s="113">
        <v>59193.57</v>
      </c>
      <c r="F173" s="113">
        <v>-29.370799999999999</v>
      </c>
      <c r="G173" s="112" t="s">
        <v>275</v>
      </c>
      <c r="H173" s="114">
        <v>0</v>
      </c>
      <c r="I173" s="114">
        <v>0</v>
      </c>
      <c r="J173" s="115">
        <v>0</v>
      </c>
      <c r="K173" s="113">
        <v>0</v>
      </c>
      <c r="L173" t="str">
        <f>VLOOKUP(A173,'SAP Actual extraction'!$A$28:$A$1048576,1,0)</f>
        <v>credit    6666020802  Equipment rental cost</v>
      </c>
      <c r="M173" t="str">
        <f>VLOOKUP(B173,'SAP Actual extraction'!B:B,1,0)</f>
        <v xml:space="preserve">    6666020802  Equipment rental cost</v>
      </c>
    </row>
    <row r="174" spans="1:13" x14ac:dyDescent="0.3">
      <c r="A174" s="109" t="str">
        <f t="shared" si="4"/>
        <v>credit    6666020803  Car rental cost</v>
      </c>
      <c r="B174" s="112" t="s">
        <v>276</v>
      </c>
      <c r="C174" s="113">
        <v>-37515.64</v>
      </c>
      <c r="D174" s="113">
        <v>-37066.68</v>
      </c>
      <c r="E174" s="113">
        <v>-448.96</v>
      </c>
      <c r="F174" s="113">
        <v>1.2112000000000001</v>
      </c>
      <c r="G174" s="112" t="s">
        <v>276</v>
      </c>
      <c r="H174" s="114">
        <v>0</v>
      </c>
      <c r="I174" s="114">
        <v>0</v>
      </c>
      <c r="J174" s="115">
        <v>0</v>
      </c>
      <c r="K174" s="113">
        <v>0</v>
      </c>
      <c r="L174" t="str">
        <f>VLOOKUP(A174,'SAP Actual extraction'!$A$28:$A$1048576,1,0)</f>
        <v>credit    6666020803  Car rental cost</v>
      </c>
      <c r="M174" t="str">
        <f>VLOOKUP(B174,'SAP Actual extraction'!B:B,1,0)</f>
        <v xml:space="preserve">    6666020803  Car rental cost</v>
      </c>
    </row>
    <row r="175" spans="1:13" x14ac:dyDescent="0.3">
      <c r="A175" s="109" t="str">
        <f t="shared" si="4"/>
        <v>credit    6666021100  Consulting fees</v>
      </c>
      <c r="B175" s="112" t="s">
        <v>277</v>
      </c>
      <c r="C175" s="113">
        <v>-104791.27</v>
      </c>
      <c r="D175" s="113">
        <v>-148626.88</v>
      </c>
      <c r="E175" s="113">
        <v>43835.61</v>
      </c>
      <c r="F175" s="113">
        <v>-29.4937</v>
      </c>
      <c r="G175" s="112" t="s">
        <v>277</v>
      </c>
      <c r="H175" s="114">
        <v>0</v>
      </c>
      <c r="I175" s="114">
        <v>0</v>
      </c>
      <c r="J175" s="115">
        <v>0</v>
      </c>
      <c r="K175" s="113">
        <v>0</v>
      </c>
      <c r="L175" t="str">
        <f>VLOOKUP(A175,'SAP Actual extraction'!$A$28:$A$1048576,1,0)</f>
        <v>credit    6666021100  Consulting fees</v>
      </c>
      <c r="M175" t="str">
        <f>VLOOKUP(B175,'SAP Actual extraction'!B:B,1,0)</f>
        <v xml:space="preserve">    6666021100  Consulting fees</v>
      </c>
    </row>
    <row r="176" spans="1:13" x14ac:dyDescent="0.3">
      <c r="A176" s="109" t="str">
        <f t="shared" si="4"/>
        <v>credit    6666021104  Consulting expense-Technical</v>
      </c>
      <c r="B176" s="112" t="s">
        <v>267</v>
      </c>
      <c r="C176" s="113">
        <v>1.18</v>
      </c>
      <c r="D176" s="116">
        <v>0</v>
      </c>
      <c r="E176" s="113">
        <v>1.18</v>
      </c>
      <c r="F176" s="113">
        <v>0</v>
      </c>
      <c r="G176" s="112" t="s">
        <v>267</v>
      </c>
      <c r="H176" s="114">
        <v>0</v>
      </c>
      <c r="I176" s="114">
        <v>0</v>
      </c>
      <c r="J176" s="115">
        <v>0</v>
      </c>
      <c r="K176" s="113">
        <v>0</v>
      </c>
      <c r="L176" t="e">
        <f>VLOOKUP(A176,'SAP Actual extraction'!$A$28:$A$1048576,1,0)</f>
        <v>#N/A</v>
      </c>
      <c r="M176" t="str">
        <f>VLOOKUP(B176,'SAP Actual extraction'!B:B,1,0)</f>
        <v xml:space="preserve">    6666021104  Consulting expense-Technical</v>
      </c>
    </row>
    <row r="177" spans="1:13" x14ac:dyDescent="0.3">
      <c r="A177" s="109" t="str">
        <f t="shared" si="4"/>
        <v>credit    6666021902  Cleaning fees</v>
      </c>
      <c r="B177" s="112" t="s">
        <v>278</v>
      </c>
      <c r="C177" s="113">
        <v>-99035.83</v>
      </c>
      <c r="D177" s="113">
        <v>-130453.2</v>
      </c>
      <c r="E177" s="113">
        <v>31417.37</v>
      </c>
      <c r="F177" s="113">
        <v>-24.083200000000001</v>
      </c>
      <c r="G177" s="112" t="s">
        <v>278</v>
      </c>
      <c r="H177" s="114">
        <v>0</v>
      </c>
      <c r="I177" s="114">
        <v>0</v>
      </c>
      <c r="J177" s="115">
        <v>0</v>
      </c>
      <c r="K177" s="113">
        <v>0</v>
      </c>
      <c r="L177" t="str">
        <f>VLOOKUP(A177,'SAP Actual extraction'!$A$28:$A$1048576,1,0)</f>
        <v>credit    6666021902  Cleaning fees</v>
      </c>
      <c r="M177" t="str">
        <f>VLOOKUP(B177,'SAP Actual extraction'!B:B,1,0)</f>
        <v xml:space="preserve">    6666021902  Cleaning fees</v>
      </c>
    </row>
    <row r="178" spans="1:13" x14ac:dyDescent="0.3">
      <c r="A178" s="109" t="str">
        <f t="shared" si="4"/>
        <v>credit    6666022100  Security</v>
      </c>
      <c r="B178" s="112" t="s">
        <v>279</v>
      </c>
      <c r="C178" s="113">
        <v>-53329.33</v>
      </c>
      <c r="D178" s="113">
        <v>-96555.72</v>
      </c>
      <c r="E178" s="113">
        <v>43226.39</v>
      </c>
      <c r="F178" s="113">
        <v>-44.768300000000004</v>
      </c>
      <c r="G178" s="112" t="s">
        <v>279</v>
      </c>
      <c r="H178" s="114">
        <v>0</v>
      </c>
      <c r="I178" s="114">
        <v>0</v>
      </c>
      <c r="J178" s="115">
        <v>0</v>
      </c>
      <c r="K178" s="113">
        <v>0</v>
      </c>
      <c r="L178" t="str">
        <f>VLOOKUP(A178,'SAP Actual extraction'!$A$28:$A$1048576,1,0)</f>
        <v>credit    6666022100  Security</v>
      </c>
      <c r="M178" t="str">
        <f>VLOOKUP(B178,'SAP Actual extraction'!B:B,1,0)</f>
        <v xml:space="preserve">    6666022100  Security</v>
      </c>
    </row>
    <row r="179" spans="1:13" x14ac:dyDescent="0.3">
      <c r="A179" s="109" t="str">
        <f t="shared" si="4"/>
        <v>credit    6666022300  Association dues</v>
      </c>
      <c r="B179" s="112" t="s">
        <v>280</v>
      </c>
      <c r="C179" s="116">
        <v>0</v>
      </c>
      <c r="D179" s="116">
        <v>0</v>
      </c>
      <c r="E179" s="113">
        <v>0</v>
      </c>
      <c r="F179" s="113">
        <v>0</v>
      </c>
      <c r="G179" s="112" t="s">
        <v>280</v>
      </c>
      <c r="H179" s="114">
        <v>0</v>
      </c>
      <c r="I179" s="114">
        <v>0</v>
      </c>
      <c r="J179" s="115">
        <v>0</v>
      </c>
      <c r="K179" s="113">
        <v>0</v>
      </c>
      <c r="L179" t="str">
        <f>VLOOKUP(A179,'SAP Actual extraction'!$A$28:$A$1048576,1,0)</f>
        <v>credit    6666022300  Association dues</v>
      </c>
      <c r="M179" t="str">
        <f>VLOOKUP(B179,'SAP Actual extraction'!B:B,1,0)</f>
        <v xml:space="preserve">    6666022300  Association dues</v>
      </c>
    </row>
    <row r="180" spans="1:13" x14ac:dyDescent="0.3">
      <c r="A180" s="109" t="str">
        <f t="shared" si="4"/>
        <v>credit    6666029900  Sundry Expenses</v>
      </c>
      <c r="B180" s="112" t="s">
        <v>281</v>
      </c>
      <c r="C180" s="113">
        <v>-5068.26</v>
      </c>
      <c r="D180" s="116">
        <v>0</v>
      </c>
      <c r="E180" s="113">
        <v>-5068.26</v>
      </c>
      <c r="F180" s="113">
        <v>0</v>
      </c>
      <c r="G180" s="112" t="s">
        <v>281</v>
      </c>
      <c r="H180" s="114">
        <v>0</v>
      </c>
      <c r="I180" s="114">
        <v>0</v>
      </c>
      <c r="J180" s="115">
        <v>0</v>
      </c>
      <c r="K180" s="113">
        <v>0</v>
      </c>
      <c r="L180" t="str">
        <f>VLOOKUP(A180,'SAP Actual extraction'!$A$28:$A$1048576,1,0)</f>
        <v>credit    6666029900  Sundry Expenses</v>
      </c>
      <c r="M180" t="str">
        <f>VLOOKUP(B180,'SAP Actual extraction'!B:B,1,0)</f>
        <v xml:space="preserve">    6666029900  Sundry Expenses</v>
      </c>
    </row>
    <row r="181" spans="1:13" x14ac:dyDescent="0.3">
      <c r="A181" s="109" t="str">
        <f t="shared" si="4"/>
        <v>credit    6666029997  restructure cost</v>
      </c>
      <c r="B181" s="112" t="s">
        <v>282</v>
      </c>
      <c r="C181" s="116">
        <v>0</v>
      </c>
      <c r="D181" s="113">
        <v>-5338.08</v>
      </c>
      <c r="E181" s="113">
        <v>5338.08</v>
      </c>
      <c r="F181" s="113">
        <v>-100</v>
      </c>
      <c r="G181" s="112" t="s">
        <v>282</v>
      </c>
      <c r="H181" s="114">
        <v>0</v>
      </c>
      <c r="I181" s="114">
        <v>0</v>
      </c>
      <c r="J181" s="115">
        <v>0</v>
      </c>
      <c r="K181" s="113">
        <v>0</v>
      </c>
      <c r="L181" t="str">
        <f>VLOOKUP(A181,'SAP Actual extraction'!$A$28:$A$1048576,1,0)</f>
        <v>credit    6666029997  restructure cost</v>
      </c>
      <c r="M181" t="str">
        <f>VLOOKUP(B181,'SAP Actual extraction'!B:B,1,0)</f>
        <v xml:space="preserve">    6666029997  restructure cost</v>
      </c>
    </row>
    <row r="182" spans="1:13" x14ac:dyDescent="0.3">
      <c r="A182" s="109" t="str">
        <f t="shared" si="4"/>
        <v>credit    6666030300  Design and development fees</v>
      </c>
      <c r="B182" s="112" t="s">
        <v>283</v>
      </c>
      <c r="C182" s="116">
        <v>0</v>
      </c>
      <c r="D182" s="116">
        <v>0</v>
      </c>
      <c r="E182" s="113">
        <v>0</v>
      </c>
      <c r="F182" s="113">
        <v>0</v>
      </c>
      <c r="G182" s="112" t="s">
        <v>283</v>
      </c>
      <c r="H182" s="114">
        <v>0</v>
      </c>
      <c r="I182" s="114">
        <v>0</v>
      </c>
      <c r="J182" s="115">
        <v>0</v>
      </c>
      <c r="K182" s="113">
        <v>0</v>
      </c>
      <c r="L182" t="str">
        <f>VLOOKUP(A182,'SAP Actual extraction'!$A$28:$A$1048576,1,0)</f>
        <v>credit    6666030300  Design and development fees</v>
      </c>
      <c r="M182" t="str">
        <f>VLOOKUP(B182,'SAP Actual extraction'!B:B,1,0)</f>
        <v xml:space="preserve">    6666030300  Design and development fees</v>
      </c>
    </row>
    <row r="183" spans="1:13" x14ac:dyDescent="0.3">
      <c r="A183" s="109" t="str">
        <f t="shared" si="4"/>
        <v>credit    6666050107  Special distribution costs</v>
      </c>
      <c r="B183" s="112" t="s">
        <v>286</v>
      </c>
      <c r="C183" s="113">
        <v>-0.62</v>
      </c>
      <c r="D183" s="116">
        <v>0</v>
      </c>
      <c r="E183" s="113">
        <v>-0.62</v>
      </c>
      <c r="F183" s="113">
        <v>0</v>
      </c>
      <c r="G183" s="112" t="s">
        <v>286</v>
      </c>
      <c r="H183" s="114">
        <v>0</v>
      </c>
      <c r="I183" s="114">
        <v>0</v>
      </c>
      <c r="J183" s="115">
        <v>0</v>
      </c>
      <c r="K183" s="113">
        <v>0</v>
      </c>
      <c r="L183" t="str">
        <f>VLOOKUP(A183,'SAP Actual extraction'!$A$28:$A$1048576,1,0)</f>
        <v>credit    6666050107  Special distribution costs</v>
      </c>
      <c r="M183" t="str">
        <f>VLOOKUP(B183,'SAP Actual extraction'!B:B,1,0)</f>
        <v xml:space="preserve">    6666050107  Special distribution costs</v>
      </c>
    </row>
    <row r="184" spans="1:13" x14ac:dyDescent="0.3">
      <c r="A184" s="109" t="str">
        <f t="shared" si="4"/>
        <v>credit    6666050312  Inventory count different- Semifinished</v>
      </c>
      <c r="B184" s="112" t="s">
        <v>211</v>
      </c>
      <c r="C184" s="113">
        <v>-203597.4</v>
      </c>
      <c r="D184" s="116">
        <v>0</v>
      </c>
      <c r="E184" s="113">
        <v>-203597.4</v>
      </c>
      <c r="F184" s="113">
        <v>0</v>
      </c>
      <c r="G184" s="112" t="s">
        <v>211</v>
      </c>
      <c r="H184" s="114">
        <v>0</v>
      </c>
      <c r="I184" s="114">
        <v>0</v>
      </c>
      <c r="J184" s="115">
        <v>0</v>
      </c>
      <c r="K184" s="113">
        <v>0</v>
      </c>
      <c r="L184" t="str">
        <f>VLOOKUP(A184,'SAP Actual extraction'!$A$28:$A$1048576,1,0)</f>
        <v>credit    6666050312  Inventory count different- Semifinished</v>
      </c>
      <c r="M184" t="str">
        <f>VLOOKUP(B184,'SAP Actual extraction'!B:B,1,0)</f>
        <v xml:space="preserve">    6666050312  Inventory count different- Semifinished</v>
      </c>
    </row>
    <row r="185" spans="1:13" x14ac:dyDescent="0.3">
      <c r="A185" s="109" t="str">
        <f t="shared" si="4"/>
        <v>credit    6666070100  Software purchase, development and imple</v>
      </c>
      <c r="B185" s="112" t="s">
        <v>287</v>
      </c>
      <c r="C185" s="116">
        <v>0</v>
      </c>
      <c r="D185" s="116">
        <v>0</v>
      </c>
      <c r="E185" s="113">
        <v>0</v>
      </c>
      <c r="F185" s="113">
        <v>0</v>
      </c>
      <c r="G185" s="112" t="s">
        <v>287</v>
      </c>
      <c r="H185" s="114">
        <v>0</v>
      </c>
      <c r="I185" s="114">
        <v>0</v>
      </c>
      <c r="J185" s="115">
        <v>0</v>
      </c>
      <c r="K185" s="113">
        <v>0</v>
      </c>
      <c r="L185" t="str">
        <f>VLOOKUP(A185,'SAP Actual extraction'!$A$28:$A$1048576,1,0)</f>
        <v>credit    6666070100  Software purchase, development and imple</v>
      </c>
      <c r="M185" t="str">
        <f>VLOOKUP(B185,'SAP Actual extraction'!B:B,1,0)</f>
        <v xml:space="preserve">    6666070100  Software purchase, development and imple</v>
      </c>
    </row>
    <row r="186" spans="1:13" x14ac:dyDescent="0.3">
      <c r="A186" s="109" t="str">
        <f t="shared" si="4"/>
        <v>credit    6666070400  IT maint. &amp; repairs hardware</v>
      </c>
      <c r="B186" s="112" t="s">
        <v>289</v>
      </c>
      <c r="C186" s="113">
        <v>-72428.08</v>
      </c>
      <c r="D186" s="113">
        <v>-98636.4</v>
      </c>
      <c r="E186" s="113">
        <v>26208.32</v>
      </c>
      <c r="F186" s="113">
        <v>-26.570599999999999</v>
      </c>
      <c r="G186" s="112" t="s">
        <v>289</v>
      </c>
      <c r="H186" s="114">
        <v>0</v>
      </c>
      <c r="I186" s="114">
        <v>0</v>
      </c>
      <c r="J186" s="115">
        <v>0</v>
      </c>
      <c r="K186" s="113">
        <v>0</v>
      </c>
      <c r="L186" t="str">
        <f>VLOOKUP(A186,'SAP Actual extraction'!$A$28:$A$1048576,1,0)</f>
        <v>credit    6666070400  IT maint. &amp; repairs hardware</v>
      </c>
      <c r="M186" t="str">
        <f>VLOOKUP(B186,'SAP Actual extraction'!B:B,1,0)</f>
        <v xml:space="preserve">    6666070400  IT maint. &amp; repairs hardware</v>
      </c>
    </row>
    <row r="187" spans="1:13" x14ac:dyDescent="0.3">
      <c r="A187" s="109" t="str">
        <f t="shared" si="4"/>
        <v>credit    5401050201  COGS-Freight out-Special and sporadic fr</v>
      </c>
      <c r="B187" s="112" t="s">
        <v>291</v>
      </c>
      <c r="C187" s="113">
        <v>-91</v>
      </c>
      <c r="D187" s="116">
        <v>0</v>
      </c>
      <c r="E187" s="113">
        <v>-91</v>
      </c>
      <c r="F187" s="113">
        <v>0</v>
      </c>
      <c r="G187" s="112" t="s">
        <v>291</v>
      </c>
      <c r="H187" s="114">
        <v>0</v>
      </c>
      <c r="I187" s="114">
        <v>0</v>
      </c>
      <c r="J187" s="115">
        <v>0</v>
      </c>
      <c r="K187" s="113">
        <v>0</v>
      </c>
      <c r="L187" t="e">
        <f>VLOOKUP(A187,'SAP Actual extraction'!$A$28:$A$1048576,1,0)</f>
        <v>#N/A</v>
      </c>
      <c r="M187" t="str">
        <f>VLOOKUP(B187,'SAP Actual extraction'!B:B,1,0)</f>
        <v xml:space="preserve">    5401050201  COGS-Freight out-Special and sporadic fr</v>
      </c>
    </row>
    <row r="188" spans="1:13" x14ac:dyDescent="0.3">
      <c r="A188" s="109" t="str">
        <f t="shared" si="4"/>
        <v>credit*   CS_Fix Cost</v>
      </c>
      <c r="B188" s="117" t="s">
        <v>210</v>
      </c>
      <c r="C188" s="118">
        <v>-768514.42</v>
      </c>
      <c r="D188" s="118">
        <v>-925897.68</v>
      </c>
      <c r="E188" s="118">
        <v>157383.26</v>
      </c>
      <c r="F188" s="118">
        <v>-16.997900000000001</v>
      </c>
      <c r="G188" s="117" t="s">
        <v>210</v>
      </c>
      <c r="H188" s="119">
        <v>0</v>
      </c>
      <c r="I188" s="119">
        <v>0</v>
      </c>
      <c r="J188" s="120">
        <v>0</v>
      </c>
      <c r="K188" s="118">
        <v>0</v>
      </c>
      <c r="L188" t="str">
        <f>VLOOKUP(A188,'SAP Actual extraction'!$A$28:$A$1048576,1,0)</f>
        <v>credit*   CS_Fix Cost</v>
      </c>
      <c r="M188" t="str">
        <f>VLOOKUP(B188,'SAP Actual extraction'!B:B,1,0)</f>
        <v>*   CS_Fix Cost</v>
      </c>
    </row>
    <row r="189" spans="1:13" x14ac:dyDescent="0.3">
      <c r="A189" s="109" t="str">
        <f t="shared" si="4"/>
        <v>credit    6666110203  Low value consumables</v>
      </c>
      <c r="B189" s="112" t="s">
        <v>292</v>
      </c>
      <c r="C189" s="113">
        <v>-21973.59</v>
      </c>
      <c r="D189" s="116">
        <v>0</v>
      </c>
      <c r="E189" s="113">
        <v>-21973.59</v>
      </c>
      <c r="F189" s="113">
        <v>0</v>
      </c>
      <c r="G189" s="112" t="s">
        <v>292</v>
      </c>
      <c r="H189" s="114">
        <v>0</v>
      </c>
      <c r="I189" s="114">
        <v>0</v>
      </c>
      <c r="J189" s="115">
        <v>0</v>
      </c>
      <c r="K189" s="113">
        <v>0</v>
      </c>
      <c r="L189" t="str">
        <f>VLOOKUP(A189,'SAP Actual extraction'!$A$28:$A$1048576,1,0)</f>
        <v>credit    6666110203  Low value consumables</v>
      </c>
      <c r="M189" t="str">
        <f>VLOOKUP(B189,'SAP Actual extraction'!B:B,1,0)</f>
        <v xml:space="preserve">    6666110203  Low value consumables</v>
      </c>
    </row>
    <row r="190" spans="1:13" x14ac:dyDescent="0.3">
      <c r="A190" s="109" t="str">
        <f t="shared" si="4"/>
        <v>credit    5102040000  Other Revenue - Other</v>
      </c>
      <c r="B190" s="112" t="s">
        <v>293</v>
      </c>
      <c r="C190" s="116">
        <v>0</v>
      </c>
      <c r="D190" s="116">
        <v>0</v>
      </c>
      <c r="E190" s="113">
        <v>0</v>
      </c>
      <c r="F190" s="113">
        <v>0</v>
      </c>
      <c r="G190" s="112" t="s">
        <v>293</v>
      </c>
      <c r="H190" s="114">
        <v>0</v>
      </c>
      <c r="I190" s="114">
        <v>0</v>
      </c>
      <c r="J190" s="115">
        <v>0</v>
      </c>
      <c r="K190" s="113">
        <v>0</v>
      </c>
      <c r="L190" t="str">
        <f>VLOOKUP(A190,'SAP Actual extraction'!$A$28:$A$1048576,1,0)</f>
        <v>credit    5102040000  Other Revenue - Other</v>
      </c>
      <c r="M190" t="str">
        <f>VLOOKUP(B190,'SAP Actual extraction'!B:B,1,0)</f>
        <v xml:space="preserve">    5102040000  Other Revenue - Other</v>
      </c>
    </row>
    <row r="191" spans="1:13" x14ac:dyDescent="0.3">
      <c r="A191" s="109" t="str">
        <f t="shared" si="4"/>
        <v>credit    6666050307  Inventory count different-raw material</v>
      </c>
      <c r="B191" s="112" t="s">
        <v>294</v>
      </c>
      <c r="C191" s="113">
        <v>539600.25</v>
      </c>
      <c r="D191" s="116">
        <v>0</v>
      </c>
      <c r="E191" s="113">
        <v>539600.25</v>
      </c>
      <c r="F191" s="113">
        <v>0</v>
      </c>
      <c r="G191" s="112" t="s">
        <v>294</v>
      </c>
      <c r="H191" s="114">
        <v>0</v>
      </c>
      <c r="I191" s="114">
        <v>0</v>
      </c>
      <c r="J191" s="115">
        <v>0</v>
      </c>
      <c r="K191" s="113">
        <v>0</v>
      </c>
      <c r="L191" t="str">
        <f>VLOOKUP(A191,'SAP Actual extraction'!$A$28:$A$1048576,1,0)</f>
        <v>credit    6666050307  Inventory count different-raw material</v>
      </c>
      <c r="M191" t="str">
        <f>VLOOKUP(B191,'SAP Actual extraction'!B:B,1,0)</f>
        <v xml:space="preserve">    6666050307  Inventory count different-raw material</v>
      </c>
    </row>
    <row r="192" spans="1:13" x14ac:dyDescent="0.3">
      <c r="A192" s="109" t="str">
        <f t="shared" si="4"/>
        <v>credit*   CS_Variable Cost</v>
      </c>
      <c r="B192" s="117" t="s">
        <v>212</v>
      </c>
      <c r="C192" s="118">
        <v>517626.66</v>
      </c>
      <c r="D192" s="125">
        <v>0</v>
      </c>
      <c r="E192" s="118">
        <v>517626.66</v>
      </c>
      <c r="F192" s="118">
        <v>0</v>
      </c>
      <c r="G192" s="117" t="s">
        <v>212</v>
      </c>
      <c r="H192" s="119">
        <v>0</v>
      </c>
      <c r="I192" s="119">
        <v>0</v>
      </c>
      <c r="J192" s="120">
        <v>0</v>
      </c>
      <c r="K192" s="118">
        <v>0</v>
      </c>
      <c r="L192" t="str">
        <f>VLOOKUP(A192,'SAP Actual extraction'!$A$28:$A$1048576,1,0)</f>
        <v>credit*   CS_Variable Cost</v>
      </c>
      <c r="M192" t="str">
        <f>VLOOKUP(B192,'SAP Actual extraction'!B:B,1,0)</f>
        <v>*   CS_Variable Cost</v>
      </c>
    </row>
    <row r="193" spans="1:13" x14ac:dyDescent="0.3">
      <c r="A193" s="109" t="str">
        <f t="shared" si="4"/>
        <v>credit    6666100203  Provision for inventory devaluation - RM</v>
      </c>
      <c r="B193" s="112" t="s">
        <v>295</v>
      </c>
      <c r="C193" s="113">
        <v>-264585.31</v>
      </c>
      <c r="D193" s="113">
        <v>-300000</v>
      </c>
      <c r="E193" s="113">
        <v>35414.69</v>
      </c>
      <c r="F193" s="113">
        <v>-11.8049</v>
      </c>
      <c r="G193" s="112" t="s">
        <v>295</v>
      </c>
      <c r="H193" s="114">
        <v>0</v>
      </c>
      <c r="I193" s="114">
        <v>0</v>
      </c>
      <c r="J193" s="115">
        <v>0</v>
      </c>
      <c r="K193" s="113">
        <v>0</v>
      </c>
      <c r="L193" t="str">
        <f>VLOOKUP(A193,'SAP Actual extraction'!$A$28:$A$1048576,1,0)</f>
        <v>credit    6666100203  Provision for inventory devaluation - RM</v>
      </c>
      <c r="M193" t="str">
        <f>VLOOKUP(B193,'SAP Actual extraction'!B:B,1,0)</f>
        <v xml:space="preserve">    6666100203  Provision for inventory devaluation - RM</v>
      </c>
    </row>
    <row r="194" spans="1:13" x14ac:dyDescent="0.3">
      <c r="A194" s="109" t="str">
        <f t="shared" si="4"/>
        <v>credit*   CS_Obsolescence</v>
      </c>
      <c r="B194" s="117" t="s">
        <v>213</v>
      </c>
      <c r="C194" s="118">
        <v>-264585.31</v>
      </c>
      <c r="D194" s="118">
        <v>-300000</v>
      </c>
      <c r="E194" s="118">
        <v>35414.69</v>
      </c>
      <c r="F194" s="118">
        <v>-11.8049</v>
      </c>
      <c r="G194" s="117" t="s">
        <v>213</v>
      </c>
      <c r="H194" s="119">
        <v>0</v>
      </c>
      <c r="I194" s="119">
        <v>0</v>
      </c>
      <c r="J194" s="120">
        <v>0</v>
      </c>
      <c r="K194" s="118">
        <v>0</v>
      </c>
      <c r="L194" t="str">
        <f>VLOOKUP(A194,'SAP Actual extraction'!$A$28:$A$1048576,1,0)</f>
        <v>credit*   CS_Obsolescence</v>
      </c>
      <c r="M194" t="str">
        <f>VLOOKUP(B194,'SAP Actual extraction'!B:B,1,0)</f>
        <v>*   CS_Obsolescence</v>
      </c>
    </row>
    <row r="195" spans="1:13" x14ac:dyDescent="0.3">
      <c r="A195" s="109" t="str">
        <f t="shared" si="4"/>
        <v>credit    5301070000  Non-operation revenue-sales of scrapped</v>
      </c>
      <c r="B195" s="112" t="s">
        <v>296</v>
      </c>
      <c r="C195" s="113">
        <v>1094435.07</v>
      </c>
      <c r="D195" s="113">
        <v>941253.81</v>
      </c>
      <c r="E195" s="113">
        <v>153181.26</v>
      </c>
      <c r="F195" s="113">
        <v>16.2742</v>
      </c>
      <c r="G195" s="112" t="s">
        <v>296</v>
      </c>
      <c r="H195" s="114">
        <v>0</v>
      </c>
      <c r="I195" s="114">
        <v>0</v>
      </c>
      <c r="J195" s="115">
        <v>0</v>
      </c>
      <c r="K195" s="113">
        <v>0</v>
      </c>
      <c r="L195" t="str">
        <f>VLOOKUP(A195,'SAP Actual extraction'!$A$28:$A$1048576,1,0)</f>
        <v>credit    5301070000  Non-operation revenue-sales of scrapped</v>
      </c>
      <c r="M195" t="str">
        <f>VLOOKUP(B195,'SAP Actual extraction'!B:B,1,0)</f>
        <v xml:space="preserve">    5301070000  Non-operation revenue-sales of scrapped</v>
      </c>
    </row>
    <row r="196" spans="1:13" x14ac:dyDescent="0.3">
      <c r="A196" s="109" t="str">
        <f t="shared" si="4"/>
        <v>credit*   CS_Reselling</v>
      </c>
      <c r="B196" s="117" t="s">
        <v>214</v>
      </c>
      <c r="C196" s="118">
        <v>1094435.07</v>
      </c>
      <c r="D196" s="118">
        <v>941253.81</v>
      </c>
      <c r="E196" s="118">
        <v>153181.26</v>
      </c>
      <c r="F196" s="118">
        <v>16.2742</v>
      </c>
      <c r="G196" s="117" t="s">
        <v>214</v>
      </c>
      <c r="H196" s="119">
        <v>0</v>
      </c>
      <c r="I196" s="119">
        <v>0</v>
      </c>
      <c r="J196" s="120">
        <v>0</v>
      </c>
      <c r="K196" s="118">
        <v>0</v>
      </c>
      <c r="L196" t="str">
        <f>VLOOKUP(A196,'SAP Actual extraction'!$A$28:$A$1048576,1,0)</f>
        <v>credit*   CS_Reselling</v>
      </c>
      <c r="M196" t="str">
        <f>VLOOKUP(B196,'SAP Actual extraction'!B:B,1,0)</f>
        <v>*   CS_Reselling</v>
      </c>
    </row>
    <row r="197" spans="1:13" x14ac:dyDescent="0.3">
      <c r="A197" s="109" t="str">
        <f t="shared" si="4"/>
        <v>credit    6666021602  Electricity</v>
      </c>
      <c r="B197" s="112" t="s">
        <v>297</v>
      </c>
      <c r="C197" s="113">
        <v>-8136.45</v>
      </c>
      <c r="D197" s="113">
        <v>-90148.38</v>
      </c>
      <c r="E197" s="113">
        <v>82011.929999999993</v>
      </c>
      <c r="F197" s="113">
        <v>-90.974400000000003</v>
      </c>
      <c r="G197" s="112" t="s">
        <v>297</v>
      </c>
      <c r="H197" s="114">
        <v>0</v>
      </c>
      <c r="I197" s="114">
        <v>0</v>
      </c>
      <c r="J197" s="115">
        <v>0</v>
      </c>
      <c r="K197" s="113">
        <v>0</v>
      </c>
      <c r="L197" t="str">
        <f>VLOOKUP(A197,'SAP Actual extraction'!$A$28:$A$1048576,1,0)</f>
        <v>credit    6666021602  Electricity</v>
      </c>
      <c r="M197" t="str">
        <f>VLOOKUP(B197,'SAP Actual extraction'!B:B,1,0)</f>
        <v xml:space="preserve">    6666021602  Electricity</v>
      </c>
    </row>
    <row r="198" spans="1:13" x14ac:dyDescent="0.3">
      <c r="A198" s="109" t="str">
        <f t="shared" si="4"/>
        <v>credit*   CS_Fix Utilities</v>
      </c>
      <c r="B198" s="117" t="s">
        <v>215</v>
      </c>
      <c r="C198" s="118">
        <v>-8136.45</v>
      </c>
      <c r="D198" s="118">
        <v>-90148.38</v>
      </c>
      <c r="E198" s="118">
        <v>82011.929999999993</v>
      </c>
      <c r="F198" s="118">
        <v>-90.974400000000003</v>
      </c>
      <c r="G198" s="117" t="s">
        <v>215</v>
      </c>
      <c r="H198" s="119">
        <v>0</v>
      </c>
      <c r="I198" s="119">
        <v>0</v>
      </c>
      <c r="J198" s="120">
        <v>0</v>
      </c>
      <c r="K198" s="118">
        <v>0</v>
      </c>
      <c r="L198" t="str">
        <f>VLOOKUP(A198,'SAP Actual extraction'!$A$28:$A$1048576,1,0)</f>
        <v>credit*   CS_Fix Utilities</v>
      </c>
      <c r="M198" t="str">
        <f>VLOOKUP(B198,'SAP Actual extraction'!B:B,1,0)</f>
        <v>*   CS_Fix Utilities</v>
      </c>
    </row>
    <row r="199" spans="1:13" x14ac:dyDescent="0.3">
      <c r="A199" s="109" t="str">
        <f t="shared" si="4"/>
        <v>credit    6666021603  Water</v>
      </c>
      <c r="B199" s="112" t="s">
        <v>299</v>
      </c>
      <c r="C199" s="113">
        <v>-10050.64</v>
      </c>
      <c r="D199" s="116">
        <v>0</v>
      </c>
      <c r="E199" s="113">
        <v>-10050.64</v>
      </c>
      <c r="F199" s="113">
        <v>0</v>
      </c>
      <c r="G199" s="112" t="s">
        <v>299</v>
      </c>
      <c r="H199" s="114">
        <v>0</v>
      </c>
      <c r="I199" s="114">
        <v>0</v>
      </c>
      <c r="J199" s="115">
        <v>0</v>
      </c>
      <c r="K199" s="113">
        <v>0</v>
      </c>
      <c r="L199" t="str">
        <f>VLOOKUP(A199,'SAP Actual extraction'!$A$28:$A$1048576,1,0)</f>
        <v>credit    6666021603  Water</v>
      </c>
      <c r="M199" t="str">
        <f>VLOOKUP(B199,'SAP Actual extraction'!B:B,1,0)</f>
        <v xml:space="preserve">    6666021603  Water</v>
      </c>
    </row>
    <row r="200" spans="1:13" x14ac:dyDescent="0.3">
      <c r="A200" s="109" t="str">
        <f t="shared" si="4"/>
        <v>credit    6666021604  Oil &amp; Gas</v>
      </c>
      <c r="B200" s="112" t="s">
        <v>300</v>
      </c>
      <c r="C200" s="113">
        <v>-42371.31</v>
      </c>
      <c r="D200" s="116">
        <v>0</v>
      </c>
      <c r="E200" s="113">
        <v>-42371.31</v>
      </c>
      <c r="F200" s="113">
        <v>0</v>
      </c>
      <c r="G200" s="112" t="s">
        <v>300</v>
      </c>
      <c r="H200" s="114">
        <v>0</v>
      </c>
      <c r="I200" s="114">
        <v>0</v>
      </c>
      <c r="J200" s="115">
        <v>0</v>
      </c>
      <c r="K200" s="113">
        <v>0</v>
      </c>
      <c r="L200" t="str">
        <f>VLOOKUP(A200,'SAP Actual extraction'!$A$28:$A$1048576,1,0)</f>
        <v>credit    6666021604  Oil &amp; Gas</v>
      </c>
      <c r="M200" t="str">
        <f>VLOOKUP(B200,'SAP Actual extraction'!B:B,1,0)</f>
        <v xml:space="preserve">    6666021604  Oil &amp; Gas</v>
      </c>
    </row>
    <row r="201" spans="1:13" x14ac:dyDescent="0.3">
      <c r="A201" s="109" t="str">
        <f t="shared" si="4"/>
        <v>credit*   CS_Variable Utilities</v>
      </c>
      <c r="B201" s="117" t="s">
        <v>216</v>
      </c>
      <c r="C201" s="118">
        <v>-52421.95</v>
      </c>
      <c r="D201" s="125">
        <v>0</v>
      </c>
      <c r="E201" s="118">
        <v>-52421.95</v>
      </c>
      <c r="F201" s="118">
        <v>0</v>
      </c>
      <c r="G201" s="117" t="s">
        <v>216</v>
      </c>
      <c r="H201" s="119">
        <v>0</v>
      </c>
      <c r="I201" s="119">
        <v>0</v>
      </c>
      <c r="J201" s="120">
        <v>0</v>
      </c>
      <c r="K201" s="118">
        <v>0</v>
      </c>
      <c r="L201" t="str">
        <f>VLOOKUP(A201,'SAP Actual extraction'!$A$28:$A$1048576,1,0)</f>
        <v>credit*   CS_Variable Utilities</v>
      </c>
      <c r="M201" t="str">
        <f>VLOOKUP(B201,'SAP Actual extraction'!B:B,1,0)</f>
        <v>*   CS_Variable Utilities</v>
      </c>
    </row>
    <row r="202" spans="1:13" x14ac:dyDescent="0.3">
      <c r="A202" s="109" t="str">
        <f t="shared" si="4"/>
        <v>credit    5001010206  Unemployment Insurance -blue collar-Indi</v>
      </c>
      <c r="B202" s="112" t="s">
        <v>301</v>
      </c>
      <c r="C202" s="113">
        <v>-27818.1</v>
      </c>
      <c r="D202" s="116">
        <v>0</v>
      </c>
      <c r="E202" s="113">
        <v>-27818.1</v>
      </c>
      <c r="F202" s="113">
        <v>0</v>
      </c>
      <c r="G202" s="112" t="s">
        <v>301</v>
      </c>
      <c r="H202" s="114">
        <v>0</v>
      </c>
      <c r="I202" s="114">
        <v>0</v>
      </c>
      <c r="J202" s="115">
        <v>0</v>
      </c>
      <c r="K202" s="113">
        <v>0</v>
      </c>
      <c r="L202" t="str">
        <f>VLOOKUP(A202,'SAP Actual extraction'!$A$28:$A$1048576,1,0)</f>
        <v>credit    5001010206  Unemployment Insurance -blue collar-Indi</v>
      </c>
      <c r="M202" t="str">
        <f>VLOOKUP(B202,'SAP Actual extraction'!B:B,1,0)</f>
        <v xml:space="preserve">    5001010206  Unemployment Insurance -blue collar-Indi</v>
      </c>
    </row>
    <row r="203" spans="1:13" x14ac:dyDescent="0.3">
      <c r="A203" s="109" t="str">
        <f t="shared" ref="A203:A234" si="5">"credit"&amp;B203</f>
        <v>credit    6666010184  Salary&amp;Additional Incentive-Blue Collar-</v>
      </c>
      <c r="B203" s="112" t="s">
        <v>302</v>
      </c>
      <c r="C203" s="113">
        <v>1903.3</v>
      </c>
      <c r="D203" s="116">
        <v>0</v>
      </c>
      <c r="E203" s="113">
        <v>1903.3</v>
      </c>
      <c r="F203" s="113">
        <v>0</v>
      </c>
      <c r="G203" s="112" t="s">
        <v>302</v>
      </c>
      <c r="H203" s="114">
        <v>0</v>
      </c>
      <c r="I203" s="114">
        <v>0</v>
      </c>
      <c r="J203" s="115">
        <v>0</v>
      </c>
      <c r="K203" s="113">
        <v>0</v>
      </c>
      <c r="L203" t="str">
        <f>VLOOKUP(A203,'SAP Actual extraction'!$A$28:$A$1048576,1,0)</f>
        <v>credit    6666010184  Salary&amp;Additional Incentive-Blue Collar-</v>
      </c>
      <c r="M203" t="str">
        <f>VLOOKUP(B203,'SAP Actual extraction'!B:B,1,0)</f>
        <v xml:space="preserve">    6666010184  Salary&amp;Additional Incentive-Blue Collar-</v>
      </c>
    </row>
    <row r="204" spans="1:13" x14ac:dyDescent="0.3">
      <c r="A204" s="109" t="str">
        <f t="shared" si="5"/>
        <v>credit    6666010186  Overtime-Blue Collar-Indirect</v>
      </c>
      <c r="B204" s="112" t="s">
        <v>303</v>
      </c>
      <c r="C204" s="113">
        <v>-86451.11</v>
      </c>
      <c r="D204" s="116">
        <v>0</v>
      </c>
      <c r="E204" s="113">
        <v>-86451.11</v>
      </c>
      <c r="F204" s="113">
        <v>0</v>
      </c>
      <c r="G204" s="112" t="s">
        <v>303</v>
      </c>
      <c r="H204" s="114">
        <v>0</v>
      </c>
      <c r="I204" s="114">
        <v>0</v>
      </c>
      <c r="J204" s="115">
        <v>0</v>
      </c>
      <c r="K204" s="113">
        <v>0</v>
      </c>
      <c r="L204" t="str">
        <f>VLOOKUP(A204,'SAP Actual extraction'!$A$28:$A$1048576,1,0)</f>
        <v>credit    6666010186  Overtime-Blue Collar-Indirect</v>
      </c>
      <c r="M204" t="str">
        <f>VLOOKUP(B204,'SAP Actual extraction'!B:B,1,0)</f>
        <v xml:space="preserve">    6666010186  Overtime-Blue Collar-Indirect</v>
      </c>
    </row>
    <row r="205" spans="1:13" x14ac:dyDescent="0.3">
      <c r="A205" s="109" t="str">
        <f t="shared" si="5"/>
        <v>credit    6666010189  Salary - Blue collar indirect employees</v>
      </c>
      <c r="B205" s="112" t="s">
        <v>304</v>
      </c>
      <c r="C205" s="113">
        <v>2900.72</v>
      </c>
      <c r="D205" s="113">
        <v>-2008804.17</v>
      </c>
      <c r="E205" s="113">
        <v>2011704.89</v>
      </c>
      <c r="F205" s="113">
        <v>-100.1444</v>
      </c>
      <c r="G205" s="112" t="s">
        <v>304</v>
      </c>
      <c r="H205" s="114">
        <v>0</v>
      </c>
      <c r="I205" s="114">
        <v>0</v>
      </c>
      <c r="J205" s="115">
        <v>0</v>
      </c>
      <c r="K205" s="113">
        <v>0</v>
      </c>
      <c r="L205" t="str">
        <f>VLOOKUP(A205,'SAP Actual extraction'!$A$28:$A$1048576,1,0)</f>
        <v>credit    6666010189  Salary - Blue collar indirect employees</v>
      </c>
      <c r="M205" t="str">
        <f>VLOOKUP(B205,'SAP Actual extraction'!B:B,1,0)</f>
        <v xml:space="preserve">    6666010189  Salary - Blue collar indirect employees</v>
      </c>
    </row>
    <row r="206" spans="1:13" x14ac:dyDescent="0.3">
      <c r="A206" s="109" t="str">
        <f t="shared" si="5"/>
        <v>credit    6666010012  Payroll Taxes- Blue Collar Indirect</v>
      </c>
      <c r="B206" s="112" t="s">
        <v>305</v>
      </c>
      <c r="C206" s="113">
        <v>-227713.33</v>
      </c>
      <c r="D206" s="116">
        <v>0</v>
      </c>
      <c r="E206" s="113">
        <v>-227713.33</v>
      </c>
      <c r="F206" s="113">
        <v>0</v>
      </c>
      <c r="G206" s="112" t="s">
        <v>305</v>
      </c>
      <c r="H206" s="114">
        <v>0</v>
      </c>
      <c r="I206" s="114">
        <v>0</v>
      </c>
      <c r="J206" s="115">
        <v>0</v>
      </c>
      <c r="K206" s="113">
        <v>0</v>
      </c>
      <c r="L206" t="str">
        <f>VLOOKUP(A206,'SAP Actual extraction'!$A$28:$A$1048576,1,0)</f>
        <v>credit    6666010012  Payroll Taxes- Blue Collar Indirect</v>
      </c>
      <c r="M206" t="str">
        <f>VLOOKUP(B206,'SAP Actual extraction'!B:B,1,0)</f>
        <v xml:space="preserve">    6666010012  Payroll Taxes- Blue Collar Indirect</v>
      </c>
    </row>
    <row r="207" spans="1:13" x14ac:dyDescent="0.3">
      <c r="A207" s="109" t="str">
        <f t="shared" si="5"/>
        <v>credit    6666010226  Staff Leaving Indemnity - Blue Collar In</v>
      </c>
      <c r="B207" s="112" t="s">
        <v>306</v>
      </c>
      <c r="C207" s="113">
        <v>-49860.1</v>
      </c>
      <c r="D207" s="116">
        <v>0</v>
      </c>
      <c r="E207" s="113">
        <v>-49860.1</v>
      </c>
      <c r="F207" s="113">
        <v>0</v>
      </c>
      <c r="G207" s="112" t="s">
        <v>306</v>
      </c>
      <c r="H207" s="114">
        <v>0</v>
      </c>
      <c r="I207" s="114">
        <v>0</v>
      </c>
      <c r="J207" s="115">
        <v>0</v>
      </c>
      <c r="K207" s="113">
        <v>0</v>
      </c>
      <c r="L207" t="str">
        <f>VLOOKUP(A207,'SAP Actual extraction'!$A$28:$A$1048576,1,0)</f>
        <v>credit    6666010226  Staff Leaving Indemnity - Blue Collar In</v>
      </c>
      <c r="M207" t="str">
        <f>VLOOKUP(B207,'SAP Actual extraction'!B:B,1,0)</f>
        <v xml:space="preserve">    6666010226  Staff Leaving Indemnity - Blue Collar In</v>
      </c>
    </row>
    <row r="208" spans="1:13" x14ac:dyDescent="0.3">
      <c r="A208" s="109" t="str">
        <f t="shared" si="5"/>
        <v>credit    6666010102  Salary-Blue collar indirect employees- A</v>
      </c>
      <c r="B208" s="112" t="s">
        <v>307</v>
      </c>
      <c r="C208" s="113">
        <v>-1361849.33</v>
      </c>
      <c r="D208" s="116">
        <v>0</v>
      </c>
      <c r="E208" s="113">
        <v>-1361849.33</v>
      </c>
      <c r="F208" s="113">
        <v>0</v>
      </c>
      <c r="G208" s="112" t="s">
        <v>307</v>
      </c>
      <c r="H208" s="114">
        <v>0</v>
      </c>
      <c r="I208" s="114">
        <v>0</v>
      </c>
      <c r="J208" s="115">
        <v>0</v>
      </c>
      <c r="K208" s="113">
        <v>0</v>
      </c>
      <c r="L208" t="str">
        <f>VLOOKUP(A208,'SAP Actual extraction'!$A$28:$A$1048576,1,0)</f>
        <v>credit    6666010102  Salary-Blue collar indirect employees- A</v>
      </c>
      <c r="M208" t="str">
        <f>VLOOKUP(B208,'SAP Actual extraction'!B:B,1,0)</f>
        <v xml:space="preserve">    6666010102  Salary-Blue collar indirect employees- A</v>
      </c>
    </row>
    <row r="209" spans="1:13" x14ac:dyDescent="0.3">
      <c r="A209" s="109" t="str">
        <f t="shared" si="5"/>
        <v>credit*   CS_Indirect Labour</v>
      </c>
      <c r="B209" s="117" t="s">
        <v>217</v>
      </c>
      <c r="C209" s="118">
        <v>-1748887.95</v>
      </c>
      <c r="D209" s="118">
        <v>-2008804.17</v>
      </c>
      <c r="E209" s="118">
        <v>259916.22</v>
      </c>
      <c r="F209" s="118">
        <v>-12.9389</v>
      </c>
      <c r="G209" s="117" t="s">
        <v>217</v>
      </c>
      <c r="H209" s="119">
        <v>0</v>
      </c>
      <c r="I209" s="119">
        <v>0</v>
      </c>
      <c r="J209" s="120">
        <v>0</v>
      </c>
      <c r="K209" s="118">
        <v>0</v>
      </c>
      <c r="L209" t="str">
        <f>VLOOKUP(A209,'SAP Actual extraction'!$A$28:$A$1048576,1,0)</f>
        <v>credit*   CS_Indirect Labour</v>
      </c>
      <c r="M209" t="str">
        <f>VLOOKUP(B209,'SAP Actual extraction'!B:B,1,0)</f>
        <v>*   CS_Indirect Labour</v>
      </c>
    </row>
    <row r="210" spans="1:13" x14ac:dyDescent="0.3">
      <c r="A210" s="109" t="str">
        <f t="shared" si="5"/>
        <v>credit    6666010196  Payroll Taxes-White Collar Employee</v>
      </c>
      <c r="B210" s="112" t="s">
        <v>308</v>
      </c>
      <c r="C210" s="113">
        <v>-145354.54</v>
      </c>
      <c r="D210" s="116">
        <v>0</v>
      </c>
      <c r="E210" s="113">
        <v>-145354.54</v>
      </c>
      <c r="F210" s="113">
        <v>0</v>
      </c>
      <c r="G210" s="112" t="s">
        <v>308</v>
      </c>
      <c r="H210" s="114">
        <v>0</v>
      </c>
      <c r="I210" s="114">
        <v>0</v>
      </c>
      <c r="J210" s="115">
        <v>0</v>
      </c>
      <c r="K210" s="113">
        <v>0</v>
      </c>
      <c r="L210" t="str">
        <f>VLOOKUP(A210,'SAP Actual extraction'!$A$28:$A$1048576,1,0)</f>
        <v>credit    6666010196  Payroll Taxes-White Collar Employee</v>
      </c>
      <c r="M210" t="str">
        <f>VLOOKUP(B210,'SAP Actual extraction'!B:B,1,0)</f>
        <v xml:space="preserve">    6666010196  Payroll Taxes-White Collar Employee</v>
      </c>
    </row>
    <row r="211" spans="1:13" x14ac:dyDescent="0.3">
      <c r="A211" s="109" t="str">
        <f t="shared" si="5"/>
        <v>credit    6666010101  Salary - White collar employees</v>
      </c>
      <c r="B211" s="112" t="s">
        <v>309</v>
      </c>
      <c r="C211" s="113">
        <v>-946261.85</v>
      </c>
      <c r="D211" s="113">
        <v>-300519.55</v>
      </c>
      <c r="E211" s="113">
        <v>-645742.30000000005</v>
      </c>
      <c r="F211" s="113">
        <v>214.87530000000001</v>
      </c>
      <c r="G211" s="112" t="s">
        <v>309</v>
      </c>
      <c r="H211" s="114">
        <v>0</v>
      </c>
      <c r="I211" s="114">
        <v>0</v>
      </c>
      <c r="J211" s="115">
        <v>0</v>
      </c>
      <c r="K211" s="113">
        <v>0</v>
      </c>
      <c r="L211" t="str">
        <f>VLOOKUP(A211,'SAP Actual extraction'!$A$28:$A$1048576,1,0)</f>
        <v>credit    6666010101  Salary - White collar employees</v>
      </c>
      <c r="M211" t="str">
        <f>VLOOKUP(B211,'SAP Actual extraction'!B:B,1,0)</f>
        <v xml:space="preserve">    6666010101  Salary - White collar employees</v>
      </c>
    </row>
    <row r="212" spans="1:13" x14ac:dyDescent="0.3">
      <c r="A212" s="109" t="str">
        <f t="shared" si="5"/>
        <v>credit    6666010199  Salary-White collar employees -Accrued</v>
      </c>
      <c r="B212" s="112" t="s">
        <v>310</v>
      </c>
      <c r="C212" s="113">
        <v>-3230.47</v>
      </c>
      <c r="D212" s="116">
        <v>0</v>
      </c>
      <c r="E212" s="113">
        <v>-3230.47</v>
      </c>
      <c r="F212" s="113">
        <v>0</v>
      </c>
      <c r="G212" s="112" t="s">
        <v>310</v>
      </c>
      <c r="H212" s="114">
        <v>0</v>
      </c>
      <c r="I212" s="114">
        <v>0</v>
      </c>
      <c r="J212" s="115">
        <v>0</v>
      </c>
      <c r="K212" s="113">
        <v>0</v>
      </c>
      <c r="L212" t="str">
        <f>VLOOKUP(A212,'SAP Actual extraction'!$A$28:$A$1048576,1,0)</f>
        <v>credit    6666010199  Salary-White collar employees -Accrued</v>
      </c>
      <c r="M212" t="str">
        <f>VLOOKUP(B212,'SAP Actual extraction'!B:B,1,0)</f>
        <v xml:space="preserve">    6666010199  Salary-White collar employees -Accrued</v>
      </c>
    </row>
    <row r="213" spans="1:13" x14ac:dyDescent="0.3">
      <c r="A213" s="109" t="str">
        <f t="shared" si="5"/>
        <v>credit    6666010185  Salary&amp;Additional Incentive-White Collar</v>
      </c>
      <c r="B213" s="112" t="s">
        <v>311</v>
      </c>
      <c r="C213" s="113">
        <v>7811.03</v>
      </c>
      <c r="D213" s="116">
        <v>0</v>
      </c>
      <c r="E213" s="113">
        <v>7811.03</v>
      </c>
      <c r="F213" s="113">
        <v>0</v>
      </c>
      <c r="G213" s="112" t="s">
        <v>311</v>
      </c>
      <c r="H213" s="114">
        <v>0</v>
      </c>
      <c r="I213" s="114">
        <v>0</v>
      </c>
      <c r="J213" s="115">
        <v>0</v>
      </c>
      <c r="K213" s="113">
        <v>0</v>
      </c>
      <c r="L213" t="str">
        <f>VLOOKUP(A213,'SAP Actual extraction'!$A$28:$A$1048576,1,0)</f>
        <v>credit    6666010185  Salary&amp;Additional Incentive-White Collar</v>
      </c>
      <c r="M213" t="str">
        <f>VLOOKUP(B213,'SAP Actual extraction'!B:B,1,0)</f>
        <v xml:space="preserve">    6666010185  Salary&amp;Additional Incentive-White Collar</v>
      </c>
    </row>
    <row r="214" spans="1:13" x14ac:dyDescent="0.3">
      <c r="A214" s="109" t="str">
        <f t="shared" si="5"/>
        <v>credit    6666010207  Unemployment insurance companies to pay</v>
      </c>
      <c r="B214" s="112" t="s">
        <v>312</v>
      </c>
      <c r="C214" s="113">
        <v>-13365.92</v>
      </c>
      <c r="D214" s="116">
        <v>0</v>
      </c>
      <c r="E214" s="113">
        <v>-13365.92</v>
      </c>
      <c r="F214" s="113">
        <v>0</v>
      </c>
      <c r="G214" s="112" t="s">
        <v>312</v>
      </c>
      <c r="H214" s="114">
        <v>0</v>
      </c>
      <c r="I214" s="114">
        <v>0</v>
      </c>
      <c r="J214" s="115">
        <v>0</v>
      </c>
      <c r="K214" s="113">
        <v>0</v>
      </c>
      <c r="L214" t="str">
        <f>VLOOKUP(A214,'SAP Actual extraction'!$A$28:$A$1048576,1,0)</f>
        <v>credit    6666010207  Unemployment insurance companies to pay</v>
      </c>
      <c r="M214" t="str">
        <f>VLOOKUP(B214,'SAP Actual extraction'!B:B,1,0)</f>
        <v xml:space="preserve">    6666010207  Unemployment insurance companies to pay</v>
      </c>
    </row>
    <row r="215" spans="1:13" x14ac:dyDescent="0.3">
      <c r="A215" s="109" t="str">
        <f t="shared" si="5"/>
        <v>credit    6666010227  Staff Leaving Indemnity - White collar E</v>
      </c>
      <c r="B215" s="112" t="s">
        <v>314</v>
      </c>
      <c r="C215" s="113">
        <v>-16414.21</v>
      </c>
      <c r="D215" s="116">
        <v>0</v>
      </c>
      <c r="E215" s="113">
        <v>-16414.21</v>
      </c>
      <c r="F215" s="113">
        <v>0</v>
      </c>
      <c r="G215" s="112" t="s">
        <v>314</v>
      </c>
      <c r="H215" s="114">
        <v>0</v>
      </c>
      <c r="I215" s="114">
        <v>0</v>
      </c>
      <c r="J215" s="115">
        <v>0</v>
      </c>
      <c r="K215" s="113">
        <v>0</v>
      </c>
      <c r="L215" t="str">
        <f>VLOOKUP(A215,'SAP Actual extraction'!$A$28:$A$1048576,1,0)</f>
        <v>credit    6666010227  Staff Leaving Indemnity - White collar E</v>
      </c>
      <c r="M215" t="str">
        <f>VLOOKUP(B215,'SAP Actual extraction'!B:B,1,0)</f>
        <v xml:space="preserve">    6666010227  Staff Leaving Indemnity - White collar E</v>
      </c>
    </row>
    <row r="216" spans="1:13" x14ac:dyDescent="0.3">
      <c r="A216" s="109" t="str">
        <f t="shared" si="5"/>
        <v>credit*   CS_Fixed Labour</v>
      </c>
      <c r="B216" s="117" t="s">
        <v>218</v>
      </c>
      <c r="C216" s="118">
        <v>-1116815.96</v>
      </c>
      <c r="D216" s="118">
        <v>-300519.55</v>
      </c>
      <c r="E216" s="118">
        <v>-816296.41</v>
      </c>
      <c r="F216" s="118">
        <v>271.6284</v>
      </c>
      <c r="G216" s="117" t="s">
        <v>218</v>
      </c>
      <c r="H216" s="119">
        <v>0</v>
      </c>
      <c r="I216" s="119">
        <v>0</v>
      </c>
      <c r="J216" s="120">
        <v>0</v>
      </c>
      <c r="K216" s="118">
        <v>0</v>
      </c>
      <c r="L216" t="str">
        <f>VLOOKUP(A216,'SAP Actual extraction'!$A$28:$A$1048576,1,0)</f>
        <v>credit*   CS_Fixed Labour</v>
      </c>
      <c r="M216" t="str">
        <f>VLOOKUP(B216,'SAP Actual extraction'!B:B,1,0)</f>
        <v>*   CS_Fixed Labour</v>
      </c>
    </row>
    <row r="217" spans="1:13" x14ac:dyDescent="0.3">
      <c r="A217" s="109" t="str">
        <f t="shared" si="5"/>
        <v>credit    600007      Maintenance</v>
      </c>
      <c r="B217" s="112" t="s">
        <v>360</v>
      </c>
      <c r="C217" s="116">
        <v>0</v>
      </c>
      <c r="D217" s="116">
        <v>0</v>
      </c>
      <c r="E217" s="113">
        <v>0</v>
      </c>
      <c r="F217" s="113">
        <v>0</v>
      </c>
      <c r="G217" s="112" t="s">
        <v>360</v>
      </c>
      <c r="H217" s="114">
        <v>0</v>
      </c>
      <c r="I217" s="114">
        <v>0</v>
      </c>
      <c r="J217" s="115">
        <v>0</v>
      </c>
      <c r="K217" s="113">
        <v>0</v>
      </c>
      <c r="L217" t="e">
        <f>VLOOKUP(A217,'SAP Actual extraction'!$A$28:$A$1048576,1,0)</f>
        <v>#N/A</v>
      </c>
      <c r="M217" t="e">
        <f>VLOOKUP(B217,'SAP Actual extraction'!B:B,1,0)</f>
        <v>#N/A</v>
      </c>
    </row>
    <row r="218" spans="1:13" x14ac:dyDescent="0.3">
      <c r="A218" s="109" t="str">
        <f t="shared" si="5"/>
        <v>credit    6666020903  Other materials</v>
      </c>
      <c r="B218" s="112" t="s">
        <v>315</v>
      </c>
      <c r="C218" s="113">
        <v>3.33</v>
      </c>
      <c r="D218" s="116">
        <v>0</v>
      </c>
      <c r="E218" s="113">
        <v>3.33</v>
      </c>
      <c r="F218" s="113">
        <v>0</v>
      </c>
      <c r="G218" s="112" t="s">
        <v>315</v>
      </c>
      <c r="H218" s="114">
        <v>0</v>
      </c>
      <c r="I218" s="114">
        <v>0</v>
      </c>
      <c r="J218" s="115">
        <v>0</v>
      </c>
      <c r="K218" s="113">
        <v>0</v>
      </c>
      <c r="L218" t="str">
        <f>VLOOKUP(A218,'SAP Actual extraction'!$A$28:$A$1048576,1,0)</f>
        <v>credit    6666020903  Other materials</v>
      </c>
      <c r="M218" t="str">
        <f>VLOOKUP(B218,'SAP Actual extraction'!B:B,1,0)</f>
        <v xml:space="preserve">    6666020903  Other materials</v>
      </c>
    </row>
    <row r="219" spans="1:13" x14ac:dyDescent="0.3">
      <c r="A219" s="109" t="str">
        <f t="shared" si="5"/>
        <v>credit    6666010302  Medical expenses</v>
      </c>
      <c r="B219" s="112" t="s">
        <v>316</v>
      </c>
      <c r="C219" s="113">
        <v>-35806.14</v>
      </c>
      <c r="D219" s="113">
        <v>-99559.56</v>
      </c>
      <c r="E219" s="113">
        <v>63753.42</v>
      </c>
      <c r="F219" s="113">
        <v>-64.035499999999999</v>
      </c>
      <c r="G219" s="112" t="s">
        <v>316</v>
      </c>
      <c r="H219" s="114">
        <v>0</v>
      </c>
      <c r="I219" s="114">
        <v>0</v>
      </c>
      <c r="J219" s="115">
        <v>0</v>
      </c>
      <c r="K219" s="113">
        <v>0</v>
      </c>
      <c r="L219" t="str">
        <f>VLOOKUP(A219,'SAP Actual extraction'!$A$28:$A$1048576,1,0)</f>
        <v>credit    6666010302  Medical expenses</v>
      </c>
      <c r="M219" t="str">
        <f>VLOOKUP(B219,'SAP Actual extraction'!B:B,1,0)</f>
        <v xml:space="preserve">    6666010302  Medical expenses</v>
      </c>
    </row>
    <row r="220" spans="1:13" x14ac:dyDescent="0.3">
      <c r="A220" s="109" t="str">
        <f t="shared" si="5"/>
        <v>credit    6666010314  Work uniforms</v>
      </c>
      <c r="B220" s="112" t="s">
        <v>317</v>
      </c>
      <c r="C220" s="113">
        <v>-215930.37</v>
      </c>
      <c r="D220" s="113">
        <v>-419014.56</v>
      </c>
      <c r="E220" s="113">
        <v>203084.19</v>
      </c>
      <c r="F220" s="113">
        <v>-48.467100000000002</v>
      </c>
      <c r="G220" s="112" t="s">
        <v>317</v>
      </c>
      <c r="H220" s="114">
        <v>0</v>
      </c>
      <c r="I220" s="114">
        <v>0</v>
      </c>
      <c r="J220" s="115">
        <v>0</v>
      </c>
      <c r="K220" s="113">
        <v>0</v>
      </c>
      <c r="L220" t="str">
        <f>VLOOKUP(A220,'SAP Actual extraction'!$A$28:$A$1048576,1,0)</f>
        <v>credit    6666010314  Work uniforms</v>
      </c>
      <c r="M220" t="str">
        <f>VLOOKUP(B220,'SAP Actual extraction'!B:B,1,0)</f>
        <v xml:space="preserve">    6666010314  Work uniforms</v>
      </c>
    </row>
    <row r="221" spans="1:13" x14ac:dyDescent="0.3">
      <c r="A221" s="109" t="str">
        <f t="shared" si="5"/>
        <v>credit    6666020401  local transportation - bus and taxi</v>
      </c>
      <c r="B221" s="112" t="s">
        <v>318</v>
      </c>
      <c r="C221" s="113">
        <v>-567469.54</v>
      </c>
      <c r="D221" s="113">
        <v>-871485.58</v>
      </c>
      <c r="E221" s="113">
        <v>304016.03999999998</v>
      </c>
      <c r="F221" s="113">
        <v>-34.884799999999998</v>
      </c>
      <c r="G221" s="112" t="s">
        <v>318</v>
      </c>
      <c r="H221" s="114">
        <v>0</v>
      </c>
      <c r="I221" s="114">
        <v>0</v>
      </c>
      <c r="J221" s="115">
        <v>0</v>
      </c>
      <c r="K221" s="113">
        <v>0</v>
      </c>
      <c r="L221" t="str">
        <f>VLOOKUP(A221,'SAP Actual extraction'!$A$28:$A$1048576,1,0)</f>
        <v>credit    6666020401  local transportation - bus and taxi</v>
      </c>
      <c r="M221" t="str">
        <f>VLOOKUP(B221,'SAP Actual extraction'!B:B,1,0)</f>
        <v xml:space="preserve">    6666020401  local transportation - bus and taxi</v>
      </c>
    </row>
    <row r="222" spans="1:13" x14ac:dyDescent="0.3">
      <c r="A222" s="109" t="str">
        <f t="shared" si="5"/>
        <v>credit    6666020502  Working meals</v>
      </c>
      <c r="B222" s="112" t="s">
        <v>320</v>
      </c>
      <c r="C222" s="113">
        <v>-572493.43999999994</v>
      </c>
      <c r="D222" s="113">
        <v>-746477.63</v>
      </c>
      <c r="E222" s="113">
        <v>173984.19</v>
      </c>
      <c r="F222" s="113">
        <v>-23.307400000000001</v>
      </c>
      <c r="G222" s="112" t="s">
        <v>320</v>
      </c>
      <c r="H222" s="114">
        <v>0</v>
      </c>
      <c r="I222" s="114">
        <v>0</v>
      </c>
      <c r="J222" s="115">
        <v>0</v>
      </c>
      <c r="K222" s="113">
        <v>0</v>
      </c>
      <c r="L222" t="str">
        <f>VLOOKUP(A222,'SAP Actual extraction'!$A$28:$A$1048576,1,0)</f>
        <v>credit    6666020502  Working meals</v>
      </c>
      <c r="M222" t="str">
        <f>VLOOKUP(B222,'SAP Actual extraction'!B:B,1,0)</f>
        <v xml:space="preserve">    6666020502  Working meals</v>
      </c>
    </row>
    <row r="223" spans="1:13" x14ac:dyDescent="0.3">
      <c r="A223" s="109" t="str">
        <f t="shared" si="5"/>
        <v>credit    6666020503  Office supplies</v>
      </c>
      <c r="B223" s="112" t="s">
        <v>321</v>
      </c>
      <c r="C223" s="113">
        <v>-8335.7900000000009</v>
      </c>
      <c r="D223" s="113">
        <v>-28579.08</v>
      </c>
      <c r="E223" s="113">
        <v>20243.29</v>
      </c>
      <c r="F223" s="113">
        <v>-70.832499999999996</v>
      </c>
      <c r="G223" s="112" t="s">
        <v>321</v>
      </c>
      <c r="H223" s="114">
        <v>0</v>
      </c>
      <c r="I223" s="114">
        <v>0</v>
      </c>
      <c r="J223" s="115">
        <v>0</v>
      </c>
      <c r="K223" s="113">
        <v>0</v>
      </c>
      <c r="L223" t="str">
        <f>VLOOKUP(A223,'SAP Actual extraction'!$A$28:$A$1048576,1,0)</f>
        <v>credit    6666020503  Office supplies</v>
      </c>
      <c r="M223" t="str">
        <f>VLOOKUP(B223,'SAP Actual extraction'!B:B,1,0)</f>
        <v xml:space="preserve">    6666020503  Office supplies</v>
      </c>
    </row>
    <row r="224" spans="1:13" x14ac:dyDescent="0.3">
      <c r="A224" s="109" t="str">
        <f t="shared" si="5"/>
        <v>credit    6666021500  Repairs cost</v>
      </c>
      <c r="B224" s="112" t="s">
        <v>322</v>
      </c>
      <c r="C224" s="113">
        <v>-3055.38</v>
      </c>
      <c r="D224" s="116">
        <v>0</v>
      </c>
      <c r="E224" s="113">
        <v>-3055.38</v>
      </c>
      <c r="F224" s="113">
        <v>0</v>
      </c>
      <c r="G224" s="112" t="s">
        <v>322</v>
      </c>
      <c r="H224" s="114">
        <v>0</v>
      </c>
      <c r="I224" s="114">
        <v>0</v>
      </c>
      <c r="J224" s="115">
        <v>0</v>
      </c>
      <c r="K224" s="113">
        <v>0</v>
      </c>
      <c r="L224" t="str">
        <f>VLOOKUP(A224,'SAP Actual extraction'!$A$28:$A$1048576,1,0)</f>
        <v>credit    6666021500  Repairs cost</v>
      </c>
      <c r="M224" t="str">
        <f>VLOOKUP(B224,'SAP Actual extraction'!B:B,1,0)</f>
        <v xml:space="preserve">    6666021500  Repairs cost</v>
      </c>
    </row>
    <row r="225" spans="1:13" x14ac:dyDescent="0.3">
      <c r="A225" s="109" t="str">
        <f t="shared" si="5"/>
        <v>credit    6666021502  Repair &amp; Maintain - Building&amp;office</v>
      </c>
      <c r="B225" s="112" t="s">
        <v>323</v>
      </c>
      <c r="C225" s="113">
        <v>-105611.94</v>
      </c>
      <c r="D225" s="113">
        <v>-580666.07999999996</v>
      </c>
      <c r="E225" s="113">
        <v>475054.14</v>
      </c>
      <c r="F225" s="113">
        <v>-81.811899999999994</v>
      </c>
      <c r="G225" s="112" t="s">
        <v>323</v>
      </c>
      <c r="H225" s="114">
        <v>0</v>
      </c>
      <c r="I225" s="114">
        <v>0</v>
      </c>
      <c r="J225" s="115">
        <v>0</v>
      </c>
      <c r="K225" s="113">
        <v>0</v>
      </c>
      <c r="L225" t="str">
        <f>VLOOKUP(A225,'SAP Actual extraction'!$A$28:$A$1048576,1,0)</f>
        <v>credit    6666021502  Repair &amp; Maintain - Building&amp;office</v>
      </c>
      <c r="M225" t="str">
        <f>VLOOKUP(B225,'SAP Actual extraction'!B:B,1,0)</f>
        <v xml:space="preserve">    6666021502  Repair &amp; Maintain - Building&amp;office</v>
      </c>
    </row>
    <row r="226" spans="1:13" x14ac:dyDescent="0.3">
      <c r="A226" s="109" t="str">
        <f t="shared" si="5"/>
        <v>credit    6666021503  Repair &amp; Maintain - Tooling &amp; Equipments</v>
      </c>
      <c r="B226" s="112" t="s">
        <v>324</v>
      </c>
      <c r="C226" s="113">
        <v>-8908.6200000000008</v>
      </c>
      <c r="D226" s="113">
        <v>-109244.4</v>
      </c>
      <c r="E226" s="113">
        <v>100335.78</v>
      </c>
      <c r="F226" s="113">
        <v>-91.845200000000006</v>
      </c>
      <c r="G226" s="112" t="s">
        <v>324</v>
      </c>
      <c r="H226" s="114">
        <v>0</v>
      </c>
      <c r="I226" s="114">
        <v>0</v>
      </c>
      <c r="J226" s="115">
        <v>0</v>
      </c>
      <c r="K226" s="113">
        <v>0</v>
      </c>
      <c r="L226" t="str">
        <f>VLOOKUP(A226,'SAP Actual extraction'!$A$28:$A$1048576,1,0)</f>
        <v>credit    6666021503  Repair &amp; Maintain - Tooling &amp; Equipments</v>
      </c>
      <c r="M226" t="str">
        <f>VLOOKUP(B226,'SAP Actual extraction'!B:B,1,0)</f>
        <v xml:space="preserve">    6666021503  Repair &amp; Maintain - Tooling &amp; Equipments</v>
      </c>
    </row>
    <row r="227" spans="1:13" x14ac:dyDescent="0.3">
      <c r="A227" s="109" t="str">
        <f t="shared" si="5"/>
        <v>credit    6666021504  Repair &amp; Maintain - Elect. Installation</v>
      </c>
      <c r="B227" s="112" t="s">
        <v>361</v>
      </c>
      <c r="C227" s="113">
        <v>-98.36</v>
      </c>
      <c r="D227" s="116">
        <v>0</v>
      </c>
      <c r="E227" s="113">
        <v>-98.36</v>
      </c>
      <c r="F227" s="113">
        <v>0</v>
      </c>
      <c r="G227" s="112" t="s">
        <v>361</v>
      </c>
      <c r="H227" s="114">
        <v>0</v>
      </c>
      <c r="I227" s="114">
        <v>0</v>
      </c>
      <c r="J227" s="115">
        <v>0</v>
      </c>
      <c r="K227" s="113">
        <v>0</v>
      </c>
      <c r="L227" t="e">
        <f>VLOOKUP(A227,'SAP Actual extraction'!$A$28:$A$1048576,1,0)</f>
        <v>#N/A</v>
      </c>
      <c r="M227" t="e">
        <f>VLOOKUP(B227,'SAP Actual extraction'!B:B,1,0)</f>
        <v>#N/A</v>
      </c>
    </row>
    <row r="228" spans="1:13" x14ac:dyDescent="0.3">
      <c r="A228" s="109" t="str">
        <f t="shared" si="5"/>
        <v>credit    6666021505  Repairs &amp; Maintenance - Vehicles</v>
      </c>
      <c r="B228" s="112" t="s">
        <v>325</v>
      </c>
      <c r="C228" s="113">
        <v>-2681.71</v>
      </c>
      <c r="D228" s="116">
        <v>0</v>
      </c>
      <c r="E228" s="113">
        <v>-2681.71</v>
      </c>
      <c r="F228" s="113">
        <v>0</v>
      </c>
      <c r="G228" s="112" t="s">
        <v>325</v>
      </c>
      <c r="H228" s="114">
        <v>0</v>
      </c>
      <c r="I228" s="114">
        <v>0</v>
      </c>
      <c r="J228" s="115">
        <v>0</v>
      </c>
      <c r="K228" s="113">
        <v>0</v>
      </c>
      <c r="L228" t="str">
        <f>VLOOKUP(A228,'SAP Actual extraction'!$A$28:$A$1048576,1,0)</f>
        <v>credit    6666021505  Repairs &amp; Maintenance - Vehicles</v>
      </c>
      <c r="M228" t="str">
        <f>VLOOKUP(B228,'SAP Actual extraction'!B:B,1,0)</f>
        <v xml:space="preserve">    6666021505  Repairs &amp; Maintenance - Vehicles</v>
      </c>
    </row>
    <row r="229" spans="1:13" x14ac:dyDescent="0.3">
      <c r="A229" s="109" t="str">
        <f t="shared" si="5"/>
        <v>credit    6666021506  Repairs &amp; Maintenance - Plant &amp; Machiner</v>
      </c>
      <c r="B229" s="112" t="s">
        <v>326</v>
      </c>
      <c r="C229" s="113">
        <v>-218275.83</v>
      </c>
      <c r="D229" s="113">
        <v>-300104.15999999997</v>
      </c>
      <c r="E229" s="113">
        <v>81828.33</v>
      </c>
      <c r="F229" s="113">
        <v>-27.2666</v>
      </c>
      <c r="G229" s="112" t="s">
        <v>326</v>
      </c>
      <c r="H229" s="114">
        <v>0</v>
      </c>
      <c r="I229" s="114">
        <v>0</v>
      </c>
      <c r="J229" s="115">
        <v>0</v>
      </c>
      <c r="K229" s="113">
        <v>0</v>
      </c>
      <c r="L229" t="str">
        <f>VLOOKUP(A229,'SAP Actual extraction'!$A$28:$A$1048576,1,0)</f>
        <v>credit    6666021506  Repairs &amp; Maintenance - Plant &amp; Machiner</v>
      </c>
      <c r="M229" t="str">
        <f>VLOOKUP(B229,'SAP Actual extraction'!B:B,1,0)</f>
        <v xml:space="preserve">    6666021506  Repairs &amp; Maintenance - Plant &amp; Machiner</v>
      </c>
    </row>
    <row r="230" spans="1:13" x14ac:dyDescent="0.3">
      <c r="A230" s="109" t="str">
        <f t="shared" si="5"/>
        <v>credit    6666091600  Garbage disposal charge</v>
      </c>
      <c r="B230" s="112" t="s">
        <v>327</v>
      </c>
      <c r="C230" s="113">
        <v>-4676.03</v>
      </c>
      <c r="D230" s="113">
        <v>-4979.5600000000004</v>
      </c>
      <c r="E230" s="113">
        <v>303.52999999999997</v>
      </c>
      <c r="F230" s="113">
        <v>-6.0955000000000004</v>
      </c>
      <c r="G230" s="112" t="s">
        <v>327</v>
      </c>
      <c r="H230" s="114">
        <v>0</v>
      </c>
      <c r="I230" s="114">
        <v>0</v>
      </c>
      <c r="J230" s="115">
        <v>0</v>
      </c>
      <c r="K230" s="113">
        <v>0</v>
      </c>
      <c r="L230" t="str">
        <f>VLOOKUP(A230,'SAP Actual extraction'!$A$28:$A$1048576,1,0)</f>
        <v>credit    6666091600  Garbage disposal charge</v>
      </c>
      <c r="M230" t="str">
        <f>VLOOKUP(B230,'SAP Actual extraction'!B:B,1,0)</f>
        <v xml:space="preserve">    6666091600  Garbage disposal charge</v>
      </c>
    </row>
    <row r="231" spans="1:13" x14ac:dyDescent="0.3">
      <c r="A231" s="109" t="str">
        <f t="shared" si="5"/>
        <v>credit    5401060201  COGS-Repair expense</v>
      </c>
      <c r="B231" s="112" t="s">
        <v>328</v>
      </c>
      <c r="C231" s="116">
        <v>0</v>
      </c>
      <c r="D231" s="116">
        <v>0</v>
      </c>
      <c r="E231" s="113">
        <v>0</v>
      </c>
      <c r="F231" s="113">
        <v>0</v>
      </c>
      <c r="G231" s="112" t="s">
        <v>328</v>
      </c>
      <c r="H231" s="114">
        <v>0</v>
      </c>
      <c r="I231" s="114">
        <v>0</v>
      </c>
      <c r="J231" s="115">
        <v>0</v>
      </c>
      <c r="K231" s="113">
        <v>0</v>
      </c>
      <c r="L231" t="e">
        <f>VLOOKUP(A231,'SAP Actual extraction'!$A$28:$A$1048576,1,0)</f>
        <v>#N/A</v>
      </c>
      <c r="M231" t="str">
        <f>VLOOKUP(B231,'SAP Actual extraction'!B:B,1,0)</f>
        <v xml:space="preserve">    5401060201  COGS-Repair expense</v>
      </c>
    </row>
    <row r="232" spans="1:13" x14ac:dyDescent="0.3">
      <c r="A232" s="109" t="str">
        <f t="shared" si="5"/>
        <v>credit*   CS_Semifix</v>
      </c>
      <c r="B232" s="117" t="s">
        <v>219</v>
      </c>
      <c r="C232" s="118">
        <v>-1743339.82</v>
      </c>
      <c r="D232" s="118">
        <v>-3160110.61</v>
      </c>
      <c r="E232" s="118">
        <v>1416770.79</v>
      </c>
      <c r="F232" s="118">
        <v>-44.832900000000002</v>
      </c>
      <c r="G232" s="117" t="s">
        <v>219</v>
      </c>
      <c r="H232" s="119">
        <v>0</v>
      </c>
      <c r="I232" s="119">
        <v>0</v>
      </c>
      <c r="J232" s="120">
        <v>0</v>
      </c>
      <c r="K232" s="118">
        <v>0</v>
      </c>
      <c r="L232" t="str">
        <f>VLOOKUP(A232,'SAP Actual extraction'!$A$28:$A$1048576,1,0)</f>
        <v>credit*   CS_Semifix</v>
      </c>
      <c r="M232" t="str">
        <f>VLOOKUP(B232,'SAP Actual extraction'!B:B,1,0)</f>
        <v>*   CS_Semifix</v>
      </c>
    </row>
    <row r="233" spans="1:13" x14ac:dyDescent="0.3">
      <c r="A233" s="109" t="str">
        <f t="shared" si="5"/>
        <v>credit**  Credit</v>
      </c>
      <c r="B233" s="121" t="s">
        <v>331</v>
      </c>
      <c r="C233" s="122">
        <v>-5494154.0800000001</v>
      </c>
      <c r="D233" s="122">
        <v>-7392516.3099999996</v>
      </c>
      <c r="E233" s="122">
        <v>1898362.23</v>
      </c>
      <c r="F233" s="122">
        <v>-25.679500000000001</v>
      </c>
      <c r="G233" s="121" t="s">
        <v>331</v>
      </c>
      <c r="H233" s="123">
        <v>0</v>
      </c>
      <c r="I233" s="123">
        <v>0</v>
      </c>
      <c r="J233" s="124">
        <v>0</v>
      </c>
      <c r="K233" s="122">
        <v>0</v>
      </c>
      <c r="L233" t="str">
        <f>VLOOKUP(A233,'SAP Actual extraction'!$A$28:$A$1048576,1,0)</f>
        <v>credit**  Credit</v>
      </c>
      <c r="M233" t="str">
        <f>VLOOKUP(B233,'SAP Actual extraction'!B:B,1,0)</f>
        <v>**  Credit</v>
      </c>
    </row>
    <row r="234" spans="1:13" x14ac:dyDescent="0.3">
      <c r="A234" s="109" t="str">
        <f t="shared" si="5"/>
        <v>credit*** Over/Underabsorption</v>
      </c>
      <c r="B234" s="126" t="s">
        <v>332</v>
      </c>
      <c r="C234" s="127">
        <v>22431798.469999999</v>
      </c>
      <c r="D234" s="127">
        <v>23127689.079999998</v>
      </c>
      <c r="E234" s="127">
        <v>-695890.61</v>
      </c>
      <c r="F234" s="127">
        <v>-3.0089000000000001</v>
      </c>
      <c r="G234" s="126" t="s">
        <v>332</v>
      </c>
      <c r="H234" s="128">
        <v>0</v>
      </c>
      <c r="I234" s="128">
        <v>0</v>
      </c>
      <c r="J234" s="128">
        <v>0</v>
      </c>
      <c r="K234" s="127">
        <v>0</v>
      </c>
      <c r="L234" t="str">
        <f>VLOOKUP(A234,'SAP Actual extraction'!$A$28:$A$1048576,1,0)</f>
        <v>credit*** Over/Underabsorption</v>
      </c>
      <c r="M234" t="str">
        <f>VLOOKUP(B234,'SAP Actual extraction'!B:B,1,0)</f>
        <v>*** Over/Underabsorption</v>
      </c>
    </row>
    <row r="238" spans="1:13" x14ac:dyDescent="0.3">
      <c r="C238" s="188"/>
    </row>
    <row r="240" spans="1:13" x14ac:dyDescent="0.3">
      <c r="B240" s="110" t="s">
        <v>166</v>
      </c>
      <c r="C240" s="111" t="s">
        <v>171</v>
      </c>
      <c r="D240" s="111" t="s">
        <v>168</v>
      </c>
      <c r="E240" s="111" t="s">
        <v>221</v>
      </c>
      <c r="F240" s="111" t="s">
        <v>222</v>
      </c>
      <c r="G240" s="110" t="s">
        <v>166</v>
      </c>
      <c r="H240" s="111" t="s">
        <v>223</v>
      </c>
      <c r="I240" s="111" t="s">
        <v>224</v>
      </c>
      <c r="J240" s="111" t="s">
        <v>221</v>
      </c>
      <c r="K240" s="111" t="s">
        <v>222</v>
      </c>
    </row>
    <row r="241" spans="1:13" x14ac:dyDescent="0.3">
      <c r="A241" s="109" t="str">
        <f t="shared" ref="A241:A304" si="6">"debit"&amp;"ovh"&amp;B241</f>
        <v>debitovh    6666110110  Depreciation-Plant &amp; Machinery</v>
      </c>
      <c r="B241" s="112" t="s">
        <v>228</v>
      </c>
      <c r="C241" s="113">
        <v>1372.66</v>
      </c>
      <c r="D241" s="116">
        <v>0</v>
      </c>
      <c r="E241" s="113">
        <v>1372.66</v>
      </c>
      <c r="F241" s="113">
        <v>0</v>
      </c>
      <c r="G241" s="112" t="s">
        <v>228</v>
      </c>
      <c r="H241" s="114">
        <v>0</v>
      </c>
      <c r="I241" s="114">
        <v>0</v>
      </c>
      <c r="J241" s="115">
        <v>0</v>
      </c>
      <c r="K241" s="113">
        <v>0</v>
      </c>
      <c r="L241" t="str">
        <f>VLOOKUP(A241,'SAP Actual extraction'!$A$28:$A$1048576,1,0)</f>
        <v>debitovh    6666110110  Depreciation-Plant &amp; Machinery</v>
      </c>
      <c r="M241" t="str">
        <f>VLOOKUP(B241,'SAP Actual extraction'!B:B,1,0)</f>
        <v xml:space="preserve">    6666110110  Depreciation-Plant &amp; Machinery</v>
      </c>
    </row>
    <row r="242" spans="1:13" x14ac:dyDescent="0.3">
      <c r="A242" s="109" t="str">
        <f t="shared" si="6"/>
        <v>debitovh    6666110112  Depreciation of Furniture &amp; Fixture</v>
      </c>
      <c r="B242" s="112" t="s">
        <v>229</v>
      </c>
      <c r="C242" s="113">
        <v>1356.64</v>
      </c>
      <c r="D242" s="116">
        <v>0</v>
      </c>
      <c r="E242" s="113">
        <v>1356.64</v>
      </c>
      <c r="F242" s="113">
        <v>0</v>
      </c>
      <c r="G242" s="112" t="s">
        <v>229</v>
      </c>
      <c r="H242" s="114">
        <v>0</v>
      </c>
      <c r="I242" s="114">
        <v>0</v>
      </c>
      <c r="J242" s="115">
        <v>0</v>
      </c>
      <c r="K242" s="113">
        <v>0</v>
      </c>
      <c r="L242" t="str">
        <f>VLOOKUP(A242,'SAP Actual extraction'!$A$28:$A$1048576,1,0)</f>
        <v>debitovh    6666110112  Depreciation of Furniture &amp; Fixture</v>
      </c>
      <c r="M242" t="str">
        <f>VLOOKUP(B242,'SAP Actual extraction'!B:B,1,0)</f>
        <v xml:space="preserve">    6666110112  Depreciation of Furniture &amp; Fixture</v>
      </c>
    </row>
    <row r="243" spans="1:13" x14ac:dyDescent="0.3">
      <c r="A243" s="109" t="str">
        <f t="shared" si="6"/>
        <v>debitovh    6666110207  Amortization of Software</v>
      </c>
      <c r="B243" s="112" t="s">
        <v>231</v>
      </c>
      <c r="C243" s="113">
        <v>237.48</v>
      </c>
      <c r="D243" s="116">
        <v>0</v>
      </c>
      <c r="E243" s="113">
        <v>237.48</v>
      </c>
      <c r="F243" s="113">
        <v>0</v>
      </c>
      <c r="G243" s="112" t="s">
        <v>231</v>
      </c>
      <c r="H243" s="114">
        <v>0</v>
      </c>
      <c r="I243" s="114">
        <v>0</v>
      </c>
      <c r="J243" s="115">
        <v>0</v>
      </c>
      <c r="K243" s="113">
        <v>0</v>
      </c>
      <c r="L243" t="str">
        <f>VLOOKUP(A243,'SAP Actual extraction'!$A$28:$A$1048576,1,0)</f>
        <v>debitovh    6666110207  Amortization of Software</v>
      </c>
      <c r="M243" t="str">
        <f>VLOOKUP(B243,'SAP Actual extraction'!B:B,1,0)</f>
        <v xml:space="preserve">    6666110207  Amortization of Software</v>
      </c>
    </row>
    <row r="244" spans="1:13" x14ac:dyDescent="0.3">
      <c r="A244" s="109" t="str">
        <f t="shared" si="6"/>
        <v>debitovh    6666110506  Amortization-Leasehold Improvement</v>
      </c>
      <c r="B244" s="112" t="s">
        <v>232</v>
      </c>
      <c r="C244" s="113">
        <v>1455.03</v>
      </c>
      <c r="D244" s="116">
        <v>0</v>
      </c>
      <c r="E244" s="113">
        <v>1455.03</v>
      </c>
      <c r="F244" s="113">
        <v>0</v>
      </c>
      <c r="G244" s="112" t="s">
        <v>232</v>
      </c>
      <c r="H244" s="114">
        <v>0</v>
      </c>
      <c r="I244" s="114">
        <v>0</v>
      </c>
      <c r="J244" s="115">
        <v>0</v>
      </c>
      <c r="K244" s="113">
        <v>0</v>
      </c>
      <c r="L244" t="str">
        <f>VLOOKUP(A244,'SAP Actual extraction'!$A$28:$A$1048576,1,0)</f>
        <v>debitovh    6666110506  Amortization-Leasehold Improvement</v>
      </c>
      <c r="M244" t="str">
        <f>VLOOKUP(B244,'SAP Actual extraction'!B:B,1,0)</f>
        <v xml:space="preserve">    6666110506  Amortization-Leasehold Improvement</v>
      </c>
    </row>
    <row r="245" spans="1:13" x14ac:dyDescent="0.3">
      <c r="A245" s="109" t="str">
        <f t="shared" si="6"/>
        <v>debitovh*   CS_Depreciation</v>
      </c>
      <c r="B245" s="117" t="s">
        <v>207</v>
      </c>
      <c r="C245" s="118">
        <v>4421.8100000000004</v>
      </c>
      <c r="D245" s="125">
        <v>0</v>
      </c>
      <c r="E245" s="118">
        <v>4421.8100000000004</v>
      </c>
      <c r="F245" s="118">
        <v>0</v>
      </c>
      <c r="G245" s="117" t="s">
        <v>207</v>
      </c>
      <c r="H245" s="119">
        <v>0</v>
      </c>
      <c r="I245" s="119">
        <v>0</v>
      </c>
      <c r="J245" s="120">
        <v>0</v>
      </c>
      <c r="K245" s="118">
        <v>0</v>
      </c>
      <c r="L245" t="str">
        <f>VLOOKUP(A245,'SAP Actual extraction'!$A$28:$A$1048576,1,0)</f>
        <v>debitovh*   CS_Depreciation</v>
      </c>
      <c r="M245" t="str">
        <f>VLOOKUP(B245,'SAP Actual extraction'!B:B,1,0)</f>
        <v>*   CS_Depreciation</v>
      </c>
    </row>
    <row r="246" spans="1:13" x14ac:dyDescent="0.3">
      <c r="A246" s="109" t="str">
        <f t="shared" si="6"/>
        <v>debitovh    6666010380  Incentive</v>
      </c>
      <c r="B246" s="112" t="s">
        <v>234</v>
      </c>
      <c r="C246" s="113">
        <v>262.18</v>
      </c>
      <c r="D246" s="116">
        <v>0</v>
      </c>
      <c r="E246" s="113">
        <v>262.18</v>
      </c>
      <c r="F246" s="113">
        <v>0</v>
      </c>
      <c r="G246" s="112" t="s">
        <v>234</v>
      </c>
      <c r="H246" s="114">
        <v>0</v>
      </c>
      <c r="I246" s="114">
        <v>0</v>
      </c>
      <c r="J246" s="115">
        <v>0</v>
      </c>
      <c r="K246" s="113">
        <v>0</v>
      </c>
      <c r="L246" t="e">
        <f>VLOOKUP(A246,'SAP Actual extraction'!$A$28:$A$1048576,1,0)</f>
        <v>#N/A</v>
      </c>
      <c r="M246" t="str">
        <f>VLOOKUP(B246,'SAP Actual extraction'!B:B,1,0)</f>
        <v xml:space="preserve">    6666010380  Incentive</v>
      </c>
    </row>
    <row r="247" spans="1:13" x14ac:dyDescent="0.3">
      <c r="A247" s="109" t="str">
        <f t="shared" si="6"/>
        <v>debitovh    5102040406  Other revenue-Service/Secondment agreeme</v>
      </c>
      <c r="B247" s="112" t="s">
        <v>239</v>
      </c>
      <c r="C247" s="113">
        <v>2.82</v>
      </c>
      <c r="D247" s="116">
        <v>0</v>
      </c>
      <c r="E247" s="113">
        <v>2.82</v>
      </c>
      <c r="F247" s="113">
        <v>0</v>
      </c>
      <c r="G247" s="112" t="s">
        <v>239</v>
      </c>
      <c r="H247" s="114">
        <v>0</v>
      </c>
      <c r="I247" s="114">
        <v>0</v>
      </c>
      <c r="J247" s="115">
        <v>0</v>
      </c>
      <c r="K247" s="113">
        <v>0</v>
      </c>
      <c r="L247" t="str">
        <f>VLOOKUP(A247,'SAP Actual extraction'!$A$28:$A$1048576,1,0)</f>
        <v>debitovh    5102040406  Other revenue-Service/Secondment agreeme</v>
      </c>
      <c r="M247" t="str">
        <f>VLOOKUP(B247,'SAP Actual extraction'!B:B,1,0)</f>
        <v xml:space="preserve">    5102040406  Other revenue-Service/Secondment agreeme</v>
      </c>
    </row>
    <row r="248" spans="1:13" x14ac:dyDescent="0.3">
      <c r="A248" s="109" t="str">
        <f t="shared" si="6"/>
        <v>debitovh*   CS_Direct Labour</v>
      </c>
      <c r="B248" s="117" t="s">
        <v>208</v>
      </c>
      <c r="C248" s="118">
        <v>265</v>
      </c>
      <c r="D248" s="125">
        <v>0</v>
      </c>
      <c r="E248" s="118">
        <v>265</v>
      </c>
      <c r="F248" s="118">
        <v>0</v>
      </c>
      <c r="G248" s="117" t="s">
        <v>208</v>
      </c>
      <c r="H248" s="119">
        <v>0</v>
      </c>
      <c r="I248" s="119">
        <v>0</v>
      </c>
      <c r="J248" s="120">
        <v>0</v>
      </c>
      <c r="K248" s="118">
        <v>0</v>
      </c>
      <c r="L248" t="str">
        <f>VLOOKUP(A248,'SAP Actual extraction'!$A$28:$A$1048576,1,0)</f>
        <v>debitovh*   CS_Direct Labour</v>
      </c>
      <c r="M248" t="str">
        <f>VLOOKUP(B248,'SAP Actual extraction'!B:B,1,0)</f>
        <v>*   CS_Direct Labour</v>
      </c>
    </row>
    <row r="249" spans="1:13" x14ac:dyDescent="0.3">
      <c r="A249" s="109" t="str">
        <f t="shared" si="6"/>
        <v>debitovh    6666029996  Non-deductible expense-travel.</v>
      </c>
      <c r="B249" s="112" t="s">
        <v>246</v>
      </c>
      <c r="C249" s="113">
        <v>83.89</v>
      </c>
      <c r="D249" s="116">
        <v>0</v>
      </c>
      <c r="E249" s="113">
        <v>83.89</v>
      </c>
      <c r="F249" s="113">
        <v>0</v>
      </c>
      <c r="G249" s="112" t="s">
        <v>246</v>
      </c>
      <c r="H249" s="114">
        <v>0</v>
      </c>
      <c r="I249" s="114">
        <v>0</v>
      </c>
      <c r="J249" s="115">
        <v>0</v>
      </c>
      <c r="K249" s="113">
        <v>0</v>
      </c>
      <c r="L249" t="str">
        <f>VLOOKUP(A249,'SAP Actual extraction'!$A$28:$A$1048576,1,0)</f>
        <v>debitovh    6666029996  Non-deductible expense-travel.</v>
      </c>
      <c r="M249" t="str">
        <f>VLOOKUP(B249,'SAP Actual extraction'!B:B,1,0)</f>
        <v xml:space="preserve">    6666029996  Non-deductible expense-travel.</v>
      </c>
    </row>
    <row r="250" spans="1:13" x14ac:dyDescent="0.3">
      <c r="A250" s="109" t="str">
        <f t="shared" si="6"/>
        <v>debitovh    6666029700  Service fee recharge</v>
      </c>
      <c r="B250" s="112" t="s">
        <v>247</v>
      </c>
      <c r="C250" s="113">
        <v>517094.31</v>
      </c>
      <c r="D250" s="116">
        <v>0</v>
      </c>
      <c r="E250" s="113">
        <v>517094.31</v>
      </c>
      <c r="F250" s="113">
        <v>0</v>
      </c>
      <c r="G250" s="112" t="s">
        <v>247</v>
      </c>
      <c r="H250" s="114">
        <v>0</v>
      </c>
      <c r="I250" s="114">
        <v>0</v>
      </c>
      <c r="J250" s="115">
        <v>0</v>
      </c>
      <c r="K250" s="113">
        <v>0</v>
      </c>
      <c r="L250" t="str">
        <f>VLOOKUP(A250,'SAP Actual extraction'!$A$28:$A$1048576,1,0)</f>
        <v>debitovh    6666029700  Service fee recharge</v>
      </c>
      <c r="M250" t="str">
        <f>VLOOKUP(B250,'SAP Actual extraction'!B:B,1,0)</f>
        <v xml:space="preserve">    6666029700  Service fee recharge</v>
      </c>
    </row>
    <row r="251" spans="1:13" x14ac:dyDescent="0.3">
      <c r="A251" s="109" t="str">
        <f t="shared" si="6"/>
        <v>debitovh    6666010322  fuel allowance</v>
      </c>
      <c r="B251" s="112" t="s">
        <v>248</v>
      </c>
      <c r="C251" s="113">
        <v>1855.74</v>
      </c>
      <c r="D251" s="116">
        <v>0</v>
      </c>
      <c r="E251" s="113">
        <v>1855.74</v>
      </c>
      <c r="F251" s="113">
        <v>0</v>
      </c>
      <c r="G251" s="112" t="s">
        <v>248</v>
      </c>
      <c r="H251" s="114">
        <v>0</v>
      </c>
      <c r="I251" s="114">
        <v>0</v>
      </c>
      <c r="J251" s="115">
        <v>0</v>
      </c>
      <c r="K251" s="113">
        <v>0</v>
      </c>
      <c r="L251" t="str">
        <f>VLOOKUP(A251,'SAP Actual extraction'!$A$28:$A$1048576,1,0)</f>
        <v>debitovh    6666010322  fuel allowance</v>
      </c>
      <c r="M251" t="str">
        <f>VLOOKUP(B251,'SAP Actual extraction'!B:B,1,0)</f>
        <v xml:space="preserve">    6666010322  fuel allowance</v>
      </c>
    </row>
    <row r="252" spans="1:13" x14ac:dyDescent="0.3">
      <c r="A252" s="109" t="str">
        <f t="shared" si="6"/>
        <v>debitovh    6666020495  Non-deductible expense-travel.</v>
      </c>
      <c r="B252" s="112" t="s">
        <v>249</v>
      </c>
      <c r="C252" s="113">
        <v>8327.2999999999993</v>
      </c>
      <c r="D252" s="116">
        <v>0</v>
      </c>
      <c r="E252" s="113">
        <v>8327.2999999999993</v>
      </c>
      <c r="F252" s="113">
        <v>0</v>
      </c>
      <c r="G252" s="112" t="s">
        <v>249</v>
      </c>
      <c r="H252" s="114">
        <v>0</v>
      </c>
      <c r="I252" s="114">
        <v>0</v>
      </c>
      <c r="J252" s="115">
        <v>0</v>
      </c>
      <c r="K252" s="113">
        <v>0</v>
      </c>
      <c r="L252" t="str">
        <f>VLOOKUP(A252,'SAP Actual extraction'!$A$28:$A$1048576,1,0)</f>
        <v>debitovh    6666020495  Non-deductible expense-travel.</v>
      </c>
      <c r="M252" t="str">
        <f>VLOOKUP(B252,'SAP Actual extraction'!B:B,1,0)</f>
        <v xml:space="preserve">    6666020495  Non-deductible expense-travel.</v>
      </c>
    </row>
    <row r="253" spans="1:13" x14ac:dyDescent="0.3">
      <c r="A253" s="109" t="str">
        <f t="shared" si="6"/>
        <v>debitovh    5301060000  Other Income-Subsidy income</v>
      </c>
      <c r="B253" s="112" t="s">
        <v>256</v>
      </c>
      <c r="C253" s="113">
        <v>-26.56</v>
      </c>
      <c r="D253" s="116">
        <v>0</v>
      </c>
      <c r="E253" s="113">
        <v>-26.56</v>
      </c>
      <c r="F253" s="113">
        <v>0</v>
      </c>
      <c r="G253" s="112" t="s">
        <v>256</v>
      </c>
      <c r="H253" s="114">
        <v>0</v>
      </c>
      <c r="I253" s="114">
        <v>0</v>
      </c>
      <c r="J253" s="115">
        <v>0</v>
      </c>
      <c r="K253" s="113">
        <v>0</v>
      </c>
      <c r="L253" t="str">
        <f>VLOOKUP(A253,'SAP Actual extraction'!$A$28:$A$1048576,1,0)</f>
        <v>debitovh    5301060000  Other Income-Subsidy income</v>
      </c>
      <c r="M253" t="str">
        <f>VLOOKUP(B253,'SAP Actual extraction'!B:B,1,0)</f>
        <v xml:space="preserve">    5301060000  Other Income-Subsidy income</v>
      </c>
    </row>
    <row r="254" spans="1:13" x14ac:dyDescent="0.3">
      <c r="A254" s="109" t="str">
        <f t="shared" si="6"/>
        <v>debitovh    5301999999  Non-operation revenue-Other</v>
      </c>
      <c r="B254" s="112" t="s">
        <v>257</v>
      </c>
      <c r="C254" s="113">
        <v>-29.28</v>
      </c>
      <c r="D254" s="116">
        <v>0</v>
      </c>
      <c r="E254" s="113">
        <v>-29.28</v>
      </c>
      <c r="F254" s="113">
        <v>0</v>
      </c>
      <c r="G254" s="112" t="s">
        <v>257</v>
      </c>
      <c r="H254" s="114">
        <v>0</v>
      </c>
      <c r="I254" s="114">
        <v>0</v>
      </c>
      <c r="J254" s="115">
        <v>0</v>
      </c>
      <c r="K254" s="113">
        <v>0</v>
      </c>
      <c r="L254" t="e">
        <f>VLOOKUP(A254,'SAP Actual extraction'!$A$28:$A$1048576,1,0)</f>
        <v>#N/A</v>
      </c>
      <c r="M254" t="str">
        <f>VLOOKUP(B254,'SAP Actual extraction'!B:B,1,0)</f>
        <v xml:space="preserve">    5301999999  Non-operation revenue-Other</v>
      </c>
    </row>
    <row r="255" spans="1:13" x14ac:dyDescent="0.3">
      <c r="A255" s="109" t="str">
        <f t="shared" si="6"/>
        <v>debitovh    5601020000  Loss on disposal fixed asset</v>
      </c>
      <c r="B255" s="112" t="s">
        <v>357</v>
      </c>
      <c r="C255" s="116">
        <v>0</v>
      </c>
      <c r="D255" s="116">
        <v>0</v>
      </c>
      <c r="E255" s="113">
        <v>0</v>
      </c>
      <c r="F255" s="113">
        <v>0</v>
      </c>
      <c r="G255" s="112" t="s">
        <v>357</v>
      </c>
      <c r="H255" s="114">
        <v>0</v>
      </c>
      <c r="I255" s="114">
        <v>0</v>
      </c>
      <c r="J255" s="115">
        <v>0</v>
      </c>
      <c r="K255" s="113">
        <v>0</v>
      </c>
      <c r="L255" t="e">
        <f>VLOOKUP(A255,'SAP Actual extraction'!$A$28:$A$1048576,1,0)</f>
        <v>#N/A</v>
      </c>
      <c r="M255" t="e">
        <f>VLOOKUP(B255,'SAP Actual extraction'!B:B,1,0)</f>
        <v>#N/A</v>
      </c>
    </row>
    <row r="256" spans="1:13" x14ac:dyDescent="0.3">
      <c r="A256" s="109" t="str">
        <f t="shared" si="6"/>
        <v>debitovh    5601050000  Non-Operating Expense - Penalty</v>
      </c>
      <c r="B256" s="112" t="s">
        <v>259</v>
      </c>
      <c r="C256" s="113">
        <v>28.05</v>
      </c>
      <c r="D256" s="116">
        <v>0</v>
      </c>
      <c r="E256" s="113">
        <v>28.05</v>
      </c>
      <c r="F256" s="113">
        <v>0</v>
      </c>
      <c r="G256" s="112" t="s">
        <v>259</v>
      </c>
      <c r="H256" s="114">
        <v>0</v>
      </c>
      <c r="I256" s="114">
        <v>0</v>
      </c>
      <c r="J256" s="115">
        <v>0</v>
      </c>
      <c r="K256" s="113">
        <v>0</v>
      </c>
      <c r="L256" t="str">
        <f>VLOOKUP(A256,'SAP Actual extraction'!$A$28:$A$1048576,1,0)</f>
        <v>debitovh    5601050000  Non-Operating Expense - Penalty</v>
      </c>
      <c r="M256" t="str">
        <f>VLOOKUP(B256,'SAP Actual extraction'!B:B,1,0)</f>
        <v xml:space="preserve">    5601050000  Non-Operating Expense - Penalty</v>
      </c>
    </row>
    <row r="257" spans="1:13" x14ac:dyDescent="0.3">
      <c r="A257" s="109" t="str">
        <f t="shared" si="6"/>
        <v>debitovh    5601050100  Non-operation Expense-Others</v>
      </c>
      <c r="B257" s="112" t="s">
        <v>260</v>
      </c>
      <c r="C257" s="113">
        <v>1326.59</v>
      </c>
      <c r="D257" s="116">
        <v>0</v>
      </c>
      <c r="E257" s="113">
        <v>1326.59</v>
      </c>
      <c r="F257" s="113">
        <v>0</v>
      </c>
      <c r="G257" s="112" t="s">
        <v>260</v>
      </c>
      <c r="H257" s="114">
        <v>0</v>
      </c>
      <c r="I257" s="114">
        <v>0</v>
      </c>
      <c r="J257" s="115">
        <v>0</v>
      </c>
      <c r="K257" s="113">
        <v>0</v>
      </c>
      <c r="L257" t="str">
        <f>VLOOKUP(A257,'SAP Actual extraction'!$A$28:$A$1048576,1,0)</f>
        <v>debitovh    5601050100  Non-operation Expense-Others</v>
      </c>
      <c r="M257" t="str">
        <f>VLOOKUP(B257,'SAP Actual extraction'!B:B,1,0)</f>
        <v xml:space="preserve">    5601050100  Non-operation Expense-Others</v>
      </c>
    </row>
    <row r="258" spans="1:13" x14ac:dyDescent="0.3">
      <c r="A258" s="109" t="str">
        <f t="shared" si="6"/>
        <v>debitovh    5601080000  Non-operating expense-VAT non-deductible</v>
      </c>
      <c r="B258" s="112" t="s">
        <v>337</v>
      </c>
      <c r="C258" s="113">
        <v>7563.81</v>
      </c>
      <c r="D258" s="116">
        <v>0</v>
      </c>
      <c r="E258" s="113">
        <v>7563.81</v>
      </c>
      <c r="F258" s="113">
        <v>0</v>
      </c>
      <c r="G258" s="112" t="s">
        <v>337</v>
      </c>
      <c r="H258" s="114">
        <v>0</v>
      </c>
      <c r="I258" s="114">
        <v>0</v>
      </c>
      <c r="J258" s="115">
        <v>0</v>
      </c>
      <c r="K258" s="113">
        <v>0</v>
      </c>
      <c r="L258" t="str">
        <f>VLOOKUP(A258,'SAP Actual extraction'!$A$28:$A$1048576,1,0)</f>
        <v>debitovh    5601080000  Non-operating expense-VAT non-deductible</v>
      </c>
      <c r="M258" t="str">
        <f>VLOOKUP(B258,'SAP Actual extraction'!B:B,1,0)</f>
        <v xml:space="preserve">    5601080000  Non-operating expense-VAT non-deductible</v>
      </c>
    </row>
    <row r="259" spans="1:13" x14ac:dyDescent="0.3">
      <c r="A259" s="109" t="str">
        <f t="shared" si="6"/>
        <v>debitovh    6666020101  Entertainment</v>
      </c>
      <c r="B259" s="112" t="s">
        <v>261</v>
      </c>
      <c r="C259" s="113">
        <v>1001.8</v>
      </c>
      <c r="D259" s="116">
        <v>0</v>
      </c>
      <c r="E259" s="113">
        <v>1001.8</v>
      </c>
      <c r="F259" s="113">
        <v>0</v>
      </c>
      <c r="G259" s="112" t="s">
        <v>261</v>
      </c>
      <c r="H259" s="114">
        <v>0</v>
      </c>
      <c r="I259" s="114">
        <v>0</v>
      </c>
      <c r="J259" s="115">
        <v>0</v>
      </c>
      <c r="K259" s="113">
        <v>0</v>
      </c>
      <c r="L259" t="str">
        <f>VLOOKUP(A259,'SAP Actual extraction'!$A$28:$A$1048576,1,0)</f>
        <v>debitovh    6666020101  Entertainment</v>
      </c>
      <c r="M259" t="str">
        <f>VLOOKUP(B259,'SAP Actual extraction'!B:B,1,0)</f>
        <v xml:space="preserve">    6666020101  Entertainment</v>
      </c>
    </row>
    <row r="260" spans="1:13" x14ac:dyDescent="0.3">
      <c r="A260" s="109" t="str">
        <f t="shared" si="6"/>
        <v>debitovh    6666020201  Domestic business travel</v>
      </c>
      <c r="B260" s="112" t="s">
        <v>262</v>
      </c>
      <c r="C260" s="113">
        <v>1413.79</v>
      </c>
      <c r="D260" s="116">
        <v>0</v>
      </c>
      <c r="E260" s="113">
        <v>1413.79</v>
      </c>
      <c r="F260" s="113">
        <v>0</v>
      </c>
      <c r="G260" s="112" t="s">
        <v>262</v>
      </c>
      <c r="H260" s="114">
        <v>0</v>
      </c>
      <c r="I260" s="114">
        <v>0</v>
      </c>
      <c r="J260" s="115">
        <v>0</v>
      </c>
      <c r="K260" s="113">
        <v>0</v>
      </c>
      <c r="L260" t="str">
        <f>VLOOKUP(A260,'SAP Actual extraction'!$A$28:$A$1048576,1,0)</f>
        <v>debitovh    6666020201  Domestic business travel</v>
      </c>
      <c r="M260" t="str">
        <f>VLOOKUP(B260,'SAP Actual extraction'!B:B,1,0)</f>
        <v xml:space="preserve">    6666020201  Domestic business travel</v>
      </c>
    </row>
    <row r="261" spans="1:13" x14ac:dyDescent="0.3">
      <c r="A261" s="109" t="str">
        <f t="shared" si="6"/>
        <v>debitovh    6666020202  Overseas business travel</v>
      </c>
      <c r="B261" s="112" t="s">
        <v>263</v>
      </c>
      <c r="C261" s="113">
        <v>130.02000000000001</v>
      </c>
      <c r="D261" s="116">
        <v>0</v>
      </c>
      <c r="E261" s="113">
        <v>130.02000000000001</v>
      </c>
      <c r="F261" s="113">
        <v>0</v>
      </c>
      <c r="G261" s="112" t="s">
        <v>263</v>
      </c>
      <c r="H261" s="114">
        <v>0</v>
      </c>
      <c r="I261" s="114">
        <v>0</v>
      </c>
      <c r="J261" s="115">
        <v>0</v>
      </c>
      <c r="K261" s="113">
        <v>0</v>
      </c>
      <c r="L261" t="e">
        <f>VLOOKUP(A261,'SAP Actual extraction'!$A$28:$A$1048576,1,0)</f>
        <v>#N/A</v>
      </c>
      <c r="M261" t="str">
        <f>VLOOKUP(B261,'SAP Actual extraction'!B:B,1,0)</f>
        <v xml:space="preserve">    6666020202  Overseas business travel</v>
      </c>
    </row>
    <row r="262" spans="1:13" x14ac:dyDescent="0.3">
      <c r="A262" s="109" t="str">
        <f t="shared" si="6"/>
        <v>debitovh    6666020204  Travel expense pay to agency</v>
      </c>
      <c r="B262" s="112" t="s">
        <v>264</v>
      </c>
      <c r="C262" s="113">
        <v>837.65</v>
      </c>
      <c r="D262" s="116">
        <v>0</v>
      </c>
      <c r="E262" s="113">
        <v>837.65</v>
      </c>
      <c r="F262" s="113">
        <v>0</v>
      </c>
      <c r="G262" s="112" t="s">
        <v>264</v>
      </c>
      <c r="H262" s="114">
        <v>0</v>
      </c>
      <c r="I262" s="114">
        <v>0</v>
      </c>
      <c r="J262" s="115">
        <v>0</v>
      </c>
      <c r="K262" s="113">
        <v>0</v>
      </c>
      <c r="L262" t="str">
        <f>VLOOKUP(A262,'SAP Actual extraction'!$A$28:$A$1048576,1,0)</f>
        <v>debitovh    6666020204  Travel expense pay to agency</v>
      </c>
      <c r="M262" t="str">
        <f>VLOOKUP(B262,'SAP Actual extraction'!B:B,1,0)</f>
        <v xml:space="preserve">    6666020204  Travel expense pay to agency</v>
      </c>
    </row>
    <row r="263" spans="1:13" x14ac:dyDescent="0.3">
      <c r="A263" s="109" t="str">
        <f t="shared" si="6"/>
        <v>debitovh    6666020301  Staff communication expense</v>
      </c>
      <c r="B263" s="112" t="s">
        <v>266</v>
      </c>
      <c r="C263" s="113">
        <v>1127.17</v>
      </c>
      <c r="D263" s="116">
        <v>0</v>
      </c>
      <c r="E263" s="113">
        <v>1127.17</v>
      </c>
      <c r="F263" s="113">
        <v>0</v>
      </c>
      <c r="G263" s="112" t="s">
        <v>266</v>
      </c>
      <c r="H263" s="114">
        <v>0</v>
      </c>
      <c r="I263" s="114">
        <v>0</v>
      </c>
      <c r="J263" s="115">
        <v>0</v>
      </c>
      <c r="K263" s="113">
        <v>0</v>
      </c>
      <c r="L263" t="str">
        <f>VLOOKUP(A263,'SAP Actual extraction'!$A$28:$A$1048576,1,0)</f>
        <v>debitovh    6666020301  Staff communication expense</v>
      </c>
      <c r="M263" t="str">
        <f>VLOOKUP(B263,'SAP Actual extraction'!B:B,1,0)</f>
        <v xml:space="preserve">    6666020301  Staff communication expense</v>
      </c>
    </row>
    <row r="264" spans="1:13" x14ac:dyDescent="0.3">
      <c r="A264" s="109" t="str">
        <f t="shared" si="6"/>
        <v>debitovh    6666020403  Company car expense</v>
      </c>
      <c r="B264" s="112" t="s">
        <v>269</v>
      </c>
      <c r="C264" s="113">
        <v>0.04</v>
      </c>
      <c r="D264" s="116">
        <v>0</v>
      </c>
      <c r="E264" s="113">
        <v>0.04</v>
      </c>
      <c r="F264" s="113">
        <v>0</v>
      </c>
      <c r="G264" s="112" t="s">
        <v>269</v>
      </c>
      <c r="H264" s="114">
        <v>0</v>
      </c>
      <c r="I264" s="114">
        <v>0</v>
      </c>
      <c r="J264" s="115">
        <v>0</v>
      </c>
      <c r="K264" s="113">
        <v>0</v>
      </c>
      <c r="L264" t="e">
        <f>VLOOKUP(A264,'SAP Actual extraction'!$A$28:$A$1048576,1,0)</f>
        <v>#N/A</v>
      </c>
      <c r="M264" t="str">
        <f>VLOOKUP(B264,'SAP Actual extraction'!B:B,1,0)</f>
        <v xml:space="preserve">    6666020403  Company car expense</v>
      </c>
    </row>
    <row r="265" spans="1:13" x14ac:dyDescent="0.3">
      <c r="A265" s="109" t="str">
        <f t="shared" si="6"/>
        <v>debitovh    6666020504  Newspaper and Periodicals expenditure</v>
      </c>
      <c r="B265" s="112" t="s">
        <v>271</v>
      </c>
      <c r="C265" s="113">
        <v>83.23</v>
      </c>
      <c r="D265" s="116">
        <v>0</v>
      </c>
      <c r="E265" s="113">
        <v>83.23</v>
      </c>
      <c r="F265" s="113">
        <v>0</v>
      </c>
      <c r="G265" s="112" t="s">
        <v>271</v>
      </c>
      <c r="H265" s="114">
        <v>0</v>
      </c>
      <c r="I265" s="114">
        <v>0</v>
      </c>
      <c r="J265" s="115">
        <v>0</v>
      </c>
      <c r="K265" s="113">
        <v>0</v>
      </c>
      <c r="L265" t="e">
        <f>VLOOKUP(A265,'SAP Actual extraction'!$A$28:$A$1048576,1,0)</f>
        <v>#N/A</v>
      </c>
      <c r="M265" t="str">
        <f>VLOOKUP(B265,'SAP Actual extraction'!B:B,1,0)</f>
        <v xml:space="preserve">    6666020504  Newspaper and Periodicals expenditure</v>
      </c>
    </row>
    <row r="266" spans="1:13" x14ac:dyDescent="0.3">
      <c r="A266" s="109" t="str">
        <f t="shared" si="6"/>
        <v>debitovh    6666020508  Postage</v>
      </c>
      <c r="B266" s="112" t="s">
        <v>272</v>
      </c>
      <c r="C266" s="113">
        <v>490.33</v>
      </c>
      <c r="D266" s="116">
        <v>0</v>
      </c>
      <c r="E266" s="113">
        <v>490.33</v>
      </c>
      <c r="F266" s="113">
        <v>0</v>
      </c>
      <c r="G266" s="112" t="s">
        <v>272</v>
      </c>
      <c r="H266" s="114">
        <v>0</v>
      </c>
      <c r="I266" s="114">
        <v>0</v>
      </c>
      <c r="J266" s="115">
        <v>0</v>
      </c>
      <c r="K266" s="113">
        <v>0</v>
      </c>
      <c r="L266" t="str">
        <f>VLOOKUP(A266,'SAP Actual extraction'!$A$28:$A$1048576,1,0)</f>
        <v>debitovh    6666020508  Postage</v>
      </c>
      <c r="M266" t="str">
        <f>VLOOKUP(B266,'SAP Actual extraction'!B:B,1,0)</f>
        <v xml:space="preserve">    6666020508  Postage</v>
      </c>
    </row>
    <row r="267" spans="1:13" x14ac:dyDescent="0.3">
      <c r="A267" s="109" t="str">
        <f t="shared" si="6"/>
        <v>debitovh    6666020602  Training costs Outside the group</v>
      </c>
      <c r="B267" s="112" t="s">
        <v>273</v>
      </c>
      <c r="C267" s="113">
        <v>25.43</v>
      </c>
      <c r="D267" s="116">
        <v>0</v>
      </c>
      <c r="E267" s="113">
        <v>25.43</v>
      </c>
      <c r="F267" s="113">
        <v>0</v>
      </c>
      <c r="G267" s="112" t="s">
        <v>273</v>
      </c>
      <c r="H267" s="114">
        <v>0</v>
      </c>
      <c r="I267" s="114">
        <v>0</v>
      </c>
      <c r="J267" s="115">
        <v>0</v>
      </c>
      <c r="K267" s="113">
        <v>0</v>
      </c>
      <c r="L267" t="str">
        <f>VLOOKUP(A267,'SAP Actual extraction'!$A$28:$A$1048576,1,0)</f>
        <v>debitovh    6666020602  Training costs Outside the group</v>
      </c>
      <c r="M267" t="str">
        <f>VLOOKUP(B267,'SAP Actual extraction'!B:B,1,0)</f>
        <v xml:space="preserve">    6666020602  Training costs Outside the group</v>
      </c>
    </row>
    <row r="268" spans="1:13" x14ac:dyDescent="0.3">
      <c r="A268" s="109" t="str">
        <f t="shared" si="6"/>
        <v>debitovh    6666020701  Enterprise Property Insurance</v>
      </c>
      <c r="B268" s="112" t="s">
        <v>274</v>
      </c>
      <c r="C268" s="113">
        <v>248258.15</v>
      </c>
      <c r="D268" s="113">
        <v>274308.12</v>
      </c>
      <c r="E268" s="113">
        <v>-26049.97</v>
      </c>
      <c r="F268" s="113">
        <v>-9.4966000000000008</v>
      </c>
      <c r="G268" s="112" t="s">
        <v>274</v>
      </c>
      <c r="H268" s="114">
        <v>0</v>
      </c>
      <c r="I268" s="114">
        <v>0</v>
      </c>
      <c r="J268" s="115">
        <v>0</v>
      </c>
      <c r="K268" s="113">
        <v>0</v>
      </c>
      <c r="L268" t="str">
        <f>VLOOKUP(A268,'SAP Actual extraction'!$A$28:$A$1048576,1,0)</f>
        <v>debitovh    6666020701  Enterprise Property Insurance</v>
      </c>
      <c r="M268" t="str">
        <f>VLOOKUP(B268,'SAP Actual extraction'!B:B,1,0)</f>
        <v xml:space="preserve">    6666020701  Enterprise Property Insurance</v>
      </c>
    </row>
    <row r="269" spans="1:13" x14ac:dyDescent="0.3">
      <c r="A269" s="109" t="str">
        <f t="shared" si="6"/>
        <v>debitovh    6666020801  Housing rental cost</v>
      </c>
      <c r="B269" s="112" t="s">
        <v>338</v>
      </c>
      <c r="C269" s="113">
        <v>698.64</v>
      </c>
      <c r="D269" s="116">
        <v>0</v>
      </c>
      <c r="E269" s="113">
        <v>698.64</v>
      </c>
      <c r="F269" s="113">
        <v>0</v>
      </c>
      <c r="G269" s="112" t="s">
        <v>338</v>
      </c>
      <c r="H269" s="114">
        <v>0</v>
      </c>
      <c r="I269" s="114">
        <v>0</v>
      </c>
      <c r="J269" s="115">
        <v>0</v>
      </c>
      <c r="K269" s="113">
        <v>0</v>
      </c>
      <c r="L269" t="str">
        <f>VLOOKUP(A269,'SAP Actual extraction'!$A$28:$A$1048576,1,0)</f>
        <v>debitovh    6666020801  Housing rental cost</v>
      </c>
      <c r="M269" t="str">
        <f>VLOOKUP(B269,'SAP Actual extraction'!B:B,1,0)</f>
        <v xml:space="preserve">    6666020801  Housing rental cost</v>
      </c>
    </row>
    <row r="270" spans="1:13" x14ac:dyDescent="0.3">
      <c r="A270" s="109" t="str">
        <f t="shared" si="6"/>
        <v>debitovh    6666020802  Equipment rental cost</v>
      </c>
      <c r="B270" s="112" t="s">
        <v>275</v>
      </c>
      <c r="C270" s="113">
        <v>2608.48</v>
      </c>
      <c r="D270" s="116">
        <v>0</v>
      </c>
      <c r="E270" s="113">
        <v>2608.48</v>
      </c>
      <c r="F270" s="113">
        <v>0</v>
      </c>
      <c r="G270" s="112" t="s">
        <v>275</v>
      </c>
      <c r="H270" s="114">
        <v>0</v>
      </c>
      <c r="I270" s="114">
        <v>0</v>
      </c>
      <c r="J270" s="115">
        <v>0</v>
      </c>
      <c r="K270" s="113">
        <v>0</v>
      </c>
      <c r="L270" t="e">
        <f>VLOOKUP(A270,'SAP Actual extraction'!$A$28:$A$1048576,1,0)</f>
        <v>#N/A</v>
      </c>
      <c r="M270" t="str">
        <f>VLOOKUP(B270,'SAP Actual extraction'!B:B,1,0)</f>
        <v xml:space="preserve">    6666020802  Equipment rental cost</v>
      </c>
    </row>
    <row r="271" spans="1:13" x14ac:dyDescent="0.3">
      <c r="A271" s="109" t="str">
        <f t="shared" si="6"/>
        <v>debitovh    6666020803  Car rental cost</v>
      </c>
      <c r="B271" s="112" t="s">
        <v>276</v>
      </c>
      <c r="C271" s="113">
        <v>1808.76</v>
      </c>
      <c r="D271" s="116">
        <v>0</v>
      </c>
      <c r="E271" s="113">
        <v>1808.76</v>
      </c>
      <c r="F271" s="113">
        <v>0</v>
      </c>
      <c r="G271" s="112" t="s">
        <v>276</v>
      </c>
      <c r="H271" s="114">
        <v>0</v>
      </c>
      <c r="I271" s="114">
        <v>0</v>
      </c>
      <c r="J271" s="115">
        <v>0</v>
      </c>
      <c r="K271" s="113">
        <v>0</v>
      </c>
      <c r="L271" t="str">
        <f>VLOOKUP(A271,'SAP Actual extraction'!$A$28:$A$1048576,1,0)</f>
        <v>debitovh    6666020803  Car rental cost</v>
      </c>
      <c r="M271" t="str">
        <f>VLOOKUP(B271,'SAP Actual extraction'!B:B,1,0)</f>
        <v xml:space="preserve">    6666020803  Car rental cost</v>
      </c>
    </row>
    <row r="272" spans="1:13" x14ac:dyDescent="0.3">
      <c r="A272" s="109" t="str">
        <f t="shared" si="6"/>
        <v>debitovh    6666021100  Consulting fees</v>
      </c>
      <c r="B272" s="112" t="s">
        <v>277</v>
      </c>
      <c r="C272" s="113">
        <v>11046.56</v>
      </c>
      <c r="D272" s="116">
        <v>0</v>
      </c>
      <c r="E272" s="113">
        <v>11046.56</v>
      </c>
      <c r="F272" s="113">
        <v>0</v>
      </c>
      <c r="G272" s="112" t="s">
        <v>277</v>
      </c>
      <c r="H272" s="114">
        <v>0</v>
      </c>
      <c r="I272" s="114">
        <v>0</v>
      </c>
      <c r="J272" s="115">
        <v>0</v>
      </c>
      <c r="K272" s="113">
        <v>0</v>
      </c>
      <c r="L272" t="str">
        <f>VLOOKUP(A272,'SAP Actual extraction'!$A$28:$A$1048576,1,0)</f>
        <v>debitovh    6666021100  Consulting fees</v>
      </c>
      <c r="M272" t="str">
        <f>VLOOKUP(B272,'SAP Actual extraction'!B:B,1,0)</f>
        <v xml:space="preserve">    6666021100  Consulting fees</v>
      </c>
    </row>
    <row r="273" spans="1:13" x14ac:dyDescent="0.3">
      <c r="A273" s="109" t="str">
        <f t="shared" si="6"/>
        <v>debitovh    6666021102  Consulting expense-tax</v>
      </c>
      <c r="B273" s="112" t="s">
        <v>339</v>
      </c>
      <c r="C273" s="113">
        <v>55029.3</v>
      </c>
      <c r="D273" s="116">
        <v>0</v>
      </c>
      <c r="E273" s="113">
        <v>55029.3</v>
      </c>
      <c r="F273" s="113">
        <v>0</v>
      </c>
      <c r="G273" s="112" t="s">
        <v>339</v>
      </c>
      <c r="H273" s="114">
        <v>0</v>
      </c>
      <c r="I273" s="114">
        <v>0</v>
      </c>
      <c r="J273" s="115">
        <v>0</v>
      </c>
      <c r="K273" s="113">
        <v>0</v>
      </c>
      <c r="L273" t="str">
        <f>VLOOKUP(A273,'SAP Actual extraction'!$A$28:$A$1048576,1,0)</f>
        <v>debitovh    6666021102  Consulting expense-tax</v>
      </c>
      <c r="M273" t="str">
        <f>VLOOKUP(B273,'SAP Actual extraction'!B:B,1,0)</f>
        <v xml:space="preserve">    6666021102  Consulting expense-tax</v>
      </c>
    </row>
    <row r="274" spans="1:13" x14ac:dyDescent="0.3">
      <c r="A274" s="109" t="str">
        <f t="shared" si="6"/>
        <v>debitovh    6666021104  Consulting expense-Technical</v>
      </c>
      <c r="B274" s="112" t="s">
        <v>267</v>
      </c>
      <c r="C274" s="113">
        <v>111.06</v>
      </c>
      <c r="D274" s="116">
        <v>0</v>
      </c>
      <c r="E274" s="113">
        <v>111.06</v>
      </c>
      <c r="F274" s="113">
        <v>0</v>
      </c>
      <c r="G274" s="112" t="s">
        <v>267</v>
      </c>
      <c r="H274" s="114">
        <v>0</v>
      </c>
      <c r="I274" s="114">
        <v>0</v>
      </c>
      <c r="J274" s="115">
        <v>0</v>
      </c>
      <c r="K274" s="113">
        <v>0</v>
      </c>
      <c r="L274" t="e">
        <f>VLOOKUP(A274,'SAP Actual extraction'!$A$28:$A$1048576,1,0)</f>
        <v>#N/A</v>
      </c>
      <c r="M274" t="str">
        <f>VLOOKUP(B274,'SAP Actual extraction'!B:B,1,0)</f>
        <v xml:space="preserve">    6666021104  Consulting expense-Technical</v>
      </c>
    </row>
    <row r="275" spans="1:13" x14ac:dyDescent="0.3">
      <c r="A275" s="109" t="str">
        <f t="shared" si="6"/>
        <v>debitovh    6666021300  Legal fees</v>
      </c>
      <c r="B275" s="112" t="s">
        <v>340</v>
      </c>
      <c r="C275" s="113">
        <v>1635.6</v>
      </c>
      <c r="D275" s="116">
        <v>0</v>
      </c>
      <c r="E275" s="113">
        <v>1635.6</v>
      </c>
      <c r="F275" s="113">
        <v>0</v>
      </c>
      <c r="G275" s="112" t="s">
        <v>340</v>
      </c>
      <c r="H275" s="114">
        <v>0</v>
      </c>
      <c r="I275" s="114">
        <v>0</v>
      </c>
      <c r="J275" s="115">
        <v>0</v>
      </c>
      <c r="K275" s="113">
        <v>0</v>
      </c>
      <c r="L275" t="str">
        <f>VLOOKUP(A275,'SAP Actual extraction'!$A$28:$A$1048576,1,0)</f>
        <v>debitovh    6666021300  Legal fees</v>
      </c>
      <c r="M275" t="str">
        <f>VLOOKUP(B275,'SAP Actual extraction'!B:B,1,0)</f>
        <v xml:space="preserve">    6666021300  Legal fees</v>
      </c>
    </row>
    <row r="276" spans="1:13" x14ac:dyDescent="0.3">
      <c r="A276" s="109" t="str">
        <f t="shared" si="6"/>
        <v>debitovh    6666021902  Cleaning fees</v>
      </c>
      <c r="B276" s="112" t="s">
        <v>278</v>
      </c>
      <c r="C276" s="113">
        <v>967.74</v>
      </c>
      <c r="D276" s="116">
        <v>0</v>
      </c>
      <c r="E276" s="113">
        <v>967.74</v>
      </c>
      <c r="F276" s="113">
        <v>0</v>
      </c>
      <c r="G276" s="112" t="s">
        <v>278</v>
      </c>
      <c r="H276" s="114">
        <v>0</v>
      </c>
      <c r="I276" s="114">
        <v>0</v>
      </c>
      <c r="J276" s="115">
        <v>0</v>
      </c>
      <c r="K276" s="113">
        <v>0</v>
      </c>
      <c r="L276" t="str">
        <f>VLOOKUP(A276,'SAP Actual extraction'!$A$28:$A$1048576,1,0)</f>
        <v>debitovh    6666021902  Cleaning fees</v>
      </c>
      <c r="M276" t="str">
        <f>VLOOKUP(B276,'SAP Actual extraction'!B:B,1,0)</f>
        <v xml:space="preserve">    6666021902  Cleaning fees</v>
      </c>
    </row>
    <row r="277" spans="1:13" x14ac:dyDescent="0.3">
      <c r="A277" s="109" t="str">
        <f t="shared" si="6"/>
        <v>debitovh    6666022100  Security</v>
      </c>
      <c r="B277" s="112" t="s">
        <v>279</v>
      </c>
      <c r="C277" s="113">
        <v>584.07000000000005</v>
      </c>
      <c r="D277" s="116">
        <v>0</v>
      </c>
      <c r="E277" s="113">
        <v>584.07000000000005</v>
      </c>
      <c r="F277" s="113">
        <v>0</v>
      </c>
      <c r="G277" s="112" t="s">
        <v>279</v>
      </c>
      <c r="H277" s="114">
        <v>0</v>
      </c>
      <c r="I277" s="114">
        <v>0</v>
      </c>
      <c r="J277" s="115">
        <v>0</v>
      </c>
      <c r="K277" s="113">
        <v>0</v>
      </c>
      <c r="L277" t="str">
        <f>VLOOKUP(A277,'SAP Actual extraction'!$A$28:$A$1048576,1,0)</f>
        <v>debitovh    6666022100  Security</v>
      </c>
      <c r="M277" t="str">
        <f>VLOOKUP(B277,'SAP Actual extraction'!B:B,1,0)</f>
        <v xml:space="preserve">    6666022100  Security</v>
      </c>
    </row>
    <row r="278" spans="1:13" x14ac:dyDescent="0.3">
      <c r="A278" s="109" t="str">
        <f t="shared" si="6"/>
        <v>debitovh    6666022300  Association dues</v>
      </c>
      <c r="B278" s="112" t="s">
        <v>280</v>
      </c>
      <c r="C278" s="113">
        <v>63346.86</v>
      </c>
      <c r="D278" s="113">
        <v>62755.08</v>
      </c>
      <c r="E278" s="113">
        <v>591.78</v>
      </c>
      <c r="F278" s="113">
        <v>0.94299999999999995</v>
      </c>
      <c r="G278" s="112" t="s">
        <v>280</v>
      </c>
      <c r="H278" s="114">
        <v>0</v>
      </c>
      <c r="I278" s="114">
        <v>0</v>
      </c>
      <c r="J278" s="115">
        <v>0</v>
      </c>
      <c r="K278" s="113">
        <v>0</v>
      </c>
      <c r="L278" t="str">
        <f>VLOOKUP(A278,'SAP Actual extraction'!$A$28:$A$1048576,1,0)</f>
        <v>debitovh    6666022300  Association dues</v>
      </c>
      <c r="M278" t="str">
        <f>VLOOKUP(B278,'SAP Actual extraction'!B:B,1,0)</f>
        <v xml:space="preserve">    6666022300  Association dues</v>
      </c>
    </row>
    <row r="279" spans="1:13" x14ac:dyDescent="0.3">
      <c r="A279" s="109" t="str">
        <f t="shared" si="6"/>
        <v>debitovh    6666029900  Sundry Expenses</v>
      </c>
      <c r="B279" s="112" t="s">
        <v>281</v>
      </c>
      <c r="C279" s="113">
        <v>431.64</v>
      </c>
      <c r="D279" s="113">
        <v>3401274</v>
      </c>
      <c r="E279" s="113">
        <v>-3400842.36</v>
      </c>
      <c r="F279" s="113">
        <v>-99.987300000000005</v>
      </c>
      <c r="G279" s="112" t="s">
        <v>281</v>
      </c>
      <c r="H279" s="114">
        <v>0</v>
      </c>
      <c r="I279" s="114">
        <v>0</v>
      </c>
      <c r="J279" s="115">
        <v>0</v>
      </c>
      <c r="K279" s="113">
        <v>0</v>
      </c>
      <c r="L279" t="str">
        <f>VLOOKUP(A279,'SAP Actual extraction'!$A$28:$A$1048576,1,0)</f>
        <v>debitovh    6666029900  Sundry Expenses</v>
      </c>
      <c r="M279" t="str">
        <f>VLOOKUP(B279,'SAP Actual extraction'!B:B,1,0)</f>
        <v xml:space="preserve">    6666029900  Sundry Expenses</v>
      </c>
    </row>
    <row r="280" spans="1:13" x14ac:dyDescent="0.3">
      <c r="A280" s="109" t="str">
        <f t="shared" si="6"/>
        <v>debitovh    6666029997  restructure cost</v>
      </c>
      <c r="B280" s="112" t="s">
        <v>282</v>
      </c>
      <c r="C280" s="113">
        <v>3304.7</v>
      </c>
      <c r="D280" s="116">
        <v>0</v>
      </c>
      <c r="E280" s="113">
        <v>3304.7</v>
      </c>
      <c r="F280" s="113">
        <v>0</v>
      </c>
      <c r="G280" s="112" t="s">
        <v>282</v>
      </c>
      <c r="H280" s="114">
        <v>0</v>
      </c>
      <c r="I280" s="114">
        <v>0</v>
      </c>
      <c r="J280" s="115">
        <v>0</v>
      </c>
      <c r="K280" s="113">
        <v>0</v>
      </c>
      <c r="L280" t="str">
        <f>VLOOKUP(A280,'SAP Actual extraction'!$A$28:$A$1048576,1,0)</f>
        <v>debitovh    6666029997  restructure cost</v>
      </c>
      <c r="M280" t="str">
        <f>VLOOKUP(B280,'SAP Actual extraction'!B:B,1,0)</f>
        <v xml:space="preserve">    6666029997  restructure cost</v>
      </c>
    </row>
    <row r="281" spans="1:13" x14ac:dyDescent="0.3">
      <c r="A281" s="109" t="str">
        <f t="shared" si="6"/>
        <v>debitovh    6666031100  Technical Documentation</v>
      </c>
      <c r="B281" s="112" t="s">
        <v>341</v>
      </c>
      <c r="C281" s="113">
        <v>6.86</v>
      </c>
      <c r="D281" s="116">
        <v>0</v>
      </c>
      <c r="E281" s="113">
        <v>6.86</v>
      </c>
      <c r="F281" s="113">
        <v>0</v>
      </c>
      <c r="G281" s="112" t="s">
        <v>341</v>
      </c>
      <c r="H281" s="114">
        <v>0</v>
      </c>
      <c r="I281" s="114">
        <v>0</v>
      </c>
      <c r="J281" s="115">
        <v>0</v>
      </c>
      <c r="K281" s="113">
        <v>0</v>
      </c>
      <c r="L281" t="str">
        <f>VLOOKUP(A281,'SAP Actual extraction'!$A$28:$A$1048576,1,0)</f>
        <v>debitovh    6666031100  Technical Documentation</v>
      </c>
      <c r="M281" t="str">
        <f>VLOOKUP(B281,'SAP Actual extraction'!B:B,1,0)</f>
        <v xml:space="preserve">    6666031100  Technical Documentation</v>
      </c>
    </row>
    <row r="282" spans="1:13" x14ac:dyDescent="0.3">
      <c r="A282" s="109" t="str">
        <f t="shared" si="6"/>
        <v>debitovh    6666050107  Special distribution costs</v>
      </c>
      <c r="B282" s="112" t="s">
        <v>286</v>
      </c>
      <c r="C282" s="113">
        <v>0</v>
      </c>
      <c r="D282" s="116">
        <v>0</v>
      </c>
      <c r="E282" s="113">
        <v>0</v>
      </c>
      <c r="F282" s="113">
        <v>0</v>
      </c>
      <c r="G282" s="112" t="s">
        <v>286</v>
      </c>
      <c r="H282" s="114">
        <v>0</v>
      </c>
      <c r="I282" s="114">
        <v>0</v>
      </c>
      <c r="J282" s="115">
        <v>0</v>
      </c>
      <c r="K282" s="113">
        <v>0</v>
      </c>
      <c r="L282" t="str">
        <f>VLOOKUP(A282,'SAP Actual extraction'!$A$28:$A$1048576,1,0)</f>
        <v>debitovh    6666050107  Special distribution costs</v>
      </c>
      <c r="M282" t="str">
        <f>VLOOKUP(B282,'SAP Actual extraction'!B:B,1,0)</f>
        <v xml:space="preserve">    6666050107  Special distribution costs</v>
      </c>
    </row>
    <row r="283" spans="1:13" x14ac:dyDescent="0.3">
      <c r="A283" s="109" t="str">
        <f t="shared" si="6"/>
        <v>debitovh    6666070400  IT maint. &amp; repairs hardware</v>
      </c>
      <c r="B283" s="112" t="s">
        <v>289</v>
      </c>
      <c r="C283" s="113">
        <v>273.58999999999997</v>
      </c>
      <c r="D283" s="116">
        <v>0</v>
      </c>
      <c r="E283" s="113">
        <v>273.58999999999997</v>
      </c>
      <c r="F283" s="113">
        <v>0</v>
      </c>
      <c r="G283" s="112" t="s">
        <v>289</v>
      </c>
      <c r="H283" s="114">
        <v>0</v>
      </c>
      <c r="I283" s="114">
        <v>0</v>
      </c>
      <c r="J283" s="115">
        <v>0</v>
      </c>
      <c r="K283" s="113">
        <v>0</v>
      </c>
      <c r="L283" t="e">
        <f>VLOOKUP(A283,'SAP Actual extraction'!$A$28:$A$1048576,1,0)</f>
        <v>#N/A</v>
      </c>
      <c r="M283" t="str">
        <f>VLOOKUP(B283,'SAP Actual extraction'!B:B,1,0)</f>
        <v xml:space="preserve">    6666070400  IT maint. &amp; repairs hardware</v>
      </c>
    </row>
    <row r="284" spans="1:13" x14ac:dyDescent="0.3">
      <c r="A284" s="109" t="str">
        <f t="shared" si="6"/>
        <v>debitovh    6666079999  IT Expense-Internal Charge Out</v>
      </c>
      <c r="B284" s="112" t="s">
        <v>342</v>
      </c>
      <c r="C284" s="113">
        <v>1974953.02</v>
      </c>
      <c r="D284" s="116">
        <v>0</v>
      </c>
      <c r="E284" s="113">
        <v>1974953.02</v>
      </c>
      <c r="F284" s="113">
        <v>0</v>
      </c>
      <c r="G284" s="112" t="s">
        <v>342</v>
      </c>
      <c r="H284" s="114">
        <v>0</v>
      </c>
      <c r="I284" s="114">
        <v>0</v>
      </c>
      <c r="J284" s="115">
        <v>0</v>
      </c>
      <c r="K284" s="113">
        <v>0</v>
      </c>
      <c r="L284" t="str">
        <f>VLOOKUP(A284,'SAP Actual extraction'!$A$28:$A$1048576,1,0)</f>
        <v>debitovh    6666079999  IT Expense-Internal Charge Out</v>
      </c>
      <c r="M284" t="str">
        <f>VLOOKUP(B284,'SAP Actual extraction'!B:B,1,0)</f>
        <v xml:space="preserve">    6666079999  IT Expense-Internal Charge Out</v>
      </c>
    </row>
    <row r="285" spans="1:13" x14ac:dyDescent="0.3">
      <c r="A285" s="109" t="str">
        <f t="shared" si="6"/>
        <v>debitovh    6666090100  Stamp Duty</v>
      </c>
      <c r="B285" s="112" t="s">
        <v>344</v>
      </c>
      <c r="C285" s="113">
        <v>8540.0400000000009</v>
      </c>
      <c r="D285" s="116">
        <v>0</v>
      </c>
      <c r="E285" s="113">
        <v>8540.0400000000009</v>
      </c>
      <c r="F285" s="113">
        <v>0</v>
      </c>
      <c r="G285" s="112" t="s">
        <v>344</v>
      </c>
      <c r="H285" s="114">
        <v>0</v>
      </c>
      <c r="I285" s="114">
        <v>0</v>
      </c>
      <c r="J285" s="115">
        <v>0</v>
      </c>
      <c r="K285" s="113">
        <v>0</v>
      </c>
      <c r="L285" t="str">
        <f>VLOOKUP(A285,'SAP Actual extraction'!$A$28:$A$1048576,1,0)</f>
        <v>debitovh    6666090100  Stamp Duty</v>
      </c>
      <c r="M285" t="str">
        <f>VLOOKUP(B285,'SAP Actual extraction'!B:B,1,0)</f>
        <v xml:space="preserve">    6666090100  Stamp Duty</v>
      </c>
    </row>
    <row r="286" spans="1:13" x14ac:dyDescent="0.3">
      <c r="A286" s="109" t="str">
        <f t="shared" si="6"/>
        <v>debitovh    6666093800  Other Taxes-CIT Deductible</v>
      </c>
      <c r="B286" s="112" t="s">
        <v>343</v>
      </c>
      <c r="C286" s="113">
        <v>887.03</v>
      </c>
      <c r="D286" s="116">
        <v>0</v>
      </c>
      <c r="E286" s="113">
        <v>887.03</v>
      </c>
      <c r="F286" s="113">
        <v>0</v>
      </c>
      <c r="G286" s="112" t="s">
        <v>343</v>
      </c>
      <c r="H286" s="114">
        <v>0</v>
      </c>
      <c r="I286" s="114">
        <v>0</v>
      </c>
      <c r="J286" s="115">
        <v>0</v>
      </c>
      <c r="K286" s="113">
        <v>0</v>
      </c>
      <c r="L286" t="str">
        <f>VLOOKUP(A286,'SAP Actual extraction'!$A$28:$A$1048576,1,0)</f>
        <v>debitovh    6666093800  Other Taxes-CIT Deductible</v>
      </c>
      <c r="M286" t="str">
        <f>VLOOKUP(B286,'SAP Actual extraction'!B:B,1,0)</f>
        <v xml:space="preserve">    6666093800  Other Taxes-CIT Deductible</v>
      </c>
    </row>
    <row r="287" spans="1:13" x14ac:dyDescent="0.3">
      <c r="A287" s="109" t="str">
        <f t="shared" si="6"/>
        <v>debitovh    5207000011  Gain of tangible asset disposal</v>
      </c>
      <c r="B287" s="112" t="s">
        <v>290</v>
      </c>
      <c r="C287" s="113">
        <v>-7333.79</v>
      </c>
      <c r="D287" s="116">
        <v>0</v>
      </c>
      <c r="E287" s="113">
        <v>-7333.79</v>
      </c>
      <c r="F287" s="113">
        <v>0</v>
      </c>
      <c r="G287" s="112" t="s">
        <v>290</v>
      </c>
      <c r="H287" s="114">
        <v>0</v>
      </c>
      <c r="I287" s="114">
        <v>0</v>
      </c>
      <c r="J287" s="115">
        <v>0</v>
      </c>
      <c r="K287" s="113">
        <v>0</v>
      </c>
      <c r="L287" t="e">
        <f>VLOOKUP(A287,'SAP Actual extraction'!$A$28:$A$1048576,1,0)</f>
        <v>#N/A</v>
      </c>
      <c r="M287" t="str">
        <f>VLOOKUP(B287,'SAP Actual extraction'!B:B,1,0)</f>
        <v xml:space="preserve">    5207000011  Gain of tangible asset disposal</v>
      </c>
    </row>
    <row r="288" spans="1:13" x14ac:dyDescent="0.3">
      <c r="A288" s="109" t="str">
        <f t="shared" si="6"/>
        <v>debitovh    5401050201  COGS-Freight out-Special and sporadic fr</v>
      </c>
      <c r="B288" s="112" t="s">
        <v>291</v>
      </c>
      <c r="C288" s="113">
        <v>34.22</v>
      </c>
      <c r="D288" s="116">
        <v>0</v>
      </c>
      <c r="E288" s="113">
        <v>34.22</v>
      </c>
      <c r="F288" s="113">
        <v>0</v>
      </c>
      <c r="G288" s="112" t="s">
        <v>291</v>
      </c>
      <c r="H288" s="114">
        <v>0</v>
      </c>
      <c r="I288" s="114">
        <v>0</v>
      </c>
      <c r="J288" s="115">
        <v>0</v>
      </c>
      <c r="K288" s="113">
        <v>0</v>
      </c>
      <c r="L288" t="e">
        <f>VLOOKUP(A288,'SAP Actual extraction'!$A$28:$A$1048576,1,0)</f>
        <v>#N/A</v>
      </c>
      <c r="M288" t="str">
        <f>VLOOKUP(B288,'SAP Actual extraction'!B:B,1,0)</f>
        <v xml:space="preserve">    5401050201  COGS-Freight out-Special and sporadic fr</v>
      </c>
    </row>
    <row r="289" spans="1:13" x14ac:dyDescent="0.3">
      <c r="A289" s="109" t="str">
        <f t="shared" si="6"/>
        <v>debitovh*   CS_Fix Cost</v>
      </c>
      <c r="B289" s="117" t="s">
        <v>210</v>
      </c>
      <c r="C289" s="118">
        <v>2908525.84</v>
      </c>
      <c r="D289" s="118">
        <v>3738337.2</v>
      </c>
      <c r="E289" s="118">
        <v>-829811.36</v>
      </c>
      <c r="F289" s="118">
        <v>-22.197299999999998</v>
      </c>
      <c r="G289" s="117" t="s">
        <v>210</v>
      </c>
      <c r="H289" s="119">
        <v>0</v>
      </c>
      <c r="I289" s="119">
        <v>0</v>
      </c>
      <c r="J289" s="120">
        <v>0</v>
      </c>
      <c r="K289" s="118">
        <v>0</v>
      </c>
      <c r="L289" t="str">
        <f>VLOOKUP(A289,'SAP Actual extraction'!$A$28:$A$1048576,1,0)</f>
        <v>debitovh*   CS_Fix Cost</v>
      </c>
      <c r="M289" t="str">
        <f>VLOOKUP(B289,'SAP Actual extraction'!B:B,1,0)</f>
        <v>*   CS_Fix Cost</v>
      </c>
    </row>
    <row r="290" spans="1:13" x14ac:dyDescent="0.3">
      <c r="A290" s="109" t="str">
        <f t="shared" si="6"/>
        <v>debitovh    5102040000  Other Revenue - Other</v>
      </c>
      <c r="B290" s="112" t="s">
        <v>293</v>
      </c>
      <c r="C290" s="113">
        <v>-327.54000000000002</v>
      </c>
      <c r="D290" s="116">
        <v>0</v>
      </c>
      <c r="E290" s="113">
        <v>-327.54000000000002</v>
      </c>
      <c r="F290" s="113">
        <v>0</v>
      </c>
      <c r="G290" s="112" t="s">
        <v>293</v>
      </c>
      <c r="H290" s="114">
        <v>0</v>
      </c>
      <c r="I290" s="114">
        <v>0</v>
      </c>
      <c r="J290" s="115">
        <v>0</v>
      </c>
      <c r="K290" s="113">
        <v>0</v>
      </c>
      <c r="L290" t="str">
        <f>VLOOKUP(A290,'SAP Actual extraction'!$A$28:$A$1048576,1,0)</f>
        <v>debitovh    5102040000  Other Revenue - Other</v>
      </c>
      <c r="M290" t="str">
        <f>VLOOKUP(B290,'SAP Actual extraction'!B:B,1,0)</f>
        <v xml:space="preserve">    5102040000  Other Revenue - Other</v>
      </c>
    </row>
    <row r="291" spans="1:13" x14ac:dyDescent="0.3">
      <c r="A291" s="109" t="str">
        <f t="shared" si="6"/>
        <v>debitovh*   CS_Variable Cost</v>
      </c>
      <c r="B291" s="117" t="s">
        <v>212</v>
      </c>
      <c r="C291" s="118">
        <v>-327.54000000000002</v>
      </c>
      <c r="D291" s="125">
        <v>0</v>
      </c>
      <c r="E291" s="118">
        <v>-327.54000000000002</v>
      </c>
      <c r="F291" s="118">
        <v>0</v>
      </c>
      <c r="G291" s="117" t="s">
        <v>212</v>
      </c>
      <c r="H291" s="119">
        <v>0</v>
      </c>
      <c r="I291" s="119">
        <v>0</v>
      </c>
      <c r="J291" s="120">
        <v>0</v>
      </c>
      <c r="K291" s="118">
        <v>0</v>
      </c>
      <c r="L291" t="str">
        <f>VLOOKUP(A291,'SAP Actual extraction'!$A$28:$A$1048576,1,0)</f>
        <v>debitovh*   CS_Variable Cost</v>
      </c>
      <c r="M291" t="str">
        <f>VLOOKUP(B291,'SAP Actual extraction'!B:B,1,0)</f>
        <v>*   CS_Variable Cost</v>
      </c>
    </row>
    <row r="292" spans="1:13" x14ac:dyDescent="0.3">
      <c r="A292" s="109" t="str">
        <f t="shared" si="6"/>
        <v>debitovh    5301070000  Non-operation revenue-sales of scrapped</v>
      </c>
      <c r="B292" s="112" t="s">
        <v>296</v>
      </c>
      <c r="C292" s="116">
        <v>0</v>
      </c>
      <c r="D292" s="116">
        <v>0</v>
      </c>
      <c r="E292" s="113">
        <v>0</v>
      </c>
      <c r="F292" s="113">
        <v>0</v>
      </c>
      <c r="G292" s="112" t="s">
        <v>296</v>
      </c>
      <c r="H292" s="114">
        <v>0</v>
      </c>
      <c r="I292" s="114">
        <v>0</v>
      </c>
      <c r="J292" s="115">
        <v>0</v>
      </c>
      <c r="K292" s="113">
        <v>0</v>
      </c>
      <c r="L292" t="e">
        <f>VLOOKUP(A292,'SAP Actual extraction'!$A$28:$A$1048576,1,0)</f>
        <v>#N/A</v>
      </c>
      <c r="M292" t="str">
        <f>VLOOKUP(B292,'SAP Actual extraction'!B:B,1,0)</f>
        <v xml:space="preserve">    5301070000  Non-operation revenue-sales of scrapped</v>
      </c>
    </row>
    <row r="293" spans="1:13" x14ac:dyDescent="0.3">
      <c r="A293" s="109" t="str">
        <f t="shared" si="6"/>
        <v>debitovh*   CS_Reselling</v>
      </c>
      <c r="B293" s="117" t="s">
        <v>214</v>
      </c>
      <c r="C293" s="125">
        <v>0</v>
      </c>
      <c r="D293" s="125">
        <v>0</v>
      </c>
      <c r="E293" s="118">
        <v>0</v>
      </c>
      <c r="F293" s="118">
        <v>0</v>
      </c>
      <c r="G293" s="117" t="s">
        <v>214</v>
      </c>
      <c r="H293" s="119">
        <v>0</v>
      </c>
      <c r="I293" s="119">
        <v>0</v>
      </c>
      <c r="J293" s="120">
        <v>0</v>
      </c>
      <c r="K293" s="118">
        <v>0</v>
      </c>
      <c r="L293" t="e">
        <f>VLOOKUP(A293,'SAP Actual extraction'!$A$28:$A$1048576,1,0)</f>
        <v>#N/A</v>
      </c>
      <c r="M293" t="str">
        <f>VLOOKUP(B293,'SAP Actual extraction'!B:B,1,0)</f>
        <v>*   CS_Reselling</v>
      </c>
    </row>
    <row r="294" spans="1:13" x14ac:dyDescent="0.3">
      <c r="A294" s="109" t="str">
        <f t="shared" si="6"/>
        <v>debitovh    6666021600  Energy and power cost</v>
      </c>
      <c r="B294" s="112" t="s">
        <v>298</v>
      </c>
      <c r="C294" s="113">
        <v>13717.45</v>
      </c>
      <c r="D294" s="116">
        <v>0</v>
      </c>
      <c r="E294" s="113">
        <v>13717.45</v>
      </c>
      <c r="F294" s="113">
        <v>0</v>
      </c>
      <c r="G294" s="112" t="s">
        <v>298</v>
      </c>
      <c r="H294" s="114">
        <v>0</v>
      </c>
      <c r="I294" s="114">
        <v>0</v>
      </c>
      <c r="J294" s="115">
        <v>0</v>
      </c>
      <c r="K294" s="113">
        <v>0</v>
      </c>
      <c r="L294" t="str">
        <f>VLOOKUP(A294,'SAP Actual extraction'!$A$28:$A$1048576,1,0)</f>
        <v>debitovh    6666021600  Energy and power cost</v>
      </c>
      <c r="M294" t="str">
        <f>VLOOKUP(B294,'SAP Actual extraction'!B:B,1,0)</f>
        <v xml:space="preserve">    6666021600  Energy and power cost</v>
      </c>
    </row>
    <row r="295" spans="1:13" x14ac:dyDescent="0.3">
      <c r="A295" s="109" t="str">
        <f t="shared" si="6"/>
        <v>debitovh    6666021604  Oil &amp; Gas</v>
      </c>
      <c r="B295" s="112" t="s">
        <v>300</v>
      </c>
      <c r="C295" s="113">
        <v>109.26</v>
      </c>
      <c r="D295" s="116">
        <v>0</v>
      </c>
      <c r="E295" s="113">
        <v>109.26</v>
      </c>
      <c r="F295" s="113">
        <v>0</v>
      </c>
      <c r="G295" s="112" t="s">
        <v>300</v>
      </c>
      <c r="H295" s="114">
        <v>0</v>
      </c>
      <c r="I295" s="114">
        <v>0</v>
      </c>
      <c r="J295" s="115">
        <v>0</v>
      </c>
      <c r="K295" s="113">
        <v>0</v>
      </c>
      <c r="L295" t="str">
        <f>VLOOKUP(A295,'SAP Actual extraction'!$A$28:$A$1048576,1,0)</f>
        <v>debitovh    6666021604  Oil &amp; Gas</v>
      </c>
      <c r="M295" t="str">
        <f>VLOOKUP(B295,'SAP Actual extraction'!B:B,1,0)</f>
        <v xml:space="preserve">    6666021604  Oil &amp; Gas</v>
      </c>
    </row>
    <row r="296" spans="1:13" x14ac:dyDescent="0.3">
      <c r="A296" s="109" t="str">
        <f t="shared" si="6"/>
        <v>debitovh*   CS_Variable Utilities</v>
      </c>
      <c r="B296" s="117" t="s">
        <v>216</v>
      </c>
      <c r="C296" s="118">
        <v>13826.71</v>
      </c>
      <c r="D296" s="125">
        <v>0</v>
      </c>
      <c r="E296" s="118">
        <v>13826.71</v>
      </c>
      <c r="F296" s="118">
        <v>0</v>
      </c>
      <c r="G296" s="117" t="s">
        <v>216</v>
      </c>
      <c r="H296" s="119">
        <v>0</v>
      </c>
      <c r="I296" s="119">
        <v>0</v>
      </c>
      <c r="J296" s="120">
        <v>0</v>
      </c>
      <c r="K296" s="118">
        <v>0</v>
      </c>
      <c r="L296" t="str">
        <f>VLOOKUP(A296,'SAP Actual extraction'!$A$28:$A$1048576,1,0)</f>
        <v>debitovh*   CS_Variable Utilities</v>
      </c>
      <c r="M296" t="str">
        <f>VLOOKUP(B296,'SAP Actual extraction'!B:B,1,0)</f>
        <v>*   CS_Variable Utilities</v>
      </c>
    </row>
    <row r="297" spans="1:13" x14ac:dyDescent="0.3">
      <c r="A297" s="109" t="str">
        <f t="shared" si="6"/>
        <v>debitovh    6666010012  Payroll Taxes- Blue Collar Indirect</v>
      </c>
      <c r="B297" s="112" t="s">
        <v>305</v>
      </c>
      <c r="C297" s="113">
        <v>60.75</v>
      </c>
      <c r="D297" s="116">
        <v>0</v>
      </c>
      <c r="E297" s="113">
        <v>60.75</v>
      </c>
      <c r="F297" s="113">
        <v>0</v>
      </c>
      <c r="G297" s="112" t="s">
        <v>305</v>
      </c>
      <c r="H297" s="114">
        <v>0</v>
      </c>
      <c r="I297" s="114">
        <v>0</v>
      </c>
      <c r="J297" s="115">
        <v>0</v>
      </c>
      <c r="K297" s="113">
        <v>0</v>
      </c>
      <c r="L297" t="str">
        <f>VLOOKUP(A297,'SAP Actual extraction'!$A$28:$A$1048576,1,0)</f>
        <v>debitovh    6666010012  Payroll Taxes- Blue Collar Indirect</v>
      </c>
      <c r="M297" t="str">
        <f>VLOOKUP(B297,'SAP Actual extraction'!B:B,1,0)</f>
        <v xml:space="preserve">    6666010012  Payroll Taxes- Blue Collar Indirect</v>
      </c>
    </row>
    <row r="298" spans="1:13" x14ac:dyDescent="0.3">
      <c r="A298" s="109" t="str">
        <f t="shared" si="6"/>
        <v>debitovh    6666010102  Salary-Blue collar indirect employees- A</v>
      </c>
      <c r="B298" s="112" t="s">
        <v>307</v>
      </c>
      <c r="C298" s="113">
        <v>485.3</v>
      </c>
      <c r="D298" s="116">
        <v>0</v>
      </c>
      <c r="E298" s="113">
        <v>485.3</v>
      </c>
      <c r="F298" s="113">
        <v>0</v>
      </c>
      <c r="G298" s="112" t="s">
        <v>307</v>
      </c>
      <c r="H298" s="114">
        <v>0</v>
      </c>
      <c r="I298" s="114">
        <v>0</v>
      </c>
      <c r="J298" s="115">
        <v>0</v>
      </c>
      <c r="K298" s="113">
        <v>0</v>
      </c>
      <c r="L298" t="str">
        <f>VLOOKUP(A298,'SAP Actual extraction'!$A$28:$A$1048576,1,0)</f>
        <v>debitovh    6666010102  Salary-Blue collar indirect employees- A</v>
      </c>
      <c r="M298" t="str">
        <f>VLOOKUP(B298,'SAP Actual extraction'!B:B,1,0)</f>
        <v xml:space="preserve">    6666010102  Salary-Blue collar indirect employees- A</v>
      </c>
    </row>
    <row r="299" spans="1:13" x14ac:dyDescent="0.3">
      <c r="A299" s="109" t="str">
        <f t="shared" si="6"/>
        <v>debitovh*   CS_Indirect Labour</v>
      </c>
      <c r="B299" s="117" t="s">
        <v>217</v>
      </c>
      <c r="C299" s="118">
        <v>546.04999999999995</v>
      </c>
      <c r="D299" s="125">
        <v>0</v>
      </c>
      <c r="E299" s="118">
        <v>546.04999999999995</v>
      </c>
      <c r="F299" s="118">
        <v>0</v>
      </c>
      <c r="G299" s="117" t="s">
        <v>217</v>
      </c>
      <c r="H299" s="119">
        <v>0</v>
      </c>
      <c r="I299" s="119">
        <v>0</v>
      </c>
      <c r="J299" s="120">
        <v>0</v>
      </c>
      <c r="K299" s="118">
        <v>0</v>
      </c>
      <c r="L299" t="str">
        <f>VLOOKUP(A299,'SAP Actual extraction'!$A$28:$A$1048576,1,0)</f>
        <v>debitovh*   CS_Indirect Labour</v>
      </c>
      <c r="M299" t="str">
        <f>VLOOKUP(B299,'SAP Actual extraction'!B:B,1,0)</f>
        <v>*   CS_Indirect Labour</v>
      </c>
    </row>
    <row r="300" spans="1:13" x14ac:dyDescent="0.3">
      <c r="A300" s="109" t="str">
        <f t="shared" si="6"/>
        <v>debitovh    6666010196  Payroll Taxes-White Collar Employee</v>
      </c>
      <c r="B300" s="112" t="s">
        <v>308</v>
      </c>
      <c r="C300" s="113">
        <v>20113.27</v>
      </c>
      <c r="D300" s="116">
        <v>0</v>
      </c>
      <c r="E300" s="113">
        <v>20113.27</v>
      </c>
      <c r="F300" s="113">
        <v>0</v>
      </c>
      <c r="G300" s="112" t="s">
        <v>308</v>
      </c>
      <c r="H300" s="114">
        <v>0</v>
      </c>
      <c r="I300" s="114">
        <v>0</v>
      </c>
      <c r="J300" s="115">
        <v>0</v>
      </c>
      <c r="K300" s="113">
        <v>0</v>
      </c>
      <c r="L300" t="str">
        <f>VLOOKUP(A300,'SAP Actual extraction'!$A$28:$A$1048576,1,0)</f>
        <v>debitovh    6666010196  Payroll Taxes-White Collar Employee</v>
      </c>
      <c r="M300" t="str">
        <f>VLOOKUP(B300,'SAP Actual extraction'!B:B,1,0)</f>
        <v xml:space="preserve">    6666010196  Payroll Taxes-White Collar Employee</v>
      </c>
    </row>
    <row r="301" spans="1:13" x14ac:dyDescent="0.3">
      <c r="A301" s="109" t="str">
        <f t="shared" si="6"/>
        <v>debitovh    6666010101  Salary - White collar employees</v>
      </c>
      <c r="B301" s="112" t="s">
        <v>309</v>
      </c>
      <c r="C301" s="113">
        <v>151155.10999999999</v>
      </c>
      <c r="D301" s="116">
        <v>0</v>
      </c>
      <c r="E301" s="113">
        <v>151155.10999999999</v>
      </c>
      <c r="F301" s="113">
        <v>0</v>
      </c>
      <c r="G301" s="112" t="s">
        <v>309</v>
      </c>
      <c r="H301" s="114">
        <v>0</v>
      </c>
      <c r="I301" s="114">
        <v>0</v>
      </c>
      <c r="J301" s="115">
        <v>0</v>
      </c>
      <c r="K301" s="113">
        <v>0</v>
      </c>
      <c r="L301" t="str">
        <f>VLOOKUP(A301,'SAP Actual extraction'!$A$28:$A$1048576,1,0)</f>
        <v>debitovh    6666010101  Salary - White collar employees</v>
      </c>
      <c r="M301" t="str">
        <f>VLOOKUP(B301,'SAP Actual extraction'!B:B,1,0)</f>
        <v xml:space="preserve">    6666010101  Salary - White collar employees</v>
      </c>
    </row>
    <row r="302" spans="1:13" x14ac:dyDescent="0.3">
      <c r="A302" s="109" t="str">
        <f t="shared" si="6"/>
        <v>debitovh    6666010199  Salary-White collar employees -Accrued</v>
      </c>
      <c r="B302" s="112" t="s">
        <v>310</v>
      </c>
      <c r="C302" s="113">
        <v>7595.46</v>
      </c>
      <c r="D302" s="116">
        <v>0</v>
      </c>
      <c r="E302" s="113">
        <v>7595.46</v>
      </c>
      <c r="F302" s="113">
        <v>0</v>
      </c>
      <c r="G302" s="112" t="s">
        <v>310</v>
      </c>
      <c r="H302" s="114">
        <v>0</v>
      </c>
      <c r="I302" s="114">
        <v>0</v>
      </c>
      <c r="J302" s="115">
        <v>0</v>
      </c>
      <c r="K302" s="113">
        <v>0</v>
      </c>
      <c r="L302" t="str">
        <f>VLOOKUP(A302,'SAP Actual extraction'!$A$28:$A$1048576,1,0)</f>
        <v>debitovh    6666010199  Salary-White collar employees -Accrued</v>
      </c>
      <c r="M302" t="str">
        <f>VLOOKUP(B302,'SAP Actual extraction'!B:B,1,0)</f>
        <v xml:space="preserve">    6666010199  Salary-White collar employees -Accrued</v>
      </c>
    </row>
    <row r="303" spans="1:13" x14ac:dyDescent="0.3">
      <c r="A303" s="109" t="str">
        <f t="shared" si="6"/>
        <v>debitovh    6666010207  Unemployment insurance companies to pay</v>
      </c>
      <c r="B303" s="112" t="s">
        <v>312</v>
      </c>
      <c r="C303" s="113">
        <v>2244.71</v>
      </c>
      <c r="D303" s="116">
        <v>0</v>
      </c>
      <c r="E303" s="113">
        <v>2244.71</v>
      </c>
      <c r="F303" s="113">
        <v>0</v>
      </c>
      <c r="G303" s="112" t="s">
        <v>312</v>
      </c>
      <c r="H303" s="114">
        <v>0</v>
      </c>
      <c r="I303" s="114">
        <v>0</v>
      </c>
      <c r="J303" s="115">
        <v>0</v>
      </c>
      <c r="K303" s="113">
        <v>0</v>
      </c>
      <c r="L303" t="str">
        <f>VLOOKUP(A303,'SAP Actual extraction'!$A$28:$A$1048576,1,0)</f>
        <v>debitovh    6666010207  Unemployment insurance companies to pay</v>
      </c>
      <c r="M303" t="str">
        <f>VLOOKUP(B303,'SAP Actual extraction'!B:B,1,0)</f>
        <v xml:space="preserve">    6666010207  Unemployment insurance companies to pay</v>
      </c>
    </row>
    <row r="304" spans="1:13" x14ac:dyDescent="0.3">
      <c r="A304" s="109" t="str">
        <f t="shared" si="6"/>
        <v>debitovh    6666010227  Staff Leaving Indemnity - White collar E</v>
      </c>
      <c r="B304" s="112" t="s">
        <v>314</v>
      </c>
      <c r="C304" s="113">
        <v>2131.71</v>
      </c>
      <c r="D304" s="116">
        <v>0</v>
      </c>
      <c r="E304" s="113">
        <v>2131.71</v>
      </c>
      <c r="F304" s="113">
        <v>0</v>
      </c>
      <c r="G304" s="112" t="s">
        <v>314</v>
      </c>
      <c r="H304" s="114">
        <v>0</v>
      </c>
      <c r="I304" s="114">
        <v>0</v>
      </c>
      <c r="J304" s="115">
        <v>0</v>
      </c>
      <c r="K304" s="113">
        <v>0</v>
      </c>
      <c r="L304" t="str">
        <f>VLOOKUP(A304,'SAP Actual extraction'!$A$28:$A$1048576,1,0)</f>
        <v>debitovh    6666010227  Staff Leaving Indemnity - White collar E</v>
      </c>
      <c r="M304" t="str">
        <f>VLOOKUP(B304,'SAP Actual extraction'!B:B,1,0)</f>
        <v xml:space="preserve">    6666010227  Staff Leaving Indemnity - White collar E</v>
      </c>
    </row>
    <row r="305" spans="1:13" x14ac:dyDescent="0.3">
      <c r="A305" s="109" t="str">
        <f t="shared" ref="A305:A314" si="7">"debit"&amp;"ovh"&amp;B305</f>
        <v>debitovh*   CS_Fixed Labour</v>
      </c>
      <c r="B305" s="117" t="s">
        <v>218</v>
      </c>
      <c r="C305" s="118">
        <v>183240.26</v>
      </c>
      <c r="D305" s="125">
        <v>0</v>
      </c>
      <c r="E305" s="118">
        <v>183240.26</v>
      </c>
      <c r="F305" s="118">
        <v>0</v>
      </c>
      <c r="G305" s="117" t="s">
        <v>218</v>
      </c>
      <c r="H305" s="119">
        <v>0</v>
      </c>
      <c r="I305" s="119">
        <v>0</v>
      </c>
      <c r="J305" s="120">
        <v>0</v>
      </c>
      <c r="K305" s="118">
        <v>0</v>
      </c>
      <c r="L305" t="str">
        <f>VLOOKUP(A305,'SAP Actual extraction'!$A$28:$A$1048576,1,0)</f>
        <v>debitovh*   CS_Fixed Labour</v>
      </c>
      <c r="M305" t="str">
        <f>VLOOKUP(B305,'SAP Actual extraction'!B:B,1,0)</f>
        <v>*   CS_Fixed Labour</v>
      </c>
    </row>
    <row r="306" spans="1:13" x14ac:dyDescent="0.3">
      <c r="A306" s="109" t="str">
        <f t="shared" si="7"/>
        <v>debitovh    6666010314  Work uniforms</v>
      </c>
      <c r="B306" s="112" t="s">
        <v>317</v>
      </c>
      <c r="C306" s="113">
        <v>1061.3800000000001</v>
      </c>
      <c r="D306" s="116">
        <v>0</v>
      </c>
      <c r="E306" s="113">
        <v>1061.3800000000001</v>
      </c>
      <c r="F306" s="113">
        <v>0</v>
      </c>
      <c r="G306" s="112" t="s">
        <v>317</v>
      </c>
      <c r="H306" s="114">
        <v>0</v>
      </c>
      <c r="I306" s="114">
        <v>0</v>
      </c>
      <c r="J306" s="115">
        <v>0</v>
      </c>
      <c r="K306" s="113">
        <v>0</v>
      </c>
      <c r="L306" t="str">
        <f>VLOOKUP(A306,'SAP Actual extraction'!$A$28:$A$1048576,1,0)</f>
        <v>debitovh    6666010314  Work uniforms</v>
      </c>
      <c r="M306" t="str">
        <f>VLOOKUP(B306,'SAP Actual extraction'!B:B,1,0)</f>
        <v xml:space="preserve">    6666010314  Work uniforms</v>
      </c>
    </row>
    <row r="307" spans="1:13" x14ac:dyDescent="0.3">
      <c r="A307" s="109" t="str">
        <f t="shared" si="7"/>
        <v>debitovh    6666020401  local transportation - bus and taxi</v>
      </c>
      <c r="B307" s="112" t="s">
        <v>318</v>
      </c>
      <c r="C307" s="113">
        <v>-544.97</v>
      </c>
      <c r="D307" s="116">
        <v>0</v>
      </c>
      <c r="E307" s="113">
        <v>-544.97</v>
      </c>
      <c r="F307" s="113">
        <v>0</v>
      </c>
      <c r="G307" s="112" t="s">
        <v>318</v>
      </c>
      <c r="H307" s="114">
        <v>0</v>
      </c>
      <c r="I307" s="114">
        <v>0</v>
      </c>
      <c r="J307" s="115">
        <v>0</v>
      </c>
      <c r="K307" s="113">
        <v>0</v>
      </c>
      <c r="L307" t="str">
        <f>VLOOKUP(A307,'SAP Actual extraction'!$A$28:$A$1048576,1,0)</f>
        <v>debitovh    6666020401  local transportation - bus and taxi</v>
      </c>
      <c r="M307" t="str">
        <f>VLOOKUP(B307,'SAP Actual extraction'!B:B,1,0)</f>
        <v xml:space="preserve">    6666020401  local transportation - bus and taxi</v>
      </c>
    </row>
    <row r="308" spans="1:13" x14ac:dyDescent="0.3">
      <c r="A308" s="109" t="str">
        <f t="shared" si="7"/>
        <v>debitovh    6666020502  Working meals</v>
      </c>
      <c r="B308" s="112" t="s">
        <v>320</v>
      </c>
      <c r="C308" s="113">
        <v>59.43</v>
      </c>
      <c r="D308" s="116">
        <v>0</v>
      </c>
      <c r="E308" s="113">
        <v>59.43</v>
      </c>
      <c r="F308" s="113">
        <v>0</v>
      </c>
      <c r="G308" s="112" t="s">
        <v>320</v>
      </c>
      <c r="H308" s="114">
        <v>0</v>
      </c>
      <c r="I308" s="114">
        <v>0</v>
      </c>
      <c r="J308" s="115">
        <v>0</v>
      </c>
      <c r="K308" s="113">
        <v>0</v>
      </c>
      <c r="L308" t="str">
        <f>VLOOKUP(A308,'SAP Actual extraction'!$A$28:$A$1048576,1,0)</f>
        <v>debitovh    6666020502  Working meals</v>
      </c>
      <c r="M308" t="str">
        <f>VLOOKUP(B308,'SAP Actual extraction'!B:B,1,0)</f>
        <v xml:space="preserve">    6666020502  Working meals</v>
      </c>
    </row>
    <row r="309" spans="1:13" x14ac:dyDescent="0.3">
      <c r="A309" s="109" t="str">
        <f t="shared" si="7"/>
        <v>debitovh    6666020503  Office supplies</v>
      </c>
      <c r="B309" s="112" t="s">
        <v>321</v>
      </c>
      <c r="C309" s="113">
        <v>165.77</v>
      </c>
      <c r="D309" s="116">
        <v>0</v>
      </c>
      <c r="E309" s="113">
        <v>165.77</v>
      </c>
      <c r="F309" s="113">
        <v>0</v>
      </c>
      <c r="G309" s="112" t="s">
        <v>321</v>
      </c>
      <c r="H309" s="114">
        <v>0</v>
      </c>
      <c r="I309" s="114">
        <v>0</v>
      </c>
      <c r="J309" s="115">
        <v>0</v>
      </c>
      <c r="K309" s="113">
        <v>0</v>
      </c>
      <c r="L309" t="str">
        <f>VLOOKUP(A309,'SAP Actual extraction'!$A$28:$A$1048576,1,0)</f>
        <v>debitovh    6666020503  Office supplies</v>
      </c>
      <c r="M309" t="str">
        <f>VLOOKUP(B309,'SAP Actual extraction'!B:B,1,0)</f>
        <v xml:space="preserve">    6666020503  Office supplies</v>
      </c>
    </row>
    <row r="310" spans="1:13" x14ac:dyDescent="0.3">
      <c r="A310" s="109" t="str">
        <f t="shared" si="7"/>
        <v>debitovh    6666021502  Repair &amp; Maintain - Building&amp;office</v>
      </c>
      <c r="B310" s="112" t="s">
        <v>323</v>
      </c>
      <c r="C310" s="113">
        <v>2047.06</v>
      </c>
      <c r="D310" s="116">
        <v>0</v>
      </c>
      <c r="E310" s="113">
        <v>2047.06</v>
      </c>
      <c r="F310" s="113">
        <v>0</v>
      </c>
      <c r="G310" s="112" t="s">
        <v>323</v>
      </c>
      <c r="H310" s="114">
        <v>0</v>
      </c>
      <c r="I310" s="114">
        <v>0</v>
      </c>
      <c r="J310" s="115">
        <v>0</v>
      </c>
      <c r="K310" s="113">
        <v>0</v>
      </c>
      <c r="L310" t="str">
        <f>VLOOKUP(A310,'SAP Actual extraction'!$A$28:$A$1048576,1,0)</f>
        <v>debitovh    6666021502  Repair &amp; Maintain - Building&amp;office</v>
      </c>
      <c r="M310" t="str">
        <f>VLOOKUP(B310,'SAP Actual extraction'!B:B,1,0)</f>
        <v xml:space="preserve">    6666021502  Repair &amp; Maintain - Building&amp;office</v>
      </c>
    </row>
    <row r="311" spans="1:13" x14ac:dyDescent="0.3">
      <c r="A311" s="109" t="str">
        <f t="shared" si="7"/>
        <v>debitovh    6666021505  Repairs &amp; Maintenance - Vehicles</v>
      </c>
      <c r="B311" s="112" t="s">
        <v>325</v>
      </c>
      <c r="C311" s="113">
        <v>75</v>
      </c>
      <c r="D311" s="116">
        <v>0</v>
      </c>
      <c r="E311" s="113">
        <v>75</v>
      </c>
      <c r="F311" s="113">
        <v>0</v>
      </c>
      <c r="G311" s="112" t="s">
        <v>325</v>
      </c>
      <c r="H311" s="114">
        <v>0</v>
      </c>
      <c r="I311" s="114">
        <v>0</v>
      </c>
      <c r="J311" s="115">
        <v>0</v>
      </c>
      <c r="K311" s="113">
        <v>0</v>
      </c>
      <c r="L311" t="str">
        <f>VLOOKUP(A311,'SAP Actual extraction'!$A$28:$A$1048576,1,0)</f>
        <v>debitovh    6666021505  Repairs &amp; Maintenance - Vehicles</v>
      </c>
      <c r="M311" t="str">
        <f>VLOOKUP(B311,'SAP Actual extraction'!B:B,1,0)</f>
        <v xml:space="preserve">    6666021505  Repairs &amp; Maintenance - Vehicles</v>
      </c>
    </row>
    <row r="312" spans="1:13" x14ac:dyDescent="0.3">
      <c r="A312" s="109" t="str">
        <f t="shared" si="7"/>
        <v>debitovh    6666091600  Garbage disposal charge</v>
      </c>
      <c r="B312" s="112" t="s">
        <v>327</v>
      </c>
      <c r="C312" s="113">
        <v>49.08</v>
      </c>
      <c r="D312" s="116">
        <v>0</v>
      </c>
      <c r="E312" s="113">
        <v>49.08</v>
      </c>
      <c r="F312" s="113">
        <v>0</v>
      </c>
      <c r="G312" s="112" t="s">
        <v>327</v>
      </c>
      <c r="H312" s="114">
        <v>0</v>
      </c>
      <c r="I312" s="114">
        <v>0</v>
      </c>
      <c r="J312" s="115">
        <v>0</v>
      </c>
      <c r="K312" s="113">
        <v>0</v>
      </c>
      <c r="L312" t="str">
        <f>VLOOKUP(A312,'SAP Actual extraction'!$A$28:$A$1048576,1,0)</f>
        <v>debitovh    6666091600  Garbage disposal charge</v>
      </c>
      <c r="M312" t="str">
        <f>VLOOKUP(B312,'SAP Actual extraction'!B:B,1,0)</f>
        <v xml:space="preserve">    6666091600  Garbage disposal charge</v>
      </c>
    </row>
    <row r="313" spans="1:13" x14ac:dyDescent="0.3">
      <c r="A313" s="109" t="str">
        <f t="shared" si="7"/>
        <v>debitovh*   CS_Semifix</v>
      </c>
      <c r="B313" s="117" t="s">
        <v>219</v>
      </c>
      <c r="C313" s="118">
        <v>2912.75</v>
      </c>
      <c r="D313" s="125">
        <v>0</v>
      </c>
      <c r="E313" s="118">
        <v>2912.75</v>
      </c>
      <c r="F313" s="118">
        <v>0</v>
      </c>
      <c r="G313" s="117" t="s">
        <v>219</v>
      </c>
      <c r="H313" s="119">
        <v>0</v>
      </c>
      <c r="I313" s="119">
        <v>0</v>
      </c>
      <c r="J313" s="120">
        <v>0</v>
      </c>
      <c r="K313" s="118">
        <v>0</v>
      </c>
      <c r="L313" t="str">
        <f>VLOOKUP(A313,'SAP Actual extraction'!$A$28:$A$1048576,1,0)</f>
        <v>debitovh*   CS_Semifix</v>
      </c>
      <c r="M313" t="str">
        <f>VLOOKUP(B313,'SAP Actual extraction'!B:B,1,0)</f>
        <v>*   CS_Semifix</v>
      </c>
    </row>
    <row r="314" spans="1:13" x14ac:dyDescent="0.3">
      <c r="A314" s="109" t="str">
        <f t="shared" si="7"/>
        <v>debitovh**  Debit</v>
      </c>
      <c r="B314" s="121" t="s">
        <v>330</v>
      </c>
      <c r="C314" s="122">
        <v>3113410.88</v>
      </c>
      <c r="D314" s="122">
        <v>3738337.2</v>
      </c>
      <c r="E314" s="122">
        <v>-624926.31999999995</v>
      </c>
      <c r="F314" s="122">
        <v>-16.716699999999999</v>
      </c>
      <c r="G314" s="121" t="s">
        <v>330</v>
      </c>
      <c r="H314" s="123">
        <v>0</v>
      </c>
      <c r="I314" s="123">
        <v>0</v>
      </c>
      <c r="J314" s="124">
        <v>0</v>
      </c>
      <c r="K314" s="122">
        <v>0</v>
      </c>
      <c r="L314" t="str">
        <f>VLOOKUP(A314,'SAP Actual extraction'!$A$28:$A$1048576,1,0)</f>
        <v>debitovh**  Debit</v>
      </c>
      <c r="M314" t="str">
        <f>VLOOKUP(B314,'SAP Actual extraction'!B:B,1,0)</f>
        <v>**  Debit</v>
      </c>
    </row>
    <row r="315" spans="1:13" x14ac:dyDescent="0.3">
      <c r="A315" s="154" t="str">
        <f t="shared" ref="A315:A318" si="8">"credit"&amp;"ovh"&amp;B315</f>
        <v>creditovh    600006      OVH Administrative</v>
      </c>
      <c r="B315" s="112" t="s">
        <v>329</v>
      </c>
      <c r="C315" s="113">
        <v>-3113518.86</v>
      </c>
      <c r="D315" s="113">
        <v>-3738337.2</v>
      </c>
      <c r="E315" s="113">
        <v>624818.34</v>
      </c>
      <c r="F315" s="113">
        <v>-16.713799999999999</v>
      </c>
      <c r="G315" s="112" t="s">
        <v>329</v>
      </c>
      <c r="H315" s="114">
        <v>0</v>
      </c>
      <c r="I315" s="114">
        <v>0</v>
      </c>
      <c r="J315" s="115">
        <v>0</v>
      </c>
      <c r="K315" s="113">
        <v>0</v>
      </c>
      <c r="L315" t="str">
        <f>VLOOKUP(A315,'SAP Actual extraction'!$A$28:$A$1048576,1,0)</f>
        <v>creditovh    600006      OVH Administrative</v>
      </c>
      <c r="M315" t="str">
        <f>VLOOKUP(B315,'SAP Actual extraction'!B:B,1,0)</f>
        <v xml:space="preserve">    600006      OVH Administrative</v>
      </c>
    </row>
    <row r="316" spans="1:13" x14ac:dyDescent="0.3">
      <c r="A316" s="154" t="str">
        <f t="shared" si="8"/>
        <v>creditovh*   CS_OVH_ADM</v>
      </c>
      <c r="B316" s="117" t="s">
        <v>220</v>
      </c>
      <c r="C316" s="118">
        <v>-3113518.86</v>
      </c>
      <c r="D316" s="118">
        <v>-3738337.2</v>
      </c>
      <c r="E316" s="118">
        <v>624818.34</v>
      </c>
      <c r="F316" s="118">
        <v>-16.713799999999999</v>
      </c>
      <c r="G316" s="117" t="s">
        <v>220</v>
      </c>
      <c r="H316" s="119">
        <v>0</v>
      </c>
      <c r="I316" s="119">
        <v>0</v>
      </c>
      <c r="J316" s="120">
        <v>0</v>
      </c>
      <c r="K316" s="118">
        <v>0</v>
      </c>
    </row>
    <row r="317" spans="1:13" x14ac:dyDescent="0.3">
      <c r="A317" s="154" t="str">
        <f t="shared" si="8"/>
        <v>creditovh**  Credit</v>
      </c>
      <c r="B317" s="121" t="s">
        <v>331</v>
      </c>
      <c r="C317" s="122">
        <v>-3113518.86</v>
      </c>
      <c r="D317" s="122">
        <v>-3738337.2</v>
      </c>
      <c r="E317" s="122">
        <v>624818.34</v>
      </c>
      <c r="F317" s="122">
        <v>-16.713799999999999</v>
      </c>
      <c r="G317" s="121" t="s">
        <v>331</v>
      </c>
      <c r="H317" s="123">
        <v>0</v>
      </c>
      <c r="I317" s="123">
        <v>0</v>
      </c>
      <c r="J317" s="124">
        <v>0</v>
      </c>
      <c r="K317" s="122">
        <v>0</v>
      </c>
    </row>
    <row r="318" spans="1:13" x14ac:dyDescent="0.3">
      <c r="A318" s="154" t="str">
        <f t="shared" si="8"/>
        <v>creditovh*** Over/Underabsorption</v>
      </c>
      <c r="B318" s="126" t="s">
        <v>332</v>
      </c>
      <c r="C318" s="127">
        <v>-107.98</v>
      </c>
      <c r="D318" s="127">
        <v>0</v>
      </c>
      <c r="E318" s="127">
        <v>-107.98</v>
      </c>
      <c r="F318" s="127">
        <v>0</v>
      </c>
      <c r="G318" s="126" t="s">
        <v>332</v>
      </c>
      <c r="H318" s="128">
        <v>0</v>
      </c>
      <c r="I318" s="128">
        <v>0</v>
      </c>
      <c r="J318" s="128">
        <v>0</v>
      </c>
      <c r="K318" s="127">
        <v>0</v>
      </c>
    </row>
    <row r="319" spans="1:13" x14ac:dyDescent="0.3">
      <c r="C319" s="109">
        <v>660652</v>
      </c>
    </row>
    <row r="320" spans="1:13" x14ac:dyDescent="0.3">
      <c r="C320" s="188">
        <f>C319-C318</f>
        <v>660759.98</v>
      </c>
    </row>
  </sheetData>
  <conditionalFormatting sqref="L14:L234">
    <cfRule type="cellIs" dxfId="7" priority="2" operator="notEqual">
      <formula>A14</formula>
    </cfRule>
  </conditionalFormatting>
  <conditionalFormatting sqref="L241:L315">
    <cfRule type="cellIs" dxfId="6" priority="1" operator="notEqual">
      <formula>A241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784B0-A6AA-48B7-B3DA-0069D8188816}">
  <sheetPr codeName="Sheet26"/>
  <dimension ref="A1"/>
  <sheetViews>
    <sheetView workbookViewId="0">
      <selection activeCell="D4" sqref="D4"/>
    </sheetView>
  </sheetViews>
  <sheetFormatPr defaultColWidth="8.77734375" defaultRowHeight="14.4" x14ac:dyDescent="0.3"/>
  <cols>
    <col min="1" max="16384" width="8.77734375" style="563"/>
  </cols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5D2FF-1E13-414A-9DC4-1167D1F04D46}">
  <sheetPr codeName="Sheet27">
    <tabColor rgb="FF002060"/>
  </sheetPr>
  <dimension ref="A1:U40"/>
  <sheetViews>
    <sheetView showGridLines="0" zoomScale="85" zoomScaleNormal="85" workbookViewId="0">
      <selection activeCell="T6" sqref="T5:T6"/>
    </sheetView>
  </sheetViews>
  <sheetFormatPr defaultRowHeight="14.4" outlineLevelCol="1" x14ac:dyDescent="0.3"/>
  <cols>
    <col min="1" max="1" width="35" customWidth="1"/>
    <col min="2" max="2" width="10.5546875" customWidth="1"/>
    <col min="3" max="3" width="8.5546875" customWidth="1"/>
    <col min="4" max="4" width="6.77734375" bestFit="1" customWidth="1"/>
    <col min="5" max="5" width="11.44140625" customWidth="1"/>
    <col min="6" max="6" width="10.5546875" customWidth="1" outlineLevel="1"/>
    <col min="7" max="7" width="12.33203125" style="159" customWidth="1" outlineLevel="1"/>
    <col min="8" max="8" width="10.77734375" style="159" customWidth="1" outlineLevel="1"/>
    <col min="9" max="9" width="11.5546875" customWidth="1"/>
    <col min="10" max="14" width="11.21875" customWidth="1" outlineLevel="1"/>
    <col min="15" max="15" width="12.44140625" customWidth="1" outlineLevel="1"/>
    <col min="16" max="16" width="10.21875" customWidth="1"/>
    <col min="17" max="17" width="9.44140625" customWidth="1"/>
    <col min="18" max="18" width="7.77734375" style="50" bestFit="1" customWidth="1"/>
    <col min="19" max="19" width="6.5546875" style="50" bestFit="1" customWidth="1"/>
    <col min="20" max="20" width="14" style="50" bestFit="1" customWidth="1"/>
    <col min="21" max="21" width="1.44140625" style="50" customWidth="1"/>
  </cols>
  <sheetData>
    <row r="1" spans="1:21" x14ac:dyDescent="0.3">
      <c r="A1" s="51"/>
      <c r="B1" s="51"/>
      <c r="C1" s="51"/>
      <c r="D1" s="52"/>
      <c r="E1" s="51"/>
      <c r="F1" s="53"/>
      <c r="G1" s="495"/>
      <c r="H1" s="495"/>
      <c r="I1" s="53"/>
      <c r="J1" s="51"/>
      <c r="K1" s="190"/>
      <c r="L1" s="51"/>
      <c r="M1" s="51"/>
      <c r="N1" s="51"/>
      <c r="O1" s="51"/>
      <c r="P1" s="53"/>
      <c r="Q1" s="190"/>
      <c r="R1" s="51"/>
      <c r="S1" s="51"/>
      <c r="T1" s="51"/>
      <c r="U1" s="51"/>
    </row>
    <row r="2" spans="1:21" ht="14.55" customHeight="1" x14ac:dyDescent="0.3">
      <c r="A2" s="1199" t="s">
        <v>493</v>
      </c>
      <c r="B2" s="1201" t="s">
        <v>59</v>
      </c>
      <c r="C2" s="1202"/>
      <c r="D2" s="1205"/>
      <c r="E2" s="1199" t="s">
        <v>60</v>
      </c>
      <c r="F2" s="1206" t="s">
        <v>61</v>
      </c>
      <c r="G2" s="1206" t="s">
        <v>62</v>
      </c>
      <c r="H2" s="1206" t="s">
        <v>63</v>
      </c>
      <c r="I2" s="1199" t="s">
        <v>64</v>
      </c>
      <c r="J2" s="1208" t="s">
        <v>422</v>
      </c>
      <c r="K2" s="1208" t="s">
        <v>45</v>
      </c>
      <c r="L2" s="1208" t="s">
        <v>47</v>
      </c>
      <c r="M2" s="1208" t="s">
        <v>49</v>
      </c>
      <c r="N2" s="1208" t="s">
        <v>51</v>
      </c>
      <c r="O2" s="1208" t="s">
        <v>55</v>
      </c>
      <c r="P2" s="1210" t="s">
        <v>65</v>
      </c>
      <c r="Q2" s="1212" t="s">
        <v>57</v>
      </c>
      <c r="R2" s="1213"/>
      <c r="S2" s="60"/>
      <c r="T2" s="60"/>
      <c r="U2" s="60"/>
    </row>
    <row r="3" spans="1:21" x14ac:dyDescent="0.3">
      <c r="A3" s="1200"/>
      <c r="B3" s="1203"/>
      <c r="C3" s="1204"/>
      <c r="D3" s="1205"/>
      <c r="E3" s="1200"/>
      <c r="F3" s="1207"/>
      <c r="G3" s="1207"/>
      <c r="H3" s="1207"/>
      <c r="I3" s="1200"/>
      <c r="J3" s="1209"/>
      <c r="K3" s="1209"/>
      <c r="L3" s="1209"/>
      <c r="M3" s="1209"/>
      <c r="N3" s="1209"/>
      <c r="O3" s="1209"/>
      <c r="P3" s="1211"/>
      <c r="Q3" s="1214"/>
      <c r="R3" s="1215"/>
      <c r="S3" s="60"/>
      <c r="T3" s="60"/>
      <c r="U3" s="60"/>
    </row>
    <row r="4" spans="1:21" x14ac:dyDescent="0.3">
      <c r="A4" s="51"/>
      <c r="B4" s="1221">
        <f>'data entry '!N3</f>
        <v>565022</v>
      </c>
      <c r="C4" s="1222"/>
      <c r="D4" s="52"/>
      <c r="E4" s="59">
        <f>Q4-B4</f>
        <v>-46737</v>
      </c>
      <c r="Q4" s="1221">
        <f>VOLUME!O10</f>
        <v>518285</v>
      </c>
      <c r="R4" s="1222"/>
      <c r="S4" s="61"/>
      <c r="T4" s="61"/>
      <c r="U4" s="61"/>
    </row>
    <row r="5" spans="1:21" x14ac:dyDescent="0.3">
      <c r="A5" s="55" t="s">
        <v>68</v>
      </c>
      <c r="B5" s="54"/>
      <c r="C5" s="51"/>
      <c r="D5" s="52"/>
      <c r="E5" s="268">
        <f>E4/B4</f>
        <v>-8.2717133138178689E-2</v>
      </c>
      <c r="F5" s="191"/>
      <c r="G5" s="564"/>
      <c r="H5" s="495"/>
      <c r="I5" s="191"/>
      <c r="J5" s="51"/>
      <c r="K5" s="51"/>
      <c r="L5" s="51"/>
      <c r="M5" s="51"/>
      <c r="N5" s="51"/>
      <c r="O5" s="278"/>
      <c r="P5" s="53"/>
      <c r="Q5" s="323"/>
      <c r="R5" s="324"/>
      <c r="S5" s="325"/>
      <c r="T5" s="661"/>
      <c r="U5" s="326"/>
    </row>
    <row r="6" spans="1:21" ht="25.8" customHeight="1" x14ac:dyDescent="0.3">
      <c r="A6" s="51"/>
      <c r="B6" s="318" t="s">
        <v>71</v>
      </c>
      <c r="C6" s="316" t="s">
        <v>72</v>
      </c>
      <c r="D6" s="52"/>
      <c r="E6" s="318" t="s">
        <v>71</v>
      </c>
      <c r="F6" s="318" t="s">
        <v>71</v>
      </c>
      <c r="G6" s="318" t="s">
        <v>71</v>
      </c>
      <c r="H6" s="318" t="s">
        <v>71</v>
      </c>
      <c r="I6" s="318" t="s">
        <v>71</v>
      </c>
      <c r="J6" s="318" t="s">
        <v>71</v>
      </c>
      <c r="K6" s="318" t="s">
        <v>71</v>
      </c>
      <c r="L6" s="318" t="s">
        <v>71</v>
      </c>
      <c r="M6" s="318" t="s">
        <v>71</v>
      </c>
      <c r="N6" s="318" t="s">
        <v>73</v>
      </c>
      <c r="O6" s="318" t="s">
        <v>71</v>
      </c>
      <c r="P6" s="316" t="s">
        <v>71</v>
      </c>
      <c r="Q6" s="319" t="s">
        <v>71</v>
      </c>
      <c r="R6" s="316" t="s">
        <v>72</v>
      </c>
      <c r="S6" s="61"/>
      <c r="T6" s="1189"/>
      <c r="U6" s="62"/>
    </row>
    <row r="7" spans="1:21" x14ac:dyDescent="0.3">
      <c r="A7" s="382" t="s">
        <v>74</v>
      </c>
      <c r="B7" s="56">
        <f>'data entry '!N5</f>
        <v>6077</v>
      </c>
      <c r="C7" s="413">
        <f>B7/$B$4*1000</f>
        <v>10.755333420645568</v>
      </c>
      <c r="D7" s="398"/>
      <c r="E7" s="334">
        <f>I7-B7</f>
        <v>-498.52545666049082</v>
      </c>
      <c r="F7" s="347">
        <f>'data entry '!N84</f>
        <v>5930.4535975148065</v>
      </c>
      <c r="G7" s="492">
        <f>'data entry '!N39</f>
        <v>-351.97905417529773</v>
      </c>
      <c r="H7" s="492"/>
      <c r="I7" s="337">
        <f>F7+G7</f>
        <v>5578.4745433395092</v>
      </c>
      <c r="J7" s="331">
        <f>SUM('ACE 2026'!G43:M43)/1000</f>
        <v>-166.0534999128455</v>
      </c>
      <c r="K7" s="331">
        <f>SUM('FCST 26 '!Q10,'FCST 26 '!W10)-J7</f>
        <v>-978.11527669710097</v>
      </c>
      <c r="L7" s="331"/>
      <c r="M7" s="331">
        <f>SUM('FCST 26 '!R10,'FCST 26 '!X10)</f>
        <v>273.55992096652881</v>
      </c>
      <c r="N7" s="331">
        <f>SUM('FCST 26 '!S10,'FCST 26 '!Y10)</f>
        <v>240.52226191775679</v>
      </c>
      <c r="O7" s="331"/>
      <c r="P7" s="400">
        <f>SUM(J7:O7)</f>
        <v>-630.0865937256608</v>
      </c>
      <c r="Q7" s="308">
        <f>'data entry '!N117</f>
        <v>5052.0954200801343</v>
      </c>
      <c r="R7" s="565">
        <f>Q7*1000/$Q$4</f>
        <v>9.7477168354865267</v>
      </c>
      <c r="S7" s="386"/>
      <c r="T7" s="63"/>
      <c r="U7" s="63"/>
    </row>
    <row r="8" spans="1:21" x14ac:dyDescent="0.3">
      <c r="A8" s="383" t="s">
        <v>75</v>
      </c>
      <c r="B8" s="56">
        <f>'data entry '!N6</f>
        <v>405.32206702344303</v>
      </c>
      <c r="C8" s="413">
        <f t="shared" ref="C8:C20" si="0">B8/$B$4*1000</f>
        <v>0.71735625696599958</v>
      </c>
      <c r="D8" s="398"/>
      <c r="E8" s="334">
        <f t="shared" ref="E8:E9" si="1">I8-B8</f>
        <v>-41.184532194039946</v>
      </c>
      <c r="F8" s="347">
        <f>'data entry '!N85</f>
        <v>394.5364333544976</v>
      </c>
      <c r="G8" s="492">
        <f>'data entry '!N40</f>
        <v>-30.398898525094552</v>
      </c>
      <c r="H8" s="492"/>
      <c r="I8" s="337">
        <f t="shared" ref="I8:I9" si="2">F8+G8</f>
        <v>364.13753482940308</v>
      </c>
      <c r="J8" s="331">
        <f>SUM('ACE 2026'!G44:M44)/1000</f>
        <v>0</v>
      </c>
      <c r="K8" s="331">
        <f>SUM('FCST 26 '!Q11,'FCST 26 '!W11)-J8</f>
        <v>8.415128478896726</v>
      </c>
      <c r="L8" s="331"/>
      <c r="M8" s="331">
        <f>SUM('FCST 26 '!R11,'FCST 26 '!X11)</f>
        <v>-20.6</v>
      </c>
      <c r="N8" s="331">
        <f>SUM('FCST 26 '!S11,'FCST 26 '!Y11)</f>
        <v>11.838550172254717</v>
      </c>
      <c r="O8" s="331"/>
      <c r="P8" s="400">
        <f t="shared" ref="P8:P21" si="3">SUM(J8:O8)</f>
        <v>-0.34632134884855859</v>
      </c>
      <c r="Q8" s="308">
        <f>'data entry '!N118</f>
        <v>360.90203526059958</v>
      </c>
      <c r="R8" s="332">
        <f t="shared" ref="R8:R22" si="4">Q8*1000/$Q$4</f>
        <v>0.69633895493907705</v>
      </c>
      <c r="S8" s="386"/>
      <c r="T8" s="63"/>
      <c r="U8" s="63"/>
    </row>
    <row r="9" spans="1:21" x14ac:dyDescent="0.3">
      <c r="A9" s="383" t="s">
        <v>141</v>
      </c>
      <c r="B9" s="56">
        <f>'data entry '!N7</f>
        <v>185.03175000000002</v>
      </c>
      <c r="C9" s="413">
        <f t="shared" si="0"/>
        <v>0.327477071689244</v>
      </c>
      <c r="D9" s="398"/>
      <c r="E9" s="334">
        <f t="shared" si="1"/>
        <v>-30.357468047871635</v>
      </c>
      <c r="F9" s="347">
        <f>'data entry '!N86</f>
        <v>168.25587899822426</v>
      </c>
      <c r="G9" s="492">
        <f>'data entry '!N41</f>
        <v>-13.581597046095869</v>
      </c>
      <c r="H9" s="492"/>
      <c r="I9" s="337">
        <f t="shared" si="2"/>
        <v>154.67428195212838</v>
      </c>
      <c r="J9" s="331"/>
      <c r="K9" s="331">
        <f>SUM('FCST 26 '!Q12,'FCST 26 '!W12)-J9</f>
        <v>44.084832734706197</v>
      </c>
      <c r="L9" s="331"/>
      <c r="M9" s="331">
        <f>SUM('FCST 26 '!R12,'FCST 26 '!X12)</f>
        <v>0</v>
      </c>
      <c r="N9" s="331">
        <f>SUM('FCST 26 '!S12,'FCST 26 '!Y12)</f>
        <v>4.9531823545251257</v>
      </c>
      <c r="O9" s="331"/>
      <c r="P9" s="400">
        <f t="shared" si="3"/>
        <v>49.038015089231322</v>
      </c>
      <c r="Q9" s="308">
        <f>'data entry '!N119</f>
        <v>202.82231795296772</v>
      </c>
      <c r="R9" s="332">
        <f t="shared" si="4"/>
        <v>0.39133356734801839</v>
      </c>
      <c r="S9" s="386"/>
      <c r="T9" s="63"/>
      <c r="U9" s="63"/>
    </row>
    <row r="10" spans="1:21" x14ac:dyDescent="0.3">
      <c r="A10" s="4" t="s">
        <v>79</v>
      </c>
      <c r="B10" s="57">
        <f>'data entry '!N8</f>
        <v>6667.3538170234442</v>
      </c>
      <c r="C10" s="66">
        <f t="shared" si="0"/>
        <v>11.800166749300812</v>
      </c>
      <c r="D10" s="399"/>
      <c r="E10" s="57">
        <f t="shared" ref="E10:Q10" si="5">SUM(E7:E9)</f>
        <v>-570.06745690240245</v>
      </c>
      <c r="F10" s="57">
        <f t="shared" si="5"/>
        <v>6493.2459098675281</v>
      </c>
      <c r="G10" s="566">
        <f t="shared" si="5"/>
        <v>-395.95954974648811</v>
      </c>
      <c r="H10" s="566">
        <f t="shared" si="5"/>
        <v>0</v>
      </c>
      <c r="I10" s="57">
        <f t="shared" si="5"/>
        <v>6097.2863601210411</v>
      </c>
      <c r="J10" s="57">
        <f t="shared" si="5"/>
        <v>-166.0534999128455</v>
      </c>
      <c r="K10" s="57">
        <f t="shared" si="5"/>
        <v>-925.61531548349808</v>
      </c>
      <c r="L10" s="57">
        <f t="shared" si="5"/>
        <v>0</v>
      </c>
      <c r="M10" s="57">
        <f t="shared" si="5"/>
        <v>252.95992096652881</v>
      </c>
      <c r="N10" s="57">
        <f t="shared" si="5"/>
        <v>257.31399444453666</v>
      </c>
      <c r="O10" s="57">
        <f t="shared" si="5"/>
        <v>0</v>
      </c>
      <c r="P10" s="57">
        <f t="shared" si="5"/>
        <v>-581.39489998527802</v>
      </c>
      <c r="Q10" s="57">
        <f t="shared" si="5"/>
        <v>5615.8197732937015</v>
      </c>
      <c r="R10" s="321">
        <f t="shared" si="4"/>
        <v>10.835389357773623</v>
      </c>
      <c r="S10" s="386"/>
      <c r="T10" s="63"/>
      <c r="U10" s="63"/>
    </row>
    <row r="11" spans="1:21" x14ac:dyDescent="0.3">
      <c r="A11" s="383" t="s">
        <v>80</v>
      </c>
      <c r="B11" s="56">
        <f>'data entry '!N9</f>
        <v>2701.3288063649657</v>
      </c>
      <c r="C11" s="65">
        <f t="shared" si="0"/>
        <v>4.7809267716389199</v>
      </c>
      <c r="D11" s="398"/>
      <c r="E11" s="334"/>
      <c r="F11" s="347">
        <f>'data entry '!N88</f>
        <v>2344.5588430591383</v>
      </c>
      <c r="G11" s="492">
        <f>'data entry '!N43</f>
        <v>-308.03119363503436</v>
      </c>
      <c r="H11" s="492">
        <f>'Budget assumption'!N323</f>
        <v>487.74222137856265</v>
      </c>
      <c r="I11" s="337">
        <f>B11</f>
        <v>2701.3288063649657</v>
      </c>
      <c r="J11" s="331">
        <f>SUM('ACE 2026'!G49:M49)/1000</f>
        <v>17.927050358071735</v>
      </c>
      <c r="K11" s="331">
        <f>SUM('FCST 26 '!Q14,'FCST 26 '!W14)-J11</f>
        <v>-85.219983152494223</v>
      </c>
      <c r="L11" s="331"/>
      <c r="M11" s="331">
        <f>SUM('FCST 26 '!R14,'FCST 26 '!X14)</f>
        <v>40.467606097587165</v>
      </c>
      <c r="N11" s="331">
        <f>SUM('FCST 26 '!S14,'FCST 26 '!Y14)</f>
        <v>91.852675012321285</v>
      </c>
      <c r="O11" s="331"/>
      <c r="P11" s="400">
        <f t="shared" si="3"/>
        <v>65.027348315485966</v>
      </c>
      <c r="Q11" s="308">
        <f>'data entry '!N121</f>
        <v>2766.4294766848916</v>
      </c>
      <c r="R11" s="332">
        <f t="shared" si="4"/>
        <v>5.3376607015153663</v>
      </c>
      <c r="S11" s="386"/>
      <c r="T11" s="63"/>
      <c r="U11" s="63"/>
    </row>
    <row r="12" spans="1:21" x14ac:dyDescent="0.3">
      <c r="A12" s="383" t="s">
        <v>81</v>
      </c>
      <c r="B12" s="56">
        <f>'data entry '!N10</f>
        <v>1249.424206691014</v>
      </c>
      <c r="C12" s="65">
        <f t="shared" si="0"/>
        <v>2.2112841742286391</v>
      </c>
      <c r="D12" s="398"/>
      <c r="E12" s="334"/>
      <c r="F12" s="347">
        <f>'data entry '!N89</f>
        <v>829.75208623606954</v>
      </c>
      <c r="G12" s="492">
        <f>'data entry '!N44</f>
        <v>160.88420669101396</v>
      </c>
      <c r="H12" s="492">
        <f>'Budget assumption'!N324</f>
        <v>176.42519261883612</v>
      </c>
      <c r="I12" s="337">
        <f t="shared" ref="I12:I16" si="6">B12</f>
        <v>1249.424206691014</v>
      </c>
      <c r="J12" s="331">
        <f>SUM('ACE 2026'!G50:M50)/1000</f>
        <v>0</v>
      </c>
      <c r="K12" s="331">
        <f>SUM('FCST 26 '!Q15,'FCST 26 '!W15)-J12</f>
        <v>-54.461955452677827</v>
      </c>
      <c r="L12" s="331"/>
      <c r="M12" s="331">
        <f>SUM('FCST 26 '!R15,'FCST 26 '!X15)</f>
        <v>22.320052772634448</v>
      </c>
      <c r="N12" s="331">
        <f>SUM('FCST 26 '!S15,'FCST 26 '!Y15)</f>
        <v>34.068959433214914</v>
      </c>
      <c r="O12" s="331"/>
      <c r="P12" s="400">
        <f t="shared" si="3"/>
        <v>1.9270567531715344</v>
      </c>
      <c r="Q12" s="308">
        <f>'data entry '!N122</f>
        <v>1250.4184536212285</v>
      </c>
      <c r="R12" s="332">
        <f t="shared" si="4"/>
        <v>2.4126078385853891</v>
      </c>
      <c r="S12" s="386"/>
      <c r="T12" s="63"/>
      <c r="U12" s="63"/>
    </row>
    <row r="13" spans="1:21" x14ac:dyDescent="0.3">
      <c r="A13" s="383" t="s">
        <v>82</v>
      </c>
      <c r="B13" s="56">
        <f>'data entry '!N11</f>
        <v>2155.81</v>
      </c>
      <c r="C13" s="65">
        <f t="shared" si="0"/>
        <v>3.8154443543791214</v>
      </c>
      <c r="D13" s="398"/>
      <c r="E13" s="334"/>
      <c r="F13" s="347">
        <f>'data entry '!N90</f>
        <v>1606.7303351172629</v>
      </c>
      <c r="G13" s="492">
        <f>'data entry '!N45</f>
        <v>54.22000000000051</v>
      </c>
      <c r="H13" s="492">
        <f>'Budget assumption'!N325</f>
        <v>340.61533848624737</v>
      </c>
      <c r="I13" s="337">
        <f t="shared" si="6"/>
        <v>2155.81</v>
      </c>
      <c r="J13" s="331">
        <f>SUM('ACE 2026'!G51:M51)/1000</f>
        <v>5.4939094736842096</v>
      </c>
      <c r="K13" s="331">
        <f>SUM('FCST 26 '!Q16,'FCST 26 '!W16)-J13</f>
        <v>-192.77742840191806</v>
      </c>
      <c r="L13" s="331"/>
      <c r="M13" s="331">
        <f>SUM('FCST 26 '!R16,'FCST 26 '!X16)</f>
        <v>21.588000000000001</v>
      </c>
      <c r="N13" s="331">
        <f>SUM('FCST 26 '!S16,'FCST 26 '!Y16)</f>
        <v>47.442678512722701</v>
      </c>
      <c r="O13" s="331"/>
      <c r="P13" s="400">
        <f t="shared" si="3"/>
        <v>-118.25284041551117</v>
      </c>
      <c r="Q13" s="308">
        <f>'data entry '!N123</f>
        <v>2033.3628496511701</v>
      </c>
      <c r="R13" s="332">
        <f t="shared" si="4"/>
        <v>3.9232523604796015</v>
      </c>
      <c r="S13" s="386"/>
      <c r="T13" s="63"/>
      <c r="U13" s="63"/>
    </row>
    <row r="14" spans="1:21" x14ac:dyDescent="0.3">
      <c r="A14" s="383" t="s">
        <v>83</v>
      </c>
      <c r="B14" s="56">
        <f>'data entry '!N12</f>
        <v>66</v>
      </c>
      <c r="C14" s="65">
        <f t="shared" si="0"/>
        <v>0.11680961095320182</v>
      </c>
      <c r="D14" s="398"/>
      <c r="E14" s="334"/>
      <c r="F14" s="347">
        <f>'data entry '!N91</f>
        <v>88.339472175556878</v>
      </c>
      <c r="G14" s="492">
        <f>'data entry '!N46</f>
        <v>-67.69999999999996</v>
      </c>
      <c r="H14" s="492">
        <f>'Budget assumption'!N326</f>
        <v>21.669436358000979</v>
      </c>
      <c r="I14" s="337">
        <f t="shared" si="6"/>
        <v>66</v>
      </c>
      <c r="J14" s="331">
        <f>SUM('ACE 2026'!G52:M52)/1000</f>
        <v>-1.9404000000000003</v>
      </c>
      <c r="K14" s="331">
        <f>SUM('FCST 26 '!Q17,'FCST 26 '!W17)-J14</f>
        <v>-6.4831498375575976</v>
      </c>
      <c r="L14" s="331"/>
      <c r="M14" s="331">
        <f>SUM('FCST 26 '!R17,'FCST 26 '!X17)</f>
        <v>-6.0041182628000067</v>
      </c>
      <c r="N14" s="331">
        <f>SUM('FCST 26 '!S17,'FCST 26 '!Y17)</f>
        <v>0.82904543175821521</v>
      </c>
      <c r="O14" s="331"/>
      <c r="P14" s="400">
        <f t="shared" si="3"/>
        <v>-13.598622668599388</v>
      </c>
      <c r="Q14" s="308">
        <f>'data entry '!N124</f>
        <v>51.88570580214693</v>
      </c>
      <c r="R14" s="332">
        <f t="shared" si="4"/>
        <v>0.1001103751838215</v>
      </c>
      <c r="S14" s="386"/>
      <c r="T14" s="63"/>
      <c r="U14" s="63"/>
    </row>
    <row r="15" spans="1:21" x14ac:dyDescent="0.3">
      <c r="A15" s="383" t="s">
        <v>84</v>
      </c>
      <c r="B15" s="56">
        <f>'data entry '!N13</f>
        <v>513.11152780760665</v>
      </c>
      <c r="C15" s="65">
        <f t="shared" si="0"/>
        <v>0.90812663543650807</v>
      </c>
      <c r="D15" s="398"/>
      <c r="E15" s="334"/>
      <c r="F15" s="347">
        <f>'data entry '!N92</f>
        <v>410.12534123634538</v>
      </c>
      <c r="G15" s="492">
        <f>'data entry '!N47</f>
        <v>44.020247807606765</v>
      </c>
      <c r="H15" s="492">
        <f>'Budget assumption'!N327</f>
        <v>76.028000284616439</v>
      </c>
      <c r="I15" s="337">
        <f t="shared" si="6"/>
        <v>513.11152780760665</v>
      </c>
      <c r="J15" s="331">
        <f>SUM('ACE 2026'!G53:M53)/1000</f>
        <v>0</v>
      </c>
      <c r="K15" s="331">
        <f>SUM('FCST 26 '!Q18,'FCST 26 '!W18)-J15</f>
        <v>-56.261871467430254</v>
      </c>
      <c r="L15" s="331"/>
      <c r="M15" s="331">
        <f>SUM('FCST 26 '!R18,'FCST 26 '!X18)</f>
        <v>0</v>
      </c>
      <c r="N15" s="331">
        <f>SUM('FCST 26 '!S18,'FCST 26 '!Y18)</f>
        <v>11.177372078143973</v>
      </c>
      <c r="O15" s="331"/>
      <c r="P15" s="400">
        <f t="shared" si="3"/>
        <v>-45.084499389286279</v>
      </c>
      <c r="Q15" s="308">
        <f>'data entry '!N125</f>
        <v>463.47106240186702</v>
      </c>
      <c r="R15" s="332">
        <f t="shared" si="4"/>
        <v>0.8942397761885198</v>
      </c>
      <c r="S15" s="386"/>
      <c r="T15" s="63"/>
      <c r="U15" s="63"/>
    </row>
    <row r="16" spans="1:21" x14ac:dyDescent="0.3">
      <c r="A16" s="383" t="s">
        <v>86</v>
      </c>
      <c r="B16" s="56">
        <f>'data entry '!N14</f>
        <v>1955.7777589488476</v>
      </c>
      <c r="C16" s="65">
        <f t="shared" si="0"/>
        <v>3.4614187747536338</v>
      </c>
      <c r="D16" s="398"/>
      <c r="E16" s="334"/>
      <c r="F16" s="347">
        <f>'data entry '!N93</f>
        <v>5401.1658341076845</v>
      </c>
      <c r="G16" s="492">
        <f>'data entry '!N48</f>
        <v>119.20999999999958</v>
      </c>
      <c r="H16" s="492">
        <f>'Budget assumption'!N329</f>
        <v>297.66184120941324</v>
      </c>
      <c r="I16" s="337">
        <f t="shared" si="6"/>
        <v>1955.7777589488476</v>
      </c>
      <c r="J16" s="331">
        <f>SUM('ACE 2026'!G54:M54)/1000</f>
        <v>0</v>
      </c>
      <c r="K16" s="331">
        <f>SUM('FCST 26 '!Q19,'FCST 26 '!W19)-J16</f>
        <v>-383.4645343644101</v>
      </c>
      <c r="L16" s="331"/>
      <c r="M16" s="331">
        <f>SUM('FCST 26 '!R19,'FCST 26 '!X19)</f>
        <v>0</v>
      </c>
      <c r="N16" s="331">
        <f>SUM('FCST 26 '!S19,'FCST 26 '!Y19)</f>
        <v>28.67</v>
      </c>
      <c r="O16" s="348"/>
      <c r="P16" s="400">
        <f t="shared" si="3"/>
        <v>-354.79453436441008</v>
      </c>
      <c r="Q16" s="308">
        <f>'data entry '!N126</f>
        <v>1613.8558076432325</v>
      </c>
      <c r="R16" s="332">
        <f t="shared" si="4"/>
        <v>3.1138385398829458</v>
      </c>
      <c r="S16" s="386"/>
      <c r="T16" s="63"/>
      <c r="U16" s="63"/>
    </row>
    <row r="17" spans="1:21" x14ac:dyDescent="0.3">
      <c r="A17" s="4" t="s">
        <v>87</v>
      </c>
      <c r="B17" s="57">
        <f>'data entry '!N15</f>
        <v>8641.4522998124339</v>
      </c>
      <c r="C17" s="66">
        <f t="shared" si="0"/>
        <v>15.294010321390024</v>
      </c>
      <c r="D17" s="399"/>
      <c r="E17" s="57">
        <f t="shared" ref="E17:Q17" si="7">SUM(E11:E16)</f>
        <v>0</v>
      </c>
      <c r="F17" s="57">
        <f t="shared" si="7"/>
        <v>10680.671911932059</v>
      </c>
      <c r="G17" s="566">
        <f t="shared" si="7"/>
        <v>2.6032608635864989</v>
      </c>
      <c r="H17" s="566">
        <f t="shared" si="7"/>
        <v>1400.1420303356767</v>
      </c>
      <c r="I17" s="57">
        <f t="shared" si="7"/>
        <v>8641.4522998124339</v>
      </c>
      <c r="J17" s="57">
        <f t="shared" si="7"/>
        <v>21.480559831755944</v>
      </c>
      <c r="K17" s="57">
        <f t="shared" si="7"/>
        <v>-778.66892267648814</v>
      </c>
      <c r="L17" s="57">
        <f t="shared" si="7"/>
        <v>0</v>
      </c>
      <c r="M17" s="57">
        <f t="shared" si="7"/>
        <v>78.371540607421608</v>
      </c>
      <c r="N17" s="57">
        <f t="shared" si="7"/>
        <v>214.04073046816109</v>
      </c>
      <c r="O17" s="57">
        <f t="shared" si="7"/>
        <v>0</v>
      </c>
      <c r="P17" s="57">
        <f t="shared" si="7"/>
        <v>-464.77609176914939</v>
      </c>
      <c r="Q17" s="57">
        <f t="shared" si="7"/>
        <v>8179.4233558045371</v>
      </c>
      <c r="R17" s="321">
        <f t="shared" si="4"/>
        <v>15.781709591835645</v>
      </c>
      <c r="S17" s="386"/>
      <c r="T17" s="63"/>
      <c r="U17" s="63"/>
    </row>
    <row r="18" spans="1:21" x14ac:dyDescent="0.3">
      <c r="A18" s="5" t="s">
        <v>88</v>
      </c>
      <c r="B18" s="58">
        <f>'data entry '!N16</f>
        <v>15308.806116835876</v>
      </c>
      <c r="C18" s="67">
        <f t="shared" si="0"/>
        <v>27.094177070690833</v>
      </c>
      <c r="D18" s="399"/>
      <c r="E18" s="58">
        <f t="shared" ref="E18:Q18" si="8">E10+E17</f>
        <v>-570.06745690240245</v>
      </c>
      <c r="F18" s="58">
        <f t="shared" si="8"/>
        <v>17173.917821799587</v>
      </c>
      <c r="G18" s="58">
        <f t="shared" si="8"/>
        <v>-393.35628888290159</v>
      </c>
      <c r="H18" s="58">
        <f t="shared" si="8"/>
        <v>1400.1420303356767</v>
      </c>
      <c r="I18" s="58">
        <f t="shared" si="8"/>
        <v>14738.738659933475</v>
      </c>
      <c r="J18" s="58">
        <f t="shared" si="8"/>
        <v>-144.57294008108954</v>
      </c>
      <c r="K18" s="58">
        <f t="shared" si="8"/>
        <v>-1704.2842381599862</v>
      </c>
      <c r="L18" s="58">
        <f t="shared" si="8"/>
        <v>0</v>
      </c>
      <c r="M18" s="58">
        <f t="shared" si="8"/>
        <v>331.33146157395043</v>
      </c>
      <c r="N18" s="58">
        <f t="shared" si="8"/>
        <v>471.35472491269775</v>
      </c>
      <c r="O18" s="58">
        <f t="shared" si="8"/>
        <v>0</v>
      </c>
      <c r="P18" s="58">
        <f t="shared" si="8"/>
        <v>-1046.1709917544274</v>
      </c>
      <c r="Q18" s="58">
        <f t="shared" si="8"/>
        <v>13795.243129098239</v>
      </c>
      <c r="R18" s="327">
        <f t="shared" si="4"/>
        <v>26.617098949609264</v>
      </c>
      <c r="S18" s="386"/>
      <c r="T18" s="63"/>
      <c r="U18" s="63"/>
    </row>
    <row r="19" spans="1:21" x14ac:dyDescent="0.3">
      <c r="A19" s="383" t="s">
        <v>89</v>
      </c>
      <c r="B19" s="56">
        <f>'data entry '!N17</f>
        <v>245.46430249113934</v>
      </c>
      <c r="C19" s="65">
        <f t="shared" si="0"/>
        <v>0.43443317692256117</v>
      </c>
      <c r="D19" s="398"/>
      <c r="E19" s="334"/>
      <c r="F19" s="384">
        <f>'data entry '!N96</f>
        <v>0</v>
      </c>
      <c r="G19" s="493">
        <f>'data entry '!N51</f>
        <v>124.89558249113932</v>
      </c>
      <c r="H19" s="493">
        <f>'Budget assumption'!N331</f>
        <v>19.541183282016757</v>
      </c>
      <c r="I19" s="337">
        <f t="shared" ref="I19" si="9">B19</f>
        <v>245.46430249113934</v>
      </c>
      <c r="J19" s="331"/>
      <c r="K19" s="331">
        <f>SUM('FCST 26 '!Q22,'FCST 26 '!W22)-J19</f>
        <v>-24.958967595777025</v>
      </c>
      <c r="L19" s="331"/>
      <c r="M19" s="331">
        <f>SUM('FCST 26 '!R22,'FCST 26 '!X22)</f>
        <v>0</v>
      </c>
      <c r="N19" s="331">
        <f>SUM('FCST 26 '!S22,'FCST 26 '!Y22)</f>
        <v>3.1414632759979204</v>
      </c>
      <c r="O19" s="348"/>
      <c r="P19" s="400">
        <f t="shared" si="3"/>
        <v>-21.817504319779104</v>
      </c>
      <c r="Q19" s="308">
        <f>'data entry '!N129</f>
        <v>231.05317639361326</v>
      </c>
      <c r="R19" s="332">
        <f t="shared" si="4"/>
        <v>0.4458033251852036</v>
      </c>
      <c r="S19" s="386"/>
      <c r="T19" s="63"/>
      <c r="U19" s="63"/>
    </row>
    <row r="20" spans="1:21" x14ac:dyDescent="0.3">
      <c r="A20" s="5" t="s">
        <v>90</v>
      </c>
      <c r="B20" s="58">
        <f>'data entry '!N18</f>
        <v>15554.270419327018</v>
      </c>
      <c r="C20" s="67">
        <f t="shared" si="0"/>
        <v>27.5286102476134</v>
      </c>
      <c r="D20" s="399"/>
      <c r="E20" s="58">
        <f t="shared" ref="E20:Q20" si="10">E18+E19</f>
        <v>-570.06745690240245</v>
      </c>
      <c r="F20" s="58">
        <f t="shared" si="10"/>
        <v>17173.917821799587</v>
      </c>
      <c r="G20" s="58">
        <f t="shared" si="10"/>
        <v>-268.4607063917623</v>
      </c>
      <c r="H20" s="58">
        <f>H18+H19</f>
        <v>1419.6832136176936</v>
      </c>
      <c r="I20" s="58">
        <f t="shared" si="10"/>
        <v>14984.202962424615</v>
      </c>
      <c r="J20" s="58">
        <f t="shared" si="10"/>
        <v>-144.57294008108954</v>
      </c>
      <c r="K20" s="58">
        <f t="shared" si="10"/>
        <v>-1729.2432057557633</v>
      </c>
      <c r="L20" s="58">
        <f t="shared" si="10"/>
        <v>0</v>
      </c>
      <c r="M20" s="58">
        <f t="shared" si="10"/>
        <v>331.33146157395043</v>
      </c>
      <c r="N20" s="58">
        <f t="shared" si="10"/>
        <v>474.49618818869567</v>
      </c>
      <c r="O20" s="58">
        <f t="shared" si="10"/>
        <v>0</v>
      </c>
      <c r="P20" s="58">
        <f t="shared" si="10"/>
        <v>-1067.9884960742065</v>
      </c>
      <c r="Q20" s="58">
        <f t="shared" si="10"/>
        <v>14026.296305491851</v>
      </c>
      <c r="R20" s="327">
        <f t="shared" si="4"/>
        <v>27.062902274794471</v>
      </c>
      <c r="S20" s="386"/>
      <c r="T20" s="63"/>
      <c r="U20" s="63"/>
    </row>
    <row r="21" spans="1:21" x14ac:dyDescent="0.3">
      <c r="A21" s="514" t="s">
        <v>91</v>
      </c>
      <c r="B21" s="56">
        <f>'data entry '!N19</f>
        <v>5048.1922410511525</v>
      </c>
      <c r="C21" s="65">
        <f>B21/$B$4*1000</f>
        <v>8.9345056317296532</v>
      </c>
      <c r="D21" s="399"/>
      <c r="E21" s="618"/>
      <c r="F21" s="618">
        <f>'data entry '!N98</f>
        <v>0</v>
      </c>
      <c r="G21" s="618">
        <f>'data entry '!N53</f>
        <v>9.0949470177292824E-13</v>
      </c>
      <c r="H21" s="1157">
        <f>'Budget assumption'!N333</f>
        <v>818.18609192529755</v>
      </c>
      <c r="I21" s="337">
        <f>B21</f>
        <v>5048.1922410511525</v>
      </c>
      <c r="J21" s="618"/>
      <c r="K21" s="331">
        <f>SUM('FCST 26 '!Q24,'FCST 26 '!W24)-J21</f>
        <v>-896.61022169461717</v>
      </c>
      <c r="L21" s="331"/>
      <c r="M21" s="331">
        <f>SUM('FCST 26 '!R24,'FCST 26 '!X24)</f>
        <v>-114.94557088537664</v>
      </c>
      <c r="N21" s="331">
        <f>SUM('FCST 26 '!S24,'FCST 26 '!Y24)</f>
        <v>-561.10285765253218</v>
      </c>
      <c r="O21" s="348"/>
      <c r="P21" s="400">
        <f t="shared" si="3"/>
        <v>-1572.6586502325258</v>
      </c>
      <c r="Q21" s="308">
        <f>'data entry '!N131</f>
        <v>3702.0505430558842</v>
      </c>
      <c r="R21" s="620">
        <f t="shared" si="4"/>
        <v>7.142885754084884</v>
      </c>
      <c r="S21" s="386"/>
      <c r="T21" s="63"/>
      <c r="U21" s="63"/>
    </row>
    <row r="22" spans="1:21" x14ac:dyDescent="0.3">
      <c r="A22" s="517" t="s">
        <v>92</v>
      </c>
      <c r="B22" s="58">
        <f>'data entry '!N20</f>
        <v>20602.462660378173</v>
      </c>
      <c r="C22" s="67">
        <f t="shared" ref="C22" si="11">B22/$B$4*1000</f>
        <v>36.463115879343057</v>
      </c>
      <c r="D22" s="399"/>
      <c r="E22" s="617">
        <f>E20+E21</f>
        <v>-570.06745690240245</v>
      </c>
      <c r="F22" s="617">
        <f t="shared" ref="F22:Q22" si="12">F20+F21</f>
        <v>17173.917821799587</v>
      </c>
      <c r="G22" s="617">
        <f t="shared" si="12"/>
        <v>-268.46070639176139</v>
      </c>
      <c r="H22" s="617">
        <f t="shared" si="12"/>
        <v>2237.8693055429912</v>
      </c>
      <c r="I22" s="617">
        <f t="shared" si="12"/>
        <v>20032.395203475768</v>
      </c>
      <c r="J22" s="617">
        <f t="shared" si="12"/>
        <v>-144.57294008108954</v>
      </c>
      <c r="K22" s="617">
        <f t="shared" si="12"/>
        <v>-2625.8534274503804</v>
      </c>
      <c r="L22" s="617">
        <f t="shared" si="12"/>
        <v>0</v>
      </c>
      <c r="M22" s="617">
        <f t="shared" si="12"/>
        <v>216.3858906885738</v>
      </c>
      <c r="N22" s="617">
        <f t="shared" si="12"/>
        <v>-86.606669463836511</v>
      </c>
      <c r="O22" s="617">
        <f t="shared" si="12"/>
        <v>0</v>
      </c>
      <c r="P22" s="617">
        <f t="shared" si="12"/>
        <v>-2640.6471463067323</v>
      </c>
      <c r="Q22" s="617">
        <f t="shared" si="12"/>
        <v>17728.346848547735</v>
      </c>
      <c r="R22" s="617">
        <f t="shared" si="4"/>
        <v>34.205788028879354</v>
      </c>
      <c r="S22" s="386"/>
      <c r="T22" s="63"/>
      <c r="U22" s="63"/>
    </row>
    <row r="23" spans="1:21" x14ac:dyDescent="0.3">
      <c r="A23" s="51"/>
      <c r="B23" s="51"/>
      <c r="C23" s="51"/>
      <c r="D23" s="399"/>
      <c r="E23" s="51"/>
      <c r="F23" s="53"/>
      <c r="G23" s="495"/>
      <c r="H23" s="495"/>
      <c r="I23" s="53"/>
      <c r="J23" s="51"/>
      <c r="K23" s="51"/>
      <c r="L23" s="51"/>
      <c r="M23" s="51"/>
      <c r="N23" s="51"/>
      <c r="O23" s="51"/>
      <c r="P23" s="53"/>
      <c r="Q23" s="51"/>
      <c r="R23" s="51"/>
      <c r="S23" s="386"/>
      <c r="T23" s="63"/>
      <c r="U23" s="51"/>
    </row>
    <row r="24" spans="1:21" x14ac:dyDescent="0.3">
      <c r="A24" s="382" t="s">
        <v>76</v>
      </c>
      <c r="B24" s="362">
        <f>'data entry '!N21</f>
        <v>247</v>
      </c>
      <c r="C24" s="412">
        <f t="shared" ref="C24:C29" si="13">B24/$B$4*1000</f>
        <v>0.43715111977940679</v>
      </c>
      <c r="D24" s="335"/>
      <c r="E24" s="364">
        <f>I24-B24</f>
        <v>-30.243708613796713</v>
      </c>
      <c r="F24" s="347">
        <f>'data entry '!N100</f>
        <v>252.51406027919174</v>
      </c>
      <c r="G24" s="492">
        <f>'data entry '!N55</f>
        <v>-35.757768892988452</v>
      </c>
      <c r="H24" s="492"/>
      <c r="I24" s="394">
        <f>F24+G24</f>
        <v>216.75629138620329</v>
      </c>
      <c r="J24" s="408">
        <f>SUM('ACE 2026'!G45:M45)/1000</f>
        <v>-2.2361905206697958</v>
      </c>
      <c r="K24" s="408">
        <f>SUM('FCST 26 '!Q27,'FCST 26 '!W27)-J24</f>
        <v>46.185299629874237</v>
      </c>
      <c r="L24" s="408"/>
      <c r="M24" s="409">
        <f>SUM('FCST 26 '!R27,'FCST 26 '!X27)</f>
        <v>-0.38538181333042809</v>
      </c>
      <c r="N24" s="408">
        <f>SUM('FCST 26 '!S27,'FCST 26 '!Y27)</f>
        <v>1.2881461230230022</v>
      </c>
      <c r="O24" s="395"/>
      <c r="P24" s="395">
        <f t="shared" ref="P24:P28" si="14">SUM(J24:O24)</f>
        <v>44.851873418897021</v>
      </c>
      <c r="Q24" s="396">
        <f>'data entry '!N133</f>
        <v>259.56141000000002</v>
      </c>
      <c r="R24" s="496">
        <f t="shared" ref="R24:R29" si="15">Q24*1000/$Q$4</f>
        <v>0.50080826186364646</v>
      </c>
      <c r="S24" s="61"/>
      <c r="T24" s="63"/>
      <c r="U24" s="63"/>
    </row>
    <row r="25" spans="1:21" x14ac:dyDescent="0.3">
      <c r="A25" s="383" t="s">
        <v>77</v>
      </c>
      <c r="B25" s="56">
        <f>'data entry '!N22</f>
        <v>-585</v>
      </c>
      <c r="C25" s="413">
        <f t="shared" si="13"/>
        <v>-1.0353579152670163</v>
      </c>
      <c r="D25" s="335"/>
      <c r="E25" s="334">
        <f>I25-B25</f>
        <v>72.444510014628349</v>
      </c>
      <c r="F25" s="347">
        <f>'data entry '!N101</f>
        <v>-622.53254998537147</v>
      </c>
      <c r="G25" s="492">
        <f>'data entry '!N56</f>
        <v>109.97705999999977</v>
      </c>
      <c r="H25" s="492"/>
      <c r="I25" s="337">
        <f t="shared" ref="I25:I26" si="16">F25+G25</f>
        <v>-512.55548998537165</v>
      </c>
      <c r="J25" s="401">
        <f>SUM('ACE 2026'!G46:M46)/1000</f>
        <v>0</v>
      </c>
      <c r="K25" s="401">
        <f>SUM('FCST 26 '!Q28,'FCST 26 '!W28)-J25</f>
        <v>19.308923963625368</v>
      </c>
      <c r="L25" s="401"/>
      <c r="M25" s="407">
        <f>SUM('FCST 26 '!R28,'FCST 26 '!X28)</f>
        <v>-63.259</v>
      </c>
      <c r="N25" s="401">
        <f>SUM('FCST 26 '!S28,'FCST 26 '!Y28)</f>
        <v>-21.14938498736592</v>
      </c>
      <c r="O25" s="331"/>
      <c r="P25" s="331">
        <f t="shared" si="14"/>
        <v>-65.09946102374056</v>
      </c>
      <c r="Q25" s="400">
        <f>'data entry '!N134</f>
        <v>-578.80851678464251</v>
      </c>
      <c r="R25" s="497">
        <f t="shared" si="15"/>
        <v>-1.1167765163657881</v>
      </c>
      <c r="S25" s="61"/>
      <c r="T25" s="63"/>
      <c r="U25" s="63"/>
    </row>
    <row r="26" spans="1:21" x14ac:dyDescent="0.3">
      <c r="A26" s="383" t="s">
        <v>144</v>
      </c>
      <c r="B26" s="56">
        <f>'data entry '!N23</f>
        <v>0</v>
      </c>
      <c r="C26" s="413">
        <f t="shared" si="13"/>
        <v>0</v>
      </c>
      <c r="D26" s="335"/>
      <c r="E26" s="334"/>
      <c r="F26" s="347">
        <f>'data entry '!N102</f>
        <v>0</v>
      </c>
      <c r="G26" s="492">
        <f>'data entry '!N57</f>
        <v>0</v>
      </c>
      <c r="H26" s="492"/>
      <c r="I26" s="337">
        <f t="shared" si="16"/>
        <v>0</v>
      </c>
      <c r="J26" s="401">
        <f>SUM('ACE 2026'!G47:M47)/1000</f>
        <v>0</v>
      </c>
      <c r="K26" s="401">
        <f>SUM('FCST 26 '!Q29,'FCST 26 '!W29)-J26</f>
        <v>67.544579999999996</v>
      </c>
      <c r="L26" s="401"/>
      <c r="M26" s="407">
        <f>SUM('FCST 26 '!R29,'FCST 26 '!X29)</f>
        <v>-4.2597699999999996</v>
      </c>
      <c r="N26" s="401">
        <f>SUM('FCST 26 '!S29,'FCST 26 '!Y29)</f>
        <v>-0.40461363989941113</v>
      </c>
      <c r="O26" s="331"/>
      <c r="P26" s="331">
        <f t="shared" si="14"/>
        <v>62.880196360100584</v>
      </c>
      <c r="Q26" s="400">
        <f>'data entry '!N135</f>
        <v>63.281839999999995</v>
      </c>
      <c r="R26" s="497">
        <f t="shared" si="15"/>
        <v>0.12209853651948252</v>
      </c>
      <c r="S26" s="61"/>
      <c r="T26" s="63"/>
      <c r="U26" s="63"/>
    </row>
    <row r="27" spans="1:21" x14ac:dyDescent="0.3">
      <c r="A27" s="383" t="s">
        <v>85</v>
      </c>
      <c r="B27" s="56">
        <f>'data entry '!N24</f>
        <v>100</v>
      </c>
      <c r="C27" s="413">
        <f t="shared" si="13"/>
        <v>0.17698425902000275</v>
      </c>
      <c r="D27" s="335"/>
      <c r="E27" s="334"/>
      <c r="F27" s="347">
        <f>'data entry '!N103</f>
        <v>0</v>
      </c>
      <c r="G27" s="492">
        <f>'data entry '!N58</f>
        <v>100</v>
      </c>
      <c r="H27" s="492">
        <f>'Budget assumption'!N328</f>
        <v>0</v>
      </c>
      <c r="I27" s="337">
        <f>B27</f>
        <v>100</v>
      </c>
      <c r="J27" s="401"/>
      <c r="K27" s="401">
        <f>SUM('FCST 26 '!Q30,'FCST 26 '!W30)-J27</f>
        <v>-27.613477776472813</v>
      </c>
      <c r="L27" s="401"/>
      <c r="M27" s="407">
        <f>SUM('FCST 26 '!R30,'FCST 26 '!X30)</f>
        <v>0</v>
      </c>
      <c r="N27" s="401">
        <f>SUM('FCST 26 '!S30,'FCST 26 '!Y30)</f>
        <v>0</v>
      </c>
      <c r="O27" s="331"/>
      <c r="P27" s="331">
        <f t="shared" si="14"/>
        <v>-27.613477776472813</v>
      </c>
      <c r="Q27" s="400">
        <f>'data entry '!N136</f>
        <v>65.425625262521891</v>
      </c>
      <c r="R27" s="497">
        <f t="shared" si="15"/>
        <v>0.12623484234064636</v>
      </c>
      <c r="S27" s="61"/>
      <c r="T27" s="63"/>
      <c r="U27" s="63"/>
    </row>
    <row r="28" spans="1:21" x14ac:dyDescent="0.3">
      <c r="A28" s="397" t="s">
        <v>145</v>
      </c>
      <c r="B28" s="414">
        <f>'data entry '!N25</f>
        <v>0</v>
      </c>
      <c r="C28" s="415">
        <f t="shared" si="13"/>
        <v>0</v>
      </c>
      <c r="D28" s="335"/>
      <c r="E28" s="334"/>
      <c r="F28" s="347">
        <f>'data entry '!N104</f>
        <v>0</v>
      </c>
      <c r="G28" s="492">
        <f>'data entry '!N59</f>
        <v>0</v>
      </c>
      <c r="H28" s="492"/>
      <c r="I28" s="337">
        <f>B28</f>
        <v>0</v>
      </c>
      <c r="J28" s="401"/>
      <c r="K28" s="401">
        <f>SUM('FCST 26 '!Q31,'FCST 26 '!W31)-J28</f>
        <v>0</v>
      </c>
      <c r="L28" s="401"/>
      <c r="M28" s="407">
        <f>SUM('FCST 26 '!R31,'FCST 26 '!X31)</f>
        <v>0</v>
      </c>
      <c r="N28" s="401">
        <f>SUM('FCST 26 '!S31,'FCST 26 '!Y31)</f>
        <v>0</v>
      </c>
      <c r="O28" s="331"/>
      <c r="P28" s="331">
        <f t="shared" si="14"/>
        <v>0</v>
      </c>
      <c r="Q28" s="498">
        <f>'data entry '!N137</f>
        <v>0</v>
      </c>
      <c r="R28" s="497">
        <f t="shared" si="15"/>
        <v>0</v>
      </c>
      <c r="S28" s="61"/>
      <c r="T28" s="63"/>
      <c r="U28" s="63"/>
    </row>
    <row r="29" spans="1:21" x14ac:dyDescent="0.3">
      <c r="A29" s="274" t="s">
        <v>146</v>
      </c>
      <c r="B29" s="275">
        <f>'data entry '!N26</f>
        <v>-238</v>
      </c>
      <c r="C29" s="313">
        <f t="shared" si="13"/>
        <v>-0.42122253646760655</v>
      </c>
      <c r="D29" s="335"/>
      <c r="E29" s="275">
        <f t="shared" ref="E29:P29" si="17">SUM(E24:E28)</f>
        <v>42.200801400831637</v>
      </c>
      <c r="F29" s="275">
        <f t="shared" si="17"/>
        <v>-370.01848970617971</v>
      </c>
      <c r="G29" s="275">
        <f t="shared" si="17"/>
        <v>174.21929110701132</v>
      </c>
      <c r="H29" s="275">
        <f t="shared" si="17"/>
        <v>0</v>
      </c>
      <c r="I29" s="275">
        <f t="shared" si="17"/>
        <v>-195.79919859916834</v>
      </c>
      <c r="J29" s="275">
        <f t="shared" si="17"/>
        <v>-2.2361905206697958</v>
      </c>
      <c r="K29" s="275">
        <f t="shared" si="17"/>
        <v>105.42532581702679</v>
      </c>
      <c r="L29" s="275">
        <f t="shared" si="17"/>
        <v>0</v>
      </c>
      <c r="M29" s="275">
        <f t="shared" si="17"/>
        <v>-67.904151813330429</v>
      </c>
      <c r="N29" s="275">
        <f t="shared" si="17"/>
        <v>-20.265852504242332</v>
      </c>
      <c r="O29" s="275">
        <f t="shared" si="17"/>
        <v>0</v>
      </c>
      <c r="P29" s="275">
        <f t="shared" si="17"/>
        <v>15.019130978784233</v>
      </c>
      <c r="Q29" s="275">
        <f>SUM(Q24:Q28)</f>
        <v>-190.5396415221206</v>
      </c>
      <c r="R29" s="313">
        <f t="shared" si="15"/>
        <v>-0.3676348756420128</v>
      </c>
      <c r="T29" s="63"/>
    </row>
    <row r="30" spans="1:21" x14ac:dyDescent="0.3">
      <c r="A30" s="51"/>
      <c r="T30" s="63"/>
    </row>
    <row r="31" spans="1:21" x14ac:dyDescent="0.3">
      <c r="A31" s="2" t="s">
        <v>148</v>
      </c>
      <c r="B31" s="416">
        <f>'data entry '!N27</f>
        <v>1088.3666699999999</v>
      </c>
      <c r="C31" s="412">
        <f t="shared" ref="C31:C32" si="18">B31/$B$4*1000</f>
        <v>1.9262376863201784</v>
      </c>
      <c r="E31" s="364"/>
      <c r="F31" s="347">
        <f>'data entry '!N106</f>
        <v>825.86046503943487</v>
      </c>
      <c r="G31" s="492">
        <f>'data entry '!N61</f>
        <v>-77.503330000000119</v>
      </c>
      <c r="H31" s="492">
        <f>'Budget assumption'!N337</f>
        <v>348.56674123661048</v>
      </c>
      <c r="I31" s="410">
        <f>B31</f>
        <v>1088.3666699999999</v>
      </c>
      <c r="J31" s="408"/>
      <c r="K31" s="408">
        <f>SUM('FCST 26 '!Q34,'FCST 26 '!W34)-J31</f>
        <v>-3.8463075000000231</v>
      </c>
      <c r="L31" s="408"/>
      <c r="M31" s="409">
        <f>SUM('FCST 26 '!R34,'FCST 26 '!X34)</f>
        <v>0</v>
      </c>
      <c r="N31" s="408">
        <f>SUM('FCST 26 '!S34,'FCST 26 '!Y34)</f>
        <v>-4.37</v>
      </c>
      <c r="O31" s="395"/>
      <c r="P31" s="395">
        <f t="shared" ref="P31:P32" si="19">SUM(J31:O31)</f>
        <v>-8.2163075000000241</v>
      </c>
      <c r="Q31" s="396">
        <f>'data entry '!N139</f>
        <v>1080.1492742080293</v>
      </c>
      <c r="R31" s="496">
        <f t="shared" ref="R31:R34" si="20">Q31*1000/$Q$4</f>
        <v>2.0840836107701928</v>
      </c>
      <c r="T31" s="63"/>
    </row>
    <row r="32" spans="1:21" x14ac:dyDescent="0.3">
      <c r="A32" s="363" t="s">
        <v>149</v>
      </c>
      <c r="B32" s="416">
        <f>'data entry '!N28</f>
        <v>1134.3840256941698</v>
      </c>
      <c r="C32" s="415">
        <f t="shared" si="18"/>
        <v>2.0076811623161044</v>
      </c>
      <c r="E32" s="334"/>
      <c r="F32" s="347">
        <f>'data entry '!N107</f>
        <v>860.77876584836372</v>
      </c>
      <c r="G32" s="492">
        <f>'data entry '!N62</f>
        <v>149.60402569416968</v>
      </c>
      <c r="H32" s="492"/>
      <c r="I32" s="411">
        <f>B32</f>
        <v>1134.3840256941698</v>
      </c>
      <c r="J32" s="401"/>
      <c r="K32" s="401">
        <f>SUM('FCST 26 '!Q35,'FCST 26 '!W35)-J32</f>
        <v>-118.98576478886834</v>
      </c>
      <c r="L32" s="401"/>
      <c r="M32" s="407">
        <f>SUM('FCST 26 '!R35,'FCST 26 '!X35)</f>
        <v>-33.922966715819598</v>
      </c>
      <c r="N32" s="401">
        <f>SUM('FCST 26 '!S35,'FCST 26 '!Y35)</f>
        <v>18.640810292277234</v>
      </c>
      <c r="O32" s="331"/>
      <c r="P32" s="331">
        <f t="shared" si="19"/>
        <v>-134.2679212124107</v>
      </c>
      <c r="Q32" s="498">
        <f>'data entry '!N140</f>
        <v>1046.0484908139063</v>
      </c>
      <c r="R32" s="497">
        <f t="shared" si="20"/>
        <v>2.0182881827834227</v>
      </c>
      <c r="T32" s="63"/>
    </row>
    <row r="33" spans="1:20" x14ac:dyDescent="0.3">
      <c r="A33" s="274" t="s">
        <v>150</v>
      </c>
      <c r="B33" s="275">
        <f>'data entry '!N29</f>
        <v>2222.7506956941697</v>
      </c>
      <c r="C33" s="313">
        <f>B33/$B$4*1000</f>
        <v>3.9339188486362824</v>
      </c>
      <c r="E33" s="275">
        <f t="shared" ref="E33:Q33" si="21">E31+E32</f>
        <v>0</v>
      </c>
      <c r="F33" s="275">
        <f t="shared" si="21"/>
        <v>1686.6392308877985</v>
      </c>
      <c r="G33" s="275">
        <f t="shared" si="21"/>
        <v>72.100695694169559</v>
      </c>
      <c r="H33" s="275">
        <f>H31+H32</f>
        <v>348.56674123661048</v>
      </c>
      <c r="I33" s="275">
        <f t="shared" si="21"/>
        <v>2222.7506956941697</v>
      </c>
      <c r="J33" s="275">
        <f t="shared" si="21"/>
        <v>0</v>
      </c>
      <c r="K33" s="275">
        <f t="shared" si="21"/>
        <v>-122.83207228886836</v>
      </c>
      <c r="L33" s="275">
        <f t="shared" si="21"/>
        <v>0</v>
      </c>
      <c r="M33" s="275">
        <f t="shared" si="21"/>
        <v>-33.922966715819598</v>
      </c>
      <c r="N33" s="275">
        <f t="shared" si="21"/>
        <v>14.270810292277233</v>
      </c>
      <c r="O33" s="275">
        <f t="shared" si="21"/>
        <v>0</v>
      </c>
      <c r="P33" s="275">
        <f t="shared" si="21"/>
        <v>-142.48422871241073</v>
      </c>
      <c r="Q33" s="275">
        <f t="shared" si="21"/>
        <v>2126.1977650219355</v>
      </c>
      <c r="R33" s="313">
        <f t="shared" si="20"/>
        <v>4.1023717935536155</v>
      </c>
      <c r="T33" s="63"/>
    </row>
    <row r="34" spans="1:20" x14ac:dyDescent="0.3">
      <c r="A34" s="51"/>
      <c r="R34">
        <f t="shared" si="20"/>
        <v>0</v>
      </c>
      <c r="T34" s="63"/>
    </row>
    <row r="35" spans="1:20" s="50" customFormat="1" x14ac:dyDescent="0.3">
      <c r="A35" s="274" t="s">
        <v>152</v>
      </c>
      <c r="B35" s="275">
        <f>B20+B29+B33</f>
        <v>17539.021115021187</v>
      </c>
      <c r="C35" s="313">
        <f>B35/$B$4*1000</f>
        <v>31.041306559782072</v>
      </c>
      <c r="D35"/>
      <c r="E35" s="275">
        <f>E22+E29+E33</f>
        <v>-527.86665550157079</v>
      </c>
      <c r="F35" s="275">
        <f>F22+F29+F33</f>
        <v>18490.538562981204</v>
      </c>
      <c r="G35" s="275">
        <f>G22+G29+G33</f>
        <v>-22.140719590580517</v>
      </c>
      <c r="H35" s="275">
        <f>H22+H29+H33</f>
        <v>2586.4360467796018</v>
      </c>
      <c r="I35" s="275">
        <f t="shared" ref="I35:R35" si="22">I20+I29+I33</f>
        <v>17011.154459519617</v>
      </c>
      <c r="J35" s="275">
        <f>J22+J29+J33</f>
        <v>-146.80913060175934</v>
      </c>
      <c r="K35" s="275">
        <f>K22+K29+K33</f>
        <v>-2643.2601739222218</v>
      </c>
      <c r="L35" s="275">
        <f t="shared" ref="L35:Q35" si="23">L22+L29+L33</f>
        <v>0</v>
      </c>
      <c r="M35" s="275">
        <f t="shared" si="23"/>
        <v>114.55877215942377</v>
      </c>
      <c r="N35" s="275">
        <f t="shared" si="23"/>
        <v>-92.60171167580161</v>
      </c>
      <c r="O35" s="275">
        <f t="shared" si="23"/>
        <v>0</v>
      </c>
      <c r="P35" s="275">
        <f t="shared" si="23"/>
        <v>-2768.1122440403587</v>
      </c>
      <c r="Q35" s="275">
        <f t="shared" si="23"/>
        <v>19664.004972047547</v>
      </c>
      <c r="R35" s="1158">
        <f t="shared" si="22"/>
        <v>30.797639192706075</v>
      </c>
      <c r="T35" s="63"/>
    </row>
    <row r="37" spans="1:20" s="50" customFormat="1" x14ac:dyDescent="0.3">
      <c r="A37"/>
      <c r="B37" s="107"/>
      <c r="C37" s="23"/>
      <c r="D37"/>
      <c r="E37"/>
      <c r="F37"/>
      <c r="G37" s="159"/>
      <c r="H37" s="159"/>
      <c r="I37"/>
      <c r="J37" s="105"/>
      <c r="K37" s="105"/>
      <c r="L37" s="105"/>
      <c r="M37" s="105"/>
      <c r="N37" s="105"/>
      <c r="O37" s="105"/>
      <c r="P37" s="23"/>
      <c r="Q37" s="23"/>
      <c r="R37" s="23"/>
    </row>
    <row r="40" spans="1:20" s="50" customFormat="1" x14ac:dyDescent="0.3">
      <c r="A40"/>
      <c r="B40"/>
      <c r="C40"/>
      <c r="D40"/>
      <c r="E40"/>
      <c r="F40"/>
      <c r="G40" s="159"/>
      <c r="H40" s="159"/>
      <c r="I40"/>
      <c r="J40"/>
      <c r="K40"/>
      <c r="L40"/>
      <c r="M40"/>
      <c r="N40" s="107"/>
      <c r="O40"/>
      <c r="P40"/>
      <c r="Q40"/>
    </row>
  </sheetData>
  <mergeCells count="18">
    <mergeCell ref="N2:N3"/>
    <mergeCell ref="O2:O3"/>
    <mergeCell ref="P2:P3"/>
    <mergeCell ref="Q2:R3"/>
    <mergeCell ref="B4:C4"/>
    <mergeCell ref="Q4:R4"/>
    <mergeCell ref="H2:H3"/>
    <mergeCell ref="I2:I3"/>
    <mergeCell ref="J2:J3"/>
    <mergeCell ref="K2:K3"/>
    <mergeCell ref="L2:L3"/>
    <mergeCell ref="M2:M3"/>
    <mergeCell ref="G2:G3"/>
    <mergeCell ref="A2:A3"/>
    <mergeCell ref="B2:C3"/>
    <mergeCell ref="D2:D3"/>
    <mergeCell ref="E2:E3"/>
    <mergeCell ref="F2:F3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25EE7-F8D9-4D34-B928-9D4C443BF967}">
  <sheetPr>
    <tabColor rgb="FF002060"/>
  </sheetPr>
  <dimension ref="G6:H20"/>
  <sheetViews>
    <sheetView topLeftCell="G1" workbookViewId="0">
      <selection activeCell="K20" sqref="K20"/>
    </sheetView>
  </sheetViews>
  <sheetFormatPr defaultRowHeight="14.4" x14ac:dyDescent="0.3"/>
  <cols>
    <col min="7" max="7" width="27.109375" bestFit="1" customWidth="1"/>
  </cols>
  <sheetData>
    <row r="6" spans="7:8" x14ac:dyDescent="0.3">
      <c r="G6" t="s">
        <v>1026</v>
      </c>
      <c r="H6" s="103">
        <v>41.49</v>
      </c>
    </row>
    <row r="7" spans="7:8" x14ac:dyDescent="0.3">
      <c r="G7" t="s">
        <v>1027</v>
      </c>
      <c r="H7" s="103">
        <v>-1.72</v>
      </c>
    </row>
    <row r="8" spans="7:8" x14ac:dyDescent="0.3">
      <c r="G8" t="s">
        <v>1028</v>
      </c>
      <c r="H8" s="103">
        <v>0.21</v>
      </c>
    </row>
    <row r="9" spans="7:8" x14ac:dyDescent="0.3">
      <c r="G9" t="s">
        <v>1029</v>
      </c>
      <c r="H9" s="103">
        <v>39.979999999999997</v>
      </c>
    </row>
    <row r="10" spans="7:8" x14ac:dyDescent="0.3">
      <c r="G10" t="s">
        <v>1030</v>
      </c>
      <c r="H10" s="103">
        <v>-2.42</v>
      </c>
    </row>
    <row r="11" spans="7:8" ht="28.8" x14ac:dyDescent="0.3">
      <c r="G11" s="783" t="s">
        <v>1034</v>
      </c>
      <c r="H11" s="103">
        <v>-3.03</v>
      </c>
    </row>
    <row r="12" spans="7:8" x14ac:dyDescent="0.3">
      <c r="G12" t="s">
        <v>1033</v>
      </c>
      <c r="H12" s="103">
        <v>2.5700000000000003</v>
      </c>
    </row>
    <row r="13" spans="7:8" x14ac:dyDescent="0.3">
      <c r="G13" t="s">
        <v>1031</v>
      </c>
      <c r="H13" s="103">
        <v>1.19</v>
      </c>
    </row>
    <row r="14" spans="7:8" x14ac:dyDescent="0.3">
      <c r="G14" t="s">
        <v>1032</v>
      </c>
      <c r="H14" s="103">
        <v>38.29</v>
      </c>
    </row>
    <row r="15" spans="7:8" x14ac:dyDescent="0.3">
      <c r="H15" s="103"/>
    </row>
    <row r="16" spans="7:8" x14ac:dyDescent="0.3">
      <c r="H16" s="103"/>
    </row>
    <row r="17" spans="8:8" x14ac:dyDescent="0.3">
      <c r="H17" s="103"/>
    </row>
    <row r="18" spans="8:8" x14ac:dyDescent="0.3">
      <c r="H18" s="103"/>
    </row>
    <row r="19" spans="8:8" x14ac:dyDescent="0.3">
      <c r="H19" s="103"/>
    </row>
    <row r="20" spans="8:8" x14ac:dyDescent="0.3">
      <c r="H20" s="103"/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FE305-7919-4993-8A76-C31764A1976F}">
  <sheetPr codeName="Sheet28">
    <tabColor rgb="FF002060"/>
  </sheetPr>
  <dimension ref="A1:AF154"/>
  <sheetViews>
    <sheetView showGridLines="0" topLeftCell="A107" zoomScale="70" zoomScaleNormal="70" workbookViewId="0">
      <selection activeCell="V107" sqref="V107"/>
    </sheetView>
  </sheetViews>
  <sheetFormatPr defaultRowHeight="14.4" x14ac:dyDescent="0.3"/>
  <cols>
    <col min="1" max="1" width="44.88671875" customWidth="1"/>
    <col min="14" max="14" width="10.6640625" style="32" bestFit="1" customWidth="1"/>
    <col min="16" max="16" width="9.21875" style="32" bestFit="1" customWidth="1"/>
    <col min="17" max="17" width="11.21875" customWidth="1"/>
    <col min="21" max="21" width="8.88671875" customWidth="1"/>
    <col min="22" max="22" width="66.77734375" style="32" customWidth="1"/>
    <col min="28" max="28" width="102.6640625" bestFit="1" customWidth="1"/>
    <col min="29" max="29" width="11.6640625" customWidth="1"/>
  </cols>
  <sheetData>
    <row r="1" spans="1:28" x14ac:dyDescent="0.3">
      <c r="A1" s="567" t="s">
        <v>494</v>
      </c>
      <c r="B1" s="568"/>
      <c r="C1" s="568"/>
      <c r="D1" s="568"/>
      <c r="E1" s="568"/>
      <c r="F1" s="568"/>
      <c r="G1" s="568"/>
      <c r="H1" s="568"/>
      <c r="I1" s="568"/>
      <c r="J1" s="568"/>
      <c r="K1" s="568"/>
      <c r="L1" s="568"/>
      <c r="M1" s="568"/>
      <c r="N1" s="567"/>
      <c r="O1" s="568"/>
      <c r="P1" s="567"/>
      <c r="Q1" s="568"/>
      <c r="R1" s="568"/>
      <c r="S1" s="568"/>
      <c r="T1" s="568"/>
      <c r="U1" s="568"/>
      <c r="V1" s="567"/>
      <c r="W1" s="568"/>
      <c r="X1" s="568"/>
      <c r="Y1" s="568"/>
      <c r="Z1" s="568"/>
    </row>
    <row r="2" spans="1:28" x14ac:dyDescent="0.3">
      <c r="A2" s="567"/>
      <c r="B2" s="568"/>
      <c r="C2" s="568"/>
      <c r="D2" s="568"/>
      <c r="E2" s="568"/>
      <c r="F2" s="568"/>
      <c r="G2" s="568"/>
      <c r="H2" s="568"/>
      <c r="I2" s="568"/>
      <c r="J2" s="568"/>
      <c r="K2" s="568"/>
      <c r="L2" s="568"/>
      <c r="M2" s="568"/>
      <c r="N2" s="567"/>
      <c r="O2" s="568"/>
      <c r="P2" s="567" t="s">
        <v>558</v>
      </c>
      <c r="Q2" s="568"/>
      <c r="R2" s="568"/>
      <c r="S2" s="568"/>
      <c r="T2" s="568"/>
      <c r="U2" s="568"/>
      <c r="V2" s="567" t="s">
        <v>1011</v>
      </c>
      <c r="W2" s="568"/>
      <c r="X2" s="568"/>
      <c r="Y2" s="568"/>
      <c r="Z2" s="568"/>
    </row>
    <row r="3" spans="1:28" x14ac:dyDescent="0.3">
      <c r="A3" s="567" t="s">
        <v>495</v>
      </c>
      <c r="B3" s="569" t="s">
        <v>0</v>
      </c>
      <c r="C3" s="569" t="s">
        <v>1</v>
      </c>
      <c r="D3" s="569" t="s">
        <v>2</v>
      </c>
      <c r="E3" s="569" t="s">
        <v>3</v>
      </c>
      <c r="F3" s="569" t="s">
        <v>4</v>
      </c>
      <c r="G3" s="569" t="s">
        <v>5</v>
      </c>
      <c r="H3" s="569" t="s">
        <v>6</v>
      </c>
      <c r="I3" s="569" t="s">
        <v>7</v>
      </c>
      <c r="J3" s="569" t="s">
        <v>8</v>
      </c>
      <c r="K3" s="569" t="s">
        <v>9</v>
      </c>
      <c r="L3" s="569" t="s">
        <v>10</v>
      </c>
      <c r="M3" s="569" t="s">
        <v>11</v>
      </c>
      <c r="N3" s="569" t="s">
        <v>12</v>
      </c>
      <c r="O3" s="568"/>
      <c r="P3" s="569" t="s">
        <v>95</v>
      </c>
      <c r="Q3" s="570" t="s">
        <v>496</v>
      </c>
      <c r="R3" s="570" t="s">
        <v>497</v>
      </c>
      <c r="S3" s="570" t="s">
        <v>498</v>
      </c>
      <c r="T3" s="570" t="s">
        <v>499</v>
      </c>
      <c r="U3" s="568"/>
      <c r="V3" s="569" t="s">
        <v>799</v>
      </c>
      <c r="W3" s="570" t="s">
        <v>496</v>
      </c>
      <c r="X3" s="570" t="s">
        <v>497</v>
      </c>
      <c r="Y3" s="570" t="s">
        <v>498</v>
      </c>
      <c r="Z3" s="570" t="s">
        <v>499</v>
      </c>
    </row>
    <row r="4" spans="1:28" x14ac:dyDescent="0.3">
      <c r="A4" s="571" t="s">
        <v>500</v>
      </c>
      <c r="B4" s="572">
        <f>'data entry '!B115</f>
        <v>47357</v>
      </c>
      <c r="C4" s="572">
        <f>'data entry '!C115</f>
        <v>42593</v>
      </c>
      <c r="D4" s="572">
        <f>'data entry '!D115</f>
        <v>23002</v>
      </c>
      <c r="E4" s="572">
        <f>'data entry '!E115</f>
        <v>40893</v>
      </c>
      <c r="F4" s="572">
        <f>'data entry '!F115</f>
        <v>33043</v>
      </c>
      <c r="G4" s="572">
        <f>'data entry '!G115</f>
        <v>53186</v>
      </c>
      <c r="H4" s="572">
        <f>'data entry '!H115</f>
        <v>41500</v>
      </c>
      <c r="I4" s="572">
        <f>'data entry '!I115</f>
        <v>39000</v>
      </c>
      <c r="J4" s="572">
        <f>'data entry '!J115</f>
        <v>54085</v>
      </c>
      <c r="K4" s="572">
        <f>'data entry '!K115</f>
        <v>49500</v>
      </c>
      <c r="L4" s="572">
        <f>'data entry '!L115</f>
        <v>51936</v>
      </c>
      <c r="M4" s="572">
        <f>'data entry '!M115</f>
        <v>42190</v>
      </c>
      <c r="N4" s="572">
        <f>'data entry '!N115</f>
        <v>518285</v>
      </c>
      <c r="O4" s="574"/>
      <c r="P4" s="573">
        <f>SUM(B4:F4)</f>
        <v>186888</v>
      </c>
      <c r="Q4" s="1258"/>
      <c r="R4" s="1259"/>
      <c r="S4" s="1259"/>
      <c r="T4" s="1259"/>
      <c r="U4" s="574"/>
      <c r="V4" s="573">
        <f>N4-P4</f>
        <v>331397</v>
      </c>
      <c r="W4" s="1258"/>
      <c r="X4" s="1259"/>
      <c r="Y4" s="1259"/>
      <c r="Z4" s="1259"/>
    </row>
    <row r="5" spans="1:28" x14ac:dyDescent="0.3">
      <c r="A5" s="571" t="s">
        <v>96</v>
      </c>
      <c r="B5" s="572">
        <f>'data entry '!B3</f>
        <v>50463</v>
      </c>
      <c r="C5" s="572">
        <f>'data entry '!C3</f>
        <v>50446</v>
      </c>
      <c r="D5" s="572">
        <f>'data entry '!D3</f>
        <v>50447</v>
      </c>
      <c r="E5" s="572">
        <f>'data entry '!E3</f>
        <v>48050</v>
      </c>
      <c r="F5" s="572">
        <f>'data entry '!F3</f>
        <v>36788</v>
      </c>
      <c r="G5" s="572">
        <f>'data entry '!G3</f>
        <v>53265</v>
      </c>
      <c r="H5" s="572">
        <f>'data entry '!H3</f>
        <v>42049</v>
      </c>
      <c r="I5" s="572">
        <f>'data entry '!I3</f>
        <v>39150</v>
      </c>
      <c r="J5" s="572">
        <f>'data entry '!J3</f>
        <v>53732</v>
      </c>
      <c r="K5" s="572">
        <f>'data entry '!K3</f>
        <v>48548</v>
      </c>
      <c r="L5" s="572">
        <f>'data entry '!L3</f>
        <v>51408</v>
      </c>
      <c r="M5" s="572">
        <f>'data entry '!M3</f>
        <v>40676</v>
      </c>
      <c r="N5" s="572">
        <f>'data entry '!N3</f>
        <v>565022</v>
      </c>
      <c r="O5" s="574"/>
      <c r="P5" s="573">
        <f>SUM(B5:F5)</f>
        <v>236194</v>
      </c>
      <c r="Q5" s="1260"/>
      <c r="R5" s="1261"/>
      <c r="S5" s="1261"/>
      <c r="T5" s="1261"/>
      <c r="U5" s="574"/>
      <c r="V5" s="573">
        <f>N5-P5</f>
        <v>328828</v>
      </c>
      <c r="W5" s="1260"/>
      <c r="X5" s="1261"/>
      <c r="Y5" s="1261"/>
      <c r="Z5" s="1261"/>
    </row>
    <row r="6" spans="1:28" ht="15" thickBot="1" x14ac:dyDescent="0.35">
      <c r="A6" s="575" t="s">
        <v>97</v>
      </c>
      <c r="B6" s="576">
        <f>B4-B5</f>
        <v>-3106</v>
      </c>
      <c r="C6" s="576">
        <f t="shared" ref="C6:N6" si="0">C4-C5</f>
        <v>-7853</v>
      </c>
      <c r="D6" s="576">
        <f t="shared" si="0"/>
        <v>-27445</v>
      </c>
      <c r="E6" s="576">
        <f t="shared" si="0"/>
        <v>-7157</v>
      </c>
      <c r="F6" s="576">
        <f t="shared" si="0"/>
        <v>-3745</v>
      </c>
      <c r="G6" s="576">
        <f t="shared" si="0"/>
        <v>-79</v>
      </c>
      <c r="H6" s="576">
        <f t="shared" si="0"/>
        <v>-549</v>
      </c>
      <c r="I6" s="576">
        <f t="shared" si="0"/>
        <v>-150</v>
      </c>
      <c r="J6" s="576">
        <f t="shared" si="0"/>
        <v>353</v>
      </c>
      <c r="K6" s="576">
        <f t="shared" si="0"/>
        <v>952</v>
      </c>
      <c r="L6" s="576">
        <f t="shared" si="0"/>
        <v>528</v>
      </c>
      <c r="M6" s="576">
        <f t="shared" si="0"/>
        <v>1514</v>
      </c>
      <c r="N6" s="577">
        <f t="shared" si="0"/>
        <v>-46737</v>
      </c>
      <c r="O6" s="574"/>
      <c r="P6" s="577">
        <f>SUM(B6:F6)</f>
        <v>-49306</v>
      </c>
      <c r="Q6" s="1260"/>
      <c r="R6" s="1261"/>
      <c r="S6" s="1261"/>
      <c r="T6" s="1261"/>
      <c r="U6" s="574"/>
      <c r="V6" s="577">
        <f>N6-P6</f>
        <v>2569</v>
      </c>
      <c r="W6" s="1260"/>
      <c r="X6" s="1261"/>
      <c r="Y6" s="1261"/>
      <c r="Z6" s="1261"/>
    </row>
    <row r="7" spans="1:28" x14ac:dyDescent="0.3">
      <c r="A7" s="578"/>
      <c r="B7" s="574"/>
      <c r="C7" s="574"/>
      <c r="D7" s="574"/>
      <c r="E7" s="574"/>
      <c r="F7" s="574"/>
      <c r="G7" s="574"/>
      <c r="H7" s="574"/>
      <c r="I7" s="574"/>
      <c r="J7" s="574"/>
      <c r="K7" s="574"/>
      <c r="L7" s="574"/>
      <c r="M7" s="574"/>
      <c r="N7" s="579"/>
      <c r="O7" s="574"/>
      <c r="P7" s="579"/>
      <c r="Q7" s="574"/>
      <c r="R7" s="574"/>
      <c r="S7" s="574"/>
      <c r="T7" s="574"/>
      <c r="U7" s="574"/>
      <c r="V7" s="579"/>
      <c r="W7" s="574"/>
      <c r="X7" s="574"/>
      <c r="Y7" s="574"/>
      <c r="Z7" s="574"/>
    </row>
    <row r="8" spans="1:28" ht="15" thickBot="1" x14ac:dyDescent="0.35">
      <c r="A8" s="580" t="s">
        <v>501</v>
      </c>
      <c r="B8" s="581">
        <f>'data entry '!B182</f>
        <v>74.155661215989426</v>
      </c>
      <c r="C8" s="581">
        <f>'data entry '!C182</f>
        <v>186.38396565789671</v>
      </c>
      <c r="D8" s="581">
        <f>'data entry '!D182</f>
        <v>622.98541887442025</v>
      </c>
      <c r="E8" s="581">
        <f>'data entry '!E182</f>
        <v>165.86341342894065</v>
      </c>
      <c r="F8" s="581">
        <f>'data entry '!F182</f>
        <v>79.812555081380779</v>
      </c>
      <c r="G8" s="581">
        <f>'data entry '!G182</f>
        <v>14.311715493846464</v>
      </c>
      <c r="H8" s="581">
        <f>'data entry '!H182</f>
        <v>2.4331813350789844</v>
      </c>
      <c r="I8" s="581">
        <f>'data entry '!I182</f>
        <v>-6.2513208066100105</v>
      </c>
      <c r="J8" s="581">
        <f>'data entry '!J182</f>
        <v>-22.114364208369864</v>
      </c>
      <c r="K8" s="581">
        <f>'data entry '!K182</f>
        <v>-34.970069916726402</v>
      </c>
      <c r="L8" s="581">
        <f>'data entry '!L182</f>
        <v>-28.922615476615704</v>
      </c>
      <c r="M8" s="581">
        <f>'data entry '!M182</f>
        <v>-49.174730278691243</v>
      </c>
      <c r="N8" s="581">
        <f>'data entry '!N182</f>
        <v>1004.5128104005407</v>
      </c>
      <c r="O8" s="574"/>
      <c r="P8" s="582">
        <f>SUM(B8:F8)</f>
        <v>1129.201014258628</v>
      </c>
      <c r="Q8" s="572">
        <v>1129.201014258628</v>
      </c>
      <c r="R8" s="572"/>
      <c r="S8" s="572"/>
      <c r="T8" s="572"/>
      <c r="U8" s="574"/>
      <c r="V8" s="582">
        <f>N8-P8</f>
        <v>-124.68820385808726</v>
      </c>
      <c r="W8" s="572">
        <v>-195.0583131603662</v>
      </c>
      <c r="X8" s="572"/>
      <c r="Y8" s="572"/>
      <c r="Z8" s="572"/>
    </row>
    <row r="9" spans="1:28" x14ac:dyDescent="0.3">
      <c r="A9" s="583"/>
      <c r="B9" s="574"/>
      <c r="C9" s="574"/>
      <c r="D9" s="574"/>
      <c r="E9" s="574"/>
      <c r="F9" s="574"/>
      <c r="G9" s="574"/>
      <c r="H9" s="574"/>
      <c r="I9" s="574"/>
      <c r="J9" s="574"/>
      <c r="K9" s="574"/>
      <c r="L9" s="574"/>
      <c r="M9" s="574"/>
      <c r="N9" s="579"/>
      <c r="O9" s="574"/>
      <c r="P9" s="579"/>
      <c r="Q9" s="574"/>
      <c r="R9" s="574"/>
      <c r="S9" s="574"/>
      <c r="T9" s="574"/>
      <c r="U9" s="574"/>
      <c r="V9" s="579"/>
      <c r="W9" s="574"/>
      <c r="X9" s="574"/>
      <c r="Y9" s="574"/>
      <c r="Z9" s="574"/>
    </row>
    <row r="10" spans="1:28" ht="42" customHeight="1" x14ac:dyDescent="0.3">
      <c r="A10" s="382" t="s">
        <v>74</v>
      </c>
      <c r="B10" s="584">
        <f>'data entry '!B153</f>
        <v>3.850631330558258</v>
      </c>
      <c r="C10" s="584">
        <f>'data entry '!C153</f>
        <v>25.73881423876211</v>
      </c>
      <c r="D10" s="584">
        <f>'data entry '!D153</f>
        <v>44.841605151282494</v>
      </c>
      <c r="E10" s="584">
        <f>'data entry '!E153</f>
        <v>-63.826529006296937</v>
      </c>
      <c r="F10" s="584">
        <f>'data entry '!F153</f>
        <v>-60.830520471202789</v>
      </c>
      <c r="G10" s="584">
        <f>'data entry '!G153</f>
        <v>-103.70639617287911</v>
      </c>
      <c r="H10" s="584">
        <f>'data entry '!H153</f>
        <v>-87.778328644278986</v>
      </c>
      <c r="I10" s="584">
        <f>'data entry '!I153</f>
        <v>-101.05964169300051</v>
      </c>
      <c r="J10" s="584">
        <f>'data entry '!J153</f>
        <v>-136.30661200422179</v>
      </c>
      <c r="K10" s="584">
        <f>'data entry '!K153</f>
        <v>30.793958595439406</v>
      </c>
      <c r="L10" s="584">
        <f>'data entry '!L153</f>
        <v>-34.24107401917054</v>
      </c>
      <c r="M10" s="584">
        <f>'data entry '!M153</f>
        <v>-43.855030564365435</v>
      </c>
      <c r="N10" s="584">
        <f>'data entry '!N153</f>
        <v>-526.37912325937384</v>
      </c>
      <c r="O10" s="574"/>
      <c r="P10" s="585">
        <f t="shared" ref="P10:P38" si="1">SUM(B10:F10)</f>
        <v>-50.225998756896871</v>
      </c>
      <c r="Q10" s="584">
        <f>SUM('YTD Report(HQD)_variance '!J7,'YTD Report(HQD)_variance '!K7,'YTD Report(HQD)_variance '!L7)</f>
        <v>-430.71510399717175</v>
      </c>
      <c r="R10" s="584">
        <f>SUM('YTD Report(HQD)_variance '!M7)</f>
        <v>117.01599999999999</v>
      </c>
      <c r="S10" s="584">
        <f>'YTD Report(HQD)_variance '!N7</f>
        <v>159.76563477398798</v>
      </c>
      <c r="T10" s="584"/>
      <c r="U10" s="574"/>
      <c r="V10" s="585">
        <f t="shared" ref="V10:V25" si="2">N10-P10</f>
        <v>-476.153124502477</v>
      </c>
      <c r="W10" s="592">
        <f>(SUM('DL '!H64:N64,'DL '!H61:N61,'DL '!H62:N62)/1000-448)+0</f>
        <v>-713.45367261277465</v>
      </c>
      <c r="X10" s="592">
        <f>SUM('DL '!H63:N63)/1000+448</f>
        <v>156.54392096652884</v>
      </c>
      <c r="Y10" s="592">
        <f>SUM('DL '!H65:N65)/1000</f>
        <v>80.756627143768824</v>
      </c>
      <c r="Z10" s="584"/>
      <c r="AA10" s="8">
        <f>V10-SUM(W10:Z10)</f>
        <v>0</v>
      </c>
      <c r="AB10" s="783" t="s">
        <v>1014</v>
      </c>
    </row>
    <row r="11" spans="1:28" x14ac:dyDescent="0.3">
      <c r="A11" s="383" t="s">
        <v>75</v>
      </c>
      <c r="B11" s="586">
        <f>'data entry '!B154</f>
        <v>-9.945895665293417</v>
      </c>
      <c r="C11" s="586">
        <f>'data entry '!C154</f>
        <v>-14.54630544957892</v>
      </c>
      <c r="D11" s="586">
        <f>'data entry '!D154</f>
        <v>4.3597875673948714</v>
      </c>
      <c r="E11" s="586">
        <f>'data entry '!E154</f>
        <v>-1.5262964651115176</v>
      </c>
      <c r="F11" s="586">
        <f>'data entry '!F154</f>
        <v>10.758344246188734</v>
      </c>
      <c r="G11" s="586">
        <f>'data entry '!G154</f>
        <v>-5.8667146152252307</v>
      </c>
      <c r="H11" s="586">
        <f>'data entry '!H154</f>
        <v>2.6861226030419125</v>
      </c>
      <c r="I11" s="586">
        <f>'data entry '!I154</f>
        <v>4.3590042180695932</v>
      </c>
      <c r="J11" s="586">
        <f>'data entry '!J154</f>
        <v>5.9593193989106439</v>
      </c>
      <c r="K11" s="586">
        <f>'data entry '!K154</f>
        <v>3.3611055525902387</v>
      </c>
      <c r="L11" s="586">
        <f>'data entry '!L154</f>
        <v>-2.2559435854888079</v>
      </c>
      <c r="M11" s="586">
        <f>'data entry '!M154</f>
        <v>-0.57802737430155204</v>
      </c>
      <c r="N11" s="587">
        <f>'data entry '!N154</f>
        <v>-3.2354995688034514</v>
      </c>
      <c r="O11" s="574"/>
      <c r="P11" s="587">
        <f t="shared" si="1"/>
        <v>-10.900365766400249</v>
      </c>
      <c r="Q11" s="586">
        <f>SUM('YTD Report(HQD)_variance '!J8,'YTD Report(HQD)_variance '!K8,'YTD Report(HQD)_variance '!L8)</f>
        <v>-4.584871521103274</v>
      </c>
      <c r="R11" s="586">
        <f>SUM('YTD Report(HQD)_variance '!M8)</f>
        <v>-17.600000000000001</v>
      </c>
      <c r="S11" s="586">
        <f>'YTD Report(HQD)_variance '!N8</f>
        <v>5.4179461917327627</v>
      </c>
      <c r="T11" s="586"/>
      <c r="U11" s="574"/>
      <c r="V11" s="587">
        <f t="shared" si="2"/>
        <v>7.6648661975967975</v>
      </c>
      <c r="W11" s="1156">
        <v>13</v>
      </c>
      <c r="X11" s="1156">
        <v>-3</v>
      </c>
      <c r="Y11" s="1156">
        <f>SUM('FX IMPACT'!G6:M6)</f>
        <v>6.4206039805219532</v>
      </c>
      <c r="Z11" s="586"/>
      <c r="AA11" s="8">
        <f t="shared" ref="AA11:AA38" si="3">V11-SUM(W11:Z11)</f>
        <v>-8.7557377829251557</v>
      </c>
    </row>
    <row r="12" spans="1:28" x14ac:dyDescent="0.3">
      <c r="A12" s="383" t="s">
        <v>141</v>
      </c>
      <c r="B12" s="586">
        <f>'data entry '!B155</f>
        <v>-1.836350821831477</v>
      </c>
      <c r="C12" s="586">
        <f>'data entry '!C155</f>
        <v>-1.774309197540358</v>
      </c>
      <c r="D12" s="586">
        <f>'data entry '!D155</f>
        <v>1.8460117905044395</v>
      </c>
      <c r="E12" s="586">
        <f>'data entry '!E155</f>
        <v>25.920569236604791</v>
      </c>
      <c r="F12" s="586">
        <f>'data entry '!F155</f>
        <v>4.5318459112124998</v>
      </c>
      <c r="G12" s="586">
        <f>'data entry '!G155</f>
        <v>13.020599083192568</v>
      </c>
      <c r="H12" s="586">
        <f>'data entry '!H155</f>
        <v>0.1605430641413701</v>
      </c>
      <c r="I12" s="586">
        <f>'data entry '!I155</f>
        <v>0.93555785681545878</v>
      </c>
      <c r="J12" s="586">
        <f>'data entry '!J155</f>
        <v>0.81997237420658209</v>
      </c>
      <c r="K12" s="586">
        <f>'data entry '!K155</f>
        <v>1.4673366551308948</v>
      </c>
      <c r="L12" s="586">
        <f>'data entry '!L155</f>
        <v>0.49199848103395638</v>
      </c>
      <c r="M12" s="586">
        <f>'data entry '!M155</f>
        <v>2.5642615673686926</v>
      </c>
      <c r="N12" s="587">
        <f>'data entry '!N155</f>
        <v>48.148036000839426</v>
      </c>
      <c r="O12" s="574"/>
      <c r="P12" s="587">
        <f t="shared" si="1"/>
        <v>28.687766918949897</v>
      </c>
      <c r="Q12" s="586">
        <f>SUM('YTD Report(HQD)_variance '!J9,'YTD Report(HQD)_variance '!K9,'YTD Report(HQD)_variance '!L9)</f>
        <v>40.243249148838153</v>
      </c>
      <c r="R12" s="586">
        <f>SUM('YTD Report(HQD)_variance '!M9)</f>
        <v>0</v>
      </c>
      <c r="S12" s="586">
        <f>'YTD Report(HQD)_variance '!N9</f>
        <v>1.4741963445979531</v>
      </c>
      <c r="T12" s="586"/>
      <c r="U12" s="574"/>
      <c r="V12" s="587">
        <f t="shared" si="2"/>
        <v>19.460269081889528</v>
      </c>
      <c r="W12" s="1156">
        <v>3.8415835858680438</v>
      </c>
      <c r="X12" s="1156"/>
      <c r="Y12" s="1156">
        <f>SUM('FX IMPACT'!G7:M7)</f>
        <v>3.4789860099271728</v>
      </c>
      <c r="Z12" s="586"/>
      <c r="AA12" s="8">
        <f t="shared" si="3"/>
        <v>12.139699486094312</v>
      </c>
    </row>
    <row r="13" spans="1:28" x14ac:dyDescent="0.3">
      <c r="A13" s="4" t="s">
        <v>79</v>
      </c>
      <c r="B13" s="588">
        <f>'data entry '!B156</f>
        <v>-7.931615156566636</v>
      </c>
      <c r="C13" s="588">
        <f>'data entry '!C156</f>
        <v>9.418199591642832</v>
      </c>
      <c r="D13" s="588">
        <f>'data entry '!D156</f>
        <v>51.04740450918181</v>
      </c>
      <c r="E13" s="588">
        <f>'data entry '!E156</f>
        <v>-39.43225623480366</v>
      </c>
      <c r="F13" s="588">
        <f>'data entry '!F156</f>
        <v>-45.540330313801554</v>
      </c>
      <c r="G13" s="588">
        <f>'data entry '!G156</f>
        <v>-96.55251170491178</v>
      </c>
      <c r="H13" s="588">
        <f>'data entry '!H156</f>
        <v>-84.931662977095712</v>
      </c>
      <c r="I13" s="588">
        <f>'data entry '!I156</f>
        <v>-95.76507961811545</v>
      </c>
      <c r="J13" s="588">
        <f>'data entry '!J156</f>
        <v>-129.52732023110457</v>
      </c>
      <c r="K13" s="588">
        <f>'data entry '!K156</f>
        <v>35.622400803160538</v>
      </c>
      <c r="L13" s="588">
        <f>'data entry '!L156</f>
        <v>-36.005019123625388</v>
      </c>
      <c r="M13" s="588">
        <f>'data entry '!M156</f>
        <v>-41.868796371298302</v>
      </c>
      <c r="N13" s="588">
        <f>'data entry '!N156</f>
        <v>-481.46658682733789</v>
      </c>
      <c r="O13" s="574"/>
      <c r="P13" s="588">
        <f t="shared" si="1"/>
        <v>-32.438597604347208</v>
      </c>
      <c r="Q13" s="588">
        <f>SUM(Q10:Q12)</f>
        <v>-395.05672636943683</v>
      </c>
      <c r="R13" s="588">
        <f t="shared" ref="R13:T13" si="4">SUM(R10:R12)</f>
        <v>99.415999999999997</v>
      </c>
      <c r="S13" s="588">
        <f t="shared" si="4"/>
        <v>166.65777731031869</v>
      </c>
      <c r="T13" s="588">
        <f t="shared" si="4"/>
        <v>0</v>
      </c>
      <c r="U13" s="574"/>
      <c r="V13" s="588">
        <f t="shared" si="2"/>
        <v>-449.0279892229907</v>
      </c>
      <c r="W13" s="588">
        <f>SUM(W10:W12)</f>
        <v>-696.61208902690657</v>
      </c>
      <c r="X13" s="588">
        <f t="shared" ref="X13:Z13" si="5">SUM(X10:X12)</f>
        <v>153.54392096652884</v>
      </c>
      <c r="Y13" s="588">
        <f t="shared" si="5"/>
        <v>90.656217134217954</v>
      </c>
      <c r="Z13" s="588">
        <f t="shared" si="5"/>
        <v>0</v>
      </c>
      <c r="AA13" s="8">
        <f t="shared" si="3"/>
        <v>3.3839617031690636</v>
      </c>
    </row>
    <row r="14" spans="1:28" ht="28.8" x14ac:dyDescent="0.3">
      <c r="A14" s="383" t="s">
        <v>80</v>
      </c>
      <c r="B14" s="586">
        <f>'data entry '!B157</f>
        <v>41.768166511777196</v>
      </c>
      <c r="C14" s="586">
        <f>'data entry '!C157</f>
        <v>2.8140731883988792</v>
      </c>
      <c r="D14" s="586">
        <f>'data entry '!D157</f>
        <v>-22.465181005166755</v>
      </c>
      <c r="E14" s="586">
        <f>'data entry '!E157</f>
        <v>7.2207334379732515</v>
      </c>
      <c r="F14" s="586">
        <f>'data entry '!F157</f>
        <v>19.295627984795317</v>
      </c>
      <c r="G14" s="586">
        <f>'data entry '!G157</f>
        <v>11.922061915291721</v>
      </c>
      <c r="H14" s="586">
        <f>'data entry '!H157</f>
        <v>4.1229505653006413</v>
      </c>
      <c r="I14" s="586">
        <f>'data entry '!I157</f>
        <v>1.5619264635669197</v>
      </c>
      <c r="J14" s="586">
        <f>'data entry '!J157</f>
        <v>-0.92605481658088706</v>
      </c>
      <c r="K14" s="586">
        <f>'data entry '!K157</f>
        <v>-0.95804215059942521</v>
      </c>
      <c r="L14" s="586">
        <f>'data entry '!L157</f>
        <v>-0.61219835758132035</v>
      </c>
      <c r="M14" s="586">
        <f>'data entry '!M157</f>
        <v>1.3566065827500893</v>
      </c>
      <c r="N14" s="587">
        <f>'data entry '!N157</f>
        <v>65.100670319925626</v>
      </c>
      <c r="O14" s="574"/>
      <c r="P14" s="587">
        <f t="shared" si="1"/>
        <v>48.633420117777888</v>
      </c>
      <c r="Q14" s="586">
        <f>SUM('YTD Report(HQD)_variance '!J11,'YTD Report(HQD)_variance '!K11,'YTD Report(HQD)_variance '!L11)</f>
        <v>-37.836337685982677</v>
      </c>
      <c r="R14" s="586">
        <f>SUM('YTD Report(HQD)_variance '!M11)</f>
        <v>52.8699239917309</v>
      </c>
      <c r="S14" s="586">
        <f>'YTD Report(HQD)_variance '!N11</f>
        <v>45.52307444279414</v>
      </c>
      <c r="T14" s="586"/>
      <c r="U14" s="574"/>
      <c r="V14" s="587">
        <f t="shared" si="2"/>
        <v>16.467250202147738</v>
      </c>
      <c r="W14" s="1156">
        <f>SUM('IND '!I58:O58,'IND '!I61:O61,'IND '!I59:O59)/1000</f>
        <v>-29.456595108439814</v>
      </c>
      <c r="X14" s="1156">
        <f>SUM('IND '!I60:O60)/1000</f>
        <v>-12.402317894143737</v>
      </c>
      <c r="Y14" s="1156">
        <f>SUM('FX IMPACT'!G9:M9)</f>
        <v>46.329600569527145</v>
      </c>
      <c r="Z14" s="1156"/>
      <c r="AA14" s="8">
        <f t="shared" si="3"/>
        <v>11.996562635204143</v>
      </c>
      <c r="AB14" s="1133" t="s">
        <v>1012</v>
      </c>
    </row>
    <row r="15" spans="1:28" x14ac:dyDescent="0.3">
      <c r="A15" s="383" t="s">
        <v>81</v>
      </c>
      <c r="B15" s="586">
        <f>'data entry '!B158</f>
        <v>8.5898946241478029</v>
      </c>
      <c r="C15" s="586">
        <f>'data entry '!C158</f>
        <v>-1.9189555897595199</v>
      </c>
      <c r="D15" s="586">
        <f>'data entry '!D158</f>
        <v>1.7958045431961978</v>
      </c>
      <c r="E15" s="586">
        <f>'data entry '!E158</f>
        <v>-18.064406472686457</v>
      </c>
      <c r="F15" s="586">
        <f>'data entry '!F158</f>
        <v>-3.1869398651679148</v>
      </c>
      <c r="G15" s="586">
        <f>'data entry '!G158</f>
        <v>3.9733650974213788</v>
      </c>
      <c r="H15" s="586">
        <f>'data entry '!H158</f>
        <v>0.83072542016849127</v>
      </c>
      <c r="I15" s="586">
        <f>'data entry '!I158</f>
        <v>0.34088166854104429</v>
      </c>
      <c r="J15" s="586">
        <f>'data entry '!J158</f>
        <v>2.1346999380646423</v>
      </c>
      <c r="K15" s="586">
        <f>'data entry '!K158</f>
        <v>2.0871447050493259</v>
      </c>
      <c r="L15" s="586">
        <f>'data entry '!L158</f>
        <v>2.1587712065480957</v>
      </c>
      <c r="M15" s="586">
        <f>'data entry '!M158</f>
        <v>2.2532616546911441</v>
      </c>
      <c r="N15" s="587">
        <f>'data entry '!N158</f>
        <v>0.99424693021423138</v>
      </c>
      <c r="O15" s="574"/>
      <c r="P15" s="587">
        <f t="shared" si="1"/>
        <v>-12.784602760269891</v>
      </c>
      <c r="Q15" s="586">
        <f>SUM('YTD Report(HQD)_variance '!J12,'YTD Report(HQD)_variance '!K12,'YTD Report(HQD)_variance '!L12)</f>
        <v>-25.976928715181021</v>
      </c>
      <c r="R15" s="586">
        <f>SUM('YTD Report(HQD)_variance '!M12)</f>
        <v>3.3304957330802529</v>
      </c>
      <c r="S15" s="586">
        <f>'YTD Report(HQD)_variance '!N12</f>
        <v>13.842376281020904</v>
      </c>
      <c r="T15" s="586"/>
      <c r="U15" s="574"/>
      <c r="V15" s="587">
        <f t="shared" si="2"/>
        <v>13.778849690484122</v>
      </c>
      <c r="W15" s="1156">
        <f>SUM('FL '!X76:AD76,'FL '!X77:AD77,'FL '!X79:AD79)/1000</f>
        <v>-28.48502673749681</v>
      </c>
      <c r="X15" s="1156">
        <f>SUM('FL '!X78:AD78)/1000</f>
        <v>18.989557039554196</v>
      </c>
      <c r="Y15" s="1156">
        <f>SUM('FX IMPACT'!G10:M10)</f>
        <v>20.22658315219401</v>
      </c>
      <c r="Z15" s="1156"/>
      <c r="AA15" s="8">
        <f t="shared" si="3"/>
        <v>3.0477362362327263</v>
      </c>
      <c r="AB15" t="s">
        <v>1013</v>
      </c>
    </row>
    <row r="16" spans="1:28" x14ac:dyDescent="0.3">
      <c r="A16" s="383" t="s">
        <v>82</v>
      </c>
      <c r="B16" s="586">
        <f>'data entry '!B159</f>
        <v>-18.928770547539955</v>
      </c>
      <c r="C16" s="586">
        <f>'data entry '!C159</f>
        <v>67.511113790441613</v>
      </c>
      <c r="D16" s="586">
        <f>'data entry '!D159</f>
        <v>-46.719596456877753</v>
      </c>
      <c r="E16" s="586">
        <f>'data entry '!E159</f>
        <v>-90.961276793068478</v>
      </c>
      <c r="F16" s="586">
        <f>'data entry '!F159</f>
        <v>11.489655672169846</v>
      </c>
      <c r="G16" s="586">
        <f>'data entry '!G159</f>
        <v>-77.02787537821645</v>
      </c>
      <c r="H16" s="586">
        <f>'data entry '!H159</f>
        <v>5.6962290565597016</v>
      </c>
      <c r="I16" s="586">
        <f>'data entry '!I159</f>
        <v>11.683442360661246</v>
      </c>
      <c r="J16" s="586">
        <f>'data entry '!J159</f>
        <v>35.834369973517425</v>
      </c>
      <c r="K16" s="586">
        <f>'data entry '!K159</f>
        <v>-8.7406071604002875</v>
      </c>
      <c r="L16" s="586">
        <f>'data entry '!L159</f>
        <v>-2.672540407646693</v>
      </c>
      <c r="M16" s="586">
        <f>'data entry '!M159</f>
        <v>-9.6112944584297679</v>
      </c>
      <c r="N16" s="587">
        <f>'data entry '!N159</f>
        <v>-122.44715034882955</v>
      </c>
      <c r="O16" s="574"/>
      <c r="P16" s="587">
        <f t="shared" si="1"/>
        <v>-77.608874334874727</v>
      </c>
      <c r="Q16" s="586">
        <f>SUM('YTD Report(HQD)_variance '!J13,'YTD Report(HQD)_variance '!K13,'YTD Report(HQD)_variance '!L13)</f>
        <v>-190.91383023707203</v>
      </c>
      <c r="R16" s="586">
        <f>SUM('YTD Report(HQD)_variance '!M13)</f>
        <v>21.588000000000001</v>
      </c>
      <c r="S16" s="586">
        <f>'YTD Report(HQD)_variance '!N13</f>
        <v>14.682347025965791</v>
      </c>
      <c r="T16" s="586"/>
      <c r="U16" s="574"/>
      <c r="V16" s="587">
        <f t="shared" si="2"/>
        <v>-44.838276013954825</v>
      </c>
      <c r="W16" s="1156">
        <v>3.6303113088381735</v>
      </c>
      <c r="X16" s="1156"/>
      <c r="Y16" s="1156">
        <f>SUM('FX IMPACT'!G11:M11)</f>
        <v>32.760331486756911</v>
      </c>
      <c r="Z16" s="1156"/>
      <c r="AA16" s="8">
        <f t="shared" si="3"/>
        <v>-81.22891880954991</v>
      </c>
    </row>
    <row r="17" spans="1:28" x14ac:dyDescent="0.3">
      <c r="A17" s="383" t="s">
        <v>83</v>
      </c>
      <c r="B17" s="586">
        <f>'data entry '!B160</f>
        <v>-0.71595999999999993</v>
      </c>
      <c r="C17" s="586">
        <f>'data entry '!C160</f>
        <v>-1.9222900000000003</v>
      </c>
      <c r="D17" s="586">
        <f>'data entry '!D160</f>
        <v>-2.4577300000000002</v>
      </c>
      <c r="E17" s="586">
        <f>'data entry '!E160</f>
        <v>-1.1946699999999999</v>
      </c>
      <c r="F17" s="586">
        <f>'data entry '!F160</f>
        <v>-5.4603799999999998</v>
      </c>
      <c r="G17" s="586">
        <f>'data entry '!G160</f>
        <v>-3.9924200000000001</v>
      </c>
      <c r="H17" s="586">
        <f>'data entry '!H160</f>
        <v>0.16298535735997977</v>
      </c>
      <c r="I17" s="586">
        <f>'data entry '!I160</f>
        <v>1.0557236146813311</v>
      </c>
      <c r="J17" s="586">
        <f>'data entry '!J160</f>
        <v>-2.1475313146503083E-2</v>
      </c>
      <c r="K17" s="586">
        <f>'data entry '!K160</f>
        <v>0.36386793392316275</v>
      </c>
      <c r="L17" s="586">
        <f>'data entry '!L160</f>
        <v>-0.35740225461775577</v>
      </c>
      <c r="M17" s="586">
        <f>'data entry '!M160</f>
        <v>0.42545646394671444</v>
      </c>
      <c r="N17" s="587">
        <f>'data entry '!N160</f>
        <v>-14.114294197853072</v>
      </c>
      <c r="O17" s="574"/>
      <c r="P17" s="587">
        <f t="shared" si="1"/>
        <v>-11.75103</v>
      </c>
      <c r="Q17" s="586">
        <f>SUM('YTD Report(HQD)_variance '!J14,'YTD Report(HQD)_variance '!K14,'YTD Report(HQD)_variance '!L14)</f>
        <v>-9.6176110748154109</v>
      </c>
      <c r="R17" s="586">
        <f>SUM('YTD Report(HQD)_variance '!M14)</f>
        <v>-6.0041182628000067</v>
      </c>
      <c r="S17" s="586">
        <f>'YTD Report(HQD)_variance '!N14</f>
        <v>-0.12288948740574496</v>
      </c>
      <c r="T17" s="586"/>
      <c r="U17" s="574"/>
      <c r="V17" s="587">
        <f t="shared" si="2"/>
        <v>-2.3632641978530717</v>
      </c>
      <c r="W17" s="1156">
        <v>1.1940612372578139</v>
      </c>
      <c r="X17" s="1156"/>
      <c r="Y17" s="1156">
        <f>SUM('FX IMPACT'!G12:M12)</f>
        <v>0.95193491916396011</v>
      </c>
      <c r="Z17" s="1156"/>
      <c r="AA17" s="8">
        <f t="shared" si="3"/>
        <v>-4.5092603542748453</v>
      </c>
    </row>
    <row r="18" spans="1:28" x14ac:dyDescent="0.3">
      <c r="A18" s="383" t="s">
        <v>84</v>
      </c>
      <c r="B18" s="586">
        <f>'data entry '!B161</f>
        <v>3.4758806587722972</v>
      </c>
      <c r="C18" s="586">
        <f>'data entry '!C161</f>
        <v>-7.5784653888396747</v>
      </c>
      <c r="D18" s="586">
        <f>'data entry '!D161</f>
        <v>-8.3359835219231684</v>
      </c>
      <c r="E18" s="586">
        <f>'data entry '!E161</f>
        <v>-45.916888494505592</v>
      </c>
      <c r="F18" s="586">
        <f>'data entry '!F161</f>
        <v>-5.3256902901532897</v>
      </c>
      <c r="G18" s="586">
        <f>'data entry '!G161</f>
        <v>6.605960797878538</v>
      </c>
      <c r="H18" s="586">
        <f>'data entry '!H161</f>
        <v>-2.7993260468890782</v>
      </c>
      <c r="I18" s="586">
        <f>'data entry '!I161</f>
        <v>-2.7652044115963719</v>
      </c>
      <c r="J18" s="586">
        <f>'data entry '!J161</f>
        <v>-2.731353582932897</v>
      </c>
      <c r="K18" s="586">
        <f>'data entry '!K161</f>
        <v>5.1724215401152094</v>
      </c>
      <c r="L18" s="586">
        <f>'data entry '!L161</f>
        <v>5.2439450025701859</v>
      </c>
      <c r="M18" s="586">
        <f>'data entry '!M161</f>
        <v>5.3142383317642867</v>
      </c>
      <c r="N18" s="587">
        <f>'data entry '!N161</f>
        <v>-49.640465405739548</v>
      </c>
      <c r="O18" s="574"/>
      <c r="P18" s="587">
        <f t="shared" si="1"/>
        <v>-63.681147036649428</v>
      </c>
      <c r="Q18" s="586">
        <f>SUM('YTD Report(HQD)_variance '!J15,'YTD Report(HQD)_variance '!K15,'YTD Report(HQD)_variance '!L15)</f>
        <v>-59.658552001852769</v>
      </c>
      <c r="R18" s="586">
        <f>SUM('YTD Report(HQD)_variance '!M15)</f>
        <v>0</v>
      </c>
      <c r="S18" s="586">
        <f>'YTD Report(HQD)_variance '!N15</f>
        <v>2.5780303412581191</v>
      </c>
      <c r="T18" s="586"/>
      <c r="U18" s="574"/>
      <c r="V18" s="587">
        <f t="shared" si="2"/>
        <v>14.04068163090988</v>
      </c>
      <c r="W18" s="1156">
        <v>3.3966805344225151</v>
      </c>
      <c r="X18" s="1156"/>
      <c r="Y18" s="1156">
        <f>SUM('FX IMPACT'!G13:M13)</f>
        <v>8.5993417368858545</v>
      </c>
      <c r="Z18" s="1156"/>
      <c r="AA18" s="8">
        <f t="shared" si="3"/>
        <v>2.0446593596015106</v>
      </c>
    </row>
    <row r="19" spans="1:28" x14ac:dyDescent="0.3">
      <c r="A19" s="383" t="s">
        <v>86</v>
      </c>
      <c r="B19" s="586">
        <f>'data entry '!B162</f>
        <v>9.5564881465310805</v>
      </c>
      <c r="C19" s="586">
        <f>'data entry '!C162</f>
        <v>8.4431558840506682</v>
      </c>
      <c r="D19" s="586">
        <f>'data entry '!D162</f>
        <v>10.670501336242751</v>
      </c>
      <c r="E19" s="586">
        <f>'data entry '!E162</f>
        <v>-162.19022143443954</v>
      </c>
      <c r="F19" s="586">
        <f>'data entry '!F162</f>
        <v>-32.621235913029636</v>
      </c>
      <c r="G19" s="586">
        <f>'data entry '!G162</f>
        <v>-20.831009947958194</v>
      </c>
      <c r="H19" s="586">
        <f>'data entry '!H162</f>
        <v>-28.834385435619481</v>
      </c>
      <c r="I19" s="586">
        <f>'data entry '!I162</f>
        <v>-26.594986438688863</v>
      </c>
      <c r="J19" s="586">
        <f>'data entry '!J162</f>
        <v>-26.90068781446854</v>
      </c>
      <c r="K19" s="586">
        <f>'data entry '!K162</f>
        <v>-24.196744165053246</v>
      </c>
      <c r="L19" s="586">
        <f>'data entry '!L162</f>
        <v>-19.838939682684497</v>
      </c>
      <c r="M19" s="586">
        <f>'data entry '!M162</f>
        <v>-28.583885840497885</v>
      </c>
      <c r="N19" s="587">
        <f>'data entry '!N162</f>
        <v>-341.92195130561538</v>
      </c>
      <c r="O19" s="574"/>
      <c r="P19" s="587">
        <f t="shared" si="1"/>
        <v>-166.14131198064467</v>
      </c>
      <c r="Q19" s="586">
        <f>SUM('YTD Report(HQD)_variance '!J16,'YTD Report(HQD)_variance '!K16,'YTD Report(HQD)_variance '!L16)</f>
        <v>-215.64246729542737</v>
      </c>
      <c r="R19" s="586">
        <f>SUM('YTD Report(HQD)_variance '!M16)</f>
        <v>0</v>
      </c>
      <c r="S19" s="586">
        <f>'YTD Report(HQD)_variance '!N16</f>
        <v>28.67</v>
      </c>
      <c r="T19" s="586"/>
      <c r="U19" s="574"/>
      <c r="V19" s="619">
        <f t="shared" si="2"/>
        <v>-175.78063932497071</v>
      </c>
      <c r="W19" s="1156">
        <v>-167.82206706898273</v>
      </c>
      <c r="X19" s="1156"/>
      <c r="Y19" s="1156"/>
      <c r="Z19" s="1156"/>
      <c r="AA19" s="8">
        <f t="shared" si="3"/>
        <v>-7.9585722559879741</v>
      </c>
      <c r="AB19" s="724" t="s">
        <v>1015</v>
      </c>
    </row>
    <row r="20" spans="1:28" x14ac:dyDescent="0.3">
      <c r="A20" s="4" t="s">
        <v>87</v>
      </c>
      <c r="B20" s="588">
        <f>'data entry '!B163</f>
        <v>43.745699393688426</v>
      </c>
      <c r="C20" s="588">
        <f>'data entry '!C163</f>
        <v>67.348631884291962</v>
      </c>
      <c r="D20" s="588">
        <f>'data entry '!D163</f>
        <v>-67.512185104528726</v>
      </c>
      <c r="E20" s="588">
        <f>'data entry '!E163</f>
        <v>-311.10672975672685</v>
      </c>
      <c r="F20" s="588">
        <f>'data entry '!F163</f>
        <v>-15.808962411385679</v>
      </c>
      <c r="G20" s="588">
        <f>'data entry '!G163</f>
        <v>-79.349917515583002</v>
      </c>
      <c r="H20" s="588">
        <f>'data entry '!H163</f>
        <v>-20.820821083119746</v>
      </c>
      <c r="I20" s="588">
        <f>'data entry '!I163</f>
        <v>-14.718216742834695</v>
      </c>
      <c r="J20" s="588">
        <f>'data entry '!J163</f>
        <v>7.3894983844532405</v>
      </c>
      <c r="K20" s="588">
        <f>'data entry '!K163</f>
        <v>-26.27195929696526</v>
      </c>
      <c r="L20" s="588">
        <f>'data entry '!L163</f>
        <v>-16.078364493411986</v>
      </c>
      <c r="M20" s="588">
        <f>'data entry '!M163</f>
        <v>-28.845617265775417</v>
      </c>
      <c r="N20" s="588">
        <f>'data entry '!N163</f>
        <v>-462.02894400789768</v>
      </c>
      <c r="O20" s="574"/>
      <c r="P20" s="588">
        <f t="shared" si="1"/>
        <v>-283.33354599466088</v>
      </c>
      <c r="Q20" s="588">
        <f>SUM(Q14:Q19)</f>
        <v>-539.64572701033126</v>
      </c>
      <c r="R20" s="588">
        <f t="shared" ref="R20:T20" si="6">SUM(R14:R19)</f>
        <v>71.784301462011143</v>
      </c>
      <c r="S20" s="588">
        <f t="shared" si="6"/>
        <v>105.17293860363321</v>
      </c>
      <c r="T20" s="588">
        <f t="shared" si="6"/>
        <v>0</v>
      </c>
      <c r="U20" s="574"/>
      <c r="V20" s="588">
        <f t="shared" si="2"/>
        <v>-178.6953980132368</v>
      </c>
      <c r="W20" s="588">
        <f>SUM(W14:W19)</f>
        <v>-217.54263583440087</v>
      </c>
      <c r="X20" s="588">
        <f t="shared" ref="X20:Z20" si="7">SUM(X14:X19)</f>
        <v>6.5872391454104591</v>
      </c>
      <c r="Y20" s="588">
        <f t="shared" si="7"/>
        <v>108.86779186452787</v>
      </c>
      <c r="Z20" s="588">
        <f t="shared" si="7"/>
        <v>0</v>
      </c>
      <c r="AA20" s="8">
        <f t="shared" si="3"/>
        <v>-76.607793188774252</v>
      </c>
    </row>
    <row r="21" spans="1:28" x14ac:dyDescent="0.3">
      <c r="A21" s="5" t="s">
        <v>88</v>
      </c>
      <c r="B21" s="58">
        <f>'data entry '!B164</f>
        <v>35.81408423712179</v>
      </c>
      <c r="C21" s="58">
        <f>'data entry '!C164</f>
        <v>76.766831475934794</v>
      </c>
      <c r="D21" s="58">
        <f>'data entry '!D164</f>
        <v>-16.464780595346916</v>
      </c>
      <c r="E21" s="58">
        <f>'data entry '!E164</f>
        <v>-350.53898599153052</v>
      </c>
      <c r="F21" s="58">
        <f>'data entry '!F164</f>
        <v>-61.349292725187233</v>
      </c>
      <c r="G21" s="58">
        <f>'data entry '!G164</f>
        <v>-175.90242922049478</v>
      </c>
      <c r="H21" s="58">
        <f>'data entry '!H164</f>
        <v>-105.75248406021547</v>
      </c>
      <c r="I21" s="58">
        <f>'data entry '!I164</f>
        <v>-110.48329636095015</v>
      </c>
      <c r="J21" s="58">
        <f>'data entry '!J164</f>
        <v>-122.13782184665132</v>
      </c>
      <c r="K21" s="58">
        <f>'data entry '!K164</f>
        <v>9.3504415061952777</v>
      </c>
      <c r="L21" s="58">
        <f>'data entry '!L164</f>
        <v>-52.08338361703737</v>
      </c>
      <c r="M21" s="58">
        <f>'data entry '!M164</f>
        <v>-70.714413637073719</v>
      </c>
      <c r="N21" s="58">
        <f>'data entry '!N164</f>
        <v>-943.49553083523551</v>
      </c>
      <c r="O21" s="574"/>
      <c r="P21" s="58">
        <f t="shared" si="1"/>
        <v>-315.77214359900807</v>
      </c>
      <c r="Q21" s="58">
        <f>SUM(Q13,Q20)</f>
        <v>-934.70245337976803</v>
      </c>
      <c r="R21" s="58">
        <f t="shared" ref="R21:T21" si="8">SUM(R13,R20)</f>
        <v>171.20030146201114</v>
      </c>
      <c r="S21" s="58">
        <f t="shared" si="8"/>
        <v>271.83071591395191</v>
      </c>
      <c r="T21" s="58">
        <f t="shared" si="8"/>
        <v>0</v>
      </c>
      <c r="U21" s="574"/>
      <c r="V21" s="58">
        <f t="shared" si="2"/>
        <v>-627.72338723622738</v>
      </c>
      <c r="W21" s="58">
        <f>SUM(W20,W13)</f>
        <v>-914.15472486130739</v>
      </c>
      <c r="X21" s="58">
        <f t="shared" ref="X21:Z21" si="9">SUM(X20,X13)</f>
        <v>160.13116011193929</v>
      </c>
      <c r="Y21" s="58">
        <f t="shared" si="9"/>
        <v>199.52400899874584</v>
      </c>
      <c r="Z21" s="58">
        <f t="shared" si="9"/>
        <v>0</v>
      </c>
      <c r="AA21" s="8">
        <f t="shared" si="3"/>
        <v>-73.22383148560516</v>
      </c>
    </row>
    <row r="22" spans="1:28" x14ac:dyDescent="0.3">
      <c r="A22" s="383" t="s">
        <v>89</v>
      </c>
      <c r="B22" s="586">
        <f>'data entry '!B165</f>
        <v>-3.8459299443241335</v>
      </c>
      <c r="C22" s="586">
        <f>'data entry '!C165</f>
        <v>-6.2792948459896962</v>
      </c>
      <c r="D22" s="586">
        <f>'data entry '!D165</f>
        <v>14.301274567969617</v>
      </c>
      <c r="E22" s="586">
        <f>'data entry '!E165</f>
        <v>-7.5195740440629528</v>
      </c>
      <c r="F22" s="586">
        <f>'data entry '!F165</f>
        <v>-4.1547979051478556</v>
      </c>
      <c r="G22" s="586">
        <f>'data entry '!G165</f>
        <v>-15.402817363192625</v>
      </c>
      <c r="H22" s="586">
        <f>'data entry '!H165</f>
        <v>1.4150048829463238</v>
      </c>
      <c r="I22" s="586">
        <f>'data entry '!I165</f>
        <v>1.4150005979615052</v>
      </c>
      <c r="J22" s="586">
        <f>'data entry '!J165</f>
        <v>1.4150027701675327</v>
      </c>
      <c r="K22" s="586">
        <f>'data entry '!K165</f>
        <v>1.4150044003889093</v>
      </c>
      <c r="L22" s="586">
        <f>'data entry '!L165</f>
        <v>1.4149980835466884</v>
      </c>
      <c r="M22" s="586">
        <f>'data entry '!M165</f>
        <v>1.4150027022106642</v>
      </c>
      <c r="N22" s="587">
        <f>'data entry '!N165</f>
        <v>-14.411126097526022</v>
      </c>
      <c r="O22" s="574"/>
      <c r="P22" s="587">
        <f t="shared" si="1"/>
        <v>-7.4983221715550208</v>
      </c>
      <c r="Q22" s="586">
        <f>SUM('YTD Report(HQD)_variance '!J19,'YTD Report(HQD)_variance '!K19,'YTD Report(HQD)_variance '!L19)</f>
        <v>-22.63345555192388</v>
      </c>
      <c r="R22" s="586">
        <f>SUM('YTD Report(HQD)_variance '!M19)</f>
        <v>0</v>
      </c>
      <c r="S22" s="586">
        <f>'YTD Report(HQD)_variance '!N19</f>
        <v>-0.27245919250993539</v>
      </c>
      <c r="T22" s="586"/>
      <c r="U22" s="574"/>
      <c r="V22" s="587">
        <f t="shared" si="2"/>
        <v>-6.9128039259710015</v>
      </c>
      <c r="W22" s="586">
        <v>-2.3255120438531431</v>
      </c>
      <c r="X22" s="586"/>
      <c r="Y22" s="586">
        <f>SUM('FX IMPACT'!G17:M17)</f>
        <v>3.413922468507856</v>
      </c>
      <c r="Z22" s="586"/>
      <c r="AA22" s="8">
        <f t="shared" si="3"/>
        <v>-8.0012143506257143</v>
      </c>
    </row>
    <row r="23" spans="1:28" x14ac:dyDescent="0.3">
      <c r="A23" s="5" t="s">
        <v>90</v>
      </c>
      <c r="B23" s="58">
        <f>'data entry '!B166</f>
        <v>31.968154292797657</v>
      </c>
      <c r="C23" s="58">
        <f>'data entry '!C166</f>
        <v>70.487536629945097</v>
      </c>
      <c r="D23" s="58">
        <f>'data entry '!D166</f>
        <v>-2.1635060273772986</v>
      </c>
      <c r="E23" s="58">
        <f>'data entry '!E166</f>
        <v>-358.05856003559347</v>
      </c>
      <c r="F23" s="58">
        <f>'data entry '!F166</f>
        <v>-65.504090630335085</v>
      </c>
      <c r="G23" s="58">
        <f>'data entry '!G166</f>
        <v>-191.30524658368739</v>
      </c>
      <c r="H23" s="58">
        <f>'data entry '!H166</f>
        <v>-104.33747917726915</v>
      </c>
      <c r="I23" s="58">
        <f>'data entry '!I166</f>
        <v>-109.06829576298864</v>
      </c>
      <c r="J23" s="58">
        <f>'data entry '!J166</f>
        <v>-120.72281907648379</v>
      </c>
      <c r="K23" s="58">
        <f>'data entry '!K166</f>
        <v>10.765445906584187</v>
      </c>
      <c r="L23" s="58">
        <f>'data entry '!L166</f>
        <v>-50.668385533490678</v>
      </c>
      <c r="M23" s="58">
        <f>'data entry '!M166</f>
        <v>-69.299410934863062</v>
      </c>
      <c r="N23" s="58">
        <f>'data entry '!N166</f>
        <v>-957.90665693276151</v>
      </c>
      <c r="O23" s="574"/>
      <c r="P23" s="58">
        <f t="shared" si="1"/>
        <v>-323.27046577056313</v>
      </c>
      <c r="Q23" s="58">
        <f>SUM(Q21,Q22)</f>
        <v>-957.33590893169196</v>
      </c>
      <c r="R23" s="58">
        <f t="shared" ref="R23:T23" si="10">SUM(R21,R22)</f>
        <v>171.20030146201114</v>
      </c>
      <c r="S23" s="58">
        <f t="shared" si="10"/>
        <v>271.55825672144198</v>
      </c>
      <c r="T23" s="58">
        <f t="shared" si="10"/>
        <v>0</v>
      </c>
      <c r="U23" s="574"/>
      <c r="V23" s="58">
        <f t="shared" si="2"/>
        <v>-634.63619116219843</v>
      </c>
      <c r="W23" s="58">
        <f>SUM(W21,W22)</f>
        <v>-916.4802369051605</v>
      </c>
      <c r="X23" s="58">
        <f t="shared" ref="X23:Z23" si="11">SUM(X21,X22)</f>
        <v>160.13116011193929</v>
      </c>
      <c r="Y23" s="58">
        <f t="shared" si="11"/>
        <v>202.93793146725369</v>
      </c>
      <c r="Z23" s="58">
        <f t="shared" si="11"/>
        <v>0</v>
      </c>
      <c r="AA23" s="8">
        <f t="shared" si="3"/>
        <v>-81.225045836230947</v>
      </c>
    </row>
    <row r="24" spans="1:28" x14ac:dyDescent="0.3">
      <c r="A24" s="514" t="s">
        <v>91</v>
      </c>
      <c r="B24" s="586">
        <f>'data entry '!B167</f>
        <v>-22.785653979865913</v>
      </c>
      <c r="C24" s="586">
        <f>'data entry '!C167</f>
        <v>-20.524111717384415</v>
      </c>
      <c r="D24" s="586">
        <f>'data entry '!D167</f>
        <v>-27.34751383624473</v>
      </c>
      <c r="E24" s="586">
        <f>'data entry '!E167</f>
        <v>-376.14383106556062</v>
      </c>
      <c r="F24" s="586">
        <f>'data entry '!F167</f>
        <v>-114.29902658697154</v>
      </c>
      <c r="G24" s="586">
        <f>'data entry '!G167</f>
        <v>-114.94557088537664</v>
      </c>
      <c r="H24" s="586">
        <f>'data entry '!H167</f>
        <v>-113.45359637899384</v>
      </c>
      <c r="I24" s="586">
        <f>'data entry '!I167</f>
        <v>-112.74535271473707</v>
      </c>
      <c r="J24" s="586">
        <f>'data entry '!J167</f>
        <v>-108.88673257594417</v>
      </c>
      <c r="K24" s="586">
        <f>'data entry '!K167</f>
        <v>-112.34593165503992</v>
      </c>
      <c r="L24" s="586">
        <f>'data entry '!L167</f>
        <v>-109.80119404106068</v>
      </c>
      <c r="M24" s="586">
        <f>'data entry '!M167</f>
        <v>-112.86318255808857</v>
      </c>
      <c r="N24" s="587">
        <f>'data entry '!N167</f>
        <v>-1346.1416979952678</v>
      </c>
      <c r="O24" s="574"/>
      <c r="P24" s="619">
        <f t="shared" si="1"/>
        <v>-561.10013718602727</v>
      </c>
      <c r="Q24" s="586">
        <f>SUM('YTD Report(HQD)_variance '!J22,'YTD Report(HQD)_variance '!K22,'YTD Report(HQD)_variance '!L22)</f>
        <v>-114.94557088537664</v>
      </c>
      <c r="R24" s="586">
        <f>SUM('YTD Report(HQD)_variance '!K22,'YTD Report(HQD)_variance '!L22,'YTD Report(HQD)_variance '!M22)</f>
        <v>-114.94557088537664</v>
      </c>
      <c r="S24" s="586">
        <f>SUM('YTD Report(HQD)_variance '!L22,'YTD Report(HQD)_variance '!M22,'YTD Report(HQD)_variance '!N22)</f>
        <v>-561.10285765253218</v>
      </c>
      <c r="T24" s="618"/>
      <c r="U24" s="574"/>
      <c r="V24" s="619">
        <f t="shared" si="2"/>
        <v>-785.04156080924054</v>
      </c>
      <c r="W24" s="586">
        <v>-781.66465080924058</v>
      </c>
      <c r="X24" s="586"/>
      <c r="Y24" s="586"/>
      <c r="Z24" s="618"/>
      <c r="AA24" s="8">
        <f t="shared" si="3"/>
        <v>-3.3769099999999526</v>
      </c>
      <c r="AB24" s="724" t="s">
        <v>1015</v>
      </c>
    </row>
    <row r="25" spans="1:28" x14ac:dyDescent="0.3">
      <c r="A25" s="517" t="s">
        <v>92</v>
      </c>
      <c r="B25" s="617">
        <f>SUM(B21,B22,B24)</f>
        <v>9.1825003129317437</v>
      </c>
      <c r="C25" s="617">
        <f t="shared" ref="C25:N25" si="12">SUM(C21,C22,C24)</f>
        <v>49.963424912560683</v>
      </c>
      <c r="D25" s="617">
        <f t="shared" si="12"/>
        <v>-29.511019863622028</v>
      </c>
      <c r="E25" s="617">
        <f t="shared" si="12"/>
        <v>-734.20239110115403</v>
      </c>
      <c r="F25" s="617">
        <f t="shared" si="12"/>
        <v>-179.80311721730664</v>
      </c>
      <c r="G25" s="617">
        <f t="shared" si="12"/>
        <v>-306.25081746906403</v>
      </c>
      <c r="H25" s="617">
        <f t="shared" si="12"/>
        <v>-217.79107555626297</v>
      </c>
      <c r="I25" s="617">
        <f t="shared" si="12"/>
        <v>-221.81364847772571</v>
      </c>
      <c r="J25" s="617">
        <f t="shared" si="12"/>
        <v>-229.60955165242797</v>
      </c>
      <c r="K25" s="617">
        <f t="shared" si="12"/>
        <v>-101.58048574845573</v>
      </c>
      <c r="L25" s="617">
        <f t="shared" si="12"/>
        <v>-160.46957957455135</v>
      </c>
      <c r="M25" s="617">
        <f t="shared" si="12"/>
        <v>-182.16259349295163</v>
      </c>
      <c r="N25" s="617">
        <f t="shared" si="12"/>
        <v>-2304.0483549280293</v>
      </c>
      <c r="O25" s="574"/>
      <c r="P25" s="58">
        <f t="shared" si="1"/>
        <v>-884.37060295659023</v>
      </c>
      <c r="Q25" s="617">
        <f>SUM(Q23,Q24)</f>
        <v>-1072.2814798170687</v>
      </c>
      <c r="R25" s="617">
        <f t="shared" ref="R25:T25" si="13">SUM(R23,R24)</f>
        <v>56.2547305766345</v>
      </c>
      <c r="S25" s="617">
        <f t="shared" si="13"/>
        <v>-289.5446009310902</v>
      </c>
      <c r="T25" s="617">
        <f t="shared" si="13"/>
        <v>0</v>
      </c>
      <c r="U25" s="574"/>
      <c r="V25" s="617">
        <f t="shared" si="2"/>
        <v>-1419.6777519714392</v>
      </c>
      <c r="W25" s="617">
        <f>SUM(W23,W24)</f>
        <v>-1698.1448877144012</v>
      </c>
      <c r="X25" s="617">
        <f t="shared" ref="X25:Z25" si="14">SUM(X23,X24)</f>
        <v>160.13116011193929</v>
      </c>
      <c r="Y25" s="617">
        <f t="shared" si="14"/>
        <v>202.93793146725369</v>
      </c>
      <c r="Z25" s="617">
        <f t="shared" si="14"/>
        <v>0</v>
      </c>
      <c r="AA25" s="8">
        <f t="shared" si="3"/>
        <v>-84.601955836231127</v>
      </c>
    </row>
    <row r="26" spans="1:28" x14ac:dyDescent="0.3">
      <c r="A26" s="51"/>
      <c r="B26" s="277"/>
      <c r="C26" s="277"/>
      <c r="D26" s="277"/>
      <c r="E26" s="277"/>
      <c r="F26" s="277"/>
      <c r="G26" s="277"/>
      <c r="H26" s="277"/>
      <c r="I26" s="277"/>
      <c r="J26" s="277"/>
      <c r="K26" s="277"/>
      <c r="L26" s="277"/>
      <c r="M26" s="277"/>
      <c r="N26" s="589"/>
      <c r="O26" s="574"/>
      <c r="P26" s="589"/>
      <c r="Q26" s="277"/>
      <c r="R26" s="277"/>
      <c r="S26" s="277"/>
      <c r="T26" s="277"/>
      <c r="U26" s="574"/>
      <c r="V26" s="589"/>
      <c r="W26" s="277"/>
      <c r="X26" s="277"/>
      <c r="Y26" s="277"/>
      <c r="Z26" s="277"/>
      <c r="AA26" s="8">
        <f t="shared" si="3"/>
        <v>0</v>
      </c>
    </row>
    <row r="27" spans="1:28" x14ac:dyDescent="0.3">
      <c r="A27" s="382" t="s">
        <v>76</v>
      </c>
      <c r="B27" s="584">
        <f>'data entry '!B169</f>
        <v>-6.3536255958525238</v>
      </c>
      <c r="C27" s="584">
        <f>'data entry '!C169</f>
        <v>-7.9341942485383399</v>
      </c>
      <c r="D27" s="584">
        <f>'data entry '!D169</f>
        <v>-3.8911485486383572</v>
      </c>
      <c r="E27" s="584">
        <f>'data entry '!E169</f>
        <v>35.691837563011887</v>
      </c>
      <c r="F27" s="584">
        <f>'data entry '!F169</f>
        <v>3.3411161665007683</v>
      </c>
      <c r="G27" s="584">
        <f>'data entry '!G169</f>
        <v>8.1932446467306335</v>
      </c>
      <c r="H27" s="584">
        <f>'data entry '!H169</f>
        <v>1.6315781796275104</v>
      </c>
      <c r="I27" s="584">
        <f>'data entry '!I169</f>
        <v>2.0510594594870524</v>
      </c>
      <c r="J27" s="584">
        <f>'data entry '!J169</f>
        <v>2.6270537803357463</v>
      </c>
      <c r="K27" s="584">
        <f>'data entry '!K169</f>
        <v>3.10400423266596</v>
      </c>
      <c r="L27" s="584">
        <f>'data entry '!L169</f>
        <v>2.1121476641540085</v>
      </c>
      <c r="M27" s="584">
        <f>'data entry '!M169</f>
        <v>2.2320453143124546</v>
      </c>
      <c r="N27" s="584">
        <f>'data entry '!N169</f>
        <v>42.805118613796793</v>
      </c>
      <c r="O27" s="574"/>
      <c r="P27" s="585">
        <f t="shared" si="1"/>
        <v>20.853985336483433</v>
      </c>
      <c r="Q27" s="584">
        <f>SUM('YTD Report(HQD)_variance '!J25,'YTD Report(HQD)_variance '!K25,'YTD Report(HQD)_variance '!L25)</f>
        <v>28.149040763199078</v>
      </c>
      <c r="R27" s="584">
        <f>SUM('YTD Report(HQD)_variance '!M25)</f>
        <v>-0.38538181333042809</v>
      </c>
      <c r="S27" s="584">
        <f>'YTD Report(HQD)_variance '!N25</f>
        <v>1.2881461230230022</v>
      </c>
      <c r="T27" s="584"/>
      <c r="U27" s="574"/>
      <c r="V27" s="585">
        <f t="shared" ref="V27:V32" si="15">N27-P27</f>
        <v>21.95113327731336</v>
      </c>
      <c r="W27" s="584">
        <v>15.800068346005361</v>
      </c>
      <c r="X27" s="584"/>
      <c r="Y27" s="584"/>
      <c r="Z27" s="584"/>
      <c r="AA27" s="8">
        <f t="shared" si="3"/>
        <v>6.1510649313079995</v>
      </c>
    </row>
    <row r="28" spans="1:28" x14ac:dyDescent="0.3">
      <c r="A28" s="383" t="s">
        <v>77</v>
      </c>
      <c r="B28" s="586">
        <f>'data entry '!B170</f>
        <v>-7.1277019298245534</v>
      </c>
      <c r="C28" s="586">
        <f>'data entry '!C170</f>
        <v>-12.295643333333317</v>
      </c>
      <c r="D28" s="586">
        <f>'data entry '!D170</f>
        <v>-7.3862921052631485</v>
      </c>
      <c r="E28" s="586">
        <f>'data entry '!E170</f>
        <v>-16.106707368421034</v>
      </c>
      <c r="F28" s="586">
        <f>'data entry '!F170</f>
        <v>-5.5727435087719499</v>
      </c>
      <c r="G28" s="586">
        <f>'data entry '!G170</f>
        <v>-23.908209824561396</v>
      </c>
      <c r="H28" s="586">
        <f>'data entry '!H170</f>
        <v>2.7201139929514966</v>
      </c>
      <c r="I28" s="586">
        <f>'data entry '!I170</f>
        <v>0.10005917893591487</v>
      </c>
      <c r="J28" s="586">
        <f>'data entry '!J170</f>
        <v>1.6323765442055915</v>
      </c>
      <c r="K28" s="586">
        <f>'data entry '!K170</f>
        <v>-0.80566603904731693</v>
      </c>
      <c r="L28" s="586">
        <f>'data entry '!L170</f>
        <v>1.7154079427662978</v>
      </c>
      <c r="M28" s="586">
        <f>'data entry '!M170</f>
        <v>0.78197965109250589</v>
      </c>
      <c r="N28" s="587">
        <f>'data entry '!N170</f>
        <v>-66.253026799270913</v>
      </c>
      <c r="O28" s="574"/>
      <c r="P28" s="587">
        <f t="shared" si="1"/>
        <v>-48.489088245613999</v>
      </c>
      <c r="Q28" s="586">
        <f>SUM('YTD Report(HQD)_variance '!J26,'YTD Report(HQD)_variance '!K26,'YTD Report(HQD)_variance '!L26)</f>
        <v>2.0630140639940038</v>
      </c>
      <c r="R28" s="586">
        <f>SUM('YTD Report(HQD)_variance '!M26)</f>
        <v>-63.259</v>
      </c>
      <c r="S28" s="586">
        <f>'YTD Report(HQD)_variance '!N26</f>
        <v>-11.211674765748379</v>
      </c>
      <c r="T28" s="586"/>
      <c r="U28" s="574"/>
      <c r="V28" s="587">
        <f t="shared" si="15"/>
        <v>-17.763938553656914</v>
      </c>
      <c r="W28" s="586">
        <v>17.245909899631364</v>
      </c>
      <c r="X28" s="586"/>
      <c r="Y28" s="586">
        <f>SUM('FX IMPACT'!G23:M23)</f>
        <v>-9.937710221617543</v>
      </c>
      <c r="Z28" s="586"/>
      <c r="AA28" s="8">
        <f t="shared" si="3"/>
        <v>-25.072138231670735</v>
      </c>
    </row>
    <row r="29" spans="1:28" x14ac:dyDescent="0.3">
      <c r="A29" s="383" t="s">
        <v>144</v>
      </c>
      <c r="B29" s="586">
        <f>'data entry '!B171</f>
        <v>-2.7324800000000007</v>
      </c>
      <c r="C29" s="586">
        <f>'data entry '!C171</f>
        <v>-0.15481999999999996</v>
      </c>
      <c r="D29" s="586">
        <f>'data entry '!D171</f>
        <v>-0.55567000000000011</v>
      </c>
      <c r="E29" s="586">
        <f>'data entry '!E171</f>
        <v>65.577179999999998</v>
      </c>
      <c r="F29" s="586">
        <f>'data entry '!F171</f>
        <v>10.062050000000001</v>
      </c>
      <c r="G29" s="586">
        <f>'data entry '!G171</f>
        <v>-8.9144199999999998</v>
      </c>
      <c r="H29" s="586">
        <f>'data entry '!H171</f>
        <v>0</v>
      </c>
      <c r="I29" s="586">
        <f>'data entry '!I171</f>
        <v>0</v>
      </c>
      <c r="J29" s="586">
        <f>'data entry '!J171</f>
        <v>0</v>
      </c>
      <c r="K29" s="586">
        <f>'data entry '!K171</f>
        <v>0</v>
      </c>
      <c r="L29" s="586">
        <f>'data entry '!L171</f>
        <v>0</v>
      </c>
      <c r="M29" s="586">
        <f>'data entry '!M171</f>
        <v>0</v>
      </c>
      <c r="N29" s="587">
        <f>'data entry '!N171</f>
        <v>63.281839999999995</v>
      </c>
      <c r="O29" s="574"/>
      <c r="P29" s="587">
        <f t="shared" si="1"/>
        <v>72.196259999999995</v>
      </c>
      <c r="Q29" s="586">
        <f>SUM('YTD Report(HQD)_variance '!J27,'YTD Report(HQD)_variance '!K27,'YTD Report(HQD)_variance '!L27)</f>
        <v>67.544579999999996</v>
      </c>
      <c r="R29" s="586">
        <f>SUM('YTD Report(HQD)_variance '!M27)</f>
        <v>-4.2597699999999996</v>
      </c>
      <c r="S29" s="586">
        <f>'YTD Report(HQD)_variance '!N27</f>
        <v>0</v>
      </c>
      <c r="T29" s="586"/>
      <c r="U29" s="574"/>
      <c r="V29" s="587">
        <f t="shared" si="15"/>
        <v>-8.9144199999999998</v>
      </c>
      <c r="W29" s="586"/>
      <c r="X29" s="586"/>
      <c r="Y29" s="586">
        <f>SUM('FX IMPACT'!G24:M24)</f>
        <v>-0.40461363989941113</v>
      </c>
      <c r="Z29" s="586"/>
      <c r="AA29" s="8">
        <f t="shared" si="3"/>
        <v>-8.5098063601005887</v>
      </c>
    </row>
    <row r="30" spans="1:28" x14ac:dyDescent="0.3">
      <c r="A30" s="383" t="s">
        <v>85</v>
      </c>
      <c r="B30" s="586">
        <f>'data entry '!B172</f>
        <v>-35.068060000000003</v>
      </c>
      <c r="C30" s="586">
        <f>'data entry '!C172</f>
        <v>-3.9061899999999996</v>
      </c>
      <c r="D30" s="586">
        <f>'data entry '!D172</f>
        <v>191.17382999999998</v>
      </c>
      <c r="E30" s="586">
        <f>'data entry '!E172</f>
        <v>-186.1679</v>
      </c>
      <c r="F30" s="586">
        <f>'data entry '!F172</f>
        <v>38.021999999999998</v>
      </c>
      <c r="G30" s="586">
        <f>'data entry '!G172</f>
        <v>-38.71528</v>
      </c>
      <c r="H30" s="586">
        <f>'data entry '!H172</f>
        <v>0.25047317560047411</v>
      </c>
      <c r="I30" s="586">
        <f>'data entry '!I172</f>
        <v>0.18499322976237664</v>
      </c>
      <c r="J30" s="586">
        <f>'data entry '!J172</f>
        <v>0.12003296603410263</v>
      </c>
      <c r="K30" s="586">
        <f>'data entry '!K172</f>
        <v>-1.9623620605304204E-2</v>
      </c>
      <c r="L30" s="586">
        <f>'data entry '!L172</f>
        <v>-0.15687825120914578</v>
      </c>
      <c r="M30" s="586">
        <f>'data entry '!M172</f>
        <v>-0.29177223706058619</v>
      </c>
      <c r="N30" s="587">
        <f>'data entry '!N172</f>
        <v>-34.574374737478109</v>
      </c>
      <c r="O30" s="574"/>
      <c r="P30" s="587">
        <f t="shared" si="1"/>
        <v>4.0536799999999644</v>
      </c>
      <c r="Q30" s="586">
        <f>SUM('YTD Report(HQD)_variance '!J28,'YTD Report(HQD)_variance '!K28,'YTD Report(HQD)_variance '!L28)</f>
        <v>-34.671180000000007</v>
      </c>
      <c r="R30" s="586">
        <f>SUM('YTD Report(HQD)_variance '!M28)</f>
        <v>0</v>
      </c>
      <c r="S30" s="586">
        <f>'YTD Report(HQD)_variance '!N28</f>
        <v>0</v>
      </c>
      <c r="T30" s="586"/>
      <c r="U30" s="574"/>
      <c r="V30" s="587">
        <f t="shared" si="15"/>
        <v>-38.628054737478074</v>
      </c>
      <c r="W30" s="586">
        <v>7.0577022235271958</v>
      </c>
      <c r="X30" s="586"/>
      <c r="Y30" s="586">
        <f>SUM('FX IMPACT'!G25:M25)</f>
        <v>0</v>
      </c>
      <c r="Z30" s="586"/>
      <c r="AA30" s="8">
        <f t="shared" si="3"/>
        <v>-45.685756961005268</v>
      </c>
    </row>
    <row r="31" spans="1:28" x14ac:dyDescent="0.3">
      <c r="A31" s="397" t="s">
        <v>145</v>
      </c>
      <c r="B31" s="590">
        <f>'data entry '!B173</f>
        <v>0</v>
      </c>
      <c r="C31" s="590">
        <f>'data entry '!C173</f>
        <v>0</v>
      </c>
      <c r="D31" s="590">
        <f>'data entry '!D173</f>
        <v>0</v>
      </c>
      <c r="E31" s="590">
        <f>'data entry '!E173</f>
        <v>0</v>
      </c>
      <c r="F31" s="590">
        <f>'data entry '!F173</f>
        <v>0</v>
      </c>
      <c r="G31" s="590">
        <f>'data entry '!G173</f>
        <v>0</v>
      </c>
      <c r="H31" s="590">
        <f>'data entry '!H173</f>
        <v>0</v>
      </c>
      <c r="I31" s="590">
        <f>'data entry '!I173</f>
        <v>0</v>
      </c>
      <c r="J31" s="590">
        <f>'data entry '!J173</f>
        <v>0</v>
      </c>
      <c r="K31" s="590">
        <f>'data entry '!K173</f>
        <v>0</v>
      </c>
      <c r="L31" s="590">
        <f>'data entry '!L173</f>
        <v>0</v>
      </c>
      <c r="M31" s="590">
        <f>'data entry '!M173</f>
        <v>0</v>
      </c>
      <c r="N31" s="591">
        <f>'data entry '!N173</f>
        <v>0</v>
      </c>
      <c r="O31" s="574"/>
      <c r="P31" s="591">
        <f t="shared" si="1"/>
        <v>0</v>
      </c>
      <c r="Q31" s="590">
        <f>SUM('YTD Report(HQD)_variance '!J29,'YTD Report(HQD)_variance '!K29,'YTD Report(HQD)_variance '!L29)</f>
        <v>0</v>
      </c>
      <c r="R31" s="590">
        <f>SUM('YTD Report(HQD)_variance '!M29)</f>
        <v>0</v>
      </c>
      <c r="S31" s="590">
        <f>'YTD Report(HQD)_variance '!N29</f>
        <v>0</v>
      </c>
      <c r="T31" s="590"/>
      <c r="U31" s="574"/>
      <c r="V31" s="591">
        <f t="shared" si="15"/>
        <v>0</v>
      </c>
      <c r="W31" s="590"/>
      <c r="X31" s="590"/>
      <c r="Y31" s="586">
        <f>SUM('FX IMPACT'!G26:M26)</f>
        <v>0</v>
      </c>
      <c r="Z31" s="590"/>
      <c r="AA31" s="8">
        <f t="shared" si="3"/>
        <v>0</v>
      </c>
    </row>
    <row r="32" spans="1:28" x14ac:dyDescent="0.3">
      <c r="A32" s="274" t="s">
        <v>146</v>
      </c>
      <c r="B32" s="275">
        <f>'data entry '!B174</f>
        <v>-51.281867525677079</v>
      </c>
      <c r="C32" s="275">
        <f>'data entry '!C174</f>
        <v>-24.290847581871656</v>
      </c>
      <c r="D32" s="275">
        <f>'data entry '!D174</f>
        <v>179.34071934609847</v>
      </c>
      <c r="E32" s="275">
        <f>'data entry '!E174</f>
        <v>-101.00558980540916</v>
      </c>
      <c r="F32" s="275">
        <f>'data entry '!F174</f>
        <v>45.852422657728816</v>
      </c>
      <c r="G32" s="275">
        <f>'data entry '!G174</f>
        <v>-63.344665177830763</v>
      </c>
      <c r="H32" s="275">
        <f>'data entry '!H174</f>
        <v>4.6021653481794811</v>
      </c>
      <c r="I32" s="275">
        <f>'data entry '!I174</f>
        <v>2.3361118681853439</v>
      </c>
      <c r="J32" s="275">
        <f>'data entry '!J174</f>
        <v>4.3794632905754405</v>
      </c>
      <c r="K32" s="275">
        <f>'data entry '!K174</f>
        <v>2.2787145730133389</v>
      </c>
      <c r="L32" s="275">
        <f>'data entry '!L174</f>
        <v>3.6706773557111605</v>
      </c>
      <c r="M32" s="275">
        <f>'data entry '!M174</f>
        <v>2.7222527283443743</v>
      </c>
      <c r="N32" s="275">
        <f>'data entry '!N174</f>
        <v>5.2595570770477664</v>
      </c>
      <c r="O32" s="574"/>
      <c r="P32" s="275">
        <f t="shared" si="1"/>
        <v>48.614837090869393</v>
      </c>
      <c r="Q32" s="275">
        <f>SUM(Q27:Q31)</f>
        <v>63.085454827193075</v>
      </c>
      <c r="R32" s="275">
        <f t="shared" ref="R32:T32" si="16">SUM(R27:R31)</f>
        <v>-67.904151813330429</v>
      </c>
      <c r="S32" s="275">
        <f t="shared" si="16"/>
        <v>-9.9235286427253762</v>
      </c>
      <c r="T32" s="275">
        <f t="shared" si="16"/>
        <v>0</v>
      </c>
      <c r="U32" s="574"/>
      <c r="V32" s="275">
        <f t="shared" si="15"/>
        <v>-43.355280013821627</v>
      </c>
      <c r="W32" s="275">
        <f>SUM(W27:W31)</f>
        <v>40.103680469163919</v>
      </c>
      <c r="X32" s="275">
        <f t="shared" ref="X32:Z32" si="17">SUM(X27:X31)</f>
        <v>0</v>
      </c>
      <c r="Y32" s="275">
        <f t="shared" si="17"/>
        <v>-10.342323861516954</v>
      </c>
      <c r="Z32" s="275">
        <f t="shared" si="17"/>
        <v>0</v>
      </c>
      <c r="AA32" s="8">
        <f t="shared" si="3"/>
        <v>-73.116636621468587</v>
      </c>
    </row>
    <row r="33" spans="1:28" x14ac:dyDescent="0.3">
      <c r="A33" s="51"/>
      <c r="B33" s="277"/>
      <c r="C33" s="574"/>
      <c r="D33" s="574"/>
      <c r="E33" s="574"/>
      <c r="F33" s="574"/>
      <c r="G33" s="574"/>
      <c r="H33" s="574"/>
      <c r="I33" s="574"/>
      <c r="J33" s="574"/>
      <c r="K33" s="574"/>
      <c r="L33" s="574"/>
      <c r="M33" s="574"/>
      <c r="N33" s="579"/>
      <c r="O33" s="574"/>
      <c r="P33" s="579"/>
      <c r="Q33" s="574"/>
      <c r="R33" s="574"/>
      <c r="S33" s="574"/>
      <c r="T33" s="574"/>
      <c r="U33" s="574"/>
      <c r="V33" s="579"/>
      <c r="W33" s="574"/>
      <c r="X33" s="574"/>
      <c r="Y33" s="574"/>
      <c r="Z33" s="574"/>
      <c r="AA33" s="8">
        <f t="shared" si="3"/>
        <v>0</v>
      </c>
    </row>
    <row r="34" spans="1:28" x14ac:dyDescent="0.3">
      <c r="A34" s="2" t="s">
        <v>148</v>
      </c>
      <c r="B34" s="592">
        <f>'data entry '!B175</f>
        <v>-1.8068825000000146</v>
      </c>
      <c r="C34" s="592">
        <f>'data entry '!C175</f>
        <v>-1.2821025000000077</v>
      </c>
      <c r="D34" s="592">
        <f>'data entry '!D175</f>
        <v>-1.2821025000000077</v>
      </c>
      <c r="E34" s="592">
        <f>'data entry '!E175</f>
        <v>-1.2821025000000077</v>
      </c>
      <c r="F34" s="592">
        <f>'data entry '!F175</f>
        <v>-1.2821025000000077</v>
      </c>
      <c r="G34" s="592">
        <f>'data entry '!G175</f>
        <v>-1.2821025000000077</v>
      </c>
      <c r="H34" s="592">
        <f>'data entry '!H175</f>
        <v>-1.3199509396599751E-7</v>
      </c>
      <c r="I34" s="592">
        <f>'data entry '!I175</f>
        <v>-1.3199509396599751E-7</v>
      </c>
      <c r="J34" s="592">
        <f>'data entry '!J175</f>
        <v>-1.3199509396599751E-7</v>
      </c>
      <c r="K34" s="592">
        <f>'data entry '!K175</f>
        <v>-1.3199509396599751E-7</v>
      </c>
      <c r="L34" s="592">
        <f>'data entry '!L175</f>
        <v>-1.3199509396599751E-7</v>
      </c>
      <c r="M34" s="592">
        <f>'data entry '!M175</f>
        <v>-1.3199509396599751E-7</v>
      </c>
      <c r="N34" s="592">
        <f>'data entry '!N175</f>
        <v>-8.2173957919706169</v>
      </c>
      <c r="O34" s="574"/>
      <c r="P34" s="593">
        <f t="shared" si="1"/>
        <v>-6.9352925000000454</v>
      </c>
      <c r="Q34" s="592">
        <f>SUM('YTD Report(HQD)_variance '!J32,'YTD Report(HQD)_variance '!K32,'YTD Report(HQD)_variance '!L32)</f>
        <v>-3.8463075000000231</v>
      </c>
      <c r="R34" s="592">
        <f>SUM('YTD Report(HQD)_variance '!M32)</f>
        <v>0</v>
      </c>
      <c r="S34" s="592">
        <f>'YTD Report(HQD)_variance '!N32</f>
        <v>-4.37</v>
      </c>
      <c r="T34" s="592"/>
      <c r="U34" s="574"/>
      <c r="V34" s="593">
        <f t="shared" ref="V34:V36" si="18">N34-P34</f>
        <v>-1.2821032919705715</v>
      </c>
      <c r="W34" s="592"/>
      <c r="X34" s="592"/>
      <c r="Y34" s="592"/>
      <c r="Z34" s="592"/>
      <c r="AA34" s="8">
        <f t="shared" si="3"/>
        <v>-1.2821032919705715</v>
      </c>
    </row>
    <row r="35" spans="1:28" x14ac:dyDescent="0.3">
      <c r="A35" s="363" t="s">
        <v>149</v>
      </c>
      <c r="B35" s="592">
        <f>'data entry '!B176</f>
        <v>24.483647858819225</v>
      </c>
      <c r="C35" s="592">
        <f>'data entry '!C176</f>
        <v>-29.792662141180827</v>
      </c>
      <c r="D35" s="592">
        <f>'data entry '!D176</f>
        <v>-19.519552141180839</v>
      </c>
      <c r="E35" s="592">
        <f>'data entry '!E176</f>
        <v>-25.724772141180821</v>
      </c>
      <c r="F35" s="592">
        <f>'data entry '!F176</f>
        <v>73.647297858819229</v>
      </c>
      <c r="G35" s="592">
        <f>'data entry '!G176</f>
        <v>-51.374682141180841</v>
      </c>
      <c r="H35" s="592">
        <f>'data entry '!H176</f>
        <v>-8.47711379330228</v>
      </c>
      <c r="I35" s="592">
        <f>'data entry '!I176</f>
        <v>-9.1017089285008268</v>
      </c>
      <c r="J35" s="592">
        <f>'data entry '!J176</f>
        <v>-2.5090635801429499</v>
      </c>
      <c r="K35" s="592">
        <f>'data entry '!K176</f>
        <v>-8.9489650293874803</v>
      </c>
      <c r="L35" s="592">
        <f>'data entry '!L176</f>
        <v>-9.4463887698520494</v>
      </c>
      <c r="M35" s="592">
        <f>'data entry '!M176</f>
        <v>-21.571571931993375</v>
      </c>
      <c r="N35" s="593">
        <f>'data entry '!N176</f>
        <v>-88.335534880263836</v>
      </c>
      <c r="O35" s="574"/>
      <c r="P35" s="593">
        <f t="shared" si="1"/>
        <v>23.093959294095967</v>
      </c>
      <c r="Q35" s="592">
        <f>SUM('YTD Report(HQD)_variance '!J33,'YTD Report(HQD)_variance '!K33,'YTD Report(HQD)_variance '!L33)</f>
        <v>0</v>
      </c>
      <c r="R35" s="592">
        <f>SUM('YTD Report(HQD)_variance '!M33)</f>
        <v>-33.922966715819598</v>
      </c>
      <c r="S35" s="592">
        <f>'YTD Report(HQD)_variance '!N33</f>
        <v>5.6408102922772327</v>
      </c>
      <c r="T35" s="592"/>
      <c r="U35" s="574"/>
      <c r="V35" s="593">
        <f t="shared" si="18"/>
        <v>-111.4294941743598</v>
      </c>
      <c r="W35" s="592">
        <v>-118.98576478886834</v>
      </c>
      <c r="X35" s="592"/>
      <c r="Y35" s="592">
        <v>13</v>
      </c>
      <c r="Z35" s="592"/>
      <c r="AA35" s="8">
        <f t="shared" si="3"/>
        <v>-5.4437293854914657</v>
      </c>
    </row>
    <row r="36" spans="1:28" x14ac:dyDescent="0.3">
      <c r="A36" s="274" t="s">
        <v>150</v>
      </c>
      <c r="B36" s="275">
        <f>SUM(B34:B35)</f>
        <v>22.67676535881921</v>
      </c>
      <c r="C36" s="275">
        <f t="shared" ref="C36:N36" si="19">SUM(C34:C35)</f>
        <v>-31.074764641180835</v>
      </c>
      <c r="D36" s="275">
        <f t="shared" si="19"/>
        <v>-20.801654641180846</v>
      </c>
      <c r="E36" s="275">
        <f t="shared" si="19"/>
        <v>-27.006874641180829</v>
      </c>
      <c r="F36" s="275">
        <f t="shared" si="19"/>
        <v>72.365195358819221</v>
      </c>
      <c r="G36" s="275">
        <f t="shared" si="19"/>
        <v>-52.656784641180849</v>
      </c>
      <c r="H36" s="275">
        <f t="shared" si="19"/>
        <v>-8.477113925297374</v>
      </c>
      <c r="I36" s="275">
        <f t="shared" si="19"/>
        <v>-9.1017090604959208</v>
      </c>
      <c r="J36" s="275">
        <f t="shared" si="19"/>
        <v>-2.5090637121380439</v>
      </c>
      <c r="K36" s="275">
        <f t="shared" si="19"/>
        <v>-8.9489651613825743</v>
      </c>
      <c r="L36" s="275">
        <f t="shared" si="19"/>
        <v>-9.4463889018471434</v>
      </c>
      <c r="M36" s="275">
        <f t="shared" si="19"/>
        <v>-21.571572063988469</v>
      </c>
      <c r="N36" s="275">
        <f t="shared" si="19"/>
        <v>-96.552930672234453</v>
      </c>
      <c r="O36" s="574"/>
      <c r="P36" s="275">
        <f t="shared" si="1"/>
        <v>16.158666794095922</v>
      </c>
      <c r="Q36" s="275">
        <f>SUM(Q34:Q35)</f>
        <v>-3.8463075000000231</v>
      </c>
      <c r="R36" s="275">
        <f t="shared" ref="R36:T36" si="20">SUM(R34:R35)</f>
        <v>-33.922966715819598</v>
      </c>
      <c r="S36" s="275">
        <f t="shared" si="20"/>
        <v>1.2708102922772326</v>
      </c>
      <c r="T36" s="275">
        <f t="shared" si="20"/>
        <v>0</v>
      </c>
      <c r="U36" s="574"/>
      <c r="V36" s="275">
        <f t="shared" si="18"/>
        <v>-112.71159746633037</v>
      </c>
      <c r="W36" s="275">
        <f>SUM(W34:W35)</f>
        <v>-118.98576478886834</v>
      </c>
      <c r="X36" s="275">
        <f>SUM(X34:X35)</f>
        <v>0</v>
      </c>
      <c r="Y36" s="275">
        <f t="shared" ref="Y36:Z36" si="21">SUM(Y34:Y35)</f>
        <v>13</v>
      </c>
      <c r="Z36" s="275">
        <f t="shared" si="21"/>
        <v>0</v>
      </c>
      <c r="AA36" s="8">
        <f t="shared" si="3"/>
        <v>-6.7258326774620372</v>
      </c>
    </row>
    <row r="37" spans="1:28" x14ac:dyDescent="0.3">
      <c r="A37" s="51"/>
      <c r="B37" s="277"/>
      <c r="C37" s="277"/>
      <c r="D37" s="277"/>
      <c r="E37" s="277"/>
      <c r="F37" s="277"/>
      <c r="G37" s="277"/>
      <c r="H37" s="277"/>
      <c r="I37" s="277"/>
      <c r="J37" s="277"/>
      <c r="K37" s="277"/>
      <c r="L37" s="277"/>
      <c r="M37" s="277"/>
      <c r="N37" s="589"/>
      <c r="O37" s="574"/>
      <c r="P37" s="589"/>
      <c r="Q37" s="277"/>
      <c r="R37" s="277"/>
      <c r="S37" s="277"/>
      <c r="T37" s="277"/>
      <c r="U37" s="574"/>
      <c r="V37" s="589"/>
      <c r="W37" s="277"/>
      <c r="X37" s="277"/>
      <c r="Y37" s="277"/>
      <c r="Z37" s="277"/>
      <c r="AA37" s="8">
        <f t="shared" si="3"/>
        <v>0</v>
      </c>
    </row>
    <row r="38" spans="1:28" x14ac:dyDescent="0.3">
      <c r="A38" s="274" t="s">
        <v>152</v>
      </c>
      <c r="B38" s="275">
        <f>B25+B32+B36+B8</f>
        <v>54.733059362063301</v>
      </c>
      <c r="C38" s="275">
        <f t="shared" ref="C38:N38" si="22">C25+C32+C36+C8</f>
        <v>180.98177834740491</v>
      </c>
      <c r="D38" s="275">
        <f t="shared" si="22"/>
        <v>752.01346371571583</v>
      </c>
      <c r="E38" s="275">
        <f t="shared" si="22"/>
        <v>-696.35144211880333</v>
      </c>
      <c r="F38" s="275">
        <f t="shared" si="22"/>
        <v>18.227055880622189</v>
      </c>
      <c r="G38" s="275">
        <f t="shared" si="22"/>
        <v>-407.94055179422912</v>
      </c>
      <c r="H38" s="275">
        <f t="shared" si="22"/>
        <v>-219.23284279830187</v>
      </c>
      <c r="I38" s="275">
        <f t="shared" si="22"/>
        <v>-234.83056647664628</v>
      </c>
      <c r="J38" s="275">
        <f t="shared" si="22"/>
        <v>-249.85351628236043</v>
      </c>
      <c r="K38" s="275">
        <f t="shared" si="22"/>
        <v>-143.22080625355136</v>
      </c>
      <c r="L38" s="275">
        <f t="shared" si="22"/>
        <v>-195.16790659730304</v>
      </c>
      <c r="M38" s="275">
        <f t="shared" si="22"/>
        <v>-250.18664310728695</v>
      </c>
      <c r="N38" s="275">
        <f t="shared" si="22"/>
        <v>-1390.8289181226755</v>
      </c>
      <c r="O38" s="574"/>
      <c r="P38" s="275">
        <f t="shared" si="1"/>
        <v>309.60391518700294</v>
      </c>
      <c r="Q38" s="275"/>
      <c r="R38" s="275"/>
      <c r="S38" s="275"/>
      <c r="T38" s="275"/>
      <c r="U38" s="574"/>
      <c r="V38" s="275">
        <f>N38-P38</f>
        <v>-1700.4328333096785</v>
      </c>
      <c r="W38" s="275">
        <f>SUM(W25,W32,W36,W8)</f>
        <v>-1972.0852851944719</v>
      </c>
      <c r="X38" s="275">
        <f t="shared" ref="X38:Z38" si="23">SUM(X25,X32,X36,X8)</f>
        <v>160.13116011193929</v>
      </c>
      <c r="Y38" s="275">
        <f t="shared" si="23"/>
        <v>205.59560760573675</v>
      </c>
      <c r="Z38" s="275">
        <f t="shared" si="23"/>
        <v>0</v>
      </c>
      <c r="AA38" s="8">
        <f t="shared" si="3"/>
        <v>-94.074315832882576</v>
      </c>
    </row>
    <row r="39" spans="1:28" x14ac:dyDescent="0.3">
      <c r="A39" s="568"/>
      <c r="B39" s="574"/>
      <c r="C39" s="574"/>
      <c r="D39" s="574"/>
      <c r="E39" s="574"/>
      <c r="F39" s="574"/>
      <c r="G39" s="574"/>
      <c r="H39" s="574"/>
      <c r="I39" s="574"/>
      <c r="J39" s="574"/>
      <c r="K39" s="574"/>
      <c r="L39" s="574"/>
      <c r="M39" s="574"/>
      <c r="N39" s="579"/>
      <c r="O39" s="574"/>
      <c r="P39" s="579"/>
      <c r="Q39" s="574"/>
      <c r="R39" s="574"/>
      <c r="S39" s="574"/>
      <c r="T39" s="574"/>
      <c r="U39" s="574"/>
      <c r="V39" s="579"/>
      <c r="W39" s="574"/>
      <c r="X39" s="574"/>
      <c r="Y39" s="574"/>
      <c r="Z39" s="574"/>
    </row>
    <row r="40" spans="1:28" x14ac:dyDescent="0.3">
      <c r="A40" s="568"/>
      <c r="B40" s="574"/>
      <c r="C40" s="574"/>
      <c r="D40" s="574"/>
      <c r="E40" s="574"/>
      <c r="F40" s="574"/>
      <c r="G40" s="574"/>
      <c r="H40" s="574"/>
      <c r="I40" s="574"/>
      <c r="J40" s="574"/>
      <c r="K40" s="574"/>
      <c r="L40" s="574"/>
      <c r="M40" s="574"/>
      <c r="N40" s="579"/>
      <c r="O40" s="574"/>
      <c r="P40" s="579"/>
      <c r="Q40" s="574">
        <v>-1192</v>
      </c>
      <c r="R40" s="574">
        <f>R36-R24</f>
        <v>81.022604169557042</v>
      </c>
      <c r="S40" s="574">
        <f>S36-S24</f>
        <v>562.37366794480943</v>
      </c>
      <c r="T40" s="574"/>
      <c r="U40" s="574"/>
      <c r="V40" s="579"/>
      <c r="W40" s="574"/>
      <c r="X40" s="574">
        <f>X36-X24</f>
        <v>0</v>
      </c>
      <c r="Y40" s="574">
        <f>Y36-Y24</f>
        <v>13</v>
      </c>
      <c r="Z40" s="574"/>
      <c r="AA40" s="8">
        <f>SUM(R40:Y40)</f>
        <v>656.39627211436641</v>
      </c>
      <c r="AB40" s="103">
        <f>AA40/$N$4*1000</f>
        <v>1.2664774633924702</v>
      </c>
    </row>
    <row r="41" spans="1:28" x14ac:dyDescent="0.3">
      <c r="A41" s="382" t="s">
        <v>43</v>
      </c>
      <c r="B41" s="584">
        <f>'data entry '!B73</f>
        <v>-6.7443971410000003</v>
      </c>
      <c r="C41" s="584">
        <f>'data entry '!C73</f>
        <v>-7.110674586</v>
      </c>
      <c r="D41" s="584">
        <f>'data entry '!D73</f>
        <v>-7.1575233750000002</v>
      </c>
      <c r="E41" s="584">
        <f>'data entry '!E73</f>
        <v>-13.784255769000001</v>
      </c>
      <c r="F41" s="584">
        <f>'data entry '!F73</f>
        <v>-22.499889510000003</v>
      </c>
      <c r="G41" s="584">
        <f>'data entry '!G73</f>
        <v>-58.908533430000006</v>
      </c>
      <c r="H41" s="584">
        <f>'data entry '!H73</f>
        <v>-57.523254780000002</v>
      </c>
      <c r="I41" s="584">
        <f>'data entry '!I73</f>
        <v>-57.204807999999993</v>
      </c>
      <c r="J41" s="584">
        <f>'data entry '!J73</f>
        <v>-68.485446039999999</v>
      </c>
      <c r="K41" s="584">
        <f>'data entry '!K73</f>
        <v>-63.211466780000002</v>
      </c>
      <c r="L41" s="584">
        <f>'data entry '!L73</f>
        <v>-61.94707133</v>
      </c>
      <c r="M41" s="584">
        <f>'data entry '!M73</f>
        <v>-60.138508710000004</v>
      </c>
      <c r="N41" s="584">
        <f>'data entry '!N73</f>
        <v>-484</v>
      </c>
      <c r="O41" s="574"/>
      <c r="P41" s="579"/>
      <c r="Q41" s="574"/>
      <c r="R41" s="574"/>
      <c r="S41" s="574"/>
      <c r="T41" s="574"/>
      <c r="U41" s="574"/>
      <c r="V41" s="579"/>
      <c r="W41" s="574">
        <f>W38-W8</f>
        <v>-1777.0269720341057</v>
      </c>
      <c r="X41" s="574"/>
      <c r="Y41" s="574"/>
      <c r="Z41" s="574"/>
    </row>
    <row r="42" spans="1:28" x14ac:dyDescent="0.3">
      <c r="A42" s="383" t="s">
        <v>181</v>
      </c>
      <c r="B42" s="586">
        <f>'data entry '!B74</f>
        <v>-67.734713934301453</v>
      </c>
      <c r="C42" s="586">
        <f>'data entry '!C74</f>
        <v>-136.59810400625676</v>
      </c>
      <c r="D42" s="586">
        <f>'data entry '!D74</f>
        <v>-106.87028077062521</v>
      </c>
      <c r="E42" s="586">
        <f>'data entry '!E74</f>
        <v>-47.120573765839055</v>
      </c>
      <c r="F42" s="586">
        <f>'data entry '!F74</f>
        <v>-70.370517793427254</v>
      </c>
      <c r="G42" s="586">
        <f>'data entry '!G74</f>
        <v>-71.974600624891949</v>
      </c>
      <c r="H42" s="586">
        <f>'data entry '!H74</f>
        <v>-11.001751376680557</v>
      </c>
      <c r="I42" s="586">
        <f>'data entry '!I74</f>
        <v>-7.4535706962784793</v>
      </c>
      <c r="J42" s="586">
        <f>'data entry '!J74</f>
        <v>-49.424680182121804</v>
      </c>
      <c r="K42" s="586">
        <f>'data entry '!K74</f>
        <v>-40.99932315198992</v>
      </c>
      <c r="L42" s="586">
        <f>'data entry '!L74</f>
        <v>-42.471503218980303</v>
      </c>
      <c r="M42" s="586">
        <f>'data entry '!M74</f>
        <v>45.11883909940903</v>
      </c>
      <c r="N42" s="586">
        <f>'data entry '!N74</f>
        <v>-605.66</v>
      </c>
      <c r="O42" s="574"/>
      <c r="P42" s="579"/>
      <c r="Q42" s="574"/>
      <c r="R42" s="574"/>
      <c r="S42" s="574"/>
      <c r="T42" s="574"/>
      <c r="U42" s="574"/>
      <c r="V42" s="579"/>
      <c r="W42" s="574"/>
      <c r="X42" s="574"/>
      <c r="Y42" s="574"/>
      <c r="Z42" s="574"/>
    </row>
    <row r="43" spans="1:28" x14ac:dyDescent="0.3">
      <c r="A43" s="383" t="s">
        <v>479</v>
      </c>
      <c r="B43" s="586">
        <f>'data entry '!B75</f>
        <v>97.042645189779662</v>
      </c>
      <c r="C43" s="586">
        <f>'data entry '!C75</f>
        <v>95.20483641952984</v>
      </c>
      <c r="D43" s="586">
        <f>'data entry '!D75</f>
        <v>141.08905677892977</v>
      </c>
      <c r="E43" s="586">
        <f>'data entry '!E75</f>
        <v>167.09297684486717</v>
      </c>
      <c r="F43" s="586">
        <f>'data entry '!F75</f>
        <v>147.51308691438058</v>
      </c>
      <c r="G43" s="586">
        <f>'data entry '!G75</f>
        <v>62.061656892045562</v>
      </c>
      <c r="H43" s="586">
        <f>'data entry '!H75</f>
        <v>-45.225420400532109</v>
      </c>
      <c r="I43" s="586">
        <f>'data entry '!I75</f>
        <v>-65.234864621725322</v>
      </c>
      <c r="J43" s="586">
        <f>'data entry '!J75</f>
        <v>95.732695161580821</v>
      </c>
      <c r="K43" s="586">
        <f>'data entry '!K75</f>
        <v>109.26167102710407</v>
      </c>
      <c r="L43" s="586">
        <f>'data entry '!L75</f>
        <v>21.39211353101696</v>
      </c>
      <c r="M43" s="586">
        <f>'data entry '!M75</f>
        <v>118.64985405428432</v>
      </c>
      <c r="N43" s="586">
        <f>'data entry '!N75</f>
        <v>944.58030779126136</v>
      </c>
      <c r="O43" s="574"/>
      <c r="P43" s="579"/>
      <c r="Q43" s="574"/>
      <c r="R43" s="574"/>
      <c r="S43" s="574"/>
      <c r="T43" s="574"/>
      <c r="U43" s="574"/>
      <c r="V43" s="579"/>
      <c r="W43" s="574">
        <f>W41+Q40</f>
        <v>-2969.0269720341057</v>
      </c>
      <c r="X43" s="982">
        <f>W43/$N$4*1000</f>
        <v>-5.7285604870565541</v>
      </c>
      <c r="Y43" s="574"/>
      <c r="Z43" s="574"/>
    </row>
    <row r="44" spans="1:28" x14ac:dyDescent="0.3">
      <c r="A44" s="383" t="s">
        <v>66</v>
      </c>
      <c r="B44" s="586">
        <f>'data entry '!B76</f>
        <v>-105.62146306377917</v>
      </c>
      <c r="C44" s="586">
        <f>'data entry '!C76</f>
        <v>-105.21914066358104</v>
      </c>
      <c r="D44" s="586">
        <f>'data entry '!D76</f>
        <v>-105.24280668712211</v>
      </c>
      <c r="E44" s="586">
        <f>'data entry '!E76</f>
        <v>5.9165058852665906</v>
      </c>
      <c r="F44" s="586">
        <f>'data entry '!F76</f>
        <v>-108.57971600641248</v>
      </c>
      <c r="G44" s="586">
        <f>'data entry '!G76</f>
        <v>431.54993927134512</v>
      </c>
      <c r="H44" s="586">
        <f>'data entry '!H76</f>
        <v>371.58023561828293</v>
      </c>
      <c r="I44" s="586">
        <f>'data entry '!I76</f>
        <v>310.02490838796928</v>
      </c>
      <c r="J44" s="586">
        <f>'data entry '!J76</f>
        <v>420.49790627766714</v>
      </c>
      <c r="K44" s="586">
        <f>'data entry '!K76</f>
        <v>543.18257231455516</v>
      </c>
      <c r="L44" s="586">
        <f>'data entry '!L76</f>
        <v>410.41618024917284</v>
      </c>
      <c r="M44" s="586">
        <f>'data entry '!M76</f>
        <v>517.93092519623724</v>
      </c>
      <c r="N44" s="586">
        <f>'data entry '!N76</f>
        <v>2586.4360467796018</v>
      </c>
      <c r="O44" s="574"/>
      <c r="P44" s="579"/>
      <c r="Q44" s="574"/>
      <c r="R44" s="574"/>
      <c r="S44" s="574"/>
      <c r="T44" s="574"/>
      <c r="U44" s="574"/>
      <c r="V44" s="579"/>
      <c r="W44" s="574">
        <v>-1343</v>
      </c>
      <c r="X44" s="982">
        <f>W44/$N$4*1000</f>
        <v>-2.5912384112988027</v>
      </c>
      <c r="Y44" s="574"/>
      <c r="Z44" s="574"/>
    </row>
    <row r="45" spans="1:28" x14ac:dyDescent="0.3">
      <c r="A45" s="397" t="s">
        <v>488</v>
      </c>
      <c r="B45" s="590">
        <f>'data entry '!B77</f>
        <v>134.08802713109714</v>
      </c>
      <c r="C45" s="590">
        <f>'data entry '!C77</f>
        <v>218.87485203276265</v>
      </c>
      <c r="D45" s="590">
        <f>'data entry '!D77</f>
        <v>183.13789261880333</v>
      </c>
      <c r="E45" s="590">
        <f>'data entry '!E77</f>
        <v>34.22802559017461</v>
      </c>
      <c r="F45" s="590">
        <f>'data entry '!F77</f>
        <v>680.20277893588911</v>
      </c>
      <c r="G45" s="590">
        <f>'data entry '!G77</f>
        <v>-379.89335277041022</v>
      </c>
      <c r="H45" s="590">
        <f>'data entry '!H77</f>
        <v>110.34545627565082</v>
      </c>
      <c r="I45" s="590">
        <f>'data entry '!I77</f>
        <v>274.09529538436436</v>
      </c>
      <c r="J45" s="590">
        <f>'data entry '!J77</f>
        <v>-353.55695633427626</v>
      </c>
      <c r="K45" s="590">
        <f>'data entry '!K77</f>
        <v>-373.78381675235164</v>
      </c>
      <c r="L45" s="590">
        <f>'data entry '!L77</f>
        <v>-286.60110863710707</v>
      </c>
      <c r="M45" s="590">
        <f>'data entry '!M77</f>
        <v>-116.24151098345583</v>
      </c>
      <c r="N45" s="590">
        <f>'data entry '!N77</f>
        <v>122.93897261815809</v>
      </c>
      <c r="O45" s="574"/>
      <c r="P45" s="579"/>
      <c r="Q45" s="574"/>
      <c r="R45" s="574"/>
      <c r="S45" s="574"/>
      <c r="T45" s="574"/>
      <c r="U45" s="574"/>
      <c r="V45" s="579"/>
      <c r="W45" s="574"/>
      <c r="X45" s="982">
        <f>X43-X44</f>
        <v>-3.1373220757577513</v>
      </c>
      <c r="Y45" s="574"/>
      <c r="Z45" s="574"/>
    </row>
    <row r="46" spans="1:28" x14ac:dyDescent="0.3">
      <c r="A46" s="568"/>
      <c r="B46" s="574"/>
      <c r="C46" s="574"/>
      <c r="D46" s="574"/>
      <c r="E46" s="574"/>
      <c r="F46" s="574"/>
      <c r="G46" s="574"/>
      <c r="H46" s="574"/>
      <c r="I46" s="574"/>
      <c r="J46" s="574"/>
      <c r="K46" s="574"/>
      <c r="L46" s="574"/>
      <c r="M46" s="574"/>
      <c r="N46" s="579"/>
      <c r="O46" s="574"/>
      <c r="P46" s="579"/>
      <c r="Q46" s="574"/>
      <c r="R46" s="574"/>
      <c r="S46" s="574"/>
      <c r="T46" s="574"/>
      <c r="U46" s="574"/>
      <c r="V46" s="579"/>
      <c r="W46" s="574"/>
      <c r="X46" s="574"/>
      <c r="Y46" s="574"/>
      <c r="Z46" s="574"/>
    </row>
    <row r="47" spans="1:28" x14ac:dyDescent="0.3">
      <c r="A47" s="594" t="s">
        <v>502</v>
      </c>
      <c r="B47" s="595">
        <f>SUM(B41:B45)</f>
        <v>51.030098181796163</v>
      </c>
      <c r="C47" s="595">
        <f t="shared" ref="C47:N47" si="24">SUM(C41:C45)</f>
        <v>65.151769196454694</v>
      </c>
      <c r="D47" s="595">
        <f t="shared" si="24"/>
        <v>104.95633856498578</v>
      </c>
      <c r="E47" s="595">
        <f t="shared" si="24"/>
        <v>146.33267878546931</v>
      </c>
      <c r="F47" s="595">
        <f t="shared" si="24"/>
        <v>626.26574254042998</v>
      </c>
      <c r="G47" s="595">
        <f t="shared" si="24"/>
        <v>-17.1648906619115</v>
      </c>
      <c r="H47" s="595">
        <f t="shared" si="24"/>
        <v>368.17526533672105</v>
      </c>
      <c r="I47" s="595">
        <f t="shared" si="24"/>
        <v>454.22696045432986</v>
      </c>
      <c r="J47" s="595">
        <f t="shared" si="24"/>
        <v>44.763518882849894</v>
      </c>
      <c r="K47" s="595">
        <f t="shared" si="24"/>
        <v>174.44963665731768</v>
      </c>
      <c r="L47" s="595">
        <f t="shared" si="24"/>
        <v>40.788610594102408</v>
      </c>
      <c r="M47" s="595">
        <f t="shared" si="24"/>
        <v>505.31959865647474</v>
      </c>
      <c r="N47" s="595">
        <f t="shared" si="24"/>
        <v>2564.2953271890215</v>
      </c>
      <c r="O47" s="574"/>
      <c r="P47" s="579"/>
      <c r="Q47" s="574"/>
      <c r="R47" s="574"/>
      <c r="S47" s="574"/>
      <c r="T47" s="574"/>
      <c r="U47" s="574"/>
      <c r="V47" s="579"/>
      <c r="W47" s="574"/>
      <c r="X47" s="574"/>
      <c r="Y47" s="574"/>
      <c r="Z47" s="574"/>
    </row>
    <row r="48" spans="1:28" x14ac:dyDescent="0.3">
      <c r="A48" s="568"/>
      <c r="B48" s="574"/>
      <c r="C48" s="574"/>
      <c r="D48" s="574"/>
      <c r="E48" s="574"/>
      <c r="F48" s="574"/>
      <c r="G48" s="574"/>
      <c r="H48" s="574"/>
      <c r="I48" s="574"/>
      <c r="J48" s="574"/>
      <c r="K48" s="574"/>
      <c r="L48" s="574"/>
      <c r="M48" s="574"/>
      <c r="N48" s="579"/>
      <c r="O48" s="574"/>
      <c r="P48" s="579"/>
      <c r="Q48" s="574"/>
      <c r="R48" s="574"/>
      <c r="S48" s="574"/>
      <c r="T48" s="574"/>
      <c r="U48" s="574"/>
      <c r="V48" s="579"/>
      <c r="W48" s="574"/>
      <c r="X48" s="574"/>
      <c r="Y48" s="574"/>
      <c r="Z48" s="574"/>
    </row>
    <row r="49" spans="1:28" x14ac:dyDescent="0.3">
      <c r="A49" s="568"/>
      <c r="B49" s="574"/>
      <c r="C49" s="574"/>
      <c r="D49" s="574"/>
      <c r="E49" s="574"/>
      <c r="F49" s="574"/>
      <c r="G49" s="574"/>
      <c r="H49" s="574"/>
      <c r="I49" s="574"/>
      <c r="J49" s="574"/>
      <c r="K49" s="574"/>
      <c r="L49" s="574"/>
      <c r="M49" s="574"/>
      <c r="N49" s="579"/>
      <c r="O49" s="574"/>
      <c r="P49" s="579"/>
      <c r="Q49" s="574"/>
      <c r="R49" s="574"/>
      <c r="S49" s="574"/>
      <c r="T49" s="574"/>
      <c r="U49" s="574"/>
      <c r="V49" s="579"/>
      <c r="W49" s="574"/>
      <c r="X49" s="574"/>
      <c r="Y49" s="574"/>
      <c r="Z49" s="574"/>
    </row>
    <row r="50" spans="1:28" x14ac:dyDescent="0.3">
      <c r="A50" s="596" t="s">
        <v>99</v>
      </c>
      <c r="B50" s="597">
        <f>B38+B47</f>
        <v>105.76315754385946</v>
      </c>
      <c r="C50" s="597">
        <f t="shared" ref="C50:N50" si="25">C38+C47</f>
        <v>246.13354754385961</v>
      </c>
      <c r="D50" s="597">
        <f t="shared" si="25"/>
        <v>856.96980228070163</v>
      </c>
      <c r="E50" s="597">
        <f t="shared" si="25"/>
        <v>-550.01876333333405</v>
      </c>
      <c r="F50" s="597">
        <f t="shared" si="25"/>
        <v>644.49279842105216</v>
      </c>
      <c r="G50" s="597">
        <f t="shared" si="25"/>
        <v>-425.10544245614062</v>
      </c>
      <c r="H50" s="597">
        <f t="shared" si="25"/>
        <v>148.94242253841918</v>
      </c>
      <c r="I50" s="597">
        <f t="shared" si="25"/>
        <v>219.39639397768357</v>
      </c>
      <c r="J50" s="597">
        <f t="shared" si="25"/>
        <v>-205.08999739951054</v>
      </c>
      <c r="K50" s="597">
        <f t="shared" si="25"/>
        <v>31.228830403766324</v>
      </c>
      <c r="L50" s="597">
        <f t="shared" si="25"/>
        <v>-154.37929600320064</v>
      </c>
      <c r="M50" s="597">
        <f t="shared" si="25"/>
        <v>255.13295554918778</v>
      </c>
      <c r="N50" s="597">
        <f t="shared" si="25"/>
        <v>1173.4664090663459</v>
      </c>
      <c r="O50" s="574"/>
      <c r="P50" s="579"/>
      <c r="Q50" s="574"/>
      <c r="R50" s="574"/>
      <c r="S50" s="574"/>
      <c r="T50" s="574"/>
      <c r="U50" s="574"/>
      <c r="V50" s="579"/>
      <c r="W50" s="574"/>
      <c r="X50" s="574"/>
      <c r="Y50" s="574"/>
      <c r="Z50" s="574"/>
    </row>
    <row r="51" spans="1:28" x14ac:dyDescent="0.3">
      <c r="A51" s="598"/>
      <c r="B51" s="598"/>
      <c r="C51" s="599"/>
      <c r="D51" s="599"/>
      <c r="E51" s="599"/>
      <c r="F51" s="599"/>
      <c r="G51" s="599"/>
      <c r="H51" s="599"/>
      <c r="I51" s="599"/>
      <c r="J51" s="599"/>
      <c r="K51" s="599"/>
      <c r="L51" s="599"/>
      <c r="M51" s="599"/>
      <c r="N51" s="583"/>
      <c r="O51" s="600"/>
      <c r="P51" s="567"/>
      <c r="Q51" s="568"/>
      <c r="R51" s="568"/>
      <c r="S51" s="568"/>
      <c r="T51" s="568"/>
      <c r="U51" s="568"/>
      <c r="V51" s="567"/>
      <c r="W51" s="568"/>
      <c r="X51" s="568"/>
      <c r="Y51" s="568"/>
      <c r="Z51" s="568"/>
    </row>
    <row r="52" spans="1:28" x14ac:dyDescent="0.3">
      <c r="A52" s="568"/>
      <c r="B52" s="568"/>
      <c r="C52" s="568"/>
      <c r="D52" s="568"/>
      <c r="E52" s="568"/>
      <c r="F52" s="568"/>
      <c r="G52" s="568"/>
      <c r="H52" s="568"/>
      <c r="I52" s="568"/>
      <c r="J52" s="568"/>
      <c r="K52" s="568"/>
      <c r="L52" s="568"/>
      <c r="M52" s="568"/>
      <c r="N52" s="567"/>
      <c r="O52" s="600"/>
      <c r="P52" s="567"/>
      <c r="Q52" s="568"/>
      <c r="R52" s="568"/>
      <c r="S52" s="568"/>
      <c r="T52" s="568"/>
      <c r="U52" s="568"/>
      <c r="V52" s="567"/>
      <c r="W52" s="568"/>
      <c r="X52" s="568"/>
      <c r="Y52" s="568"/>
      <c r="Z52" s="568"/>
    </row>
    <row r="53" spans="1:28" x14ac:dyDescent="0.3">
      <c r="A53" s="988" t="s">
        <v>1048</v>
      </c>
      <c r="B53" s="989"/>
      <c r="C53" s="989"/>
      <c r="D53" s="989"/>
      <c r="E53" s="989"/>
      <c r="F53" s="989"/>
      <c r="G53" s="989"/>
      <c r="H53" s="989"/>
      <c r="I53" s="989"/>
      <c r="J53" s="989"/>
      <c r="K53" s="989"/>
      <c r="L53" s="989"/>
      <c r="M53" s="989"/>
      <c r="N53" s="988"/>
      <c r="O53" s="600"/>
      <c r="P53" s="567"/>
      <c r="Q53" s="568"/>
      <c r="R53" s="568"/>
      <c r="S53" s="568"/>
      <c r="T53" s="568"/>
      <c r="U53" s="568"/>
      <c r="V53" s="568"/>
      <c r="W53" s="567"/>
      <c r="X53" s="568"/>
      <c r="Y53" s="568"/>
      <c r="Z53" s="568"/>
      <c r="AA53" s="568"/>
    </row>
    <row r="54" spans="1:28" x14ac:dyDescent="0.3">
      <c r="A54" s="567" t="s">
        <v>495</v>
      </c>
      <c r="B54" s="569" t="s">
        <v>0</v>
      </c>
      <c r="C54" s="569" t="s">
        <v>1</v>
      </c>
      <c r="D54" s="569" t="s">
        <v>2</v>
      </c>
      <c r="E54" s="569" t="s">
        <v>3</v>
      </c>
      <c r="F54" s="569" t="s">
        <v>4</v>
      </c>
      <c r="G54" s="569" t="s">
        <v>5</v>
      </c>
      <c r="H54" s="569" t="s">
        <v>6</v>
      </c>
      <c r="I54" s="569" t="s">
        <v>7</v>
      </c>
      <c r="J54" s="569" t="s">
        <v>8</v>
      </c>
      <c r="K54" s="569" t="s">
        <v>9</v>
      </c>
      <c r="L54" s="569" t="s">
        <v>10</v>
      </c>
      <c r="M54" s="569" t="s">
        <v>11</v>
      </c>
      <c r="N54" s="569" t="s">
        <v>12</v>
      </c>
      <c r="O54" s="568"/>
      <c r="P54" s="569" t="s">
        <v>95</v>
      </c>
      <c r="Q54" s="570" t="s">
        <v>496</v>
      </c>
      <c r="R54" s="570" t="s">
        <v>497</v>
      </c>
      <c r="S54" s="570" t="s">
        <v>498</v>
      </c>
      <c r="T54" s="570" t="s">
        <v>499</v>
      </c>
      <c r="U54" s="568"/>
      <c r="V54"/>
      <c r="W54" s="569" t="s">
        <v>799</v>
      </c>
      <c r="X54" s="570" t="s">
        <v>496</v>
      </c>
      <c r="Y54" s="570" t="s">
        <v>497</v>
      </c>
      <c r="Z54" s="570" t="s">
        <v>498</v>
      </c>
      <c r="AA54" s="570" t="s">
        <v>499</v>
      </c>
    </row>
    <row r="55" spans="1:28" x14ac:dyDescent="0.3">
      <c r="A55" s="571" t="s">
        <v>500</v>
      </c>
      <c r="B55" s="572">
        <v>47357</v>
      </c>
      <c r="C55" s="572">
        <v>42593</v>
      </c>
      <c r="D55" s="572">
        <v>23002</v>
      </c>
      <c r="E55" s="572">
        <v>40893</v>
      </c>
      <c r="F55" s="572">
        <v>33043</v>
      </c>
      <c r="G55" s="572">
        <v>54900</v>
      </c>
      <c r="H55" s="572">
        <v>41500</v>
      </c>
      <c r="I55" s="572">
        <v>39000</v>
      </c>
      <c r="J55" s="572">
        <v>54085</v>
      </c>
      <c r="K55" s="572">
        <v>49500</v>
      </c>
      <c r="L55" s="572">
        <v>51936</v>
      </c>
      <c r="M55" s="572">
        <v>42190</v>
      </c>
      <c r="N55" s="572">
        <v>519999</v>
      </c>
      <c r="O55" s="574"/>
      <c r="P55" s="573">
        <v>186888</v>
      </c>
      <c r="Q55" s="1258"/>
      <c r="R55" s="1259"/>
      <c r="S55" s="1259"/>
      <c r="T55" s="1259"/>
      <c r="U55" s="574"/>
      <c r="V55"/>
      <c r="W55" s="573">
        <v>369179.00199999998</v>
      </c>
      <c r="X55" s="936"/>
      <c r="Y55" s="937"/>
      <c r="Z55" s="937"/>
      <c r="AA55" s="937"/>
    </row>
    <row r="56" spans="1:28" x14ac:dyDescent="0.3">
      <c r="A56" s="571" t="s">
        <v>96</v>
      </c>
      <c r="B56" s="572">
        <v>50463</v>
      </c>
      <c r="C56" s="572">
        <v>50446</v>
      </c>
      <c r="D56" s="572">
        <v>50447</v>
      </c>
      <c r="E56" s="572">
        <v>48050</v>
      </c>
      <c r="F56" s="572">
        <v>36788</v>
      </c>
      <c r="G56" s="572">
        <v>53265</v>
      </c>
      <c r="H56" s="572">
        <v>42049</v>
      </c>
      <c r="I56" s="572">
        <v>39150</v>
      </c>
      <c r="J56" s="572">
        <v>53732</v>
      </c>
      <c r="K56" s="572">
        <v>48548</v>
      </c>
      <c r="L56" s="572">
        <v>51408</v>
      </c>
      <c r="M56" s="572">
        <v>40676</v>
      </c>
      <c r="N56" s="572">
        <v>565022</v>
      </c>
      <c r="O56" s="574"/>
      <c r="P56" s="573">
        <v>236194</v>
      </c>
      <c r="Q56" s="1260"/>
      <c r="R56" s="1261"/>
      <c r="S56" s="1261"/>
      <c r="T56" s="1261"/>
      <c r="U56" s="574"/>
      <c r="V56"/>
      <c r="W56" s="573">
        <v>365616</v>
      </c>
      <c r="X56" s="938"/>
      <c r="Y56" s="939"/>
      <c r="Z56" s="939"/>
      <c r="AA56" s="939"/>
    </row>
    <row r="57" spans="1:28" ht="15" thickBot="1" x14ac:dyDescent="0.35">
      <c r="A57" s="575" t="s">
        <v>97</v>
      </c>
      <c r="B57" s="576">
        <v>-3106</v>
      </c>
      <c r="C57" s="576">
        <v>-7853</v>
      </c>
      <c r="D57" s="576">
        <v>-27445</v>
      </c>
      <c r="E57" s="576">
        <v>-7157</v>
      </c>
      <c r="F57" s="576">
        <v>-3745</v>
      </c>
      <c r="G57" s="576">
        <v>1635</v>
      </c>
      <c r="H57" s="576">
        <v>-549</v>
      </c>
      <c r="I57" s="576">
        <v>-150</v>
      </c>
      <c r="J57" s="576">
        <v>353</v>
      </c>
      <c r="K57" s="576">
        <v>952</v>
      </c>
      <c r="L57" s="576">
        <v>528</v>
      </c>
      <c r="M57" s="576">
        <v>1514</v>
      </c>
      <c r="N57" s="577">
        <v>-45023</v>
      </c>
      <c r="O57" s="574"/>
      <c r="P57" s="577">
        <v>-49306</v>
      </c>
      <c r="Q57" s="1260"/>
      <c r="R57" s="1261"/>
      <c r="S57" s="1261"/>
      <c r="T57" s="1261"/>
      <c r="U57" s="574"/>
      <c r="V57"/>
      <c r="W57" s="577">
        <v>3563.001999999964</v>
      </c>
      <c r="X57" s="938"/>
      <c r="Y57" s="939"/>
      <c r="Z57" s="939"/>
      <c r="AA57" s="939"/>
    </row>
    <row r="58" spans="1:28" x14ac:dyDescent="0.3">
      <c r="A58" s="578"/>
      <c r="B58" s="574"/>
      <c r="C58" s="574"/>
      <c r="D58" s="574"/>
      <c r="E58" s="574"/>
      <c r="F58" s="574"/>
      <c r="G58" s="574"/>
      <c r="H58" s="574"/>
      <c r="I58" s="574"/>
      <c r="J58" s="574"/>
      <c r="K58" s="574"/>
      <c r="L58" s="574"/>
      <c r="M58" s="574"/>
      <c r="N58" s="579"/>
      <c r="O58" s="574"/>
      <c r="P58" s="579"/>
      <c r="Q58" s="574"/>
      <c r="R58" s="574"/>
      <c r="S58" s="574"/>
      <c r="T58" s="574"/>
      <c r="U58" s="574"/>
      <c r="V58"/>
      <c r="W58" s="579"/>
      <c r="X58" s="574"/>
      <c r="Y58" s="574"/>
      <c r="Z58" s="574"/>
      <c r="AA58" s="574"/>
    </row>
    <row r="59" spans="1:28" ht="15" thickBot="1" x14ac:dyDescent="0.35">
      <c r="A59" s="580" t="s">
        <v>501</v>
      </c>
      <c r="B59" s="581">
        <v>74.155661215989426</v>
      </c>
      <c r="C59" s="581">
        <v>186.38396565789671</v>
      </c>
      <c r="D59" s="581">
        <v>622.98541887442025</v>
      </c>
      <c r="E59" s="581">
        <v>165.86341342894065</v>
      </c>
      <c r="F59" s="581">
        <v>79.812555081380779</v>
      </c>
      <c r="G59" s="581">
        <v>-56.058393808432015</v>
      </c>
      <c r="H59" s="581">
        <v>2.4331813350789844</v>
      </c>
      <c r="I59" s="581">
        <v>-6.2513208066100105</v>
      </c>
      <c r="J59" s="581">
        <v>-22.114364208369864</v>
      </c>
      <c r="K59" s="581">
        <v>-34.970069916726402</v>
      </c>
      <c r="L59" s="581">
        <v>-28.922615476615704</v>
      </c>
      <c r="M59" s="581">
        <v>-49.174730278691243</v>
      </c>
      <c r="N59" s="581">
        <v>934.1427010982618</v>
      </c>
      <c r="O59" s="574"/>
      <c r="P59" s="582">
        <v>1129.201014258628</v>
      </c>
      <c r="Q59" s="572">
        <v>1129.201014258628</v>
      </c>
      <c r="R59" s="572"/>
      <c r="S59" s="572"/>
      <c r="T59" s="572"/>
      <c r="U59" s="574"/>
      <c r="V59">
        <v>-195.0583131603662</v>
      </c>
      <c r="W59" s="582">
        <v>-195.0583131603662</v>
      </c>
      <c r="X59" s="572">
        <f>W59</f>
        <v>-195.0583131603662</v>
      </c>
      <c r="Y59" s="572"/>
      <c r="Z59" s="572"/>
      <c r="AA59" s="572"/>
    </row>
    <row r="60" spans="1:28" x14ac:dyDescent="0.3">
      <c r="A60" s="583"/>
      <c r="B60" s="574"/>
      <c r="C60" s="574"/>
      <c r="D60" s="574"/>
      <c r="E60" s="574"/>
      <c r="F60" s="574"/>
      <c r="G60" s="574"/>
      <c r="H60" s="574"/>
      <c r="I60" s="574"/>
      <c r="J60" s="574"/>
      <c r="K60" s="574"/>
      <c r="L60" s="574"/>
      <c r="M60" s="574"/>
      <c r="N60" s="579"/>
      <c r="O60" s="574"/>
      <c r="P60" s="579"/>
      <c r="Q60" s="574"/>
      <c r="R60" s="574"/>
      <c r="S60" s="574"/>
      <c r="T60" s="574"/>
      <c r="U60" s="574"/>
      <c r="V60"/>
      <c r="W60" s="579"/>
      <c r="X60" s="574"/>
      <c r="Y60" s="574"/>
      <c r="Z60" s="574"/>
      <c r="AA60" s="574"/>
    </row>
    <row r="61" spans="1:28" x14ac:dyDescent="0.3">
      <c r="A61" s="382" t="s">
        <v>74</v>
      </c>
      <c r="B61" s="584">
        <v>3.850631330558258</v>
      </c>
      <c r="C61" s="584">
        <v>25.73881423876211</v>
      </c>
      <c r="D61" s="584">
        <v>44.841605151282494</v>
      </c>
      <c r="E61" s="584">
        <v>-63.826529006296937</v>
      </c>
      <c r="F61" s="584">
        <v>-60.830520471202789</v>
      </c>
      <c r="G61" s="584">
        <v>-67.706187064220885</v>
      </c>
      <c r="H61" s="584">
        <v>-87.778328644278986</v>
      </c>
      <c r="I61" s="584">
        <v>-101.05964169300051</v>
      </c>
      <c r="J61" s="584">
        <v>-136.30661200422179</v>
      </c>
      <c r="K61" s="584">
        <v>30.793958595439406</v>
      </c>
      <c r="L61" s="584">
        <v>-34.24107401917054</v>
      </c>
      <c r="M61" s="584">
        <v>-43.855030564365435</v>
      </c>
      <c r="N61" s="584">
        <v>-490.37891415071562</v>
      </c>
      <c r="O61" s="982"/>
      <c r="P61" s="585">
        <v>-50.225998756896871</v>
      </c>
      <c r="Q61" s="584">
        <v>-302.39489059846346</v>
      </c>
      <c r="R61" s="584">
        <v>119.11199999999999</v>
      </c>
      <c r="S61" s="584">
        <v>133.05581754815887</v>
      </c>
      <c r="T61" s="584"/>
      <c r="U61" s="105"/>
      <c r="V61"/>
      <c r="W61" s="585">
        <v>-440.15291539381872</v>
      </c>
      <c r="X61" s="584">
        <v>-681.61380912540335</v>
      </c>
      <c r="Y61" s="584">
        <v>157.14974771210365</v>
      </c>
      <c r="Z61" s="584">
        <v>84.311146019480887</v>
      </c>
      <c r="AA61" s="584"/>
      <c r="AB61" s="105">
        <f>+W61-Y61-Z61-X61</f>
        <v>0</v>
      </c>
    </row>
    <row r="62" spans="1:28" x14ac:dyDescent="0.3">
      <c r="A62" s="383" t="s">
        <v>75</v>
      </c>
      <c r="B62" s="586">
        <v>-9.945895665293417</v>
      </c>
      <c r="C62" s="586">
        <v>-14.54630544957892</v>
      </c>
      <c r="D62" s="586">
        <v>4.3597875673948714</v>
      </c>
      <c r="E62" s="586">
        <v>-1.5262964651115176</v>
      </c>
      <c r="F62" s="586">
        <v>10.758344246188734</v>
      </c>
      <c r="G62" s="586">
        <v>2.8968225435552952</v>
      </c>
      <c r="H62" s="586">
        <v>2.6861226030419125</v>
      </c>
      <c r="I62" s="586">
        <v>4.3590042180695932</v>
      </c>
      <c r="J62" s="586">
        <v>5.9593193989106439</v>
      </c>
      <c r="K62" s="586">
        <v>3.3611055525902387</v>
      </c>
      <c r="L62" s="586">
        <v>-2.2559435854888079</v>
      </c>
      <c r="M62" s="586">
        <v>-0.57802737430155204</v>
      </c>
      <c r="N62" s="587">
        <v>5.5280375899770746</v>
      </c>
      <c r="O62" s="574"/>
      <c r="P62" s="587">
        <v>-10.900365766400249</v>
      </c>
      <c r="Q62" s="586">
        <v>0.9265871685209639</v>
      </c>
      <c r="R62" s="586">
        <v>-14.600000000000001</v>
      </c>
      <c r="S62" s="586">
        <v>2.7732021173337547</v>
      </c>
      <c r="T62" s="586"/>
      <c r="U62" s="105"/>
      <c r="V62"/>
      <c r="W62" s="587">
        <v>16.428403356377324</v>
      </c>
      <c r="X62" s="586">
        <v>13</v>
      </c>
      <c r="Y62" s="586">
        <v>-3</v>
      </c>
      <c r="Z62" s="586">
        <v>6.9187443936463566</v>
      </c>
      <c r="AA62" s="586"/>
      <c r="AB62" s="105">
        <f t="shared" ref="AB62:AB89" si="26">+W62-Y62-Z62-X62</f>
        <v>-0.49034103726903311</v>
      </c>
    </row>
    <row r="63" spans="1:28" x14ac:dyDescent="0.3">
      <c r="A63" s="383" t="s">
        <v>141</v>
      </c>
      <c r="B63" s="586">
        <v>-1.836350821831477</v>
      </c>
      <c r="C63" s="586">
        <v>-1.774309197540358</v>
      </c>
      <c r="D63" s="586">
        <v>1.8460117905044395</v>
      </c>
      <c r="E63" s="586">
        <v>25.920569236604791</v>
      </c>
      <c r="F63" s="586">
        <v>4.5318459112124998</v>
      </c>
      <c r="G63" s="586">
        <v>0.34488569489592535</v>
      </c>
      <c r="H63" s="586">
        <v>0.1605430641413701</v>
      </c>
      <c r="I63" s="586">
        <v>0.93555785681545878</v>
      </c>
      <c r="J63" s="586">
        <v>0.81997237420658209</v>
      </c>
      <c r="K63" s="586">
        <v>1.4673366551308948</v>
      </c>
      <c r="L63" s="586">
        <v>0.49199848103395638</v>
      </c>
      <c r="M63" s="586">
        <v>2.5642615673686926</v>
      </c>
      <c r="N63" s="587">
        <v>35.472322612542769</v>
      </c>
      <c r="O63" s="574"/>
      <c r="P63" s="587">
        <v>28.687766918949897</v>
      </c>
      <c r="Q63" s="586">
        <v>28.450145737932591</v>
      </c>
      <c r="R63" s="586">
        <v>0</v>
      </c>
      <c r="S63" s="586">
        <v>0.24670067231095</v>
      </c>
      <c r="T63" s="586"/>
      <c r="U63" s="105"/>
      <c r="V63"/>
      <c r="W63" s="587">
        <v>6.7845556935928713</v>
      </c>
      <c r="X63" s="586">
        <v>3.8415835858680438</v>
      </c>
      <c r="Y63" s="586"/>
      <c r="Z63" s="586">
        <v>2.9429721077248274</v>
      </c>
      <c r="AA63" s="586"/>
      <c r="AB63" s="105">
        <f t="shared" si="26"/>
        <v>0</v>
      </c>
    </row>
    <row r="64" spans="1:28" x14ac:dyDescent="0.3">
      <c r="A64" s="4" t="s">
        <v>79</v>
      </c>
      <c r="B64" s="588">
        <v>-7.931615156566636</v>
      </c>
      <c r="C64" s="588">
        <v>9.418199591642832</v>
      </c>
      <c r="D64" s="588">
        <v>51.04740450918181</v>
      </c>
      <c r="E64" s="588">
        <v>-39.43225623480366</v>
      </c>
      <c r="F64" s="588">
        <v>-45.540330313801554</v>
      </c>
      <c r="G64" s="588">
        <v>-64.46447882576966</v>
      </c>
      <c r="H64" s="588">
        <v>-84.931662977095712</v>
      </c>
      <c r="I64" s="588">
        <v>-95.76507961811545</v>
      </c>
      <c r="J64" s="588">
        <v>-129.52732023110457</v>
      </c>
      <c r="K64" s="588">
        <v>35.622400803160538</v>
      </c>
      <c r="L64" s="588">
        <v>-36.005019123625388</v>
      </c>
      <c r="M64" s="588">
        <v>-41.868796371298302</v>
      </c>
      <c r="N64" s="588">
        <v>-449.37855394819576</v>
      </c>
      <c r="O64" s="574"/>
      <c r="P64" s="588">
        <v>-32.438597604347208</v>
      </c>
      <c r="Q64" s="588">
        <v>-273.01815769200994</v>
      </c>
      <c r="R64" s="588">
        <v>104.512</v>
      </c>
      <c r="S64" s="588">
        <v>136.07572033780357</v>
      </c>
      <c r="T64" s="588">
        <v>0</v>
      </c>
      <c r="U64" s="105"/>
      <c r="V64"/>
      <c r="W64" s="588">
        <v>-416.93995634384856</v>
      </c>
      <c r="X64" s="588">
        <v>-664.77222553953527</v>
      </c>
      <c r="Y64" s="588">
        <v>154.14974771210365</v>
      </c>
      <c r="Z64" s="588">
        <v>94.172862520852064</v>
      </c>
      <c r="AA64" s="588">
        <v>0</v>
      </c>
      <c r="AB64" s="105">
        <f t="shared" si="26"/>
        <v>-0.49034103726899048</v>
      </c>
    </row>
    <row r="65" spans="1:28" x14ac:dyDescent="0.3">
      <c r="A65" s="383" t="s">
        <v>80</v>
      </c>
      <c r="B65" s="586">
        <v>41.768166511777196</v>
      </c>
      <c r="C65" s="586">
        <v>2.8140731883988792</v>
      </c>
      <c r="D65" s="586">
        <v>-22.465181005166755</v>
      </c>
      <c r="E65" s="586">
        <v>7.2207334379732515</v>
      </c>
      <c r="F65" s="586">
        <v>19.295627984795317</v>
      </c>
      <c r="G65" s="586">
        <v>4.653537015483181</v>
      </c>
      <c r="H65" s="586">
        <v>4.1229505653006413</v>
      </c>
      <c r="I65" s="586">
        <v>1.5619264635669197</v>
      </c>
      <c r="J65" s="586">
        <v>-0.92605481658088706</v>
      </c>
      <c r="K65" s="586">
        <v>-0.95804215059942521</v>
      </c>
      <c r="L65" s="586">
        <v>-0.61219835758132035</v>
      </c>
      <c r="M65" s="586">
        <v>1.3566065827500893</v>
      </c>
      <c r="N65" s="587">
        <v>57.832145420117087</v>
      </c>
      <c r="O65" s="574"/>
      <c r="P65" s="587">
        <v>48.633420117777888</v>
      </c>
      <c r="Q65" s="586">
        <v>-36.249762589517928</v>
      </c>
      <c r="R65" s="586">
        <v>54.885923991730898</v>
      </c>
      <c r="S65" s="586">
        <v>29.998437431037672</v>
      </c>
      <c r="T65" s="586"/>
      <c r="U65" s="105"/>
      <c r="V65"/>
      <c r="W65" s="587">
        <v>9.1987253023391986</v>
      </c>
      <c r="X65" s="586">
        <v>-17.205483812593172</v>
      </c>
      <c r="Y65" s="586">
        <v>-19.595482799134146</v>
      </c>
      <c r="Z65" s="586">
        <v>45.999691914066517</v>
      </c>
      <c r="AA65" s="586"/>
      <c r="AB65" s="105">
        <f t="shared" si="26"/>
        <v>0</v>
      </c>
    </row>
    <row r="66" spans="1:28" x14ac:dyDescent="0.3">
      <c r="A66" s="383" t="s">
        <v>81</v>
      </c>
      <c r="B66" s="586">
        <v>8.5898946241478029</v>
      </c>
      <c r="C66" s="586">
        <v>-1.9189555897595199</v>
      </c>
      <c r="D66" s="586">
        <v>1.7958045431961978</v>
      </c>
      <c r="E66" s="586">
        <v>-18.064406472686457</v>
      </c>
      <c r="F66" s="586">
        <v>-3.1869398651679148</v>
      </c>
      <c r="G66" s="586">
        <v>2.0790851890325399</v>
      </c>
      <c r="H66" s="586">
        <v>0.83072542016849127</v>
      </c>
      <c r="I66" s="586">
        <v>0.34088166854104429</v>
      </c>
      <c r="J66" s="586">
        <v>2.1346999380646423</v>
      </c>
      <c r="K66" s="586">
        <v>2.0871447050493259</v>
      </c>
      <c r="L66" s="586">
        <v>2.1587712065480957</v>
      </c>
      <c r="M66" s="586">
        <v>2.2532616546911441</v>
      </c>
      <c r="N66" s="587">
        <v>-0.90003297817460748</v>
      </c>
      <c r="O66" s="574"/>
      <c r="P66" s="587">
        <v>-12.784602760269891</v>
      </c>
      <c r="Q66" s="586">
        <v>-23.694928715181021</v>
      </c>
      <c r="R66" s="586">
        <v>2.7795603040217598</v>
      </c>
      <c r="S66" s="586">
        <v>8.1379466126580287</v>
      </c>
      <c r="T66" s="586"/>
      <c r="U66" s="105"/>
      <c r="V66"/>
      <c r="W66" s="587">
        <v>11.884569782095284</v>
      </c>
      <c r="X66" s="586">
        <v>-23.202818000432881</v>
      </c>
      <c r="Y66" s="586">
        <v>14.946783470092807</v>
      </c>
      <c r="Z66" s="586">
        <v>20.140604312435329</v>
      </c>
      <c r="AA66" s="586"/>
      <c r="AB66" s="105">
        <f t="shared" si="26"/>
        <v>2.8421709430404007E-14</v>
      </c>
    </row>
    <row r="67" spans="1:28" x14ac:dyDescent="0.3">
      <c r="A67" s="383" t="s">
        <v>82</v>
      </c>
      <c r="B67" s="586">
        <v>-18.928770547539955</v>
      </c>
      <c r="C67" s="586">
        <v>67.511113790441613</v>
      </c>
      <c r="D67" s="586">
        <v>-46.719596456877753</v>
      </c>
      <c r="E67" s="586">
        <v>-90.961276793068478</v>
      </c>
      <c r="F67" s="586">
        <v>11.489655672169846</v>
      </c>
      <c r="G67" s="586">
        <v>8.0632145682378109</v>
      </c>
      <c r="H67" s="586">
        <v>5.6962290565597016</v>
      </c>
      <c r="I67" s="586">
        <v>11.683442360661246</v>
      </c>
      <c r="J67" s="586">
        <v>35.834369973517425</v>
      </c>
      <c r="K67" s="586">
        <v>-8.7406071604002875</v>
      </c>
      <c r="L67" s="586">
        <v>-2.672540407646693</v>
      </c>
      <c r="M67" s="586">
        <v>-9.6112944584297679</v>
      </c>
      <c r="N67" s="587">
        <v>-37.356060402375292</v>
      </c>
      <c r="O67" s="574"/>
      <c r="P67" s="587">
        <v>-77.608874334874727</v>
      </c>
      <c r="Q67" s="586">
        <v>-104.06906637331586</v>
      </c>
      <c r="R67" s="586">
        <v>18.013999999999999</v>
      </c>
      <c r="S67" s="586">
        <v>8.4394585404260631</v>
      </c>
      <c r="T67" s="586"/>
      <c r="U67" s="105"/>
      <c r="V67"/>
      <c r="W67" s="587">
        <v>40.252813932499436</v>
      </c>
      <c r="X67" s="586">
        <v>3.6303113088381735</v>
      </c>
      <c r="Y67" s="586"/>
      <c r="Z67" s="586">
        <v>36.622502623661262</v>
      </c>
      <c r="AA67" s="586"/>
      <c r="AB67" s="105">
        <f t="shared" si="26"/>
        <v>0</v>
      </c>
    </row>
    <row r="68" spans="1:28" x14ac:dyDescent="0.3">
      <c r="A68" s="383" t="s">
        <v>83</v>
      </c>
      <c r="B68" s="586">
        <v>-0.71595999999999993</v>
      </c>
      <c r="C68" s="586">
        <v>-1.9222900000000003</v>
      </c>
      <c r="D68" s="586">
        <v>-2.4577300000000002</v>
      </c>
      <c r="E68" s="586">
        <v>-1.1946699999999999</v>
      </c>
      <c r="F68" s="586">
        <v>-5.4603799999999998</v>
      </c>
      <c r="G68" s="586">
        <v>0.73124103132805462</v>
      </c>
      <c r="H68" s="586">
        <v>0.16298535735997977</v>
      </c>
      <c r="I68" s="586">
        <v>1.0557236146813311</v>
      </c>
      <c r="J68" s="586">
        <v>-2.1475313146503083E-2</v>
      </c>
      <c r="K68" s="586">
        <v>0.36386793392316275</v>
      </c>
      <c r="L68" s="586">
        <v>-0.35740225461775577</v>
      </c>
      <c r="M68" s="586">
        <v>0.42545646394671444</v>
      </c>
      <c r="N68" s="587">
        <v>-9.3906331665250189</v>
      </c>
      <c r="O68" s="574"/>
      <c r="P68" s="587">
        <v>-11.75103</v>
      </c>
      <c r="Q68" s="586">
        <v>-6.0189679759730232</v>
      </c>
      <c r="R68" s="586">
        <v>-5.4139999999999997</v>
      </c>
      <c r="S68" s="586">
        <v>-0.31923084904813837</v>
      </c>
      <c r="T68" s="586"/>
      <c r="U68" s="105"/>
      <c r="V68"/>
      <c r="W68" s="587">
        <v>2.3603968334749812</v>
      </c>
      <c r="X68" s="586">
        <v>1.1940612372578139</v>
      </c>
      <c r="Y68" s="586"/>
      <c r="Z68" s="586">
        <v>1.1663355962171673</v>
      </c>
      <c r="AA68" s="586"/>
      <c r="AB68" s="105">
        <f t="shared" si="26"/>
        <v>0</v>
      </c>
    </row>
    <row r="69" spans="1:28" x14ac:dyDescent="0.3">
      <c r="A69" s="383" t="s">
        <v>84</v>
      </c>
      <c r="B69" s="586">
        <v>3.4758806587722972</v>
      </c>
      <c r="C69" s="586">
        <v>-7.5784653888396747</v>
      </c>
      <c r="D69" s="586">
        <v>-8.3359835219231684</v>
      </c>
      <c r="E69" s="586">
        <v>-45.916888494505592</v>
      </c>
      <c r="F69" s="586">
        <v>-5.3256902901532897</v>
      </c>
      <c r="G69" s="586">
        <v>4.4640845298263798</v>
      </c>
      <c r="H69" s="586">
        <v>-2.7993260468890782</v>
      </c>
      <c r="I69" s="586">
        <v>-2.7652044115963719</v>
      </c>
      <c r="J69" s="586">
        <v>-2.731353582932897</v>
      </c>
      <c r="K69" s="586">
        <v>5.1724215401152094</v>
      </c>
      <c r="L69" s="586">
        <v>5.2439450025701859</v>
      </c>
      <c r="M69" s="586">
        <v>5.3142383317642867</v>
      </c>
      <c r="N69" s="587">
        <v>-51.78234167379172</v>
      </c>
      <c r="O69" s="574"/>
      <c r="P69" s="587">
        <v>-63.681147036649428</v>
      </c>
      <c r="Q69" s="586">
        <v>-62.884091990817453</v>
      </c>
      <c r="R69" s="586">
        <v>0</v>
      </c>
      <c r="S69" s="586">
        <v>-0.80239046765572786</v>
      </c>
      <c r="T69" s="586"/>
      <c r="U69" s="105"/>
      <c r="V69"/>
      <c r="W69" s="587">
        <v>11.898805362857708</v>
      </c>
      <c r="X69" s="586">
        <v>3.3966805344225151</v>
      </c>
      <c r="Y69" s="586"/>
      <c r="Z69" s="586">
        <v>8.5021248284351927</v>
      </c>
      <c r="AA69" s="586"/>
      <c r="AB69" s="105">
        <f t="shared" si="26"/>
        <v>0</v>
      </c>
    </row>
    <row r="70" spans="1:28" x14ac:dyDescent="0.3">
      <c r="A70" s="383" t="s">
        <v>86</v>
      </c>
      <c r="B70" s="586">
        <v>9.5564881465310805</v>
      </c>
      <c r="C70" s="586">
        <v>8.4431558840506682</v>
      </c>
      <c r="D70" s="586">
        <v>10.670501336242751</v>
      </c>
      <c r="E70" s="586">
        <v>-162.19022143443954</v>
      </c>
      <c r="F70" s="586">
        <v>-32.621235913029636</v>
      </c>
      <c r="G70" s="586">
        <v>-12.872437691970219</v>
      </c>
      <c r="H70" s="586">
        <v>-28.834385435619481</v>
      </c>
      <c r="I70" s="586">
        <v>-26.594986438688863</v>
      </c>
      <c r="J70" s="586">
        <v>-26.90068781446854</v>
      </c>
      <c r="K70" s="586">
        <v>-24.196744165053246</v>
      </c>
      <c r="L70" s="586">
        <v>-19.838939682684497</v>
      </c>
      <c r="M70" s="586">
        <v>-28.583885840497885</v>
      </c>
      <c r="N70" s="587">
        <v>-333.96337904962741</v>
      </c>
      <c r="O70" s="574"/>
      <c r="P70" s="587">
        <v>-166.14131198064467</v>
      </c>
      <c r="Q70" s="586">
        <v>-194.81145734746917</v>
      </c>
      <c r="R70" s="586">
        <v>0</v>
      </c>
      <c r="S70" s="586">
        <v>28.67</v>
      </c>
      <c r="T70" s="586"/>
      <c r="U70" s="105"/>
      <c r="V70"/>
      <c r="W70" s="587">
        <v>-167.82206706898273</v>
      </c>
      <c r="X70" s="586">
        <v>-167.82206706898273</v>
      </c>
      <c r="Y70" s="586"/>
      <c r="Z70" s="586"/>
      <c r="AA70" s="586"/>
      <c r="AB70" s="105">
        <f t="shared" si="26"/>
        <v>0</v>
      </c>
    </row>
    <row r="71" spans="1:28" x14ac:dyDescent="0.3">
      <c r="A71" s="4" t="s">
        <v>87</v>
      </c>
      <c r="B71" s="588">
        <v>43.745699393688426</v>
      </c>
      <c r="C71" s="588">
        <v>67.348631884291962</v>
      </c>
      <c r="D71" s="588">
        <v>-67.512185104528726</v>
      </c>
      <c r="E71" s="588">
        <v>-311.10672975672685</v>
      </c>
      <c r="F71" s="588">
        <v>-15.808962411385679</v>
      </c>
      <c r="G71" s="588">
        <v>7.1187246419377459</v>
      </c>
      <c r="H71" s="588">
        <v>-20.820821083119746</v>
      </c>
      <c r="I71" s="588">
        <v>-14.718216742834695</v>
      </c>
      <c r="J71" s="588">
        <v>7.3894983844532405</v>
      </c>
      <c r="K71" s="588">
        <v>-26.27195929696526</v>
      </c>
      <c r="L71" s="588">
        <v>-16.078364493411986</v>
      </c>
      <c r="M71" s="588">
        <v>-28.845617265775417</v>
      </c>
      <c r="N71" s="588">
        <v>-375.56030185037696</v>
      </c>
      <c r="O71" s="574"/>
      <c r="P71" s="588">
        <v>-283.33354599466088</v>
      </c>
      <c r="Q71" s="588">
        <v>-427.72827499227446</v>
      </c>
      <c r="R71" s="588">
        <v>70.265484295752657</v>
      </c>
      <c r="S71" s="588">
        <v>74.124221267417894</v>
      </c>
      <c r="T71" s="588">
        <v>0</v>
      </c>
      <c r="U71" s="105"/>
      <c r="V71"/>
      <c r="W71" s="588">
        <v>-92.226755855716078</v>
      </c>
      <c r="X71" s="588">
        <v>-200.00931580149029</v>
      </c>
      <c r="Y71" s="588">
        <v>-4.6486993290413388</v>
      </c>
      <c r="Z71" s="588">
        <v>112.43125927481546</v>
      </c>
      <c r="AA71" s="588">
        <v>0</v>
      </c>
      <c r="AB71" s="105">
        <f t="shared" si="26"/>
        <v>0</v>
      </c>
    </row>
    <row r="72" spans="1:28" x14ac:dyDescent="0.3">
      <c r="A72" s="5" t="s">
        <v>88</v>
      </c>
      <c r="B72" s="58">
        <v>35.81408423712179</v>
      </c>
      <c r="C72" s="58">
        <v>76.766831475934794</v>
      </c>
      <c r="D72" s="58">
        <v>-16.464780595346916</v>
      </c>
      <c r="E72" s="58">
        <v>-350.53898599153052</v>
      </c>
      <c r="F72" s="58">
        <v>-61.349292725187233</v>
      </c>
      <c r="G72" s="58">
        <v>-57.345754183831914</v>
      </c>
      <c r="H72" s="58">
        <v>-105.75248406021547</v>
      </c>
      <c r="I72" s="58">
        <v>-110.48329636095015</v>
      </c>
      <c r="J72" s="58">
        <v>-122.13782184665132</v>
      </c>
      <c r="K72" s="58">
        <v>9.3504415061952777</v>
      </c>
      <c r="L72" s="58">
        <v>-52.08338361703737</v>
      </c>
      <c r="M72" s="58">
        <v>-70.714413637073719</v>
      </c>
      <c r="N72" s="58">
        <v>-824.93885579857272</v>
      </c>
      <c r="O72" s="574"/>
      <c r="P72" s="58">
        <v>-315.77214359900807</v>
      </c>
      <c r="Q72" s="58">
        <v>-700.7464326842844</v>
      </c>
      <c r="R72" s="58">
        <v>174.77748429575266</v>
      </c>
      <c r="S72" s="58">
        <v>210.19994160522145</v>
      </c>
      <c r="T72" s="58">
        <v>0</v>
      </c>
      <c r="U72" s="105"/>
      <c r="V72"/>
      <c r="W72" s="58">
        <v>-509.16671219956464</v>
      </c>
      <c r="X72" s="58">
        <v>-864.78154134102556</v>
      </c>
      <c r="Y72" s="58">
        <v>149.50104838306231</v>
      </c>
      <c r="Z72" s="58">
        <v>206.60412179566754</v>
      </c>
      <c r="AA72" s="58">
        <v>0</v>
      </c>
      <c r="AB72" s="105">
        <f t="shared" si="26"/>
        <v>-0.49034103726887679</v>
      </c>
    </row>
    <row r="73" spans="1:28" x14ac:dyDescent="0.3">
      <c r="A73" s="383" t="s">
        <v>89</v>
      </c>
      <c r="B73" s="586">
        <v>-3.8459299443241335</v>
      </c>
      <c r="C73" s="586">
        <v>-6.2792948459896962</v>
      </c>
      <c r="D73" s="586">
        <v>14.301274567969617</v>
      </c>
      <c r="E73" s="586">
        <v>-7.5195740440629528</v>
      </c>
      <c r="F73" s="586">
        <v>-4.1547979051478556</v>
      </c>
      <c r="G73" s="586">
        <v>-7.0211712700538165</v>
      </c>
      <c r="H73" s="586">
        <v>1.4150048829463238</v>
      </c>
      <c r="I73" s="586">
        <v>1.4150005979615052</v>
      </c>
      <c r="J73" s="586">
        <v>1.4150027701675327</v>
      </c>
      <c r="K73" s="586">
        <v>1.4150044003889093</v>
      </c>
      <c r="L73" s="586">
        <v>1.4149980835466884</v>
      </c>
      <c r="M73" s="586">
        <v>1.4150027022106642</v>
      </c>
      <c r="N73" s="587">
        <v>-6.0294800043872137</v>
      </c>
      <c r="O73" s="574"/>
      <c r="P73" s="587">
        <v>-7.4983221715550208</v>
      </c>
      <c r="Q73" s="586">
        <v>-6.8541513980662341</v>
      </c>
      <c r="R73" s="586">
        <v>0</v>
      </c>
      <c r="S73" s="586">
        <v>-0.64894598317495966</v>
      </c>
      <c r="T73" s="586"/>
      <c r="U73" s="105"/>
      <c r="V73"/>
      <c r="W73" s="587">
        <v>1.4688421671678071</v>
      </c>
      <c r="X73" s="586">
        <v>-2.3255120438531431</v>
      </c>
      <c r="Y73" s="586"/>
      <c r="Z73" s="586">
        <v>3.7943542110209503</v>
      </c>
      <c r="AA73" s="586"/>
      <c r="AB73" s="105">
        <f t="shared" si="26"/>
        <v>0</v>
      </c>
    </row>
    <row r="74" spans="1:28" x14ac:dyDescent="0.3">
      <c r="A74" s="5" t="s">
        <v>90</v>
      </c>
      <c r="B74" s="58">
        <v>31.968154292797657</v>
      </c>
      <c r="C74" s="58">
        <v>70.487536629945097</v>
      </c>
      <c r="D74" s="58">
        <v>-2.1635060273772986</v>
      </c>
      <c r="E74" s="58">
        <v>-358.05856003559347</v>
      </c>
      <c r="F74" s="58">
        <v>-65.504090630335085</v>
      </c>
      <c r="G74" s="58">
        <v>-64.366925453885727</v>
      </c>
      <c r="H74" s="58">
        <v>-104.33747917726915</v>
      </c>
      <c r="I74" s="58">
        <v>-109.06829576298864</v>
      </c>
      <c r="J74" s="58">
        <v>-120.72281907648379</v>
      </c>
      <c r="K74" s="58">
        <v>10.765445906584187</v>
      </c>
      <c r="L74" s="58">
        <v>-50.668385533490678</v>
      </c>
      <c r="M74" s="58">
        <v>-69.299410934863062</v>
      </c>
      <c r="N74" s="58">
        <v>-830.96833580295993</v>
      </c>
      <c r="O74" s="574"/>
      <c r="P74" s="58">
        <v>-323.27046577056313</v>
      </c>
      <c r="Q74" s="58">
        <v>-707.60058408235068</v>
      </c>
      <c r="R74" s="58">
        <v>174.77748429575266</v>
      </c>
      <c r="S74" s="58">
        <v>209.55099562204649</v>
      </c>
      <c r="T74" s="58">
        <v>0</v>
      </c>
      <c r="U74" s="105"/>
      <c r="V74"/>
      <c r="W74" s="58">
        <v>-507.69787003239679</v>
      </c>
      <c r="X74" s="58">
        <v>-867.10705338487867</v>
      </c>
      <c r="Y74" s="58">
        <v>149.50104838306231</v>
      </c>
      <c r="Z74" s="58">
        <v>210.3984760066885</v>
      </c>
      <c r="AA74" s="58">
        <v>0</v>
      </c>
      <c r="AB74" s="105">
        <f t="shared" si="26"/>
        <v>-0.49034103726887679</v>
      </c>
    </row>
    <row r="75" spans="1:28" x14ac:dyDescent="0.3">
      <c r="A75" s="514" t="s">
        <v>91</v>
      </c>
      <c r="B75" s="984">
        <v>-22.785653979865913</v>
      </c>
      <c r="C75" s="984">
        <v>-20.524111717384415</v>
      </c>
      <c r="D75" s="984">
        <v>-27.34751383624473</v>
      </c>
      <c r="E75" s="984">
        <v>-376.14383106556062</v>
      </c>
      <c r="F75" s="984">
        <v>-114.29902658697154</v>
      </c>
      <c r="G75" s="984">
        <v>-111.56866088537663</v>
      </c>
      <c r="H75" s="984">
        <v>-113.45359637899384</v>
      </c>
      <c r="I75" s="984">
        <v>-112.74535271473707</v>
      </c>
      <c r="J75" s="984">
        <v>-108.88673257594417</v>
      </c>
      <c r="K75" s="984">
        <v>-112.34593165503992</v>
      </c>
      <c r="L75" s="984">
        <v>-109.80119404106068</v>
      </c>
      <c r="M75" s="984">
        <v>-112.86318255808857</v>
      </c>
      <c r="N75" s="984">
        <v>-1342.7647879952679</v>
      </c>
      <c r="O75" s="574"/>
      <c r="P75" s="619">
        <v>-561.10013718602727</v>
      </c>
      <c r="Q75" s="984">
        <v>0</v>
      </c>
      <c r="R75" s="984">
        <v>0</v>
      </c>
      <c r="S75" s="984">
        <v>-561.10285765253218</v>
      </c>
      <c r="T75" s="984"/>
      <c r="U75" s="105"/>
      <c r="V75"/>
      <c r="W75" s="984">
        <v>-781.66465080924058</v>
      </c>
      <c r="X75" s="984">
        <v>-781.66465080924058</v>
      </c>
      <c r="Y75" s="984"/>
      <c r="Z75" s="984"/>
      <c r="AA75" s="984"/>
      <c r="AB75" s="105">
        <f t="shared" si="26"/>
        <v>0</v>
      </c>
    </row>
    <row r="76" spans="1:28" x14ac:dyDescent="0.3">
      <c r="A76" s="517" t="s">
        <v>92</v>
      </c>
      <c r="B76" s="617">
        <v>9.1825003129317437</v>
      </c>
      <c r="C76" s="617">
        <v>49.963424912560683</v>
      </c>
      <c r="D76" s="617">
        <v>-29.511019863622028</v>
      </c>
      <c r="E76" s="617">
        <v>-734.20239110115403</v>
      </c>
      <c r="F76" s="617">
        <v>-179.80311721730664</v>
      </c>
      <c r="G76" s="617">
        <v>-175.93558633926236</v>
      </c>
      <c r="H76" s="617">
        <v>-217.79107555626297</v>
      </c>
      <c r="I76" s="617">
        <v>-221.81364847772571</v>
      </c>
      <c r="J76" s="617">
        <v>-229.60955165242797</v>
      </c>
      <c r="K76" s="617">
        <v>-101.58048574845573</v>
      </c>
      <c r="L76" s="617">
        <v>-160.46957957455135</v>
      </c>
      <c r="M76" s="617">
        <v>-182.16259349295163</v>
      </c>
      <c r="N76" s="617">
        <v>-2173.733123798228</v>
      </c>
      <c r="O76" s="574"/>
      <c r="P76" s="58">
        <v>-884.37060295659023</v>
      </c>
      <c r="Q76" s="58">
        <v>-707.60058408235068</v>
      </c>
      <c r="R76" s="58">
        <v>174.77748429575266</v>
      </c>
      <c r="S76" s="58">
        <v>-351.55186203048572</v>
      </c>
      <c r="T76" s="58">
        <v>0</v>
      </c>
      <c r="U76" s="105"/>
      <c r="V76"/>
      <c r="W76" s="617">
        <v>-1289.3625208416379</v>
      </c>
      <c r="X76" s="617">
        <v>-1648.7717041941191</v>
      </c>
      <c r="Y76" s="617">
        <v>149.50104838306231</v>
      </c>
      <c r="Z76" s="617">
        <v>210.3984760066885</v>
      </c>
      <c r="AA76" s="617">
        <v>0</v>
      </c>
      <c r="AB76" s="105">
        <f t="shared" si="26"/>
        <v>-0.4903410372696726</v>
      </c>
    </row>
    <row r="77" spans="1:28" x14ac:dyDescent="0.3">
      <c r="A77" s="51"/>
      <c r="B77" s="277"/>
      <c r="C77" s="277"/>
      <c r="D77" s="277"/>
      <c r="E77" s="277"/>
      <c r="F77" s="277"/>
      <c r="G77" s="277"/>
      <c r="H77" s="277"/>
      <c r="I77" s="277"/>
      <c r="J77" s="277"/>
      <c r="K77" s="277"/>
      <c r="L77" s="277"/>
      <c r="M77" s="277"/>
      <c r="N77" s="589"/>
      <c r="O77" s="574"/>
      <c r="P77" s="589"/>
      <c r="Q77" s="277"/>
      <c r="R77" s="277"/>
      <c r="S77" s="277"/>
      <c r="T77" s="277"/>
      <c r="U77" s="105"/>
      <c r="V77"/>
      <c r="W77" s="589"/>
      <c r="X77" s="277"/>
      <c r="Y77" s="277"/>
      <c r="Z77" s="277"/>
      <c r="AA77" s="277"/>
      <c r="AB77" s="105"/>
    </row>
    <row r="78" spans="1:28" x14ac:dyDescent="0.3">
      <c r="A78" s="382" t="s">
        <v>76</v>
      </c>
      <c r="B78" s="584">
        <v>-6.3536255958525238</v>
      </c>
      <c r="C78" s="584">
        <v>-7.9341942485383399</v>
      </c>
      <c r="D78" s="584">
        <v>-3.8911485486383572</v>
      </c>
      <c r="E78" s="584">
        <v>35.691837563011887</v>
      </c>
      <c r="F78" s="584">
        <v>3.3411161665007683</v>
      </c>
      <c r="G78" s="584">
        <v>2.0421797154226224</v>
      </c>
      <c r="H78" s="584">
        <v>1.6315781796275104</v>
      </c>
      <c r="I78" s="584">
        <v>2.0510594594870524</v>
      </c>
      <c r="J78" s="584">
        <v>2.6270537803357463</v>
      </c>
      <c r="K78" s="584">
        <v>3.10400423266596</v>
      </c>
      <c r="L78" s="584">
        <v>2.1121476641540085</v>
      </c>
      <c r="M78" s="584">
        <v>2.2320453143124546</v>
      </c>
      <c r="N78" s="584">
        <v>36.654053682488794</v>
      </c>
      <c r="O78" s="574"/>
      <c r="P78" s="585">
        <v>20.853985336483433</v>
      </c>
      <c r="Q78" s="584">
        <v>21.113015542843087</v>
      </c>
      <c r="R78" s="584">
        <v>-1.5391318133304281</v>
      </c>
      <c r="S78" s="584">
        <v>1.2846766966483594</v>
      </c>
      <c r="T78" s="584"/>
      <c r="U78" s="105"/>
      <c r="V78"/>
      <c r="W78" s="585">
        <v>15.800068346005361</v>
      </c>
      <c r="X78" s="584">
        <v>15.800068346005361</v>
      </c>
      <c r="Y78" s="585"/>
      <c r="Z78" s="584"/>
      <c r="AA78" s="584"/>
      <c r="AB78" s="105">
        <f t="shared" si="26"/>
        <v>0</v>
      </c>
    </row>
    <row r="79" spans="1:28" x14ac:dyDescent="0.3">
      <c r="A79" s="383" t="s">
        <v>77</v>
      </c>
      <c r="B79" s="586">
        <v>-7.1277019298245534</v>
      </c>
      <c r="C79" s="586">
        <v>-12.295643333333317</v>
      </c>
      <c r="D79" s="586">
        <v>-7.3862921052631485</v>
      </c>
      <c r="E79" s="586">
        <v>-16.106707368421034</v>
      </c>
      <c r="F79" s="586">
        <v>-5.5727435087719499</v>
      </c>
      <c r="G79" s="586">
        <v>2.1883729326981793</v>
      </c>
      <c r="H79" s="586">
        <v>2.7201139929514966</v>
      </c>
      <c r="I79" s="586">
        <v>0.10005917893591487</v>
      </c>
      <c r="J79" s="586">
        <v>1.6323765442055915</v>
      </c>
      <c r="K79" s="586">
        <v>-0.80566603904731693</v>
      </c>
      <c r="L79" s="586">
        <v>1.7154079427662978</v>
      </c>
      <c r="M79" s="586">
        <v>0.78197965109250589</v>
      </c>
      <c r="N79" s="587">
        <v>-40.15644404201133</v>
      </c>
      <c r="O79" s="574"/>
      <c r="P79" s="587">
        <v>-48.489088245613999</v>
      </c>
      <c r="Q79" s="586">
        <v>6.2775491228070166</v>
      </c>
      <c r="R79" s="586">
        <v>-44.259</v>
      </c>
      <c r="S79" s="586">
        <v>-10.518000000000001</v>
      </c>
      <c r="T79" s="586"/>
      <c r="U79" s="105"/>
      <c r="V79"/>
      <c r="W79" s="587">
        <v>8.3326442036026691</v>
      </c>
      <c r="X79" s="586">
        <v>17.245909899631364</v>
      </c>
      <c r="Y79" s="587"/>
      <c r="Z79" s="586">
        <v>-8.9132656960286951</v>
      </c>
      <c r="AA79" s="586"/>
      <c r="AB79" s="105">
        <f t="shared" si="26"/>
        <v>0</v>
      </c>
    </row>
    <row r="80" spans="1:28" x14ac:dyDescent="0.3">
      <c r="A80" s="383" t="s">
        <v>144</v>
      </c>
      <c r="B80" s="586">
        <v>-2.7324800000000007</v>
      </c>
      <c r="C80" s="586">
        <v>-0.15481999999999996</v>
      </c>
      <c r="D80" s="586">
        <v>-0.55567000000000011</v>
      </c>
      <c r="E80" s="586">
        <v>65.577179999999998</v>
      </c>
      <c r="F80" s="586">
        <v>10.062050000000001</v>
      </c>
      <c r="G80" s="586">
        <v>0</v>
      </c>
      <c r="H80" s="586">
        <v>0</v>
      </c>
      <c r="I80" s="586">
        <v>0</v>
      </c>
      <c r="J80" s="586">
        <v>0</v>
      </c>
      <c r="K80" s="586">
        <v>0</v>
      </c>
      <c r="L80" s="586">
        <v>0</v>
      </c>
      <c r="M80" s="586">
        <v>0</v>
      </c>
      <c r="N80" s="587">
        <v>72.196259999999995</v>
      </c>
      <c r="O80" s="574"/>
      <c r="P80" s="587">
        <v>72.196259999999995</v>
      </c>
      <c r="Q80" s="586">
        <v>76.176909999999992</v>
      </c>
      <c r="R80" s="586">
        <v>-3.9776799999999999</v>
      </c>
      <c r="S80" s="586">
        <v>0</v>
      </c>
      <c r="T80" s="586"/>
      <c r="U80" s="105"/>
      <c r="V80"/>
      <c r="W80" s="587">
        <v>0</v>
      </c>
      <c r="X80" s="586"/>
      <c r="Y80" s="587"/>
      <c r="Z80" s="586">
        <v>0</v>
      </c>
      <c r="AA80" s="586"/>
      <c r="AB80" s="105">
        <f t="shared" si="26"/>
        <v>0</v>
      </c>
    </row>
    <row r="81" spans="1:28" x14ac:dyDescent="0.3">
      <c r="A81" s="383" t="s">
        <v>85</v>
      </c>
      <c r="B81" s="586">
        <v>-35.068060000000003</v>
      </c>
      <c r="C81" s="586">
        <v>-3.9061899999999996</v>
      </c>
      <c r="D81" s="586">
        <v>191.17382999999998</v>
      </c>
      <c r="E81" s="586">
        <v>-186.1679</v>
      </c>
      <c r="F81" s="586">
        <v>38.021999999999998</v>
      </c>
      <c r="G81" s="586">
        <v>6.9704769610052804</v>
      </c>
      <c r="H81" s="586">
        <v>0.25047317560047411</v>
      </c>
      <c r="I81" s="586">
        <v>0.18499322976237664</v>
      </c>
      <c r="J81" s="586">
        <v>0.12003296603410263</v>
      </c>
      <c r="K81" s="586">
        <v>-1.9623620605304204E-2</v>
      </c>
      <c r="L81" s="586">
        <v>-0.15687825120914578</v>
      </c>
      <c r="M81" s="586">
        <v>-0.29177223706058619</v>
      </c>
      <c r="N81" s="587">
        <v>11.11138222352716</v>
      </c>
      <c r="O81" s="574"/>
      <c r="P81" s="587">
        <v>4.0536799999999644</v>
      </c>
      <c r="Q81" s="586">
        <v>4.0440999999999931</v>
      </c>
      <c r="R81" s="586">
        <v>0</v>
      </c>
      <c r="S81" s="586">
        <v>0</v>
      </c>
      <c r="T81" s="586"/>
      <c r="U81" s="105"/>
      <c r="V81"/>
      <c r="W81" s="587">
        <v>7.0577022235271958</v>
      </c>
      <c r="X81" s="586">
        <v>7.0577022235271958</v>
      </c>
      <c r="Y81" s="587"/>
      <c r="Z81" s="586">
        <v>0</v>
      </c>
      <c r="AA81" s="586"/>
      <c r="AB81" s="105">
        <f t="shared" si="26"/>
        <v>0</v>
      </c>
    </row>
    <row r="82" spans="1:28" x14ac:dyDescent="0.3">
      <c r="A82" s="397" t="s">
        <v>145</v>
      </c>
      <c r="B82" s="590">
        <v>0</v>
      </c>
      <c r="C82" s="590">
        <v>0</v>
      </c>
      <c r="D82" s="590">
        <v>0</v>
      </c>
      <c r="E82" s="590">
        <v>0</v>
      </c>
      <c r="F82" s="590">
        <v>0</v>
      </c>
      <c r="G82" s="590">
        <v>0</v>
      </c>
      <c r="H82" s="590">
        <v>0</v>
      </c>
      <c r="I82" s="590">
        <v>0</v>
      </c>
      <c r="J82" s="590">
        <v>0</v>
      </c>
      <c r="K82" s="590">
        <v>0</v>
      </c>
      <c r="L82" s="590">
        <v>0</v>
      </c>
      <c r="M82" s="590">
        <v>0</v>
      </c>
      <c r="N82" s="591">
        <v>0</v>
      </c>
      <c r="O82" s="574"/>
      <c r="P82" s="591">
        <v>0</v>
      </c>
      <c r="Q82" s="590">
        <v>0</v>
      </c>
      <c r="R82" s="590">
        <v>0</v>
      </c>
      <c r="S82" s="590">
        <v>0</v>
      </c>
      <c r="T82" s="590"/>
      <c r="U82" s="105"/>
      <c r="V82"/>
      <c r="W82" s="591">
        <v>0</v>
      </c>
      <c r="X82" s="590"/>
      <c r="Y82" s="591"/>
      <c r="Z82" s="590">
        <v>0</v>
      </c>
      <c r="AA82" s="590"/>
      <c r="AB82" s="105">
        <f t="shared" si="26"/>
        <v>0</v>
      </c>
    </row>
    <row r="83" spans="1:28" x14ac:dyDescent="0.3">
      <c r="A83" s="274" t="s">
        <v>146</v>
      </c>
      <c r="B83" s="275">
        <v>-51.281867525677079</v>
      </c>
      <c r="C83" s="275">
        <v>-24.290847581871656</v>
      </c>
      <c r="D83" s="275">
        <v>179.34071934609847</v>
      </c>
      <c r="E83" s="275">
        <v>-101.00558980540916</v>
      </c>
      <c r="F83" s="275">
        <v>45.852422657728816</v>
      </c>
      <c r="G83" s="275">
        <v>11.201029609126081</v>
      </c>
      <c r="H83" s="275">
        <v>4.6021653481794811</v>
      </c>
      <c r="I83" s="275">
        <v>2.3361118681853439</v>
      </c>
      <c r="J83" s="275">
        <v>4.3794632905754405</v>
      </c>
      <c r="K83" s="275">
        <v>2.2787145730133389</v>
      </c>
      <c r="L83" s="275">
        <v>3.6706773557111605</v>
      </c>
      <c r="M83" s="275">
        <v>2.7222527283443743</v>
      </c>
      <c r="N83" s="275">
        <v>79.805251864004617</v>
      </c>
      <c r="O83" s="574"/>
      <c r="P83" s="275">
        <v>48.614837090869393</v>
      </c>
      <c r="Q83" s="275">
        <v>107.6115746656501</v>
      </c>
      <c r="R83" s="275">
        <v>-49.775811813330428</v>
      </c>
      <c r="S83" s="275">
        <v>-9.2333233033516411</v>
      </c>
      <c r="T83" s="275">
        <v>0</v>
      </c>
      <c r="U83" s="105"/>
      <c r="V83"/>
      <c r="W83" s="275">
        <v>31.190414773135224</v>
      </c>
      <c r="X83" s="275">
        <v>40.103680469163919</v>
      </c>
      <c r="Y83" s="275">
        <v>0</v>
      </c>
      <c r="Z83" s="275">
        <v>-8.9132656960286951</v>
      </c>
      <c r="AA83" s="275">
        <v>0</v>
      </c>
      <c r="AB83" s="105">
        <f t="shared" si="26"/>
        <v>0</v>
      </c>
    </row>
    <row r="84" spans="1:28" x14ac:dyDescent="0.3">
      <c r="A84" s="51"/>
      <c r="B84" s="277"/>
      <c r="C84" s="574"/>
      <c r="D84" s="574"/>
      <c r="E84" s="574"/>
      <c r="F84" s="574"/>
      <c r="G84" s="574"/>
      <c r="H84" s="574"/>
      <c r="I84" s="574"/>
      <c r="J84" s="574"/>
      <c r="K84" s="574"/>
      <c r="L84" s="574"/>
      <c r="M84" s="574"/>
      <c r="N84" s="579"/>
      <c r="O84" s="574"/>
      <c r="P84" s="579"/>
      <c r="Q84" s="574"/>
      <c r="R84" s="574"/>
      <c r="S84" s="574"/>
      <c r="T84" s="574"/>
      <c r="U84" s="105"/>
      <c r="V84"/>
      <c r="W84" s="579"/>
      <c r="X84" s="574"/>
      <c r="Y84" s="574"/>
      <c r="Z84" s="574"/>
      <c r="AA84" s="574"/>
      <c r="AB84" s="105">
        <f t="shared" ref="AB84" si="27">+W84-Y84-Z84</f>
        <v>0</v>
      </c>
    </row>
    <row r="85" spans="1:28" x14ac:dyDescent="0.3">
      <c r="A85" s="2" t="s">
        <v>148</v>
      </c>
      <c r="B85" s="592">
        <v>-1.8068825000000146</v>
      </c>
      <c r="C85" s="592">
        <v>-1.2821025000000077</v>
      </c>
      <c r="D85" s="592">
        <v>-1.2821025000000077</v>
      </c>
      <c r="E85" s="592">
        <v>-1.2821025000000077</v>
      </c>
      <c r="F85" s="592">
        <v>-1.2821025000000077</v>
      </c>
      <c r="G85" s="592">
        <v>-1.3199509396599751E-7</v>
      </c>
      <c r="H85" s="592">
        <v>-1.3199509396599751E-7</v>
      </c>
      <c r="I85" s="592">
        <v>-1.3199509396599751E-7</v>
      </c>
      <c r="J85" s="592">
        <v>-1.3199509396599751E-7</v>
      </c>
      <c r="K85" s="592">
        <v>-1.3199509396599751E-7</v>
      </c>
      <c r="L85" s="592">
        <v>-1.3199509396599751E-7</v>
      </c>
      <c r="M85" s="592">
        <v>-1.3199509396599751E-7</v>
      </c>
      <c r="N85" s="592">
        <v>-6.9352934239657031</v>
      </c>
      <c r="O85" s="574"/>
      <c r="P85" s="593">
        <v>-6.9352925000000454</v>
      </c>
      <c r="Q85" s="592">
        <v>-2.5642050000000154</v>
      </c>
      <c r="R85" s="592">
        <v>0</v>
      </c>
      <c r="S85" s="592">
        <v>-4.37</v>
      </c>
      <c r="T85" s="592"/>
      <c r="U85" s="105"/>
      <c r="V85"/>
      <c r="W85" s="985">
        <v>-9.2396565776198258E-7</v>
      </c>
      <c r="X85" s="986"/>
      <c r="Y85" s="987"/>
      <c r="Z85" s="986"/>
      <c r="AA85" s="986"/>
      <c r="AB85" s="105">
        <f t="shared" si="26"/>
        <v>-9.2396565776198258E-7</v>
      </c>
    </row>
    <row r="86" spans="1:28" x14ac:dyDescent="0.3">
      <c r="A86" s="363" t="s">
        <v>149</v>
      </c>
      <c r="B86" s="592">
        <v>24.483647858819225</v>
      </c>
      <c r="C86" s="592">
        <v>-29.792662141180827</v>
      </c>
      <c r="D86" s="592">
        <v>-19.519552141180839</v>
      </c>
      <c r="E86" s="592">
        <v>-25.724772141180821</v>
      </c>
      <c r="F86" s="592">
        <v>73.647297858819229</v>
      </c>
      <c r="G86" s="592">
        <v>-45.930952755689376</v>
      </c>
      <c r="H86" s="592">
        <v>-8.47711379330228</v>
      </c>
      <c r="I86" s="592">
        <v>-9.1017089285008268</v>
      </c>
      <c r="J86" s="592">
        <v>-2.5090635801429499</v>
      </c>
      <c r="K86" s="592">
        <v>-8.9489650293874803</v>
      </c>
      <c r="L86" s="592">
        <v>-9.4463887698520494</v>
      </c>
      <c r="M86" s="592">
        <v>-21.571571931993375</v>
      </c>
      <c r="N86" s="593">
        <v>-82.89180549477237</v>
      </c>
      <c r="O86" s="574"/>
      <c r="P86" s="593">
        <v>23.093959294095967</v>
      </c>
      <c r="Q86" s="592">
        <v>-28.500418024366802</v>
      </c>
      <c r="R86" s="592">
        <v>49.17</v>
      </c>
      <c r="S86" s="592">
        <v>2.4229437420052538</v>
      </c>
      <c r="T86" s="592"/>
      <c r="U86" s="105"/>
      <c r="V86"/>
      <c r="W86" s="985">
        <v>-105.98576478886834</v>
      </c>
      <c r="X86" s="986">
        <v>-118.98576478886834</v>
      </c>
      <c r="Y86" s="986"/>
      <c r="Z86" s="986">
        <v>13</v>
      </c>
      <c r="AA86" s="986"/>
      <c r="AB86" s="105">
        <f t="shared" si="26"/>
        <v>0</v>
      </c>
    </row>
    <row r="87" spans="1:28" x14ac:dyDescent="0.3">
      <c r="A87" s="274" t="s">
        <v>150</v>
      </c>
      <c r="B87" s="275">
        <v>22.67676535881921</v>
      </c>
      <c r="C87" s="275">
        <v>-31.074764641180835</v>
      </c>
      <c r="D87" s="275">
        <v>-20.801654641180846</v>
      </c>
      <c r="E87" s="275">
        <v>-27.006874641180829</v>
      </c>
      <c r="F87" s="275">
        <v>72.365195358819221</v>
      </c>
      <c r="G87" s="275">
        <v>-45.930952887684469</v>
      </c>
      <c r="H87" s="275">
        <v>-8.477113925297374</v>
      </c>
      <c r="I87" s="275">
        <v>-9.1017090604959208</v>
      </c>
      <c r="J87" s="275">
        <v>-2.5090637121380439</v>
      </c>
      <c r="K87" s="275">
        <v>-8.9489651613825743</v>
      </c>
      <c r="L87" s="275">
        <v>-9.4463889018471434</v>
      </c>
      <c r="M87" s="275">
        <v>-21.571572063988469</v>
      </c>
      <c r="N87" s="275">
        <v>-89.827098918738074</v>
      </c>
      <c r="O87" s="574"/>
      <c r="P87" s="275">
        <v>16.158666794095922</v>
      </c>
      <c r="Q87" s="275">
        <v>-31.064623024366817</v>
      </c>
      <c r="R87" s="275">
        <v>49.17</v>
      </c>
      <c r="S87" s="275">
        <v>-1.9470562579947464</v>
      </c>
      <c r="T87" s="275">
        <v>0</v>
      </c>
      <c r="U87" s="105"/>
      <c r="V87"/>
      <c r="W87" s="275">
        <v>-105.985765712834</v>
      </c>
      <c r="X87" s="275">
        <v>-118.98576478886834</v>
      </c>
      <c r="Y87" s="275">
        <v>0</v>
      </c>
      <c r="Z87" s="275">
        <v>13</v>
      </c>
      <c r="AA87" s="275">
        <v>0</v>
      </c>
      <c r="AB87" s="105">
        <f t="shared" si="26"/>
        <v>-9.2396565776198258E-7</v>
      </c>
    </row>
    <row r="88" spans="1:28" x14ac:dyDescent="0.3">
      <c r="A88" s="51"/>
      <c r="B88" s="277"/>
      <c r="C88" s="277"/>
      <c r="D88" s="277"/>
      <c r="E88" s="277"/>
      <c r="F88" s="277"/>
      <c r="G88" s="277"/>
      <c r="H88" s="277"/>
      <c r="I88" s="277"/>
      <c r="J88" s="277"/>
      <c r="K88" s="277"/>
      <c r="L88" s="277"/>
      <c r="M88" s="277"/>
      <c r="N88" s="589"/>
      <c r="O88" s="574"/>
      <c r="P88" s="589"/>
      <c r="Q88" s="277"/>
      <c r="R88" s="277"/>
      <c r="S88" s="277"/>
      <c r="T88" s="277"/>
      <c r="U88" s="105"/>
      <c r="V88"/>
      <c r="W88" s="589"/>
      <c r="X88" s="277"/>
      <c r="Y88" s="277"/>
      <c r="Z88" s="277"/>
      <c r="AA88" s="277"/>
      <c r="AB88" s="105">
        <f t="shared" si="26"/>
        <v>0</v>
      </c>
    </row>
    <row r="89" spans="1:28" x14ac:dyDescent="0.3">
      <c r="A89" s="274" t="s">
        <v>152</v>
      </c>
      <c r="B89" s="275">
        <v>54.733059362063301</v>
      </c>
      <c r="C89" s="275">
        <v>180.98177834740491</v>
      </c>
      <c r="D89" s="275">
        <v>752.01346371571583</v>
      </c>
      <c r="E89" s="275">
        <v>-696.35144211880333</v>
      </c>
      <c r="F89" s="275">
        <v>18.227055880622189</v>
      </c>
      <c r="G89" s="275">
        <v>-266.72390342625272</v>
      </c>
      <c r="H89" s="275">
        <v>-219.23284279830187</v>
      </c>
      <c r="I89" s="275">
        <v>-234.83056647664628</v>
      </c>
      <c r="J89" s="275">
        <v>-249.85351628236043</v>
      </c>
      <c r="K89" s="275">
        <v>-143.22080625355136</v>
      </c>
      <c r="L89" s="275">
        <v>-195.16790659730304</v>
      </c>
      <c r="M89" s="275">
        <v>-250.18664310728695</v>
      </c>
      <c r="N89" s="275">
        <v>-1249.6122697546996</v>
      </c>
      <c r="O89" s="574"/>
      <c r="P89" s="275">
        <v>309.60391518700294</v>
      </c>
      <c r="Q89" s="275"/>
      <c r="R89" s="275"/>
      <c r="S89" s="275"/>
      <c r="T89" s="275"/>
      <c r="U89" s="105"/>
      <c r="V89"/>
      <c r="W89" s="275">
        <v>-1559.2161849417025</v>
      </c>
      <c r="X89" s="275">
        <v>-1922.7121016741899</v>
      </c>
      <c r="Y89" s="275">
        <v>149.50104838306231</v>
      </c>
      <c r="Z89" s="275">
        <v>214.4852103106598</v>
      </c>
      <c r="AA89" s="275">
        <v>0</v>
      </c>
      <c r="AB89" s="105">
        <f t="shared" si="26"/>
        <v>-0.49034196123488982</v>
      </c>
    </row>
    <row r="90" spans="1:28" x14ac:dyDescent="0.3">
      <c r="A90" s="568"/>
      <c r="B90" s="574"/>
      <c r="C90" s="574"/>
      <c r="D90" s="574"/>
      <c r="E90" s="574"/>
      <c r="F90" s="574"/>
      <c r="G90" s="574"/>
      <c r="H90" s="574"/>
      <c r="I90" s="574"/>
      <c r="J90" s="574"/>
      <c r="K90" s="574"/>
      <c r="L90" s="574"/>
      <c r="M90" s="574"/>
      <c r="N90" s="579"/>
      <c r="O90" s="574"/>
      <c r="P90" s="579"/>
      <c r="Q90" s="574"/>
      <c r="R90" s="574"/>
      <c r="S90" s="574"/>
      <c r="T90" s="574"/>
      <c r="U90" s="574"/>
      <c r="V90" s="579"/>
      <c r="W90" s="574"/>
      <c r="X90" s="574"/>
      <c r="Y90" s="574"/>
      <c r="Z90" s="574"/>
    </row>
    <row r="91" spans="1:28" x14ac:dyDescent="0.3">
      <c r="A91" s="568"/>
      <c r="B91" s="574"/>
      <c r="C91" s="574"/>
      <c r="D91" s="574"/>
      <c r="E91" s="574"/>
      <c r="F91" s="574"/>
      <c r="G91" s="574"/>
      <c r="H91" s="574"/>
      <c r="I91" s="574"/>
      <c r="J91" s="574"/>
      <c r="K91" s="574"/>
      <c r="L91" s="574"/>
      <c r="M91" s="574"/>
      <c r="N91" s="579"/>
      <c r="O91" s="574"/>
      <c r="P91" s="579"/>
      <c r="Q91" s="574"/>
      <c r="R91" s="574"/>
      <c r="S91" s="574"/>
      <c r="T91" s="574"/>
      <c r="U91" s="574"/>
      <c r="V91" s="579"/>
      <c r="W91" s="574"/>
      <c r="X91" s="574"/>
      <c r="Y91" s="574"/>
      <c r="Z91" s="574"/>
    </row>
    <row r="92" spans="1:28" x14ac:dyDescent="0.3">
      <c r="A92" s="382" t="s">
        <v>43</v>
      </c>
      <c r="B92" s="584">
        <v>-6.7443971410000003</v>
      </c>
      <c r="C92" s="584">
        <v>-7.110674586</v>
      </c>
      <c r="D92" s="584">
        <v>-7.1575233750000002</v>
      </c>
      <c r="E92" s="584">
        <v>-13.784255769000001</v>
      </c>
      <c r="F92" s="584">
        <v>-22.499889510000003</v>
      </c>
      <c r="G92" s="584">
        <v>-58.908533430000006</v>
      </c>
      <c r="H92" s="584">
        <v>-57.523254780000002</v>
      </c>
      <c r="I92" s="584">
        <v>-57.204807999999993</v>
      </c>
      <c r="J92" s="584">
        <v>-68.485446039999999</v>
      </c>
      <c r="K92" s="584">
        <v>-63.211466780000002</v>
      </c>
      <c r="L92" s="584">
        <v>-61.94707133</v>
      </c>
      <c r="M92" s="584">
        <v>-60.138508710000004</v>
      </c>
      <c r="N92" s="584">
        <v>-484</v>
      </c>
      <c r="O92" s="574"/>
      <c r="P92" s="579"/>
      <c r="Q92" s="574"/>
      <c r="R92" s="574"/>
      <c r="S92" s="574"/>
      <c r="T92" s="574"/>
      <c r="U92" s="574"/>
      <c r="V92" s="579"/>
      <c r="W92" s="574"/>
      <c r="X92" s="574"/>
      <c r="Y92" s="574"/>
      <c r="Z92" s="574"/>
    </row>
    <row r="93" spans="1:28" x14ac:dyDescent="0.3">
      <c r="A93" s="383" t="s">
        <v>181</v>
      </c>
      <c r="B93" s="586">
        <v>-67.734713934301453</v>
      </c>
      <c r="C93" s="586">
        <v>-136.59810400625676</v>
      </c>
      <c r="D93" s="586">
        <v>-106.87028077062521</v>
      </c>
      <c r="E93" s="586">
        <v>-47.120573765839055</v>
      </c>
      <c r="F93" s="586">
        <v>-70.370517793427254</v>
      </c>
      <c r="G93" s="586">
        <v>-71.974600624891949</v>
      </c>
      <c r="H93" s="586">
        <v>-11.001751376680557</v>
      </c>
      <c r="I93" s="586">
        <v>-7.4535706962784793</v>
      </c>
      <c r="J93" s="586">
        <v>-49.424680182121804</v>
      </c>
      <c r="K93" s="586">
        <v>-40.99932315198992</v>
      </c>
      <c r="L93" s="586">
        <v>-42.471503218980303</v>
      </c>
      <c r="M93" s="586">
        <v>45.11883909940903</v>
      </c>
      <c r="N93" s="586">
        <v>-605.66</v>
      </c>
      <c r="O93" s="574"/>
      <c r="P93" s="579"/>
      <c r="Q93" s="574"/>
      <c r="R93" s="574"/>
      <c r="S93" s="574"/>
      <c r="T93" s="574"/>
      <c r="U93" s="574"/>
      <c r="V93" s="579"/>
      <c r="W93" s="574"/>
      <c r="X93" s="574"/>
      <c r="Y93" s="574"/>
      <c r="Z93" s="574"/>
    </row>
    <row r="94" spans="1:28" x14ac:dyDescent="0.3">
      <c r="A94" s="383" t="s">
        <v>479</v>
      </c>
      <c r="B94" s="586">
        <v>97.042645189779662</v>
      </c>
      <c r="C94" s="586">
        <v>95.20483641952984</v>
      </c>
      <c r="D94" s="586">
        <v>141.08905677892977</v>
      </c>
      <c r="E94" s="586">
        <v>167.09297684486717</v>
      </c>
      <c r="F94" s="586">
        <v>147.51308691438058</v>
      </c>
      <c r="G94" s="586">
        <v>62.061656892045562</v>
      </c>
      <c r="H94" s="586">
        <v>-45.225420400532109</v>
      </c>
      <c r="I94" s="586">
        <v>-65.234864621725322</v>
      </c>
      <c r="J94" s="586">
        <v>95.732695161580821</v>
      </c>
      <c r="K94" s="586">
        <v>109.26167102710407</v>
      </c>
      <c r="L94" s="586">
        <v>21.39211353101696</v>
      </c>
      <c r="M94" s="586">
        <v>118.64985405428432</v>
      </c>
      <c r="N94" s="586">
        <v>944.58030779126136</v>
      </c>
      <c r="O94" s="574"/>
      <c r="P94" s="579"/>
      <c r="Q94" s="574"/>
      <c r="R94" s="574"/>
      <c r="S94" s="574"/>
      <c r="T94" s="574"/>
      <c r="U94" s="574"/>
      <c r="V94" s="579"/>
      <c r="W94" s="574"/>
      <c r="X94" s="574"/>
      <c r="Y94" s="574"/>
      <c r="Z94" s="574"/>
    </row>
    <row r="95" spans="1:28" x14ac:dyDescent="0.3">
      <c r="A95" s="383" t="s">
        <v>66</v>
      </c>
      <c r="B95" s="586">
        <v>-105.62146306377917</v>
      </c>
      <c r="C95" s="586">
        <v>-105.21914066358104</v>
      </c>
      <c r="D95" s="586">
        <v>-105.24280668712211</v>
      </c>
      <c r="E95" s="586">
        <v>5.9165058852665906</v>
      </c>
      <c r="F95" s="586">
        <v>-108.57971600641248</v>
      </c>
      <c r="G95" s="586">
        <v>431.54993927134512</v>
      </c>
      <c r="H95" s="586">
        <v>371.58023561828293</v>
      </c>
      <c r="I95" s="586">
        <v>310.02490838796928</v>
      </c>
      <c r="J95" s="586">
        <v>420.49790627766714</v>
      </c>
      <c r="K95" s="586">
        <v>543.18257231455516</v>
      </c>
      <c r="L95" s="586">
        <v>410.41618024917284</v>
      </c>
      <c r="M95" s="586">
        <v>517.93092519623724</v>
      </c>
      <c r="N95" s="586">
        <v>2586.4360467796018</v>
      </c>
      <c r="O95" s="574"/>
      <c r="P95" s="579"/>
      <c r="Q95" s="574"/>
      <c r="R95" s="574"/>
      <c r="S95" s="574"/>
      <c r="T95" s="574"/>
      <c r="U95" s="574"/>
      <c r="V95" s="579"/>
      <c r="W95" s="574"/>
      <c r="X95" s="574"/>
      <c r="Y95" s="574"/>
      <c r="Z95" s="574"/>
    </row>
    <row r="96" spans="1:28" x14ac:dyDescent="0.3">
      <c r="A96" s="397" t="s">
        <v>488</v>
      </c>
      <c r="B96" s="590">
        <v>134.08802713109714</v>
      </c>
      <c r="C96" s="590">
        <v>218.87485203276265</v>
      </c>
      <c r="D96" s="590">
        <v>183.13789261880333</v>
      </c>
      <c r="E96" s="590">
        <v>34.22802559017461</v>
      </c>
      <c r="F96" s="590">
        <v>680.20277893588911</v>
      </c>
      <c r="G96" s="590">
        <v>-379.89335277041022</v>
      </c>
      <c r="H96" s="590">
        <v>110.34545627565082</v>
      </c>
      <c r="I96" s="590">
        <v>274.09529538436436</v>
      </c>
      <c r="J96" s="590">
        <v>-353.55695633427626</v>
      </c>
      <c r="K96" s="590">
        <v>-373.78381675235164</v>
      </c>
      <c r="L96" s="590">
        <v>-286.60110863710707</v>
      </c>
      <c r="M96" s="590">
        <v>-116.24151098345583</v>
      </c>
      <c r="N96" s="590">
        <v>122.93897261815809</v>
      </c>
      <c r="O96" s="574"/>
      <c r="P96" s="579"/>
      <c r="Q96" s="574"/>
      <c r="R96" s="574"/>
      <c r="S96" s="574"/>
      <c r="T96" s="574"/>
      <c r="U96" s="574"/>
      <c r="V96" s="579"/>
      <c r="W96" s="574"/>
      <c r="X96" s="574"/>
      <c r="Y96" s="574"/>
      <c r="Z96" s="574"/>
    </row>
    <row r="97" spans="1:32" x14ac:dyDescent="0.3">
      <c r="A97" s="568"/>
      <c r="B97" s="574"/>
      <c r="C97" s="574"/>
      <c r="D97" s="574"/>
      <c r="E97" s="574"/>
      <c r="F97" s="574"/>
      <c r="G97" s="574"/>
      <c r="H97" s="574"/>
      <c r="I97" s="574"/>
      <c r="J97" s="574"/>
      <c r="K97" s="574"/>
      <c r="L97" s="574"/>
      <c r="M97" s="574"/>
      <c r="N97" s="579"/>
      <c r="O97" s="574"/>
      <c r="P97" s="579"/>
      <c r="Q97" s="574"/>
      <c r="R97" s="574"/>
      <c r="S97" s="574"/>
      <c r="T97" s="574"/>
      <c r="U97" s="574"/>
      <c r="V97" s="579"/>
      <c r="W97" s="574"/>
      <c r="X97" s="574"/>
      <c r="Y97" s="574"/>
      <c r="Z97" s="574"/>
    </row>
    <row r="98" spans="1:32" x14ac:dyDescent="0.3">
      <c r="A98" s="594" t="s">
        <v>502</v>
      </c>
      <c r="B98" s="595">
        <v>51.030098181796163</v>
      </c>
      <c r="C98" s="595">
        <v>65.151769196454694</v>
      </c>
      <c r="D98" s="595">
        <v>104.95633856498578</v>
      </c>
      <c r="E98" s="595">
        <v>146.33267878546931</v>
      </c>
      <c r="F98" s="595">
        <v>626.26574254042998</v>
      </c>
      <c r="G98" s="595">
        <v>-17.1648906619115</v>
      </c>
      <c r="H98" s="595">
        <v>368.17526533672105</v>
      </c>
      <c r="I98" s="595">
        <v>454.22696045432986</v>
      </c>
      <c r="J98" s="595">
        <v>44.763518882849894</v>
      </c>
      <c r="K98" s="595">
        <v>174.44963665731768</v>
      </c>
      <c r="L98" s="595">
        <v>40.788610594102408</v>
      </c>
      <c r="M98" s="595">
        <v>505.31959865647474</v>
      </c>
      <c r="N98" s="595">
        <v>2564.2953271890215</v>
      </c>
      <c r="O98" s="574"/>
      <c r="P98" s="579"/>
      <c r="Q98" s="574"/>
      <c r="R98" s="574"/>
      <c r="S98" s="574"/>
      <c r="T98" s="574"/>
      <c r="U98" s="574"/>
      <c r="V98" s="579"/>
      <c r="W98" s="574"/>
      <c r="X98" s="574"/>
      <c r="Y98" s="574"/>
      <c r="Z98" s="574"/>
    </row>
    <row r="99" spans="1:32" x14ac:dyDescent="0.3">
      <c r="A99" s="568"/>
      <c r="B99" s="574"/>
      <c r="C99" s="574"/>
      <c r="D99" s="574"/>
      <c r="E99" s="574"/>
      <c r="F99" s="574"/>
      <c r="G99" s="574"/>
      <c r="H99" s="574"/>
      <c r="I99" s="574"/>
      <c r="J99" s="574"/>
      <c r="K99" s="574"/>
      <c r="L99" s="574"/>
      <c r="M99" s="574"/>
      <c r="N99" s="579"/>
      <c r="O99" s="574"/>
      <c r="P99" s="579"/>
      <c r="Q99" s="574"/>
      <c r="R99" s="574"/>
      <c r="S99" s="574"/>
      <c r="T99" s="574"/>
      <c r="U99" s="574"/>
      <c r="V99" s="579"/>
      <c r="W99" s="574"/>
      <c r="X99" s="574"/>
      <c r="Y99" s="574"/>
      <c r="Z99" s="574"/>
    </row>
    <row r="100" spans="1:32" x14ac:dyDescent="0.3">
      <c r="A100" s="568"/>
      <c r="B100" s="574"/>
      <c r="C100" s="574"/>
      <c r="D100" s="574"/>
      <c r="E100" s="574"/>
      <c r="F100" s="574"/>
      <c r="G100" s="574"/>
      <c r="H100" s="574"/>
      <c r="I100" s="574"/>
      <c r="J100" s="574"/>
      <c r="K100" s="574"/>
      <c r="L100" s="574"/>
      <c r="M100" s="574"/>
      <c r="N100" s="579"/>
      <c r="O100" s="574"/>
      <c r="P100" s="579"/>
      <c r="Q100" s="574"/>
      <c r="R100" s="574"/>
      <c r="S100" s="574"/>
      <c r="T100" s="574"/>
      <c r="U100" s="574"/>
      <c r="V100" s="579"/>
      <c r="W100" s="574"/>
      <c r="X100" s="574"/>
      <c r="Y100" s="574"/>
      <c r="Z100" s="574"/>
    </row>
    <row r="101" spans="1:32" x14ac:dyDescent="0.3">
      <c r="A101" s="596" t="s">
        <v>99</v>
      </c>
      <c r="B101" s="990">
        <v>105.76315754385946</v>
      </c>
      <c r="C101" s="597">
        <v>246.13354754385961</v>
      </c>
      <c r="D101" s="597">
        <v>856.96980228070163</v>
      </c>
      <c r="E101" s="597">
        <v>-550.01876333333405</v>
      </c>
      <c r="F101" s="597">
        <v>644.49279842105216</v>
      </c>
      <c r="G101" s="597">
        <v>-283.88879408816422</v>
      </c>
      <c r="H101" s="597">
        <v>148.94242253841918</v>
      </c>
      <c r="I101" s="597">
        <v>219.39639397768357</v>
      </c>
      <c r="J101" s="597">
        <v>-205.08999739951054</v>
      </c>
      <c r="K101" s="597">
        <v>31.228830403766324</v>
      </c>
      <c r="L101" s="597">
        <v>-154.37929600320064</v>
      </c>
      <c r="M101" s="597">
        <v>255.13295554918778</v>
      </c>
      <c r="N101" s="597">
        <v>1314.6830574343219</v>
      </c>
      <c r="O101" s="574"/>
      <c r="P101" s="579"/>
      <c r="Q101" s="574"/>
      <c r="R101" s="574"/>
      <c r="S101" s="574"/>
      <c r="T101" s="574"/>
      <c r="U101" s="574"/>
      <c r="V101" s="579"/>
      <c r="W101" s="574"/>
      <c r="X101" s="574"/>
      <c r="Y101" s="574"/>
      <c r="Z101" s="574"/>
    </row>
    <row r="102" spans="1:32" x14ac:dyDescent="0.3">
      <c r="A102" s="568"/>
      <c r="B102" s="568"/>
      <c r="C102" s="568"/>
      <c r="D102" s="568"/>
      <c r="E102" s="568"/>
      <c r="F102" s="568"/>
      <c r="G102" s="568"/>
      <c r="H102" s="568"/>
      <c r="I102" s="568"/>
      <c r="J102" s="568"/>
      <c r="K102" s="568"/>
      <c r="L102" s="568"/>
      <c r="M102" s="568"/>
      <c r="N102" s="567"/>
      <c r="O102" s="600"/>
      <c r="P102" s="567"/>
      <c r="Q102" s="568"/>
      <c r="R102" s="568"/>
      <c r="S102" s="568"/>
      <c r="T102" s="568"/>
      <c r="U102" s="568"/>
      <c r="V102" s="567"/>
      <c r="W102" s="568"/>
      <c r="X102" s="568"/>
      <c r="Y102" s="568"/>
      <c r="Z102" s="568"/>
    </row>
    <row r="103" spans="1:32" x14ac:dyDescent="0.3">
      <c r="A103" s="568"/>
      <c r="B103" s="568"/>
      <c r="C103" s="568"/>
      <c r="D103" s="568"/>
      <c r="E103" s="568"/>
      <c r="F103" s="568"/>
      <c r="G103" s="568"/>
      <c r="H103" s="568"/>
      <c r="I103" s="568"/>
      <c r="J103" s="568"/>
      <c r="K103" s="568"/>
      <c r="L103" s="568"/>
      <c r="M103" s="568"/>
      <c r="N103" s="567"/>
      <c r="O103" s="600"/>
      <c r="P103" s="567"/>
      <c r="Q103" s="568"/>
      <c r="R103" s="568"/>
      <c r="S103" s="568"/>
      <c r="T103" s="568"/>
      <c r="U103" s="568"/>
      <c r="V103" s="567"/>
      <c r="W103" s="568"/>
      <c r="X103" s="568"/>
      <c r="Y103" s="568"/>
      <c r="Z103" s="568"/>
    </row>
    <row r="104" spans="1:32" ht="14.4" customHeight="1" x14ac:dyDescent="0.3">
      <c r="A104" s="991" t="s">
        <v>800</v>
      </c>
      <c r="V104"/>
      <c r="W104" s="32"/>
    </row>
    <row r="105" spans="1:32" ht="14.4" customHeight="1" x14ac:dyDescent="0.3">
      <c r="V105"/>
      <c r="W105" s="32"/>
    </row>
    <row r="106" spans="1:32" ht="14.4" customHeight="1" x14ac:dyDescent="0.3">
      <c r="A106" s="567" t="s">
        <v>495</v>
      </c>
      <c r="P106" s="569" t="s">
        <v>95</v>
      </c>
      <c r="Q106" s="570" t="s">
        <v>496</v>
      </c>
      <c r="R106" s="570" t="s">
        <v>497</v>
      </c>
      <c r="S106" s="570" t="s">
        <v>498</v>
      </c>
      <c r="T106" s="570" t="s">
        <v>499</v>
      </c>
      <c r="U106" s="568"/>
      <c r="V106"/>
      <c r="W106" s="569" t="s">
        <v>799</v>
      </c>
      <c r="X106" s="570" t="s">
        <v>496</v>
      </c>
      <c r="Y106" s="570" t="s">
        <v>497</v>
      </c>
      <c r="Z106" s="570" t="s">
        <v>498</v>
      </c>
      <c r="AA106" s="570" t="s">
        <v>499</v>
      </c>
    </row>
    <row r="107" spans="1:32" ht="14.4" customHeight="1" x14ac:dyDescent="0.3">
      <c r="A107" s="571" t="s">
        <v>500</v>
      </c>
      <c r="B107" s="572">
        <f>+B4-B55</f>
        <v>0</v>
      </c>
      <c r="C107" s="572">
        <f t="shared" ref="C107:N109" si="28">+C4-C55</f>
        <v>0</v>
      </c>
      <c r="D107" s="572">
        <f t="shared" si="28"/>
        <v>0</v>
      </c>
      <c r="E107" s="572">
        <f t="shared" si="28"/>
        <v>0</v>
      </c>
      <c r="F107" s="572">
        <f t="shared" si="28"/>
        <v>0</v>
      </c>
      <c r="G107" s="572">
        <f t="shared" si="28"/>
        <v>-1714</v>
      </c>
      <c r="H107" s="572">
        <f t="shared" si="28"/>
        <v>0</v>
      </c>
      <c r="I107" s="572">
        <f t="shared" si="28"/>
        <v>0</v>
      </c>
      <c r="J107" s="572">
        <f t="shared" si="28"/>
        <v>0</v>
      </c>
      <c r="K107" s="572">
        <f t="shared" si="28"/>
        <v>0</v>
      </c>
      <c r="L107" s="572">
        <f t="shared" si="28"/>
        <v>0</v>
      </c>
      <c r="M107" s="572">
        <f t="shared" si="28"/>
        <v>0</v>
      </c>
      <c r="N107" s="572">
        <f t="shared" si="28"/>
        <v>-1714</v>
      </c>
      <c r="P107" s="573">
        <f>SUM(B107:G107)</f>
        <v>-1714</v>
      </c>
      <c r="Q107" s="1258"/>
      <c r="R107" s="1259"/>
      <c r="S107" s="1259"/>
      <c r="T107" s="1259"/>
      <c r="U107" s="574"/>
      <c r="V107"/>
      <c r="W107" s="573">
        <f>N107-P107</f>
        <v>0</v>
      </c>
      <c r="X107" s="936"/>
      <c r="Y107" s="937"/>
      <c r="Z107" s="937"/>
      <c r="AA107" s="937"/>
    </row>
    <row r="108" spans="1:32" ht="14.4" customHeight="1" x14ac:dyDescent="0.3">
      <c r="A108" s="571" t="s">
        <v>96</v>
      </c>
      <c r="B108" s="572">
        <f>+B5-B56</f>
        <v>0</v>
      </c>
      <c r="C108" s="572">
        <f t="shared" si="28"/>
        <v>0</v>
      </c>
      <c r="D108" s="572">
        <f t="shared" si="28"/>
        <v>0</v>
      </c>
      <c r="E108" s="572">
        <f t="shared" si="28"/>
        <v>0</v>
      </c>
      <c r="F108" s="572">
        <f t="shared" si="28"/>
        <v>0</v>
      </c>
      <c r="G108" s="572">
        <f t="shared" si="28"/>
        <v>0</v>
      </c>
      <c r="H108" s="572">
        <f t="shared" si="28"/>
        <v>0</v>
      </c>
      <c r="I108" s="572">
        <f t="shared" si="28"/>
        <v>0</v>
      </c>
      <c r="J108" s="572">
        <f t="shared" si="28"/>
        <v>0</v>
      </c>
      <c r="K108" s="572">
        <f t="shared" si="28"/>
        <v>0</v>
      </c>
      <c r="L108" s="572">
        <f t="shared" si="28"/>
        <v>0</v>
      </c>
      <c r="M108" s="572">
        <f t="shared" si="28"/>
        <v>0</v>
      </c>
      <c r="N108" s="572">
        <f t="shared" si="28"/>
        <v>0</v>
      </c>
      <c r="P108" s="573">
        <f>SUM(B108:G108)</f>
        <v>0</v>
      </c>
      <c r="Q108" s="1260"/>
      <c r="R108" s="1261"/>
      <c r="S108" s="1261"/>
      <c r="T108" s="1261"/>
      <c r="U108" s="574"/>
      <c r="V108"/>
      <c r="W108" s="573">
        <f>N108-P108</f>
        <v>0</v>
      </c>
      <c r="X108" s="938"/>
      <c r="Y108" s="939"/>
      <c r="Z108" s="939"/>
      <c r="AA108" s="939"/>
      <c r="AE108" s="35"/>
    </row>
    <row r="109" spans="1:32" ht="14.4" customHeight="1" thickBot="1" x14ac:dyDescent="0.35">
      <c r="A109" s="575" t="s">
        <v>97</v>
      </c>
      <c r="B109" s="576">
        <f>+B6-B57</f>
        <v>0</v>
      </c>
      <c r="C109" s="576">
        <f t="shared" si="28"/>
        <v>0</v>
      </c>
      <c r="D109" s="576">
        <f t="shared" si="28"/>
        <v>0</v>
      </c>
      <c r="E109" s="576">
        <f t="shared" si="28"/>
        <v>0</v>
      </c>
      <c r="F109" s="576">
        <f t="shared" si="28"/>
        <v>0</v>
      </c>
      <c r="G109" s="576">
        <f t="shared" si="28"/>
        <v>-1714</v>
      </c>
      <c r="H109" s="576">
        <f t="shared" si="28"/>
        <v>0</v>
      </c>
      <c r="I109" s="576">
        <f t="shared" si="28"/>
        <v>0</v>
      </c>
      <c r="J109" s="576">
        <f t="shared" si="28"/>
        <v>0</v>
      </c>
      <c r="K109" s="576">
        <f t="shared" si="28"/>
        <v>0</v>
      </c>
      <c r="L109" s="576">
        <f t="shared" si="28"/>
        <v>0</v>
      </c>
      <c r="M109" s="576">
        <f t="shared" si="28"/>
        <v>0</v>
      </c>
      <c r="N109" s="577">
        <f t="shared" si="28"/>
        <v>-1714</v>
      </c>
      <c r="P109" s="577">
        <f>SUM(B109:G109)</f>
        <v>-1714</v>
      </c>
      <c r="Q109" s="1260"/>
      <c r="R109" s="1261"/>
      <c r="S109" s="1261"/>
      <c r="T109" s="1261"/>
      <c r="U109" s="574"/>
      <c r="V109"/>
      <c r="W109" s="577">
        <f>N109-P109</f>
        <v>0</v>
      </c>
      <c r="X109" s="938"/>
      <c r="Y109" s="939"/>
      <c r="Z109" s="939"/>
      <c r="AA109" s="939"/>
    </row>
    <row r="110" spans="1:32" ht="14.4" customHeight="1" x14ac:dyDescent="0.3">
      <c r="A110" s="578"/>
      <c r="B110" s="574"/>
      <c r="C110" s="574"/>
      <c r="D110" s="574"/>
      <c r="E110" s="574"/>
      <c r="F110" s="574"/>
      <c r="G110" s="574"/>
      <c r="H110" s="574"/>
      <c r="I110" s="574"/>
      <c r="J110" s="574"/>
      <c r="K110" s="574"/>
      <c r="L110" s="574"/>
      <c r="M110" s="574"/>
      <c r="N110" s="579"/>
      <c r="P110" s="579"/>
      <c r="Q110" s="574"/>
      <c r="R110" s="574"/>
      <c r="S110" s="574"/>
      <c r="T110" s="574"/>
      <c r="U110" s="574"/>
      <c r="V110"/>
      <c r="W110" s="579"/>
      <c r="X110" s="574"/>
      <c r="Y110" s="574"/>
      <c r="Z110" s="574"/>
      <c r="AA110" s="574"/>
      <c r="AC110" s="35">
        <f>30*(2300-1600)</f>
        <v>21000</v>
      </c>
    </row>
    <row r="111" spans="1:32" ht="14.4" customHeight="1" thickBot="1" x14ac:dyDescent="0.35">
      <c r="A111" s="580" t="s">
        <v>501</v>
      </c>
      <c r="B111" s="581">
        <f>+B8-B59</f>
        <v>0</v>
      </c>
      <c r="C111" s="581">
        <f t="shared" ref="C111:N111" si="29">+C8-C59</f>
        <v>0</v>
      </c>
      <c r="D111" s="581">
        <f t="shared" si="29"/>
        <v>0</v>
      </c>
      <c r="E111" s="581">
        <f t="shared" si="29"/>
        <v>0</v>
      </c>
      <c r="F111" s="581">
        <f t="shared" si="29"/>
        <v>0</v>
      </c>
      <c r="G111" s="581">
        <f t="shared" si="29"/>
        <v>70.370109302278479</v>
      </c>
      <c r="H111" s="581">
        <f>+H8-H59</f>
        <v>0</v>
      </c>
      <c r="I111" s="581">
        <f t="shared" si="29"/>
        <v>0</v>
      </c>
      <c r="J111" s="581">
        <f t="shared" si="29"/>
        <v>0</v>
      </c>
      <c r="K111" s="581">
        <f t="shared" si="29"/>
        <v>0</v>
      </c>
      <c r="L111" s="581">
        <f t="shared" si="29"/>
        <v>0</v>
      </c>
      <c r="M111" s="581">
        <f t="shared" si="29"/>
        <v>0</v>
      </c>
      <c r="N111" s="581">
        <f t="shared" si="29"/>
        <v>70.370109302278934</v>
      </c>
      <c r="P111" s="582">
        <f>SUM(B111:G111)</f>
        <v>70.370109302278479</v>
      </c>
      <c r="Q111" s="1136">
        <f>+P111</f>
        <v>70.370109302278479</v>
      </c>
      <c r="R111" s="1136"/>
      <c r="S111" s="1136"/>
      <c r="T111" s="1136"/>
      <c r="U111" s="574"/>
      <c r="V111"/>
      <c r="W111" s="582">
        <f>N111-P111</f>
        <v>4.5474735088646412E-13</v>
      </c>
      <c r="X111" s="572">
        <f>+W111</f>
        <v>4.5474735088646412E-13</v>
      </c>
      <c r="Y111" s="572"/>
      <c r="Z111" s="572"/>
      <c r="AA111" s="572"/>
      <c r="AB111" t="s">
        <v>1019</v>
      </c>
      <c r="AC111" s="35">
        <f>+AC110*10</f>
        <v>210000</v>
      </c>
    </row>
    <row r="112" spans="1:32" ht="14.4" customHeight="1" x14ac:dyDescent="0.3">
      <c r="A112" s="583"/>
      <c r="B112" s="574"/>
      <c r="C112" s="574"/>
      <c r="D112" s="574"/>
      <c r="E112" s="574"/>
      <c r="F112" s="574"/>
      <c r="G112" s="574"/>
      <c r="H112" s="574"/>
      <c r="I112" s="574"/>
      <c r="J112" s="574"/>
      <c r="K112" s="574"/>
      <c r="L112" s="574"/>
      <c r="M112" s="574"/>
      <c r="N112" s="579"/>
      <c r="P112" s="579"/>
      <c r="Q112" s="1137"/>
      <c r="R112" s="1137"/>
      <c r="S112" s="1137"/>
      <c r="T112" s="1137"/>
      <c r="U112" s="574"/>
      <c r="V112"/>
      <c r="W112" s="579"/>
      <c r="X112" s="574"/>
      <c r="Y112" s="574"/>
      <c r="Z112" s="574"/>
      <c r="AA112" s="574"/>
      <c r="AC112" s="570" t="s">
        <v>496</v>
      </c>
      <c r="AD112" s="570" t="s">
        <v>497</v>
      </c>
      <c r="AE112" s="570" t="s">
        <v>498</v>
      </c>
      <c r="AF112" s="570" t="s">
        <v>499</v>
      </c>
    </row>
    <row r="113" spans="1:30" ht="29.4" customHeight="1" x14ac:dyDescent="0.3">
      <c r="A113" s="382" t="s">
        <v>74</v>
      </c>
      <c r="B113" s="584">
        <f>+B10-B61</f>
        <v>0</v>
      </c>
      <c r="C113" s="584">
        <f t="shared" ref="C113:M113" si="30">+C10-C61</f>
        <v>0</v>
      </c>
      <c r="D113" s="584">
        <f t="shared" si="30"/>
        <v>0</v>
      </c>
      <c r="E113" s="584">
        <f t="shared" si="30"/>
        <v>0</v>
      </c>
      <c r="F113" s="584">
        <f t="shared" si="30"/>
        <v>0</v>
      </c>
      <c r="G113" s="584">
        <f t="shared" si="30"/>
        <v>-36.000209108658225</v>
      </c>
      <c r="H113" s="584">
        <f t="shared" si="30"/>
        <v>0</v>
      </c>
      <c r="I113" s="584">
        <f t="shared" si="30"/>
        <v>0</v>
      </c>
      <c r="J113" s="584">
        <f t="shared" si="30"/>
        <v>0</v>
      </c>
      <c r="K113" s="584">
        <f t="shared" si="30"/>
        <v>0</v>
      </c>
      <c r="L113" s="584">
        <f t="shared" si="30"/>
        <v>0</v>
      </c>
      <c r="M113" s="584">
        <f t="shared" si="30"/>
        <v>0</v>
      </c>
      <c r="N113" s="584">
        <f>+N10-N61</f>
        <v>-36.000209108658225</v>
      </c>
      <c r="P113" s="585">
        <f t="shared" ref="P113:P128" si="31">SUM(B113:G113)</f>
        <v>-36.000209108658225</v>
      </c>
      <c r="Q113" s="1138">
        <v>-29</v>
      </c>
      <c r="R113" s="1138">
        <v>-13.000209108658225</v>
      </c>
      <c r="S113" s="1138">
        <v>6</v>
      </c>
      <c r="T113" s="1138"/>
      <c r="U113" s="983">
        <f>P113-SUM(Q113:T113)</f>
        <v>0</v>
      </c>
      <c r="V113" s="783" t="s">
        <v>1051</v>
      </c>
      <c r="W113" s="585">
        <f>N113-P113</f>
        <v>0</v>
      </c>
      <c r="X113" s="584">
        <v>20</v>
      </c>
      <c r="Y113" s="584">
        <v>45</v>
      </c>
      <c r="Z113" s="584">
        <v>-44</v>
      </c>
      <c r="AA113" s="584"/>
      <c r="AB113" s="8" t="s">
        <v>1016</v>
      </c>
      <c r="AD113" s="783"/>
    </row>
    <row r="114" spans="1:30" ht="14.4" customHeight="1" x14ac:dyDescent="0.3">
      <c r="A114" s="383" t="s">
        <v>75</v>
      </c>
      <c r="B114" s="586">
        <f t="shared" ref="B114:N128" si="32">+B11-B62</f>
        <v>0</v>
      </c>
      <c r="C114" s="586">
        <f t="shared" si="32"/>
        <v>0</v>
      </c>
      <c r="D114" s="586">
        <f t="shared" si="32"/>
        <v>0</v>
      </c>
      <c r="E114" s="586">
        <f t="shared" si="32"/>
        <v>0</v>
      </c>
      <c r="F114" s="586">
        <f t="shared" si="32"/>
        <v>0</v>
      </c>
      <c r="G114" s="586">
        <f t="shared" si="32"/>
        <v>-8.763537158780526</v>
      </c>
      <c r="H114" s="586">
        <f t="shared" si="32"/>
        <v>0</v>
      </c>
      <c r="I114" s="586">
        <f t="shared" si="32"/>
        <v>0</v>
      </c>
      <c r="J114" s="586">
        <f t="shared" si="32"/>
        <v>0</v>
      </c>
      <c r="K114" s="586">
        <f t="shared" si="32"/>
        <v>0</v>
      </c>
      <c r="L114" s="586">
        <f t="shared" si="32"/>
        <v>0</v>
      </c>
      <c r="M114" s="586">
        <f t="shared" si="32"/>
        <v>0</v>
      </c>
      <c r="N114" s="587">
        <f t="shared" si="32"/>
        <v>-8.763537158780526</v>
      </c>
      <c r="P114" s="587">
        <f t="shared" si="31"/>
        <v>-8.763537158780526</v>
      </c>
      <c r="Q114" s="1139">
        <v>-9.763537158780526</v>
      </c>
      <c r="R114" s="1139"/>
      <c r="S114" s="1139">
        <f>3-2</f>
        <v>1</v>
      </c>
      <c r="T114" s="1139"/>
      <c r="U114" s="983">
        <f t="shared" ref="U114:U141" si="33">P114-SUM(Q114:T114)</f>
        <v>0</v>
      </c>
      <c r="V114" s="105"/>
      <c r="W114" s="587">
        <f t="shared" ref="W114:W128" si="34">N114-P114</f>
        <v>0</v>
      </c>
      <c r="X114" s="586">
        <v>0</v>
      </c>
      <c r="Y114" s="586">
        <v>7</v>
      </c>
      <c r="Z114" s="586">
        <v>-3</v>
      </c>
      <c r="AA114" s="586"/>
      <c r="AB114" s="8">
        <f t="shared" ref="AB114:AB141" si="35">W114-SUM(X114:AA114)</f>
        <v>-4</v>
      </c>
    </row>
    <row r="115" spans="1:30" ht="14.4" customHeight="1" x14ac:dyDescent="0.3">
      <c r="A115" s="383" t="s">
        <v>141</v>
      </c>
      <c r="B115" s="586">
        <f t="shared" si="32"/>
        <v>0</v>
      </c>
      <c r="C115" s="586">
        <f t="shared" si="32"/>
        <v>0</v>
      </c>
      <c r="D115" s="586">
        <f t="shared" si="32"/>
        <v>0</v>
      </c>
      <c r="E115" s="586">
        <f t="shared" si="32"/>
        <v>0</v>
      </c>
      <c r="F115" s="586">
        <f t="shared" si="32"/>
        <v>0</v>
      </c>
      <c r="G115" s="586">
        <f t="shared" si="32"/>
        <v>12.675713388296643</v>
      </c>
      <c r="H115" s="586">
        <f t="shared" si="32"/>
        <v>0</v>
      </c>
      <c r="I115" s="586">
        <f t="shared" si="32"/>
        <v>0</v>
      </c>
      <c r="J115" s="586">
        <f t="shared" si="32"/>
        <v>0</v>
      </c>
      <c r="K115" s="586">
        <f t="shared" si="32"/>
        <v>0</v>
      </c>
      <c r="L115" s="586">
        <f t="shared" si="32"/>
        <v>0</v>
      </c>
      <c r="M115" s="586">
        <f t="shared" si="32"/>
        <v>0</v>
      </c>
      <c r="N115" s="587">
        <f t="shared" si="32"/>
        <v>12.675713388296657</v>
      </c>
      <c r="P115" s="587">
        <f t="shared" si="31"/>
        <v>12.675713388296643</v>
      </c>
      <c r="Q115" s="1139">
        <v>12.675713388296643</v>
      </c>
      <c r="R115" s="1139">
        <f t="shared" ref="R115" si="36">+R12-R63</f>
        <v>0</v>
      </c>
      <c r="S115" s="1139">
        <f>1-1</f>
        <v>0</v>
      </c>
      <c r="T115" s="1139"/>
      <c r="U115" s="983">
        <f t="shared" si="33"/>
        <v>0</v>
      </c>
      <c r="V115"/>
      <c r="W115" s="587">
        <f t="shared" si="34"/>
        <v>1.4210854715202004E-14</v>
      </c>
      <c r="X115" s="586">
        <v>0</v>
      </c>
      <c r="Y115" s="586">
        <v>10</v>
      </c>
      <c r="Z115" s="586">
        <v>-1</v>
      </c>
      <c r="AA115" s="586"/>
      <c r="AB115" s="8">
        <f t="shared" si="35"/>
        <v>-8.9999999999999858</v>
      </c>
    </row>
    <row r="116" spans="1:30" ht="14.4" customHeight="1" x14ac:dyDescent="0.3">
      <c r="A116" s="4" t="s">
        <v>79</v>
      </c>
      <c r="B116" s="588">
        <f t="shared" si="32"/>
        <v>0</v>
      </c>
      <c r="C116" s="588">
        <f t="shared" si="32"/>
        <v>0</v>
      </c>
      <c r="D116" s="588">
        <f t="shared" si="32"/>
        <v>0</v>
      </c>
      <c r="E116" s="588">
        <f t="shared" si="32"/>
        <v>0</v>
      </c>
      <c r="F116" s="588">
        <f t="shared" si="32"/>
        <v>0</v>
      </c>
      <c r="G116" s="588">
        <f t="shared" si="32"/>
        <v>-32.088032879142119</v>
      </c>
      <c r="H116" s="588">
        <f t="shared" si="32"/>
        <v>0</v>
      </c>
      <c r="I116" s="588">
        <f t="shared" si="32"/>
        <v>0</v>
      </c>
      <c r="J116" s="588">
        <f t="shared" si="32"/>
        <v>0</v>
      </c>
      <c r="K116" s="588">
        <f t="shared" si="32"/>
        <v>0</v>
      </c>
      <c r="L116" s="588">
        <f t="shared" si="32"/>
        <v>0</v>
      </c>
      <c r="M116" s="588">
        <f t="shared" si="32"/>
        <v>0</v>
      </c>
      <c r="N116" s="588">
        <f t="shared" si="32"/>
        <v>-32.088032879142133</v>
      </c>
      <c r="P116" s="588">
        <f t="shared" si="31"/>
        <v>-32.088032879142119</v>
      </c>
      <c r="Q116" s="588">
        <f>SUM(Q113:Q115)</f>
        <v>-26.08782377048388</v>
      </c>
      <c r="R116" s="588">
        <f t="shared" ref="R116:T116" si="37">SUM(R113:R115)</f>
        <v>-13.000209108658225</v>
      </c>
      <c r="S116" s="588">
        <f t="shared" si="37"/>
        <v>7</v>
      </c>
      <c r="T116" s="588">
        <f t="shared" si="37"/>
        <v>0</v>
      </c>
      <c r="U116" s="983">
        <f t="shared" si="33"/>
        <v>0</v>
      </c>
      <c r="V116"/>
      <c r="W116" s="588">
        <f t="shared" si="34"/>
        <v>0</v>
      </c>
      <c r="X116" s="588">
        <f t="shared" ref="X116:Z116" si="38">SUM(X113:X115)</f>
        <v>20</v>
      </c>
      <c r="Y116" s="588">
        <f t="shared" si="38"/>
        <v>62</v>
      </c>
      <c r="Z116" s="588">
        <f t="shared" si="38"/>
        <v>-48</v>
      </c>
      <c r="AA116" s="588">
        <v>0</v>
      </c>
      <c r="AB116" s="8">
        <f t="shared" si="35"/>
        <v>-34</v>
      </c>
    </row>
    <row r="117" spans="1:30" ht="14.4" customHeight="1" x14ac:dyDescent="0.3">
      <c r="A117" s="383" t="s">
        <v>80</v>
      </c>
      <c r="B117" s="586">
        <f t="shared" si="32"/>
        <v>0</v>
      </c>
      <c r="C117" s="586">
        <f t="shared" si="32"/>
        <v>0</v>
      </c>
      <c r="D117" s="586">
        <f t="shared" si="32"/>
        <v>0</v>
      </c>
      <c r="E117" s="586">
        <f t="shared" si="32"/>
        <v>0</v>
      </c>
      <c r="F117" s="586">
        <f t="shared" si="32"/>
        <v>0</v>
      </c>
      <c r="G117" s="586">
        <f t="shared" si="32"/>
        <v>7.2685248998085399</v>
      </c>
      <c r="H117" s="586">
        <f t="shared" si="32"/>
        <v>0</v>
      </c>
      <c r="I117" s="586">
        <f t="shared" si="32"/>
        <v>0</v>
      </c>
      <c r="J117" s="586">
        <f t="shared" si="32"/>
        <v>0</v>
      </c>
      <c r="K117" s="586">
        <f t="shared" si="32"/>
        <v>0</v>
      </c>
      <c r="L117" s="586">
        <f t="shared" si="32"/>
        <v>0</v>
      </c>
      <c r="M117" s="586">
        <f t="shared" si="32"/>
        <v>0</v>
      </c>
      <c r="N117" s="587">
        <f t="shared" si="32"/>
        <v>7.2685248998085399</v>
      </c>
      <c r="P117" s="587">
        <f t="shared" si="31"/>
        <v>7.2685248998085399</v>
      </c>
      <c r="Q117" s="1139"/>
      <c r="R117" s="1139">
        <v>2.15345103869344</v>
      </c>
      <c r="S117" s="1139">
        <f>15.52-10.4049261388849</f>
        <v>5.1150738611150999</v>
      </c>
      <c r="T117" s="1139"/>
      <c r="U117" s="983">
        <f t="shared" si="33"/>
        <v>0</v>
      </c>
      <c r="V117"/>
      <c r="W117" s="587">
        <f t="shared" si="34"/>
        <v>0</v>
      </c>
      <c r="X117" s="586"/>
      <c r="Y117" s="586">
        <v>-9.2718621204446947</v>
      </c>
      <c r="Z117" s="586">
        <v>-26</v>
      </c>
      <c r="AA117" s="586"/>
      <c r="AB117" s="8">
        <f t="shared" si="35"/>
        <v>35.271862120444695</v>
      </c>
    </row>
    <row r="118" spans="1:30" ht="14.4" customHeight="1" x14ac:dyDescent="0.3">
      <c r="A118" s="383" t="s">
        <v>81</v>
      </c>
      <c r="B118" s="586">
        <f t="shared" si="32"/>
        <v>0</v>
      </c>
      <c r="C118" s="586">
        <f t="shared" si="32"/>
        <v>0</v>
      </c>
      <c r="D118" s="586">
        <f t="shared" si="32"/>
        <v>0</v>
      </c>
      <c r="E118" s="586">
        <f t="shared" si="32"/>
        <v>0</v>
      </c>
      <c r="F118" s="586">
        <f t="shared" si="32"/>
        <v>0</v>
      </c>
      <c r="G118" s="586">
        <f t="shared" si="32"/>
        <v>1.8942799083888389</v>
      </c>
      <c r="H118" s="586">
        <f t="shared" si="32"/>
        <v>0</v>
      </c>
      <c r="I118" s="586">
        <f t="shared" si="32"/>
        <v>0</v>
      </c>
      <c r="J118" s="586">
        <f t="shared" si="32"/>
        <v>0</v>
      </c>
      <c r="K118" s="586">
        <f t="shared" si="32"/>
        <v>0</v>
      </c>
      <c r="L118" s="586">
        <f t="shared" si="32"/>
        <v>0</v>
      </c>
      <c r="M118" s="586">
        <f t="shared" si="32"/>
        <v>0</v>
      </c>
      <c r="N118" s="587">
        <f t="shared" si="32"/>
        <v>1.8942799083888389</v>
      </c>
      <c r="P118" s="587">
        <f t="shared" si="31"/>
        <v>1.8942799083888389</v>
      </c>
      <c r="Q118" s="1139"/>
      <c r="R118" s="1139">
        <v>1.2596837281962383</v>
      </c>
      <c r="S118" s="1139">
        <f>5.7-5.0654038198074</f>
        <v>0.63459618019260056</v>
      </c>
      <c r="T118" s="1139"/>
      <c r="U118" s="983">
        <f t="shared" si="33"/>
        <v>0</v>
      </c>
      <c r="V118"/>
      <c r="W118" s="587">
        <f t="shared" si="34"/>
        <v>0</v>
      </c>
      <c r="X118" s="586"/>
      <c r="Y118" s="586">
        <v>13.9675648407366</v>
      </c>
      <c r="Z118" s="586">
        <v>-10</v>
      </c>
      <c r="AA118" s="586"/>
      <c r="AB118" s="8">
        <f t="shared" si="35"/>
        <v>-3.9675648407365998</v>
      </c>
    </row>
    <row r="119" spans="1:30" ht="31.2" customHeight="1" x14ac:dyDescent="0.3">
      <c r="A119" s="383" t="s">
        <v>82</v>
      </c>
      <c r="B119" s="586">
        <f t="shared" si="32"/>
        <v>0</v>
      </c>
      <c r="C119" s="586">
        <f t="shared" si="32"/>
        <v>0</v>
      </c>
      <c r="D119" s="586">
        <f t="shared" si="32"/>
        <v>0</v>
      </c>
      <c r="E119" s="586">
        <f t="shared" si="32"/>
        <v>0</v>
      </c>
      <c r="F119" s="586">
        <f t="shared" si="32"/>
        <v>0</v>
      </c>
      <c r="G119" s="586">
        <f t="shared" si="32"/>
        <v>-85.091089946454261</v>
      </c>
      <c r="H119" s="586">
        <f t="shared" si="32"/>
        <v>0</v>
      </c>
      <c r="I119" s="586">
        <f t="shared" si="32"/>
        <v>0</v>
      </c>
      <c r="J119" s="586">
        <f t="shared" si="32"/>
        <v>0</v>
      </c>
      <c r="K119" s="586">
        <f t="shared" si="32"/>
        <v>0</v>
      </c>
      <c r="L119" s="586">
        <f t="shared" si="32"/>
        <v>0</v>
      </c>
      <c r="M119" s="586">
        <f t="shared" si="32"/>
        <v>0</v>
      </c>
      <c r="N119" s="587">
        <f t="shared" si="32"/>
        <v>-85.091089946454261</v>
      </c>
      <c r="P119" s="587">
        <f t="shared" si="31"/>
        <v>-85.091089946454261</v>
      </c>
      <c r="Q119" s="1139">
        <v>-86.277027392842726</v>
      </c>
      <c r="R119" s="1139"/>
      <c r="S119" s="1139">
        <f>6.24-5.05406255361154</f>
        <v>1.1859374463884604</v>
      </c>
      <c r="T119" s="1139"/>
      <c r="U119" s="983">
        <f t="shared" si="33"/>
        <v>0</v>
      </c>
      <c r="V119" s="1133" t="s">
        <v>1047</v>
      </c>
      <c r="W119" s="587">
        <f t="shared" si="34"/>
        <v>0</v>
      </c>
      <c r="X119" s="586">
        <v>0</v>
      </c>
      <c r="Y119" s="586">
        <v>5</v>
      </c>
      <c r="Z119" s="586">
        <v>-19</v>
      </c>
      <c r="AA119" s="586"/>
      <c r="AB119" s="8">
        <f t="shared" si="35"/>
        <v>14</v>
      </c>
    </row>
    <row r="120" spans="1:30" ht="14.4" customHeight="1" x14ac:dyDescent="0.3">
      <c r="A120" s="383" t="s">
        <v>83</v>
      </c>
      <c r="B120" s="586">
        <f t="shared" si="32"/>
        <v>0</v>
      </c>
      <c r="C120" s="586">
        <f t="shared" si="32"/>
        <v>0</v>
      </c>
      <c r="D120" s="586">
        <f t="shared" si="32"/>
        <v>0</v>
      </c>
      <c r="E120" s="586">
        <f t="shared" si="32"/>
        <v>0</v>
      </c>
      <c r="F120" s="586">
        <f t="shared" si="32"/>
        <v>0</v>
      </c>
      <c r="G120" s="586">
        <f t="shared" si="32"/>
        <v>-4.7236610313280547</v>
      </c>
      <c r="H120" s="586">
        <f t="shared" si="32"/>
        <v>0</v>
      </c>
      <c r="I120" s="586">
        <f t="shared" si="32"/>
        <v>0</v>
      </c>
      <c r="J120" s="586">
        <f t="shared" si="32"/>
        <v>0</v>
      </c>
      <c r="K120" s="586">
        <f t="shared" si="32"/>
        <v>0</v>
      </c>
      <c r="L120" s="586">
        <f t="shared" si="32"/>
        <v>0</v>
      </c>
      <c r="M120" s="586">
        <f t="shared" si="32"/>
        <v>0</v>
      </c>
      <c r="N120" s="587">
        <f t="shared" si="32"/>
        <v>-4.7236610313280529</v>
      </c>
      <c r="P120" s="587">
        <f t="shared" si="31"/>
        <v>-4.7236610313280547</v>
      </c>
      <c r="Q120" s="1139">
        <v>-4.82253965145261</v>
      </c>
      <c r="R120" s="1139"/>
      <c r="S120" s="1139">
        <f>0.19-0.0911213798754447</f>
        <v>9.8878620124555297E-2</v>
      </c>
      <c r="T120" s="1139"/>
      <c r="U120" s="983">
        <f t="shared" si="33"/>
        <v>0</v>
      </c>
      <c r="V120"/>
      <c r="W120" s="587">
        <f t="shared" si="34"/>
        <v>0</v>
      </c>
      <c r="X120" s="586">
        <f t="shared" ref="X120:Z122" si="39">+X17-X68</f>
        <v>-1.1940612372578139</v>
      </c>
      <c r="Y120" s="586">
        <f t="shared" si="39"/>
        <v>0.95193491916396011</v>
      </c>
      <c r="Z120" s="586">
        <f>+Z17-1</f>
        <v>-1</v>
      </c>
      <c r="AA120" s="586"/>
      <c r="AB120" s="8">
        <f t="shared" si="35"/>
        <v>1.2421263180938538</v>
      </c>
    </row>
    <row r="121" spans="1:30" ht="14.4" customHeight="1" x14ac:dyDescent="0.3">
      <c r="A121" s="383" t="s">
        <v>84</v>
      </c>
      <c r="B121" s="586">
        <f t="shared" si="32"/>
        <v>0</v>
      </c>
      <c r="C121" s="586">
        <f t="shared" si="32"/>
        <v>0</v>
      </c>
      <c r="D121" s="586">
        <f t="shared" si="32"/>
        <v>0</v>
      </c>
      <c r="E121" s="586">
        <f t="shared" si="32"/>
        <v>0</v>
      </c>
      <c r="F121" s="586">
        <f t="shared" si="32"/>
        <v>0</v>
      </c>
      <c r="G121" s="586">
        <f t="shared" si="32"/>
        <v>2.1418762680521581</v>
      </c>
      <c r="H121" s="586">
        <f t="shared" si="32"/>
        <v>0</v>
      </c>
      <c r="I121" s="586">
        <f t="shared" si="32"/>
        <v>0</v>
      </c>
      <c r="J121" s="586">
        <f t="shared" si="32"/>
        <v>0</v>
      </c>
      <c r="K121" s="586">
        <f t="shared" si="32"/>
        <v>0</v>
      </c>
      <c r="L121" s="586">
        <f t="shared" si="32"/>
        <v>0</v>
      </c>
      <c r="M121" s="586">
        <f t="shared" si="32"/>
        <v>0</v>
      </c>
      <c r="N121" s="587">
        <f t="shared" si="32"/>
        <v>2.1418762680521723</v>
      </c>
      <c r="P121" s="587">
        <f t="shared" si="31"/>
        <v>2.1418762680521581</v>
      </c>
      <c r="Q121" s="1139">
        <v>1.0509039000590783</v>
      </c>
      <c r="R121" s="1139"/>
      <c r="S121" s="1139">
        <f>3.38-2.28902763200692</f>
        <v>1.0909723679930798</v>
      </c>
      <c r="T121" s="1139"/>
      <c r="U121" s="983">
        <f t="shared" si="33"/>
        <v>0</v>
      </c>
      <c r="V121"/>
      <c r="W121" s="587">
        <f t="shared" si="34"/>
        <v>1.4210854715202004E-14</v>
      </c>
      <c r="X121" s="586">
        <v>-0.71125701810964159</v>
      </c>
      <c r="Y121" s="586"/>
      <c r="Z121" s="586">
        <v>-5</v>
      </c>
      <c r="AA121" s="586"/>
      <c r="AB121" s="8">
        <f t="shared" si="35"/>
        <v>5.7112570181096558</v>
      </c>
    </row>
    <row r="122" spans="1:30" ht="14.4" customHeight="1" x14ac:dyDescent="0.3">
      <c r="A122" s="383" t="s">
        <v>86</v>
      </c>
      <c r="B122" s="586">
        <f t="shared" si="32"/>
        <v>0</v>
      </c>
      <c r="C122" s="586">
        <f t="shared" si="32"/>
        <v>0</v>
      </c>
      <c r="D122" s="586">
        <f t="shared" si="32"/>
        <v>0</v>
      </c>
      <c r="E122" s="586">
        <f t="shared" si="32"/>
        <v>0</v>
      </c>
      <c r="F122" s="586">
        <f t="shared" si="32"/>
        <v>0</v>
      </c>
      <c r="G122" s="586">
        <f t="shared" si="32"/>
        <v>-7.9585722559879741</v>
      </c>
      <c r="H122" s="586">
        <f t="shared" si="32"/>
        <v>0</v>
      </c>
      <c r="I122" s="586">
        <f t="shared" si="32"/>
        <v>0</v>
      </c>
      <c r="J122" s="586">
        <f t="shared" si="32"/>
        <v>0</v>
      </c>
      <c r="K122" s="586">
        <f t="shared" si="32"/>
        <v>0</v>
      </c>
      <c r="L122" s="586">
        <f t="shared" si="32"/>
        <v>0</v>
      </c>
      <c r="M122" s="586">
        <f t="shared" si="32"/>
        <v>0</v>
      </c>
      <c r="N122" s="587">
        <f t="shared" si="32"/>
        <v>-7.9585722559879741</v>
      </c>
      <c r="P122" s="587">
        <f t="shared" si="31"/>
        <v>-7.9585722559879741</v>
      </c>
      <c r="Q122" s="1139">
        <v>-7.9585722559879741</v>
      </c>
      <c r="R122" s="1139"/>
      <c r="S122" s="1139"/>
      <c r="T122" s="1139"/>
      <c r="U122" s="983">
        <f t="shared" si="33"/>
        <v>0</v>
      </c>
      <c r="V122"/>
      <c r="W122" s="587">
        <f t="shared" si="34"/>
        <v>0</v>
      </c>
      <c r="X122" s="586">
        <f>W122</f>
        <v>0</v>
      </c>
      <c r="Y122" s="586">
        <f t="shared" si="39"/>
        <v>0</v>
      </c>
      <c r="Z122" s="586">
        <f t="shared" si="39"/>
        <v>0</v>
      </c>
      <c r="AA122" s="586"/>
      <c r="AB122" s="8" t="s">
        <v>1018</v>
      </c>
    </row>
    <row r="123" spans="1:30" ht="14.4" customHeight="1" x14ac:dyDescent="0.3">
      <c r="A123" s="4" t="s">
        <v>87</v>
      </c>
      <c r="B123" s="588">
        <f t="shared" si="32"/>
        <v>0</v>
      </c>
      <c r="C123" s="588">
        <f t="shared" si="32"/>
        <v>0</v>
      </c>
      <c r="D123" s="588">
        <f t="shared" si="32"/>
        <v>0</v>
      </c>
      <c r="E123" s="588">
        <f t="shared" si="32"/>
        <v>0</v>
      </c>
      <c r="F123" s="588">
        <f t="shared" si="32"/>
        <v>0</v>
      </c>
      <c r="G123" s="588">
        <f t="shared" si="32"/>
        <v>-86.468642157520748</v>
      </c>
      <c r="H123" s="588">
        <f t="shared" si="32"/>
        <v>0</v>
      </c>
      <c r="I123" s="588">
        <f t="shared" si="32"/>
        <v>0</v>
      </c>
      <c r="J123" s="588">
        <f t="shared" si="32"/>
        <v>0</v>
      </c>
      <c r="K123" s="588">
        <f t="shared" si="32"/>
        <v>0</v>
      </c>
      <c r="L123" s="588">
        <f t="shared" si="32"/>
        <v>0</v>
      </c>
      <c r="M123" s="588">
        <f t="shared" si="32"/>
        <v>0</v>
      </c>
      <c r="N123" s="588">
        <f t="shared" si="32"/>
        <v>-86.468642157520719</v>
      </c>
      <c r="P123" s="588">
        <f t="shared" si="31"/>
        <v>-86.468642157520748</v>
      </c>
      <c r="Q123" s="588">
        <f>SUM(Q117:Q122)</f>
        <v>-98.007235400224232</v>
      </c>
      <c r="R123" s="588">
        <f t="shared" ref="R123:T123" si="40">SUM(R117:R122)</f>
        <v>3.4131347668896783</v>
      </c>
      <c r="S123" s="588">
        <f t="shared" si="40"/>
        <v>8.1254584758137955</v>
      </c>
      <c r="T123" s="588">
        <f t="shared" si="40"/>
        <v>0</v>
      </c>
      <c r="U123" s="983">
        <f t="shared" si="33"/>
        <v>0</v>
      </c>
      <c r="V123"/>
      <c r="W123" s="588">
        <f t="shared" si="34"/>
        <v>0</v>
      </c>
      <c r="X123" s="588">
        <f>SUM(X117:X122)</f>
        <v>-1.9053182553674555</v>
      </c>
      <c r="Y123" s="588">
        <f t="shared" ref="Y123:AA123" si="41">SUM(Y117:Y122)</f>
        <v>10.647637639455866</v>
      </c>
      <c r="Z123" s="588">
        <f t="shared" si="41"/>
        <v>-61</v>
      </c>
      <c r="AA123" s="588">
        <f t="shared" si="41"/>
        <v>0</v>
      </c>
      <c r="AB123" s="8">
        <f t="shared" si="35"/>
        <v>52.257680615911589</v>
      </c>
    </row>
    <row r="124" spans="1:30" ht="13.8" customHeight="1" x14ac:dyDescent="0.3">
      <c r="A124" s="5" t="s">
        <v>88</v>
      </c>
      <c r="B124" s="58">
        <f t="shared" si="32"/>
        <v>0</v>
      </c>
      <c r="C124" s="58">
        <f t="shared" si="32"/>
        <v>0</v>
      </c>
      <c r="D124" s="58">
        <f t="shared" si="32"/>
        <v>0</v>
      </c>
      <c r="E124" s="58">
        <f t="shared" si="32"/>
        <v>0</v>
      </c>
      <c r="F124" s="58">
        <f t="shared" si="32"/>
        <v>0</v>
      </c>
      <c r="G124" s="58">
        <f t="shared" si="32"/>
        <v>-118.55667503666287</v>
      </c>
      <c r="H124" s="58">
        <f t="shared" si="32"/>
        <v>0</v>
      </c>
      <c r="I124" s="58">
        <f t="shared" si="32"/>
        <v>0</v>
      </c>
      <c r="J124" s="58">
        <f t="shared" si="32"/>
        <v>0</v>
      </c>
      <c r="K124" s="58">
        <f t="shared" si="32"/>
        <v>0</v>
      </c>
      <c r="L124" s="58">
        <f t="shared" si="32"/>
        <v>0</v>
      </c>
      <c r="M124" s="58">
        <f t="shared" si="32"/>
        <v>0</v>
      </c>
      <c r="N124" s="58">
        <f t="shared" si="32"/>
        <v>-118.5566750366628</v>
      </c>
      <c r="P124" s="58">
        <f t="shared" si="31"/>
        <v>-118.55667503666287</v>
      </c>
      <c r="Q124" s="58">
        <f>SUM(Q123,Q116)</f>
        <v>-124.09505917070811</v>
      </c>
      <c r="R124" s="58">
        <f t="shared" ref="R124:T124" si="42">SUM(R123,R116)</f>
        <v>-9.5870743417685471</v>
      </c>
      <c r="S124" s="58">
        <f t="shared" si="42"/>
        <v>15.125458475813796</v>
      </c>
      <c r="T124" s="58">
        <f t="shared" si="42"/>
        <v>0</v>
      </c>
      <c r="U124" s="983">
        <f t="shared" si="33"/>
        <v>0</v>
      </c>
      <c r="V124"/>
      <c r="W124" s="58">
        <f t="shared" si="34"/>
        <v>0</v>
      </c>
      <c r="X124" s="58">
        <f>SUM(X123,X116)</f>
        <v>18.094681744632545</v>
      </c>
      <c r="Y124" s="58">
        <f t="shared" ref="Y124:AA124" si="43">SUM(Y123,Y116)</f>
        <v>72.647637639455866</v>
      </c>
      <c r="Z124" s="58">
        <f t="shared" si="43"/>
        <v>-109</v>
      </c>
      <c r="AA124" s="58">
        <f t="shared" si="43"/>
        <v>0</v>
      </c>
      <c r="AB124" s="8">
        <f t="shared" si="35"/>
        <v>18.257680615911596</v>
      </c>
    </row>
    <row r="125" spans="1:30" ht="14.4" customHeight="1" x14ac:dyDescent="0.3">
      <c r="A125" s="383" t="s">
        <v>89</v>
      </c>
      <c r="B125" s="586">
        <f t="shared" si="32"/>
        <v>0</v>
      </c>
      <c r="C125" s="586">
        <f t="shared" si="32"/>
        <v>0</v>
      </c>
      <c r="D125" s="586">
        <f t="shared" si="32"/>
        <v>0</v>
      </c>
      <c r="E125" s="586">
        <f t="shared" si="32"/>
        <v>0</v>
      </c>
      <c r="F125" s="586">
        <f t="shared" si="32"/>
        <v>0</v>
      </c>
      <c r="G125" s="586">
        <f t="shared" si="32"/>
        <v>-8.3816460931388086</v>
      </c>
      <c r="H125" s="586">
        <f t="shared" si="32"/>
        <v>0</v>
      </c>
      <c r="I125" s="586">
        <f t="shared" si="32"/>
        <v>0</v>
      </c>
      <c r="J125" s="586">
        <f t="shared" si="32"/>
        <v>0</v>
      </c>
      <c r="K125" s="586">
        <f t="shared" si="32"/>
        <v>0</v>
      </c>
      <c r="L125" s="586">
        <f t="shared" si="32"/>
        <v>0</v>
      </c>
      <c r="M125" s="586">
        <f t="shared" si="32"/>
        <v>0</v>
      </c>
      <c r="N125" s="587">
        <f t="shared" si="32"/>
        <v>-8.3816460931388086</v>
      </c>
      <c r="P125" s="587">
        <f t="shared" si="31"/>
        <v>-8.3816460931388086</v>
      </c>
      <c r="Q125" s="1139">
        <v>-8.7581328838038335</v>
      </c>
      <c r="R125" s="1139">
        <f t="shared" ref="R125:S125" si="44">+R22-R73</f>
        <v>0</v>
      </c>
      <c r="S125" s="1139">
        <f t="shared" si="44"/>
        <v>0.37648679066502427</v>
      </c>
      <c r="T125" s="1139"/>
      <c r="U125" s="983">
        <f t="shared" si="33"/>
        <v>0</v>
      </c>
      <c r="V125"/>
      <c r="W125" s="587">
        <f t="shared" si="34"/>
        <v>0</v>
      </c>
      <c r="X125" s="1156">
        <v>22.539290287845436</v>
      </c>
      <c r="Y125" s="586"/>
      <c r="Z125" s="586">
        <v>-1</v>
      </c>
      <c r="AA125" s="586"/>
      <c r="AB125" s="8">
        <f t="shared" si="35"/>
        <v>-21.539290287845436</v>
      </c>
    </row>
    <row r="126" spans="1:30" ht="13.8" customHeight="1" x14ac:dyDescent="0.3">
      <c r="A126" s="5" t="s">
        <v>90</v>
      </c>
      <c r="B126" s="58">
        <f t="shared" si="32"/>
        <v>0</v>
      </c>
      <c r="C126" s="58">
        <f t="shared" si="32"/>
        <v>0</v>
      </c>
      <c r="D126" s="58">
        <f t="shared" si="32"/>
        <v>0</v>
      </c>
      <c r="E126" s="58">
        <f t="shared" si="32"/>
        <v>0</v>
      </c>
      <c r="F126" s="58">
        <f t="shared" si="32"/>
        <v>0</v>
      </c>
      <c r="G126" s="58">
        <f t="shared" si="32"/>
        <v>-126.93832112980166</v>
      </c>
      <c r="H126" s="58">
        <f t="shared" si="32"/>
        <v>0</v>
      </c>
      <c r="I126" s="58">
        <f t="shared" si="32"/>
        <v>0</v>
      </c>
      <c r="J126" s="58">
        <f t="shared" si="32"/>
        <v>0</v>
      </c>
      <c r="K126" s="58">
        <f t="shared" si="32"/>
        <v>0</v>
      </c>
      <c r="L126" s="58">
        <f t="shared" si="32"/>
        <v>0</v>
      </c>
      <c r="M126" s="58">
        <f t="shared" si="32"/>
        <v>0</v>
      </c>
      <c r="N126" s="58">
        <f t="shared" si="32"/>
        <v>-126.93832112980158</v>
      </c>
      <c r="P126" s="58">
        <f t="shared" si="31"/>
        <v>-126.93832112980166</v>
      </c>
      <c r="Q126" s="58">
        <f>SUM(Q125,Q124)</f>
        <v>-132.85319205451194</v>
      </c>
      <c r="R126" s="58">
        <f t="shared" ref="R126:T126" si="45">SUM(R125,R124)</f>
        <v>-9.5870743417685471</v>
      </c>
      <c r="S126" s="58">
        <f t="shared" si="45"/>
        <v>15.50194526647882</v>
      </c>
      <c r="T126" s="58">
        <f t="shared" si="45"/>
        <v>0</v>
      </c>
      <c r="U126" s="983">
        <f t="shared" si="33"/>
        <v>0</v>
      </c>
      <c r="V126"/>
      <c r="W126" s="58">
        <f t="shared" si="34"/>
        <v>0</v>
      </c>
      <c r="X126" s="58">
        <f t="shared" ref="X126:AA126" si="46">+X124+X125</f>
        <v>40.633972032477985</v>
      </c>
      <c r="Y126" s="58">
        <f t="shared" si="46"/>
        <v>72.647637639455866</v>
      </c>
      <c r="Z126" s="58">
        <f t="shared" si="46"/>
        <v>-110</v>
      </c>
      <c r="AA126" s="58">
        <f t="shared" si="46"/>
        <v>0</v>
      </c>
      <c r="AB126" s="8">
        <f t="shared" si="35"/>
        <v>-3.2816096719338503</v>
      </c>
    </row>
    <row r="127" spans="1:30" ht="14.4" customHeight="1" x14ac:dyDescent="0.3">
      <c r="A127" s="514" t="s">
        <v>91</v>
      </c>
      <c r="B127" s="984">
        <f t="shared" si="32"/>
        <v>0</v>
      </c>
      <c r="C127" s="984">
        <f t="shared" si="32"/>
        <v>0</v>
      </c>
      <c r="D127" s="984">
        <f t="shared" si="32"/>
        <v>0</v>
      </c>
      <c r="E127" s="984">
        <f t="shared" si="32"/>
        <v>0</v>
      </c>
      <c r="F127" s="984">
        <f t="shared" si="32"/>
        <v>0</v>
      </c>
      <c r="G127" s="984">
        <f t="shared" si="32"/>
        <v>-3.3769100000000094</v>
      </c>
      <c r="H127" s="984">
        <f t="shared" si="32"/>
        <v>0</v>
      </c>
      <c r="I127" s="984">
        <f t="shared" si="32"/>
        <v>0</v>
      </c>
      <c r="J127" s="984">
        <f t="shared" si="32"/>
        <v>0</v>
      </c>
      <c r="K127" s="984">
        <f t="shared" si="32"/>
        <v>0</v>
      </c>
      <c r="L127" s="984">
        <f t="shared" si="32"/>
        <v>0</v>
      </c>
      <c r="M127" s="984">
        <f t="shared" si="32"/>
        <v>0</v>
      </c>
      <c r="N127" s="984">
        <f t="shared" si="32"/>
        <v>-3.3769099999999526</v>
      </c>
      <c r="P127" s="619">
        <f t="shared" si="31"/>
        <v>-3.3769100000000094</v>
      </c>
      <c r="Q127" s="960">
        <f>P127</f>
        <v>-3.3769100000000094</v>
      </c>
      <c r="R127" s="960"/>
      <c r="S127" s="960"/>
      <c r="T127" s="960"/>
      <c r="U127" s="983">
        <f t="shared" si="33"/>
        <v>0</v>
      </c>
      <c r="V127"/>
      <c r="W127" s="587">
        <f t="shared" si="34"/>
        <v>5.6843418860808015E-14</v>
      </c>
      <c r="X127" s="586">
        <f>W127</f>
        <v>5.6843418860808015E-14</v>
      </c>
      <c r="Y127" s="586">
        <v>0</v>
      </c>
      <c r="Z127" s="586">
        <v>0</v>
      </c>
      <c r="AA127" s="586"/>
      <c r="AB127" s="8">
        <f t="shared" si="35"/>
        <v>0</v>
      </c>
    </row>
    <row r="128" spans="1:30" ht="14.4" customHeight="1" x14ac:dyDescent="0.3">
      <c r="A128" s="517" t="s">
        <v>92</v>
      </c>
      <c r="B128" s="617">
        <f t="shared" si="32"/>
        <v>0</v>
      </c>
      <c r="C128" s="617">
        <f t="shared" si="32"/>
        <v>0</v>
      </c>
      <c r="D128" s="617">
        <f t="shared" si="32"/>
        <v>0</v>
      </c>
      <c r="E128" s="617">
        <f t="shared" si="32"/>
        <v>0</v>
      </c>
      <c r="F128" s="617">
        <f t="shared" si="32"/>
        <v>0</v>
      </c>
      <c r="G128" s="617">
        <f t="shared" si="32"/>
        <v>-130.31523112980167</v>
      </c>
      <c r="H128" s="617">
        <f t="shared" si="32"/>
        <v>0</v>
      </c>
      <c r="I128" s="617">
        <f t="shared" si="32"/>
        <v>0</v>
      </c>
      <c r="J128" s="617">
        <f t="shared" si="32"/>
        <v>0</v>
      </c>
      <c r="K128" s="617">
        <f t="shared" si="32"/>
        <v>0</v>
      </c>
      <c r="L128" s="617">
        <f t="shared" si="32"/>
        <v>0</v>
      </c>
      <c r="M128" s="617">
        <f t="shared" si="32"/>
        <v>0</v>
      </c>
      <c r="N128" s="617">
        <f t="shared" si="32"/>
        <v>-130.3152311298013</v>
      </c>
      <c r="P128" s="58">
        <f t="shared" si="31"/>
        <v>-130.31523112980167</v>
      </c>
      <c r="Q128" s="58">
        <f>SUM(Q127,Q126)</f>
        <v>-136.23010205451195</v>
      </c>
      <c r="R128" s="58">
        <f t="shared" ref="R128:T128" si="47">SUM(R127,R126)</f>
        <v>-9.5870743417685471</v>
      </c>
      <c r="S128" s="58">
        <f t="shared" si="47"/>
        <v>15.50194526647882</v>
      </c>
      <c r="T128" s="58">
        <f t="shared" si="47"/>
        <v>0</v>
      </c>
      <c r="U128" s="983">
        <f t="shared" si="33"/>
        <v>0</v>
      </c>
      <c r="V128"/>
      <c r="W128" s="617">
        <f t="shared" si="34"/>
        <v>3.694822225952521E-13</v>
      </c>
      <c r="X128" s="617">
        <f t="shared" ref="X128:AA128" si="48">+X127+X126</f>
        <v>40.633972032478042</v>
      </c>
      <c r="Y128" s="617">
        <f t="shared" si="48"/>
        <v>72.647637639455866</v>
      </c>
      <c r="Z128" s="617">
        <f t="shared" si="48"/>
        <v>-110</v>
      </c>
      <c r="AA128" s="617">
        <f t="shared" si="48"/>
        <v>0</v>
      </c>
      <c r="AB128" s="8">
        <f t="shared" si="35"/>
        <v>-3.2816096719335377</v>
      </c>
    </row>
    <row r="129" spans="1:29" ht="14.4" customHeight="1" x14ac:dyDescent="0.3">
      <c r="A129" s="51"/>
      <c r="B129" s="277"/>
      <c r="C129" s="277"/>
      <c r="D129" s="277"/>
      <c r="E129" s="277"/>
      <c r="F129" s="277"/>
      <c r="G129" s="277"/>
      <c r="H129" s="277"/>
      <c r="I129" s="277"/>
      <c r="J129" s="277"/>
      <c r="K129" s="277"/>
      <c r="L129" s="277"/>
      <c r="M129" s="277"/>
      <c r="N129" s="589"/>
      <c r="P129" s="589"/>
      <c r="Q129" s="1140"/>
      <c r="R129" s="1140"/>
      <c r="S129" s="1140"/>
      <c r="T129" s="1140"/>
      <c r="U129" s="983"/>
      <c r="V129"/>
      <c r="W129" s="589"/>
      <c r="X129" s="277"/>
      <c r="Y129" s="277"/>
      <c r="Z129" s="277"/>
      <c r="AA129" s="277"/>
      <c r="AB129" s="8"/>
    </row>
    <row r="130" spans="1:29" ht="14.4" customHeight="1" x14ac:dyDescent="0.3">
      <c r="A130" s="382" t="s">
        <v>76</v>
      </c>
      <c r="B130" s="584">
        <f t="shared" ref="B130:N135" si="49">+B27-B78</f>
        <v>0</v>
      </c>
      <c r="C130" s="584">
        <f t="shared" si="49"/>
        <v>0</v>
      </c>
      <c r="D130" s="584">
        <f t="shared" si="49"/>
        <v>0</v>
      </c>
      <c r="E130" s="584">
        <f t="shared" si="49"/>
        <v>0</v>
      </c>
      <c r="F130" s="584">
        <f t="shared" si="49"/>
        <v>0</v>
      </c>
      <c r="G130" s="584">
        <f t="shared" si="49"/>
        <v>6.151064931308011</v>
      </c>
      <c r="H130" s="584">
        <f t="shared" si="49"/>
        <v>0</v>
      </c>
      <c r="I130" s="584">
        <f t="shared" si="49"/>
        <v>0</v>
      </c>
      <c r="J130" s="584">
        <f t="shared" si="49"/>
        <v>0</v>
      </c>
      <c r="K130" s="584">
        <f t="shared" si="49"/>
        <v>0</v>
      </c>
      <c r="L130" s="584">
        <f t="shared" si="49"/>
        <v>0</v>
      </c>
      <c r="M130" s="584">
        <f t="shared" si="49"/>
        <v>0</v>
      </c>
      <c r="N130" s="584">
        <f t="shared" si="49"/>
        <v>6.1510649313079995</v>
      </c>
      <c r="P130" s="585">
        <f t="shared" ref="P130:P135" si="50">SUM(B130:G130)</f>
        <v>6.151064931308011</v>
      </c>
      <c r="Q130" s="1138">
        <v>5.151064931308011</v>
      </c>
      <c r="R130" s="1138"/>
      <c r="S130" s="1138">
        <v>1</v>
      </c>
      <c r="T130" s="1138"/>
      <c r="U130" s="983">
        <f t="shared" si="33"/>
        <v>0</v>
      </c>
      <c r="V130"/>
      <c r="W130" s="585">
        <f t="shared" ref="W130:W135" si="51">N130-P130</f>
        <v>-1.1546319456101628E-14</v>
      </c>
      <c r="X130" s="584">
        <v>3.7402587185766212</v>
      </c>
      <c r="Y130" s="585">
        <f t="shared" ref="Y130:Z134" si="52">+Y27-Y78</f>
        <v>0</v>
      </c>
      <c r="Z130" s="584">
        <f t="shared" si="52"/>
        <v>0</v>
      </c>
      <c r="AA130" s="584">
        <f t="shared" ref="AA130:AA134" si="53">+AA128+AA129</f>
        <v>0</v>
      </c>
      <c r="AB130" s="8" t="s">
        <v>1020</v>
      </c>
    </row>
    <row r="131" spans="1:29" ht="14.4" customHeight="1" x14ac:dyDescent="0.3">
      <c r="A131" s="383" t="s">
        <v>77</v>
      </c>
      <c r="B131" s="586">
        <f t="shared" si="49"/>
        <v>0</v>
      </c>
      <c r="C131" s="586">
        <f t="shared" si="49"/>
        <v>0</v>
      </c>
      <c r="D131" s="586">
        <f t="shared" si="49"/>
        <v>0</v>
      </c>
      <c r="E131" s="586">
        <f t="shared" si="49"/>
        <v>0</v>
      </c>
      <c r="F131" s="586">
        <f t="shared" si="49"/>
        <v>0</v>
      </c>
      <c r="G131" s="586">
        <f t="shared" si="49"/>
        <v>-26.096582757259576</v>
      </c>
      <c r="H131" s="586">
        <f t="shared" si="49"/>
        <v>0</v>
      </c>
      <c r="I131" s="586">
        <f t="shared" si="49"/>
        <v>0</v>
      </c>
      <c r="J131" s="586">
        <f t="shared" si="49"/>
        <v>0</v>
      </c>
      <c r="K131" s="586">
        <f t="shared" si="49"/>
        <v>0</v>
      </c>
      <c r="L131" s="586">
        <f t="shared" si="49"/>
        <v>0</v>
      </c>
      <c r="M131" s="586">
        <f t="shared" si="49"/>
        <v>0</v>
      </c>
      <c r="N131" s="587">
        <f t="shared" si="49"/>
        <v>-26.096582757259583</v>
      </c>
      <c r="P131" s="587">
        <f t="shared" si="50"/>
        <v>-26.096582757259576</v>
      </c>
      <c r="Q131" s="1139">
        <v>-27.096582757259576</v>
      </c>
      <c r="R131" s="1139"/>
      <c r="S131" s="1139">
        <f>-1--2</f>
        <v>1</v>
      </c>
      <c r="T131" s="1139"/>
      <c r="U131" s="983">
        <f t="shared" si="33"/>
        <v>0</v>
      </c>
      <c r="V131"/>
      <c r="W131" s="587">
        <f t="shared" si="51"/>
        <v>0</v>
      </c>
      <c r="X131" s="586">
        <v>-11.450113089561096</v>
      </c>
      <c r="Y131" s="587"/>
      <c r="Z131" s="586">
        <v>3</v>
      </c>
      <c r="AA131" s="586">
        <f t="shared" si="53"/>
        <v>0</v>
      </c>
      <c r="AB131" s="8" t="s">
        <v>1020</v>
      </c>
    </row>
    <row r="132" spans="1:29" ht="14.4" customHeight="1" x14ac:dyDescent="0.3">
      <c r="A132" s="383" t="s">
        <v>144</v>
      </c>
      <c r="B132" s="586">
        <f t="shared" si="49"/>
        <v>0</v>
      </c>
      <c r="C132" s="586">
        <f t="shared" si="49"/>
        <v>0</v>
      </c>
      <c r="D132" s="586">
        <f t="shared" si="49"/>
        <v>0</v>
      </c>
      <c r="E132" s="586">
        <f t="shared" si="49"/>
        <v>0</v>
      </c>
      <c r="F132" s="586">
        <f t="shared" si="49"/>
        <v>0</v>
      </c>
      <c r="G132" s="586">
        <f t="shared" si="49"/>
        <v>-8.9144199999999998</v>
      </c>
      <c r="H132" s="586">
        <f t="shared" si="49"/>
        <v>0</v>
      </c>
      <c r="I132" s="586">
        <f t="shared" si="49"/>
        <v>0</v>
      </c>
      <c r="J132" s="586">
        <f t="shared" si="49"/>
        <v>0</v>
      </c>
      <c r="K132" s="586">
        <f t="shared" si="49"/>
        <v>0</v>
      </c>
      <c r="L132" s="586">
        <f t="shared" si="49"/>
        <v>0</v>
      </c>
      <c r="M132" s="586">
        <f t="shared" si="49"/>
        <v>0</v>
      </c>
      <c r="N132" s="587">
        <f t="shared" si="49"/>
        <v>-8.9144199999999998</v>
      </c>
      <c r="P132" s="587">
        <f t="shared" si="50"/>
        <v>-8.9144199999999998</v>
      </c>
      <c r="Q132" s="1139">
        <v>-8.9144199999999998</v>
      </c>
      <c r="R132" s="1139"/>
      <c r="S132" s="1139"/>
      <c r="T132" s="1139"/>
      <c r="U132" s="983">
        <f t="shared" si="33"/>
        <v>0</v>
      </c>
      <c r="V132"/>
      <c r="W132" s="587">
        <f t="shared" si="51"/>
        <v>0</v>
      </c>
      <c r="X132" s="586">
        <f>(+X29-X80)+0</f>
        <v>0</v>
      </c>
      <c r="Y132" s="587">
        <f t="shared" si="52"/>
        <v>-0.40461363989941113</v>
      </c>
      <c r="Z132" s="586">
        <f t="shared" si="52"/>
        <v>0</v>
      </c>
      <c r="AA132" s="586">
        <f t="shared" si="53"/>
        <v>0</v>
      </c>
      <c r="AB132" s="8">
        <f t="shared" si="35"/>
        <v>0.40461363989941113</v>
      </c>
    </row>
    <row r="133" spans="1:29" ht="49.2" customHeight="1" x14ac:dyDescent="0.3">
      <c r="A133" s="383" t="s">
        <v>85</v>
      </c>
      <c r="B133" s="586">
        <f t="shared" si="49"/>
        <v>0</v>
      </c>
      <c r="C133" s="586">
        <f t="shared" si="49"/>
        <v>0</v>
      </c>
      <c r="D133" s="586">
        <f t="shared" si="49"/>
        <v>0</v>
      </c>
      <c r="E133" s="586">
        <f t="shared" si="49"/>
        <v>0</v>
      </c>
      <c r="F133" s="586">
        <f t="shared" si="49"/>
        <v>0</v>
      </c>
      <c r="G133" s="586">
        <f t="shared" si="49"/>
        <v>-45.685756961005282</v>
      </c>
      <c r="H133" s="586">
        <f t="shared" si="49"/>
        <v>0</v>
      </c>
      <c r="I133" s="586">
        <f t="shared" si="49"/>
        <v>0</v>
      </c>
      <c r="J133" s="586">
        <f t="shared" si="49"/>
        <v>0</v>
      </c>
      <c r="K133" s="586">
        <f t="shared" si="49"/>
        <v>0</v>
      </c>
      <c r="L133" s="586">
        <f t="shared" si="49"/>
        <v>0</v>
      </c>
      <c r="M133" s="586">
        <f t="shared" si="49"/>
        <v>0</v>
      </c>
      <c r="N133" s="587">
        <f t="shared" si="49"/>
        <v>-45.685756961005268</v>
      </c>
      <c r="P133" s="587">
        <f t="shared" si="50"/>
        <v>-45.685756961005282</v>
      </c>
      <c r="Q133" s="1139">
        <v>-45.685756961005282</v>
      </c>
      <c r="R133" s="1139"/>
      <c r="S133" s="1139"/>
      <c r="T133" s="1139"/>
      <c r="U133" s="983">
        <f t="shared" si="33"/>
        <v>0</v>
      </c>
      <c r="V133" s="783" t="s">
        <v>1052</v>
      </c>
      <c r="W133" s="587">
        <f t="shared" si="51"/>
        <v>0</v>
      </c>
      <c r="X133" s="586">
        <f>W133</f>
        <v>0</v>
      </c>
      <c r="Y133" s="587">
        <f t="shared" si="52"/>
        <v>0</v>
      </c>
      <c r="Z133" s="586">
        <f t="shared" si="52"/>
        <v>0</v>
      </c>
      <c r="AA133" s="586">
        <f t="shared" si="53"/>
        <v>0</v>
      </c>
      <c r="AB133" s="8" t="s">
        <v>1017</v>
      </c>
    </row>
    <row r="134" spans="1:29" ht="14.4" customHeight="1" x14ac:dyDescent="0.3">
      <c r="A134" s="397" t="s">
        <v>145</v>
      </c>
      <c r="B134" s="590">
        <f t="shared" si="49"/>
        <v>0</v>
      </c>
      <c r="C134" s="590">
        <f t="shared" si="49"/>
        <v>0</v>
      </c>
      <c r="D134" s="590">
        <f t="shared" si="49"/>
        <v>0</v>
      </c>
      <c r="E134" s="590">
        <f t="shared" si="49"/>
        <v>0</v>
      </c>
      <c r="F134" s="590">
        <f t="shared" si="49"/>
        <v>0</v>
      </c>
      <c r="G134" s="590">
        <f t="shared" si="49"/>
        <v>0</v>
      </c>
      <c r="H134" s="590">
        <f t="shared" si="49"/>
        <v>0</v>
      </c>
      <c r="I134" s="590">
        <f t="shared" si="49"/>
        <v>0</v>
      </c>
      <c r="J134" s="590">
        <f t="shared" si="49"/>
        <v>0</v>
      </c>
      <c r="K134" s="590">
        <f t="shared" si="49"/>
        <v>0</v>
      </c>
      <c r="L134" s="590">
        <f t="shared" si="49"/>
        <v>0</v>
      </c>
      <c r="M134" s="590">
        <f t="shared" si="49"/>
        <v>0</v>
      </c>
      <c r="N134" s="591">
        <f t="shared" si="49"/>
        <v>0</v>
      </c>
      <c r="P134" s="591">
        <f t="shared" si="50"/>
        <v>0</v>
      </c>
      <c r="Q134" s="1141">
        <v>0</v>
      </c>
      <c r="R134" s="1141"/>
      <c r="S134" s="1141"/>
      <c r="T134" s="1141"/>
      <c r="U134" s="983">
        <f t="shared" si="33"/>
        <v>0</v>
      </c>
      <c r="V134"/>
      <c r="W134" s="591">
        <f t="shared" si="51"/>
        <v>0</v>
      </c>
      <c r="X134" s="590">
        <f>(+X31-X82)+0</f>
        <v>0</v>
      </c>
      <c r="Y134" s="591">
        <f t="shared" si="52"/>
        <v>0</v>
      </c>
      <c r="Z134" s="590">
        <f t="shared" si="52"/>
        <v>0</v>
      </c>
      <c r="AA134" s="590">
        <f t="shared" si="53"/>
        <v>0</v>
      </c>
      <c r="AB134" s="8">
        <f t="shared" si="35"/>
        <v>0</v>
      </c>
    </row>
    <row r="135" spans="1:29" ht="14.4" customHeight="1" x14ac:dyDescent="0.3">
      <c r="A135" s="274" t="s">
        <v>146</v>
      </c>
      <c r="B135" s="275">
        <f t="shared" si="49"/>
        <v>0</v>
      </c>
      <c r="C135" s="275">
        <f t="shared" si="49"/>
        <v>0</v>
      </c>
      <c r="D135" s="275">
        <f t="shared" si="49"/>
        <v>0</v>
      </c>
      <c r="E135" s="275">
        <f t="shared" si="49"/>
        <v>0</v>
      </c>
      <c r="F135" s="275">
        <f t="shared" si="49"/>
        <v>0</v>
      </c>
      <c r="G135" s="275">
        <f t="shared" si="49"/>
        <v>-74.545694786956844</v>
      </c>
      <c r="H135" s="275">
        <f t="shared" si="49"/>
        <v>0</v>
      </c>
      <c r="I135" s="275">
        <f t="shared" si="49"/>
        <v>0</v>
      </c>
      <c r="J135" s="275">
        <f t="shared" si="49"/>
        <v>0</v>
      </c>
      <c r="K135" s="275">
        <f t="shared" si="49"/>
        <v>0</v>
      </c>
      <c r="L135" s="275">
        <f t="shared" si="49"/>
        <v>0</v>
      </c>
      <c r="M135" s="275">
        <f t="shared" si="49"/>
        <v>0</v>
      </c>
      <c r="N135" s="275">
        <f t="shared" si="49"/>
        <v>-74.545694786956858</v>
      </c>
      <c r="P135" s="275">
        <f t="shared" si="50"/>
        <v>-74.545694786956844</v>
      </c>
      <c r="Q135" s="275">
        <f>SUM(Q130:Q134)</f>
        <v>-76.545694786956844</v>
      </c>
      <c r="R135" s="275">
        <f t="shared" ref="R135:T135" si="54">SUM(R130:R134)</f>
        <v>0</v>
      </c>
      <c r="S135" s="275">
        <f t="shared" si="54"/>
        <v>2</v>
      </c>
      <c r="T135" s="275">
        <f t="shared" si="54"/>
        <v>0</v>
      </c>
      <c r="U135" s="983">
        <f t="shared" si="33"/>
        <v>0</v>
      </c>
      <c r="V135"/>
      <c r="W135" s="275">
        <f t="shared" si="51"/>
        <v>0</v>
      </c>
      <c r="X135" s="275">
        <f>SUM(X130:X134)</f>
        <v>-7.7098543709844751</v>
      </c>
      <c r="Y135" s="275">
        <f t="shared" ref="Y135:AA135" si="55">SUM(Y130:Y134)</f>
        <v>-0.40461363989941113</v>
      </c>
      <c r="Z135" s="275">
        <f t="shared" si="55"/>
        <v>3</v>
      </c>
      <c r="AA135" s="275">
        <f t="shared" si="55"/>
        <v>0</v>
      </c>
      <c r="AB135" s="8">
        <f t="shared" si="35"/>
        <v>5.1144680108838863</v>
      </c>
    </row>
    <row r="136" spans="1:29" ht="14.4" customHeight="1" x14ac:dyDescent="0.3">
      <c r="A136" s="51"/>
      <c r="B136" s="277"/>
      <c r="C136" s="574"/>
      <c r="D136" s="574"/>
      <c r="E136" s="574"/>
      <c r="F136" s="574"/>
      <c r="G136" s="574"/>
      <c r="H136" s="574"/>
      <c r="I136" s="574"/>
      <c r="J136" s="574"/>
      <c r="K136" s="574"/>
      <c r="L136" s="574"/>
      <c r="M136" s="574"/>
      <c r="N136" s="579"/>
      <c r="P136" s="579"/>
      <c r="Q136" s="1142"/>
      <c r="R136" s="1142"/>
      <c r="S136" s="1142"/>
      <c r="T136" s="1142"/>
      <c r="U136" s="983"/>
      <c r="V136"/>
      <c r="W136" s="579"/>
      <c r="X136" s="574"/>
      <c r="Y136" s="574"/>
      <c r="Z136" s="574"/>
      <c r="AA136" s="574"/>
      <c r="AB136" s="8">
        <f t="shared" si="35"/>
        <v>0</v>
      </c>
    </row>
    <row r="137" spans="1:29" ht="14.4" customHeight="1" x14ac:dyDescent="0.3">
      <c r="A137" s="2" t="s">
        <v>148</v>
      </c>
      <c r="B137" s="592">
        <f t="shared" ref="B137:N141" si="56">+B34-B85</f>
        <v>0</v>
      </c>
      <c r="C137" s="592">
        <f t="shared" si="56"/>
        <v>0</v>
      </c>
      <c r="D137" s="592">
        <f t="shared" si="56"/>
        <v>0</v>
      </c>
      <c r="E137" s="592">
        <f t="shared" si="56"/>
        <v>0</v>
      </c>
      <c r="F137" s="592">
        <f t="shared" si="56"/>
        <v>0</v>
      </c>
      <c r="G137" s="592">
        <f t="shared" si="56"/>
        <v>-1.2821023680049137</v>
      </c>
      <c r="H137" s="592">
        <f t="shared" si="56"/>
        <v>0</v>
      </c>
      <c r="I137" s="592">
        <f t="shared" si="56"/>
        <v>0</v>
      </c>
      <c r="J137" s="592">
        <f t="shared" si="56"/>
        <v>0</v>
      </c>
      <c r="K137" s="592">
        <f t="shared" si="56"/>
        <v>0</v>
      </c>
      <c r="L137" s="592">
        <f t="shared" si="56"/>
        <v>0</v>
      </c>
      <c r="M137" s="592">
        <f t="shared" si="56"/>
        <v>0</v>
      </c>
      <c r="N137" s="592">
        <f t="shared" si="56"/>
        <v>-1.2821023680049137</v>
      </c>
      <c r="P137" s="593">
        <f t="shared" ref="P137:P139" si="57">SUM(B137:G137)</f>
        <v>-1.2821023680049137</v>
      </c>
      <c r="Q137" s="1138">
        <v>-1.2821023680049137</v>
      </c>
      <c r="R137" s="1138"/>
      <c r="S137" s="1138"/>
      <c r="T137" s="1138"/>
      <c r="U137" s="983">
        <f t="shared" si="33"/>
        <v>0</v>
      </c>
      <c r="V137"/>
      <c r="W137" s="985">
        <f t="shared" ref="W137:W139" si="58">N137-P137</f>
        <v>0</v>
      </c>
      <c r="X137" s="986">
        <f>+X34-X85</f>
        <v>0</v>
      </c>
      <c r="Y137" s="987">
        <f t="shared" ref="X137:Z140" si="59">+Y34-Y85</f>
        <v>0</v>
      </c>
      <c r="Z137" s="986">
        <f t="shared" si="59"/>
        <v>0</v>
      </c>
      <c r="AA137" s="986">
        <f t="shared" ref="AA137:AA140" si="60">+AA135+AA136</f>
        <v>0</v>
      </c>
      <c r="AB137" s="8">
        <f t="shared" si="35"/>
        <v>0</v>
      </c>
    </row>
    <row r="138" spans="1:29" ht="14.4" customHeight="1" x14ac:dyDescent="0.3">
      <c r="A138" s="363" t="s">
        <v>149</v>
      </c>
      <c r="B138" s="592">
        <f t="shared" si="56"/>
        <v>0</v>
      </c>
      <c r="C138" s="592">
        <f t="shared" si="56"/>
        <v>0</v>
      </c>
      <c r="D138" s="592">
        <f t="shared" si="56"/>
        <v>0</v>
      </c>
      <c r="E138" s="592">
        <f t="shared" si="56"/>
        <v>0</v>
      </c>
      <c r="F138" s="592">
        <f t="shared" si="56"/>
        <v>0</v>
      </c>
      <c r="G138" s="592">
        <f t="shared" si="56"/>
        <v>-5.4437293854914657</v>
      </c>
      <c r="H138" s="592">
        <f t="shared" si="56"/>
        <v>0</v>
      </c>
      <c r="I138" s="592">
        <f t="shared" si="56"/>
        <v>0</v>
      </c>
      <c r="J138" s="592">
        <f t="shared" si="56"/>
        <v>0</v>
      </c>
      <c r="K138" s="592">
        <f t="shared" si="56"/>
        <v>0</v>
      </c>
      <c r="L138" s="592">
        <f t="shared" si="56"/>
        <v>0</v>
      </c>
      <c r="M138" s="592">
        <f t="shared" si="56"/>
        <v>0</v>
      </c>
      <c r="N138" s="593">
        <f t="shared" si="56"/>
        <v>-5.4437293854914657</v>
      </c>
      <c r="P138" s="593">
        <f t="shared" si="57"/>
        <v>-5.4437293854914657</v>
      </c>
      <c r="Q138" s="1138">
        <v>-0.21129150077673842</v>
      </c>
      <c r="R138" s="1138">
        <v>-5.2324378847147273</v>
      </c>
      <c r="S138" s="1138"/>
      <c r="T138" s="1138"/>
      <c r="U138" s="983">
        <f t="shared" si="33"/>
        <v>0</v>
      </c>
      <c r="V138"/>
      <c r="W138" s="985">
        <f t="shared" si="58"/>
        <v>0</v>
      </c>
      <c r="X138" s="986">
        <v>-92.216365471214701</v>
      </c>
      <c r="Y138" s="986"/>
      <c r="Z138" s="986">
        <v>-6</v>
      </c>
      <c r="AA138" s="986">
        <f t="shared" si="60"/>
        <v>0</v>
      </c>
      <c r="AB138" s="8">
        <f t="shared" si="35"/>
        <v>98.216365471214701</v>
      </c>
      <c r="AC138" s="638"/>
    </row>
    <row r="139" spans="1:29" ht="14.4" customHeight="1" x14ac:dyDescent="0.3">
      <c r="A139" s="274" t="s">
        <v>150</v>
      </c>
      <c r="B139" s="275">
        <f t="shared" si="56"/>
        <v>0</v>
      </c>
      <c r="C139" s="275">
        <f t="shared" si="56"/>
        <v>0</v>
      </c>
      <c r="D139" s="275">
        <f t="shared" si="56"/>
        <v>0</v>
      </c>
      <c r="E139" s="275">
        <f t="shared" si="56"/>
        <v>0</v>
      </c>
      <c r="F139" s="275">
        <f t="shared" si="56"/>
        <v>0</v>
      </c>
      <c r="G139" s="275">
        <f t="shared" si="56"/>
        <v>-6.7258317534963794</v>
      </c>
      <c r="H139" s="275">
        <f t="shared" si="56"/>
        <v>0</v>
      </c>
      <c r="I139" s="275">
        <f t="shared" si="56"/>
        <v>0</v>
      </c>
      <c r="J139" s="275">
        <f t="shared" si="56"/>
        <v>0</v>
      </c>
      <c r="K139" s="275">
        <f t="shared" si="56"/>
        <v>0</v>
      </c>
      <c r="L139" s="275">
        <f t="shared" si="56"/>
        <v>0</v>
      </c>
      <c r="M139" s="275">
        <f t="shared" si="56"/>
        <v>0</v>
      </c>
      <c r="N139" s="275">
        <f t="shared" si="56"/>
        <v>-6.7258317534963794</v>
      </c>
      <c r="P139" s="275">
        <f t="shared" si="57"/>
        <v>-6.7258317534963794</v>
      </c>
      <c r="Q139" s="275">
        <f>SUM(Q137:Q138)</f>
        <v>-1.4933938687816521</v>
      </c>
      <c r="R139" s="275">
        <f t="shared" ref="R139:T139" si="61">SUM(R137:R138)</f>
        <v>-5.2324378847147273</v>
      </c>
      <c r="S139" s="275">
        <f t="shared" si="61"/>
        <v>0</v>
      </c>
      <c r="T139" s="275">
        <f t="shared" si="61"/>
        <v>0</v>
      </c>
      <c r="U139" s="983">
        <f t="shared" si="33"/>
        <v>0</v>
      </c>
      <c r="V139"/>
      <c r="W139" s="275">
        <f t="shared" si="58"/>
        <v>0</v>
      </c>
      <c r="X139" s="275">
        <f>SUM(X137:X138)</f>
        <v>-92.216365471214701</v>
      </c>
      <c r="Y139" s="275">
        <f t="shared" ref="Y139:AA139" si="62">SUM(Y137:Y138)</f>
        <v>0</v>
      </c>
      <c r="Z139" s="275">
        <f t="shared" si="62"/>
        <v>-6</v>
      </c>
      <c r="AA139" s="275">
        <f t="shared" si="62"/>
        <v>0</v>
      </c>
      <c r="AB139" s="8">
        <f t="shared" si="35"/>
        <v>98.216365471214701</v>
      </c>
    </row>
    <row r="140" spans="1:29" ht="14.4" customHeight="1" x14ac:dyDescent="0.3">
      <c r="A140" s="51"/>
      <c r="B140" s="277"/>
      <c r="C140" s="277"/>
      <c r="D140" s="277"/>
      <c r="E140" s="277"/>
      <c r="F140" s="277"/>
      <c r="G140" s="277"/>
      <c r="H140" s="277"/>
      <c r="I140" s="277"/>
      <c r="J140" s="277"/>
      <c r="K140" s="277"/>
      <c r="L140" s="277"/>
      <c r="M140" s="277"/>
      <c r="N140" s="589"/>
      <c r="P140" s="589"/>
      <c r="Q140" s="1140"/>
      <c r="R140" s="1140"/>
      <c r="S140" s="1140"/>
      <c r="T140" s="1140"/>
      <c r="U140" s="983"/>
      <c r="V140"/>
      <c r="W140" s="589">
        <f t="shared" ref="W140" si="63">SUM(E140:M140)</f>
        <v>0</v>
      </c>
      <c r="X140" s="277">
        <f t="shared" si="59"/>
        <v>0</v>
      </c>
      <c r="Y140" s="277">
        <f t="shared" si="59"/>
        <v>0</v>
      </c>
      <c r="Z140" s="277">
        <f t="shared" si="59"/>
        <v>0</v>
      </c>
      <c r="AA140" s="277">
        <f t="shared" si="60"/>
        <v>0</v>
      </c>
      <c r="AB140" s="8">
        <f t="shared" si="35"/>
        <v>0</v>
      </c>
    </row>
    <row r="141" spans="1:29" ht="14.4" customHeight="1" x14ac:dyDescent="0.3">
      <c r="A141" s="274" t="s">
        <v>152</v>
      </c>
      <c r="B141" s="275">
        <f>+B38-B89</f>
        <v>0</v>
      </c>
      <c r="C141" s="275">
        <f t="shared" si="56"/>
        <v>0</v>
      </c>
      <c r="D141" s="275">
        <f t="shared" si="56"/>
        <v>0</v>
      </c>
      <c r="E141" s="275">
        <f>+E38-E89</f>
        <v>0</v>
      </c>
      <c r="F141" s="275">
        <f>+F38-F89</f>
        <v>0</v>
      </c>
      <c r="G141" s="275">
        <f t="shared" si="56"/>
        <v>-141.2166483679764</v>
      </c>
      <c r="H141" s="275">
        <f t="shared" si="56"/>
        <v>0</v>
      </c>
      <c r="I141" s="275">
        <f t="shared" si="56"/>
        <v>0</v>
      </c>
      <c r="J141" s="275">
        <f t="shared" si="56"/>
        <v>0</v>
      </c>
      <c r="K141" s="275">
        <f t="shared" si="56"/>
        <v>0</v>
      </c>
      <c r="L141" s="275">
        <f t="shared" si="56"/>
        <v>0</v>
      </c>
      <c r="M141" s="275">
        <f t="shared" si="56"/>
        <v>0</v>
      </c>
      <c r="N141" s="275">
        <f t="shared" si="56"/>
        <v>-141.21664836797595</v>
      </c>
      <c r="P141" s="275">
        <f>SUM(B141:G141)</f>
        <v>-141.2166483679764</v>
      </c>
      <c r="Q141" s="275">
        <f>SUM(Q128,Q135,Q139,Q111)</f>
        <v>-143.89908140797195</v>
      </c>
      <c r="R141" s="275">
        <f t="shared" ref="R141:T141" si="64">SUM(R128,R135,R139,R111)</f>
        <v>-14.819512226483274</v>
      </c>
      <c r="S141" s="275">
        <f t="shared" si="64"/>
        <v>17.50194526647882</v>
      </c>
      <c r="T141" s="275">
        <f t="shared" si="64"/>
        <v>0</v>
      </c>
      <c r="U141" s="983">
        <f t="shared" si="33"/>
        <v>0</v>
      </c>
      <c r="V141"/>
      <c r="W141" s="275">
        <f>+W139+W135+W128+W111</f>
        <v>8.2422957348171622E-13</v>
      </c>
      <c r="X141" s="275">
        <f t="shared" ref="X141:AA141" si="65">+X139+X135+X128+X111</f>
        <v>-59.292247809720678</v>
      </c>
      <c r="Y141" s="275">
        <f t="shared" si="65"/>
        <v>72.243023999556456</v>
      </c>
      <c r="Z141" s="275">
        <f t="shared" si="65"/>
        <v>-113</v>
      </c>
      <c r="AA141" s="275">
        <f t="shared" si="65"/>
        <v>0</v>
      </c>
      <c r="AB141" s="8">
        <f t="shared" si="35"/>
        <v>100.04922381016505</v>
      </c>
    </row>
    <row r="142" spans="1:29" ht="14.4" customHeight="1" x14ac:dyDescent="0.3">
      <c r="A142" s="568"/>
      <c r="B142" s="574"/>
      <c r="C142" s="574"/>
      <c r="D142" s="574"/>
      <c r="E142" s="574"/>
      <c r="F142" s="574"/>
      <c r="G142" s="574"/>
      <c r="H142" s="574"/>
      <c r="I142" s="574"/>
      <c r="J142" s="574"/>
      <c r="K142" s="574"/>
      <c r="L142" s="574"/>
      <c r="M142" s="574"/>
      <c r="N142" s="579"/>
      <c r="V142"/>
      <c r="W142" s="1143">
        <f>W141-W111</f>
        <v>3.694822225952521E-13</v>
      </c>
      <c r="Z142" s="8">
        <f>Z141-Z127</f>
        <v>-113</v>
      </c>
    </row>
    <row r="143" spans="1:29" ht="14.4" customHeight="1" x14ac:dyDescent="0.3">
      <c r="A143" s="568"/>
      <c r="B143" s="574"/>
      <c r="C143" s="574"/>
      <c r="D143" s="574"/>
      <c r="E143" s="574"/>
      <c r="F143" s="574"/>
      <c r="G143" s="574"/>
      <c r="H143" s="574"/>
      <c r="I143" s="574"/>
      <c r="J143" s="574"/>
      <c r="K143" s="574"/>
      <c r="L143" s="574"/>
      <c r="M143" s="574"/>
      <c r="N143" s="579"/>
      <c r="V143"/>
      <c r="W143" s="1143">
        <f>W142-W139</f>
        <v>3.694822225952521E-13</v>
      </c>
    </row>
    <row r="144" spans="1:29" ht="14.4" customHeight="1" x14ac:dyDescent="0.3">
      <c r="A144" s="382" t="s">
        <v>43</v>
      </c>
      <c r="B144" s="584">
        <f t="shared" ref="B144:N150" si="66">+B41-B92</f>
        <v>0</v>
      </c>
      <c r="C144" s="584">
        <f t="shared" si="66"/>
        <v>0</v>
      </c>
      <c r="D144" s="584">
        <f t="shared" si="66"/>
        <v>0</v>
      </c>
      <c r="E144" s="584">
        <f t="shared" si="66"/>
        <v>0</v>
      </c>
      <c r="F144" s="584">
        <f t="shared" si="66"/>
        <v>0</v>
      </c>
      <c r="G144" s="584">
        <f t="shared" si="66"/>
        <v>0</v>
      </c>
      <c r="H144" s="584">
        <f t="shared" si="66"/>
        <v>0</v>
      </c>
      <c r="I144" s="584">
        <f t="shared" si="66"/>
        <v>0</v>
      </c>
      <c r="J144" s="584">
        <f t="shared" si="66"/>
        <v>0</v>
      </c>
      <c r="K144" s="584">
        <f t="shared" si="66"/>
        <v>0</v>
      </c>
      <c r="L144" s="584">
        <f t="shared" si="66"/>
        <v>0</v>
      </c>
      <c r="M144" s="584">
        <f t="shared" si="66"/>
        <v>0</v>
      </c>
      <c r="N144" s="584">
        <f t="shared" si="66"/>
        <v>0</v>
      </c>
      <c r="V144"/>
      <c r="W144" s="32"/>
    </row>
    <row r="145" spans="1:26" ht="14.4" customHeight="1" x14ac:dyDescent="0.3">
      <c r="A145" s="383" t="s">
        <v>181</v>
      </c>
      <c r="B145" s="586">
        <f t="shared" si="66"/>
        <v>0</v>
      </c>
      <c r="C145" s="586">
        <f t="shared" si="66"/>
        <v>0</v>
      </c>
      <c r="D145" s="586">
        <f t="shared" si="66"/>
        <v>0</v>
      </c>
      <c r="E145" s="586">
        <f t="shared" si="66"/>
        <v>0</v>
      </c>
      <c r="F145" s="586">
        <f t="shared" si="66"/>
        <v>0</v>
      </c>
      <c r="G145" s="586">
        <f t="shared" si="66"/>
        <v>0</v>
      </c>
      <c r="H145" s="586">
        <f t="shared" si="66"/>
        <v>0</v>
      </c>
      <c r="I145" s="586">
        <f t="shared" si="66"/>
        <v>0</v>
      </c>
      <c r="J145" s="586">
        <f t="shared" si="66"/>
        <v>0</v>
      </c>
      <c r="K145" s="586">
        <f t="shared" si="66"/>
        <v>0</v>
      </c>
      <c r="L145" s="586">
        <f t="shared" si="66"/>
        <v>0</v>
      </c>
      <c r="M145" s="586">
        <f t="shared" si="66"/>
        <v>0</v>
      </c>
      <c r="N145" s="586">
        <f t="shared" si="66"/>
        <v>0</v>
      </c>
      <c r="V145"/>
      <c r="W145" s="32"/>
    </row>
    <row r="146" spans="1:26" ht="14.4" customHeight="1" x14ac:dyDescent="0.3">
      <c r="A146" s="383" t="s">
        <v>479</v>
      </c>
      <c r="B146" s="586">
        <f t="shared" si="66"/>
        <v>0</v>
      </c>
      <c r="C146" s="586">
        <f t="shared" si="66"/>
        <v>0</v>
      </c>
      <c r="D146" s="586">
        <f t="shared" si="66"/>
        <v>0</v>
      </c>
      <c r="E146" s="586">
        <f t="shared" si="66"/>
        <v>0</v>
      </c>
      <c r="F146" s="586">
        <f t="shared" si="66"/>
        <v>0</v>
      </c>
      <c r="G146" s="586">
        <f t="shared" si="66"/>
        <v>0</v>
      </c>
      <c r="H146" s="586">
        <f t="shared" si="66"/>
        <v>0</v>
      </c>
      <c r="I146" s="586">
        <f t="shared" si="66"/>
        <v>0</v>
      </c>
      <c r="J146" s="586">
        <f t="shared" si="66"/>
        <v>0</v>
      </c>
      <c r="K146" s="586">
        <f t="shared" si="66"/>
        <v>0</v>
      </c>
      <c r="L146" s="586">
        <f t="shared" si="66"/>
        <v>0</v>
      </c>
      <c r="M146" s="586">
        <f t="shared" si="66"/>
        <v>0</v>
      </c>
      <c r="N146" s="586">
        <f t="shared" si="66"/>
        <v>0</v>
      </c>
      <c r="V146"/>
      <c r="W146" s="32"/>
    </row>
    <row r="147" spans="1:26" ht="14.4" customHeight="1" x14ac:dyDescent="0.3">
      <c r="A147" s="383" t="s">
        <v>66</v>
      </c>
      <c r="B147" s="586">
        <f t="shared" si="66"/>
        <v>0</v>
      </c>
      <c r="C147" s="586">
        <f t="shared" si="66"/>
        <v>0</v>
      </c>
      <c r="D147" s="586">
        <f t="shared" si="66"/>
        <v>0</v>
      </c>
      <c r="E147" s="586">
        <f t="shared" si="66"/>
        <v>0</v>
      </c>
      <c r="F147" s="586">
        <f t="shared" si="66"/>
        <v>0</v>
      </c>
      <c r="G147" s="586">
        <f t="shared" si="66"/>
        <v>0</v>
      </c>
      <c r="H147" s="586">
        <f t="shared" si="66"/>
        <v>0</v>
      </c>
      <c r="I147" s="586">
        <f t="shared" si="66"/>
        <v>0</v>
      </c>
      <c r="J147" s="586">
        <f t="shared" si="66"/>
        <v>0</v>
      </c>
      <c r="K147" s="586">
        <f t="shared" si="66"/>
        <v>0</v>
      </c>
      <c r="L147" s="586">
        <f t="shared" si="66"/>
        <v>0</v>
      </c>
      <c r="M147" s="586">
        <f t="shared" si="66"/>
        <v>0</v>
      </c>
      <c r="N147" s="586">
        <f t="shared" si="66"/>
        <v>0</v>
      </c>
      <c r="V147"/>
      <c r="W147" s="32"/>
    </row>
    <row r="148" spans="1:26" ht="14.4" customHeight="1" x14ac:dyDescent="0.3">
      <c r="A148" s="397" t="s">
        <v>488</v>
      </c>
      <c r="B148" s="590">
        <f t="shared" si="66"/>
        <v>0</v>
      </c>
      <c r="C148" s="590">
        <f t="shared" si="66"/>
        <v>0</v>
      </c>
      <c r="D148" s="590">
        <f t="shared" si="66"/>
        <v>0</v>
      </c>
      <c r="E148" s="590">
        <f t="shared" si="66"/>
        <v>0</v>
      </c>
      <c r="F148" s="590">
        <f t="shared" si="66"/>
        <v>0</v>
      </c>
      <c r="G148" s="590">
        <f t="shared" si="66"/>
        <v>0</v>
      </c>
      <c r="H148" s="590">
        <f t="shared" si="66"/>
        <v>0</v>
      </c>
      <c r="I148" s="590">
        <f t="shared" si="66"/>
        <v>0</v>
      </c>
      <c r="J148" s="590">
        <f t="shared" si="66"/>
        <v>0</v>
      </c>
      <c r="K148" s="590">
        <f t="shared" si="66"/>
        <v>0</v>
      </c>
      <c r="L148" s="590">
        <f t="shared" si="66"/>
        <v>0</v>
      </c>
      <c r="M148" s="590">
        <f t="shared" si="66"/>
        <v>0</v>
      </c>
      <c r="N148" s="590">
        <f t="shared" si="66"/>
        <v>0</v>
      </c>
      <c r="V148"/>
      <c r="W148" s="32"/>
    </row>
    <row r="149" spans="1:26" ht="14.4" customHeight="1" x14ac:dyDescent="0.3">
      <c r="A149" s="568"/>
      <c r="B149" s="574"/>
      <c r="C149" s="574"/>
      <c r="D149" s="574"/>
      <c r="E149" s="574"/>
      <c r="F149" s="574"/>
      <c r="G149" s="574"/>
      <c r="H149" s="574"/>
      <c r="I149" s="574"/>
      <c r="J149" s="574"/>
      <c r="K149" s="574"/>
      <c r="L149" s="574"/>
      <c r="M149" s="574"/>
      <c r="N149" s="579"/>
      <c r="V149"/>
      <c r="W149" s="32"/>
    </row>
    <row r="150" spans="1:26" ht="14.4" customHeight="1" x14ac:dyDescent="0.3">
      <c r="A150" s="594" t="s">
        <v>502</v>
      </c>
      <c r="B150" s="595">
        <f t="shared" si="66"/>
        <v>0</v>
      </c>
      <c r="C150" s="595">
        <f t="shared" si="66"/>
        <v>0</v>
      </c>
      <c r="D150" s="595">
        <f t="shared" si="66"/>
        <v>0</v>
      </c>
      <c r="E150" s="595">
        <f t="shared" si="66"/>
        <v>0</v>
      </c>
      <c r="F150" s="595">
        <f t="shared" si="66"/>
        <v>0</v>
      </c>
      <c r="G150" s="595">
        <f t="shared" si="66"/>
        <v>0</v>
      </c>
      <c r="H150" s="595">
        <f t="shared" si="66"/>
        <v>0</v>
      </c>
      <c r="I150" s="595">
        <f t="shared" si="66"/>
        <v>0</v>
      </c>
      <c r="J150" s="595">
        <f t="shared" si="66"/>
        <v>0</v>
      </c>
      <c r="K150" s="595">
        <f t="shared" si="66"/>
        <v>0</v>
      </c>
      <c r="L150" s="595">
        <f t="shared" si="66"/>
        <v>0</v>
      </c>
      <c r="M150" s="595">
        <f t="shared" si="66"/>
        <v>0</v>
      </c>
      <c r="N150" s="595">
        <f t="shared" si="66"/>
        <v>0</v>
      </c>
      <c r="V150"/>
      <c r="W150" s="32"/>
    </row>
    <row r="151" spans="1:26" ht="14.4" customHeight="1" x14ac:dyDescent="0.3">
      <c r="A151" s="568"/>
      <c r="B151" s="574"/>
      <c r="C151" s="574"/>
      <c r="D151" s="574"/>
      <c r="E151" s="574"/>
      <c r="F151" s="574"/>
      <c r="G151" s="574"/>
      <c r="H151" s="574"/>
      <c r="I151" s="574"/>
      <c r="J151" s="574"/>
      <c r="K151" s="574"/>
      <c r="L151" s="574"/>
      <c r="M151" s="574"/>
      <c r="N151" s="579"/>
      <c r="V151"/>
      <c r="W151" s="32"/>
    </row>
    <row r="152" spans="1:26" ht="14.4" customHeight="1" x14ac:dyDescent="0.3">
      <c r="A152" s="568"/>
      <c r="B152" s="574"/>
      <c r="C152" s="574"/>
      <c r="D152" s="574"/>
      <c r="E152" s="574"/>
      <c r="F152" s="574"/>
      <c r="G152" s="574"/>
      <c r="H152" s="574"/>
      <c r="I152" s="574"/>
      <c r="J152" s="574"/>
      <c r="K152" s="574"/>
      <c r="L152" s="574"/>
      <c r="M152" s="574"/>
      <c r="N152" s="579"/>
      <c r="V152"/>
      <c r="W152" s="32"/>
    </row>
    <row r="153" spans="1:26" ht="14.4" customHeight="1" x14ac:dyDescent="0.3">
      <c r="A153" s="596" t="s">
        <v>99</v>
      </c>
      <c r="B153" s="597">
        <f t="shared" ref="B153:N153" si="67">+B50-B101</f>
        <v>0</v>
      </c>
      <c r="C153" s="597">
        <f t="shared" si="67"/>
        <v>0</v>
      </c>
      <c r="D153" s="597">
        <f t="shared" si="67"/>
        <v>0</v>
      </c>
      <c r="E153" s="597">
        <f t="shared" si="67"/>
        <v>0</v>
      </c>
      <c r="F153" s="597">
        <f t="shared" si="67"/>
        <v>0</v>
      </c>
      <c r="G153" s="597">
        <f t="shared" si="67"/>
        <v>-141.2166483679764</v>
      </c>
      <c r="H153" s="597">
        <f t="shared" si="67"/>
        <v>0</v>
      </c>
      <c r="I153" s="597">
        <f t="shared" si="67"/>
        <v>0</v>
      </c>
      <c r="J153" s="597">
        <f t="shared" si="67"/>
        <v>0</v>
      </c>
      <c r="K153" s="597">
        <f t="shared" si="67"/>
        <v>0</v>
      </c>
      <c r="L153" s="597">
        <f t="shared" si="67"/>
        <v>0</v>
      </c>
      <c r="M153" s="597">
        <f t="shared" si="67"/>
        <v>0</v>
      </c>
      <c r="N153" s="597">
        <f t="shared" si="67"/>
        <v>-141.21664836797595</v>
      </c>
      <c r="V153"/>
      <c r="W153" s="32"/>
    </row>
    <row r="154" spans="1:26" x14ac:dyDescent="0.3">
      <c r="A154" s="568"/>
      <c r="B154" s="568"/>
      <c r="C154" s="568"/>
      <c r="D154" s="568"/>
      <c r="E154" s="568"/>
      <c r="F154" s="568"/>
      <c r="G154" s="568"/>
      <c r="H154" s="568"/>
      <c r="I154" s="568"/>
      <c r="J154" s="568"/>
      <c r="K154" s="568"/>
      <c r="L154" s="568"/>
      <c r="M154" s="568"/>
      <c r="N154" s="567"/>
      <c r="O154" s="600"/>
      <c r="P154" s="567"/>
      <c r="Q154" s="568"/>
      <c r="R154" s="568"/>
      <c r="S154" s="568"/>
      <c r="T154" s="568"/>
      <c r="U154" s="568"/>
      <c r="V154" s="567"/>
      <c r="W154" s="568"/>
      <c r="X154" s="568"/>
      <c r="Y154" s="568"/>
      <c r="Z154" s="568"/>
    </row>
  </sheetData>
  <mergeCells count="4">
    <mergeCell ref="Q4:T6"/>
    <mergeCell ref="W4:Z6"/>
    <mergeCell ref="Q55:T57"/>
    <mergeCell ref="Q107:T109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AECAA-EAF8-4890-8121-EFB11B17C5A1}">
  <sheetPr codeName="Sheet29">
    <tabColor rgb="FF002060"/>
  </sheetPr>
  <dimension ref="A1:AE36"/>
  <sheetViews>
    <sheetView zoomScale="70" zoomScaleNormal="70" workbookViewId="0">
      <pane xSplit="1" ySplit="1" topLeftCell="G2" activePane="bottomRight" state="frozen"/>
      <selection pane="topRight" activeCell="B1" sqref="B1"/>
      <selection pane="bottomLeft" activeCell="A2" sqref="A2"/>
      <selection pane="bottomRight" activeCell="AB35" sqref="AB35"/>
    </sheetView>
  </sheetViews>
  <sheetFormatPr defaultRowHeight="14.4" x14ac:dyDescent="0.3"/>
  <cols>
    <col min="1" max="1" width="38.109375" bestFit="1" customWidth="1"/>
    <col min="2" max="13" width="10.109375" style="45" customWidth="1"/>
    <col min="14" max="14" width="10.109375" style="167" customWidth="1"/>
    <col min="15" max="15" width="10.109375" customWidth="1"/>
    <col min="16" max="28" width="9.6640625" customWidth="1"/>
    <col min="30" max="30" width="16" bestFit="1" customWidth="1"/>
    <col min="31" max="31" width="9.77734375" bestFit="1" customWidth="1"/>
  </cols>
  <sheetData>
    <row r="1" spans="1:31" x14ac:dyDescent="0.3">
      <c r="A1" s="1262" t="s">
        <v>503</v>
      </c>
      <c r="B1" s="1262"/>
      <c r="C1" s="1262"/>
      <c r="D1" s="1262"/>
      <c r="E1" s="1262"/>
      <c r="F1" s="601"/>
      <c r="G1" s="601"/>
      <c r="H1" s="601"/>
      <c r="I1" s="601"/>
      <c r="J1" s="601"/>
      <c r="K1" s="601"/>
      <c r="L1" s="601"/>
      <c r="M1" s="601"/>
      <c r="N1" s="602"/>
      <c r="O1" s="1263"/>
      <c r="P1" s="1263"/>
      <c r="Q1" s="601"/>
      <c r="R1" s="601"/>
      <c r="S1" s="601"/>
      <c r="T1" s="603"/>
      <c r="U1" s="603"/>
      <c r="V1" s="603"/>
      <c r="W1" s="603"/>
      <c r="X1" s="603"/>
      <c r="Y1" s="603"/>
      <c r="Z1" s="603"/>
      <c r="AA1" s="603"/>
      <c r="AB1" s="603"/>
      <c r="AC1" s="603"/>
    </row>
    <row r="2" spans="1:31" x14ac:dyDescent="0.3">
      <c r="A2" s="10" t="s">
        <v>500</v>
      </c>
      <c r="B2" s="604">
        <f>'FCST 26 '!B4</f>
        <v>47357</v>
      </c>
      <c r="C2" s="604">
        <f>'FCST 26 '!C4</f>
        <v>42593</v>
      </c>
      <c r="D2" s="604">
        <f>'FCST 26 '!D4</f>
        <v>23002</v>
      </c>
      <c r="E2" s="604">
        <f>'FCST 26 '!E4</f>
        <v>40893</v>
      </c>
      <c r="F2" s="604">
        <f>'FCST 26 '!F4</f>
        <v>33043</v>
      </c>
      <c r="G2" s="604">
        <f>'FCST 26 '!G4</f>
        <v>53186</v>
      </c>
      <c r="H2" s="604">
        <f>'FCST 26 '!H4</f>
        <v>41500</v>
      </c>
      <c r="I2" s="604">
        <f>'FCST 26 '!I4</f>
        <v>39000</v>
      </c>
      <c r="J2" s="604">
        <f>'FCST 26 '!J4</f>
        <v>54085</v>
      </c>
      <c r="K2" s="604">
        <f>'FCST 26 '!K4</f>
        <v>49500</v>
      </c>
      <c r="L2" s="604">
        <f>'FCST 26 '!L4</f>
        <v>51936</v>
      </c>
      <c r="M2" s="604">
        <f>'FCST 26 '!M4</f>
        <v>42190</v>
      </c>
      <c r="N2" s="604">
        <f>'FCST 26 '!N4</f>
        <v>518285</v>
      </c>
      <c r="O2" s="603"/>
      <c r="P2" s="605">
        <f>VOLUME!C7</f>
        <v>47357</v>
      </c>
      <c r="Q2" s="605">
        <f>VOLUME!D7</f>
        <v>42593</v>
      </c>
      <c r="R2" s="605">
        <f>VOLUME!E7</f>
        <v>23002</v>
      </c>
      <c r="S2" s="605">
        <f>VOLUME!F7</f>
        <v>40893</v>
      </c>
      <c r="T2" s="605">
        <f>VOLUME!G7</f>
        <v>33043</v>
      </c>
      <c r="U2" s="605">
        <f>VOLUME!H7</f>
        <v>53186</v>
      </c>
      <c r="V2" s="605">
        <f>VOLUME!I7</f>
        <v>41500</v>
      </c>
      <c r="W2" s="605">
        <f>VOLUME!J7</f>
        <v>39000</v>
      </c>
      <c r="X2" s="605">
        <f>VOLUME!K7</f>
        <v>54085</v>
      </c>
      <c r="Y2" s="605">
        <f>VOLUME!L7</f>
        <v>49500</v>
      </c>
      <c r="Z2" s="605">
        <f>VOLUME!M7</f>
        <v>51936</v>
      </c>
      <c r="AA2" s="605">
        <f>VOLUME!N7</f>
        <v>42190</v>
      </c>
      <c r="AB2" s="605">
        <f>VOLUME!O7</f>
        <v>518285</v>
      </c>
      <c r="AC2" s="603"/>
    </row>
    <row r="3" spans="1:31" x14ac:dyDescent="0.3">
      <c r="A3" s="27"/>
      <c r="B3" s="606"/>
      <c r="C3" s="606"/>
      <c r="D3" s="606"/>
      <c r="E3" s="606"/>
      <c r="F3" s="606"/>
      <c r="G3" s="606"/>
      <c r="H3" s="606"/>
      <c r="I3" s="606"/>
      <c r="J3" s="606"/>
      <c r="K3" s="606"/>
      <c r="L3" s="606"/>
      <c r="M3" s="606"/>
      <c r="N3" s="607"/>
      <c r="O3" s="1263"/>
      <c r="P3" s="1263"/>
      <c r="Q3" s="608"/>
      <c r="R3" s="608"/>
      <c r="S3" s="608"/>
      <c r="T3" s="608"/>
      <c r="U3" s="608"/>
      <c r="V3" s="608"/>
      <c r="W3" s="608"/>
      <c r="X3" s="608"/>
      <c r="Y3" s="608"/>
      <c r="Z3" s="608"/>
      <c r="AA3" s="608"/>
      <c r="AB3" s="27"/>
      <c r="AC3" s="603"/>
    </row>
    <row r="4" spans="1:31" x14ac:dyDescent="0.3">
      <c r="A4" s="603"/>
      <c r="B4" s="609" t="s">
        <v>0</v>
      </c>
      <c r="C4" s="609" t="s">
        <v>1</v>
      </c>
      <c r="D4" s="609" t="s">
        <v>2</v>
      </c>
      <c r="E4" s="609" t="s">
        <v>3</v>
      </c>
      <c r="F4" s="609" t="s">
        <v>4</v>
      </c>
      <c r="G4" s="609" t="s">
        <v>5</v>
      </c>
      <c r="H4" s="609" t="s">
        <v>6</v>
      </c>
      <c r="I4" s="609" t="s">
        <v>7</v>
      </c>
      <c r="J4" s="609" t="s">
        <v>8</v>
      </c>
      <c r="K4" s="609" t="s">
        <v>9</v>
      </c>
      <c r="L4" s="609" t="s">
        <v>10</v>
      </c>
      <c r="M4" s="609" t="s">
        <v>11</v>
      </c>
      <c r="N4" s="609" t="s">
        <v>12</v>
      </c>
      <c r="O4" s="603"/>
      <c r="P4" s="609" t="s">
        <v>0</v>
      </c>
      <c r="Q4" s="609" t="s">
        <v>1</v>
      </c>
      <c r="R4" s="609" t="s">
        <v>2</v>
      </c>
      <c r="S4" s="609" t="s">
        <v>3</v>
      </c>
      <c r="T4" s="609" t="s">
        <v>4</v>
      </c>
      <c r="U4" s="609" t="s">
        <v>5</v>
      </c>
      <c r="V4" s="609" t="s">
        <v>6</v>
      </c>
      <c r="W4" s="609" t="s">
        <v>7</v>
      </c>
      <c r="X4" s="609" t="s">
        <v>8</v>
      </c>
      <c r="Y4" s="609" t="s">
        <v>9</v>
      </c>
      <c r="Z4" s="609" t="s">
        <v>10</v>
      </c>
      <c r="AA4" s="609" t="s">
        <v>11</v>
      </c>
      <c r="AB4" s="609" t="s">
        <v>12</v>
      </c>
      <c r="AC4" s="603"/>
      <c r="AD4" s="609" t="s">
        <v>94</v>
      </c>
      <c r="AE4" s="609" t="s">
        <v>504</v>
      </c>
    </row>
    <row r="5" spans="1:31" x14ac:dyDescent="0.3">
      <c r="A5" s="610"/>
      <c r="B5" s="611" t="s">
        <v>71</v>
      </c>
      <c r="C5" s="611" t="s">
        <v>71</v>
      </c>
      <c r="D5" s="611" t="s">
        <v>71</v>
      </c>
      <c r="E5" s="611" t="s">
        <v>71</v>
      </c>
      <c r="F5" s="611" t="s">
        <v>71</v>
      </c>
      <c r="G5" s="611" t="s">
        <v>71</v>
      </c>
      <c r="H5" s="611" t="s">
        <v>71</v>
      </c>
      <c r="I5" s="611" t="s">
        <v>71</v>
      </c>
      <c r="J5" s="611" t="s">
        <v>71</v>
      </c>
      <c r="K5" s="611" t="s">
        <v>71</v>
      </c>
      <c r="L5" s="611" t="s">
        <v>71</v>
      </c>
      <c r="M5" s="611" t="s">
        <v>71</v>
      </c>
      <c r="N5" s="611" t="s">
        <v>71</v>
      </c>
      <c r="O5" s="610"/>
      <c r="P5" s="611" t="s">
        <v>71</v>
      </c>
      <c r="Q5" s="611" t="s">
        <v>71</v>
      </c>
      <c r="R5" s="611" t="s">
        <v>71</v>
      </c>
      <c r="S5" s="611" t="s">
        <v>71</v>
      </c>
      <c r="T5" s="611" t="s">
        <v>71</v>
      </c>
      <c r="U5" s="611" t="s">
        <v>71</v>
      </c>
      <c r="V5" s="611" t="s">
        <v>71</v>
      </c>
      <c r="W5" s="611" t="s">
        <v>71</v>
      </c>
      <c r="X5" s="611" t="s">
        <v>71</v>
      </c>
      <c r="Y5" s="611" t="s">
        <v>71</v>
      </c>
      <c r="Z5" s="611" t="s">
        <v>71</v>
      </c>
      <c r="AA5" s="611" t="s">
        <v>71</v>
      </c>
      <c r="AB5" s="611" t="s">
        <v>71</v>
      </c>
      <c r="AC5" s="612"/>
    </row>
    <row r="6" spans="1:31" x14ac:dyDescent="0.3">
      <c r="A6" s="610"/>
      <c r="B6" s="613"/>
      <c r="C6" s="613"/>
      <c r="D6" s="613"/>
      <c r="E6" s="613"/>
      <c r="F6" s="613"/>
      <c r="G6" s="613"/>
      <c r="H6" s="613"/>
      <c r="I6" s="613"/>
      <c r="J6" s="613"/>
      <c r="K6" s="613"/>
      <c r="L6" s="613"/>
      <c r="M6" s="613"/>
      <c r="N6" s="613"/>
      <c r="O6" s="610"/>
      <c r="P6" s="610"/>
      <c r="Q6" s="610"/>
      <c r="R6" s="610"/>
      <c r="S6" s="610"/>
      <c r="T6" s="610"/>
      <c r="U6" s="610"/>
      <c r="V6" s="610"/>
      <c r="W6" s="610"/>
      <c r="X6" s="610"/>
      <c r="Y6" s="610"/>
      <c r="Z6" s="610"/>
      <c r="AA6" s="610"/>
      <c r="AB6" s="610"/>
      <c r="AC6" s="614"/>
      <c r="AD6" s="164"/>
      <c r="AE6" s="164"/>
    </row>
    <row r="7" spans="1:31" x14ac:dyDescent="0.3">
      <c r="A7" s="382" t="s">
        <v>74</v>
      </c>
      <c r="B7" s="365">
        <f>'data entry '!B117</f>
        <v>451.11424</v>
      </c>
      <c r="C7" s="365">
        <f>'data entry '!C117</f>
        <v>457.78683000000007</v>
      </c>
      <c r="D7" s="365">
        <f>'data entry '!D117</f>
        <v>275.96458999999999</v>
      </c>
      <c r="E7" s="365">
        <f>'data entry '!E117</f>
        <v>363.73443262781774</v>
      </c>
      <c r="F7" s="365">
        <f>'data entry '!F117</f>
        <v>478.64787498667232</v>
      </c>
      <c r="G7" s="365">
        <f>'data entry '!G117</f>
        <v>391.63361000000003</v>
      </c>
      <c r="H7" s="365">
        <f>'data entry '!H117</f>
        <v>360.48535335875437</v>
      </c>
      <c r="I7" s="365">
        <f>'data entry '!I117</f>
        <v>360.44442061224976</v>
      </c>
      <c r="J7" s="365">
        <f>'data entry '!J117</f>
        <v>422.2837982057253</v>
      </c>
      <c r="K7" s="365">
        <f>'data entry '!K117</f>
        <v>552.70133384929204</v>
      </c>
      <c r="L7" s="365">
        <f>'data entry '!L117</f>
        <v>466.47652033121619</v>
      </c>
      <c r="M7" s="365">
        <f>'data entry '!M117</f>
        <v>470.82241610840612</v>
      </c>
      <c r="N7" s="992">
        <f>SUM(B7:M7)</f>
        <v>5052.0954200801343</v>
      </c>
      <c r="O7" s="751"/>
      <c r="P7" s="1148">
        <f>B7*1000/B$2</f>
        <v>9.5258196253985687</v>
      </c>
      <c r="Q7" s="1148">
        <f t="shared" ref="Q7:AB20" si="0">C7*1000/C$2</f>
        <v>10.747935811048766</v>
      </c>
      <c r="R7" s="1148">
        <f t="shared" si="0"/>
        <v>11.997417181114685</v>
      </c>
      <c r="S7" s="1148">
        <f t="shared" si="0"/>
        <v>8.8947847462357306</v>
      </c>
      <c r="T7" s="1148">
        <f t="shared" si="0"/>
        <v>14.485605876786984</v>
      </c>
      <c r="U7" s="1148">
        <f t="shared" si="0"/>
        <v>7.3634717782875203</v>
      </c>
      <c r="V7" s="1148">
        <f t="shared" si="0"/>
        <v>8.6863940568374538</v>
      </c>
      <c r="W7" s="1148">
        <f t="shared" si="0"/>
        <v>9.2421646310833268</v>
      </c>
      <c r="X7" s="1148">
        <f t="shared" si="0"/>
        <v>7.807780312576968</v>
      </c>
      <c r="Y7" s="1148">
        <f t="shared" si="0"/>
        <v>11.165683512106909</v>
      </c>
      <c r="Z7" s="1148">
        <f t="shared" si="0"/>
        <v>8.9817567839497894</v>
      </c>
      <c r="AA7" s="1148">
        <f t="shared" si="0"/>
        <v>11.159573740422045</v>
      </c>
      <c r="AB7" s="1148">
        <f>N7*1000/N$2</f>
        <v>9.7477168354865267</v>
      </c>
      <c r="AC7" s="1186"/>
      <c r="AD7" s="1148">
        <f>SUMPRODUCT(P$2:T$2,P7:T7)/SUM($P$2:$T$2)</f>
        <v>10.847395058080188</v>
      </c>
      <c r="AE7" s="1148">
        <f>SUMPRODUCT(U7:AA7,U$2:AA$2)/SUM(U$2:AA$2)</f>
        <v>9.1275643788738101</v>
      </c>
    </row>
    <row r="8" spans="1:31" x14ac:dyDescent="0.3">
      <c r="A8" s="383" t="s">
        <v>75</v>
      </c>
      <c r="B8" s="339">
        <f>'data entry '!B118</f>
        <v>25.342169999999999</v>
      </c>
      <c r="C8" s="339">
        <f>'data entry '!C118</f>
        <v>16.14554</v>
      </c>
      <c r="D8" s="339">
        <f>'data entry '!D118</f>
        <v>21.752949999999998</v>
      </c>
      <c r="E8" s="339">
        <f>'data entry '!E118</f>
        <v>28.068419999999996</v>
      </c>
      <c r="F8" s="339">
        <f>'data entry '!F118</f>
        <v>31.637620000000002</v>
      </c>
      <c r="G8" s="339">
        <f>'data entry '!G118</f>
        <v>28.66065</v>
      </c>
      <c r="H8" s="339">
        <f>'data entry '!H118</f>
        <v>31.448015438727513</v>
      </c>
      <c r="I8" s="339">
        <f>'data entry '!I118</f>
        <v>35.122588016349333</v>
      </c>
      <c r="J8" s="339">
        <f>'data entry '!J118</f>
        <v>37.338014907446556</v>
      </c>
      <c r="K8" s="339">
        <f>'data entry '!K118</f>
        <v>34.245090547600171</v>
      </c>
      <c r="L8" s="339">
        <f>'data entry '!L118</f>
        <v>38.982758210984152</v>
      </c>
      <c r="M8" s="339">
        <f>'data entry '!M118</f>
        <v>32.158218139491829</v>
      </c>
      <c r="N8" s="993">
        <f t="shared" ref="N8:N9" si="1">SUM(B8:M8)</f>
        <v>360.90203526059958</v>
      </c>
      <c r="O8" s="751"/>
      <c r="P8" s="1149">
        <f t="shared" ref="P8:P20" si="2">B8*1000/B$2</f>
        <v>0.53513039255020378</v>
      </c>
      <c r="Q8" s="1149">
        <f t="shared" si="0"/>
        <v>0.37906557415537767</v>
      </c>
      <c r="R8" s="1149">
        <f t="shared" si="0"/>
        <v>0.94569820015650796</v>
      </c>
      <c r="S8" s="1149">
        <f t="shared" si="0"/>
        <v>0.68638691218545944</v>
      </c>
      <c r="T8" s="1149">
        <f t="shared" si="0"/>
        <v>0.95746814756529375</v>
      </c>
      <c r="U8" s="1149">
        <f t="shared" si="0"/>
        <v>0.53887583198586098</v>
      </c>
      <c r="V8" s="1149">
        <f t="shared" si="0"/>
        <v>0.75778350454765098</v>
      </c>
      <c r="W8" s="1149">
        <f t="shared" si="0"/>
        <v>0.90057917990639325</v>
      </c>
      <c r="X8" s="1149">
        <f t="shared" si="0"/>
        <v>0.69035804580653715</v>
      </c>
      <c r="Y8" s="1149">
        <f t="shared" si="0"/>
        <v>0.69182001106262969</v>
      </c>
      <c r="Z8" s="1149">
        <f t="shared" si="0"/>
        <v>0.75059223295949151</v>
      </c>
      <c r="AA8" s="1149">
        <f t="shared" si="0"/>
        <v>0.76222370560540009</v>
      </c>
      <c r="AB8" s="1149">
        <f t="shared" si="0"/>
        <v>0.69633895493907705</v>
      </c>
      <c r="AC8" s="1186"/>
      <c r="AD8" s="1149">
        <f t="shared" ref="AD8:AD20" si="3">SUMPRODUCT(P$2:T$2,P8:T8)/SUM($P$2:$T$2)</f>
        <v>0.65786299815932547</v>
      </c>
      <c r="AE8" s="1149">
        <f t="shared" ref="AE8:AE20" si="4">SUMPRODUCT(U8:AA8,U$2:AA$2)/SUM(U$2:AA$2)</f>
        <v>0.71803708319809645</v>
      </c>
    </row>
    <row r="9" spans="1:31" x14ac:dyDescent="0.3">
      <c r="A9" s="383" t="s">
        <v>141</v>
      </c>
      <c r="B9" s="339">
        <f>'data entry '!B119</f>
        <v>12.326379999999999</v>
      </c>
      <c r="C9" s="339">
        <f>'data entry '!C119</f>
        <v>10.969389999999999</v>
      </c>
      <c r="D9" s="339">
        <f>'data entry '!D119</f>
        <v>8.7221700000000002</v>
      </c>
      <c r="E9" s="339">
        <f>'data entry '!E119</f>
        <v>38.196779999999997</v>
      </c>
      <c r="F9" s="339">
        <f>'data entry '!F119</f>
        <v>14.04682</v>
      </c>
      <c r="G9" s="339">
        <f>'data entry '!G119</f>
        <v>28.885670000000001</v>
      </c>
      <c r="H9" s="339">
        <f>'data entry '!H119</f>
        <v>13.073574568055891</v>
      </c>
      <c r="I9" s="339">
        <f>'data entry '!I119</f>
        <v>12.800662019956771</v>
      </c>
      <c r="J9" s="339">
        <f>'data entry '!J119</f>
        <v>17.646071719028484</v>
      </c>
      <c r="K9" s="339">
        <f>'data entry '!K119</f>
        <v>16.030706536736275</v>
      </c>
      <c r="L9" s="339">
        <f>'data entry '!L119</f>
        <v>16.63385201758539</v>
      </c>
      <c r="M9" s="339">
        <f>'data entry '!M119</f>
        <v>13.490241091604958</v>
      </c>
      <c r="N9" s="993">
        <f t="shared" si="1"/>
        <v>202.82231795296772</v>
      </c>
      <c r="O9" s="751"/>
      <c r="P9" s="1149">
        <f t="shared" si="2"/>
        <v>0.26028633570538673</v>
      </c>
      <c r="Q9" s="1149">
        <f t="shared" si="0"/>
        <v>0.25753973657643275</v>
      </c>
      <c r="R9" s="1149">
        <f t="shared" si="0"/>
        <v>0.37919180940787756</v>
      </c>
      <c r="S9" s="1149">
        <f t="shared" si="0"/>
        <v>0.93406646614334965</v>
      </c>
      <c r="T9" s="1149">
        <f t="shared" si="0"/>
        <v>0.42510728444753804</v>
      </c>
      <c r="U9" s="1149">
        <f t="shared" si="0"/>
        <v>0.54310664460572333</v>
      </c>
      <c r="V9" s="1149">
        <f t="shared" si="0"/>
        <v>0.31502589320616603</v>
      </c>
      <c r="W9" s="1149">
        <f t="shared" si="0"/>
        <v>0.32822210307581468</v>
      </c>
      <c r="X9" s="1149">
        <f t="shared" si="0"/>
        <v>0.32626553978050266</v>
      </c>
      <c r="Y9" s="1149">
        <f t="shared" si="0"/>
        <v>0.32385265730780355</v>
      </c>
      <c r="Z9" s="1149">
        <f t="shared" si="0"/>
        <v>0.32027595536016235</v>
      </c>
      <c r="AA9" s="1149">
        <f t="shared" si="0"/>
        <v>0.31974972959480819</v>
      </c>
      <c r="AB9" s="1149">
        <f t="shared" si="0"/>
        <v>0.39133356734801839</v>
      </c>
      <c r="AC9" s="1186"/>
      <c r="AD9" s="1149">
        <f t="shared" si="3"/>
        <v>0.45086650828303587</v>
      </c>
      <c r="AE9" s="1149">
        <f t="shared" si="4"/>
        <v>0.35776056498087722</v>
      </c>
    </row>
    <row r="10" spans="1:31" x14ac:dyDescent="0.3">
      <c r="A10" s="4" t="s">
        <v>79</v>
      </c>
      <c r="B10" s="959">
        <f>SUM(B7:B9)</f>
        <v>488.78278999999998</v>
      </c>
      <c r="C10" s="959">
        <f t="shared" ref="C10:N10" si="5">SUM(C7:C9)</f>
        <v>484.90176000000002</v>
      </c>
      <c r="D10" s="959">
        <f t="shared" si="5"/>
        <v>306.43970999999999</v>
      </c>
      <c r="E10" s="959">
        <f t="shared" si="5"/>
        <v>429.99963262781773</v>
      </c>
      <c r="F10" s="959">
        <f t="shared" si="5"/>
        <v>524.33231498667237</v>
      </c>
      <c r="G10" s="959">
        <f t="shared" si="5"/>
        <v>449.17993000000001</v>
      </c>
      <c r="H10" s="959">
        <f t="shared" si="5"/>
        <v>405.00694336553778</v>
      </c>
      <c r="I10" s="959">
        <f t="shared" si="5"/>
        <v>408.36767064855582</v>
      </c>
      <c r="J10" s="959">
        <f t="shared" si="5"/>
        <v>477.26788483220037</v>
      </c>
      <c r="K10" s="959">
        <f t="shared" si="5"/>
        <v>602.97713093362847</v>
      </c>
      <c r="L10" s="959">
        <f t="shared" si="5"/>
        <v>522.09313055978578</v>
      </c>
      <c r="M10" s="959">
        <f t="shared" si="5"/>
        <v>516.47087533950298</v>
      </c>
      <c r="N10" s="959">
        <f t="shared" si="5"/>
        <v>5615.8197732937015</v>
      </c>
      <c r="O10" s="751"/>
      <c r="P10" s="1150">
        <f t="shared" si="2"/>
        <v>10.321236353654159</v>
      </c>
      <c r="Q10" s="1150">
        <f t="shared" si="0"/>
        <v>11.384541121780574</v>
      </c>
      <c r="R10" s="1150">
        <f t="shared" si="0"/>
        <v>13.322307190679069</v>
      </c>
      <c r="S10" s="1150">
        <f t="shared" si="0"/>
        <v>10.51523812456454</v>
      </c>
      <c r="T10" s="1150">
        <f t="shared" si="0"/>
        <v>15.868181308799818</v>
      </c>
      <c r="U10" s="1150">
        <f t="shared" si="0"/>
        <v>8.4454542548791025</v>
      </c>
      <c r="V10" s="1150">
        <f t="shared" si="0"/>
        <v>9.7592034545912725</v>
      </c>
      <c r="W10" s="1150">
        <f t="shared" si="0"/>
        <v>10.470965914065534</v>
      </c>
      <c r="X10" s="1150">
        <f t="shared" si="0"/>
        <v>8.8244038981640074</v>
      </c>
      <c r="Y10" s="1150">
        <f t="shared" si="0"/>
        <v>12.181356180477342</v>
      </c>
      <c r="Z10" s="1150">
        <f t="shared" si="0"/>
        <v>10.052624972269442</v>
      </c>
      <c r="AA10" s="1150">
        <f t="shared" si="0"/>
        <v>12.241547175622257</v>
      </c>
      <c r="AB10" s="1150">
        <f t="shared" si="0"/>
        <v>10.835389357773623</v>
      </c>
      <c r="AC10" s="1186"/>
      <c r="AD10" s="1150">
        <f t="shared" si="3"/>
        <v>11.95612456452255</v>
      </c>
      <c r="AE10" s="1150">
        <f t="shared" si="4"/>
        <v>10.203362027052783</v>
      </c>
    </row>
    <row r="11" spans="1:31" x14ac:dyDescent="0.3">
      <c r="A11" s="383" t="s">
        <v>80</v>
      </c>
      <c r="B11" s="339">
        <f>'data entry '!B121</f>
        <v>236.51712000000001</v>
      </c>
      <c r="C11" s="339">
        <f>'data entry '!C121</f>
        <v>210.33045999999996</v>
      </c>
      <c r="D11" s="339">
        <f>'data entry '!D121</f>
        <v>189.488</v>
      </c>
      <c r="E11" s="339">
        <f>'data entry '!E121</f>
        <v>211.9200073721822</v>
      </c>
      <c r="F11" s="339">
        <f>'data entry '!F121</f>
        <v>247.78061501332778</v>
      </c>
      <c r="G11" s="339">
        <f>'data entry '!G121</f>
        <v>229.24062000000001</v>
      </c>
      <c r="H11" s="339">
        <f>'data entry '!H121</f>
        <v>255.6751715061512</v>
      </c>
      <c r="I11" s="339">
        <f>'data entry '!I121</f>
        <v>230.80847328196182</v>
      </c>
      <c r="J11" s="339">
        <f>'data entry '!J121</f>
        <v>234.1264303783295</v>
      </c>
      <c r="K11" s="339">
        <f>'data entry '!K121</f>
        <v>218.02500602874605</v>
      </c>
      <c r="L11" s="339">
        <f>'data entry '!L121</f>
        <v>212.9837049411116</v>
      </c>
      <c r="M11" s="339">
        <f>'data entry '!M121</f>
        <v>289.53386816308102</v>
      </c>
      <c r="N11" s="993">
        <f t="shared" ref="N11:N16" si="6">SUM(B11:M11)</f>
        <v>2766.4294766848916</v>
      </c>
      <c r="O11" s="751"/>
      <c r="P11" s="1149">
        <f t="shared" si="2"/>
        <v>4.9943433916844393</v>
      </c>
      <c r="Q11" s="1149">
        <f t="shared" si="0"/>
        <v>4.9381461742539843</v>
      </c>
      <c r="R11" s="1149">
        <f t="shared" si="0"/>
        <v>8.2378923571863325</v>
      </c>
      <c r="S11" s="1149">
        <f t="shared" si="0"/>
        <v>5.1823052202622018</v>
      </c>
      <c r="T11" s="1149">
        <f t="shared" si="0"/>
        <v>7.4987324096882171</v>
      </c>
      <c r="U11" s="1149">
        <f t="shared" si="0"/>
        <v>4.3101684653856278</v>
      </c>
      <c r="V11" s="1149">
        <f t="shared" si="0"/>
        <v>6.1608475061723187</v>
      </c>
      <c r="W11" s="1149">
        <f t="shared" si="0"/>
        <v>5.9181659815887651</v>
      </c>
      <c r="X11" s="1149">
        <f t="shared" si="0"/>
        <v>4.3288606892544976</v>
      </c>
      <c r="Y11" s="1149">
        <f t="shared" si="0"/>
        <v>4.4045455763383039</v>
      </c>
      <c r="Z11" s="1149">
        <f t="shared" si="0"/>
        <v>4.1008877260688461</v>
      </c>
      <c r="AA11" s="1149">
        <f t="shared" si="0"/>
        <v>6.862618349444916</v>
      </c>
      <c r="AB11" s="1149">
        <f t="shared" si="0"/>
        <v>5.3376607015153663</v>
      </c>
      <c r="AC11" s="1186"/>
      <c r="AD11" s="1149">
        <f t="shared" si="3"/>
        <v>5.8646686913312243</v>
      </c>
      <c r="AE11" s="1149">
        <f t="shared" si="4"/>
        <v>5.0404598541911403</v>
      </c>
    </row>
    <row r="12" spans="1:31" x14ac:dyDescent="0.3">
      <c r="A12" s="383" t="s">
        <v>81</v>
      </c>
      <c r="B12" s="339">
        <f>'data entry '!B122</f>
        <v>115.16989000000001</v>
      </c>
      <c r="C12" s="339">
        <f>'data entry '!C122</f>
        <v>111.05252999999999</v>
      </c>
      <c r="D12" s="339">
        <f>'data entry '!D122</f>
        <v>104.43832999999998</v>
      </c>
      <c r="E12" s="339">
        <f>'data entry '!E122</f>
        <v>86.264239999999987</v>
      </c>
      <c r="F12" s="339">
        <f>'data entry '!F122</f>
        <v>107.57122999999999</v>
      </c>
      <c r="G12" s="339">
        <f>'data entry '!G122</f>
        <v>111.60063</v>
      </c>
      <c r="H12" s="339">
        <f>'data entry '!H122</f>
        <v>101.294838931247</v>
      </c>
      <c r="I12" s="339">
        <f>'data entry '!I122</f>
        <v>101.87614670384187</v>
      </c>
      <c r="J12" s="339">
        <f>'data entry '!J122</f>
        <v>109.10657602284873</v>
      </c>
      <c r="K12" s="339">
        <f>'data entry '!K122</f>
        <v>102.31605548693042</v>
      </c>
      <c r="L12" s="339">
        <f>'data entry '!L122</f>
        <v>100.66384322805285</v>
      </c>
      <c r="M12" s="339">
        <f>'data entry '!M122</f>
        <v>99.064143248307602</v>
      </c>
      <c r="N12" s="993">
        <f t="shared" si="6"/>
        <v>1250.4184536212285</v>
      </c>
      <c r="O12" s="751"/>
      <c r="P12" s="1149">
        <f t="shared" si="2"/>
        <v>2.4319507147834538</v>
      </c>
      <c r="Q12" s="1149">
        <f t="shared" si="0"/>
        <v>2.6072953302185802</v>
      </c>
      <c r="R12" s="1149">
        <f t="shared" si="0"/>
        <v>4.5404021389444384</v>
      </c>
      <c r="S12" s="1149">
        <f t="shared" si="0"/>
        <v>2.1095111632797785</v>
      </c>
      <c r="T12" s="1149">
        <f t="shared" si="0"/>
        <v>3.2554922373876458</v>
      </c>
      <c r="U12" s="1149">
        <f t="shared" si="0"/>
        <v>2.0983083894257883</v>
      </c>
      <c r="V12" s="1149">
        <f t="shared" si="0"/>
        <v>2.4408394923192045</v>
      </c>
      <c r="W12" s="1149">
        <f t="shared" si="0"/>
        <v>2.612208889842099</v>
      </c>
      <c r="X12" s="1149">
        <f t="shared" si="0"/>
        <v>2.0173167425875702</v>
      </c>
      <c r="Y12" s="1149">
        <f t="shared" si="0"/>
        <v>2.0669910199379884</v>
      </c>
      <c r="Z12" s="1149">
        <f t="shared" si="0"/>
        <v>1.9382286511870928</v>
      </c>
      <c r="AA12" s="1149">
        <f t="shared" si="0"/>
        <v>2.348047955636587</v>
      </c>
      <c r="AB12" s="1149">
        <f t="shared" si="0"/>
        <v>2.4126078385853891</v>
      </c>
      <c r="AC12" s="1186"/>
      <c r="AD12" s="1149">
        <f t="shared" si="3"/>
        <v>2.8064735028466248</v>
      </c>
      <c r="AE12" s="1149">
        <f t="shared" si="4"/>
        <v>2.1904912646198622</v>
      </c>
    </row>
    <row r="13" spans="1:31" x14ac:dyDescent="0.3">
      <c r="A13" s="383" t="s">
        <v>82</v>
      </c>
      <c r="B13" s="339">
        <f>'data entry '!B123</f>
        <v>164.10092</v>
      </c>
      <c r="C13" s="339">
        <f>'data entry '!C123</f>
        <v>247.34623999999999</v>
      </c>
      <c r="D13" s="339">
        <f>'data entry '!D123</f>
        <v>129.98053999999999</v>
      </c>
      <c r="E13" s="339">
        <f>'data entry '!E123</f>
        <v>86.237830000000017</v>
      </c>
      <c r="F13" s="339">
        <f>'data entry '!F123</f>
        <v>167.19972999999999</v>
      </c>
      <c r="G13" s="339">
        <f>'data entry '!G123</f>
        <v>111.35076000000002</v>
      </c>
      <c r="H13" s="339">
        <f>'data entry '!H123</f>
        <v>184.27026685954993</v>
      </c>
      <c r="I13" s="339">
        <f>'data entry '!I123</f>
        <v>183.51646217738821</v>
      </c>
      <c r="J13" s="339">
        <f>'data entry '!J123</f>
        <v>228.95871205726104</v>
      </c>
      <c r="K13" s="339">
        <f>'data entry '!K123</f>
        <v>181.04144050634793</v>
      </c>
      <c r="L13" s="339">
        <f>'data entry '!L123</f>
        <v>182.2494103402089</v>
      </c>
      <c r="M13" s="339">
        <f>'data entry '!M123</f>
        <v>167.11053771041406</v>
      </c>
      <c r="N13" s="993">
        <f t="shared" si="6"/>
        <v>2033.3628496511701</v>
      </c>
      <c r="O13" s="751"/>
      <c r="P13" s="1149">
        <f t="shared" si="2"/>
        <v>3.4651882509449505</v>
      </c>
      <c r="Q13" s="1149">
        <f t="shared" si="0"/>
        <v>5.8072040006573848</v>
      </c>
      <c r="R13" s="1149">
        <f t="shared" si="0"/>
        <v>5.6508364490044345</v>
      </c>
      <c r="S13" s="1149">
        <f t="shared" si="0"/>
        <v>2.1088653314748251</v>
      </c>
      <c r="T13" s="1149">
        <f t="shared" si="0"/>
        <v>5.0600650667312284</v>
      </c>
      <c r="U13" s="1149">
        <f t="shared" si="0"/>
        <v>2.0936103485879749</v>
      </c>
      <c r="V13" s="1149">
        <f t="shared" si="0"/>
        <v>4.4402473942060228</v>
      </c>
      <c r="W13" s="1149">
        <f t="shared" si="0"/>
        <v>4.7055503122407227</v>
      </c>
      <c r="X13" s="1149">
        <f t="shared" si="0"/>
        <v>4.2333126015949158</v>
      </c>
      <c r="Y13" s="1149">
        <f t="shared" si="0"/>
        <v>3.6574028385120791</v>
      </c>
      <c r="Z13" s="1149">
        <f t="shared" si="0"/>
        <v>3.5091152637902208</v>
      </c>
      <c r="AA13" s="1149">
        <f t="shared" si="0"/>
        <v>3.960903951420101</v>
      </c>
      <c r="AB13" s="1149">
        <f t="shared" si="0"/>
        <v>3.9232523604796015</v>
      </c>
      <c r="AC13" s="1186"/>
      <c r="AD13" s="1149">
        <f t="shared" si="3"/>
        <v>4.2531637130259838</v>
      </c>
      <c r="AE13" s="1149">
        <f t="shared" si="4"/>
        <v>3.7372021763961953</v>
      </c>
    </row>
    <row r="14" spans="1:31" x14ac:dyDescent="0.3">
      <c r="A14" s="383" t="s">
        <v>83</v>
      </c>
      <c r="B14" s="339">
        <f>'data entry '!B124</f>
        <v>4.2840400000000001</v>
      </c>
      <c r="C14" s="339">
        <f>'data entry '!C124</f>
        <v>4.0777099999999997</v>
      </c>
      <c r="D14" s="339">
        <f>'data entry '!D124</f>
        <v>3.5422699999999998</v>
      </c>
      <c r="E14" s="339">
        <f>'data entry '!E124</f>
        <v>3.8053300000000001</v>
      </c>
      <c r="F14" s="339">
        <f>'data entry '!F124</f>
        <v>-1.46038</v>
      </c>
      <c r="G14" s="339">
        <f>'data entry '!G124</f>
        <v>2.0075799999999999</v>
      </c>
      <c r="H14" s="339">
        <f>'data entry '!H124</f>
        <v>5.1629853573599798</v>
      </c>
      <c r="I14" s="339">
        <f>'data entry '!I124</f>
        <v>5.0557236146813311</v>
      </c>
      <c r="J14" s="339">
        <f>'data entry '!J124</f>
        <v>6.9785246868534969</v>
      </c>
      <c r="K14" s="339">
        <f>'data entry '!K124</f>
        <v>6.3638679339231627</v>
      </c>
      <c r="L14" s="339">
        <f>'data entry '!L124</f>
        <v>6.6425977453822442</v>
      </c>
      <c r="M14" s="339">
        <f>'data entry '!M124</f>
        <v>5.4254564639467144</v>
      </c>
      <c r="N14" s="993">
        <f t="shared" si="6"/>
        <v>51.88570580214693</v>
      </c>
      <c r="O14" s="751"/>
      <c r="P14" s="1149">
        <f t="shared" si="2"/>
        <v>9.046265599594569E-2</v>
      </c>
      <c r="Q14" s="1149">
        <f t="shared" si="0"/>
        <v>9.5736623388819747E-2</v>
      </c>
      <c r="R14" s="1149">
        <f t="shared" si="0"/>
        <v>0.15399834796974177</v>
      </c>
      <c r="S14" s="1149">
        <f t="shared" si="0"/>
        <v>9.3055779717800116E-2</v>
      </c>
      <c r="T14" s="1149">
        <f t="shared" si="0"/>
        <v>-4.4196350210331997E-2</v>
      </c>
      <c r="U14" s="1149">
        <f t="shared" si="0"/>
        <v>3.7746399428421014E-2</v>
      </c>
      <c r="V14" s="1149">
        <f t="shared" si="0"/>
        <v>0.12440928571951758</v>
      </c>
      <c r="W14" s="1149">
        <f t="shared" si="0"/>
        <v>0.12963393883798285</v>
      </c>
      <c r="X14" s="1149">
        <f t="shared" si="0"/>
        <v>0.12902883769720805</v>
      </c>
      <c r="Y14" s="1149">
        <f t="shared" si="0"/>
        <v>0.12856298856410431</v>
      </c>
      <c r="Z14" s="1149">
        <f t="shared" si="0"/>
        <v>0.12789967932421142</v>
      </c>
      <c r="AA14" s="1149">
        <f t="shared" si="0"/>
        <v>0.1285957919873599</v>
      </c>
      <c r="AB14" s="1149">
        <f t="shared" si="0"/>
        <v>0.1001103751838215</v>
      </c>
      <c r="AC14" s="1186"/>
      <c r="AD14" s="1149">
        <f t="shared" si="3"/>
        <v>7.6243365010059502E-2</v>
      </c>
      <c r="AE14" s="1149">
        <f t="shared" si="4"/>
        <v>0.11356993515978399</v>
      </c>
    </row>
    <row r="15" spans="1:31" x14ac:dyDescent="0.3">
      <c r="A15" s="383" t="s">
        <v>84</v>
      </c>
      <c r="B15" s="339">
        <f>'data entry '!B125</f>
        <v>48.336139999999986</v>
      </c>
      <c r="C15" s="339">
        <f>'data entry '!C125</f>
        <v>36.683690000000027</v>
      </c>
      <c r="D15" s="339">
        <f>'data entry '!D125</f>
        <v>35.33921999999999</v>
      </c>
      <c r="E15" s="339">
        <f>'data entry '!E125</f>
        <v>-2.6982200000000036</v>
      </c>
      <c r="F15" s="339">
        <f>'data entry '!F125</f>
        <v>37.443190000000001</v>
      </c>
      <c r="G15" s="339">
        <f>'data entry '!G125</f>
        <v>50.431700000000006</v>
      </c>
      <c r="H15" s="339">
        <f>'data entry '!H125</f>
        <v>39.291946971088564</v>
      </c>
      <c r="I15" s="339">
        <f>'data entry '!I125</f>
        <v>39.093463264968818</v>
      </c>
      <c r="J15" s="339">
        <f>'data entry '!J125</f>
        <v>38.896554826357949</v>
      </c>
      <c r="K15" s="339">
        <f>'data entry '!K125</f>
        <v>46.304225873570459</v>
      </c>
      <c r="L15" s="339">
        <f>'data entry '!L125</f>
        <v>45.888177762722812</v>
      </c>
      <c r="M15" s="339">
        <f>'data entry '!M125</f>
        <v>48.460973703158473</v>
      </c>
      <c r="N15" s="993">
        <f t="shared" si="6"/>
        <v>463.47106240186702</v>
      </c>
      <c r="O15" s="751"/>
      <c r="P15" s="1149">
        <f t="shared" si="2"/>
        <v>1.0206757184787885</v>
      </c>
      <c r="Q15" s="1149">
        <f t="shared" si="0"/>
        <v>0.86126100532951477</v>
      </c>
      <c r="R15" s="1149">
        <f t="shared" si="0"/>
        <v>1.5363542300669504</v>
      </c>
      <c r="S15" s="1149">
        <f t="shared" si="0"/>
        <v>-6.5982441982735521E-2</v>
      </c>
      <c r="T15" s="1149">
        <f t="shared" si="0"/>
        <v>1.133165572133281</v>
      </c>
      <c r="U15" s="1149">
        <f t="shared" si="0"/>
        <v>0.94821381566577678</v>
      </c>
      <c r="V15" s="1149">
        <f t="shared" si="0"/>
        <v>0.94679390291779664</v>
      </c>
      <c r="W15" s="1149">
        <f t="shared" si="0"/>
        <v>1.0023964939735595</v>
      </c>
      <c r="X15" s="1149">
        <f t="shared" si="0"/>
        <v>0.71917453686526667</v>
      </c>
      <c r="Y15" s="1149">
        <f t="shared" si="0"/>
        <v>0.93543890653677697</v>
      </c>
      <c r="Z15" s="1149">
        <f t="shared" si="0"/>
        <v>0.88355240609062724</v>
      </c>
      <c r="AA15" s="1149">
        <f t="shared" si="0"/>
        <v>1.1486364945048229</v>
      </c>
      <c r="AB15" s="1149">
        <f t="shared" si="0"/>
        <v>0.8942397761885198</v>
      </c>
      <c r="AC15" s="1186"/>
      <c r="AD15" s="1149">
        <f t="shared" si="3"/>
        <v>0.82993033260562488</v>
      </c>
      <c r="AE15" s="1149">
        <f t="shared" si="4"/>
        <v>0.93050643911039355</v>
      </c>
    </row>
    <row r="16" spans="1:31" x14ac:dyDescent="0.3">
      <c r="A16" s="383" t="s">
        <v>86</v>
      </c>
      <c r="B16" s="339">
        <f>'data entry '!B126</f>
        <v>171.34822992298916</v>
      </c>
      <c r="C16" s="339">
        <f>'data entry '!C126</f>
        <v>158.03624719540193</v>
      </c>
      <c r="D16" s="339">
        <f>'data entry '!D126</f>
        <v>171.02916982572503</v>
      </c>
      <c r="E16" s="339">
        <f>'data entry '!E126</f>
        <v>-7.097920000000002</v>
      </c>
      <c r="F16" s="339">
        <f>'data entry '!F126</f>
        <v>122.99840999999998</v>
      </c>
      <c r="G16" s="339">
        <f>'data entry '!G126</f>
        <v>132.04277000000008</v>
      </c>
      <c r="H16" s="339">
        <f>'data entry '!H126</f>
        <v>142.44902616968642</v>
      </c>
      <c r="I16" s="339">
        <f>'data entry '!I126</f>
        <v>143.69356549754013</v>
      </c>
      <c r="J16" s="339">
        <f>'data entry '!J126</f>
        <v>139.38974426055393</v>
      </c>
      <c r="K16" s="339">
        <f>'data entry '!K126</f>
        <v>144.54917216420665</v>
      </c>
      <c r="L16" s="339">
        <f>'data entry '!L126</f>
        <v>147.07859759388748</v>
      </c>
      <c r="M16" s="339">
        <f>'data entry '!M126</f>
        <v>148.33879501324168</v>
      </c>
      <c r="N16" s="993">
        <f t="shared" si="6"/>
        <v>1613.8558076432325</v>
      </c>
      <c r="O16" s="751"/>
      <c r="P16" s="1149">
        <f t="shared" si="2"/>
        <v>3.6182239145847319</v>
      </c>
      <c r="Q16" s="1149">
        <f t="shared" si="0"/>
        <v>3.7103807479022826</v>
      </c>
      <c r="R16" s="1149">
        <f t="shared" si="0"/>
        <v>7.4354043050919492</v>
      </c>
      <c r="S16" s="1149">
        <f t="shared" si="0"/>
        <v>-0.17357298315115061</v>
      </c>
      <c r="T16" s="1149">
        <f t="shared" si="0"/>
        <v>3.72237417909996</v>
      </c>
      <c r="U16" s="1149">
        <f t="shared" si="0"/>
        <v>2.4826602865415723</v>
      </c>
      <c r="V16" s="1149">
        <f t="shared" si="0"/>
        <v>3.4325066546912395</v>
      </c>
      <c r="W16" s="1149">
        <f t="shared" si="0"/>
        <v>3.684450397372824</v>
      </c>
      <c r="X16" s="1149">
        <f t="shared" si="0"/>
        <v>2.5772348018961617</v>
      </c>
      <c r="Y16" s="1149">
        <f t="shared" si="0"/>
        <v>2.9201852962465993</v>
      </c>
      <c r="Z16" s="1149">
        <f t="shared" si="0"/>
        <v>2.8319200091244507</v>
      </c>
      <c r="AA16" s="1149">
        <f t="shared" si="0"/>
        <v>3.51597049095145</v>
      </c>
      <c r="AB16" s="1149">
        <f t="shared" si="0"/>
        <v>3.1138385398829458</v>
      </c>
      <c r="AC16" s="1186"/>
      <c r="AD16" s="1149">
        <f t="shared" si="3"/>
        <v>3.2977726603319426</v>
      </c>
      <c r="AE16" s="1149">
        <f t="shared" si="4"/>
        <v>3.0101107454174789</v>
      </c>
    </row>
    <row r="17" spans="1:31" x14ac:dyDescent="0.3">
      <c r="A17" s="4" t="s">
        <v>87</v>
      </c>
      <c r="B17" s="959">
        <f>SUM(B11:B16)</f>
        <v>739.75633992298913</v>
      </c>
      <c r="C17" s="959">
        <f t="shared" ref="C17:N17" si="7">SUM(C11:C16)</f>
        <v>767.52687719540199</v>
      </c>
      <c r="D17" s="959">
        <f t="shared" si="7"/>
        <v>633.81752982572505</v>
      </c>
      <c r="E17" s="959">
        <f t="shared" si="7"/>
        <v>378.43126737218228</v>
      </c>
      <c r="F17" s="959">
        <f t="shared" si="7"/>
        <v>681.53279501332759</v>
      </c>
      <c r="G17" s="959">
        <f t="shared" si="7"/>
        <v>636.67406000000005</v>
      </c>
      <c r="H17" s="959">
        <f t="shared" si="7"/>
        <v>728.14423579508298</v>
      </c>
      <c r="I17" s="959">
        <f t="shared" si="7"/>
        <v>704.04383454038225</v>
      </c>
      <c r="J17" s="959">
        <f t="shared" si="7"/>
        <v>757.45654223220458</v>
      </c>
      <c r="K17" s="959">
        <f t="shared" si="7"/>
        <v>698.59976799372464</v>
      </c>
      <c r="L17" s="959">
        <f t="shared" si="7"/>
        <v>695.50633161136591</v>
      </c>
      <c r="M17" s="959">
        <f t="shared" si="7"/>
        <v>757.93377430214957</v>
      </c>
      <c r="N17" s="959">
        <f t="shared" si="7"/>
        <v>8179.4233558045371</v>
      </c>
      <c r="O17" s="751"/>
      <c r="P17" s="1150">
        <f t="shared" si="2"/>
        <v>15.620844646472309</v>
      </c>
      <c r="Q17" s="1150">
        <f t="shared" si="0"/>
        <v>18.020023881750571</v>
      </c>
      <c r="R17" s="1150">
        <f t="shared" si="0"/>
        <v>27.554887828263848</v>
      </c>
      <c r="S17" s="1150">
        <f t="shared" si="0"/>
        <v>9.2541820696007218</v>
      </c>
      <c r="T17" s="1150">
        <f t="shared" si="0"/>
        <v>20.625633114829999</v>
      </c>
      <c r="U17" s="1150">
        <f t="shared" si="0"/>
        <v>11.97070770503516</v>
      </c>
      <c r="V17" s="1150">
        <f t="shared" si="0"/>
        <v>17.545644236026096</v>
      </c>
      <c r="W17" s="1150">
        <f t="shared" si="0"/>
        <v>18.052406013855954</v>
      </c>
      <c r="X17" s="1150">
        <f t="shared" si="0"/>
        <v>14.004928209895619</v>
      </c>
      <c r="Y17" s="1150">
        <f t="shared" si="0"/>
        <v>14.113126626135852</v>
      </c>
      <c r="Z17" s="1150">
        <f t="shared" si="0"/>
        <v>13.391603735585448</v>
      </c>
      <c r="AA17" s="1150">
        <f t="shared" si="0"/>
        <v>17.964773033945235</v>
      </c>
      <c r="AB17" s="1150">
        <f t="shared" si="0"/>
        <v>15.781709591835645</v>
      </c>
      <c r="AC17" s="1186"/>
      <c r="AD17" s="1150">
        <f t="shared" si="3"/>
        <v>17.128252265151463</v>
      </c>
      <c r="AE17" s="1150">
        <f t="shared" si="4"/>
        <v>15.022340414894853</v>
      </c>
    </row>
    <row r="18" spans="1:31" x14ac:dyDescent="0.3">
      <c r="A18" s="5" t="s">
        <v>88</v>
      </c>
      <c r="B18" s="267">
        <f>B10+B17</f>
        <v>1228.5391299229891</v>
      </c>
      <c r="C18" s="267">
        <f t="shared" ref="C18:N18" si="8">C10+C17</f>
        <v>1252.428637195402</v>
      </c>
      <c r="D18" s="267">
        <f t="shared" si="8"/>
        <v>940.25723982572504</v>
      </c>
      <c r="E18" s="267">
        <f t="shared" si="8"/>
        <v>808.43090000000007</v>
      </c>
      <c r="F18" s="267">
        <f t="shared" si="8"/>
        <v>1205.86511</v>
      </c>
      <c r="G18" s="267">
        <f t="shared" si="8"/>
        <v>1085.8539900000001</v>
      </c>
      <c r="H18" s="267">
        <f t="shared" si="8"/>
        <v>1133.1511791606208</v>
      </c>
      <c r="I18" s="267">
        <f t="shared" si="8"/>
        <v>1112.411505188938</v>
      </c>
      <c r="J18" s="267">
        <f t="shared" si="8"/>
        <v>1234.7244270644051</v>
      </c>
      <c r="K18" s="267">
        <f t="shared" si="8"/>
        <v>1301.5768989273531</v>
      </c>
      <c r="L18" s="267">
        <f t="shared" si="8"/>
        <v>1217.5994621711516</v>
      </c>
      <c r="M18" s="267">
        <f t="shared" si="8"/>
        <v>1274.4046496416527</v>
      </c>
      <c r="N18" s="267">
        <f t="shared" si="8"/>
        <v>13795.243129098239</v>
      </c>
      <c r="O18" s="751"/>
      <c r="P18" s="1144">
        <f t="shared" si="2"/>
        <v>25.942081000126468</v>
      </c>
      <c r="Q18" s="1144">
        <f t="shared" si="0"/>
        <v>29.404565003531143</v>
      </c>
      <c r="R18" s="1144">
        <f t="shared" si="0"/>
        <v>40.877195018942921</v>
      </c>
      <c r="S18" s="1144">
        <f t="shared" si="0"/>
        <v>19.76942019416526</v>
      </c>
      <c r="T18" s="1144">
        <f t="shared" si="0"/>
        <v>36.493814423629814</v>
      </c>
      <c r="U18" s="1144">
        <f t="shared" si="0"/>
        <v>20.416161959914263</v>
      </c>
      <c r="V18" s="1144">
        <f t="shared" si="0"/>
        <v>27.304847690617368</v>
      </c>
      <c r="W18" s="1144">
        <f t="shared" si="0"/>
        <v>28.523371927921488</v>
      </c>
      <c r="X18" s="1144">
        <f t="shared" si="0"/>
        <v>22.829332108059628</v>
      </c>
      <c r="Y18" s="1144">
        <f t="shared" si="0"/>
        <v>26.294482806613193</v>
      </c>
      <c r="Z18" s="1144">
        <f t="shared" si="0"/>
        <v>23.44422870785489</v>
      </c>
      <c r="AA18" s="1144">
        <f t="shared" si="0"/>
        <v>30.206320209567494</v>
      </c>
      <c r="AB18" s="1144">
        <f t="shared" si="0"/>
        <v>26.617098949609264</v>
      </c>
      <c r="AC18" s="1186"/>
      <c r="AD18" s="1144">
        <f t="shared" si="3"/>
        <v>29.084376829674007</v>
      </c>
      <c r="AE18" s="1144">
        <f t="shared" si="4"/>
        <v>25.225702441947636</v>
      </c>
    </row>
    <row r="19" spans="1:31" x14ac:dyDescent="0.3">
      <c r="A19" s="383" t="s">
        <v>89</v>
      </c>
      <c r="B19" s="339">
        <f>'data entry '!B129</f>
        <v>17.28707</v>
      </c>
      <c r="C19" s="339">
        <f>'data entry '!C129</f>
        <v>14.930529999999997</v>
      </c>
      <c r="D19" s="339">
        <f>'data entry '!D129</f>
        <v>35.234139999999996</v>
      </c>
      <c r="E19" s="339">
        <f>'data entry '!E129</f>
        <v>13.047470000000001</v>
      </c>
      <c r="F19" s="339">
        <f>'data entry '!F129</f>
        <v>16.863679999999999</v>
      </c>
      <c r="G19" s="339">
        <f>'data entry '!G129</f>
        <v>5.071699999999999</v>
      </c>
      <c r="H19" s="339">
        <f>'data entry '!H129</f>
        <v>21.632406266507196</v>
      </c>
      <c r="I19" s="339">
        <f>'data entry '!I129</f>
        <v>21.453871079958802</v>
      </c>
      <c r="J19" s="339">
        <f>'data entry '!J129</f>
        <v>22.005916569494119</v>
      </c>
      <c r="K19" s="339">
        <f>'data entry '!K129</f>
        <v>21.359057781640075</v>
      </c>
      <c r="L19" s="339">
        <f>'data entry '!L129</f>
        <v>20.962574574903918</v>
      </c>
      <c r="M19" s="339">
        <f>'data entry '!M129</f>
        <v>21.204760121109167</v>
      </c>
      <c r="N19" s="993">
        <f>SUM(B19:M19)</f>
        <v>231.05317639361326</v>
      </c>
      <c r="O19" s="751"/>
      <c r="P19" s="1149">
        <f t="shared" si="2"/>
        <v>0.36503727009734571</v>
      </c>
      <c r="Q19" s="1149">
        <f t="shared" si="0"/>
        <v>0.35053952527410598</v>
      </c>
      <c r="R19" s="1149">
        <f t="shared" si="0"/>
        <v>1.5317859316581166</v>
      </c>
      <c r="S19" s="1149">
        <f t="shared" si="0"/>
        <v>0.31906365392609987</v>
      </c>
      <c r="T19" s="1149">
        <f t="shared" si="0"/>
        <v>0.51035559725206547</v>
      </c>
      <c r="U19" s="1149">
        <f t="shared" si="0"/>
        <v>9.5357800925055441E-2</v>
      </c>
      <c r="V19" s="1149">
        <f t="shared" si="0"/>
        <v>0.52126280160258309</v>
      </c>
      <c r="W19" s="1149">
        <f t="shared" si="0"/>
        <v>0.55009925846048202</v>
      </c>
      <c r="X19" s="1149">
        <f t="shared" si="0"/>
        <v>0.40687651972809685</v>
      </c>
      <c r="Y19" s="1149">
        <f t="shared" si="0"/>
        <v>0.43149611680080963</v>
      </c>
      <c r="Z19" s="1149">
        <f t="shared" si="0"/>
        <v>0.40362320114956718</v>
      </c>
      <c r="AA19" s="1149">
        <f t="shared" si="0"/>
        <v>0.50260156722230787</v>
      </c>
      <c r="AB19" s="1149">
        <f t="shared" si="0"/>
        <v>0.4458033251852036</v>
      </c>
      <c r="AC19" s="1186"/>
      <c r="AD19" s="1149">
        <f t="shared" si="3"/>
        <v>0.52096919010316334</v>
      </c>
      <c r="AE19" s="1149">
        <f t="shared" si="4"/>
        <v>0.40341429280776009</v>
      </c>
    </row>
    <row r="20" spans="1:31" x14ac:dyDescent="0.3">
      <c r="A20" s="5" t="s">
        <v>90</v>
      </c>
      <c r="B20" s="267">
        <f>B18+B19</f>
        <v>1245.8261999229892</v>
      </c>
      <c r="C20" s="267">
        <f t="shared" ref="C20:N20" si="9">C18+C19</f>
        <v>1267.3591671954021</v>
      </c>
      <c r="D20" s="267">
        <f t="shared" si="9"/>
        <v>975.49137982572506</v>
      </c>
      <c r="E20" s="267">
        <f t="shared" si="9"/>
        <v>821.47837000000004</v>
      </c>
      <c r="F20" s="267">
        <f t="shared" si="9"/>
        <v>1222.7287899999999</v>
      </c>
      <c r="G20" s="267">
        <f t="shared" si="9"/>
        <v>1090.92569</v>
      </c>
      <c r="H20" s="267">
        <f t="shared" si="9"/>
        <v>1154.7835854271279</v>
      </c>
      <c r="I20" s="267">
        <f t="shared" si="9"/>
        <v>1133.8653762688969</v>
      </c>
      <c r="J20" s="267">
        <f t="shared" si="9"/>
        <v>1256.7303436338991</v>
      </c>
      <c r="K20" s="267">
        <f t="shared" si="9"/>
        <v>1322.9359567089932</v>
      </c>
      <c r="L20" s="267">
        <f t="shared" si="9"/>
        <v>1238.5620367460556</v>
      </c>
      <c r="M20" s="267">
        <f t="shared" si="9"/>
        <v>1295.6094097627617</v>
      </c>
      <c r="N20" s="267">
        <f t="shared" si="9"/>
        <v>14026.296305491851</v>
      </c>
      <c r="O20" s="751"/>
      <c r="P20" s="1144">
        <f t="shared" si="2"/>
        <v>26.307118270223814</v>
      </c>
      <c r="Q20" s="1144">
        <f t="shared" si="0"/>
        <v>29.755104528805251</v>
      </c>
      <c r="R20" s="1144">
        <f t="shared" si="0"/>
        <v>42.408980950601041</v>
      </c>
      <c r="S20" s="1144">
        <f t="shared" si="0"/>
        <v>20.088483848091361</v>
      </c>
      <c r="T20" s="1144">
        <f t="shared" si="0"/>
        <v>37.004170020881872</v>
      </c>
      <c r="U20" s="1144">
        <f t="shared" si="0"/>
        <v>20.511519760839317</v>
      </c>
      <c r="V20" s="1144">
        <f t="shared" si="0"/>
        <v>27.826110492219954</v>
      </c>
      <c r="W20" s="1144">
        <f t="shared" si="0"/>
        <v>29.073471186381969</v>
      </c>
      <c r="X20" s="1144">
        <f t="shared" si="0"/>
        <v>23.236208627787722</v>
      </c>
      <c r="Y20" s="1144">
        <f t="shared" si="0"/>
        <v>26.725978923414004</v>
      </c>
      <c r="Z20" s="1144">
        <f t="shared" si="0"/>
        <v>23.847851909004458</v>
      </c>
      <c r="AA20" s="1144">
        <f t="shared" si="0"/>
        <v>30.708921776789804</v>
      </c>
      <c r="AB20" s="1144">
        <f t="shared" si="0"/>
        <v>27.062902274794471</v>
      </c>
      <c r="AC20" s="1186"/>
      <c r="AD20" s="1144">
        <f t="shared" si="3"/>
        <v>29.605346019777173</v>
      </c>
      <c r="AE20" s="1144">
        <f t="shared" si="4"/>
        <v>25.629116734755399</v>
      </c>
    </row>
    <row r="21" spans="1:31" x14ac:dyDescent="0.3">
      <c r="A21" s="514" t="s">
        <v>91</v>
      </c>
      <c r="B21" s="1147">
        <f>'data entry '!B131</f>
        <v>392.90298007701097</v>
      </c>
      <c r="C21" s="1147">
        <f>'data entry '!C131</f>
        <v>366.36480280459801</v>
      </c>
      <c r="D21" s="1147">
        <f>'data entry '!D131</f>
        <v>394.15364017427498</v>
      </c>
      <c r="E21" s="1147">
        <f>'data entry '!E131</f>
        <v>36.995220000000003</v>
      </c>
      <c r="F21" s="1147">
        <f>'data entry '!F131</f>
        <v>310.31661000000003</v>
      </c>
      <c r="G21" s="1147">
        <f>'data entry '!G131</f>
        <v>301.40708999999998</v>
      </c>
      <c r="H21" s="1147">
        <f>'data entry '!H131</f>
        <v>314.66699999999997</v>
      </c>
      <c r="I21" s="1147">
        <f>'data entry '!I131</f>
        <v>316.649</v>
      </c>
      <c r="J21" s="1147">
        <f>'data entry '!J131</f>
        <v>310.40199999999999</v>
      </c>
      <c r="K21" s="1147">
        <f>'data entry '!K131</f>
        <v>320.34399999999999</v>
      </c>
      <c r="L21" s="1147">
        <f>'data entry '!L131</f>
        <v>314.00220000000002</v>
      </c>
      <c r="M21" s="1147">
        <f>'data entry '!M131</f>
        <v>323.846</v>
      </c>
      <c r="N21" s="1147">
        <f>SUM(B21:M21)</f>
        <v>3702.0505430558842</v>
      </c>
      <c r="O21" s="751"/>
      <c r="P21" s="1145"/>
      <c r="Q21" s="1145"/>
      <c r="R21" s="1145"/>
      <c r="S21" s="1145"/>
      <c r="T21" s="1145"/>
      <c r="U21" s="1145"/>
      <c r="V21" s="1145"/>
      <c r="W21" s="1145"/>
      <c r="X21" s="1145"/>
      <c r="Y21" s="1145"/>
      <c r="Z21" s="1145"/>
      <c r="AA21" s="1145"/>
      <c r="AB21" s="1145"/>
      <c r="AC21" s="1186"/>
      <c r="AD21" s="1145"/>
      <c r="AE21" s="1145"/>
    </row>
    <row r="22" spans="1:31" x14ac:dyDescent="0.3">
      <c r="A22" s="517" t="s">
        <v>92</v>
      </c>
      <c r="B22" s="994">
        <f>B20+B21</f>
        <v>1638.7291800000003</v>
      </c>
      <c r="C22" s="994">
        <f t="shared" ref="C22:N22" si="10">C20+C21</f>
        <v>1633.72397</v>
      </c>
      <c r="D22" s="994">
        <f t="shared" si="10"/>
        <v>1369.6450199999999</v>
      </c>
      <c r="E22" s="994">
        <f t="shared" si="10"/>
        <v>858.47359000000006</v>
      </c>
      <c r="F22" s="994">
        <f t="shared" si="10"/>
        <v>1533.0454</v>
      </c>
      <c r="G22" s="994">
        <f t="shared" si="10"/>
        <v>1392.33278</v>
      </c>
      <c r="H22" s="994">
        <f t="shared" si="10"/>
        <v>1469.4505854271279</v>
      </c>
      <c r="I22" s="994">
        <f t="shared" si="10"/>
        <v>1450.5143762688967</v>
      </c>
      <c r="J22" s="994">
        <f t="shared" si="10"/>
        <v>1567.1323436338992</v>
      </c>
      <c r="K22" s="994">
        <f t="shared" si="10"/>
        <v>1643.2799567089933</v>
      </c>
      <c r="L22" s="994">
        <f t="shared" si="10"/>
        <v>1552.5642367460555</v>
      </c>
      <c r="M22" s="994">
        <f t="shared" si="10"/>
        <v>1619.4554097627617</v>
      </c>
      <c r="N22" s="994">
        <f t="shared" si="10"/>
        <v>17728.346848547735</v>
      </c>
      <c r="O22" s="751"/>
      <c r="P22" s="1145"/>
      <c r="Q22" s="1145"/>
      <c r="R22" s="1145"/>
      <c r="S22" s="1145"/>
      <c r="T22" s="1145"/>
      <c r="U22" s="1145"/>
      <c r="V22" s="1145"/>
      <c r="W22" s="1145"/>
      <c r="X22" s="1145"/>
      <c r="Y22" s="1145"/>
      <c r="Z22" s="1145"/>
      <c r="AA22" s="1145"/>
      <c r="AB22" s="1145"/>
      <c r="AC22" s="1186"/>
      <c r="AD22" s="1145"/>
      <c r="AE22" s="1145"/>
    </row>
    <row r="23" spans="1:31" x14ac:dyDescent="0.3">
      <c r="A23" s="51"/>
      <c r="B23" s="995"/>
      <c r="C23" s="995"/>
      <c r="D23" s="995"/>
      <c r="E23" s="995"/>
      <c r="F23" s="995"/>
      <c r="G23" s="995"/>
      <c r="H23" s="995"/>
      <c r="I23" s="995"/>
      <c r="J23" s="995"/>
      <c r="K23" s="995"/>
      <c r="L23" s="995"/>
      <c r="M23" s="995"/>
      <c r="N23" s="996"/>
      <c r="O23" s="751"/>
      <c r="P23" s="1151"/>
      <c r="Q23" s="1151"/>
      <c r="R23" s="1151"/>
      <c r="S23" s="1151"/>
      <c r="T23" s="1151"/>
      <c r="U23" s="1151"/>
      <c r="V23" s="1151"/>
      <c r="W23" s="1151"/>
      <c r="X23" s="1151"/>
      <c r="Y23" s="1151"/>
      <c r="Z23" s="1151"/>
      <c r="AA23" s="1151"/>
      <c r="AB23" s="1151"/>
      <c r="AC23" s="1186"/>
      <c r="AD23" s="1151"/>
      <c r="AE23" s="1151"/>
    </row>
    <row r="24" spans="1:31" x14ac:dyDescent="0.3">
      <c r="A24" s="382" t="s">
        <v>76</v>
      </c>
      <c r="B24" s="365">
        <f>'data entry '!B133</f>
        <v>18.225650000000002</v>
      </c>
      <c r="C24" s="365">
        <f>'data entry '!C133</f>
        <v>14.337690000000006</v>
      </c>
      <c r="D24" s="365">
        <f>'data entry '!D133</f>
        <v>9.554800000000002</v>
      </c>
      <c r="E24" s="365">
        <f>'data entry '!E133</f>
        <v>50.457409999999996</v>
      </c>
      <c r="F24" s="365">
        <f>'data entry '!F133</f>
        <v>16.0852</v>
      </c>
      <c r="G24" s="365">
        <f>'data entry '!G133</f>
        <v>27.970379999999999</v>
      </c>
      <c r="H24" s="365">
        <f>'data entry '!H133</f>
        <v>17.86224</v>
      </c>
      <c r="I24" s="365">
        <f>'data entry '!I133</f>
        <v>17.5076</v>
      </c>
      <c r="J24" s="365">
        <f>'data entry '!J133</f>
        <v>24.159080000000003</v>
      </c>
      <c r="K24" s="365">
        <f>'data entry '!K133</f>
        <v>21.98592</v>
      </c>
      <c r="L24" s="365">
        <f>'data entry '!L133</f>
        <v>22.851839999999999</v>
      </c>
      <c r="M24" s="365">
        <f>'data entry '!M133</f>
        <v>18.563599999999997</v>
      </c>
      <c r="N24" s="993">
        <f t="shared" ref="N24:N28" si="11">SUM(B24:M24)</f>
        <v>259.56141000000002</v>
      </c>
      <c r="O24" s="752"/>
      <c r="P24" s="1148">
        <f t="shared" ref="P24:AB29" si="12">B24*1000/B$2</f>
        <v>0.38485651540426974</v>
      </c>
      <c r="Q24" s="1148">
        <f t="shared" si="12"/>
        <v>0.33662080623576657</v>
      </c>
      <c r="R24" s="1148">
        <f t="shared" si="12"/>
        <v>0.41538996608990525</v>
      </c>
      <c r="S24" s="1148">
        <f t="shared" si="12"/>
        <v>1.2338886851050301</v>
      </c>
      <c r="T24" s="1148">
        <f t="shared" si="12"/>
        <v>0.48679599309990013</v>
      </c>
      <c r="U24" s="1148">
        <f t="shared" si="12"/>
        <v>0.52589741661339451</v>
      </c>
      <c r="V24" s="1148">
        <f t="shared" si="12"/>
        <v>0.43041542168674701</v>
      </c>
      <c r="W24" s="1148">
        <f t="shared" si="12"/>
        <v>0.4489128205128205</v>
      </c>
      <c r="X24" s="1148">
        <f t="shared" si="12"/>
        <v>0.44668725154848854</v>
      </c>
      <c r="Y24" s="1148">
        <f t="shared" si="12"/>
        <v>0.44416000000000005</v>
      </c>
      <c r="Z24" s="1148">
        <f t="shared" si="12"/>
        <v>0.44</v>
      </c>
      <c r="AA24" s="1148">
        <f t="shared" si="12"/>
        <v>0.43999999999999995</v>
      </c>
      <c r="AB24" s="1148">
        <f t="shared" si="12"/>
        <v>0.50080826186364646</v>
      </c>
      <c r="AC24" s="1187"/>
      <c r="AD24" s="1148">
        <f t="shared" ref="AD24:AD29" si="13">SUMPRODUCT(P$2:T$2,P24:T24)/SUM($P$2:$T$2)</f>
        <v>0.58142176062668549</v>
      </c>
      <c r="AE24" s="1148">
        <f t="shared" ref="AE24:AE29" si="14">SUMPRODUCT(U24:AA24,U$2:AA$2)/SUM(U$2:AA$2)</f>
        <v>0.4553470912530892</v>
      </c>
    </row>
    <row r="25" spans="1:31" x14ac:dyDescent="0.3">
      <c r="A25" s="383" t="s">
        <v>77</v>
      </c>
      <c r="B25" s="339">
        <f>'data entry '!B134</f>
        <v>-56.35548</v>
      </c>
      <c r="C25" s="339">
        <f>'data entry '!C134</f>
        <v>-55.948819999999998</v>
      </c>
      <c r="D25" s="339">
        <f>'data entry '!D134</f>
        <v>-30.366419999999998</v>
      </c>
      <c r="E25" s="339">
        <f>'data entry '!E134</f>
        <v>-53.893480000000004</v>
      </c>
      <c r="F25" s="339">
        <f>'data entry '!F134</f>
        <v>-36.104849999999999</v>
      </c>
      <c r="G25" s="339">
        <f>'data entry '!G134</f>
        <v>-74.14161</v>
      </c>
      <c r="H25" s="339">
        <f>'data entry '!H134</f>
        <v>-39.488540813848189</v>
      </c>
      <c r="I25" s="339">
        <f>'data entry '!I134</f>
        <v>-38.658510144472473</v>
      </c>
      <c r="J25" s="339">
        <f>'data entry '!J134</f>
        <v>-53.347192542572024</v>
      </c>
      <c r="K25" s="339">
        <f>'data entry '!K134</f>
        <v>-48.635137103373353</v>
      </c>
      <c r="L25" s="339">
        <f>'data entry '!L134</f>
        <v>-50.750043862884446</v>
      </c>
      <c r="M25" s="339">
        <f>'data entry '!M134</f>
        <v>-41.118432317492008</v>
      </c>
      <c r="N25" s="993">
        <f t="shared" si="11"/>
        <v>-578.80851678464251</v>
      </c>
      <c r="O25" s="752"/>
      <c r="P25" s="1149">
        <f t="shared" si="12"/>
        <v>-1.1900137255316006</v>
      </c>
      <c r="Q25" s="1149">
        <f t="shared" si="12"/>
        <v>-1.3135684267367878</v>
      </c>
      <c r="R25" s="1149">
        <f t="shared" si="12"/>
        <v>-1.3201643335362141</v>
      </c>
      <c r="S25" s="1149">
        <f t="shared" si="12"/>
        <v>-1.3179145575037294</v>
      </c>
      <c r="T25" s="1149">
        <f t="shared" si="12"/>
        <v>-1.0926625911690826</v>
      </c>
      <c r="U25" s="1149">
        <f t="shared" si="12"/>
        <v>-1.3940061294325574</v>
      </c>
      <c r="V25" s="1149">
        <f t="shared" si="12"/>
        <v>-0.9515311039481491</v>
      </c>
      <c r="W25" s="1149">
        <f t="shared" si="12"/>
        <v>-0.99124384985826852</v>
      </c>
      <c r="X25" s="1149">
        <f t="shared" si="12"/>
        <v>-0.98635837186968711</v>
      </c>
      <c r="Y25" s="1149">
        <f t="shared" si="12"/>
        <v>-0.98252802229037073</v>
      </c>
      <c r="Z25" s="1149">
        <f t="shared" si="12"/>
        <v>-0.97716504665134873</v>
      </c>
      <c r="AA25" s="1149">
        <f t="shared" si="12"/>
        <v>-0.97460138225863968</v>
      </c>
      <c r="AB25" s="1149">
        <f t="shared" si="12"/>
        <v>-1.1167765163657881</v>
      </c>
      <c r="AC25" s="1186"/>
      <c r="AD25" s="1149">
        <f t="shared" si="13"/>
        <v>-1.2449651663028127</v>
      </c>
      <c r="AE25" s="1149">
        <f t="shared" si="14"/>
        <v>-1.0444858184734398</v>
      </c>
    </row>
    <row r="26" spans="1:31" x14ac:dyDescent="0.3">
      <c r="A26" s="383" t="s">
        <v>144</v>
      </c>
      <c r="B26" s="339">
        <f>'data entry '!B135</f>
        <v>-2.7324800000000007</v>
      </c>
      <c r="C26" s="339">
        <f>'data entry '!C135</f>
        <v>-0.15481999999999996</v>
      </c>
      <c r="D26" s="339">
        <f>'data entry '!D135</f>
        <v>-0.55567000000000011</v>
      </c>
      <c r="E26" s="339">
        <f>'data entry '!E135</f>
        <v>65.577179999999998</v>
      </c>
      <c r="F26" s="339">
        <f>'data entry '!F135</f>
        <v>10.062050000000001</v>
      </c>
      <c r="G26" s="339">
        <f>'data entry '!G135</f>
        <v>-8.9144199999999998</v>
      </c>
      <c r="H26" s="339">
        <f>'data entry '!H135</f>
        <v>0</v>
      </c>
      <c r="I26" s="339">
        <f>'data entry '!I135</f>
        <v>0</v>
      </c>
      <c r="J26" s="339">
        <f>'data entry '!J135</f>
        <v>0</v>
      </c>
      <c r="K26" s="339">
        <f>'data entry '!K135</f>
        <v>0</v>
      </c>
      <c r="L26" s="339">
        <f>'data entry '!L135</f>
        <v>0</v>
      </c>
      <c r="M26" s="339">
        <f>'data entry '!M135</f>
        <v>0</v>
      </c>
      <c r="N26" s="993">
        <f t="shared" si="11"/>
        <v>63.281839999999995</v>
      </c>
      <c r="O26" s="752"/>
      <c r="P26" s="1149">
        <f t="shared" si="12"/>
        <v>-5.7699600903773476E-2</v>
      </c>
      <c r="Q26" s="1149">
        <f t="shared" si="12"/>
        <v>-3.634869579508369E-3</v>
      </c>
      <c r="R26" s="1149">
        <f t="shared" si="12"/>
        <v>-2.4157464568298412E-2</v>
      </c>
      <c r="S26" s="1149">
        <f t="shared" si="12"/>
        <v>1.6036284938742571</v>
      </c>
      <c r="T26" s="1149">
        <f t="shared" si="12"/>
        <v>0.30451381533153771</v>
      </c>
      <c r="U26" s="1149">
        <f t="shared" si="12"/>
        <v>-0.16760839318617682</v>
      </c>
      <c r="V26" s="1149">
        <f t="shared" si="12"/>
        <v>0</v>
      </c>
      <c r="W26" s="1149">
        <f t="shared" si="12"/>
        <v>0</v>
      </c>
      <c r="X26" s="1149">
        <f t="shared" si="12"/>
        <v>0</v>
      </c>
      <c r="Y26" s="1149">
        <f t="shared" si="12"/>
        <v>0</v>
      </c>
      <c r="Z26" s="1149">
        <f t="shared" si="12"/>
        <v>0</v>
      </c>
      <c r="AA26" s="1149">
        <f t="shared" si="12"/>
        <v>0</v>
      </c>
      <c r="AB26" s="1149">
        <f t="shared" si="12"/>
        <v>0.12209853651948252</v>
      </c>
      <c r="AC26" s="1186"/>
      <c r="AD26" s="1149">
        <f t="shared" si="13"/>
        <v>0.3863076280981122</v>
      </c>
      <c r="AE26" s="1149">
        <f t="shared" si="14"/>
        <v>-2.6899519307658187E-2</v>
      </c>
    </row>
    <row r="27" spans="1:31" x14ac:dyDescent="0.3">
      <c r="A27" s="383" t="s">
        <v>85</v>
      </c>
      <c r="B27" s="339">
        <f>'data entry '!B136</f>
        <v>-26.068060000000003</v>
      </c>
      <c r="C27" s="339">
        <f>'data entry '!C136</f>
        <v>5.0938100000000004</v>
      </c>
      <c r="D27" s="339">
        <f>'data entry '!D136</f>
        <v>200.17382999999998</v>
      </c>
      <c r="E27" s="339">
        <f>'data entry '!E136</f>
        <v>-177.1679</v>
      </c>
      <c r="F27" s="339">
        <f>'data entry '!F136</f>
        <v>46.021999999999998</v>
      </c>
      <c r="G27" s="339">
        <f>'data entry '!G136</f>
        <v>-30.71528</v>
      </c>
      <c r="H27" s="339">
        <f>'data entry '!H136</f>
        <v>8.2504731756004741</v>
      </c>
      <c r="I27" s="339">
        <f>'data entry '!I136</f>
        <v>8.1849932297623766</v>
      </c>
      <c r="J27" s="339">
        <f>'data entry '!J136</f>
        <v>8.1200329660341026</v>
      </c>
      <c r="K27" s="339">
        <f>'data entry '!K136</f>
        <v>7.9803763793946958</v>
      </c>
      <c r="L27" s="339">
        <f>'data entry '!L136</f>
        <v>7.8431217487908542</v>
      </c>
      <c r="M27" s="339">
        <f>'data entry '!M136</f>
        <v>7.7082277629394138</v>
      </c>
      <c r="N27" s="993">
        <f t="shared" si="11"/>
        <v>65.425625262521891</v>
      </c>
      <c r="O27" s="752"/>
      <c r="P27" s="1149">
        <f t="shared" si="12"/>
        <v>-0.55045843275545325</v>
      </c>
      <c r="Q27" s="1149">
        <f t="shared" si="12"/>
        <v>0.1195926560702463</v>
      </c>
      <c r="R27" s="1149">
        <f t="shared" si="12"/>
        <v>8.7024532649334834</v>
      </c>
      <c r="S27" s="1149">
        <f t="shared" si="12"/>
        <v>-4.3324749957205384</v>
      </c>
      <c r="T27" s="1149">
        <f t="shared" si="12"/>
        <v>1.3927912114517447</v>
      </c>
      <c r="U27" s="1149">
        <f t="shared" si="12"/>
        <v>-0.57750686270823148</v>
      </c>
      <c r="V27" s="1149">
        <f t="shared" si="12"/>
        <v>0.19880658254458974</v>
      </c>
      <c r="W27" s="1149">
        <f t="shared" si="12"/>
        <v>0.20987162127595838</v>
      </c>
      <c r="X27" s="1149">
        <f t="shared" si="12"/>
        <v>0.15013465778005183</v>
      </c>
      <c r="Y27" s="1149">
        <f t="shared" si="12"/>
        <v>0.16121972483625646</v>
      </c>
      <c r="Z27" s="1149">
        <f t="shared" si="12"/>
        <v>0.15101512917419235</v>
      </c>
      <c r="AA27" s="1149">
        <f t="shared" si="12"/>
        <v>0.18270272014551822</v>
      </c>
      <c r="AB27" s="1149">
        <f t="shared" si="12"/>
        <v>0.12623484234064636</v>
      </c>
      <c r="AC27" s="1186"/>
      <c r="AD27" s="1149">
        <f t="shared" si="13"/>
        <v>0.25712555113222907</v>
      </c>
      <c r="AE27" s="1149">
        <f t="shared" si="14"/>
        <v>5.2420345575010997E-2</v>
      </c>
    </row>
    <row r="28" spans="1:31" x14ac:dyDescent="0.3">
      <c r="A28" s="397" t="s">
        <v>145</v>
      </c>
      <c r="B28" s="368">
        <f>'data entry '!B137</f>
        <v>0</v>
      </c>
      <c r="C28" s="368">
        <f>'data entry '!C137</f>
        <v>0</v>
      </c>
      <c r="D28" s="368">
        <f>'data entry '!D137</f>
        <v>0</v>
      </c>
      <c r="E28" s="368">
        <f>'data entry '!E137</f>
        <v>0</v>
      </c>
      <c r="F28" s="368">
        <f>'data entry '!F137</f>
        <v>0</v>
      </c>
      <c r="G28" s="368">
        <f>'data entry '!G137</f>
        <v>0</v>
      </c>
      <c r="H28" s="368">
        <f>'data entry '!H137</f>
        <v>0</v>
      </c>
      <c r="I28" s="368">
        <f>'data entry '!I137</f>
        <v>0</v>
      </c>
      <c r="J28" s="368">
        <f>'data entry '!J137</f>
        <v>0</v>
      </c>
      <c r="K28" s="368">
        <f>'data entry '!K137</f>
        <v>0</v>
      </c>
      <c r="L28" s="368">
        <f>'data entry '!L137</f>
        <v>0</v>
      </c>
      <c r="M28" s="368">
        <f>'data entry '!M137</f>
        <v>0</v>
      </c>
      <c r="N28" s="993">
        <f t="shared" si="11"/>
        <v>0</v>
      </c>
      <c r="O28" s="752"/>
      <c r="P28" s="1152">
        <f t="shared" si="12"/>
        <v>0</v>
      </c>
      <c r="Q28" s="1152">
        <f t="shared" si="12"/>
        <v>0</v>
      </c>
      <c r="R28" s="1152">
        <f t="shared" si="12"/>
        <v>0</v>
      </c>
      <c r="S28" s="1152">
        <f t="shared" si="12"/>
        <v>0</v>
      </c>
      <c r="T28" s="1152">
        <f t="shared" si="12"/>
        <v>0</v>
      </c>
      <c r="U28" s="1152">
        <f t="shared" si="12"/>
        <v>0</v>
      </c>
      <c r="V28" s="1152">
        <f t="shared" si="12"/>
        <v>0</v>
      </c>
      <c r="W28" s="1152">
        <f t="shared" si="12"/>
        <v>0</v>
      </c>
      <c r="X28" s="1152">
        <f t="shared" si="12"/>
        <v>0</v>
      </c>
      <c r="Y28" s="1152">
        <f t="shared" si="12"/>
        <v>0</v>
      </c>
      <c r="Z28" s="1152">
        <f t="shared" si="12"/>
        <v>0</v>
      </c>
      <c r="AA28" s="1152">
        <f t="shared" si="12"/>
        <v>0</v>
      </c>
      <c r="AB28" s="1152">
        <f t="shared" si="12"/>
        <v>0</v>
      </c>
      <c r="AC28" s="1186"/>
      <c r="AD28" s="1152">
        <f t="shared" si="13"/>
        <v>0</v>
      </c>
      <c r="AE28" s="1152">
        <f t="shared" si="14"/>
        <v>0</v>
      </c>
    </row>
    <row r="29" spans="1:31" x14ac:dyDescent="0.3">
      <c r="A29" s="274" t="s">
        <v>146</v>
      </c>
      <c r="B29" s="329">
        <f>SUM(B24:B28)</f>
        <v>-66.930370000000011</v>
      </c>
      <c r="C29" s="329">
        <f t="shared" ref="C29:N29" si="15">SUM(C24:C28)</f>
        <v>-36.672139999999992</v>
      </c>
      <c r="D29" s="329">
        <f t="shared" si="15"/>
        <v>178.80653999999998</v>
      </c>
      <c r="E29" s="329">
        <f t="shared" si="15"/>
        <v>-115.02679000000001</v>
      </c>
      <c r="F29" s="329">
        <f t="shared" si="15"/>
        <v>36.064399999999999</v>
      </c>
      <c r="G29" s="329">
        <f t="shared" si="15"/>
        <v>-85.800929999999994</v>
      </c>
      <c r="H29" s="329">
        <f t="shared" si="15"/>
        <v>-13.375827638247715</v>
      </c>
      <c r="I29" s="329">
        <f t="shared" si="15"/>
        <v>-12.965916914710096</v>
      </c>
      <c r="J29" s="329">
        <f t="shared" si="15"/>
        <v>-21.068079576537919</v>
      </c>
      <c r="K29" s="329">
        <f t="shared" si="15"/>
        <v>-18.668840723978658</v>
      </c>
      <c r="L29" s="329">
        <f t="shared" si="15"/>
        <v>-20.055082114093594</v>
      </c>
      <c r="M29" s="329">
        <f t="shared" si="15"/>
        <v>-14.846604554552597</v>
      </c>
      <c r="N29" s="329">
        <f t="shared" si="15"/>
        <v>-190.5396415221206</v>
      </c>
      <c r="O29" s="752"/>
      <c r="P29" s="1146">
        <f t="shared" si="12"/>
        <v>-1.4133152437865577</v>
      </c>
      <c r="Q29" s="1146">
        <f t="shared" si="12"/>
        <v>-0.86098983401028317</v>
      </c>
      <c r="R29" s="1146">
        <f t="shared" si="12"/>
        <v>7.7735214329188755</v>
      </c>
      <c r="S29" s="1146">
        <f t="shared" si="12"/>
        <v>-2.8128723742449808</v>
      </c>
      <c r="T29" s="1146">
        <f t="shared" si="12"/>
        <v>1.0914384287140999</v>
      </c>
      <c r="U29" s="1146">
        <f t="shared" si="12"/>
        <v>-1.6132239687135712</v>
      </c>
      <c r="V29" s="1146">
        <f t="shared" si="12"/>
        <v>-0.32230909971681243</v>
      </c>
      <c r="W29" s="1146">
        <f t="shared" si="12"/>
        <v>-0.33245940806948965</v>
      </c>
      <c r="X29" s="1146">
        <f t="shared" si="12"/>
        <v>-0.38953646254114671</v>
      </c>
      <c r="Y29" s="1146">
        <f t="shared" si="12"/>
        <v>-0.37714829745411427</v>
      </c>
      <c r="Z29" s="1146">
        <f t="shared" si="12"/>
        <v>-0.38614991747715638</v>
      </c>
      <c r="AA29" s="1146">
        <f t="shared" si="12"/>
        <v>-0.35189866211312154</v>
      </c>
      <c r="AB29" s="1146">
        <f t="shared" si="12"/>
        <v>-0.3676348756420128</v>
      </c>
      <c r="AC29" s="1188"/>
      <c r="AD29" s="1146">
        <f t="shared" si="13"/>
        <v>-2.011022644578583E-2</v>
      </c>
      <c r="AE29" s="1146">
        <f t="shared" si="14"/>
        <v>-0.56361790095299757</v>
      </c>
    </row>
    <row r="30" spans="1:31" x14ac:dyDescent="0.3">
      <c r="A30" s="51"/>
      <c r="B30" s="995"/>
      <c r="C30" s="995"/>
      <c r="D30" s="995"/>
      <c r="E30" s="995"/>
      <c r="F30" s="995"/>
      <c r="G30" s="995"/>
      <c r="H30" s="995"/>
      <c r="I30" s="995"/>
      <c r="J30" s="995"/>
      <c r="K30" s="995"/>
      <c r="L30" s="995"/>
      <c r="M30" s="995"/>
      <c r="N30" s="996"/>
      <c r="O30" s="752"/>
      <c r="P30" s="1153"/>
      <c r="Q30" s="1153"/>
      <c r="R30" s="1153"/>
      <c r="S30" s="1153"/>
      <c r="T30" s="1153"/>
      <c r="U30" s="1153"/>
      <c r="V30" s="1153"/>
      <c r="W30" s="1153"/>
      <c r="X30" s="1153"/>
      <c r="Y30" s="1153"/>
      <c r="Z30" s="1153"/>
      <c r="AA30" s="1153"/>
      <c r="AB30" s="1153"/>
      <c r="AC30" s="1186"/>
      <c r="AD30" s="1153"/>
      <c r="AE30" s="1153"/>
    </row>
    <row r="31" spans="1:31" x14ac:dyDescent="0.3">
      <c r="A31" s="2" t="s">
        <v>148</v>
      </c>
      <c r="B31" s="997">
        <f>'data entry '!B139</f>
        <v>88.890339999999995</v>
      </c>
      <c r="C31" s="997">
        <f>'data entry '!C139</f>
        <v>89.415120000000002</v>
      </c>
      <c r="D31" s="997">
        <f>'data entry '!D139</f>
        <v>89.415120000000002</v>
      </c>
      <c r="E31" s="997">
        <f>'data entry '!E139</f>
        <v>89.415120000000002</v>
      </c>
      <c r="F31" s="997">
        <f>'data entry '!F139</f>
        <v>89.415120000000002</v>
      </c>
      <c r="G31" s="997">
        <f>'data entry '!G139</f>
        <v>89.415120000000002</v>
      </c>
      <c r="H31" s="997">
        <f>'data entry '!H139</f>
        <v>90.697222368004915</v>
      </c>
      <c r="I31" s="997">
        <f>'data entry '!I139</f>
        <v>90.697222368004915</v>
      </c>
      <c r="J31" s="997">
        <f>'data entry '!J139</f>
        <v>90.697222368004915</v>
      </c>
      <c r="K31" s="997">
        <f>'data entry '!K139</f>
        <v>90.697222368004915</v>
      </c>
      <c r="L31" s="997">
        <f>'data entry '!L139</f>
        <v>90.697222368004915</v>
      </c>
      <c r="M31" s="997">
        <f>'data entry '!M139</f>
        <v>90.697222368004915</v>
      </c>
      <c r="N31" s="993">
        <f t="shared" ref="N31:N32" si="16">SUM(B31:M31)</f>
        <v>1080.1492742080293</v>
      </c>
      <c r="O31" s="752"/>
      <c r="P31" s="1154">
        <f t="shared" ref="P31:AB33" si="17">B31*1000/B$2</f>
        <v>1.87702641636928</v>
      </c>
      <c r="Q31" s="1154">
        <f t="shared" si="17"/>
        <v>2.0992914328645549</v>
      </c>
      <c r="R31" s="1154">
        <f t="shared" si="17"/>
        <v>3.8872758890531256</v>
      </c>
      <c r="S31" s="1154">
        <f t="shared" si="17"/>
        <v>2.1865629814393661</v>
      </c>
      <c r="T31" s="1154">
        <f t="shared" si="17"/>
        <v>2.7060230608600913</v>
      </c>
      <c r="U31" s="1154">
        <f t="shared" si="17"/>
        <v>1.6811777535441657</v>
      </c>
      <c r="V31" s="1154">
        <f t="shared" si="17"/>
        <v>2.1854752377832511</v>
      </c>
      <c r="W31" s="1154">
        <f t="shared" si="17"/>
        <v>2.3255698043078183</v>
      </c>
      <c r="X31" s="1154">
        <f t="shared" si="17"/>
        <v>1.6769385664787819</v>
      </c>
      <c r="Y31" s="1154">
        <f t="shared" si="17"/>
        <v>1.8322671185455539</v>
      </c>
      <c r="Z31" s="1154">
        <f t="shared" si="17"/>
        <v>1.7463266783734774</v>
      </c>
      <c r="AA31" s="1154">
        <f t="shared" si="17"/>
        <v>2.1497326941930535</v>
      </c>
      <c r="AB31" s="1154">
        <f t="shared" si="17"/>
        <v>2.0840836107701928</v>
      </c>
      <c r="AC31" s="1186"/>
      <c r="AD31" s="1154">
        <f t="shared" ref="AD31:AD33" si="18">SUMPRODUCT(P$2:T$2,P31:T31)/SUM($P$2:$T$2)</f>
        <v>2.3894033859851889</v>
      </c>
      <c r="AE31" s="1154">
        <f t="shared" ref="AE31:AE33" si="19">SUMPRODUCT(U31:AA31,U$2:AA$2)/SUM(U$2:AA$2)</f>
        <v>1.9119015990127537</v>
      </c>
    </row>
    <row r="32" spans="1:31" x14ac:dyDescent="0.3">
      <c r="A32" s="363" t="s">
        <v>149</v>
      </c>
      <c r="B32" s="998">
        <f>'data entry '!B140</f>
        <v>119.01565000000006</v>
      </c>
      <c r="C32" s="998">
        <f>'data entry '!C140</f>
        <v>64.739339999999999</v>
      </c>
      <c r="D32" s="998">
        <f>'data entry '!D140</f>
        <v>75.012450000000001</v>
      </c>
      <c r="E32" s="998">
        <f>'data entry '!E140</f>
        <v>68.807230000000004</v>
      </c>
      <c r="F32" s="998">
        <f>'data entry '!F140</f>
        <v>168.17930000000007</v>
      </c>
      <c r="G32" s="998">
        <f>'data entry '!G140</f>
        <v>43.157319999999999</v>
      </c>
      <c r="H32" s="998">
        <f>'data entry '!H140</f>
        <v>86.05488834787856</v>
      </c>
      <c r="I32" s="998">
        <f>'data entry '!I140</f>
        <v>85.430293212680013</v>
      </c>
      <c r="J32" s="998">
        <f>'data entry '!J140</f>
        <v>92.02293856103789</v>
      </c>
      <c r="K32" s="998">
        <f>'data entry '!K140</f>
        <v>85.583037111793359</v>
      </c>
      <c r="L32" s="998">
        <f>'data entry '!L140</f>
        <v>85.08561337132879</v>
      </c>
      <c r="M32" s="998">
        <f>'data entry '!M140</f>
        <v>72.960430209187464</v>
      </c>
      <c r="N32" s="993">
        <f t="shared" si="16"/>
        <v>1046.0484908139063</v>
      </c>
      <c r="O32" s="752"/>
      <c r="P32" s="1155">
        <f t="shared" si="17"/>
        <v>2.5131585615642895</v>
      </c>
      <c r="Q32" s="1155">
        <f t="shared" si="17"/>
        <v>1.51995257436668</v>
      </c>
      <c r="R32" s="1155">
        <f t="shared" si="17"/>
        <v>3.2611272932788453</v>
      </c>
      <c r="S32" s="1155">
        <f t="shared" si="17"/>
        <v>1.6826163402049252</v>
      </c>
      <c r="T32" s="1155">
        <f t="shared" si="17"/>
        <v>5.0897103773870436</v>
      </c>
      <c r="U32" s="1155">
        <f t="shared" si="17"/>
        <v>0.81144135674801643</v>
      </c>
      <c r="V32" s="1155">
        <f t="shared" si="17"/>
        <v>2.0736117674187606</v>
      </c>
      <c r="W32" s="1155">
        <f t="shared" si="17"/>
        <v>2.190520338786667</v>
      </c>
      <c r="X32" s="1155">
        <f t="shared" si="17"/>
        <v>1.7014502830921308</v>
      </c>
      <c r="Y32" s="1155">
        <f t="shared" si="17"/>
        <v>1.7289502446826941</v>
      </c>
      <c r="Z32" s="1155">
        <f t="shared" si="17"/>
        <v>1.638278137926078</v>
      </c>
      <c r="AA32" s="1155">
        <f t="shared" si="17"/>
        <v>1.7293299409620164</v>
      </c>
      <c r="AB32" s="1155">
        <f t="shared" si="17"/>
        <v>2.0182881827834227</v>
      </c>
      <c r="AC32" s="1186"/>
      <c r="AD32" s="1155">
        <f t="shared" si="18"/>
        <v>2.6526795192842778</v>
      </c>
      <c r="AE32" s="1155">
        <f t="shared" si="19"/>
        <v>1.6605295787647627</v>
      </c>
    </row>
    <row r="33" spans="1:31" x14ac:dyDescent="0.3">
      <c r="A33" s="274" t="s">
        <v>150</v>
      </c>
      <c r="B33" s="329">
        <f>SUM(B31:B32)</f>
        <v>207.90599000000006</v>
      </c>
      <c r="C33" s="329">
        <f t="shared" ref="C33:N33" si="20">SUM(C31:C32)</f>
        <v>154.15446</v>
      </c>
      <c r="D33" s="329">
        <f t="shared" si="20"/>
        <v>164.42757</v>
      </c>
      <c r="E33" s="329">
        <f t="shared" si="20"/>
        <v>158.22235000000001</v>
      </c>
      <c r="F33" s="329">
        <f t="shared" si="20"/>
        <v>257.59442000000007</v>
      </c>
      <c r="G33" s="329">
        <f t="shared" si="20"/>
        <v>132.57244</v>
      </c>
      <c r="H33" s="329">
        <f t="shared" si="20"/>
        <v>176.75211071588348</v>
      </c>
      <c r="I33" s="329">
        <f t="shared" si="20"/>
        <v>176.12751558068493</v>
      </c>
      <c r="J33" s="329">
        <f t="shared" si="20"/>
        <v>182.72016092904281</v>
      </c>
      <c r="K33" s="329">
        <f t="shared" si="20"/>
        <v>176.28025947979827</v>
      </c>
      <c r="L33" s="329">
        <f t="shared" si="20"/>
        <v>175.78283573933371</v>
      </c>
      <c r="M33" s="329">
        <f t="shared" si="20"/>
        <v>163.65765257719238</v>
      </c>
      <c r="N33" s="329">
        <f t="shared" si="20"/>
        <v>2126.1977650219355</v>
      </c>
      <c r="O33" s="752"/>
      <c r="P33" s="1146">
        <f t="shared" si="17"/>
        <v>4.3901849779335693</v>
      </c>
      <c r="Q33" s="1146">
        <f t="shared" si="17"/>
        <v>3.6192440072312348</v>
      </c>
      <c r="R33" s="1146">
        <f t="shared" si="17"/>
        <v>7.1484031823319718</v>
      </c>
      <c r="S33" s="1146">
        <f t="shared" si="17"/>
        <v>3.8691793216442911</v>
      </c>
      <c r="T33" s="1146">
        <f t="shared" si="17"/>
        <v>7.7957334382471348</v>
      </c>
      <c r="U33" s="1146">
        <f t="shared" si="17"/>
        <v>2.4926191102921824</v>
      </c>
      <c r="V33" s="1146">
        <f t="shared" si="17"/>
        <v>4.2590870052020113</v>
      </c>
      <c r="W33" s="1146">
        <f t="shared" si="17"/>
        <v>4.5160901430944858</v>
      </c>
      <c r="X33" s="1146">
        <f t="shared" si="17"/>
        <v>3.3783888495709129</v>
      </c>
      <c r="Y33" s="1146">
        <f t="shared" si="17"/>
        <v>3.5612173632282484</v>
      </c>
      <c r="Z33" s="1146">
        <f t="shared" si="17"/>
        <v>3.3846048162995555</v>
      </c>
      <c r="AA33" s="1146">
        <f t="shared" si="17"/>
        <v>3.8790626351550692</v>
      </c>
      <c r="AB33" s="1146">
        <f t="shared" si="17"/>
        <v>4.1023717935536155</v>
      </c>
      <c r="AC33" s="165"/>
      <c r="AD33" s="1146">
        <f t="shared" si="18"/>
        <v>5.0420829052694662</v>
      </c>
      <c r="AE33" s="1146">
        <f t="shared" si="19"/>
        <v>3.5724311777775162</v>
      </c>
    </row>
    <row r="34" spans="1:31" x14ac:dyDescent="0.3">
      <c r="A34" s="51"/>
      <c r="B34" s="995"/>
      <c r="C34" s="995"/>
      <c r="D34" s="995"/>
      <c r="E34" s="995"/>
      <c r="F34" s="995"/>
      <c r="G34" s="995"/>
      <c r="H34" s="995"/>
      <c r="I34" s="995"/>
      <c r="J34" s="995"/>
      <c r="K34" s="995"/>
      <c r="L34" s="995"/>
      <c r="M34" s="995"/>
      <c r="N34" s="996"/>
      <c r="O34" s="752"/>
      <c r="P34" s="1153"/>
      <c r="Q34" s="1153"/>
      <c r="R34" s="1153"/>
      <c r="S34" s="1153"/>
      <c r="T34" s="1153"/>
      <c r="U34" s="1153"/>
      <c r="V34" s="1153"/>
      <c r="W34" s="1153"/>
      <c r="X34" s="1153"/>
      <c r="Y34" s="1153"/>
      <c r="Z34" s="1153"/>
      <c r="AA34" s="1153"/>
      <c r="AB34" s="1153"/>
      <c r="AC34" s="165"/>
      <c r="AD34" s="1153"/>
      <c r="AE34" s="1153"/>
    </row>
    <row r="35" spans="1:31" x14ac:dyDescent="0.3">
      <c r="A35" s="274" t="s">
        <v>1022</v>
      </c>
      <c r="B35" s="329">
        <f>B22+B29+B33</f>
        <v>1779.7048000000002</v>
      </c>
      <c r="C35" s="329">
        <f t="shared" ref="C35:N35" si="21">C22+C29+C33</f>
        <v>1751.2062900000001</v>
      </c>
      <c r="D35" s="329">
        <f t="shared" si="21"/>
        <v>1712.87913</v>
      </c>
      <c r="E35" s="329">
        <f t="shared" si="21"/>
        <v>901.66915000000006</v>
      </c>
      <c r="F35" s="329">
        <f t="shared" si="21"/>
        <v>1826.7042200000001</v>
      </c>
      <c r="G35" s="329">
        <f t="shared" si="21"/>
        <v>1439.1042899999998</v>
      </c>
      <c r="H35" s="329">
        <f t="shared" si="21"/>
        <v>1632.8268685047635</v>
      </c>
      <c r="I35" s="329">
        <f t="shared" si="21"/>
        <v>1613.6759749348716</v>
      </c>
      <c r="J35" s="329">
        <f t="shared" si="21"/>
        <v>1728.784424986404</v>
      </c>
      <c r="K35" s="329">
        <f t="shared" si="21"/>
        <v>1800.8913754648129</v>
      </c>
      <c r="L35" s="329">
        <f t="shared" si="21"/>
        <v>1708.2919903712955</v>
      </c>
      <c r="M35" s="329">
        <f t="shared" si="21"/>
        <v>1768.2664577854016</v>
      </c>
      <c r="N35" s="329">
        <f t="shared" si="21"/>
        <v>19664.004972047547</v>
      </c>
      <c r="O35" s="752"/>
      <c r="P35" s="1146">
        <f>B35*1000/B$2</f>
        <v>37.580606879658767</v>
      </c>
      <c r="Q35" s="1146">
        <f t="shared" ref="Q35:AA35" si="22">C35*1000/C$2</f>
        <v>41.114884840231966</v>
      </c>
      <c r="R35" s="1146">
        <f t="shared" si="22"/>
        <v>74.466530301712893</v>
      </c>
      <c r="S35" s="1146">
        <f t="shared" si="22"/>
        <v>22.049474237644585</v>
      </c>
      <c r="T35" s="1146">
        <f t="shared" si="22"/>
        <v>55.282638380292347</v>
      </c>
      <c r="U35" s="1146">
        <f t="shared" si="22"/>
        <v>27.057953032752977</v>
      </c>
      <c r="V35" s="1146">
        <f t="shared" si="22"/>
        <v>39.345225747102738</v>
      </c>
      <c r="W35" s="1146">
        <f t="shared" si="22"/>
        <v>41.376307049612087</v>
      </c>
      <c r="X35" s="1146">
        <f t="shared" si="22"/>
        <v>31.964212350677712</v>
      </c>
      <c r="Y35" s="1146">
        <f t="shared" si="22"/>
        <v>36.381643948784095</v>
      </c>
      <c r="Z35" s="1146">
        <f t="shared" si="22"/>
        <v>32.892251817068995</v>
      </c>
      <c r="AA35" s="1146">
        <f t="shared" si="22"/>
        <v>41.911980511623646</v>
      </c>
      <c r="AB35" s="1146">
        <f>N35*1000/N$2</f>
        <v>37.940524946790951</v>
      </c>
      <c r="AC35" s="165"/>
      <c r="AD35" s="1146">
        <f>SUMPRODUCT(P$2:T$2,P35:T35)/SUM($P$2:$T$2)</f>
        <v>42.65743969650272</v>
      </c>
      <c r="AE35" s="1146">
        <f>SUMPRODUCT(U35:AA35,U$2:AA$2)/SUM(U$2:AA$2)</f>
        <v>35.280468387002749</v>
      </c>
    </row>
    <row r="36" spans="1:31" x14ac:dyDescent="0.3">
      <c r="O36" s="615"/>
      <c r="P36" s="615"/>
    </row>
  </sheetData>
  <mergeCells count="3">
    <mergeCell ref="A1:E1"/>
    <mergeCell ref="O1:P1"/>
    <mergeCell ref="O3:P3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6F5B2-C47A-4345-AD58-71DAB8A147DF}">
  <sheetPr codeName="Sheet34">
    <tabColor rgb="FF99CCFF"/>
  </sheetPr>
  <dimension ref="A1:Q91"/>
  <sheetViews>
    <sheetView workbookViewId="0">
      <selection activeCell="D4" sqref="D4"/>
    </sheetView>
  </sheetViews>
  <sheetFormatPr defaultRowHeight="10.199999999999999" x14ac:dyDescent="0.2"/>
  <cols>
    <col min="1" max="1" width="6.5546875" style="789" customWidth="1"/>
    <col min="2" max="3" width="18.88671875" style="789" bestFit="1" customWidth="1"/>
    <col min="4" max="4" width="10.44140625" style="789" bestFit="1" customWidth="1"/>
    <col min="5" max="5" width="10.5546875" style="789" bestFit="1" customWidth="1"/>
    <col min="6" max="6" width="13.88671875" style="789" bestFit="1" customWidth="1"/>
    <col min="7" max="7" width="10.5546875" style="789" bestFit="1" customWidth="1"/>
    <col min="8" max="8" width="10.109375" style="789" bestFit="1" customWidth="1"/>
    <col min="9" max="14" width="10.5546875" style="789" bestFit="1" customWidth="1"/>
    <col min="15" max="15" width="11.33203125" style="789" bestFit="1" customWidth="1"/>
    <col min="16" max="16" width="7.5546875" style="789" bestFit="1" customWidth="1"/>
    <col min="17" max="17" width="4.33203125" style="789" bestFit="1" customWidth="1"/>
    <col min="18" max="18" width="6.77734375" style="789" bestFit="1" customWidth="1"/>
    <col min="19" max="16384" width="8.88671875" style="789"/>
  </cols>
  <sheetData>
    <row r="1" spans="2:15" ht="10.8" thickBot="1" x14ac:dyDescent="0.25">
      <c r="O1" s="790"/>
    </row>
    <row r="2" spans="2:15" ht="11.4" thickBot="1" x14ac:dyDescent="0.3">
      <c r="B2" s="791" t="s">
        <v>650</v>
      </c>
      <c r="C2" s="792">
        <f>VOLUME!F7</f>
        <v>40893</v>
      </c>
      <c r="D2" s="793"/>
      <c r="E2" s="793"/>
      <c r="F2" s="793"/>
      <c r="G2" s="793"/>
      <c r="H2" s="793"/>
      <c r="I2" s="793"/>
      <c r="J2" s="793"/>
      <c r="K2" s="793"/>
      <c r="L2" s="793"/>
      <c r="M2" s="793"/>
      <c r="N2" s="793"/>
    </row>
    <row r="3" spans="2:15" ht="21" customHeight="1" thickBot="1" x14ac:dyDescent="0.3">
      <c r="B3" s="794" t="s">
        <v>651</v>
      </c>
      <c r="C3" s="795" t="s">
        <v>378</v>
      </c>
      <c r="D3" s="796" t="s">
        <v>652</v>
      </c>
      <c r="E3" s="796" t="s">
        <v>653</v>
      </c>
      <c r="F3" s="797" t="s">
        <v>654</v>
      </c>
      <c r="G3" s="796" t="s">
        <v>384</v>
      </c>
      <c r="H3" s="798"/>
      <c r="I3" s="796" t="s">
        <v>379</v>
      </c>
      <c r="J3" s="796" t="s">
        <v>380</v>
      </c>
      <c r="K3" s="799"/>
      <c r="L3" s="800" t="s">
        <v>385</v>
      </c>
      <c r="M3" s="800" t="s">
        <v>386</v>
      </c>
      <c r="N3" s="800" t="s">
        <v>655</v>
      </c>
    </row>
    <row r="4" spans="2:15" ht="11.4" thickBot="1" x14ac:dyDescent="0.3">
      <c r="B4" s="801">
        <v>40007037</v>
      </c>
      <c r="C4" s="802" t="s">
        <v>388</v>
      </c>
      <c r="D4" s="803">
        <v>880</v>
      </c>
      <c r="E4" s="804">
        <f>+IFERROR(F4/D4,0)</f>
        <v>15</v>
      </c>
      <c r="F4" s="804">
        <v>13200</v>
      </c>
      <c r="G4" s="805">
        <f>+D4/$C$2</f>
        <v>2.151957547746558E-2</v>
      </c>
      <c r="H4" s="935">
        <f>(I4*$C$2)-D4</f>
        <v>346.78999999999996</v>
      </c>
      <c r="I4" s="806">
        <v>0.03</v>
      </c>
      <c r="J4" s="807">
        <v>5.2</v>
      </c>
      <c r="K4" s="934">
        <f>H4-D4</f>
        <v>-533.21</v>
      </c>
      <c r="L4" s="808">
        <f>+D4*(E4-J4)</f>
        <v>8624</v>
      </c>
      <c r="M4" s="809">
        <f>+(D4-(I4*$C$2))*J4</f>
        <v>-1803.3079999999998</v>
      </c>
      <c r="N4" s="802"/>
    </row>
    <row r="5" spans="2:15" ht="11.4" thickBot="1" x14ac:dyDescent="0.3">
      <c r="B5" s="810">
        <v>40007340</v>
      </c>
      <c r="C5" s="811" t="s">
        <v>390</v>
      </c>
      <c r="D5" s="803">
        <v>25740</v>
      </c>
      <c r="E5" s="813">
        <f t="shared" ref="E5:E14" si="0">+IFERROR(F5/D5,0)</f>
        <v>3.5</v>
      </c>
      <c r="F5" s="814">
        <v>90090</v>
      </c>
      <c r="G5" s="815">
        <f t="shared" ref="G5" si="1">+D5/$C$2</f>
        <v>0.6294475827158682</v>
      </c>
      <c r="H5" s="935">
        <f t="shared" ref="H5:H14" si="2">(I5*$C$2)-D5</f>
        <v>2885.0999999999985</v>
      </c>
      <c r="I5" s="816">
        <v>0.7</v>
      </c>
      <c r="J5" s="817">
        <v>1</v>
      </c>
      <c r="K5" s="934">
        <f t="shared" ref="K5:K14" si="3">H5-D5</f>
        <v>-22854.9</v>
      </c>
      <c r="L5" s="818">
        <f t="shared" ref="L5:L14" si="4">+D5*(E5-J5)</f>
        <v>64350</v>
      </c>
      <c r="M5" s="819">
        <f t="shared" ref="M5:M14" si="5">+(D5-(I5*$C$2))*J5</f>
        <v>-2885.0999999999985</v>
      </c>
      <c r="N5" s="811"/>
    </row>
    <row r="6" spans="2:15" ht="11.4" thickBot="1" x14ac:dyDescent="0.3">
      <c r="B6" s="810">
        <v>40007341</v>
      </c>
      <c r="C6" s="811" t="s">
        <v>392</v>
      </c>
      <c r="D6" s="803">
        <v>24540</v>
      </c>
      <c r="E6" s="813">
        <f t="shared" si="0"/>
        <v>5</v>
      </c>
      <c r="F6" s="814">
        <v>122700</v>
      </c>
      <c r="G6" s="815">
        <f t="shared" ref="G6:G14" si="6">+D6/$C$2</f>
        <v>0.60010270706477886</v>
      </c>
      <c r="H6" s="935">
        <f t="shared" si="2"/>
        <v>2040.4500000000007</v>
      </c>
      <c r="I6" s="816">
        <v>0.65</v>
      </c>
      <c r="J6" s="817">
        <v>1.5</v>
      </c>
      <c r="K6" s="934">
        <f t="shared" si="3"/>
        <v>-22499.55</v>
      </c>
      <c r="L6" s="818">
        <f t="shared" si="4"/>
        <v>85890</v>
      </c>
      <c r="M6" s="819">
        <f t="shared" si="5"/>
        <v>-3060.6750000000011</v>
      </c>
      <c r="N6" s="811"/>
    </row>
    <row r="7" spans="2:15" ht="11.4" thickBot="1" x14ac:dyDescent="0.3">
      <c r="B7" s="810">
        <v>41047780</v>
      </c>
      <c r="C7" s="811" t="s">
        <v>394</v>
      </c>
      <c r="D7" s="803">
        <v>36800</v>
      </c>
      <c r="E7" s="820">
        <f t="shared" si="0"/>
        <v>46.539809782608693</v>
      </c>
      <c r="F7" s="814">
        <v>1712665</v>
      </c>
      <c r="G7" s="815">
        <f t="shared" si="6"/>
        <v>0.89990951996674251</v>
      </c>
      <c r="H7" s="935">
        <f t="shared" si="2"/>
        <v>-4085.5999999999985</v>
      </c>
      <c r="I7" s="816">
        <v>0.8</v>
      </c>
      <c r="J7" s="817">
        <v>33.4818</v>
      </c>
      <c r="K7" s="934">
        <f t="shared" si="3"/>
        <v>-40885.599999999999</v>
      </c>
      <c r="L7" s="818">
        <f t="shared" si="4"/>
        <v>480534.75999999989</v>
      </c>
      <c r="M7" s="819">
        <f t="shared" si="5"/>
        <v>136793.24207999994</v>
      </c>
      <c r="N7" s="811"/>
    </row>
    <row r="8" spans="2:15" ht="11.4" thickBot="1" x14ac:dyDescent="0.3">
      <c r="B8" s="810">
        <v>41047943</v>
      </c>
      <c r="C8" s="811" t="s">
        <v>396</v>
      </c>
      <c r="D8" s="803">
        <v>500</v>
      </c>
      <c r="E8" s="812">
        <f t="shared" si="0"/>
        <v>20</v>
      </c>
      <c r="F8" s="814">
        <v>10000</v>
      </c>
      <c r="G8" s="815">
        <f t="shared" si="6"/>
        <v>1.2227031521287263E-2</v>
      </c>
      <c r="H8" s="935">
        <f t="shared" si="2"/>
        <v>-500</v>
      </c>
      <c r="I8" s="816"/>
      <c r="J8" s="817"/>
      <c r="K8" s="934">
        <f t="shared" si="3"/>
        <v>-1000</v>
      </c>
      <c r="L8" s="818">
        <f t="shared" si="4"/>
        <v>10000</v>
      </c>
      <c r="M8" s="819">
        <f t="shared" si="5"/>
        <v>0</v>
      </c>
      <c r="N8" s="811"/>
    </row>
    <row r="9" spans="2:15" ht="11.4" thickBot="1" x14ac:dyDescent="0.3">
      <c r="B9" s="810">
        <v>40008331</v>
      </c>
      <c r="C9" s="811" t="s">
        <v>398</v>
      </c>
      <c r="D9" s="803">
        <v>4440</v>
      </c>
      <c r="E9" s="813">
        <f t="shared" si="0"/>
        <v>20</v>
      </c>
      <c r="F9" s="814">
        <v>88800</v>
      </c>
      <c r="G9" s="815">
        <f t="shared" si="6"/>
        <v>0.10857603990903089</v>
      </c>
      <c r="H9" s="935">
        <f t="shared" si="2"/>
        <v>876.09000000000015</v>
      </c>
      <c r="I9" s="816">
        <v>0.13</v>
      </c>
      <c r="J9" s="817">
        <v>2.5</v>
      </c>
      <c r="K9" s="934">
        <f t="shared" si="3"/>
        <v>-3563.91</v>
      </c>
      <c r="L9" s="818">
        <f t="shared" si="4"/>
        <v>77700</v>
      </c>
      <c r="M9" s="819">
        <f t="shared" si="5"/>
        <v>-2190.2250000000004</v>
      </c>
      <c r="N9" s="811"/>
    </row>
    <row r="10" spans="2:15" ht="11.4" thickBot="1" x14ac:dyDescent="0.3">
      <c r="B10" s="810">
        <v>41047781</v>
      </c>
      <c r="C10" s="811" t="s">
        <v>400</v>
      </c>
      <c r="D10" s="803">
        <v>14420</v>
      </c>
      <c r="E10" s="821">
        <f t="shared" si="0"/>
        <v>23.540846047156727</v>
      </c>
      <c r="F10" s="814">
        <v>339459</v>
      </c>
      <c r="G10" s="815">
        <f t="shared" si="6"/>
        <v>0.35262758907392461</v>
      </c>
      <c r="H10" s="935">
        <f t="shared" si="2"/>
        <v>1937.2000000000007</v>
      </c>
      <c r="I10" s="816">
        <v>0.4</v>
      </c>
      <c r="J10" s="817">
        <v>13.494179999999998</v>
      </c>
      <c r="K10" s="934">
        <f t="shared" si="3"/>
        <v>-12482.8</v>
      </c>
      <c r="L10" s="818">
        <f t="shared" si="4"/>
        <v>144872.92440000002</v>
      </c>
      <c r="M10" s="819">
        <f t="shared" si="5"/>
        <v>-26140.925496000007</v>
      </c>
      <c r="N10" s="811"/>
    </row>
    <row r="11" spans="2:15" ht="11.4" thickBot="1" x14ac:dyDescent="0.3">
      <c r="B11" s="810">
        <v>41053620</v>
      </c>
      <c r="C11" s="811" t="s">
        <v>402</v>
      </c>
      <c r="D11" s="803">
        <v>9860</v>
      </c>
      <c r="E11" s="814">
        <f t="shared" si="0"/>
        <v>3</v>
      </c>
      <c r="F11" s="814">
        <v>29580</v>
      </c>
      <c r="G11" s="815">
        <f t="shared" si="6"/>
        <v>0.2411170615997848</v>
      </c>
      <c r="H11" s="935">
        <f t="shared" si="2"/>
        <v>-3726.05</v>
      </c>
      <c r="I11" s="816">
        <v>0.15</v>
      </c>
      <c r="J11" s="817">
        <v>0.05</v>
      </c>
      <c r="K11" s="934">
        <f t="shared" si="3"/>
        <v>-13586.05</v>
      </c>
      <c r="L11" s="818">
        <f t="shared" si="4"/>
        <v>29087</v>
      </c>
      <c r="M11" s="819">
        <f t="shared" si="5"/>
        <v>186.30250000000001</v>
      </c>
      <c r="N11" s="811"/>
    </row>
    <row r="12" spans="2:15" ht="11.4" thickBot="1" x14ac:dyDescent="0.3">
      <c r="B12" s="822">
        <v>41053180</v>
      </c>
      <c r="C12" s="823" t="s">
        <v>404</v>
      </c>
      <c r="D12" s="803">
        <v>21780</v>
      </c>
      <c r="E12" s="825">
        <f t="shared" ref="E12:E13" si="7">+IFERROR(F12/D12,0)</f>
        <v>16.575289256198346</v>
      </c>
      <c r="F12" s="826">
        <v>361009.8</v>
      </c>
      <c r="G12" s="827">
        <f t="shared" si="6"/>
        <v>0.53260949306727312</v>
      </c>
      <c r="H12" s="935">
        <f t="shared" si="2"/>
        <v>-9512.1</v>
      </c>
      <c r="I12" s="824">
        <v>0.3</v>
      </c>
      <c r="J12" s="828">
        <v>12.78396</v>
      </c>
      <c r="K12" s="934">
        <f t="shared" si="3"/>
        <v>-31292.1</v>
      </c>
      <c r="L12" s="818">
        <f t="shared" ref="L12:L13" si="8">+D12*(E12-J12)</f>
        <v>82575.151199999964</v>
      </c>
      <c r="M12" s="819">
        <f t="shared" ref="M12:M13" si="9">+(D12-(I12*$C$2))*J12</f>
        <v>121602.30591600001</v>
      </c>
      <c r="N12" s="811"/>
    </row>
    <row r="13" spans="2:15" ht="11.4" thickBot="1" x14ac:dyDescent="0.3">
      <c r="B13" s="822">
        <v>0</v>
      </c>
      <c r="C13" s="823" t="s">
        <v>667</v>
      </c>
      <c r="D13" s="803">
        <v>460</v>
      </c>
      <c r="E13" s="825">
        <f t="shared" si="7"/>
        <v>50</v>
      </c>
      <c r="F13" s="826">
        <v>23000</v>
      </c>
      <c r="G13" s="827">
        <f t="shared" si="6"/>
        <v>1.124886899958428E-2</v>
      </c>
      <c r="H13" s="935">
        <f t="shared" si="2"/>
        <v>766.79</v>
      </c>
      <c r="I13" s="824">
        <v>0.03</v>
      </c>
      <c r="J13" s="828">
        <v>50</v>
      </c>
      <c r="K13" s="934">
        <f t="shared" si="3"/>
        <v>306.78999999999996</v>
      </c>
      <c r="L13" s="818">
        <f t="shared" si="8"/>
        <v>0</v>
      </c>
      <c r="M13" s="819">
        <f t="shared" si="9"/>
        <v>-38339.5</v>
      </c>
      <c r="N13" s="811"/>
    </row>
    <row r="14" spans="2:15" ht="11.4" thickBot="1" x14ac:dyDescent="0.3">
      <c r="B14" s="822">
        <v>0</v>
      </c>
      <c r="C14" s="823" t="s">
        <v>668</v>
      </c>
      <c r="D14" s="803">
        <v>2360</v>
      </c>
      <c r="E14" s="825">
        <f t="shared" si="0"/>
        <v>13.25</v>
      </c>
      <c r="F14" s="826">
        <v>31270</v>
      </c>
      <c r="G14" s="827">
        <f t="shared" si="6"/>
        <v>5.771158878047588E-2</v>
      </c>
      <c r="H14" s="935">
        <f t="shared" si="2"/>
        <v>3773.95</v>
      </c>
      <c r="I14" s="824">
        <v>0.15</v>
      </c>
      <c r="J14" s="828">
        <v>12.78396</v>
      </c>
      <c r="K14" s="934">
        <f t="shared" si="3"/>
        <v>1413.9499999999998</v>
      </c>
      <c r="L14" s="818">
        <f t="shared" si="4"/>
        <v>1099.854399999999</v>
      </c>
      <c r="M14" s="819">
        <f t="shared" si="5"/>
        <v>-48246.025842000003</v>
      </c>
      <c r="N14" s="811"/>
    </row>
    <row r="15" spans="2:15" ht="11.4" thickBot="1" x14ac:dyDescent="0.3">
      <c r="B15" s="829" t="s">
        <v>656</v>
      </c>
      <c r="C15" s="830"/>
      <c r="D15" s="831">
        <f>+SUM(D4:D14)</f>
        <v>141780</v>
      </c>
      <c r="E15" s="832"/>
      <c r="F15" s="833">
        <f>+SUM(F4:F14)</f>
        <v>2821773.8</v>
      </c>
      <c r="G15" s="834"/>
      <c r="H15" s="793"/>
      <c r="I15" s="793"/>
      <c r="J15" s="793"/>
      <c r="K15" s="793"/>
      <c r="L15" s="822"/>
      <c r="M15" s="835"/>
      <c r="N15" s="836"/>
    </row>
    <row r="16" spans="2:15" ht="11.4" thickBot="1" x14ac:dyDescent="0.3">
      <c r="B16" s="829" t="s">
        <v>61</v>
      </c>
      <c r="C16" s="830"/>
      <c r="D16" s="837"/>
      <c r="E16" s="837"/>
      <c r="F16" s="838">
        <f>-'data entry '!E101*57000</f>
        <v>2786631.5400000005</v>
      </c>
      <c r="G16" s="834"/>
      <c r="H16" s="793"/>
      <c r="I16" s="793"/>
      <c r="J16" s="834"/>
      <c r="K16" s="793"/>
      <c r="L16" s="793"/>
      <c r="M16" s="793"/>
      <c r="N16" s="793"/>
    </row>
    <row r="17" spans="1:15" ht="11.4" thickBot="1" x14ac:dyDescent="0.3">
      <c r="B17" s="839" t="s">
        <v>410</v>
      </c>
      <c r="C17" s="840"/>
      <c r="D17" s="841"/>
      <c r="E17" s="841"/>
      <c r="F17" s="842">
        <f>+F15-F16</f>
        <v>35142.259999999311</v>
      </c>
      <c r="G17" s="793"/>
      <c r="H17" s="793"/>
      <c r="I17" s="793"/>
      <c r="J17" s="843"/>
      <c r="K17" s="793"/>
      <c r="L17" s="844">
        <f>+SUM(L4:L15)</f>
        <v>984733.68999999983</v>
      </c>
      <c r="M17" s="845">
        <f t="shared" ref="M17:N17" si="10">+SUM(M4:M15)</f>
        <v>135916.09115799994</v>
      </c>
      <c r="N17" s="846">
        <f t="shared" si="10"/>
        <v>0</v>
      </c>
    </row>
    <row r="18" spans="1:15" x14ac:dyDescent="0.2">
      <c r="D18" s="847"/>
      <c r="H18" s="847"/>
      <c r="I18" s="790"/>
      <c r="L18" s="882">
        <f>L17/57</f>
        <v>17276.029649122804</v>
      </c>
    </row>
    <row r="19" spans="1:15" ht="10.8" thickBot="1" x14ac:dyDescent="0.25">
      <c r="D19" s="865">
        <v>141780</v>
      </c>
    </row>
    <row r="20" spans="1:15" ht="10.8" x14ac:dyDescent="0.25">
      <c r="B20" s="802" t="s">
        <v>388</v>
      </c>
      <c r="D20" s="881">
        <f>D19-D15</f>
        <v>0</v>
      </c>
      <c r="F20" s="789">
        <v>4.5</v>
      </c>
      <c r="G20" s="789">
        <v>4.5</v>
      </c>
      <c r="H20" s="789">
        <v>4.5</v>
      </c>
      <c r="I20" s="789">
        <v>4.5</v>
      </c>
      <c r="J20" s="789">
        <v>4.5</v>
      </c>
      <c r="K20" s="789">
        <v>4.5</v>
      </c>
      <c r="L20" s="789">
        <v>4.5</v>
      </c>
      <c r="M20" s="789">
        <v>4.5</v>
      </c>
      <c r="N20" s="789">
        <v>4.5</v>
      </c>
    </row>
    <row r="21" spans="1:15" ht="10.8" x14ac:dyDescent="0.25">
      <c r="B21" s="811" t="s">
        <v>390</v>
      </c>
      <c r="F21" s="789">
        <v>1.05</v>
      </c>
      <c r="G21" s="789">
        <v>1.05</v>
      </c>
      <c r="H21" s="789">
        <v>1.05</v>
      </c>
      <c r="I21" s="789">
        <v>1.05</v>
      </c>
      <c r="J21" s="789">
        <v>1.05</v>
      </c>
      <c r="K21" s="789">
        <v>1.05</v>
      </c>
      <c r="L21" s="789">
        <v>1.05</v>
      </c>
      <c r="M21" s="789">
        <v>1.05</v>
      </c>
      <c r="N21" s="789">
        <v>1.05</v>
      </c>
    </row>
    <row r="22" spans="1:15" ht="10.8" x14ac:dyDescent="0.25">
      <c r="B22" s="811" t="s">
        <v>392</v>
      </c>
      <c r="F22" s="789">
        <v>1.5</v>
      </c>
      <c r="G22" s="789">
        <v>1.5</v>
      </c>
      <c r="H22" s="789">
        <v>1.5</v>
      </c>
      <c r="I22" s="789">
        <v>1.5</v>
      </c>
      <c r="J22" s="789">
        <v>1.5</v>
      </c>
      <c r="K22" s="789">
        <v>1.5</v>
      </c>
      <c r="L22" s="789">
        <v>1.5</v>
      </c>
      <c r="M22" s="789">
        <v>1.5</v>
      </c>
      <c r="N22" s="789">
        <v>1.5</v>
      </c>
    </row>
    <row r="23" spans="1:15" ht="10.8" x14ac:dyDescent="0.25">
      <c r="B23" s="811" t="s">
        <v>394</v>
      </c>
      <c r="C23" s="848"/>
      <c r="D23" s="848"/>
      <c r="E23" s="848"/>
      <c r="F23" s="849">
        <v>46.25</v>
      </c>
      <c r="G23" s="849">
        <v>46.25</v>
      </c>
      <c r="H23" s="848">
        <v>50.229167225181257</v>
      </c>
      <c r="I23" s="848">
        <v>51.083063068009338</v>
      </c>
      <c r="J23" s="848">
        <v>51.84930901402948</v>
      </c>
      <c r="K23" s="848">
        <v>52.678897958253948</v>
      </c>
      <c r="L23" s="848">
        <v>53.574439223544267</v>
      </c>
      <c r="M23" s="848">
        <v>54.592353568791609</v>
      </c>
      <c r="N23" s="848">
        <v>55.68420064016744</v>
      </c>
    </row>
    <row r="24" spans="1:15" ht="10.8" x14ac:dyDescent="0.25">
      <c r="B24" s="811" t="s">
        <v>396</v>
      </c>
    </row>
    <row r="25" spans="1:15" ht="10.8" x14ac:dyDescent="0.25">
      <c r="B25" s="811" t="s">
        <v>398</v>
      </c>
      <c r="F25" s="789">
        <v>6</v>
      </c>
      <c r="G25" s="789">
        <v>6</v>
      </c>
      <c r="H25" s="789">
        <v>6</v>
      </c>
      <c r="I25" s="789">
        <v>6</v>
      </c>
      <c r="J25" s="789">
        <v>6</v>
      </c>
      <c r="K25" s="789">
        <v>6</v>
      </c>
      <c r="L25" s="789">
        <v>6</v>
      </c>
      <c r="M25" s="789">
        <v>6</v>
      </c>
      <c r="N25" s="789">
        <v>2.5</v>
      </c>
    </row>
    <row r="26" spans="1:15" ht="10.8" x14ac:dyDescent="0.25">
      <c r="B26" s="811" t="s">
        <v>400</v>
      </c>
      <c r="C26" s="848"/>
      <c r="D26" s="848"/>
      <c r="E26" s="850"/>
      <c r="F26" s="849">
        <v>22.85</v>
      </c>
      <c r="G26" s="848">
        <v>23.241253547671882</v>
      </c>
      <c r="H26" s="848">
        <v>23.671216738303816</v>
      </c>
      <c r="I26" s="848">
        <v>24.073627422854976</v>
      </c>
      <c r="J26" s="848">
        <v>24.434731834197802</v>
      </c>
      <c r="K26" s="848">
        <v>24.825687543544966</v>
      </c>
      <c r="L26" s="848">
        <v>25.247724231785231</v>
      </c>
      <c r="M26" s="848">
        <v>25.727430992189149</v>
      </c>
      <c r="N26" s="848">
        <v>26.241979612032935</v>
      </c>
    </row>
    <row r="27" spans="1:15" ht="10.8" x14ac:dyDescent="0.25">
      <c r="B27" s="811" t="s">
        <v>402</v>
      </c>
      <c r="C27" s="848"/>
      <c r="D27" s="848"/>
      <c r="E27" s="848"/>
      <c r="F27" s="848">
        <v>0.9</v>
      </c>
      <c r="G27" s="848">
        <v>0.9</v>
      </c>
      <c r="H27" s="848">
        <v>0.9</v>
      </c>
      <c r="I27" s="848">
        <v>0.9</v>
      </c>
      <c r="J27" s="848">
        <v>0.9</v>
      </c>
      <c r="K27" s="848">
        <v>0.9</v>
      </c>
      <c r="L27" s="848">
        <v>0.9</v>
      </c>
      <c r="M27" s="848">
        <v>0.9</v>
      </c>
      <c r="N27" s="848">
        <v>0.9</v>
      </c>
      <c r="O27" s="848"/>
    </row>
    <row r="28" spans="1:15" ht="11.4" thickBot="1" x14ac:dyDescent="0.3">
      <c r="B28" s="823" t="s">
        <v>404</v>
      </c>
      <c r="C28" s="848"/>
      <c r="D28" s="848"/>
      <c r="E28" s="850"/>
      <c r="F28" s="849">
        <v>15.91</v>
      </c>
      <c r="G28" s="849">
        <v>15.91</v>
      </c>
      <c r="H28" s="849">
        <v>15.91</v>
      </c>
      <c r="I28" s="848">
        <v>15.923823797751879</v>
      </c>
      <c r="J28" s="848">
        <v>16.162681154718157</v>
      </c>
      <c r="K28" s="848">
        <v>16.421284053193649</v>
      </c>
      <c r="L28" s="848">
        <v>16.700445882097938</v>
      </c>
      <c r="M28" s="848">
        <v>17.0177543538578</v>
      </c>
      <c r="N28" s="848">
        <v>17.358109440934957</v>
      </c>
    </row>
    <row r="30" spans="1:15" ht="10.8" x14ac:dyDescent="0.25">
      <c r="F30" s="848"/>
      <c r="G30" s="848"/>
    </row>
    <row r="31" spans="1:15" ht="11.4" thickBot="1" x14ac:dyDescent="0.3">
      <c r="A31" s="789" t="s">
        <v>657</v>
      </c>
      <c r="B31" s="823" t="s">
        <v>404</v>
      </c>
      <c r="F31" s="851">
        <v>15.027604039121224</v>
      </c>
      <c r="G31" s="851">
        <v>15.373238932021014</v>
      </c>
      <c r="H31" s="790">
        <v>15.6576438522634</v>
      </c>
      <c r="I31" s="790">
        <v>15.923823797751879</v>
      </c>
      <c r="J31" s="790">
        <v>16.162681154718157</v>
      </c>
      <c r="K31" s="790">
        <v>16.421284053193649</v>
      </c>
      <c r="L31" s="790">
        <v>16.700445882097938</v>
      </c>
      <c r="M31" s="790">
        <v>17.0177543538578</v>
      </c>
      <c r="N31" s="790">
        <v>17.358109440934957</v>
      </c>
    </row>
    <row r="32" spans="1:15" ht="10.8" x14ac:dyDescent="0.25">
      <c r="A32" s="789" t="s">
        <v>657</v>
      </c>
      <c r="B32" s="811" t="s">
        <v>400</v>
      </c>
      <c r="E32" s="848"/>
      <c r="F32" s="852">
        <v>22.718722920500372</v>
      </c>
      <c r="G32" s="852">
        <v>23.241253547671882</v>
      </c>
      <c r="H32" s="853">
        <v>23.671216738303816</v>
      </c>
      <c r="I32" s="853">
        <v>24.073627422854976</v>
      </c>
      <c r="J32" s="853">
        <v>24.434731834197802</v>
      </c>
      <c r="K32" s="853">
        <v>24.825687543544966</v>
      </c>
      <c r="L32" s="853">
        <v>25.247724231785231</v>
      </c>
      <c r="M32" s="853">
        <v>25.727430992189149</v>
      </c>
      <c r="N32" s="853">
        <v>26.241979612032935</v>
      </c>
    </row>
    <row r="33" spans="1:15" ht="10.8" x14ac:dyDescent="0.25">
      <c r="A33" s="789" t="s">
        <v>657</v>
      </c>
      <c r="B33" s="811" t="s">
        <v>658</v>
      </c>
      <c r="F33" s="852">
        <v>48.208021806915426</v>
      </c>
      <c r="G33" s="852">
        <v>49.316806308474483</v>
      </c>
      <c r="H33" s="853">
        <v>50.229167225181257</v>
      </c>
      <c r="I33" s="853">
        <v>51.083063068009338</v>
      </c>
      <c r="J33" s="853">
        <v>51.84930901402948</v>
      </c>
      <c r="K33" s="853">
        <v>52.678897958253948</v>
      </c>
      <c r="L33" s="853">
        <v>53.574439223544267</v>
      </c>
      <c r="M33" s="853">
        <v>54.592353568791609</v>
      </c>
      <c r="N33" s="853">
        <v>55.68420064016744</v>
      </c>
    </row>
    <row r="34" spans="1:15" ht="10.8" x14ac:dyDescent="0.25">
      <c r="F34" s="848"/>
      <c r="G34" s="848"/>
    </row>
    <row r="35" spans="1:15" ht="11.4" thickBot="1" x14ac:dyDescent="0.3">
      <c r="C35" s="823"/>
      <c r="E35" s="854"/>
      <c r="F35" s="854"/>
      <c r="G35" s="854"/>
      <c r="H35" s="854"/>
    </row>
    <row r="36" spans="1:15" ht="10.8" x14ac:dyDescent="0.25">
      <c r="C36" s="811"/>
      <c r="E36" s="854"/>
      <c r="F36" s="854"/>
      <c r="G36" s="854"/>
    </row>
    <row r="37" spans="1:15" ht="10.8" x14ac:dyDescent="0.25">
      <c r="C37" s="811"/>
      <c r="E37" s="854"/>
      <c r="F37" s="854"/>
      <c r="G37" s="854"/>
    </row>
    <row r="38" spans="1:15" x14ac:dyDescent="0.2">
      <c r="E38" s="854"/>
      <c r="F38" s="854"/>
      <c r="G38" s="854"/>
    </row>
    <row r="39" spans="1:15" ht="10.8" x14ac:dyDescent="0.25">
      <c r="C39" s="855" t="s">
        <v>0</v>
      </c>
      <c r="D39" s="855" t="s">
        <v>1</v>
      </c>
      <c r="E39" s="855" t="s">
        <v>130</v>
      </c>
      <c r="F39" s="855" t="s">
        <v>521</v>
      </c>
      <c r="G39" s="855" t="s">
        <v>4</v>
      </c>
      <c r="H39" s="855" t="s">
        <v>522</v>
      </c>
      <c r="I39" s="855" t="s">
        <v>523</v>
      </c>
      <c r="J39" s="855" t="s">
        <v>107</v>
      </c>
      <c r="K39" s="855" t="s">
        <v>490</v>
      </c>
      <c r="L39" s="855" t="s">
        <v>9</v>
      </c>
      <c r="M39" s="855" t="s">
        <v>10</v>
      </c>
      <c r="N39" s="855" t="s">
        <v>11</v>
      </c>
      <c r="O39" s="855" t="s">
        <v>67</v>
      </c>
    </row>
    <row r="40" spans="1:15" x14ac:dyDescent="0.2">
      <c r="B40" s="856" t="s">
        <v>659</v>
      </c>
      <c r="C40" s="857">
        <v>47357</v>
      </c>
      <c r="D40" s="857">
        <v>42593.000999999997</v>
      </c>
      <c r="E40" s="857">
        <v>23002.001</v>
      </c>
      <c r="F40" s="858">
        <v>44096</v>
      </c>
      <c r="G40" s="858">
        <v>33500</v>
      </c>
      <c r="H40" s="858">
        <v>52968</v>
      </c>
      <c r="I40" s="858">
        <v>40596</v>
      </c>
      <c r="J40" s="858">
        <v>39790</v>
      </c>
      <c r="K40" s="858">
        <v>54907</v>
      </c>
      <c r="L40" s="858">
        <v>49968</v>
      </c>
      <c r="M40" s="858">
        <v>51936</v>
      </c>
      <c r="N40" s="858">
        <v>42190</v>
      </c>
      <c r="O40" s="859">
        <f>+SUM(C40:N40)</f>
        <v>522903.00199999998</v>
      </c>
    </row>
    <row r="41" spans="1:15" x14ac:dyDescent="0.2">
      <c r="B41" s="789" t="s">
        <v>61</v>
      </c>
      <c r="C41" s="860">
        <v>3208944.28</v>
      </c>
      <c r="D41" s="860">
        <v>2890000.13</v>
      </c>
      <c r="E41" s="860">
        <v>1654706.46</v>
      </c>
      <c r="F41" s="861">
        <v>3091570.5599999991</v>
      </c>
      <c r="G41" s="861">
        <v>2348684.9999999995</v>
      </c>
      <c r="H41" s="861">
        <v>3713586.4799999991</v>
      </c>
      <c r="I41" s="861">
        <v>2846185.5599999991</v>
      </c>
      <c r="J41" s="861">
        <v>2789676.8999999994</v>
      </c>
      <c r="K41" s="861">
        <v>3849529.7699999991</v>
      </c>
      <c r="L41" s="861">
        <v>3503256.4799999991</v>
      </c>
      <c r="M41" s="861">
        <v>3641232.959999999</v>
      </c>
      <c r="N41" s="861">
        <v>2957940.8999999994</v>
      </c>
      <c r="O41" s="862"/>
    </row>
    <row r="42" spans="1:15" hidden="1" x14ac:dyDescent="0.2">
      <c r="B42" s="789" t="s">
        <v>631</v>
      </c>
      <c r="C42" s="863"/>
      <c r="D42" s="864"/>
      <c r="E42" s="864"/>
      <c r="F42" s="864"/>
      <c r="G42" s="864"/>
      <c r="H42" s="864"/>
      <c r="I42" s="864"/>
      <c r="J42" s="864"/>
      <c r="K42" s="864"/>
      <c r="L42" s="864"/>
      <c r="M42" s="864"/>
      <c r="N42" s="864"/>
      <c r="O42" s="790"/>
    </row>
    <row r="43" spans="1:15" hidden="1" x14ac:dyDescent="0.2">
      <c r="B43" s="789" t="s">
        <v>660</v>
      </c>
      <c r="C43" s="863"/>
      <c r="D43" s="790"/>
      <c r="E43" s="790"/>
      <c r="F43" s="790"/>
      <c r="G43" s="790"/>
      <c r="H43" s="790"/>
      <c r="I43" s="790"/>
      <c r="J43" s="790"/>
      <c r="K43" s="790"/>
      <c r="L43" s="790"/>
      <c r="M43" s="790"/>
      <c r="N43" s="790"/>
      <c r="O43" s="790"/>
    </row>
    <row r="44" spans="1:15" hidden="1" x14ac:dyDescent="0.2">
      <c r="B44" s="789" t="s">
        <v>661</v>
      </c>
      <c r="C44" s="863"/>
      <c r="D44" s="790"/>
      <c r="E44" s="790"/>
      <c r="F44" s="790"/>
      <c r="G44" s="790"/>
      <c r="H44" s="790"/>
      <c r="I44" s="790"/>
      <c r="J44" s="790"/>
      <c r="K44" s="790"/>
      <c r="L44" s="790"/>
      <c r="M44" s="790"/>
      <c r="N44" s="790"/>
      <c r="O44" s="790"/>
    </row>
    <row r="45" spans="1:15" hidden="1" x14ac:dyDescent="0.2">
      <c r="C45" s="863"/>
      <c r="D45" s="790"/>
      <c r="E45" s="790"/>
      <c r="F45" s="790"/>
      <c r="G45" s="790"/>
      <c r="H45" s="790"/>
      <c r="I45" s="790"/>
      <c r="J45" s="790"/>
      <c r="K45" s="790"/>
      <c r="L45" s="790"/>
      <c r="M45" s="790"/>
      <c r="N45" s="790"/>
      <c r="O45" s="790"/>
    </row>
    <row r="46" spans="1:15" s="865" customFormat="1" hidden="1" x14ac:dyDescent="0.2">
      <c r="B46" s="865" t="s">
        <v>662</v>
      </c>
      <c r="C46" s="866"/>
    </row>
    <row r="47" spans="1:15" s="865" customFormat="1" hidden="1" x14ac:dyDescent="0.2">
      <c r="B47" s="865" t="s">
        <v>663</v>
      </c>
      <c r="C47" s="866"/>
    </row>
    <row r="48" spans="1:15" s="865" customFormat="1" hidden="1" x14ac:dyDescent="0.2">
      <c r="C48" s="866"/>
    </row>
    <row r="49" spans="1:15" ht="10.8" thickBot="1" x14ac:dyDescent="0.25"/>
    <row r="50" spans="1:15" ht="11.4" thickBot="1" x14ac:dyDescent="0.3">
      <c r="B50" s="794" t="s">
        <v>651</v>
      </c>
      <c r="C50" s="795" t="s">
        <v>378</v>
      </c>
      <c r="D50" s="796" t="s">
        <v>1</v>
      </c>
      <c r="E50" s="855" t="s">
        <v>130</v>
      </c>
      <c r="F50" s="855" t="s">
        <v>521</v>
      </c>
      <c r="G50" s="855" t="s">
        <v>4</v>
      </c>
      <c r="H50" s="855" t="s">
        <v>522</v>
      </c>
      <c r="I50" s="855" t="s">
        <v>523</v>
      </c>
      <c r="J50" s="855" t="s">
        <v>107</v>
      </c>
      <c r="K50" s="855" t="s">
        <v>490</v>
      </c>
      <c r="L50" s="855" t="s">
        <v>9</v>
      </c>
      <c r="M50" s="855" t="s">
        <v>10</v>
      </c>
      <c r="N50" s="855" t="s">
        <v>11</v>
      </c>
      <c r="O50" s="855" t="s">
        <v>95</v>
      </c>
    </row>
    <row r="51" spans="1:15" ht="10.8" x14ac:dyDescent="0.25">
      <c r="B51" s="801">
        <v>40007037</v>
      </c>
      <c r="C51" s="867" t="s">
        <v>388</v>
      </c>
      <c r="D51" s="868"/>
      <c r="E51" s="868"/>
      <c r="F51" s="868">
        <f t="shared" ref="F51:N51" si="11">+$I4*F$40*$D20</f>
        <v>0</v>
      </c>
      <c r="G51" s="868">
        <f t="shared" si="11"/>
        <v>0</v>
      </c>
      <c r="H51" s="868">
        <f t="shared" si="11"/>
        <v>0</v>
      </c>
      <c r="I51" s="868">
        <f t="shared" si="11"/>
        <v>0</v>
      </c>
      <c r="J51" s="868">
        <f t="shared" si="11"/>
        <v>0</v>
      </c>
      <c r="K51" s="868">
        <f t="shared" si="11"/>
        <v>0</v>
      </c>
      <c r="L51" s="868">
        <f t="shared" si="11"/>
        <v>0</v>
      </c>
      <c r="M51" s="868">
        <f t="shared" si="11"/>
        <v>0</v>
      </c>
      <c r="N51" s="868">
        <f t="shared" si="11"/>
        <v>0</v>
      </c>
      <c r="O51" s="868">
        <f>+SUM(D51:N51)</f>
        <v>0</v>
      </c>
    </row>
    <row r="52" spans="1:15" ht="10.8" x14ac:dyDescent="0.25">
      <c r="B52" s="810">
        <v>40007340</v>
      </c>
      <c r="C52" s="869" t="s">
        <v>390</v>
      </c>
      <c r="D52" s="868"/>
      <c r="E52" s="868"/>
      <c r="F52" s="868">
        <f t="shared" ref="F52:N52" si="12">+$I5*F$40*$D21</f>
        <v>0</v>
      </c>
      <c r="G52" s="868">
        <f t="shared" si="12"/>
        <v>0</v>
      </c>
      <c r="H52" s="868">
        <f t="shared" si="12"/>
        <v>0</v>
      </c>
      <c r="I52" s="868">
        <f t="shared" si="12"/>
        <v>0</v>
      </c>
      <c r="J52" s="868">
        <f t="shared" si="12"/>
        <v>0</v>
      </c>
      <c r="K52" s="868">
        <f t="shared" si="12"/>
        <v>0</v>
      </c>
      <c r="L52" s="868">
        <f t="shared" si="12"/>
        <v>0</v>
      </c>
      <c r="M52" s="868">
        <f t="shared" si="12"/>
        <v>0</v>
      </c>
      <c r="N52" s="868">
        <f t="shared" si="12"/>
        <v>0</v>
      </c>
      <c r="O52" s="868">
        <f t="shared" ref="O52:O59" si="13">+SUM(D52:N52)</f>
        <v>0</v>
      </c>
    </row>
    <row r="53" spans="1:15" ht="10.8" x14ac:dyDescent="0.25">
      <c r="B53" s="810">
        <v>40007341</v>
      </c>
      <c r="C53" s="869" t="s">
        <v>392</v>
      </c>
      <c r="D53" s="868"/>
      <c r="E53" s="868"/>
      <c r="F53" s="868">
        <f t="shared" ref="F53:N53" si="14">+$I6*F$40*$D22</f>
        <v>0</v>
      </c>
      <c r="G53" s="868">
        <f t="shared" si="14"/>
        <v>0</v>
      </c>
      <c r="H53" s="868">
        <f t="shared" si="14"/>
        <v>0</v>
      </c>
      <c r="I53" s="868">
        <f t="shared" si="14"/>
        <v>0</v>
      </c>
      <c r="J53" s="868">
        <f t="shared" si="14"/>
        <v>0</v>
      </c>
      <c r="K53" s="868">
        <f t="shared" si="14"/>
        <v>0</v>
      </c>
      <c r="L53" s="868">
        <f t="shared" si="14"/>
        <v>0</v>
      </c>
      <c r="M53" s="868">
        <f t="shared" si="14"/>
        <v>0</v>
      </c>
      <c r="N53" s="868">
        <f t="shared" si="14"/>
        <v>0</v>
      </c>
      <c r="O53" s="868">
        <f t="shared" si="13"/>
        <v>0</v>
      </c>
    </row>
    <row r="54" spans="1:15" ht="10.8" x14ac:dyDescent="0.25">
      <c r="B54" s="810">
        <v>41047780</v>
      </c>
      <c r="C54" s="869" t="s">
        <v>394</v>
      </c>
      <c r="D54" s="868"/>
      <c r="E54" s="868"/>
      <c r="F54" s="868">
        <f t="shared" ref="F54:N54" si="15">+$I7*F$40*F$23</f>
        <v>1631552.0000000002</v>
      </c>
      <c r="G54" s="868">
        <f t="shared" si="15"/>
        <v>1239500</v>
      </c>
      <c r="H54" s="868">
        <f t="shared" si="15"/>
        <v>2128430.8236667207</v>
      </c>
      <c r="I54" s="868">
        <f t="shared" si="15"/>
        <v>1659014.4226471258</v>
      </c>
      <c r="J54" s="868">
        <f t="shared" si="15"/>
        <v>1650467.2045345863</v>
      </c>
      <c r="K54" s="868">
        <f t="shared" si="15"/>
        <v>2313952.2001550798</v>
      </c>
      <c r="L54" s="868">
        <f t="shared" si="15"/>
        <v>2141606.063297648</v>
      </c>
      <c r="M54" s="868">
        <f t="shared" si="15"/>
        <v>2268246.779959009</v>
      </c>
      <c r="N54" s="868">
        <f t="shared" si="15"/>
        <v>1879453.1400069315</v>
      </c>
      <c r="O54" s="868">
        <f t="shared" si="13"/>
        <v>16912222.634267099</v>
      </c>
    </row>
    <row r="55" spans="1:15" ht="10.8" x14ac:dyDescent="0.25">
      <c r="B55" s="810">
        <v>41047943</v>
      </c>
      <c r="C55" s="869" t="s">
        <v>396</v>
      </c>
      <c r="D55" s="868"/>
      <c r="E55" s="868"/>
      <c r="F55" s="868"/>
      <c r="G55" s="868"/>
      <c r="H55" s="868"/>
      <c r="I55" s="868"/>
      <c r="J55" s="868"/>
      <c r="K55" s="868"/>
      <c r="L55" s="868"/>
      <c r="M55" s="868"/>
      <c r="N55" s="868"/>
      <c r="O55" s="868">
        <f t="shared" si="13"/>
        <v>0</v>
      </c>
    </row>
    <row r="56" spans="1:15" ht="10.8" x14ac:dyDescent="0.25">
      <c r="B56" s="810">
        <v>40008331</v>
      </c>
      <c r="C56" s="869" t="s">
        <v>398</v>
      </c>
      <c r="D56" s="868"/>
      <c r="E56" s="868"/>
      <c r="F56" s="868">
        <f t="shared" ref="F56:N56" si="16">+$I9*F$40*F$25</f>
        <v>34394.880000000005</v>
      </c>
      <c r="G56" s="868">
        <f t="shared" si="16"/>
        <v>26130</v>
      </c>
      <c r="H56" s="868">
        <f t="shared" si="16"/>
        <v>41315.040000000001</v>
      </c>
      <c r="I56" s="868">
        <f t="shared" si="16"/>
        <v>31664.880000000005</v>
      </c>
      <c r="J56" s="868">
        <f t="shared" si="16"/>
        <v>31036.199999999997</v>
      </c>
      <c r="K56" s="868">
        <f t="shared" si="16"/>
        <v>42827.46</v>
      </c>
      <c r="L56" s="868">
        <f t="shared" si="16"/>
        <v>38975.040000000001</v>
      </c>
      <c r="M56" s="868">
        <f t="shared" si="16"/>
        <v>40510.080000000002</v>
      </c>
      <c r="N56" s="868">
        <f t="shared" si="16"/>
        <v>13711.75</v>
      </c>
      <c r="O56" s="868">
        <f t="shared" si="13"/>
        <v>300565.33</v>
      </c>
    </row>
    <row r="57" spans="1:15" ht="10.8" x14ac:dyDescent="0.25">
      <c r="B57" s="810">
        <v>41047781</v>
      </c>
      <c r="C57" s="869" t="s">
        <v>400</v>
      </c>
      <c r="D57" s="868"/>
      <c r="E57" s="868"/>
      <c r="F57" s="868">
        <f t="shared" ref="F57:N57" si="17">+$G10*F$40*F$26</f>
        <v>355305.30193431641</v>
      </c>
      <c r="G57" s="868">
        <f t="shared" si="17"/>
        <v>274549.49138663965</v>
      </c>
      <c r="H57" s="868">
        <f t="shared" si="17"/>
        <v>442130.46873949945</v>
      </c>
      <c r="I57" s="868">
        <f t="shared" si="17"/>
        <v>344620.46695364831</v>
      </c>
      <c r="J57" s="868">
        <f t="shared" si="17"/>
        <v>342844.98733340605</v>
      </c>
      <c r="K57" s="868">
        <f t="shared" si="17"/>
        <v>480668.08632891608</v>
      </c>
      <c r="L57" s="868">
        <f t="shared" si="17"/>
        <v>444867.30886087194</v>
      </c>
      <c r="M57" s="868">
        <f t="shared" si="17"/>
        <v>471173.88119406835</v>
      </c>
      <c r="N57" s="868">
        <f t="shared" si="17"/>
        <v>390411.32487155928</v>
      </c>
      <c r="O57" s="868">
        <f t="shared" si="13"/>
        <v>3546571.3176029255</v>
      </c>
    </row>
    <row r="58" spans="1:15" ht="10.8" x14ac:dyDescent="0.25">
      <c r="B58" s="810">
        <v>41053620</v>
      </c>
      <c r="C58" s="869" t="s">
        <v>402</v>
      </c>
      <c r="D58" s="868"/>
      <c r="E58" s="868"/>
      <c r="F58" s="868">
        <f t="shared" ref="F58:N58" si="18">+$I11*F$40*F$27</f>
        <v>5952.96</v>
      </c>
      <c r="G58" s="868">
        <f t="shared" si="18"/>
        <v>4522.5</v>
      </c>
      <c r="H58" s="868">
        <f t="shared" si="18"/>
        <v>7150.68</v>
      </c>
      <c r="I58" s="868">
        <f t="shared" si="18"/>
        <v>5480.46</v>
      </c>
      <c r="J58" s="868">
        <f t="shared" si="18"/>
        <v>5371.6500000000005</v>
      </c>
      <c r="K58" s="868">
        <f t="shared" si="18"/>
        <v>7412.4449999999997</v>
      </c>
      <c r="L58" s="868">
        <f t="shared" si="18"/>
        <v>6745.68</v>
      </c>
      <c r="M58" s="868">
        <f t="shared" si="18"/>
        <v>7011.36</v>
      </c>
      <c r="N58" s="868">
        <f t="shared" si="18"/>
        <v>5695.6500000000005</v>
      </c>
      <c r="O58" s="868">
        <f t="shared" si="13"/>
        <v>55343.385000000002</v>
      </c>
    </row>
    <row r="59" spans="1:15" ht="11.4" thickBot="1" x14ac:dyDescent="0.3">
      <c r="B59" s="870">
        <v>41053180</v>
      </c>
      <c r="C59" s="871" t="s">
        <v>404</v>
      </c>
      <c r="D59" s="868"/>
      <c r="E59" s="868"/>
      <c r="F59" s="868">
        <f t="shared" ref="F59:N59" si="19">+$I14*F$40*F$28</f>
        <v>105235.10399999999</v>
      </c>
      <c r="G59" s="868">
        <f t="shared" si="19"/>
        <v>79947.75</v>
      </c>
      <c r="H59" s="868">
        <f t="shared" si="19"/>
        <v>126408.132</v>
      </c>
      <c r="I59" s="868">
        <f t="shared" si="19"/>
        <v>96966.532634030285</v>
      </c>
      <c r="J59" s="868">
        <f t="shared" si="19"/>
        <v>96466.962471935316</v>
      </c>
      <c r="K59" s="868">
        <f t="shared" si="19"/>
        <v>135246.51652630552</v>
      </c>
      <c r="L59" s="868">
        <f t="shared" si="19"/>
        <v>125173.18197550047</v>
      </c>
      <c r="M59" s="868">
        <f t="shared" si="19"/>
        <v>132575.1135182938</v>
      </c>
      <c r="N59" s="868">
        <f t="shared" si="19"/>
        <v>109850.79559695687</v>
      </c>
      <c r="O59" s="868">
        <f t="shared" si="13"/>
        <v>1007870.0887230223</v>
      </c>
    </row>
    <row r="60" spans="1:15" ht="11.4" thickBot="1" x14ac:dyDescent="0.3">
      <c r="B60" s="829" t="s">
        <v>656</v>
      </c>
      <c r="C60" s="872"/>
      <c r="D60" s="873">
        <f>+SUM(D51:D59)*-1</f>
        <v>0</v>
      </c>
      <c r="E60" s="874">
        <f t="shared" ref="E60:N60" si="20">+SUM(E51:E59)*-1</f>
        <v>0</v>
      </c>
      <c r="F60" s="874">
        <f t="shared" si="20"/>
        <v>-2132440.2459343164</v>
      </c>
      <c r="G60" s="874">
        <f t="shared" si="20"/>
        <v>-1624649.7413866397</v>
      </c>
      <c r="H60" s="874">
        <f t="shared" si="20"/>
        <v>-2745435.1444062204</v>
      </c>
      <c r="I60" s="874">
        <f t="shared" si="20"/>
        <v>-2137746.7622348042</v>
      </c>
      <c r="J60" s="874">
        <f t="shared" si="20"/>
        <v>-2126187.0043399273</v>
      </c>
      <c r="K60" s="874">
        <f t="shared" si="20"/>
        <v>-2980106.7080103015</v>
      </c>
      <c r="L60" s="874">
        <f t="shared" si="20"/>
        <v>-2757367.2741340208</v>
      </c>
      <c r="M60" s="874">
        <f t="shared" si="20"/>
        <v>-2919517.214671371</v>
      </c>
      <c r="N60" s="874">
        <f t="shared" si="20"/>
        <v>-2399122.6604754473</v>
      </c>
      <c r="O60" s="874">
        <f>+SUM(D60:N60)</f>
        <v>-21822572.75559305</v>
      </c>
    </row>
    <row r="61" spans="1:15" ht="10.8" thickBot="1" x14ac:dyDescent="0.25">
      <c r="E61" s="853"/>
      <c r="F61" s="853"/>
      <c r="G61" s="853"/>
      <c r="H61" s="853"/>
      <c r="I61" s="853"/>
      <c r="J61" s="853"/>
      <c r="K61" s="853"/>
      <c r="L61" s="853"/>
      <c r="M61" s="853"/>
      <c r="N61" s="853"/>
      <c r="O61" s="853"/>
    </row>
    <row r="62" spans="1:15" ht="11.4" thickBot="1" x14ac:dyDescent="0.3">
      <c r="A62" s="789" t="s">
        <v>664</v>
      </c>
      <c r="B62" s="794" t="s">
        <v>651</v>
      </c>
      <c r="C62" s="795" t="s">
        <v>378</v>
      </c>
      <c r="D62" s="796" t="s">
        <v>1</v>
      </c>
      <c r="E62" s="875" t="s">
        <v>130</v>
      </c>
      <c r="F62" s="875" t="s">
        <v>521</v>
      </c>
      <c r="G62" s="875" t="s">
        <v>4</v>
      </c>
      <c r="H62" s="875" t="s">
        <v>522</v>
      </c>
      <c r="I62" s="875" t="s">
        <v>523</v>
      </c>
      <c r="J62" s="875" t="s">
        <v>107</v>
      </c>
      <c r="K62" s="875" t="s">
        <v>490</v>
      </c>
      <c r="L62" s="875" t="s">
        <v>9</v>
      </c>
      <c r="M62" s="875" t="s">
        <v>10</v>
      </c>
      <c r="N62" s="875" t="s">
        <v>11</v>
      </c>
      <c r="O62" s="875" t="s">
        <v>95</v>
      </c>
    </row>
    <row r="63" spans="1:15" ht="10.8" x14ac:dyDescent="0.25">
      <c r="B63" s="801">
        <v>40007037</v>
      </c>
      <c r="C63" s="867" t="s">
        <v>388</v>
      </c>
      <c r="D63" s="876"/>
      <c r="E63" s="876"/>
      <c r="F63" s="876">
        <f t="shared" ref="F63:N63" si="21">+$G4*F$40</f>
        <v>948.9272002543222</v>
      </c>
      <c r="G63" s="876">
        <f t="shared" si="21"/>
        <v>720.90577849509691</v>
      </c>
      <c r="H63" s="876">
        <f t="shared" si="21"/>
        <v>1139.8488738903968</v>
      </c>
      <c r="I63" s="876">
        <f t="shared" si="21"/>
        <v>873.60868608319265</v>
      </c>
      <c r="J63" s="876">
        <f t="shared" si="21"/>
        <v>856.26390824835539</v>
      </c>
      <c r="K63" s="876">
        <f t="shared" si="21"/>
        <v>1181.5753307412026</v>
      </c>
      <c r="L63" s="876">
        <f t="shared" si="21"/>
        <v>1075.2901474580001</v>
      </c>
      <c r="M63" s="876">
        <f t="shared" si="21"/>
        <v>1117.6406719976524</v>
      </c>
      <c r="N63" s="876">
        <f t="shared" si="21"/>
        <v>907.91088939427277</v>
      </c>
      <c r="O63" s="868">
        <f>+SUM(D63:N63)</f>
        <v>8821.9714865624919</v>
      </c>
    </row>
    <row r="64" spans="1:15" ht="10.8" x14ac:dyDescent="0.25">
      <c r="B64" s="810">
        <v>40007340</v>
      </c>
      <c r="C64" s="869" t="s">
        <v>390</v>
      </c>
      <c r="D64" s="876"/>
      <c r="E64" s="876"/>
      <c r="F64" s="876">
        <f t="shared" ref="F64:N64" si="22">+$G5*F$40</f>
        <v>27756.120607438923</v>
      </c>
      <c r="G64" s="876">
        <f t="shared" si="22"/>
        <v>21086.494020981583</v>
      </c>
      <c r="H64" s="876">
        <f t="shared" si="22"/>
        <v>33340.579561294107</v>
      </c>
      <c r="I64" s="876">
        <f t="shared" si="22"/>
        <v>25553.054067933386</v>
      </c>
      <c r="J64" s="876">
        <f t="shared" si="22"/>
        <v>25045.719316264396</v>
      </c>
      <c r="K64" s="876">
        <f t="shared" si="22"/>
        <v>34561.078424180174</v>
      </c>
      <c r="L64" s="876">
        <f t="shared" si="22"/>
        <v>31452.236813146501</v>
      </c>
      <c r="M64" s="876">
        <f t="shared" si="22"/>
        <v>32690.989655931331</v>
      </c>
      <c r="N64" s="876">
        <f t="shared" si="22"/>
        <v>26556.393514782478</v>
      </c>
      <c r="O64" s="868">
        <f t="shared" ref="O64:O71" si="23">+SUM(D64:N64)</f>
        <v>258042.66598195289</v>
      </c>
    </row>
    <row r="65" spans="1:17" ht="10.8" x14ac:dyDescent="0.25">
      <c r="B65" s="810">
        <v>40007341</v>
      </c>
      <c r="C65" s="869" t="s">
        <v>392</v>
      </c>
      <c r="D65" s="876"/>
      <c r="E65" s="876"/>
      <c r="F65" s="876">
        <f t="shared" ref="F65:N65" si="24">+$I6*F$40</f>
        <v>28662.400000000001</v>
      </c>
      <c r="G65" s="876">
        <f t="shared" si="24"/>
        <v>21775</v>
      </c>
      <c r="H65" s="876">
        <f t="shared" si="24"/>
        <v>34429.200000000004</v>
      </c>
      <c r="I65" s="876">
        <f t="shared" si="24"/>
        <v>26387.4</v>
      </c>
      <c r="J65" s="876">
        <f t="shared" si="24"/>
        <v>25863.5</v>
      </c>
      <c r="K65" s="876">
        <f t="shared" si="24"/>
        <v>35689.550000000003</v>
      </c>
      <c r="L65" s="876">
        <f t="shared" si="24"/>
        <v>32479.200000000001</v>
      </c>
      <c r="M65" s="876">
        <f t="shared" si="24"/>
        <v>33758.400000000001</v>
      </c>
      <c r="N65" s="876">
        <f t="shared" si="24"/>
        <v>27423.5</v>
      </c>
      <c r="O65" s="868">
        <f t="shared" si="23"/>
        <v>266468.15000000002</v>
      </c>
    </row>
    <row r="66" spans="1:17" ht="10.8" x14ac:dyDescent="0.25">
      <c r="A66" s="789" t="s">
        <v>665</v>
      </c>
      <c r="B66" s="810">
        <v>41047780</v>
      </c>
      <c r="C66" s="869" t="s">
        <v>394</v>
      </c>
      <c r="D66" s="876"/>
      <c r="E66" s="876"/>
      <c r="F66" s="876">
        <f t="shared" ref="F66:N66" si="25">+$I7*F$40</f>
        <v>35276.800000000003</v>
      </c>
      <c r="G66" s="876">
        <f t="shared" si="25"/>
        <v>26800</v>
      </c>
      <c r="H66" s="876">
        <f t="shared" si="25"/>
        <v>42374.400000000001</v>
      </c>
      <c r="I66" s="876">
        <f t="shared" si="25"/>
        <v>32476.800000000003</v>
      </c>
      <c r="J66" s="876">
        <f t="shared" si="25"/>
        <v>31832</v>
      </c>
      <c r="K66" s="876">
        <f t="shared" si="25"/>
        <v>43925.600000000006</v>
      </c>
      <c r="L66" s="876">
        <f t="shared" si="25"/>
        <v>39974.400000000001</v>
      </c>
      <c r="M66" s="876">
        <f t="shared" si="25"/>
        <v>41548.800000000003</v>
      </c>
      <c r="N66" s="876">
        <f t="shared" si="25"/>
        <v>33752</v>
      </c>
      <c r="O66" s="868">
        <f t="shared" si="23"/>
        <v>327960.8</v>
      </c>
    </row>
    <row r="67" spans="1:17" ht="10.8" x14ac:dyDescent="0.25">
      <c r="B67" s="810">
        <v>41047943</v>
      </c>
      <c r="C67" s="869" t="s">
        <v>396</v>
      </c>
      <c r="D67" s="876"/>
      <c r="E67" s="876"/>
      <c r="F67" s="876"/>
      <c r="G67" s="876"/>
      <c r="H67" s="876"/>
      <c r="I67" s="876"/>
      <c r="J67" s="876"/>
      <c r="K67" s="876"/>
      <c r="L67" s="876"/>
      <c r="M67" s="876"/>
      <c r="N67" s="876"/>
      <c r="O67" s="868">
        <f t="shared" si="23"/>
        <v>0</v>
      </c>
    </row>
    <row r="68" spans="1:17" ht="10.8" x14ac:dyDescent="0.25">
      <c r="B68" s="810">
        <v>40008331</v>
      </c>
      <c r="C68" s="869" t="s">
        <v>398</v>
      </c>
      <c r="D68" s="876"/>
      <c r="E68" s="876"/>
      <c r="F68" s="876">
        <f t="shared" ref="F68:N68" si="26">+$G9*F$40</f>
        <v>4787.7690558286258</v>
      </c>
      <c r="G68" s="876">
        <f t="shared" si="26"/>
        <v>3637.2973369525348</v>
      </c>
      <c r="H68" s="876">
        <f t="shared" si="26"/>
        <v>5751.0556819015483</v>
      </c>
      <c r="I68" s="876">
        <f t="shared" si="26"/>
        <v>4407.7529161470184</v>
      </c>
      <c r="J68" s="876">
        <f t="shared" si="26"/>
        <v>4320.240627980339</v>
      </c>
      <c r="K68" s="876">
        <f t="shared" si="26"/>
        <v>5961.5846232851591</v>
      </c>
      <c r="L68" s="876">
        <f t="shared" si="26"/>
        <v>5425.327562174456</v>
      </c>
      <c r="M68" s="876">
        <f t="shared" si="26"/>
        <v>5639.0052087154281</v>
      </c>
      <c r="N68" s="876">
        <f t="shared" si="26"/>
        <v>4580.823123762013</v>
      </c>
      <c r="O68" s="868">
        <f t="shared" si="23"/>
        <v>44510.856136747119</v>
      </c>
    </row>
    <row r="69" spans="1:17" ht="10.8" x14ac:dyDescent="0.25">
      <c r="A69" s="789" t="s">
        <v>665</v>
      </c>
      <c r="B69" s="810">
        <v>41047781</v>
      </c>
      <c r="C69" s="869" t="s">
        <v>400</v>
      </c>
      <c r="D69" s="876"/>
      <c r="E69" s="876"/>
      <c r="F69" s="876">
        <f t="shared" ref="F69:N69" si="27">+$G10*F$40</f>
        <v>15549.466167803779</v>
      </c>
      <c r="G69" s="876">
        <f t="shared" si="27"/>
        <v>11813.024233976474</v>
      </c>
      <c r="H69" s="876">
        <f t="shared" si="27"/>
        <v>18677.97813806764</v>
      </c>
      <c r="I69" s="876">
        <f t="shared" si="27"/>
        <v>14315.269606045043</v>
      </c>
      <c r="J69" s="876">
        <f t="shared" si="27"/>
        <v>14031.05176925146</v>
      </c>
      <c r="K69" s="876">
        <f t="shared" si="27"/>
        <v>19361.723033281978</v>
      </c>
      <c r="L69" s="876">
        <f t="shared" si="27"/>
        <v>17620.095370845866</v>
      </c>
      <c r="M69" s="876">
        <f t="shared" si="27"/>
        <v>18314.066466143347</v>
      </c>
      <c r="N69" s="876">
        <f t="shared" si="27"/>
        <v>14877.35798302888</v>
      </c>
      <c r="O69" s="868">
        <f t="shared" si="23"/>
        <v>144560.03276844445</v>
      </c>
    </row>
    <row r="70" spans="1:17" ht="10.8" x14ac:dyDescent="0.25">
      <c r="B70" s="810">
        <v>41053620</v>
      </c>
      <c r="C70" s="869" t="s">
        <v>402</v>
      </c>
      <c r="D70" s="876"/>
      <c r="E70" s="876"/>
      <c r="F70" s="876">
        <f t="shared" ref="F70:N70" si="28">+$I11*F$40</f>
        <v>6614.4</v>
      </c>
      <c r="G70" s="876">
        <f t="shared" si="28"/>
        <v>5025</v>
      </c>
      <c r="H70" s="876">
        <f t="shared" si="28"/>
        <v>7945.2</v>
      </c>
      <c r="I70" s="876">
        <f t="shared" si="28"/>
        <v>6089.4</v>
      </c>
      <c r="J70" s="876">
        <f t="shared" si="28"/>
        <v>5968.5</v>
      </c>
      <c r="K70" s="876">
        <f t="shared" si="28"/>
        <v>8236.0499999999993</v>
      </c>
      <c r="L70" s="876">
        <f t="shared" si="28"/>
        <v>7495.2</v>
      </c>
      <c r="M70" s="876">
        <f t="shared" si="28"/>
        <v>7790.4</v>
      </c>
      <c r="N70" s="876">
        <f t="shared" si="28"/>
        <v>6328.5</v>
      </c>
      <c r="O70" s="868">
        <f t="shared" si="23"/>
        <v>61492.65</v>
      </c>
    </row>
    <row r="71" spans="1:17" ht="11.4" thickBot="1" x14ac:dyDescent="0.3">
      <c r="A71" s="789" t="s">
        <v>665</v>
      </c>
      <c r="B71" s="870">
        <v>41053180</v>
      </c>
      <c r="C71" s="871" t="s">
        <v>404</v>
      </c>
      <c r="D71" s="876"/>
      <c r="E71" s="876"/>
      <c r="F71" s="876">
        <f t="shared" ref="F71:N71" si="29">+$I14*F$40</f>
        <v>6614.4</v>
      </c>
      <c r="G71" s="876">
        <f t="shared" si="29"/>
        <v>5025</v>
      </c>
      <c r="H71" s="876">
        <f t="shared" si="29"/>
        <v>7945.2</v>
      </c>
      <c r="I71" s="876">
        <f t="shared" si="29"/>
        <v>6089.4</v>
      </c>
      <c r="J71" s="876">
        <f t="shared" si="29"/>
        <v>5968.5</v>
      </c>
      <c r="K71" s="876">
        <f t="shared" si="29"/>
        <v>8236.0499999999993</v>
      </c>
      <c r="L71" s="876">
        <f t="shared" si="29"/>
        <v>7495.2</v>
      </c>
      <c r="M71" s="876">
        <f t="shared" si="29"/>
        <v>7790.4</v>
      </c>
      <c r="N71" s="876">
        <f t="shared" si="29"/>
        <v>6328.5</v>
      </c>
      <c r="O71" s="868">
        <f t="shared" si="23"/>
        <v>61492.65</v>
      </c>
    </row>
    <row r="72" spans="1:17" ht="11.4" thickBot="1" x14ac:dyDescent="0.3">
      <c r="B72" s="829" t="s">
        <v>656</v>
      </c>
      <c r="C72" s="872"/>
      <c r="D72" s="877">
        <f t="shared" ref="D72:O72" si="30">SUM(D63:D71)</f>
        <v>0</v>
      </c>
      <c r="E72" s="878">
        <f t="shared" si="30"/>
        <v>0</v>
      </c>
      <c r="F72" s="878">
        <f t="shared" si="30"/>
        <v>126210.28303132564</v>
      </c>
      <c r="G72" s="878">
        <f t="shared" si="30"/>
        <v>95882.721370405692</v>
      </c>
      <c r="H72" s="878">
        <f t="shared" si="30"/>
        <v>151603.46225515372</v>
      </c>
      <c r="I72" s="878">
        <f t="shared" si="30"/>
        <v>116192.68527620863</v>
      </c>
      <c r="J72" s="878">
        <f t="shared" si="30"/>
        <v>113885.77562174454</v>
      </c>
      <c r="K72" s="878">
        <f t="shared" si="30"/>
        <v>157153.2114114885</v>
      </c>
      <c r="L72" s="878">
        <f t="shared" si="30"/>
        <v>143016.94989362484</v>
      </c>
      <c r="M72" s="878">
        <f t="shared" si="30"/>
        <v>148649.70200278776</v>
      </c>
      <c r="N72" s="878">
        <f t="shared" si="30"/>
        <v>120754.98551096763</v>
      </c>
      <c r="O72" s="874">
        <f t="shared" si="30"/>
        <v>1173349.7763737068</v>
      </c>
    </row>
    <row r="73" spans="1:17" x14ac:dyDescent="0.2">
      <c r="E73" s="853"/>
      <c r="F73" s="853"/>
      <c r="G73" s="853"/>
      <c r="H73" s="853"/>
      <c r="I73" s="853"/>
      <c r="J73" s="853"/>
      <c r="K73" s="853"/>
      <c r="L73" s="853"/>
      <c r="M73" s="853"/>
      <c r="N73" s="853"/>
      <c r="O73" s="853"/>
    </row>
    <row r="74" spans="1:17" ht="10.8" thickBot="1" x14ac:dyDescent="0.25"/>
    <row r="75" spans="1:17" ht="11.4" thickBot="1" x14ac:dyDescent="0.3">
      <c r="B75" s="791" t="s">
        <v>666</v>
      </c>
      <c r="C75" s="792">
        <f>+SUM(F40:N40)</f>
        <v>409951</v>
      </c>
      <c r="D75" s="793"/>
      <c r="E75" s="793"/>
      <c r="F75" s="834"/>
      <c r="G75" s="793"/>
      <c r="H75" s="793"/>
      <c r="I75" s="793"/>
      <c r="J75" s="793"/>
      <c r="K75" s="793"/>
      <c r="L75" s="793"/>
      <c r="M75" s="793"/>
      <c r="N75" s="793"/>
    </row>
    <row r="76" spans="1:17" ht="22.2" thickBot="1" x14ac:dyDescent="0.3">
      <c r="B76" s="794" t="s">
        <v>651</v>
      </c>
      <c r="C76" s="795" t="s">
        <v>378</v>
      </c>
      <c r="D76" s="796" t="s">
        <v>652</v>
      </c>
      <c r="E76" s="796" t="s">
        <v>653</v>
      </c>
      <c r="F76" s="797" t="s">
        <v>654</v>
      </c>
      <c r="G76" s="796" t="s">
        <v>384</v>
      </c>
      <c r="H76" s="793"/>
    </row>
    <row r="77" spans="1:17" ht="10.8" x14ac:dyDescent="0.25">
      <c r="B77" s="801">
        <v>40007037</v>
      </c>
      <c r="C77" s="802" t="s">
        <v>388</v>
      </c>
      <c r="D77" s="803">
        <f>+O63</f>
        <v>8821.9714865624919</v>
      </c>
      <c r="E77" s="804">
        <f>+IFERROR(F77/D77,0)</f>
        <v>0</v>
      </c>
      <c r="F77" s="804">
        <f>+O51</f>
        <v>0</v>
      </c>
      <c r="G77" s="805">
        <f>+D77/SUM($K$40:$N$40)</f>
        <v>4.4331292237538969E-2</v>
      </c>
      <c r="H77" s="834"/>
      <c r="I77" s="793"/>
      <c r="J77" s="793"/>
      <c r="K77" s="793"/>
      <c r="L77" s="793"/>
      <c r="M77" s="793"/>
      <c r="N77" s="793"/>
    </row>
    <row r="78" spans="1:17" ht="10.8" x14ac:dyDescent="0.25">
      <c r="B78" s="810">
        <v>40007340</v>
      </c>
      <c r="C78" s="811" t="s">
        <v>390</v>
      </c>
      <c r="D78" s="812">
        <f t="shared" ref="D78:D85" si="31">+O64</f>
        <v>258042.66598195289</v>
      </c>
      <c r="E78" s="814">
        <f>+IFERROR(F78/D78,0)</f>
        <v>0</v>
      </c>
      <c r="F78" s="814">
        <f>+O52</f>
        <v>0</v>
      </c>
      <c r="G78" s="815">
        <f t="shared" ref="G78:G85" si="32">+D78/SUM($K$40:$N$40)</f>
        <v>1.2966902979480148</v>
      </c>
      <c r="H78" s="834"/>
    </row>
    <row r="79" spans="1:17" ht="10.8" x14ac:dyDescent="0.25">
      <c r="B79" s="810">
        <v>40007341</v>
      </c>
      <c r="C79" s="811" t="s">
        <v>392</v>
      </c>
      <c r="D79" s="812">
        <f t="shared" si="31"/>
        <v>266468.15000000002</v>
      </c>
      <c r="E79" s="814">
        <f t="shared" ref="E79:E85" si="33">+IFERROR(F79/D79,0)</f>
        <v>0</v>
      </c>
      <c r="F79" s="814">
        <f t="shared" ref="F79:F85" si="34">+O53</f>
        <v>0</v>
      </c>
      <c r="G79" s="815">
        <f t="shared" si="32"/>
        <v>1.3390292008582874</v>
      </c>
      <c r="H79" s="834"/>
      <c r="I79" s="793"/>
      <c r="J79" s="793"/>
      <c r="K79" s="793"/>
      <c r="L79" s="793"/>
      <c r="M79" s="793"/>
      <c r="N79" s="793"/>
    </row>
    <row r="80" spans="1:17" ht="10.8" x14ac:dyDescent="0.25">
      <c r="B80" s="810">
        <v>41047780</v>
      </c>
      <c r="C80" s="811" t="s">
        <v>394</v>
      </c>
      <c r="D80" s="812">
        <f>+O66</f>
        <v>327960.8</v>
      </c>
      <c r="E80" s="814">
        <f>+IFERROR(F80/D80,0)</f>
        <v>51.567817355815393</v>
      </c>
      <c r="F80" s="814">
        <f>+O54</f>
        <v>16912222.634267099</v>
      </c>
      <c r="G80" s="815">
        <f t="shared" si="32"/>
        <v>1.6480359395178918</v>
      </c>
      <c r="H80" s="834"/>
      <c r="P80" s="790"/>
      <c r="Q80" s="847"/>
    </row>
    <row r="81" spans="2:14" ht="10.8" x14ac:dyDescent="0.25">
      <c r="B81" s="810">
        <v>41047943</v>
      </c>
      <c r="C81" s="811" t="s">
        <v>396</v>
      </c>
      <c r="D81" s="812">
        <f t="shared" si="31"/>
        <v>0</v>
      </c>
      <c r="E81" s="814">
        <f t="shared" si="33"/>
        <v>0</v>
      </c>
      <c r="F81" s="814">
        <f t="shared" si="34"/>
        <v>0</v>
      </c>
      <c r="G81" s="815">
        <f t="shared" si="32"/>
        <v>0</v>
      </c>
      <c r="H81" s="834"/>
      <c r="I81" s="793"/>
      <c r="J81" s="793"/>
      <c r="K81" s="793"/>
      <c r="L81" s="793"/>
      <c r="M81" s="793"/>
      <c r="N81" s="793"/>
    </row>
    <row r="82" spans="2:14" ht="10.8" x14ac:dyDescent="0.25">
      <c r="B82" s="810">
        <v>40008331</v>
      </c>
      <c r="C82" s="811" t="s">
        <v>398</v>
      </c>
      <c r="D82" s="812">
        <f t="shared" si="31"/>
        <v>44510.856136747119</v>
      </c>
      <c r="E82" s="814">
        <f t="shared" si="33"/>
        <v>6.7526297197384242</v>
      </c>
      <c r="F82" s="814">
        <f t="shared" si="34"/>
        <v>300565.33</v>
      </c>
      <c r="G82" s="815">
        <f t="shared" si="32"/>
        <v>0.22367151992576478</v>
      </c>
      <c r="H82" s="834"/>
    </row>
    <row r="83" spans="2:14" ht="10.8" x14ac:dyDescent="0.25">
      <c r="B83" s="810">
        <v>41047781</v>
      </c>
      <c r="C83" s="811" t="s">
        <v>400</v>
      </c>
      <c r="D83" s="812">
        <f t="shared" si="31"/>
        <v>144560.03276844445</v>
      </c>
      <c r="E83" s="814">
        <f t="shared" si="33"/>
        <v>24.533553636389982</v>
      </c>
      <c r="F83" s="814">
        <f t="shared" si="34"/>
        <v>3546571.3176029255</v>
      </c>
      <c r="G83" s="815">
        <f t="shared" si="32"/>
        <v>0.72642867507421793</v>
      </c>
      <c r="H83" s="834"/>
      <c r="I83" s="793"/>
      <c r="J83" s="793"/>
      <c r="K83" s="793"/>
      <c r="L83" s="793"/>
      <c r="M83" s="793"/>
      <c r="N83" s="793"/>
    </row>
    <row r="84" spans="2:14" ht="10.8" x14ac:dyDescent="0.25">
      <c r="B84" s="810">
        <v>41053620</v>
      </c>
      <c r="C84" s="811" t="s">
        <v>402</v>
      </c>
      <c r="D84" s="812">
        <f t="shared" si="31"/>
        <v>61492.65</v>
      </c>
      <c r="E84" s="814">
        <f t="shared" si="33"/>
        <v>0.9</v>
      </c>
      <c r="F84" s="814">
        <f t="shared" si="34"/>
        <v>55343.385000000002</v>
      </c>
      <c r="G84" s="815">
        <f t="shared" si="32"/>
        <v>0.30900673865960471</v>
      </c>
      <c r="H84" s="834"/>
    </row>
    <row r="85" spans="2:14" ht="11.4" thickBot="1" x14ac:dyDescent="0.3">
      <c r="B85" s="870">
        <v>41053180</v>
      </c>
      <c r="C85" s="879" t="s">
        <v>404</v>
      </c>
      <c r="D85" s="824">
        <f t="shared" si="31"/>
        <v>61492.65</v>
      </c>
      <c r="E85" s="826">
        <f t="shared" si="33"/>
        <v>16.390090339626315</v>
      </c>
      <c r="F85" s="826">
        <f t="shared" si="34"/>
        <v>1007870.0887230223</v>
      </c>
      <c r="G85" s="827">
        <f t="shared" si="32"/>
        <v>0.30900673865960471</v>
      </c>
      <c r="H85" s="834"/>
      <c r="I85" s="793"/>
      <c r="J85" s="793"/>
      <c r="K85" s="793"/>
      <c r="L85" s="793"/>
      <c r="M85" s="793"/>
      <c r="N85" s="793"/>
    </row>
    <row r="86" spans="2:14" ht="11.4" thickBot="1" x14ac:dyDescent="0.3">
      <c r="B86" s="829" t="s">
        <v>656</v>
      </c>
      <c r="C86" s="830"/>
      <c r="D86" s="831">
        <f>+SUM(D77:D85)</f>
        <v>1173349.7763737068</v>
      </c>
      <c r="E86" s="832"/>
      <c r="F86" s="833">
        <f>+SUM(F77:F85)</f>
        <v>21822572.755593047</v>
      </c>
      <c r="G86" s="834"/>
      <c r="H86" s="793"/>
    </row>
    <row r="87" spans="2:14" ht="11.4" thickBot="1" x14ac:dyDescent="0.3">
      <c r="B87" s="829" t="s">
        <v>61</v>
      </c>
      <c r="C87" s="830"/>
      <c r="D87" s="837"/>
      <c r="E87" s="837"/>
      <c r="F87" s="838">
        <f>SUM(F41:N41)</f>
        <v>28741664.609999992</v>
      </c>
      <c r="G87" s="834"/>
      <c r="H87" s="793"/>
      <c r="I87" s="793"/>
      <c r="J87" s="793"/>
      <c r="K87" s="793"/>
      <c r="L87" s="793"/>
      <c r="M87" s="793"/>
      <c r="N87" s="793"/>
    </row>
    <row r="88" spans="2:14" ht="11.4" thickBot="1" x14ac:dyDescent="0.3">
      <c r="B88" s="839" t="s">
        <v>410</v>
      </c>
      <c r="C88" s="840"/>
      <c r="D88" s="841"/>
      <c r="E88" s="841"/>
      <c r="F88" s="842">
        <f>+F86-F87</f>
        <v>-6919091.8544069454</v>
      </c>
      <c r="G88" s="880"/>
      <c r="H88" s="793"/>
    </row>
    <row r="89" spans="2:14" ht="10.8" x14ac:dyDescent="0.25">
      <c r="I89" s="793"/>
      <c r="J89" s="793"/>
      <c r="K89" s="793"/>
      <c r="L89" s="793"/>
      <c r="M89" s="793"/>
      <c r="N89" s="793"/>
    </row>
    <row r="90" spans="2:14" x14ac:dyDescent="0.2">
      <c r="F90" s="790"/>
    </row>
    <row r="91" spans="2:14" ht="10.8" x14ac:dyDescent="0.25">
      <c r="I91" s="793"/>
      <c r="J91" s="793"/>
      <c r="K91" s="793"/>
      <c r="L91" s="793"/>
      <c r="M91" s="793"/>
      <c r="N91" s="793"/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C012E-240D-49AB-909A-BB9BC11C255E}">
  <dimension ref="A1:S58"/>
  <sheetViews>
    <sheetView topLeftCell="A29" zoomScale="85" zoomScaleNormal="85" workbookViewId="0">
      <selection activeCell="F49" sqref="F49:F54"/>
    </sheetView>
  </sheetViews>
  <sheetFormatPr defaultRowHeight="14.4" x14ac:dyDescent="0.3"/>
  <cols>
    <col min="1" max="1" width="9.44140625" bestFit="1" customWidth="1"/>
    <col min="2" max="2" width="43.6640625" bestFit="1" customWidth="1"/>
    <col min="3" max="3" width="12" bestFit="1" customWidth="1"/>
    <col min="4" max="4" width="10.88671875" bestFit="1" customWidth="1"/>
    <col min="5" max="5" width="12" bestFit="1" customWidth="1"/>
    <col min="6" max="6" width="14.6640625" bestFit="1" customWidth="1"/>
    <col min="7" max="7" width="12" bestFit="1" customWidth="1"/>
    <col min="8" max="8" width="13.77734375" bestFit="1" customWidth="1"/>
    <col min="9" max="9" width="13.44140625" customWidth="1"/>
    <col min="10" max="10" width="20.109375" style="105" bestFit="1" customWidth="1"/>
    <col min="11" max="11" width="10.88671875" bestFit="1" customWidth="1"/>
    <col min="12" max="12" width="12" bestFit="1" customWidth="1"/>
    <col min="13" max="14" width="10.88671875" bestFit="1" customWidth="1"/>
    <col min="15" max="16" width="12" bestFit="1" customWidth="1"/>
    <col min="17" max="18" width="8.88671875" bestFit="1" customWidth="1"/>
  </cols>
  <sheetData>
    <row r="1" spans="1:19" x14ac:dyDescent="0.3">
      <c r="A1" s="883" t="s">
        <v>669</v>
      </c>
      <c r="B1" s="883" t="s">
        <v>670</v>
      </c>
      <c r="C1" s="883" t="s">
        <v>756</v>
      </c>
      <c r="D1" s="883" t="s">
        <v>757</v>
      </c>
      <c r="E1" s="883" t="s">
        <v>758</v>
      </c>
      <c r="F1" s="883" t="s">
        <v>759</v>
      </c>
      <c r="G1" s="883" t="s">
        <v>671</v>
      </c>
      <c r="H1" s="883" t="s">
        <v>760</v>
      </c>
      <c r="I1" s="883" t="s">
        <v>672</v>
      </c>
      <c r="J1" s="883"/>
      <c r="K1" s="883"/>
      <c r="L1" s="883"/>
      <c r="M1" s="883"/>
      <c r="N1" s="883"/>
      <c r="O1" s="883"/>
      <c r="P1" s="883"/>
      <c r="Q1" s="883"/>
      <c r="R1" s="883"/>
      <c r="S1" s="883"/>
    </row>
    <row r="2" spans="1:19" x14ac:dyDescent="0.3">
      <c r="A2" s="884" t="s">
        <v>673</v>
      </c>
      <c r="B2" s="884" t="s">
        <v>674</v>
      </c>
      <c r="C2" s="885"/>
      <c r="D2" s="885"/>
      <c r="E2" s="885"/>
      <c r="F2" s="885"/>
      <c r="G2" s="885"/>
      <c r="H2" s="885"/>
      <c r="I2" s="885"/>
      <c r="J2" s="886"/>
      <c r="K2" s="884"/>
      <c r="L2" s="885"/>
      <c r="M2" s="885"/>
      <c r="N2" s="885"/>
      <c r="O2" s="885"/>
      <c r="P2" s="885"/>
      <c r="Q2" s="885"/>
      <c r="R2" s="885"/>
      <c r="S2" s="885"/>
    </row>
    <row r="3" spans="1:19" x14ac:dyDescent="0.3">
      <c r="A3" s="887" t="s">
        <v>675</v>
      </c>
      <c r="B3" s="887" t="s">
        <v>676</v>
      </c>
      <c r="C3" s="888">
        <v>4.9832999999999998</v>
      </c>
      <c r="D3" s="888">
        <v>4.9832999999999998</v>
      </c>
      <c r="E3" s="888"/>
      <c r="F3" s="888"/>
      <c r="G3" s="888"/>
      <c r="H3" s="888"/>
      <c r="I3" s="888"/>
      <c r="J3" s="889"/>
      <c r="K3" s="887"/>
      <c r="L3" s="888"/>
      <c r="M3" s="888"/>
      <c r="N3" s="888"/>
      <c r="O3" s="888"/>
      <c r="P3" s="888"/>
      <c r="Q3" s="888"/>
      <c r="R3" s="888"/>
      <c r="S3" s="888"/>
    </row>
    <row r="4" spans="1:19" x14ac:dyDescent="0.3">
      <c r="A4" s="887" t="s">
        <v>677</v>
      </c>
      <c r="B4" s="887" t="s">
        <v>678</v>
      </c>
      <c r="C4" s="888"/>
      <c r="D4" s="888"/>
      <c r="E4" s="888"/>
      <c r="F4" s="888"/>
      <c r="G4" s="888"/>
      <c r="H4" s="888"/>
      <c r="I4" s="888"/>
      <c r="J4" s="889"/>
      <c r="K4" s="887"/>
      <c r="L4" s="888"/>
      <c r="M4" s="888"/>
      <c r="N4" s="888"/>
      <c r="O4" s="888"/>
      <c r="P4" s="888"/>
      <c r="Q4" s="888"/>
      <c r="R4" s="888"/>
      <c r="S4" s="888"/>
    </row>
    <row r="5" spans="1:19" x14ac:dyDescent="0.3">
      <c r="A5" s="887" t="s">
        <v>679</v>
      </c>
      <c r="B5" s="887" t="s">
        <v>680</v>
      </c>
      <c r="C5" s="888">
        <v>0.4667</v>
      </c>
      <c r="D5" s="888"/>
      <c r="E5" s="888"/>
      <c r="F5" s="888"/>
      <c r="G5" s="888">
        <v>0.4667</v>
      </c>
      <c r="H5" s="888"/>
      <c r="I5" s="888"/>
      <c r="J5" s="889"/>
      <c r="K5" s="887"/>
      <c r="L5" s="888"/>
      <c r="M5" s="888"/>
      <c r="N5" s="888"/>
      <c r="O5" s="888"/>
      <c r="P5" s="888"/>
      <c r="Q5" s="888"/>
      <c r="R5" s="888"/>
      <c r="S5" s="888"/>
    </row>
    <row r="6" spans="1:19" x14ac:dyDescent="0.3">
      <c r="A6" s="887" t="s">
        <v>681</v>
      </c>
      <c r="B6" s="887" t="s">
        <v>682</v>
      </c>
      <c r="C6" s="888">
        <v>77.349999999999994</v>
      </c>
      <c r="D6" s="888"/>
      <c r="E6" s="888">
        <v>73.916700000000006</v>
      </c>
      <c r="F6" s="888"/>
      <c r="G6" s="888">
        <v>3.4333</v>
      </c>
      <c r="H6" s="888"/>
      <c r="I6" s="888"/>
      <c r="J6" s="889"/>
      <c r="K6" s="887"/>
      <c r="L6" s="888"/>
      <c r="M6" s="888"/>
      <c r="N6" s="888"/>
      <c r="O6" s="888"/>
      <c r="P6" s="888"/>
      <c r="Q6" s="888"/>
      <c r="R6" s="888"/>
      <c r="S6" s="888"/>
    </row>
    <row r="7" spans="1:19" x14ac:dyDescent="0.3">
      <c r="A7" s="887" t="s">
        <v>683</v>
      </c>
      <c r="B7" s="887" t="s">
        <v>684</v>
      </c>
      <c r="C7" s="888">
        <v>1.05</v>
      </c>
      <c r="D7" s="888"/>
      <c r="E7" s="888"/>
      <c r="F7" s="888"/>
      <c r="G7" s="888">
        <v>1.05</v>
      </c>
      <c r="H7" s="888"/>
      <c r="I7" s="888"/>
      <c r="J7" s="889"/>
      <c r="K7" s="887"/>
      <c r="L7" s="888"/>
      <c r="M7" s="888"/>
      <c r="N7" s="888"/>
      <c r="O7" s="888"/>
      <c r="P7" s="888"/>
      <c r="Q7" s="888"/>
      <c r="R7" s="888"/>
      <c r="S7" s="888"/>
    </row>
    <row r="8" spans="1:19" x14ac:dyDescent="0.3">
      <c r="A8" s="887" t="s">
        <v>685</v>
      </c>
      <c r="B8" s="887" t="s">
        <v>686</v>
      </c>
      <c r="C8" s="888">
        <v>8.3299999999999999E-2</v>
      </c>
      <c r="D8" s="888"/>
      <c r="E8" s="888"/>
      <c r="F8" s="888"/>
      <c r="G8" s="888">
        <v>8.3299999999999999E-2</v>
      </c>
      <c r="H8" s="888"/>
      <c r="I8" s="888"/>
      <c r="J8" s="889"/>
      <c r="K8" s="887"/>
      <c r="L8" s="888"/>
      <c r="M8" s="888"/>
      <c r="N8" s="888"/>
      <c r="O8" s="888"/>
      <c r="P8" s="888"/>
      <c r="Q8" s="888"/>
      <c r="R8" s="888"/>
      <c r="S8" s="888"/>
    </row>
    <row r="9" spans="1:19" x14ac:dyDescent="0.3">
      <c r="A9" s="887" t="s">
        <v>687</v>
      </c>
      <c r="B9" s="887" t="s">
        <v>688</v>
      </c>
      <c r="C9" s="888"/>
      <c r="D9" s="888"/>
      <c r="E9" s="888"/>
      <c r="F9" s="888"/>
      <c r="G9" s="888"/>
      <c r="H9" s="888"/>
      <c r="I9" s="888"/>
      <c r="J9" s="889"/>
      <c r="K9" s="887"/>
      <c r="L9" s="888"/>
      <c r="M9" s="888"/>
      <c r="N9" s="888"/>
      <c r="O9" s="888"/>
      <c r="P9" s="888"/>
      <c r="Q9" s="888"/>
      <c r="R9" s="888"/>
      <c r="S9" s="888"/>
    </row>
    <row r="10" spans="1:19" x14ac:dyDescent="0.3">
      <c r="A10" s="887" t="s">
        <v>689</v>
      </c>
      <c r="B10" s="887" t="s">
        <v>690</v>
      </c>
      <c r="C10" s="888"/>
      <c r="D10" s="888"/>
      <c r="E10" s="888"/>
      <c r="F10" s="888"/>
      <c r="G10" s="888"/>
      <c r="H10" s="888"/>
      <c r="I10" s="888"/>
      <c r="J10" s="889"/>
      <c r="K10" s="887"/>
      <c r="L10" s="888"/>
      <c r="M10" s="888"/>
      <c r="N10" s="888"/>
      <c r="O10" s="888"/>
      <c r="P10" s="888"/>
      <c r="Q10" s="888"/>
      <c r="R10" s="888"/>
      <c r="S10" s="888"/>
    </row>
    <row r="11" spans="1:19" x14ac:dyDescent="0.3">
      <c r="A11" s="887" t="s">
        <v>691</v>
      </c>
      <c r="B11" s="887" t="s">
        <v>692</v>
      </c>
      <c r="C11" s="888">
        <v>13.933299999999999</v>
      </c>
      <c r="D11" s="888"/>
      <c r="E11" s="888"/>
      <c r="F11" s="888"/>
      <c r="G11" s="888">
        <v>13.933299999999999</v>
      </c>
      <c r="H11" s="888"/>
      <c r="I11" s="888"/>
      <c r="J11" s="889"/>
      <c r="K11" s="887"/>
      <c r="L11" s="888"/>
      <c r="M11" s="888"/>
      <c r="N11" s="888"/>
      <c r="O11" s="888"/>
      <c r="P11" s="888"/>
      <c r="Q11" s="888"/>
      <c r="R11" s="888"/>
      <c r="S11" s="888"/>
    </row>
    <row r="12" spans="1:19" x14ac:dyDescent="0.3">
      <c r="A12" s="887" t="s">
        <v>693</v>
      </c>
      <c r="B12" s="887" t="s">
        <v>694</v>
      </c>
      <c r="C12" s="888"/>
      <c r="D12" s="888"/>
      <c r="E12" s="888"/>
      <c r="F12" s="888"/>
      <c r="G12" s="888"/>
      <c r="H12" s="888"/>
      <c r="I12" s="888"/>
      <c r="J12" s="889"/>
      <c r="K12" s="887"/>
      <c r="L12" s="888"/>
      <c r="M12" s="888"/>
      <c r="N12" s="888"/>
      <c r="O12" s="888"/>
      <c r="P12" s="888"/>
      <c r="Q12" s="888"/>
      <c r="R12" s="888"/>
      <c r="S12" s="888"/>
    </row>
    <row r="13" spans="1:19" x14ac:dyDescent="0.3">
      <c r="A13" s="887" t="s">
        <v>695</v>
      </c>
      <c r="B13" s="887" t="s">
        <v>696</v>
      </c>
      <c r="C13" s="888"/>
      <c r="D13" s="888"/>
      <c r="E13" s="888"/>
      <c r="F13" s="888"/>
      <c r="G13" s="888"/>
      <c r="H13" s="888"/>
      <c r="I13" s="888"/>
      <c r="J13" s="889"/>
      <c r="K13" s="887"/>
      <c r="L13" s="888"/>
      <c r="M13" s="888"/>
      <c r="N13" s="888"/>
      <c r="O13" s="888"/>
      <c r="P13" s="888"/>
      <c r="Q13" s="888"/>
      <c r="R13" s="888"/>
      <c r="S13" s="888"/>
    </row>
    <row r="14" spans="1:19" x14ac:dyDescent="0.3">
      <c r="A14" s="887" t="s">
        <v>697</v>
      </c>
      <c r="B14" s="887" t="s">
        <v>698</v>
      </c>
      <c r="C14" s="888"/>
      <c r="D14" s="888"/>
      <c r="E14" s="888"/>
      <c r="F14" s="888"/>
      <c r="G14" s="888"/>
      <c r="H14" s="888"/>
      <c r="I14" s="888"/>
      <c r="J14" s="889"/>
      <c r="K14" s="887"/>
      <c r="L14" s="888"/>
      <c r="M14" s="888"/>
      <c r="N14" s="888"/>
      <c r="O14" s="888"/>
      <c r="P14" s="888"/>
      <c r="Q14" s="888"/>
      <c r="R14" s="888"/>
      <c r="S14" s="888"/>
    </row>
    <row r="15" spans="1:19" x14ac:dyDescent="0.3">
      <c r="A15" s="887" t="s">
        <v>699</v>
      </c>
      <c r="B15" s="887" t="s">
        <v>700</v>
      </c>
      <c r="C15" s="888"/>
      <c r="D15" s="888"/>
      <c r="E15" s="888"/>
      <c r="F15" s="888"/>
      <c r="G15" s="888"/>
      <c r="H15" s="888"/>
      <c r="I15" s="888"/>
      <c r="J15" s="889"/>
      <c r="K15" s="887"/>
      <c r="L15" s="888"/>
      <c r="M15" s="888"/>
      <c r="N15" s="888"/>
      <c r="O15" s="888"/>
      <c r="P15" s="888"/>
      <c r="Q15" s="888"/>
      <c r="R15" s="888"/>
      <c r="S15" s="888"/>
    </row>
    <row r="16" spans="1:19" x14ac:dyDescent="0.3">
      <c r="A16" s="887" t="s">
        <v>701</v>
      </c>
      <c r="B16" s="887" t="s">
        <v>702</v>
      </c>
      <c r="C16" s="888"/>
      <c r="D16" s="888"/>
      <c r="E16" s="888"/>
      <c r="F16" s="888"/>
      <c r="G16" s="888"/>
      <c r="H16" s="888"/>
      <c r="I16" s="888"/>
      <c r="J16" s="889"/>
      <c r="K16" s="887"/>
      <c r="L16" s="888"/>
      <c r="M16" s="888"/>
      <c r="N16" s="888"/>
      <c r="O16" s="888"/>
      <c r="P16" s="888"/>
      <c r="Q16" s="888"/>
      <c r="R16" s="888"/>
      <c r="S16" s="888"/>
    </row>
    <row r="17" spans="1:19" x14ac:dyDescent="0.3">
      <c r="A17" s="887" t="s">
        <v>703</v>
      </c>
      <c r="B17" s="887" t="s">
        <v>704</v>
      </c>
      <c r="C17" s="888">
        <v>2.3332999999999999</v>
      </c>
      <c r="D17" s="888"/>
      <c r="E17" s="888"/>
      <c r="F17" s="888"/>
      <c r="G17" s="888">
        <v>2.3332999999999999</v>
      </c>
      <c r="H17" s="888"/>
      <c r="I17" s="888"/>
      <c r="J17" s="889"/>
      <c r="K17" s="887"/>
      <c r="L17" s="888"/>
      <c r="M17" s="888"/>
      <c r="N17" s="888"/>
      <c r="O17" s="888"/>
      <c r="P17" s="888"/>
      <c r="Q17" s="888"/>
      <c r="R17" s="888"/>
      <c r="S17" s="888"/>
    </row>
    <row r="18" spans="1:19" x14ac:dyDescent="0.3">
      <c r="A18" s="887" t="s">
        <v>705</v>
      </c>
      <c r="B18" s="887" t="s">
        <v>706</v>
      </c>
      <c r="C18" s="890">
        <v>0.48330000000000001</v>
      </c>
      <c r="D18" s="890"/>
      <c r="E18" s="888"/>
      <c r="F18" s="888"/>
      <c r="G18" s="888">
        <v>0.48330000000000001</v>
      </c>
      <c r="H18" s="890"/>
      <c r="I18" s="890"/>
      <c r="J18" s="889"/>
      <c r="K18" s="887"/>
      <c r="L18" s="888"/>
      <c r="M18" s="888"/>
      <c r="N18" s="888"/>
      <c r="O18" s="888"/>
      <c r="P18" s="888"/>
      <c r="Q18" s="888"/>
      <c r="R18" s="888"/>
      <c r="S18" s="888"/>
    </row>
    <row r="19" spans="1:19" x14ac:dyDescent="0.3">
      <c r="A19" s="887" t="s">
        <v>707</v>
      </c>
      <c r="B19" s="887" t="s">
        <v>708</v>
      </c>
      <c r="C19" s="888"/>
      <c r="D19" s="888"/>
      <c r="E19" s="888"/>
      <c r="F19" s="888"/>
      <c r="G19" s="888"/>
      <c r="H19" s="888"/>
      <c r="I19" s="888"/>
      <c r="J19" s="889"/>
      <c r="K19" s="887"/>
      <c r="L19" s="888"/>
      <c r="M19" s="888"/>
      <c r="N19" s="888"/>
      <c r="O19" s="888"/>
      <c r="P19" s="888"/>
      <c r="Q19" s="888"/>
      <c r="R19" s="888"/>
      <c r="S19" s="888"/>
    </row>
    <row r="20" spans="1:19" x14ac:dyDescent="0.3">
      <c r="A20" s="887" t="s">
        <v>709</v>
      </c>
      <c r="B20" s="887" t="s">
        <v>710</v>
      </c>
      <c r="C20" s="888"/>
      <c r="D20" s="888"/>
      <c r="E20" s="888"/>
      <c r="F20" s="888"/>
      <c r="G20" s="888"/>
      <c r="H20" s="888"/>
      <c r="I20" s="888"/>
      <c r="J20" s="889"/>
      <c r="K20" s="887"/>
      <c r="L20" s="888"/>
      <c r="M20" s="888"/>
      <c r="N20" s="888"/>
      <c r="O20" s="888"/>
      <c r="P20" s="888"/>
      <c r="Q20" s="888"/>
      <c r="R20" s="888"/>
      <c r="S20" s="888"/>
    </row>
    <row r="21" spans="1:19" x14ac:dyDescent="0.3">
      <c r="A21" s="887" t="s">
        <v>711</v>
      </c>
      <c r="B21" s="887" t="s">
        <v>712</v>
      </c>
      <c r="C21" s="888"/>
      <c r="D21" s="888"/>
      <c r="E21" s="888"/>
      <c r="F21" s="888"/>
      <c r="G21" s="888"/>
      <c r="H21" s="888"/>
      <c r="I21" s="888"/>
      <c r="J21" s="889"/>
      <c r="K21" s="887"/>
      <c r="L21" s="888"/>
      <c r="M21" s="888"/>
      <c r="N21" s="888"/>
      <c r="O21" s="888"/>
      <c r="P21" s="888"/>
      <c r="Q21" s="888"/>
      <c r="R21" s="888"/>
      <c r="S21" s="888"/>
    </row>
    <row r="22" spans="1:19" x14ac:dyDescent="0.3">
      <c r="A22" s="887" t="s">
        <v>713</v>
      </c>
      <c r="B22" s="887" t="s">
        <v>714</v>
      </c>
      <c r="C22" s="890">
        <v>800</v>
      </c>
      <c r="D22" s="890">
        <v>800</v>
      </c>
      <c r="E22" s="890"/>
      <c r="F22" s="890"/>
      <c r="G22" s="890"/>
      <c r="H22" s="890"/>
      <c r="I22" s="890"/>
      <c r="J22" s="889"/>
      <c r="K22" s="887"/>
      <c r="L22" s="890"/>
      <c r="M22" s="890"/>
      <c r="N22" s="890"/>
      <c r="O22" s="890"/>
      <c r="P22" s="890"/>
      <c r="Q22" s="890"/>
      <c r="R22" s="890"/>
      <c r="S22" s="890"/>
    </row>
    <row r="23" spans="1:19" x14ac:dyDescent="0.3">
      <c r="A23" s="887" t="s">
        <v>715</v>
      </c>
      <c r="B23" s="887" t="s">
        <v>716</v>
      </c>
      <c r="C23" s="890">
        <v>47.5</v>
      </c>
      <c r="D23" s="890">
        <v>47.5</v>
      </c>
      <c r="E23" s="890"/>
      <c r="F23" s="890"/>
      <c r="G23" s="890"/>
      <c r="H23" s="890"/>
      <c r="I23" s="890"/>
      <c r="J23" s="889"/>
      <c r="K23" s="887"/>
      <c r="L23" s="888"/>
      <c r="M23" s="888"/>
      <c r="N23" s="888"/>
      <c r="O23" s="888"/>
      <c r="P23" s="888"/>
      <c r="Q23" s="888"/>
      <c r="R23" s="888"/>
      <c r="S23" s="888"/>
    </row>
    <row r="24" spans="1:19" x14ac:dyDescent="0.3">
      <c r="A24" s="887" t="s">
        <v>717</v>
      </c>
      <c r="B24" s="887" t="s">
        <v>718</v>
      </c>
      <c r="C24" s="890"/>
      <c r="D24" s="890"/>
      <c r="E24" s="890"/>
      <c r="F24" s="890"/>
      <c r="G24" s="890"/>
      <c r="H24" s="890"/>
      <c r="I24" s="890"/>
      <c r="J24" s="889"/>
      <c r="K24" s="887"/>
      <c r="L24" s="888"/>
      <c r="M24" s="888"/>
      <c r="N24" s="888"/>
      <c r="O24" s="888"/>
      <c r="P24" s="888"/>
      <c r="Q24" s="888"/>
      <c r="R24" s="888"/>
      <c r="S24" s="888"/>
    </row>
    <row r="25" spans="1:19" x14ac:dyDescent="0.3">
      <c r="A25" s="887" t="s">
        <v>719</v>
      </c>
      <c r="B25" s="887" t="s">
        <v>720</v>
      </c>
      <c r="C25" s="890"/>
      <c r="D25" s="890"/>
      <c r="E25" s="890"/>
      <c r="F25" s="890"/>
      <c r="G25" s="890"/>
      <c r="H25" s="890"/>
      <c r="I25" s="890"/>
      <c r="J25" s="889"/>
      <c r="K25" s="887"/>
      <c r="L25" s="888"/>
      <c r="M25" s="888"/>
      <c r="N25" s="888"/>
      <c r="O25" s="888"/>
      <c r="P25" s="888"/>
      <c r="Q25" s="888"/>
      <c r="R25" s="888"/>
      <c r="S25" s="888"/>
    </row>
    <row r="26" spans="1:19" x14ac:dyDescent="0.3">
      <c r="A26" s="887" t="s">
        <v>721</v>
      </c>
      <c r="B26" s="887" t="s">
        <v>722</v>
      </c>
      <c r="C26" s="890"/>
      <c r="D26" s="890"/>
      <c r="E26" s="888"/>
      <c r="F26" s="888"/>
      <c r="G26" s="888"/>
      <c r="H26" s="888"/>
      <c r="I26" s="888"/>
      <c r="J26" s="889"/>
      <c r="K26" s="887"/>
      <c r="L26" s="888"/>
      <c r="M26" s="888"/>
      <c r="N26" s="888"/>
      <c r="O26" s="888"/>
      <c r="P26" s="888"/>
      <c r="Q26" s="888"/>
      <c r="R26" s="888"/>
      <c r="S26" s="888"/>
    </row>
    <row r="27" spans="1:19" x14ac:dyDescent="0.3">
      <c r="A27" s="887" t="s">
        <v>723</v>
      </c>
      <c r="B27" s="887" t="s">
        <v>724</v>
      </c>
      <c r="C27" s="889">
        <v>5657.4666999999999</v>
      </c>
      <c r="D27" s="889">
        <v>4361.7166999999999</v>
      </c>
      <c r="E27" s="889"/>
      <c r="F27" s="889"/>
      <c r="G27" s="889">
        <v>237.1</v>
      </c>
      <c r="H27" s="889">
        <v>1058.6500000000001</v>
      </c>
      <c r="I27" s="889" t="s">
        <v>727</v>
      </c>
      <c r="J27" s="889"/>
      <c r="K27" s="889"/>
      <c r="L27" s="889"/>
      <c r="M27" s="889"/>
      <c r="N27" s="889"/>
      <c r="O27" s="889"/>
      <c r="P27" s="889"/>
      <c r="Q27" s="888"/>
      <c r="R27" s="888"/>
      <c r="S27" s="888"/>
    </row>
    <row r="28" spans="1:19" x14ac:dyDescent="0.3">
      <c r="A28" s="887" t="s">
        <v>725</v>
      </c>
      <c r="B28" s="887" t="s">
        <v>726</v>
      </c>
      <c r="C28" s="889">
        <v>39881.566700000003</v>
      </c>
      <c r="D28" s="889">
        <v>31191.933300000001</v>
      </c>
      <c r="E28" s="889">
        <v>420.98329999999999</v>
      </c>
      <c r="F28" s="889">
        <v>930.18330000000003</v>
      </c>
      <c r="G28" s="889">
        <v>4017.05</v>
      </c>
      <c r="H28" s="889">
        <v>3321.4167000000002</v>
      </c>
      <c r="I28" s="889" t="s">
        <v>727</v>
      </c>
      <c r="J28" s="889"/>
      <c r="K28" s="891"/>
      <c r="L28" s="889"/>
      <c r="M28" s="889"/>
      <c r="N28" s="889"/>
      <c r="O28" s="889"/>
      <c r="P28" s="889"/>
      <c r="Q28" s="888"/>
      <c r="R28" s="888"/>
      <c r="S28" s="888"/>
    </row>
    <row r="29" spans="1:19" x14ac:dyDescent="0.3">
      <c r="A29" s="887" t="s">
        <v>728</v>
      </c>
      <c r="B29" s="887" t="s">
        <v>729</v>
      </c>
      <c r="C29" s="889">
        <v>40164.193800000001</v>
      </c>
      <c r="D29" s="889">
        <v>31385.3678</v>
      </c>
      <c r="E29" s="889">
        <v>420.98270000000002</v>
      </c>
      <c r="F29" s="889">
        <v>1009.8661</v>
      </c>
      <c r="G29" s="889">
        <v>4016.875</v>
      </c>
      <c r="H29" s="889">
        <v>3331.1023</v>
      </c>
      <c r="I29" s="889" t="s">
        <v>727</v>
      </c>
      <c r="J29" s="889"/>
      <c r="K29" s="892"/>
      <c r="L29" s="889"/>
      <c r="M29" s="889"/>
      <c r="N29" s="889"/>
      <c r="O29" s="889"/>
      <c r="P29" s="889"/>
      <c r="Q29" s="890"/>
      <c r="R29" s="890"/>
      <c r="S29" s="890"/>
    </row>
    <row r="30" spans="1:19" x14ac:dyDescent="0.3">
      <c r="A30" s="887" t="s">
        <v>727</v>
      </c>
      <c r="B30" s="887" t="s">
        <v>730</v>
      </c>
      <c r="C30" s="889">
        <v>40164.193800000001</v>
      </c>
      <c r="D30" s="889">
        <v>31385.3678</v>
      </c>
      <c r="E30" s="889">
        <v>420.98270000000002</v>
      </c>
      <c r="F30" s="889">
        <v>1009.8661</v>
      </c>
      <c r="G30" s="889">
        <v>4016.875</v>
      </c>
      <c r="H30" s="889">
        <v>3331.1023</v>
      </c>
      <c r="I30" s="889" t="s">
        <v>727</v>
      </c>
      <c r="J30" s="889"/>
      <c r="K30" s="892"/>
      <c r="L30" s="889"/>
      <c r="M30" s="889"/>
      <c r="N30" s="889"/>
      <c r="O30" s="889"/>
      <c r="P30" s="889"/>
      <c r="Q30" s="888"/>
      <c r="R30" s="888"/>
      <c r="S30" s="888"/>
    </row>
    <row r="31" spans="1:19" x14ac:dyDescent="0.3">
      <c r="A31" s="887" t="s">
        <v>731</v>
      </c>
      <c r="B31" s="887" t="s">
        <v>732</v>
      </c>
      <c r="C31" s="889">
        <v>42034.454899999997</v>
      </c>
      <c r="D31" s="889">
        <v>33212.212200000002</v>
      </c>
      <c r="E31" s="889">
        <v>420.98270000000002</v>
      </c>
      <c r="F31" s="889">
        <v>1064.8936000000001</v>
      </c>
      <c r="G31" s="889">
        <v>4016.875</v>
      </c>
      <c r="H31" s="889">
        <v>3319.4915000000001</v>
      </c>
      <c r="I31" s="889" t="s">
        <v>727</v>
      </c>
      <c r="J31" s="889"/>
      <c r="K31" s="892"/>
      <c r="L31" s="889"/>
      <c r="M31" s="889"/>
      <c r="N31" s="889"/>
      <c r="O31" s="889"/>
      <c r="P31" s="889"/>
      <c r="Q31" s="890"/>
      <c r="R31" s="888"/>
      <c r="S31" s="888"/>
    </row>
    <row r="32" spans="1:19" x14ac:dyDescent="0.3">
      <c r="A32" s="887" t="s">
        <v>733</v>
      </c>
      <c r="B32" s="887" t="s">
        <v>734</v>
      </c>
      <c r="C32" s="889">
        <v>104.65649999999999</v>
      </c>
      <c r="D32" s="889">
        <v>105.8207</v>
      </c>
      <c r="E32" s="889">
        <v>100</v>
      </c>
      <c r="F32" s="889">
        <v>105.449</v>
      </c>
      <c r="G32" s="889">
        <v>100</v>
      </c>
      <c r="H32" s="889">
        <v>99.651399999999995</v>
      </c>
      <c r="I32" s="889" t="s">
        <v>755</v>
      </c>
      <c r="J32" s="889"/>
      <c r="K32" s="891"/>
      <c r="L32" s="889"/>
      <c r="M32" s="889"/>
      <c r="N32" s="889"/>
      <c r="O32" s="889"/>
      <c r="P32" s="889"/>
      <c r="Q32" s="888"/>
      <c r="R32" s="888"/>
      <c r="S32" s="888"/>
    </row>
    <row r="33" spans="1:19" x14ac:dyDescent="0.3">
      <c r="A33" s="887" t="s">
        <v>735</v>
      </c>
      <c r="B33" s="887" t="s">
        <v>736</v>
      </c>
      <c r="C33" s="893">
        <v>46482.2333</v>
      </c>
      <c r="D33" s="889">
        <v>36401.15</v>
      </c>
      <c r="E33" s="889">
        <v>494.9</v>
      </c>
      <c r="F33" s="889">
        <v>930.18330000000003</v>
      </c>
      <c r="G33" s="889">
        <v>4275.9332999999997</v>
      </c>
      <c r="H33" s="889">
        <v>4380.0667000000003</v>
      </c>
      <c r="I33" s="889" t="s">
        <v>727</v>
      </c>
      <c r="J33" s="889"/>
      <c r="K33" s="891"/>
      <c r="L33" s="889"/>
      <c r="M33" s="889"/>
      <c r="N33" s="889"/>
      <c r="O33" s="889"/>
      <c r="P33" s="889"/>
      <c r="Q33" s="888"/>
      <c r="R33" s="888"/>
      <c r="S33" s="888"/>
    </row>
    <row r="34" spans="1:19" x14ac:dyDescent="0.3">
      <c r="A34" s="887" t="s">
        <v>737</v>
      </c>
      <c r="B34" s="887" t="s">
        <v>738</v>
      </c>
      <c r="C34" s="894">
        <v>86.407600000000002</v>
      </c>
      <c r="D34" s="895">
        <v>86.220799999999997</v>
      </c>
      <c r="E34" s="895">
        <v>85.0642</v>
      </c>
      <c r="F34" s="889">
        <v>108.5663</v>
      </c>
      <c r="G34" s="889">
        <v>93.941500000000005</v>
      </c>
      <c r="H34" s="889">
        <v>76.051400000000001</v>
      </c>
      <c r="I34" s="889" t="s">
        <v>755</v>
      </c>
      <c r="J34" s="889"/>
      <c r="K34" s="891"/>
      <c r="L34" s="889"/>
      <c r="M34" s="889"/>
      <c r="N34" s="889"/>
      <c r="O34" s="889"/>
      <c r="P34" s="889"/>
      <c r="Q34" s="888"/>
      <c r="R34" s="888"/>
      <c r="S34" s="888"/>
    </row>
    <row r="35" spans="1:19" x14ac:dyDescent="0.3">
      <c r="A35" s="896"/>
      <c r="B35" s="896"/>
      <c r="C35" s="897">
        <f>C29-C27</f>
        <v>34506.727100000004</v>
      </c>
      <c r="D35" s="897"/>
      <c r="E35" s="896"/>
      <c r="F35" s="896"/>
      <c r="G35" s="896"/>
      <c r="H35" s="896"/>
      <c r="I35" s="896"/>
      <c r="J35" s="898"/>
      <c r="K35" s="896"/>
      <c r="L35" s="896"/>
      <c r="M35" s="896"/>
      <c r="N35" s="896"/>
      <c r="O35" s="896"/>
      <c r="P35" s="896"/>
      <c r="Q35" s="896"/>
      <c r="R35" s="896"/>
      <c r="S35" s="896"/>
    </row>
    <row r="36" spans="1:19" x14ac:dyDescent="0.3">
      <c r="A36" s="896"/>
      <c r="B36" s="896"/>
      <c r="C36" s="896"/>
      <c r="D36" s="896"/>
      <c r="E36" s="896"/>
      <c r="F36" s="896"/>
      <c r="G36" s="896"/>
      <c r="H36" s="896"/>
      <c r="I36" s="896"/>
      <c r="J36" s="898"/>
      <c r="K36" s="896"/>
      <c r="L36" s="896"/>
      <c r="M36" s="896"/>
      <c r="N36" s="896"/>
      <c r="O36" s="896"/>
      <c r="P36" s="896"/>
      <c r="Q36" s="896"/>
      <c r="R36" s="896"/>
      <c r="S36" s="896"/>
    </row>
    <row r="37" spans="1:19" x14ac:dyDescent="0.3">
      <c r="A37" s="896"/>
      <c r="B37" s="896"/>
      <c r="C37" s="896"/>
      <c r="D37" s="896"/>
      <c r="E37" s="896"/>
      <c r="F37" s="896"/>
      <c r="G37" s="896"/>
      <c r="H37" s="896"/>
      <c r="I37" s="896"/>
      <c r="J37" s="898"/>
      <c r="K37" s="896"/>
      <c r="L37" s="896"/>
      <c r="M37" s="896"/>
      <c r="N37" s="896"/>
      <c r="O37" s="896"/>
      <c r="P37" s="896"/>
      <c r="Q37" s="896"/>
      <c r="R37" s="896"/>
      <c r="S37" s="896"/>
    </row>
    <row r="38" spans="1:19" s="896" customFormat="1" x14ac:dyDescent="0.3">
      <c r="A38" s="896" t="s">
        <v>725</v>
      </c>
      <c r="B38" s="896" t="s">
        <v>726</v>
      </c>
      <c r="C38" s="899">
        <f t="shared" ref="C38:C44" si="0">C28</f>
        <v>39881.566700000003</v>
      </c>
      <c r="D38" s="900"/>
      <c r="E38" s="900"/>
      <c r="F38" s="900"/>
      <c r="G38" s="901">
        <f>C33+SUM(M38:M46)</f>
        <v>52987.2333</v>
      </c>
      <c r="H38" s="901"/>
      <c r="I38" s="901"/>
      <c r="J38" s="902"/>
      <c r="K38" s="901" t="s">
        <v>761</v>
      </c>
      <c r="L38" s="903" t="s">
        <v>762</v>
      </c>
      <c r="M38" s="904"/>
      <c r="N38" s="905">
        <v>14.85</v>
      </c>
      <c r="O38" s="902">
        <f>N38*M38</f>
        <v>0</v>
      </c>
      <c r="P38" s="906">
        <f t="shared" ref="P38:P46" si="1">O38/1000</f>
        <v>0</v>
      </c>
    </row>
    <row r="39" spans="1:19" s="896" customFormat="1" x14ac:dyDescent="0.3">
      <c r="A39" s="896" t="s">
        <v>728</v>
      </c>
      <c r="B39" s="896" t="s">
        <v>729</v>
      </c>
      <c r="C39" s="899">
        <f t="shared" si="0"/>
        <v>40164.193800000001</v>
      </c>
      <c r="D39" s="900"/>
      <c r="E39" s="899">
        <f>C39</f>
        <v>40164.193800000001</v>
      </c>
      <c r="F39" s="901"/>
      <c r="G39" s="901"/>
      <c r="H39" s="901"/>
      <c r="I39" s="901"/>
      <c r="J39" s="902"/>
      <c r="K39" s="901" t="s">
        <v>763</v>
      </c>
      <c r="L39" s="903" t="s">
        <v>762</v>
      </c>
      <c r="M39" s="904"/>
      <c r="N39" s="905">
        <v>14.85</v>
      </c>
      <c r="O39" s="902">
        <f>N39*M39</f>
        <v>0</v>
      </c>
      <c r="P39" s="906">
        <f t="shared" si="1"/>
        <v>0</v>
      </c>
    </row>
    <row r="40" spans="1:19" s="896" customFormat="1" x14ac:dyDescent="0.3">
      <c r="A40" s="896" t="s">
        <v>727</v>
      </c>
      <c r="B40" s="896" t="s">
        <v>730</v>
      </c>
      <c r="C40" s="900">
        <f t="shared" si="0"/>
        <v>40164.193800000001</v>
      </c>
      <c r="D40" s="900"/>
      <c r="E40" s="900"/>
      <c r="F40" s="901"/>
      <c r="G40" s="901"/>
      <c r="H40" s="901"/>
      <c r="I40" s="901"/>
      <c r="J40" s="902"/>
      <c r="K40" s="901" t="s">
        <v>764</v>
      </c>
      <c r="L40" s="903" t="s">
        <v>740</v>
      </c>
      <c r="M40" s="904"/>
      <c r="N40" s="905">
        <v>14.85</v>
      </c>
      <c r="O40" s="902">
        <f>N40*M40</f>
        <v>0</v>
      </c>
      <c r="P40" s="906">
        <f t="shared" si="1"/>
        <v>0</v>
      </c>
    </row>
    <row r="41" spans="1:19" x14ac:dyDescent="0.3">
      <c r="A41" s="896" t="s">
        <v>731</v>
      </c>
      <c r="B41" s="896" t="s">
        <v>732</v>
      </c>
      <c r="C41" s="900">
        <f t="shared" si="0"/>
        <v>42034.454899999997</v>
      </c>
      <c r="D41" s="907"/>
      <c r="E41" s="900"/>
      <c r="F41" s="901"/>
      <c r="G41" s="901"/>
      <c r="H41" s="901"/>
      <c r="I41" s="901"/>
      <c r="J41" s="902"/>
      <c r="K41" s="896" t="s">
        <v>739</v>
      </c>
      <c r="L41" s="1191" t="s">
        <v>765</v>
      </c>
      <c r="M41" s="1192">
        <f>48+361+576+75+800</f>
        <v>1860</v>
      </c>
      <c r="N41" s="905">
        <v>14.85</v>
      </c>
      <c r="O41" s="902">
        <f>N41*M41</f>
        <v>27621</v>
      </c>
      <c r="P41" s="906">
        <f t="shared" si="1"/>
        <v>27.620999999999999</v>
      </c>
      <c r="Q41" s="901"/>
      <c r="R41" s="901"/>
      <c r="S41" s="901"/>
    </row>
    <row r="42" spans="1:19" x14ac:dyDescent="0.3">
      <c r="A42" s="896" t="s">
        <v>733</v>
      </c>
      <c r="B42" s="896" t="s">
        <v>734</v>
      </c>
      <c r="C42" s="900">
        <f t="shared" si="0"/>
        <v>104.65649999999999</v>
      </c>
      <c r="D42" s="907"/>
      <c r="E42" s="900"/>
      <c r="F42" s="900"/>
      <c r="G42" s="901">
        <v>17920</v>
      </c>
      <c r="H42" s="901">
        <f>C39/G42</f>
        <v>2.2413054575892857</v>
      </c>
      <c r="I42" s="901"/>
      <c r="J42" s="902"/>
      <c r="K42" s="896" t="s">
        <v>766</v>
      </c>
      <c r="L42" s="903" t="s">
        <v>767</v>
      </c>
      <c r="M42" s="904"/>
      <c r="N42" s="905">
        <v>14.85</v>
      </c>
      <c r="O42" s="902">
        <f t="shared" ref="O42:O46" si="2">N42*M42</f>
        <v>0</v>
      </c>
      <c r="P42" s="906">
        <f t="shared" si="1"/>
        <v>0</v>
      </c>
      <c r="Q42" s="900"/>
      <c r="R42" s="900"/>
      <c r="S42" s="900"/>
    </row>
    <row r="43" spans="1:19" x14ac:dyDescent="0.3">
      <c r="A43" s="896" t="s">
        <v>735</v>
      </c>
      <c r="B43" s="896" t="s">
        <v>736</v>
      </c>
      <c r="C43" s="899">
        <f t="shared" si="0"/>
        <v>46482.2333</v>
      </c>
      <c r="D43" s="908"/>
      <c r="E43" s="900">
        <f>C43-C27-C23-C22</f>
        <v>39977.266600000003</v>
      </c>
      <c r="F43" s="901"/>
      <c r="G43" s="901"/>
      <c r="H43" s="901"/>
      <c r="I43" s="901"/>
      <c r="J43" s="902"/>
      <c r="K43" s="896" t="s">
        <v>741</v>
      </c>
      <c r="L43" s="903" t="s">
        <v>768</v>
      </c>
      <c r="M43" s="904">
        <v>4645</v>
      </c>
      <c r="N43" s="905">
        <v>14.85</v>
      </c>
      <c r="O43" s="902">
        <f t="shared" si="2"/>
        <v>68978.25</v>
      </c>
      <c r="P43" s="906">
        <f t="shared" si="1"/>
        <v>68.978250000000003</v>
      </c>
      <c r="Q43" s="901"/>
      <c r="R43" s="901"/>
      <c r="S43" s="901"/>
    </row>
    <row r="44" spans="1:19" x14ac:dyDescent="0.3">
      <c r="A44" s="896" t="s">
        <v>737</v>
      </c>
      <c r="B44" s="896" t="s">
        <v>738</v>
      </c>
      <c r="C44" s="902">
        <f t="shared" si="0"/>
        <v>86.407600000000002</v>
      </c>
      <c r="D44" s="900"/>
      <c r="E44" s="900"/>
      <c r="F44" s="901"/>
      <c r="G44" s="901"/>
      <c r="H44" s="901"/>
      <c r="I44" s="901"/>
      <c r="J44" s="902"/>
      <c r="K44" s="896" t="s">
        <v>741</v>
      </c>
      <c r="L44" s="903"/>
      <c r="M44" s="904"/>
      <c r="N44" s="905"/>
      <c r="O44" s="902">
        <f t="shared" si="2"/>
        <v>0</v>
      </c>
      <c r="P44" s="906">
        <f t="shared" si="1"/>
        <v>0</v>
      </c>
      <c r="Q44" s="901"/>
      <c r="R44" s="901"/>
      <c r="S44" s="901"/>
    </row>
    <row r="45" spans="1:19" x14ac:dyDescent="0.3">
      <c r="A45" s="896"/>
      <c r="B45" s="896" t="s">
        <v>742</v>
      </c>
      <c r="C45" s="909">
        <f>C39/C43</f>
        <v>0.86407624910741976</v>
      </c>
      <c r="D45" s="909"/>
      <c r="E45" s="910">
        <f>E39/E43</f>
        <v>1.0046758374420726</v>
      </c>
      <c r="F45" s="896"/>
      <c r="G45" s="896"/>
      <c r="H45" s="896"/>
      <c r="I45" s="896"/>
      <c r="J45" s="898"/>
      <c r="K45" s="896"/>
      <c r="L45" s="911"/>
      <c r="M45" s="911"/>
      <c r="N45" s="912"/>
      <c r="O45" s="902">
        <f t="shared" si="2"/>
        <v>0</v>
      </c>
      <c r="P45" s="906">
        <f t="shared" si="1"/>
        <v>0</v>
      </c>
      <c r="Q45" s="896"/>
      <c r="R45" s="896"/>
      <c r="S45" s="896"/>
    </row>
    <row r="46" spans="1:19" x14ac:dyDescent="0.3">
      <c r="A46" s="896"/>
      <c r="B46" s="896"/>
      <c r="C46" s="913"/>
      <c r="D46" s="914"/>
      <c r="E46" s="896"/>
      <c r="F46" s="896"/>
      <c r="G46" s="896"/>
      <c r="H46" s="896"/>
      <c r="I46" s="896"/>
      <c r="J46" s="898"/>
      <c r="K46" s="896"/>
      <c r="L46" s="915"/>
      <c r="M46" s="915"/>
      <c r="N46" s="912"/>
      <c r="O46" s="902">
        <f t="shared" si="2"/>
        <v>0</v>
      </c>
      <c r="P46" s="906">
        <f t="shared" si="1"/>
        <v>0</v>
      </c>
      <c r="Q46" s="896"/>
      <c r="R46" s="896"/>
      <c r="S46" s="896"/>
    </row>
    <row r="47" spans="1:19" x14ac:dyDescent="0.3">
      <c r="A47" s="896"/>
      <c r="B47" s="916" t="s">
        <v>743</v>
      </c>
      <c r="C47" s="917">
        <f>C39/C48</f>
        <v>40983.871224489798</v>
      </c>
      <c r="D47" s="917"/>
      <c r="E47" s="917">
        <f>E39/E48</f>
        <v>40983.871224489798</v>
      </c>
      <c r="F47" s="896"/>
      <c r="G47" s="896"/>
      <c r="H47" s="896"/>
      <c r="I47" s="896"/>
      <c r="J47" s="898"/>
      <c r="K47" s="896"/>
      <c r="L47" s="896"/>
      <c r="M47" s="896"/>
      <c r="N47" s="896"/>
      <c r="O47" s="896"/>
      <c r="P47" s="896"/>
      <c r="Q47" s="896"/>
      <c r="R47" s="896"/>
      <c r="S47" s="896"/>
    </row>
    <row r="48" spans="1:19" x14ac:dyDescent="0.3">
      <c r="A48" s="896"/>
      <c r="B48" s="916" t="s">
        <v>744</v>
      </c>
      <c r="C48" s="918">
        <v>0.98</v>
      </c>
      <c r="D48" s="919">
        <f>C43-C39</f>
        <v>6318.039499999999</v>
      </c>
      <c r="E48" s="918">
        <v>0.98</v>
      </c>
      <c r="F48" s="896" t="s">
        <v>745</v>
      </c>
      <c r="G48" s="896"/>
      <c r="H48" s="896" t="s">
        <v>746</v>
      </c>
      <c r="I48" s="896"/>
      <c r="J48" s="898"/>
      <c r="K48" s="896"/>
      <c r="L48" s="896"/>
      <c r="M48" s="896"/>
      <c r="N48" s="896"/>
      <c r="O48" s="896"/>
      <c r="P48" s="896"/>
      <c r="Q48" s="896"/>
      <c r="R48" s="896"/>
      <c r="S48" s="896"/>
    </row>
    <row r="49" spans="1:19" x14ac:dyDescent="0.3">
      <c r="A49" s="896"/>
      <c r="C49" s="8">
        <f>C43-C47</f>
        <v>5498.362075510202</v>
      </c>
      <c r="E49" s="8">
        <f>E43-E47</f>
        <v>-1006.6046244897952</v>
      </c>
      <c r="F49" s="898">
        <f>C49*14.07</f>
        <v>77361.954402428542</v>
      </c>
      <c r="G49" s="896"/>
      <c r="H49" s="920">
        <f>F49*57</f>
        <v>4409631.4009384271</v>
      </c>
      <c r="I49" s="920"/>
      <c r="J49" s="898" t="s">
        <v>747</v>
      </c>
      <c r="K49" s="896"/>
      <c r="L49" s="896"/>
      <c r="M49" s="897">
        <f>C27-M43</f>
        <v>1012.4666999999999</v>
      </c>
      <c r="N49" s="896"/>
      <c r="O49" s="896"/>
      <c r="P49" s="896"/>
      <c r="Q49" s="896"/>
      <c r="R49" s="896"/>
      <c r="S49" s="896"/>
    </row>
    <row r="50" spans="1:19" x14ac:dyDescent="0.3">
      <c r="F50" s="105">
        <f>-O38</f>
        <v>0</v>
      </c>
      <c r="G50" s="107"/>
      <c r="H50" s="920">
        <f t="shared" ref="H50:H55" si="3">F50*45</f>
        <v>0</v>
      </c>
      <c r="J50" s="105" t="s">
        <v>748</v>
      </c>
    </row>
    <row r="51" spans="1:19" x14ac:dyDescent="0.3">
      <c r="F51" s="105">
        <f>-O39</f>
        <v>0</v>
      </c>
      <c r="H51" s="920">
        <f t="shared" si="3"/>
        <v>0</v>
      </c>
      <c r="Q51" s="8"/>
      <c r="R51" s="8"/>
      <c r="S51" s="8"/>
    </row>
    <row r="52" spans="1:19" x14ac:dyDescent="0.3">
      <c r="F52" s="105">
        <f>-O40</f>
        <v>0</v>
      </c>
      <c r="H52" s="920">
        <f t="shared" si="3"/>
        <v>0</v>
      </c>
    </row>
    <row r="53" spans="1:19" x14ac:dyDescent="0.3">
      <c r="B53" s="896"/>
      <c r="C53" s="921"/>
      <c r="E53" s="922"/>
      <c r="F53" s="105">
        <f>-O41</f>
        <v>-27621</v>
      </c>
      <c r="H53" s="920">
        <f t="shared" si="3"/>
        <v>-1242945</v>
      </c>
    </row>
    <row r="54" spans="1:19" x14ac:dyDescent="0.3">
      <c r="C54" s="923"/>
      <c r="F54" s="105">
        <f>-O42</f>
        <v>0</v>
      </c>
      <c r="H54" s="920">
        <f t="shared" si="3"/>
        <v>0</v>
      </c>
      <c r="N54" s="924"/>
    </row>
    <row r="55" spans="1:19" x14ac:dyDescent="0.3">
      <c r="F55" s="105">
        <f t="shared" ref="F55:F56" si="4">-O43</f>
        <v>-68978.25</v>
      </c>
      <c r="H55" s="920">
        <f t="shared" si="3"/>
        <v>-3104021.25</v>
      </c>
      <c r="P55" s="103"/>
    </row>
    <row r="56" spans="1:19" x14ac:dyDescent="0.3">
      <c r="F56" s="105">
        <f t="shared" si="4"/>
        <v>0</v>
      </c>
    </row>
    <row r="57" spans="1:19" x14ac:dyDescent="0.3">
      <c r="E57" t="s">
        <v>67</v>
      </c>
      <c r="F57" s="925">
        <f>SUM(F49:F56)</f>
        <v>-19237.295597571458</v>
      </c>
      <c r="H57" s="925">
        <f>SUM(H49:H55)</f>
        <v>62665.150938427076</v>
      </c>
    </row>
    <row r="58" spans="1:19" x14ac:dyDescent="0.3">
      <c r="H58" s="35"/>
      <c r="I58" s="35"/>
    </row>
  </sheetData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E9500-75BD-4E44-9887-A19AE0A0AB57}">
  <dimension ref="A1:AB14"/>
  <sheetViews>
    <sheetView workbookViewId="0">
      <selection activeCell="K35" sqref="K35"/>
    </sheetView>
  </sheetViews>
  <sheetFormatPr defaultRowHeight="14.4" x14ac:dyDescent="0.3"/>
  <cols>
    <col min="1" max="1" width="14.6640625" bestFit="1" customWidth="1"/>
    <col min="2" max="2" width="12.6640625" customWidth="1"/>
    <col min="4" max="4" width="12.6640625" bestFit="1" customWidth="1"/>
    <col min="5" max="5" width="15.88671875" bestFit="1" customWidth="1"/>
    <col min="6" max="6" width="11.21875" bestFit="1" customWidth="1"/>
    <col min="7" max="7" width="9.44140625" bestFit="1" customWidth="1"/>
  </cols>
  <sheetData>
    <row r="1" spans="1:28" x14ac:dyDescent="0.3">
      <c r="B1" t="s">
        <v>749</v>
      </c>
      <c r="C1" t="s">
        <v>750</v>
      </c>
      <c r="E1" s="926" t="s">
        <v>751</v>
      </c>
      <c r="G1" t="s">
        <v>752</v>
      </c>
    </row>
    <row r="2" spans="1:28" x14ac:dyDescent="0.3">
      <c r="A2" t="s">
        <v>753</v>
      </c>
      <c r="B2" s="927">
        <v>179.22</v>
      </c>
      <c r="C2" s="928">
        <v>185.81</v>
      </c>
      <c r="D2" s="927">
        <f>B2-C2</f>
        <v>-6.5900000000000034</v>
      </c>
      <c r="E2" s="105">
        <f>D2*9318</f>
        <v>-61405.620000000032</v>
      </c>
      <c r="G2" s="107">
        <f>E2/56.15</f>
        <v>-1093.5996438112206</v>
      </c>
    </row>
    <row r="3" spans="1:28" x14ac:dyDescent="0.3">
      <c r="B3" s="927"/>
    </row>
    <row r="4" spans="1:28" x14ac:dyDescent="0.3">
      <c r="Q4" s="1264" t="s">
        <v>783</v>
      </c>
      <c r="R4" s="1265"/>
      <c r="S4" s="1265"/>
      <c r="T4" s="1265"/>
    </row>
    <row r="5" spans="1:28" x14ac:dyDescent="0.3">
      <c r="A5" s="946" t="s">
        <v>115</v>
      </c>
      <c r="B5" s="381"/>
      <c r="C5" s="381"/>
      <c r="D5" s="947"/>
      <c r="E5" s="947"/>
      <c r="F5" s="896"/>
      <c r="G5" s="896"/>
      <c r="H5" s="896"/>
      <c r="I5" s="896"/>
      <c r="Q5" s="956" t="s">
        <v>432</v>
      </c>
      <c r="R5" s="956" t="s">
        <v>784</v>
      </c>
      <c r="S5" s="956" t="s">
        <v>2</v>
      </c>
      <c r="T5" s="956" t="s">
        <v>3</v>
      </c>
      <c r="U5" s="956" t="s">
        <v>4</v>
      </c>
      <c r="V5" s="956" t="s">
        <v>5</v>
      </c>
      <c r="W5" s="956" t="s">
        <v>6</v>
      </c>
      <c r="X5" s="956" t="s">
        <v>7</v>
      </c>
      <c r="Y5" s="956" t="s">
        <v>785</v>
      </c>
      <c r="Z5" s="956" t="s">
        <v>786</v>
      </c>
      <c r="AA5" s="956" t="s">
        <v>787</v>
      </c>
      <c r="AB5" s="956" t="s">
        <v>788</v>
      </c>
    </row>
    <row r="6" spans="1:28" x14ac:dyDescent="0.3">
      <c r="A6" s="381"/>
      <c r="B6" s="946" t="s">
        <v>771</v>
      </c>
      <c r="C6" s="946" t="s">
        <v>772</v>
      </c>
      <c r="D6" s="946" t="s">
        <v>773</v>
      </c>
      <c r="E6" s="946" t="s">
        <v>774</v>
      </c>
      <c r="F6" s="896"/>
      <c r="G6" s="896"/>
      <c r="H6" s="896" t="s">
        <v>775</v>
      </c>
      <c r="I6" s="896" t="s">
        <v>776</v>
      </c>
      <c r="Q6" s="957">
        <v>1317</v>
      </c>
      <c r="R6" s="957">
        <v>1317</v>
      </c>
      <c r="S6" s="957">
        <v>1317</v>
      </c>
      <c r="T6" s="957">
        <v>1317</v>
      </c>
      <c r="U6" s="957">
        <v>1374</v>
      </c>
      <c r="V6" s="957">
        <v>1374</v>
      </c>
      <c r="W6" s="957">
        <v>1445</v>
      </c>
      <c r="X6" s="957">
        <v>1445</v>
      </c>
      <c r="Y6" s="957">
        <v>1445</v>
      </c>
      <c r="Z6" s="957">
        <v>1445</v>
      </c>
      <c r="AA6" s="957">
        <v>1490</v>
      </c>
      <c r="AB6" s="957">
        <v>1490</v>
      </c>
    </row>
    <row r="7" spans="1:28" x14ac:dyDescent="0.3">
      <c r="A7" s="946" t="s">
        <v>777</v>
      </c>
      <c r="B7" s="948">
        <v>972.41041347626344</v>
      </c>
      <c r="C7" s="948">
        <v>354.83920367534455</v>
      </c>
      <c r="D7" s="949">
        <v>1329401.7244716692</v>
      </c>
      <c r="E7" s="949">
        <v>620486.02511485456</v>
      </c>
      <c r="F7" s="896"/>
      <c r="G7" s="946" t="s">
        <v>777</v>
      </c>
      <c r="H7" s="950">
        <v>1367.12</v>
      </c>
      <c r="I7" s="950">
        <v>1748.64</v>
      </c>
      <c r="P7" s="79" t="s">
        <v>789</v>
      </c>
      <c r="Q7" s="70">
        <v>16</v>
      </c>
      <c r="R7" s="70">
        <v>16</v>
      </c>
      <c r="S7" s="70">
        <v>16</v>
      </c>
      <c r="T7" s="70">
        <v>16</v>
      </c>
      <c r="U7" s="70">
        <v>16</v>
      </c>
      <c r="V7" s="70">
        <v>16</v>
      </c>
      <c r="W7" s="70">
        <v>16</v>
      </c>
      <c r="X7" s="70">
        <v>16</v>
      </c>
      <c r="Y7" s="70">
        <v>16</v>
      </c>
      <c r="Z7" s="70">
        <v>16</v>
      </c>
      <c r="AA7" s="70">
        <v>16</v>
      </c>
      <c r="AB7" s="70">
        <v>16</v>
      </c>
    </row>
    <row r="8" spans="1:28" x14ac:dyDescent="0.3">
      <c r="A8" s="946" t="s">
        <v>778</v>
      </c>
      <c r="B8" s="948">
        <v>27.934150076569679</v>
      </c>
      <c r="C8" s="948">
        <v>0</v>
      </c>
      <c r="D8" s="949">
        <v>45294.386324655439</v>
      </c>
      <c r="E8" s="949">
        <v>0</v>
      </c>
      <c r="F8" s="896"/>
      <c r="G8" s="946" t="s">
        <v>778</v>
      </c>
      <c r="H8" s="950">
        <v>1621.47</v>
      </c>
      <c r="I8" s="950">
        <v>2193.75</v>
      </c>
      <c r="P8" s="79" t="s">
        <v>790</v>
      </c>
      <c r="Q8" s="70">
        <v>0.72</v>
      </c>
      <c r="R8" s="70">
        <v>0.72</v>
      </c>
      <c r="S8" s="70">
        <v>0.72</v>
      </c>
      <c r="T8" s="70">
        <v>0.72</v>
      </c>
      <c r="U8" s="70">
        <v>0.72</v>
      </c>
      <c r="V8" s="70">
        <v>0.72</v>
      </c>
      <c r="W8" s="70">
        <v>0.72</v>
      </c>
      <c r="X8" s="70">
        <v>0.72</v>
      </c>
      <c r="Y8" s="70">
        <v>0.72</v>
      </c>
      <c r="Z8" s="70">
        <v>0.72</v>
      </c>
      <c r="AA8" s="70">
        <v>0.72</v>
      </c>
      <c r="AB8" s="70">
        <v>0.72</v>
      </c>
    </row>
    <row r="9" spans="1:28" x14ac:dyDescent="0.3">
      <c r="A9" s="946" t="s">
        <v>779</v>
      </c>
      <c r="B9" s="948">
        <v>95.882082695252677</v>
      </c>
      <c r="C9" s="948">
        <v>0.75497702909647779</v>
      </c>
      <c r="D9" s="949">
        <v>259115.57555895866</v>
      </c>
      <c r="E9" s="949">
        <v>2640.3660643185299</v>
      </c>
      <c r="F9" s="896"/>
      <c r="G9" s="946" t="s">
        <v>779</v>
      </c>
      <c r="H9" s="950">
        <v>2702.44</v>
      </c>
      <c r="I9" s="950">
        <v>3497.28</v>
      </c>
      <c r="P9" s="79" t="s">
        <v>791</v>
      </c>
      <c r="Q9" s="70">
        <v>11.52</v>
      </c>
      <c r="R9" s="70">
        <v>11.52</v>
      </c>
      <c r="S9" s="70">
        <v>11.52</v>
      </c>
      <c r="T9" s="70">
        <v>11.52</v>
      </c>
      <c r="U9" s="70">
        <v>11.52</v>
      </c>
      <c r="V9" s="70">
        <v>11.52</v>
      </c>
      <c r="W9" s="70">
        <v>11.52</v>
      </c>
      <c r="X9" s="70">
        <v>11.52</v>
      </c>
      <c r="Y9" s="70">
        <v>11.52</v>
      </c>
      <c r="Z9" s="70">
        <v>11.52</v>
      </c>
      <c r="AA9" s="70">
        <v>11.52</v>
      </c>
      <c r="AB9" s="70">
        <v>11.52</v>
      </c>
    </row>
    <row r="10" spans="1:28" x14ac:dyDescent="0.3">
      <c r="A10" s="896"/>
      <c r="B10" s="23">
        <v>1096.2266462480859</v>
      </c>
      <c r="C10" s="23">
        <v>355.59418070444104</v>
      </c>
      <c r="D10" s="951">
        <v>1633811.6863552833</v>
      </c>
      <c r="E10" s="951">
        <v>623126.39117917314</v>
      </c>
      <c r="F10" s="952">
        <v>2256938.0775344563</v>
      </c>
      <c r="G10" s="896"/>
      <c r="H10" s="896"/>
      <c r="I10" s="896"/>
      <c r="P10" s="79" t="s">
        <v>792</v>
      </c>
      <c r="Q10" s="957">
        <v>228.64583333333334</v>
      </c>
      <c r="R10" s="957">
        <v>228.64583333333334</v>
      </c>
      <c r="S10" s="957">
        <v>228.64583333333334</v>
      </c>
      <c r="T10" s="957">
        <v>228.64583333333334</v>
      </c>
      <c r="U10" s="957">
        <v>238.54166666666669</v>
      </c>
      <c r="V10" s="957">
        <v>238.54166666666669</v>
      </c>
      <c r="W10" s="957">
        <v>250.86805555555557</v>
      </c>
      <c r="X10" s="957">
        <v>250.86805555555557</v>
      </c>
      <c r="Y10" s="957">
        <v>250.86805555555557</v>
      </c>
      <c r="Z10" s="957">
        <v>250.86805555555557</v>
      </c>
      <c r="AA10" s="957">
        <v>258.68055555555554</v>
      </c>
      <c r="AB10" s="957">
        <v>258.68055555555554</v>
      </c>
    </row>
    <row r="11" spans="1:28" x14ac:dyDescent="0.3">
      <c r="A11" s="896"/>
      <c r="B11" s="953" t="s">
        <v>780</v>
      </c>
      <c r="C11" s="896"/>
      <c r="D11" s="898">
        <v>1490.3958884297517</v>
      </c>
      <c r="E11" s="954">
        <v>1752.3526114649685</v>
      </c>
      <c r="F11" s="896"/>
      <c r="G11" s="896"/>
      <c r="H11" s="896"/>
      <c r="I11" s="896"/>
    </row>
    <row r="12" spans="1:28" x14ac:dyDescent="0.3">
      <c r="A12" s="896"/>
      <c r="B12" s="953" t="s">
        <v>781</v>
      </c>
      <c r="C12" s="896"/>
      <c r="D12" s="898">
        <f>U6</f>
        <v>1374</v>
      </c>
      <c r="E12" s="897">
        <f>U6</f>
        <v>1374</v>
      </c>
      <c r="F12" s="896"/>
      <c r="G12" s="896"/>
      <c r="H12" s="896"/>
      <c r="I12" s="896"/>
    </row>
    <row r="13" spans="1:28" x14ac:dyDescent="0.3">
      <c r="A13" s="896"/>
      <c r="B13" s="953" t="s">
        <v>751</v>
      </c>
      <c r="C13" s="896"/>
      <c r="D13" s="954">
        <f>D11-D12</f>
        <v>116.39588842975172</v>
      </c>
      <c r="E13" s="954">
        <f>E11-E12</f>
        <v>378.3526114649685</v>
      </c>
      <c r="F13" s="896"/>
      <c r="G13" s="896"/>
      <c r="H13" s="896"/>
      <c r="I13" s="896"/>
    </row>
    <row r="14" spans="1:28" x14ac:dyDescent="0.3">
      <c r="A14" s="896"/>
      <c r="B14" s="953" t="s">
        <v>782</v>
      </c>
      <c r="C14" s="896"/>
      <c r="D14" s="955">
        <f>D13*B10</f>
        <v>127596.27441041311</v>
      </c>
      <c r="E14" s="955">
        <f>E13*C10</f>
        <v>134539.98689127117</v>
      </c>
      <c r="F14" s="955">
        <f>SUM(D14:E14)</f>
        <v>262136.26130168428</v>
      </c>
      <c r="G14" s="958">
        <f>F14/56.15</f>
        <v>4668.4997560406819</v>
      </c>
      <c r="H14" s="896"/>
      <c r="I14" s="896"/>
    </row>
  </sheetData>
  <mergeCells count="1">
    <mergeCell ref="Q4:T4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7D988-BEA8-4C73-A9D8-6DEA1E0B4A1D}">
  <sheetPr codeName="Sheet30">
    <tabColor rgb="FF92D050"/>
  </sheetPr>
  <dimension ref="B2:CK37"/>
  <sheetViews>
    <sheetView showGridLines="0" zoomScale="70" zoomScaleNormal="70" workbookViewId="0">
      <pane xSplit="6" ySplit="14" topLeftCell="G15" activePane="bottomRight" state="frozen"/>
      <selection pane="topRight" activeCell="C16" sqref="C16"/>
      <selection pane="bottomLeft" activeCell="C16" sqref="C16"/>
      <selection pane="bottomRight" activeCell="I16" sqref="I16"/>
    </sheetView>
  </sheetViews>
  <sheetFormatPr defaultColWidth="8.77734375" defaultRowHeight="14.4" x14ac:dyDescent="0.3"/>
  <cols>
    <col min="1" max="1" width="2.77734375" style="192" customWidth="1"/>
    <col min="2" max="2" width="10" style="192" bestFit="1" customWidth="1"/>
    <col min="3" max="3" width="10" style="192" customWidth="1"/>
    <col min="4" max="4" width="26.44140625" style="192" bestFit="1" customWidth="1"/>
    <col min="5" max="5" width="8.77734375" style="192"/>
    <col min="6" max="6" width="12.44140625" style="192" bestFit="1" customWidth="1"/>
    <col min="7" max="7" width="13" style="192" bestFit="1" customWidth="1"/>
    <col min="8" max="8" width="9.77734375" style="192" bestFit="1" customWidth="1"/>
    <col min="9" max="9" width="15.5546875" style="192" bestFit="1" customWidth="1"/>
    <col min="10" max="10" width="17.77734375" style="192" bestFit="1" customWidth="1"/>
    <col min="11" max="11" width="14.77734375" style="192" bestFit="1" customWidth="1"/>
    <col min="12" max="12" width="15" style="192" bestFit="1" customWidth="1"/>
    <col min="13" max="13" width="13" style="192" bestFit="1" customWidth="1"/>
    <col min="14" max="14" width="10.77734375" style="192" bestFit="1" customWidth="1"/>
    <col min="15" max="15" width="14.5546875" style="192" bestFit="1" customWidth="1"/>
    <col min="16" max="16" width="8.77734375" style="192"/>
    <col min="17" max="18" width="14.77734375" style="192" bestFit="1" customWidth="1"/>
    <col min="19" max="19" width="8.77734375" style="192"/>
    <col min="20" max="20" width="9.77734375" style="192" bestFit="1" customWidth="1"/>
    <col min="21" max="21" width="15.5546875" style="192" bestFit="1" customWidth="1"/>
    <col min="22" max="22" width="8.77734375" style="192"/>
    <col min="23" max="23" width="14.77734375" style="192" bestFit="1" customWidth="1"/>
    <col min="24" max="24" width="15" style="192" bestFit="1" customWidth="1"/>
    <col min="25" max="25" width="8.77734375" style="192"/>
    <col min="26" max="26" width="9.77734375" style="192" bestFit="1" customWidth="1"/>
    <col min="27" max="27" width="14.5546875" style="192" bestFit="1" customWidth="1"/>
    <col min="28" max="28" width="12.21875" style="192" bestFit="1" customWidth="1"/>
    <col min="29" max="30" width="14.77734375" style="192" bestFit="1" customWidth="1"/>
    <col min="31" max="31" width="8.77734375" style="192"/>
    <col min="32" max="32" width="9.77734375" style="192" bestFit="1" customWidth="1"/>
    <col min="33" max="33" width="14.5546875" style="192" bestFit="1" customWidth="1"/>
    <col min="34" max="34" width="8.77734375" style="192"/>
    <col min="35" max="36" width="14.77734375" style="192" bestFit="1" customWidth="1"/>
    <col min="37" max="37" width="19.21875" style="192" customWidth="1"/>
    <col min="38" max="38" width="20.21875" style="192" customWidth="1"/>
    <col min="39" max="39" width="14.5546875" style="192" bestFit="1" customWidth="1"/>
    <col min="40" max="40" width="8.77734375" style="192"/>
    <col min="41" max="41" width="10.5546875" style="192" bestFit="1" customWidth="1"/>
    <col min="42" max="42" width="14.77734375" style="192" bestFit="1" customWidth="1"/>
    <col min="43" max="43" width="8.77734375" style="192"/>
    <col min="44" max="44" width="12.21875" style="192" bestFit="1" customWidth="1"/>
    <col min="45" max="45" width="10.5546875" style="192" bestFit="1" customWidth="1"/>
    <col min="46" max="46" width="8.77734375" style="192"/>
    <col min="47" max="48" width="10.5546875" style="192" bestFit="1" customWidth="1"/>
    <col min="49" max="49" width="8.77734375" style="192"/>
    <col min="50" max="50" width="12.21875" style="192" bestFit="1" customWidth="1"/>
    <col min="51" max="51" width="14.5546875" style="192" bestFit="1" customWidth="1"/>
    <col min="52" max="52" width="8.77734375" style="192"/>
    <col min="53" max="54" width="14.77734375" style="192" bestFit="1" customWidth="1"/>
    <col min="55" max="55" width="8.77734375" style="192"/>
    <col min="56" max="56" width="12.21875" style="192" bestFit="1" customWidth="1"/>
    <col min="57" max="57" width="14.5546875" style="192" bestFit="1" customWidth="1"/>
    <col min="58" max="58" width="8.77734375" style="192"/>
    <col min="59" max="60" width="14.77734375" style="192" bestFit="1" customWidth="1"/>
    <col min="61" max="61" width="8.77734375" style="192"/>
    <col min="62" max="62" width="12.21875" style="192" bestFit="1" customWidth="1"/>
    <col min="63" max="63" width="14.5546875" style="192" bestFit="1" customWidth="1"/>
    <col min="64" max="64" width="8.77734375" style="192"/>
    <col min="65" max="66" width="14.77734375" style="192" bestFit="1" customWidth="1"/>
    <col min="67" max="67" width="8.77734375" style="192"/>
    <col min="68" max="68" width="12.21875" style="192" bestFit="1" customWidth="1"/>
    <col min="69" max="69" width="14.44140625" style="192" customWidth="1"/>
    <col min="70" max="70" width="8.77734375" style="192"/>
    <col min="71" max="71" width="14.77734375" style="192" bestFit="1" customWidth="1"/>
    <col min="72" max="72" width="15" style="192" bestFit="1" customWidth="1"/>
    <col min="73" max="73" width="8.77734375" style="192"/>
    <col min="74" max="74" width="12.21875" style="192" bestFit="1" customWidth="1"/>
    <col min="75" max="75" width="14.5546875" style="192" bestFit="1" customWidth="1"/>
    <col min="76" max="76" width="8.77734375" style="192"/>
    <col min="77" max="78" width="14.77734375" style="192" bestFit="1" customWidth="1"/>
    <col min="79" max="79" width="2.77734375" style="192" customWidth="1"/>
    <col min="80" max="16384" width="8.77734375" style="192"/>
  </cols>
  <sheetData>
    <row r="2" spans="2:85" x14ac:dyDescent="0.3">
      <c r="B2" s="192" t="s">
        <v>367</v>
      </c>
    </row>
    <row r="4" spans="2:85" x14ac:dyDescent="0.3">
      <c r="B4" s="192" t="s">
        <v>368</v>
      </c>
    </row>
    <row r="5" spans="2:85" x14ac:dyDescent="0.3">
      <c r="B5" s="192" t="s">
        <v>369</v>
      </c>
    </row>
    <row r="6" spans="2:85" x14ac:dyDescent="0.3">
      <c r="B6" s="192" t="s">
        <v>370</v>
      </c>
    </row>
    <row r="7" spans="2:85" x14ac:dyDescent="0.3">
      <c r="B7" s="192" t="s">
        <v>371</v>
      </c>
    </row>
    <row r="8" spans="2:85" x14ac:dyDescent="0.3">
      <c r="B8" s="192" t="s">
        <v>372</v>
      </c>
    </row>
    <row r="9" spans="2:85" x14ac:dyDescent="0.3">
      <c r="B9" s="192" t="s">
        <v>373</v>
      </c>
    </row>
    <row r="11" spans="2:85" ht="15" thickBot="1" x14ac:dyDescent="0.35"/>
    <row r="12" spans="2:85" s="193" customFormat="1" ht="15" thickBot="1" x14ac:dyDescent="0.35">
      <c r="G12" s="194" t="s">
        <v>374</v>
      </c>
      <c r="H12" s="195">
        <v>97105</v>
      </c>
      <c r="M12" s="194"/>
      <c r="N12" s="195"/>
      <c r="S12" s="194"/>
      <c r="T12" s="195"/>
      <c r="Y12" s="194"/>
      <c r="Z12" s="195"/>
      <c r="AE12" s="194"/>
      <c r="AF12" s="195"/>
      <c r="AK12" s="194"/>
      <c r="AL12" s="195"/>
      <c r="AQ12" s="194"/>
      <c r="AR12" s="195"/>
      <c r="AW12" s="194"/>
      <c r="AX12" s="195"/>
      <c r="BC12" s="194"/>
      <c r="BD12" s="195"/>
      <c r="BI12" s="194"/>
      <c r="BJ12" s="195"/>
      <c r="BO12" s="194"/>
      <c r="BP12" s="195"/>
      <c r="BU12" s="194"/>
      <c r="BV12" s="195"/>
      <c r="CB12" s="194"/>
      <c r="CC12" s="195"/>
    </row>
    <row r="13" spans="2:85" s="193" customFormat="1" ht="15" thickBot="1" x14ac:dyDescent="0.35">
      <c r="E13" s="196"/>
      <c r="F13" s="196"/>
      <c r="G13" s="197"/>
      <c r="H13" s="198"/>
      <c r="I13" s="199" t="s">
        <v>375</v>
      </c>
      <c r="J13" s="198"/>
      <c r="K13" s="198"/>
      <c r="L13" s="200"/>
      <c r="M13" s="197"/>
      <c r="N13" s="198"/>
      <c r="O13" s="199"/>
      <c r="P13" s="198"/>
      <c r="Q13" s="198"/>
      <c r="R13" s="200"/>
      <c r="S13" s="197"/>
      <c r="T13" s="198"/>
      <c r="U13" s="201"/>
      <c r="V13" s="198"/>
      <c r="W13" s="198"/>
      <c r="X13" s="200"/>
      <c r="Y13" s="197"/>
      <c r="Z13" s="198"/>
      <c r="AA13" s="201"/>
      <c r="AB13" s="198"/>
      <c r="AC13" s="198"/>
      <c r="AD13" s="200"/>
      <c r="AE13" s="197"/>
      <c r="AF13" s="198"/>
      <c r="AG13" s="201"/>
      <c r="AH13" s="198"/>
      <c r="AI13" s="198"/>
      <c r="AJ13" s="200"/>
      <c r="AK13" s="197"/>
      <c r="AL13" s="198"/>
      <c r="AM13" s="201"/>
      <c r="AN13" s="198"/>
      <c r="AO13" s="198"/>
      <c r="AP13" s="200"/>
      <c r="AQ13" s="197"/>
      <c r="AR13" s="198"/>
      <c r="AS13" s="201"/>
      <c r="AT13" s="198"/>
      <c r="AU13" s="198"/>
      <c r="AV13" s="200"/>
      <c r="AW13" s="197"/>
      <c r="AX13" s="198"/>
      <c r="AY13" s="201"/>
      <c r="AZ13" s="198"/>
      <c r="BA13" s="198"/>
      <c r="BB13" s="200"/>
      <c r="BC13" s="197"/>
      <c r="BD13" s="198"/>
      <c r="BE13" s="201"/>
      <c r="BF13" s="198"/>
      <c r="BG13" s="198"/>
      <c r="BH13" s="200"/>
      <c r="BI13" s="197"/>
      <c r="BJ13" s="198"/>
      <c r="BK13" s="201"/>
      <c r="BL13" s="198"/>
      <c r="BM13" s="198"/>
      <c r="BN13" s="200"/>
      <c r="BO13" s="197"/>
      <c r="BP13" s="198"/>
      <c r="BQ13" s="201"/>
      <c r="BR13" s="198"/>
      <c r="BS13" s="198"/>
      <c r="BT13" s="200"/>
      <c r="BU13" s="197"/>
      <c r="BV13" s="198"/>
      <c r="BW13" s="201"/>
      <c r="BX13" s="198"/>
      <c r="BY13" s="198"/>
      <c r="BZ13" s="200"/>
      <c r="CB13" s="197"/>
      <c r="CC13" s="198"/>
      <c r="CD13" s="201"/>
      <c r="CE13" s="198"/>
      <c r="CF13" s="198"/>
      <c r="CG13" s="200"/>
    </row>
    <row r="14" spans="2:85" s="193" customFormat="1" ht="29.4" thickBot="1" x14ac:dyDescent="0.35">
      <c r="B14" s="202" t="s">
        <v>376</v>
      </c>
      <c r="C14" s="202" t="s">
        <v>377</v>
      </c>
      <c r="D14" s="203" t="s">
        <v>378</v>
      </c>
      <c r="E14" s="204" t="s">
        <v>379</v>
      </c>
      <c r="F14" s="204" t="s">
        <v>380</v>
      </c>
      <c r="G14" s="205" t="s">
        <v>381</v>
      </c>
      <c r="H14" s="205" t="s">
        <v>382</v>
      </c>
      <c r="I14" s="206" t="s">
        <v>383</v>
      </c>
      <c r="J14" s="205" t="s">
        <v>384</v>
      </c>
      <c r="K14" s="207" t="s">
        <v>385</v>
      </c>
      <c r="L14" s="207" t="s">
        <v>386</v>
      </c>
      <c r="M14" s="205"/>
      <c r="N14" s="205"/>
      <c r="O14" s="206"/>
      <c r="P14" s="205"/>
      <c r="Q14" s="207"/>
      <c r="R14" s="207"/>
      <c r="S14" s="205"/>
      <c r="T14" s="205"/>
      <c r="U14" s="206"/>
      <c r="V14" s="205"/>
      <c r="W14" s="207"/>
      <c r="X14" s="207"/>
      <c r="Y14" s="205"/>
      <c r="Z14" s="205"/>
      <c r="AA14" s="206"/>
      <c r="AB14" s="205"/>
      <c r="AC14" s="207"/>
      <c r="AD14" s="207"/>
      <c r="AE14" s="205"/>
      <c r="AF14" s="205"/>
      <c r="AG14" s="206"/>
      <c r="AH14" s="205"/>
      <c r="AI14" s="207"/>
      <c r="AJ14" s="207"/>
      <c r="AK14" s="205"/>
      <c r="AL14" s="205"/>
      <c r="AM14" s="206"/>
      <c r="AN14" s="205"/>
      <c r="AO14" s="207"/>
      <c r="AP14" s="207"/>
      <c r="AQ14" s="205"/>
      <c r="AR14" s="205"/>
      <c r="AS14" s="206"/>
      <c r="AT14" s="205"/>
      <c r="AU14" s="207"/>
      <c r="AV14" s="207"/>
      <c r="AW14" s="205"/>
      <c r="AX14" s="205"/>
      <c r="AY14" s="206"/>
      <c r="AZ14" s="205"/>
      <c r="BA14" s="207"/>
      <c r="BB14" s="207"/>
      <c r="BC14" s="205"/>
      <c r="BD14" s="205"/>
      <c r="BE14" s="206"/>
      <c r="BF14" s="205"/>
      <c r="BG14" s="207"/>
      <c r="BH14" s="207"/>
      <c r="BI14" s="205"/>
      <c r="BJ14" s="205"/>
      <c r="BK14" s="206"/>
      <c r="BL14" s="205"/>
      <c r="BM14" s="207"/>
      <c r="BN14" s="207"/>
      <c r="BO14" s="205"/>
      <c r="BP14" s="205"/>
      <c r="BQ14" s="206"/>
      <c r="BR14" s="205"/>
      <c r="BS14" s="207"/>
      <c r="BT14" s="207"/>
      <c r="BU14" s="205"/>
      <c r="BV14" s="205"/>
      <c r="BW14" s="206"/>
      <c r="BX14" s="205"/>
      <c r="BY14" s="207"/>
      <c r="BZ14" s="207"/>
      <c r="CB14" s="205"/>
      <c r="CC14" s="205"/>
      <c r="CD14" s="206"/>
      <c r="CE14" s="205"/>
      <c r="CF14" s="207"/>
      <c r="CG14" s="207"/>
    </row>
    <row r="15" spans="2:85" s="193" customFormat="1" x14ac:dyDescent="0.3">
      <c r="B15" s="208">
        <v>40007037</v>
      </c>
      <c r="C15" s="209" t="s">
        <v>387</v>
      </c>
      <c r="D15" s="210" t="s">
        <v>388</v>
      </c>
      <c r="E15" s="211">
        <v>4.6985321888315591E-2</v>
      </c>
      <c r="F15" s="212">
        <v>5.2</v>
      </c>
      <c r="G15" s="213">
        <v>4480</v>
      </c>
      <c r="H15" s="214">
        <f t="shared" ref="H15:H28" si="0">+IFERROR(I15/G15,0)</f>
        <v>5.2</v>
      </c>
      <c r="I15" s="215">
        <v>23296</v>
      </c>
      <c r="J15" s="216">
        <f t="shared" ref="J15:J22" si="1">+G15/$H$12</f>
        <v>4.6135626383811336E-2</v>
      </c>
      <c r="K15" s="217">
        <f>+G15*(H15-$F$15)</f>
        <v>0</v>
      </c>
      <c r="L15" s="218">
        <f>+(G15-($E$15*H$12))*$F$15</f>
        <v>-429.05034621740305</v>
      </c>
      <c r="M15" s="219"/>
      <c r="N15" s="214"/>
      <c r="O15" s="220"/>
      <c r="P15" s="216"/>
      <c r="Q15" s="217"/>
      <c r="R15" s="218"/>
      <c r="S15" s="219"/>
      <c r="T15" s="214"/>
      <c r="U15" s="221"/>
      <c r="V15" s="216"/>
      <c r="W15" s="217"/>
      <c r="X15" s="218"/>
      <c r="Y15" s="219"/>
      <c r="Z15" s="214"/>
      <c r="AA15" s="221"/>
      <c r="AB15" s="216"/>
      <c r="AC15" s="217"/>
      <c r="AD15" s="218"/>
      <c r="AE15" s="219"/>
      <c r="AF15" s="214"/>
      <c r="AG15" s="221"/>
      <c r="AH15" s="216"/>
      <c r="AI15" s="217"/>
      <c r="AJ15" s="218"/>
      <c r="AK15" s="219"/>
      <c r="AL15" s="214"/>
      <c r="AM15" s="222"/>
      <c r="AN15" s="216"/>
      <c r="AO15" s="217"/>
      <c r="AP15" s="218"/>
      <c r="AQ15" s="219"/>
      <c r="AR15" s="214"/>
      <c r="AS15" s="221"/>
      <c r="AT15" s="216"/>
      <c r="AU15" s="217"/>
      <c r="AV15" s="218"/>
      <c r="AW15" s="219"/>
      <c r="AX15" s="214"/>
      <c r="AY15" s="221"/>
      <c r="AZ15" s="216"/>
      <c r="BA15" s="217"/>
      <c r="BB15" s="218"/>
      <c r="BC15" s="219"/>
      <c r="BD15" s="214"/>
      <c r="BE15" s="221"/>
      <c r="BF15" s="216"/>
      <c r="BG15" s="217"/>
      <c r="BH15" s="218"/>
      <c r="BI15" s="219"/>
      <c r="BJ15" s="214"/>
      <c r="BK15" s="221"/>
      <c r="BL15" s="216"/>
      <c r="BM15" s="217"/>
      <c r="BN15" s="218"/>
      <c r="BO15" s="219"/>
      <c r="BP15" s="214"/>
      <c r="BQ15" s="221"/>
      <c r="BR15" s="216"/>
      <c r="BS15" s="217"/>
      <c r="BT15" s="218"/>
      <c r="BU15" s="219"/>
      <c r="BV15" s="214"/>
      <c r="BW15" s="221"/>
      <c r="BX15" s="216"/>
      <c r="BY15" s="217"/>
      <c r="BZ15" s="218"/>
      <c r="CB15" s="219"/>
      <c r="CC15" s="214"/>
      <c r="CD15" s="221"/>
      <c r="CE15" s="216"/>
      <c r="CF15" s="217"/>
      <c r="CG15" s="218"/>
    </row>
    <row r="16" spans="2:85" s="193" customFormat="1" x14ac:dyDescent="0.3">
      <c r="B16" s="208">
        <v>40007340</v>
      </c>
      <c r="C16" s="209" t="s">
        <v>389</v>
      </c>
      <c r="D16" s="210" t="s">
        <v>390</v>
      </c>
      <c r="E16" s="211">
        <v>0.47585446808415033</v>
      </c>
      <c r="F16" s="212">
        <v>1</v>
      </c>
      <c r="G16" s="213">
        <v>43100</v>
      </c>
      <c r="H16" s="214">
        <f t="shared" si="0"/>
        <v>1</v>
      </c>
      <c r="I16" s="215">
        <v>43100</v>
      </c>
      <c r="J16" s="216">
        <f t="shared" si="1"/>
        <v>0.44384944132639925</v>
      </c>
      <c r="K16" s="217">
        <f>+G16*(H16-$F$16)</f>
        <v>0</v>
      </c>
      <c r="L16" s="218">
        <f>+(G16-($E$16*H$12))*$F$16</f>
        <v>-3107.8481233114144</v>
      </c>
      <c r="M16" s="219"/>
      <c r="N16" s="214"/>
      <c r="O16" s="220"/>
      <c r="P16" s="216"/>
      <c r="Q16" s="217"/>
      <c r="R16" s="218"/>
      <c r="S16" s="219"/>
      <c r="T16" s="214"/>
      <c r="U16" s="221"/>
      <c r="V16" s="216"/>
      <c r="W16" s="217"/>
      <c r="X16" s="218"/>
      <c r="Y16" s="219"/>
      <c r="Z16" s="214"/>
      <c r="AA16" s="221"/>
      <c r="AB16" s="216"/>
      <c r="AC16" s="217"/>
      <c r="AD16" s="218"/>
      <c r="AE16" s="219"/>
      <c r="AF16" s="214"/>
      <c r="AG16" s="221"/>
      <c r="AH16" s="216"/>
      <c r="AI16" s="217"/>
      <c r="AJ16" s="218"/>
      <c r="AK16" s="219"/>
      <c r="AL16" s="214"/>
      <c r="AM16" s="222"/>
      <c r="AN16" s="216"/>
      <c r="AO16" s="217"/>
      <c r="AP16" s="218"/>
      <c r="AQ16" s="219"/>
      <c r="AR16" s="214"/>
      <c r="AS16" s="221"/>
      <c r="AT16" s="216"/>
      <c r="AU16" s="217"/>
      <c r="AV16" s="218"/>
      <c r="AW16" s="219"/>
      <c r="AX16" s="214"/>
      <c r="AY16" s="219"/>
      <c r="AZ16" s="216"/>
      <c r="BA16" s="217"/>
      <c r="BB16" s="218"/>
      <c r="BC16" s="219"/>
      <c r="BD16" s="214"/>
      <c r="BE16" s="221"/>
      <c r="BF16" s="216"/>
      <c r="BG16" s="217"/>
      <c r="BH16" s="218"/>
      <c r="BI16" s="219"/>
      <c r="BJ16" s="214"/>
      <c r="BK16" s="221"/>
      <c r="BL16" s="216"/>
      <c r="BM16" s="217"/>
      <c r="BN16" s="218"/>
      <c r="BO16" s="219"/>
      <c r="BP16" s="214"/>
      <c r="BQ16" s="219"/>
      <c r="BR16" s="216"/>
      <c r="BS16" s="217"/>
      <c r="BT16" s="218"/>
      <c r="BU16" s="219"/>
      <c r="BV16" s="214"/>
      <c r="BW16" s="221"/>
      <c r="BX16" s="216"/>
      <c r="BY16" s="217"/>
      <c r="BZ16" s="218"/>
      <c r="CB16" s="219"/>
      <c r="CC16" s="214"/>
      <c r="CD16" s="221"/>
      <c r="CE16" s="216"/>
      <c r="CF16" s="217"/>
      <c r="CG16" s="218"/>
    </row>
    <row r="17" spans="2:89" s="193" customFormat="1" x14ac:dyDescent="0.3">
      <c r="B17" s="208">
        <v>40007341</v>
      </c>
      <c r="C17" s="209" t="s">
        <v>391</v>
      </c>
      <c r="D17" s="210" t="s">
        <v>392</v>
      </c>
      <c r="E17" s="211">
        <v>0.60281480595257753</v>
      </c>
      <c r="F17" s="212">
        <v>1.5</v>
      </c>
      <c r="G17" s="213">
        <v>59500</v>
      </c>
      <c r="H17" s="214">
        <f t="shared" si="0"/>
        <v>1.5</v>
      </c>
      <c r="I17" s="215">
        <v>89250</v>
      </c>
      <c r="J17" s="216">
        <f t="shared" si="1"/>
        <v>0.61273878790999436</v>
      </c>
      <c r="K17" s="217">
        <f>+G17*(H17-$F$17)</f>
        <v>0</v>
      </c>
      <c r="L17" s="218">
        <f>+(G17-($E$17*H$12))*$F$17</f>
        <v>1445.5024019624361</v>
      </c>
      <c r="M17" s="219"/>
      <c r="N17" s="214"/>
      <c r="O17" s="220"/>
      <c r="P17" s="216"/>
      <c r="Q17" s="217"/>
      <c r="R17" s="218"/>
      <c r="S17" s="219"/>
      <c r="T17" s="214"/>
      <c r="U17" s="221"/>
      <c r="V17" s="216"/>
      <c r="W17" s="217"/>
      <c r="X17" s="218"/>
      <c r="Y17" s="219"/>
      <c r="Z17" s="214"/>
      <c r="AA17" s="221"/>
      <c r="AB17" s="216"/>
      <c r="AC17" s="217"/>
      <c r="AD17" s="218"/>
      <c r="AE17" s="219"/>
      <c r="AF17" s="214"/>
      <c r="AG17" s="221"/>
      <c r="AH17" s="216"/>
      <c r="AI17" s="217"/>
      <c r="AJ17" s="218"/>
      <c r="AK17" s="219"/>
      <c r="AL17" s="214"/>
      <c r="AM17" s="222"/>
      <c r="AN17" s="216"/>
      <c r="AO17" s="217"/>
      <c r="AP17" s="218"/>
      <c r="AQ17" s="219"/>
      <c r="AR17" s="214"/>
      <c r="AS17" s="221"/>
      <c r="AT17" s="216"/>
      <c r="AU17" s="217"/>
      <c r="AV17" s="218"/>
      <c r="AW17" s="219"/>
      <c r="AX17" s="214"/>
      <c r="AY17" s="221"/>
      <c r="AZ17" s="216"/>
      <c r="BA17" s="217"/>
      <c r="BB17" s="218"/>
      <c r="BC17" s="219"/>
      <c r="BD17" s="214"/>
      <c r="BE17" s="221"/>
      <c r="BF17" s="216"/>
      <c r="BG17" s="217"/>
      <c r="BH17" s="218"/>
      <c r="BI17" s="219"/>
      <c r="BJ17" s="214"/>
      <c r="BK17" s="221"/>
      <c r="BL17" s="216"/>
      <c r="BM17" s="217"/>
      <c r="BN17" s="218"/>
      <c r="BO17" s="219"/>
      <c r="BP17" s="214"/>
      <c r="BQ17" s="221"/>
      <c r="BR17" s="216"/>
      <c r="BS17" s="217"/>
      <c r="BT17" s="218"/>
      <c r="BU17" s="219"/>
      <c r="BV17" s="214"/>
      <c r="BW17" s="221"/>
      <c r="BX17" s="216"/>
      <c r="BY17" s="217"/>
      <c r="BZ17" s="218"/>
      <c r="CB17" s="219"/>
      <c r="CC17" s="214"/>
      <c r="CD17" s="221"/>
      <c r="CE17" s="216"/>
      <c r="CF17" s="217"/>
      <c r="CG17" s="218"/>
    </row>
    <row r="18" spans="2:89" s="193" customFormat="1" x14ac:dyDescent="0.3">
      <c r="B18" s="208">
        <v>41047780</v>
      </c>
      <c r="C18" s="209" t="s">
        <v>393</v>
      </c>
      <c r="D18" s="210" t="s">
        <v>394</v>
      </c>
      <c r="E18" s="211"/>
      <c r="F18" s="212"/>
      <c r="G18" s="213"/>
      <c r="H18" s="214">
        <f t="shared" si="0"/>
        <v>0</v>
      </c>
      <c r="I18" s="215"/>
      <c r="J18" s="216">
        <f t="shared" si="1"/>
        <v>0</v>
      </c>
      <c r="K18" s="217">
        <f>+G18*(H18-$F$18)</f>
        <v>0</v>
      </c>
      <c r="L18" s="218">
        <f>+(G18-($E$18*H$12))*$F$18</f>
        <v>0</v>
      </c>
      <c r="M18" s="219"/>
      <c r="N18" s="214"/>
      <c r="O18" s="220"/>
      <c r="P18" s="216"/>
      <c r="Q18" s="217"/>
      <c r="R18" s="218"/>
      <c r="S18" s="219"/>
      <c r="T18" s="214"/>
      <c r="U18" s="221"/>
      <c r="V18" s="216"/>
      <c r="W18" s="217"/>
      <c r="X18" s="218"/>
      <c r="Y18" s="219"/>
      <c r="Z18" s="214"/>
      <c r="AA18" s="221"/>
      <c r="AB18" s="216"/>
      <c r="AC18" s="217"/>
      <c r="AD18" s="218"/>
      <c r="AE18" s="219"/>
      <c r="AF18" s="214"/>
      <c r="AG18" s="221"/>
      <c r="AH18" s="216"/>
      <c r="AI18" s="217"/>
      <c r="AJ18" s="218"/>
      <c r="AK18" s="219"/>
      <c r="AL18" s="214"/>
      <c r="AM18" s="222"/>
      <c r="AN18" s="216"/>
      <c r="AO18" s="217"/>
      <c r="AP18" s="218"/>
      <c r="AQ18" s="219"/>
      <c r="AR18" s="214"/>
      <c r="AS18" s="221"/>
      <c r="AT18" s="216"/>
      <c r="AU18" s="217"/>
      <c r="AV18" s="218"/>
      <c r="AW18" s="219"/>
      <c r="AX18" s="214"/>
      <c r="AY18" s="221"/>
      <c r="AZ18" s="216"/>
      <c r="BA18" s="217"/>
      <c r="BB18" s="218"/>
      <c r="BC18" s="219"/>
      <c r="BD18" s="214"/>
      <c r="BE18" s="221"/>
      <c r="BF18" s="216"/>
      <c r="BG18" s="217"/>
      <c r="BH18" s="218"/>
      <c r="BI18" s="219"/>
      <c r="BJ18" s="214"/>
      <c r="BK18" s="221"/>
      <c r="BL18" s="216"/>
      <c r="BM18" s="217"/>
      <c r="BN18" s="218"/>
      <c r="BO18" s="219"/>
      <c r="BP18" s="214"/>
      <c r="BQ18" s="221"/>
      <c r="BR18" s="216"/>
      <c r="BS18" s="217"/>
      <c r="BT18" s="218"/>
      <c r="BU18" s="219"/>
      <c r="BV18" s="214"/>
      <c r="BW18" s="221"/>
      <c r="BX18" s="216"/>
      <c r="BY18" s="217"/>
      <c r="BZ18" s="218"/>
      <c r="CB18" s="219"/>
      <c r="CC18" s="214"/>
      <c r="CD18" s="221"/>
      <c r="CE18" s="216"/>
      <c r="CF18" s="217"/>
      <c r="CG18" s="218"/>
    </row>
    <row r="19" spans="2:89" s="193" customFormat="1" x14ac:dyDescent="0.3">
      <c r="B19" s="208">
        <v>41047943</v>
      </c>
      <c r="C19" s="209" t="s">
        <v>395</v>
      </c>
      <c r="D19" s="210" t="s">
        <v>396</v>
      </c>
      <c r="E19" s="211"/>
      <c r="F19" s="212"/>
      <c r="G19" s="213"/>
      <c r="H19" s="214">
        <f t="shared" si="0"/>
        <v>0</v>
      </c>
      <c r="I19" s="215"/>
      <c r="J19" s="216">
        <f t="shared" si="1"/>
        <v>0</v>
      </c>
      <c r="K19" s="217">
        <f>+G19*(H19-$F$19)</f>
        <v>0</v>
      </c>
      <c r="L19" s="218">
        <f>+(G19-($E$19*H$12))*$F$19</f>
        <v>0</v>
      </c>
      <c r="M19" s="219"/>
      <c r="N19" s="214"/>
      <c r="O19" s="220"/>
      <c r="P19" s="216"/>
      <c r="Q19" s="217"/>
      <c r="R19" s="218"/>
      <c r="S19" s="223"/>
      <c r="T19" s="224"/>
      <c r="U19" s="225"/>
      <c r="V19" s="226"/>
      <c r="W19" s="217"/>
      <c r="X19" s="218"/>
      <c r="Y19" s="223"/>
      <c r="Z19" s="224"/>
      <c r="AA19" s="225"/>
      <c r="AB19" s="226"/>
      <c r="AC19" s="217"/>
      <c r="AD19" s="218"/>
      <c r="AE19" s="219"/>
      <c r="AF19" s="224"/>
      <c r="AG19" s="221"/>
      <c r="AH19" s="226"/>
      <c r="AI19" s="217"/>
      <c r="AJ19" s="218"/>
      <c r="AK19" s="223"/>
      <c r="AL19" s="224"/>
      <c r="AM19" s="227"/>
      <c r="AN19" s="226"/>
      <c r="AO19" s="217"/>
      <c r="AP19" s="218"/>
      <c r="AQ19" s="223"/>
      <c r="AR19" s="224"/>
      <c r="AS19" s="225"/>
      <c r="AT19" s="226"/>
      <c r="AU19" s="217"/>
      <c r="AV19" s="218"/>
      <c r="AW19" s="223"/>
      <c r="AX19" s="224"/>
      <c r="AY19" s="225"/>
      <c r="AZ19" s="226"/>
      <c r="BA19" s="217"/>
      <c r="BB19" s="218"/>
      <c r="BC19" s="223"/>
      <c r="BD19" s="224"/>
      <c r="BE19" s="225"/>
      <c r="BF19" s="226"/>
      <c r="BG19" s="217"/>
      <c r="BH19" s="218"/>
      <c r="BI19" s="223"/>
      <c r="BJ19" s="224"/>
      <c r="BK19" s="225"/>
      <c r="BL19" s="226"/>
      <c r="BM19" s="217"/>
      <c r="BN19" s="218"/>
      <c r="BO19" s="223"/>
      <c r="BP19" s="224"/>
      <c r="BQ19" s="225"/>
      <c r="BR19" s="226"/>
      <c r="BS19" s="217"/>
      <c r="BT19" s="218"/>
      <c r="BU19" s="223"/>
      <c r="BV19" s="224"/>
      <c r="BW19" s="225"/>
      <c r="BX19" s="226"/>
      <c r="BY19" s="217"/>
      <c r="BZ19" s="218"/>
      <c r="CA19" s="228"/>
      <c r="CB19" s="223"/>
      <c r="CC19" s="224"/>
      <c r="CD19" s="225"/>
      <c r="CE19" s="226"/>
      <c r="CF19" s="217"/>
      <c r="CG19" s="218"/>
    </row>
    <row r="20" spans="2:89" s="193" customFormat="1" x14ac:dyDescent="0.3">
      <c r="B20" s="208">
        <v>40008331</v>
      </c>
      <c r="C20" s="209" t="s">
        <v>397</v>
      </c>
      <c r="D20" s="210" t="s">
        <v>398</v>
      </c>
      <c r="E20" s="211">
        <v>8.0976265181106066E-2</v>
      </c>
      <c r="F20" s="212">
        <v>2.5</v>
      </c>
      <c r="G20" s="213">
        <v>7020</v>
      </c>
      <c r="H20" s="214">
        <f>+IFERROR(I20/G20,0)</f>
        <v>2.5</v>
      </c>
      <c r="I20" s="215">
        <v>17550</v>
      </c>
      <c r="J20" s="216">
        <f t="shared" si="1"/>
        <v>7.2292878842490083E-2</v>
      </c>
      <c r="K20" s="217">
        <f>+G20*(H20-$F$20)</f>
        <v>0</v>
      </c>
      <c r="L20" s="218">
        <f>+(G20-($E$20*H$12))*$F$20</f>
        <v>-2108.000576028262</v>
      </c>
      <c r="M20" s="219"/>
      <c r="N20" s="214"/>
      <c r="O20" s="220"/>
      <c r="P20" s="216"/>
      <c r="Q20" s="217"/>
      <c r="R20" s="218"/>
      <c r="S20" s="219"/>
      <c r="T20" s="214"/>
      <c r="U20" s="221"/>
      <c r="V20" s="216"/>
      <c r="W20" s="217"/>
      <c r="X20" s="218"/>
      <c r="Y20" s="219"/>
      <c r="Z20" s="214"/>
      <c r="AA20" s="222"/>
      <c r="AB20" s="216"/>
      <c r="AC20" s="217"/>
      <c r="AD20" s="218"/>
      <c r="AE20" s="219"/>
      <c r="AF20" s="214"/>
      <c r="AG20" s="221"/>
      <c r="AH20" s="216"/>
      <c r="AI20" s="217"/>
      <c r="AJ20" s="218"/>
      <c r="AK20" s="219"/>
      <c r="AL20" s="214"/>
      <c r="AM20" s="222"/>
      <c r="AN20" s="216"/>
      <c r="AO20" s="217"/>
      <c r="AP20" s="218"/>
      <c r="AQ20" s="219"/>
      <c r="AR20" s="214"/>
      <c r="AS20" s="221"/>
      <c r="AT20" s="216"/>
      <c r="AU20" s="217"/>
      <c r="AV20" s="218"/>
      <c r="AW20" s="219"/>
      <c r="AX20" s="214"/>
      <c r="AY20" s="221"/>
      <c r="AZ20" s="216"/>
      <c r="BA20" s="217"/>
      <c r="BB20" s="218"/>
      <c r="BC20" s="219"/>
      <c r="BD20" s="214"/>
      <c r="BE20" s="221"/>
      <c r="BF20" s="216"/>
      <c r="BG20" s="217"/>
      <c r="BH20" s="218"/>
      <c r="BI20" s="219"/>
      <c r="BJ20" s="214"/>
      <c r="BK20" s="221"/>
      <c r="BL20" s="216"/>
      <c r="BM20" s="217"/>
      <c r="BN20" s="218"/>
      <c r="BO20" s="219"/>
      <c r="BP20" s="214"/>
      <c r="BQ20" s="221"/>
      <c r="BR20" s="216"/>
      <c r="BS20" s="217"/>
      <c r="BT20" s="218"/>
      <c r="BU20" s="219"/>
      <c r="BV20" s="214"/>
      <c r="BW20" s="221"/>
      <c r="BX20" s="216"/>
      <c r="BY20" s="217"/>
      <c r="BZ20" s="218"/>
      <c r="CB20" s="219"/>
      <c r="CC20" s="214"/>
      <c r="CD20" s="221"/>
      <c r="CE20" s="216"/>
      <c r="CF20" s="217"/>
      <c r="CG20" s="218"/>
    </row>
    <row r="21" spans="2:89" s="193" customFormat="1" x14ac:dyDescent="0.3">
      <c r="B21" s="208">
        <v>41047781</v>
      </c>
      <c r="C21" s="209" t="s">
        <v>399</v>
      </c>
      <c r="D21" s="210" t="s">
        <v>400</v>
      </c>
      <c r="E21" s="211"/>
      <c r="F21" s="212"/>
      <c r="G21" s="213">
        <v>1500</v>
      </c>
      <c r="H21" s="214">
        <f t="shared" si="0"/>
        <v>13.3</v>
      </c>
      <c r="I21" s="215">
        <v>19950</v>
      </c>
      <c r="J21" s="216">
        <f t="shared" si="1"/>
        <v>1.5447196333865404E-2</v>
      </c>
      <c r="K21" s="217">
        <f>+G21*(H21-$F$21)</f>
        <v>19950</v>
      </c>
      <c r="L21" s="218">
        <f>+(G21-($E$21*H$12))*$F$21</f>
        <v>0</v>
      </c>
      <c r="M21" s="219"/>
      <c r="N21" s="214"/>
      <c r="O21" s="220"/>
      <c r="P21" s="216"/>
      <c r="Q21" s="217"/>
      <c r="R21" s="218"/>
      <c r="S21" s="219"/>
      <c r="T21" s="214"/>
      <c r="U21" s="221"/>
      <c r="V21" s="216"/>
      <c r="W21" s="217"/>
      <c r="X21" s="218"/>
      <c r="Y21" s="219"/>
      <c r="Z21" s="214"/>
      <c r="AA21" s="221"/>
      <c r="AB21" s="216"/>
      <c r="AC21" s="217"/>
      <c r="AD21" s="218"/>
      <c r="AE21" s="219"/>
      <c r="AF21" s="214"/>
      <c r="AG21" s="221"/>
      <c r="AH21" s="216"/>
      <c r="AI21" s="217"/>
      <c r="AJ21" s="218"/>
      <c r="AK21" s="219"/>
      <c r="AL21" s="214"/>
      <c r="AM21" s="222"/>
      <c r="AN21" s="216"/>
      <c r="AO21" s="217"/>
      <c r="AP21" s="218"/>
      <c r="AQ21" s="219"/>
      <c r="AR21" s="214"/>
      <c r="AS21" s="221"/>
      <c r="AT21" s="216"/>
      <c r="AU21" s="217"/>
      <c r="AV21" s="218"/>
      <c r="AW21" s="219"/>
      <c r="AX21" s="214"/>
      <c r="AY21" s="221"/>
      <c r="AZ21" s="216"/>
      <c r="BA21" s="217"/>
      <c r="BB21" s="218"/>
      <c r="BC21" s="219"/>
      <c r="BD21" s="214"/>
      <c r="BE21" s="221"/>
      <c r="BF21" s="216"/>
      <c r="BG21" s="217"/>
      <c r="BH21" s="218"/>
      <c r="BI21" s="219"/>
      <c r="BJ21" s="214"/>
      <c r="BK21" s="221"/>
      <c r="BL21" s="216"/>
      <c r="BM21" s="217"/>
      <c r="BN21" s="218"/>
      <c r="BO21" s="219"/>
      <c r="BP21" s="214"/>
      <c r="BQ21" s="221"/>
      <c r="BR21" s="216"/>
      <c r="BS21" s="217"/>
      <c r="BT21" s="218"/>
      <c r="BU21" s="219"/>
      <c r="BV21" s="214"/>
      <c r="BW21" s="221"/>
      <c r="BX21" s="216"/>
      <c r="BY21" s="217"/>
      <c r="BZ21" s="218"/>
      <c r="CB21" s="219"/>
      <c r="CC21" s="214"/>
      <c r="CD21" s="221"/>
      <c r="CE21" s="216"/>
      <c r="CF21" s="217"/>
      <c r="CG21" s="218"/>
    </row>
    <row r="22" spans="2:89" s="193" customFormat="1" x14ac:dyDescent="0.3">
      <c r="B22" s="208">
        <v>41053620</v>
      </c>
      <c r="C22" s="209" t="s">
        <v>401</v>
      </c>
      <c r="D22" s="210" t="s">
        <v>402</v>
      </c>
      <c r="E22" s="229">
        <v>0.19094035065251655</v>
      </c>
      <c r="F22" s="212">
        <v>0.05</v>
      </c>
      <c r="G22" s="213">
        <v>19380</v>
      </c>
      <c r="H22" s="214">
        <f t="shared" si="0"/>
        <v>0.05</v>
      </c>
      <c r="I22" s="215">
        <v>969</v>
      </c>
      <c r="J22" s="216">
        <f t="shared" si="1"/>
        <v>0.19957777663354101</v>
      </c>
      <c r="K22" s="217">
        <f>+G22*(H22-$F$22)</f>
        <v>0</v>
      </c>
      <c r="L22" s="218">
        <f>+(G22-($E$22*H$12))*$F$22</f>
        <v>41.936862494369052</v>
      </c>
      <c r="M22" s="219"/>
      <c r="N22" s="214"/>
      <c r="O22" s="220"/>
      <c r="P22" s="216"/>
      <c r="Q22" s="217"/>
      <c r="R22" s="218"/>
      <c r="S22" s="219"/>
      <c r="T22" s="214"/>
      <c r="U22" s="221"/>
      <c r="V22" s="216"/>
      <c r="W22" s="217"/>
      <c r="X22" s="218"/>
      <c r="Y22" s="219"/>
      <c r="Z22" s="214"/>
      <c r="AA22" s="221"/>
      <c r="AB22" s="216"/>
      <c r="AC22" s="217"/>
      <c r="AD22" s="218"/>
      <c r="AE22" s="219"/>
      <c r="AF22" s="214"/>
      <c r="AG22" s="221"/>
      <c r="AH22" s="216"/>
      <c r="AI22" s="217"/>
      <c r="AJ22" s="218"/>
      <c r="AK22" s="219"/>
      <c r="AL22" s="214"/>
      <c r="AM22" s="222"/>
      <c r="AN22" s="216"/>
      <c r="AO22" s="217"/>
      <c r="AP22" s="218"/>
      <c r="AQ22" s="219"/>
      <c r="AR22" s="214"/>
      <c r="AS22" s="221"/>
      <c r="AT22" s="216"/>
      <c r="AU22" s="217"/>
      <c r="AV22" s="218"/>
      <c r="AW22" s="219"/>
      <c r="AX22" s="214"/>
      <c r="AY22" s="221"/>
      <c r="AZ22" s="216"/>
      <c r="BA22" s="217"/>
      <c r="BB22" s="218"/>
      <c r="BC22" s="219"/>
      <c r="BD22" s="214"/>
      <c r="BE22" s="221"/>
      <c r="BF22" s="216"/>
      <c r="BG22" s="217"/>
      <c r="BH22" s="218"/>
      <c r="BI22" s="219"/>
      <c r="BJ22" s="214"/>
      <c r="BK22" s="221"/>
      <c r="BL22" s="216"/>
      <c r="BM22" s="217"/>
      <c r="BN22" s="218"/>
      <c r="BO22" s="219"/>
      <c r="BP22" s="214"/>
      <c r="BQ22" s="221"/>
      <c r="BR22" s="216"/>
      <c r="BS22" s="217"/>
      <c r="BT22" s="218"/>
      <c r="BU22" s="219"/>
      <c r="BV22" s="214"/>
      <c r="BW22" s="221"/>
      <c r="BX22" s="216"/>
      <c r="BY22" s="217"/>
      <c r="BZ22" s="218"/>
      <c r="CB22" s="219"/>
      <c r="CC22" s="214"/>
      <c r="CD22" s="221"/>
      <c r="CE22" s="216"/>
      <c r="CF22" s="217"/>
      <c r="CG22" s="218"/>
    </row>
    <row r="23" spans="2:89" s="193" customFormat="1" x14ac:dyDescent="0.3">
      <c r="B23" s="208">
        <v>41053180</v>
      </c>
      <c r="C23" s="209" t="s">
        <v>403</v>
      </c>
      <c r="D23" s="210" t="s">
        <v>404</v>
      </c>
      <c r="E23" s="229">
        <v>3.2689819011895493</v>
      </c>
      <c r="F23" s="212">
        <v>12.783959999999999</v>
      </c>
      <c r="G23" s="213">
        <v>311180</v>
      </c>
      <c r="H23" s="214">
        <f t="shared" si="0"/>
        <v>12.6</v>
      </c>
      <c r="I23" s="215">
        <v>3920868</v>
      </c>
      <c r="J23" s="216">
        <f>+G23/$H$12</f>
        <v>3.2045723701148243</v>
      </c>
      <c r="K23" s="217">
        <f>+G23*(H23-$F$23)</f>
        <v>-57244.672799999695</v>
      </c>
      <c r="L23" s="218">
        <f>+(G23-($E$23*H$12))*$F$23</f>
        <v>-79957.118212402085</v>
      </c>
      <c r="M23" s="219"/>
      <c r="N23" s="214"/>
      <c r="O23" s="220"/>
      <c r="P23" s="216"/>
      <c r="Q23" s="217"/>
      <c r="R23" s="218"/>
      <c r="S23" s="219"/>
      <c r="T23" s="214"/>
      <c r="U23" s="221"/>
      <c r="V23" s="216"/>
      <c r="W23" s="217"/>
      <c r="X23" s="218"/>
      <c r="Y23" s="219"/>
      <c r="Z23" s="214"/>
      <c r="AA23" s="221"/>
      <c r="AB23" s="216"/>
      <c r="AC23" s="217"/>
      <c r="AD23" s="218"/>
      <c r="AE23" s="219"/>
      <c r="AF23" s="214"/>
      <c r="AG23" s="221"/>
      <c r="AH23" s="216"/>
      <c r="AI23" s="217"/>
      <c r="AJ23" s="218"/>
      <c r="AK23" s="219"/>
      <c r="AL23" s="214"/>
      <c r="AM23" s="222"/>
      <c r="AN23" s="216"/>
      <c r="AO23" s="217"/>
      <c r="AP23" s="218"/>
      <c r="AQ23" s="219"/>
      <c r="AR23" s="214"/>
      <c r="AS23" s="221"/>
      <c r="AT23" s="216"/>
      <c r="AU23" s="217"/>
      <c r="AV23" s="218"/>
      <c r="AW23" s="219"/>
      <c r="AX23" s="214"/>
      <c r="AY23" s="221"/>
      <c r="AZ23" s="216"/>
      <c r="BA23" s="217"/>
      <c r="BB23" s="218"/>
      <c r="BC23" s="219"/>
      <c r="BD23" s="214"/>
      <c r="BE23" s="221"/>
      <c r="BF23" s="216"/>
      <c r="BG23" s="217"/>
      <c r="BH23" s="218"/>
      <c r="BI23" s="219"/>
      <c r="BJ23" s="214"/>
      <c r="BK23" s="221"/>
      <c r="BL23" s="216"/>
      <c r="BM23" s="217"/>
      <c r="BN23" s="218"/>
      <c r="BO23" s="219"/>
      <c r="BP23" s="214"/>
      <c r="BQ23" s="221"/>
      <c r="BR23" s="216"/>
      <c r="BS23" s="217"/>
      <c r="BT23" s="218"/>
      <c r="BU23" s="219"/>
      <c r="BV23" s="214"/>
      <c r="BW23" s="221"/>
      <c r="BX23" s="216"/>
      <c r="BY23" s="217"/>
      <c r="BZ23" s="218"/>
      <c r="CB23" s="219"/>
      <c r="CC23" s="214"/>
      <c r="CD23" s="221"/>
      <c r="CE23" s="216"/>
      <c r="CF23" s="217"/>
      <c r="CG23" s="218"/>
    </row>
    <row r="24" spans="2:89" s="193" customFormat="1" x14ac:dyDescent="0.3">
      <c r="B24" s="208"/>
      <c r="C24" s="209" t="s">
        <v>387</v>
      </c>
      <c r="D24" s="210" t="s">
        <v>388</v>
      </c>
      <c r="E24" s="229"/>
      <c r="F24" s="212"/>
      <c r="G24" s="213"/>
      <c r="H24" s="214">
        <f t="shared" si="0"/>
        <v>0</v>
      </c>
      <c r="I24" s="215"/>
      <c r="J24" s="216"/>
      <c r="K24" s="217">
        <f>+G24*(H24-$F$24)</f>
        <v>0</v>
      </c>
      <c r="L24" s="218">
        <f>+(G24-($E$24*H$12))*$F$24</f>
        <v>0</v>
      </c>
      <c r="M24" s="219"/>
      <c r="N24" s="214"/>
      <c r="O24" s="220"/>
      <c r="P24" s="216"/>
      <c r="Q24" s="217"/>
      <c r="R24" s="218"/>
      <c r="S24" s="219"/>
      <c r="T24" s="214"/>
      <c r="U24" s="221"/>
      <c r="V24" s="216"/>
      <c r="W24" s="217"/>
      <c r="X24" s="218"/>
      <c r="Y24" s="219"/>
      <c r="Z24" s="214"/>
      <c r="AA24" s="221"/>
      <c r="AB24" s="216"/>
      <c r="AC24" s="217"/>
      <c r="AD24" s="218"/>
      <c r="AE24" s="219"/>
      <c r="AF24" s="214"/>
      <c r="AG24" s="221"/>
      <c r="AH24" s="216"/>
      <c r="AI24" s="217"/>
      <c r="AJ24" s="218"/>
      <c r="AK24" s="219"/>
      <c r="AL24" s="214"/>
      <c r="AM24" s="222"/>
      <c r="AN24" s="216"/>
      <c r="AO24" s="217"/>
      <c r="AP24" s="218"/>
      <c r="AQ24" s="219"/>
      <c r="AR24" s="214"/>
      <c r="AS24" s="221"/>
      <c r="AT24" s="216"/>
      <c r="AU24" s="217"/>
      <c r="AV24" s="218"/>
      <c r="AW24" s="219"/>
      <c r="AX24" s="214"/>
      <c r="AY24" s="221"/>
      <c r="AZ24" s="216"/>
      <c r="BA24" s="217"/>
      <c r="BB24" s="218"/>
      <c r="BC24" s="219"/>
      <c r="BD24" s="214"/>
      <c r="BE24" s="221"/>
      <c r="BF24" s="216"/>
      <c r="BG24" s="217"/>
      <c r="BH24" s="218"/>
      <c r="BI24" s="219"/>
      <c r="BJ24" s="214"/>
      <c r="BK24" s="221"/>
      <c r="BL24" s="216"/>
      <c r="BM24" s="217"/>
      <c r="BN24" s="218"/>
      <c r="BO24" s="219"/>
      <c r="BP24" s="214"/>
      <c r="BQ24" s="221"/>
      <c r="BR24" s="216"/>
      <c r="BS24" s="217"/>
      <c r="BT24" s="218"/>
      <c r="BU24" s="219"/>
      <c r="BV24" s="214"/>
      <c r="BW24" s="221"/>
      <c r="BX24" s="216"/>
      <c r="BY24" s="217"/>
      <c r="BZ24" s="218"/>
      <c r="CB24" s="219"/>
      <c r="CC24" s="214"/>
      <c r="CD24" s="221"/>
      <c r="CE24" s="216"/>
      <c r="CF24" s="217"/>
      <c r="CG24" s="218"/>
    </row>
    <row r="25" spans="2:89" s="193" customFormat="1" x14ac:dyDescent="0.3">
      <c r="B25" s="208"/>
      <c r="C25" s="209"/>
      <c r="D25" s="210" t="s">
        <v>405</v>
      </c>
      <c r="E25" s="229"/>
      <c r="F25" s="212"/>
      <c r="G25" s="213"/>
      <c r="H25" s="214">
        <f t="shared" si="0"/>
        <v>0</v>
      </c>
      <c r="I25" s="215"/>
      <c r="J25" s="216"/>
      <c r="K25" s="217">
        <f>+G25*(H25-$F$25)</f>
        <v>0</v>
      </c>
      <c r="L25" s="218">
        <f>+(G25-($E$25*H$12))*$F$25</f>
        <v>0</v>
      </c>
      <c r="M25" s="219"/>
      <c r="N25" s="214"/>
      <c r="O25" s="220"/>
      <c r="P25" s="216"/>
      <c r="Q25" s="217"/>
      <c r="R25" s="218"/>
      <c r="S25" s="219"/>
      <c r="T25" s="214"/>
      <c r="U25" s="221"/>
      <c r="V25" s="216"/>
      <c r="W25" s="217"/>
      <c r="X25" s="218"/>
      <c r="Y25" s="219"/>
      <c r="Z25" s="214"/>
      <c r="AA25" s="221"/>
      <c r="AB25" s="216"/>
      <c r="AC25" s="217"/>
      <c r="AD25" s="218"/>
      <c r="AE25" s="219"/>
      <c r="AF25" s="214"/>
      <c r="AG25" s="221"/>
      <c r="AH25" s="216"/>
      <c r="AI25" s="217"/>
      <c r="AJ25" s="218"/>
      <c r="AK25" s="219"/>
      <c r="AL25" s="214"/>
      <c r="AM25" s="222"/>
      <c r="AN25" s="216"/>
      <c r="AO25" s="217"/>
      <c r="AP25" s="218"/>
      <c r="AQ25" s="219"/>
      <c r="AR25" s="214"/>
      <c r="AS25" s="221"/>
      <c r="AT25" s="216"/>
      <c r="AU25" s="217"/>
      <c r="AV25" s="218"/>
      <c r="AW25" s="219"/>
      <c r="AX25" s="214"/>
      <c r="AY25" s="221"/>
      <c r="AZ25" s="216"/>
      <c r="BA25" s="217"/>
      <c r="BB25" s="218"/>
      <c r="BC25" s="219"/>
      <c r="BD25" s="214"/>
      <c r="BE25" s="221"/>
      <c r="BF25" s="216"/>
      <c r="BG25" s="217"/>
      <c r="BH25" s="218"/>
      <c r="BI25" s="219"/>
      <c r="BJ25" s="214"/>
      <c r="BK25" s="221"/>
      <c r="BL25" s="216"/>
      <c r="BM25" s="217"/>
      <c r="BN25" s="218"/>
      <c r="BO25" s="219"/>
      <c r="BP25" s="214"/>
      <c r="BQ25" s="221"/>
      <c r="BR25" s="216"/>
      <c r="BS25" s="217"/>
      <c r="BT25" s="218"/>
      <c r="BU25" s="219"/>
      <c r="BV25" s="214"/>
      <c r="BW25" s="221"/>
      <c r="BX25" s="216"/>
      <c r="BY25" s="217"/>
      <c r="BZ25" s="218"/>
      <c r="CB25" s="219"/>
      <c r="CC25" s="214"/>
      <c r="CD25" s="221"/>
      <c r="CE25" s="216"/>
      <c r="CF25" s="217"/>
      <c r="CG25" s="218"/>
    </row>
    <row r="26" spans="2:89" s="193" customFormat="1" x14ac:dyDescent="0.3">
      <c r="B26" s="208"/>
      <c r="C26" s="209"/>
      <c r="D26" s="210" t="s">
        <v>406</v>
      </c>
      <c r="E26" s="229"/>
      <c r="F26" s="212"/>
      <c r="G26" s="213">
        <v>580</v>
      </c>
      <c r="H26" s="214">
        <f t="shared" si="0"/>
        <v>3.5</v>
      </c>
      <c r="I26" s="215">
        <v>2030</v>
      </c>
      <c r="J26" s="216">
        <f>+G26/$H$12</f>
        <v>5.9729159157612894E-3</v>
      </c>
      <c r="K26" s="217">
        <f>+G26*(H26-$F$26)</f>
        <v>2030</v>
      </c>
      <c r="L26" s="218">
        <f>+(G26-($E$26*H$12))*$F$26</f>
        <v>0</v>
      </c>
      <c r="M26" s="219"/>
      <c r="N26" s="214"/>
      <c r="O26" s="220"/>
      <c r="P26" s="216"/>
      <c r="Q26" s="217"/>
      <c r="R26" s="218"/>
      <c r="S26" s="219"/>
      <c r="T26" s="214"/>
      <c r="U26" s="221"/>
      <c r="V26" s="216"/>
      <c r="W26" s="217"/>
      <c r="X26" s="218"/>
      <c r="Y26" s="219"/>
      <c r="Z26" s="214"/>
      <c r="AA26" s="221"/>
      <c r="AB26" s="216"/>
      <c r="AC26" s="217"/>
      <c r="AD26" s="218"/>
      <c r="AE26" s="219"/>
      <c r="AF26" s="214"/>
      <c r="AG26" s="221"/>
      <c r="AH26" s="216"/>
      <c r="AI26" s="217"/>
      <c r="AJ26" s="218"/>
      <c r="AK26" s="219"/>
      <c r="AL26" s="214"/>
      <c r="AM26" s="222"/>
      <c r="AN26" s="216"/>
      <c r="AO26" s="217"/>
      <c r="AP26" s="218"/>
      <c r="AQ26" s="219"/>
      <c r="AR26" s="214"/>
      <c r="AS26" s="221"/>
      <c r="AT26" s="216"/>
      <c r="AU26" s="217"/>
      <c r="AV26" s="218"/>
      <c r="AW26" s="219"/>
      <c r="AX26" s="214"/>
      <c r="AY26" s="221"/>
      <c r="AZ26" s="216"/>
      <c r="BA26" s="217"/>
      <c r="BB26" s="218"/>
      <c r="BC26" s="219"/>
      <c r="BD26" s="214"/>
      <c r="BE26" s="221"/>
      <c r="BF26" s="216"/>
      <c r="BG26" s="217"/>
      <c r="BH26" s="218"/>
      <c r="BI26" s="219"/>
      <c r="BJ26" s="214"/>
      <c r="BK26" s="221"/>
      <c r="BL26" s="216"/>
      <c r="BM26" s="217"/>
      <c r="BN26" s="218"/>
      <c r="BO26" s="219"/>
      <c r="BP26" s="214"/>
      <c r="BQ26" s="221"/>
      <c r="BR26" s="216"/>
      <c r="BS26" s="217"/>
      <c r="BT26" s="218"/>
      <c r="BU26" s="219"/>
      <c r="BV26" s="214"/>
      <c r="BW26" s="221"/>
      <c r="BX26" s="216"/>
      <c r="BY26" s="217"/>
      <c r="BZ26" s="218"/>
      <c r="CB26" s="219"/>
      <c r="CC26" s="214"/>
      <c r="CD26" s="221"/>
      <c r="CE26" s="216"/>
      <c r="CF26" s="217"/>
      <c r="CG26" s="218"/>
    </row>
    <row r="27" spans="2:89" s="193" customFormat="1" x14ac:dyDescent="0.3">
      <c r="B27" s="208"/>
      <c r="C27" s="209"/>
      <c r="D27" s="210" t="s">
        <v>407</v>
      </c>
      <c r="E27" s="229"/>
      <c r="F27" s="212"/>
      <c r="G27" s="213"/>
      <c r="H27" s="214">
        <f t="shared" si="0"/>
        <v>0</v>
      </c>
      <c r="I27" s="215"/>
      <c r="J27" s="216"/>
      <c r="K27" s="217">
        <f>+G27*(H27-$F$27)</f>
        <v>0</v>
      </c>
      <c r="L27" s="218">
        <f>+(G27-($E$27*H$12))*$F$27</f>
        <v>0</v>
      </c>
      <c r="M27" s="219"/>
      <c r="N27" s="214"/>
      <c r="O27" s="220"/>
      <c r="P27" s="216"/>
      <c r="Q27" s="217"/>
      <c r="R27" s="218"/>
      <c r="S27" s="219"/>
      <c r="T27" s="214"/>
      <c r="U27" s="221"/>
      <c r="V27" s="216"/>
      <c r="W27" s="217"/>
      <c r="X27" s="218"/>
      <c r="Y27" s="219"/>
      <c r="Z27" s="214"/>
      <c r="AA27" s="221"/>
      <c r="AB27" s="216"/>
      <c r="AC27" s="217"/>
      <c r="AD27" s="218"/>
      <c r="AE27" s="219"/>
      <c r="AF27" s="214"/>
      <c r="AG27" s="221"/>
      <c r="AH27" s="216"/>
      <c r="AI27" s="217"/>
      <c r="AJ27" s="218"/>
      <c r="AK27" s="219"/>
      <c r="AL27" s="214"/>
      <c r="AM27" s="222"/>
      <c r="AN27" s="216"/>
      <c r="AO27" s="217"/>
      <c r="AP27" s="218"/>
      <c r="AQ27" s="219"/>
      <c r="AR27" s="214"/>
      <c r="AS27" s="221"/>
      <c r="AT27" s="216"/>
      <c r="AU27" s="217"/>
      <c r="AV27" s="218"/>
      <c r="AW27" s="219"/>
      <c r="AX27" s="214"/>
      <c r="AY27" s="221"/>
      <c r="AZ27" s="216"/>
      <c r="BA27" s="217"/>
      <c r="BB27" s="218"/>
      <c r="BC27" s="219"/>
      <c r="BD27" s="214"/>
      <c r="BE27" s="221"/>
      <c r="BF27" s="216"/>
      <c r="BG27" s="217"/>
      <c r="BH27" s="218"/>
      <c r="BI27" s="219"/>
      <c r="BJ27" s="214"/>
      <c r="BK27" s="221"/>
      <c r="BL27" s="216"/>
      <c r="BM27" s="217"/>
      <c r="BN27" s="218"/>
      <c r="BO27" s="219"/>
      <c r="BP27" s="214"/>
      <c r="BQ27" s="221"/>
      <c r="BR27" s="216"/>
      <c r="BS27" s="217"/>
      <c r="BT27" s="218"/>
      <c r="BU27" s="219"/>
      <c r="BV27" s="214"/>
      <c r="BW27" s="221"/>
      <c r="BX27" s="216"/>
      <c r="BY27" s="217"/>
      <c r="BZ27" s="218"/>
      <c r="CB27" s="219"/>
      <c r="CC27" s="214"/>
      <c r="CD27" s="221"/>
      <c r="CE27" s="216"/>
      <c r="CF27" s="217"/>
      <c r="CG27" s="218"/>
    </row>
    <row r="28" spans="2:89" s="193" customFormat="1" x14ac:dyDescent="0.3">
      <c r="B28" s="208"/>
      <c r="C28" s="209"/>
      <c r="D28" s="210" t="s">
        <v>408</v>
      </c>
      <c r="E28" s="229">
        <v>0</v>
      </c>
      <c r="F28" s="212">
        <v>0</v>
      </c>
      <c r="G28" s="230"/>
      <c r="H28" s="214">
        <f t="shared" si="0"/>
        <v>0</v>
      </c>
      <c r="I28" s="220"/>
      <c r="J28" s="216">
        <f>+G28/$H$12</f>
        <v>0</v>
      </c>
      <c r="K28" s="217">
        <f>+G28*(H28-$F$28)</f>
        <v>0</v>
      </c>
      <c r="L28" s="218">
        <f>+(G28-($E$28*H$12))*$F$28</f>
        <v>0</v>
      </c>
      <c r="M28" s="230"/>
      <c r="N28" s="214"/>
      <c r="O28" s="220"/>
      <c r="P28" s="216"/>
      <c r="Q28" s="217"/>
      <c r="R28" s="218"/>
      <c r="S28" s="219"/>
      <c r="T28" s="214"/>
      <c r="U28" s="221"/>
      <c r="V28" s="216"/>
      <c r="W28" s="217"/>
      <c r="X28" s="218"/>
      <c r="Y28" s="219"/>
      <c r="Z28" s="214"/>
      <c r="AA28" s="221"/>
      <c r="AB28" s="216"/>
      <c r="AC28" s="217"/>
      <c r="AD28" s="218"/>
      <c r="AE28" s="219"/>
      <c r="AF28" s="214"/>
      <c r="AG28" s="221"/>
      <c r="AH28" s="216"/>
      <c r="AI28" s="217"/>
      <c r="AJ28" s="218"/>
      <c r="AK28" s="219"/>
      <c r="AL28" s="214"/>
      <c r="AM28" s="222"/>
      <c r="AN28" s="216"/>
      <c r="AO28" s="217"/>
      <c r="AP28" s="218"/>
      <c r="AQ28" s="219"/>
      <c r="AR28" s="214"/>
      <c r="AS28" s="221"/>
      <c r="AT28" s="216"/>
      <c r="AU28" s="217"/>
      <c r="AV28" s="218"/>
      <c r="AW28" s="219"/>
      <c r="AX28" s="214"/>
      <c r="AY28" s="221"/>
      <c r="AZ28" s="216"/>
      <c r="BA28" s="217"/>
      <c r="BB28" s="218"/>
      <c r="BC28" s="219"/>
      <c r="BD28" s="214"/>
      <c r="BE28" s="221"/>
      <c r="BF28" s="216"/>
      <c r="BG28" s="217"/>
      <c r="BH28" s="218"/>
      <c r="BI28" s="219"/>
      <c r="BJ28" s="214"/>
      <c r="BK28" s="221"/>
      <c r="BL28" s="216"/>
      <c r="BM28" s="217"/>
      <c r="BN28" s="218"/>
      <c r="BO28" s="219"/>
      <c r="BP28" s="214"/>
      <c r="BQ28" s="221"/>
      <c r="BR28" s="216"/>
      <c r="BS28" s="217"/>
      <c r="BT28" s="218"/>
      <c r="BU28" s="219"/>
      <c r="BV28" s="214"/>
      <c r="BW28" s="221"/>
      <c r="BX28" s="216"/>
      <c r="BY28" s="217"/>
      <c r="BZ28" s="218"/>
      <c r="CB28" s="219"/>
      <c r="CC28" s="214"/>
      <c r="CD28" s="221"/>
      <c r="CE28" s="216"/>
      <c r="CF28" s="217"/>
      <c r="CG28" s="218"/>
    </row>
    <row r="29" spans="2:89" s="193" customFormat="1" ht="15" thickBot="1" x14ac:dyDescent="0.35">
      <c r="B29" s="231"/>
      <c r="C29" s="232"/>
      <c r="D29" s="233" t="s">
        <v>409</v>
      </c>
      <c r="E29" s="234"/>
      <c r="F29" s="235"/>
      <c r="G29" s="236"/>
      <c r="H29" s="237"/>
      <c r="I29" s="238"/>
      <c r="J29" s="239"/>
      <c r="K29" s="240"/>
      <c r="L29" s="241"/>
      <c r="M29" s="236"/>
      <c r="N29" s="237"/>
      <c r="O29" s="238"/>
      <c r="P29" s="239"/>
      <c r="Q29" s="240"/>
      <c r="R29" s="233"/>
      <c r="S29" s="219"/>
      <c r="T29" s="214"/>
      <c r="U29" s="221"/>
      <c r="V29" s="216"/>
      <c r="W29" s="217"/>
      <c r="X29" s="242"/>
      <c r="Y29" s="219"/>
      <c r="Z29" s="214"/>
      <c r="AA29" s="221"/>
      <c r="AB29" s="216"/>
      <c r="AC29" s="217"/>
      <c r="AD29" s="242"/>
      <c r="AE29" s="219"/>
      <c r="AF29" s="214"/>
      <c r="AG29" s="221"/>
      <c r="AH29" s="216"/>
      <c r="AI29" s="217"/>
      <c r="AJ29" s="242"/>
      <c r="AK29" s="219"/>
      <c r="AL29" s="214"/>
      <c r="AM29" s="221"/>
      <c r="AN29" s="216"/>
      <c r="AO29" s="217"/>
      <c r="AP29" s="242"/>
      <c r="AQ29" s="219"/>
      <c r="AR29" s="214"/>
      <c r="AS29" s="221"/>
      <c r="AT29" s="216"/>
      <c r="AU29" s="217"/>
      <c r="AV29" s="242"/>
      <c r="AW29" s="219"/>
      <c r="AX29" s="214"/>
      <c r="AY29" s="221"/>
      <c r="AZ29" s="216"/>
      <c r="BA29" s="217"/>
      <c r="BB29" s="242"/>
      <c r="BC29" s="219"/>
      <c r="BD29" s="214"/>
      <c r="BE29" s="221"/>
      <c r="BF29" s="216"/>
      <c r="BG29" s="217"/>
      <c r="BH29" s="242"/>
      <c r="BI29" s="219"/>
      <c r="BJ29" s="214"/>
      <c r="BK29" s="221"/>
      <c r="BL29" s="216"/>
      <c r="BM29" s="217"/>
      <c r="BN29" s="242"/>
      <c r="BO29" s="219"/>
      <c r="BP29" s="214"/>
      <c r="BQ29" s="221"/>
      <c r="BR29" s="216"/>
      <c r="BS29" s="217"/>
      <c r="BT29" s="242"/>
      <c r="BU29" s="219"/>
      <c r="BV29" s="214"/>
      <c r="BW29" s="221"/>
      <c r="BX29" s="216"/>
      <c r="BY29" s="217"/>
      <c r="BZ29" s="218"/>
      <c r="CB29" s="219"/>
      <c r="CC29" s="214"/>
      <c r="CD29" s="221"/>
      <c r="CE29" s="216"/>
      <c r="CF29" s="217"/>
      <c r="CG29" s="218"/>
    </row>
    <row r="30" spans="2:89" s="193" customFormat="1" ht="15" thickBot="1" x14ac:dyDescent="0.35">
      <c r="F30" s="194" t="s">
        <v>114</v>
      </c>
      <c r="G30" s="243">
        <f>SUM(G15:G29)</f>
        <v>446740</v>
      </c>
      <c r="H30" s="244"/>
      <c r="I30" s="245">
        <f>+SUM(I15:I29)*-1</f>
        <v>-4117013</v>
      </c>
      <c r="J30" s="246">
        <f>+I30/45</f>
        <v>-91489.177777777775</v>
      </c>
      <c r="K30" s="247"/>
      <c r="L30" s="246"/>
      <c r="M30" s="243"/>
      <c r="N30" s="244"/>
      <c r="O30" s="245"/>
      <c r="P30" s="246"/>
      <c r="Q30" s="247"/>
      <c r="R30" s="246"/>
      <c r="S30" s="243"/>
      <c r="T30" s="244"/>
      <c r="U30" s="245"/>
      <c r="V30" s="246"/>
      <c r="W30" s="247"/>
      <c r="X30" s="246"/>
      <c r="Y30" s="243"/>
      <c r="Z30" s="244"/>
      <c r="AA30" s="245"/>
      <c r="AB30" s="246"/>
      <c r="AC30" s="247"/>
      <c r="AD30" s="246"/>
      <c r="AE30" s="243"/>
      <c r="AF30" s="244"/>
      <c r="AG30" s="245"/>
      <c r="AH30" s="246"/>
      <c r="AI30" s="247"/>
      <c r="AJ30" s="246"/>
      <c r="AK30" s="243"/>
      <c r="AL30" s="244"/>
      <c r="AM30" s="245"/>
      <c r="AN30" s="246"/>
      <c r="AO30" s="247"/>
      <c r="AP30" s="246"/>
      <c r="AQ30" s="243"/>
      <c r="AR30" s="244"/>
      <c r="AS30" s="245"/>
      <c r="AT30" s="246"/>
      <c r="AU30" s="247"/>
      <c r="AV30" s="246"/>
      <c r="AW30" s="243"/>
      <c r="AX30" s="244"/>
      <c r="AY30" s="245"/>
      <c r="AZ30" s="246"/>
      <c r="BA30" s="247"/>
      <c r="BB30" s="246"/>
      <c r="BC30" s="243"/>
      <c r="BD30" s="244"/>
      <c r="BE30" s="245"/>
      <c r="BF30" s="246"/>
      <c r="BG30" s="247"/>
      <c r="BH30" s="246"/>
      <c r="BI30" s="243"/>
      <c r="BJ30" s="244"/>
      <c r="BK30" s="245"/>
      <c r="BL30" s="246"/>
      <c r="BM30" s="247"/>
      <c r="BN30" s="246"/>
      <c r="BO30" s="243"/>
      <c r="BP30" s="244"/>
      <c r="BQ30" s="245"/>
      <c r="BR30" s="246"/>
      <c r="BS30" s="247"/>
      <c r="BT30" s="246"/>
      <c r="BU30" s="243"/>
      <c r="BV30" s="244"/>
      <c r="BW30" s="245"/>
      <c r="BX30" s="246"/>
      <c r="BY30" s="248"/>
      <c r="BZ30" s="246"/>
      <c r="CB30" s="243"/>
      <c r="CC30" s="244"/>
      <c r="CD30" s="245"/>
      <c r="CE30" s="246"/>
      <c r="CF30" s="248"/>
      <c r="CG30" s="246"/>
    </row>
    <row r="31" spans="2:89" s="193" customFormat="1" ht="15" thickBot="1" x14ac:dyDescent="0.35">
      <c r="F31" s="194" t="s">
        <v>61</v>
      </c>
      <c r="G31" s="249"/>
      <c r="H31" s="250"/>
      <c r="I31" s="251">
        <f>(4297786.66-7608*45)*-1</f>
        <v>-3955426.66</v>
      </c>
      <c r="J31" s="246">
        <f>+I31/45</f>
        <v>-87898.37022222222</v>
      </c>
      <c r="K31" s="252"/>
      <c r="L31" s="233"/>
      <c r="M31" s="249"/>
      <c r="N31" s="250"/>
      <c r="O31" s="251"/>
      <c r="P31" s="235"/>
      <c r="Q31" s="252"/>
      <c r="R31" s="233"/>
      <c r="S31" s="249"/>
      <c r="T31" s="250"/>
      <c r="U31" s="251"/>
      <c r="V31" s="235"/>
      <c r="W31" s="252"/>
      <c r="X31" s="233"/>
      <c r="Y31" s="249"/>
      <c r="Z31" s="250"/>
      <c r="AA31" s="251"/>
      <c r="AB31" s="246"/>
      <c r="AC31" s="253"/>
      <c r="AD31" s="253"/>
      <c r="AE31" s="249"/>
      <c r="AF31" s="250"/>
      <c r="AG31" s="251"/>
      <c r="AH31" s="235"/>
      <c r="AI31" s="252"/>
      <c r="AJ31" s="233"/>
      <c r="AK31" s="249"/>
      <c r="AL31" s="244"/>
      <c r="AM31" s="251"/>
      <c r="AN31" s="235"/>
      <c r="AO31" s="252"/>
      <c r="AP31" s="233"/>
      <c r="AQ31" s="249"/>
      <c r="AR31" s="244"/>
      <c r="AS31" s="251"/>
      <c r="AT31" s="235"/>
      <c r="AU31" s="252"/>
      <c r="AV31" s="233"/>
      <c r="AW31" s="249"/>
      <c r="AX31" s="244"/>
      <c r="AY31" s="251"/>
      <c r="AZ31" s="235"/>
      <c r="BA31" s="252"/>
      <c r="BB31" s="233"/>
      <c r="BC31" s="249"/>
      <c r="BD31" s="244"/>
      <c r="BE31" s="251"/>
      <c r="BF31" s="235"/>
      <c r="BG31" s="252"/>
      <c r="BH31" s="233"/>
      <c r="BI31" s="249"/>
      <c r="BJ31" s="250"/>
      <c r="BK31" s="251"/>
      <c r="BL31" s="235"/>
      <c r="BM31" s="252"/>
      <c r="BN31" s="233"/>
      <c r="BO31" s="249"/>
      <c r="BP31" s="250"/>
      <c r="BQ31" s="251"/>
      <c r="BR31" s="235"/>
      <c r="BS31" s="252"/>
      <c r="BT31" s="233"/>
      <c r="BU31" s="249"/>
      <c r="BV31" s="250"/>
      <c r="BW31" s="251"/>
      <c r="BX31" s="235"/>
      <c r="BY31" s="231"/>
      <c r="BZ31" s="233"/>
      <c r="CB31" s="249"/>
      <c r="CC31" s="250"/>
      <c r="CD31" s="251"/>
      <c r="CE31" s="235"/>
      <c r="CF31" s="231"/>
      <c r="CG31" s="233"/>
      <c r="CK31" s="254"/>
    </row>
    <row r="32" spans="2:89" s="193" customFormat="1" ht="15" thickBot="1" x14ac:dyDescent="0.35">
      <c r="F32" s="255" t="s">
        <v>410</v>
      </c>
      <c r="G32" s="256"/>
      <c r="H32" s="257"/>
      <c r="I32" s="258">
        <f>+I30-I31</f>
        <v>-161586.33999999985</v>
      </c>
      <c r="J32" s="246">
        <f>+I32/45</f>
        <v>-3590.8075555555524</v>
      </c>
      <c r="K32" s="259">
        <f>+SUM(K15:K29)</f>
        <v>-35264.672799999695</v>
      </c>
      <c r="L32" s="259">
        <f>+SUM(L15:L29)</f>
        <v>-84114.57799350236</v>
      </c>
      <c r="M32" s="256"/>
      <c r="N32" s="257"/>
      <c r="O32" s="258"/>
      <c r="P32" s="258"/>
      <c r="Q32" s="259"/>
      <c r="R32" s="259"/>
      <c r="S32" s="256"/>
      <c r="T32" s="257"/>
      <c r="U32" s="258"/>
      <c r="V32" s="258"/>
      <c r="W32" s="259"/>
      <c r="X32" s="259"/>
      <c r="Y32" s="256"/>
      <c r="Z32" s="257"/>
      <c r="AA32" s="258"/>
      <c r="AB32" s="258"/>
      <c r="AC32" s="259"/>
      <c r="AD32" s="259"/>
      <c r="AE32" s="256"/>
      <c r="AF32" s="257"/>
      <c r="AG32" s="258"/>
      <c r="AH32" s="258"/>
      <c r="AI32" s="259"/>
      <c r="AJ32" s="259"/>
      <c r="AK32" s="256"/>
      <c r="AL32" s="244"/>
      <c r="AM32" s="258"/>
      <c r="AN32" s="258"/>
      <c r="AO32" s="259"/>
      <c r="AP32" s="259"/>
      <c r="AQ32" s="256"/>
      <c r="AR32" s="257"/>
      <c r="AS32" s="258"/>
      <c r="AT32" s="258"/>
      <c r="AU32" s="259"/>
      <c r="AV32" s="259"/>
      <c r="AW32" s="256"/>
      <c r="AX32" s="257"/>
      <c r="AY32" s="258"/>
      <c r="AZ32" s="258"/>
      <c r="BA32" s="259"/>
      <c r="BB32" s="259"/>
      <c r="BC32" s="256"/>
      <c r="BD32" s="257"/>
      <c r="BE32" s="258"/>
      <c r="BF32" s="258"/>
      <c r="BG32" s="259"/>
      <c r="BH32" s="259"/>
      <c r="BI32" s="256"/>
      <c r="BJ32" s="257"/>
      <c r="BK32" s="258"/>
      <c r="BL32" s="258"/>
      <c r="BM32" s="259"/>
      <c r="BN32" s="259"/>
      <c r="BO32" s="256"/>
      <c r="BP32" s="257"/>
      <c r="BQ32" s="258"/>
      <c r="BR32" s="258"/>
      <c r="BS32" s="259"/>
      <c r="BT32" s="259"/>
      <c r="BU32" s="256"/>
      <c r="BV32" s="257"/>
      <c r="BW32" s="258"/>
      <c r="BX32" s="258"/>
      <c r="BY32" s="259"/>
      <c r="BZ32" s="259"/>
      <c r="CB32" s="256"/>
      <c r="CC32" s="257"/>
      <c r="CD32" s="258"/>
      <c r="CE32" s="258"/>
      <c r="CF32" s="259"/>
      <c r="CG32" s="259"/>
      <c r="CI32" s="254"/>
    </row>
    <row r="33" spans="6:85" s="193" customFormat="1" x14ac:dyDescent="0.3">
      <c r="K33" s="260" t="s">
        <v>175</v>
      </c>
      <c r="L33" s="261">
        <f>+SUM(K32:L32)-I32</f>
        <v>42207.089206497796</v>
      </c>
      <c r="Q33" s="260"/>
      <c r="R33" s="261"/>
      <c r="W33" s="260"/>
      <c r="X33" s="261"/>
      <c r="AC33" s="260"/>
      <c r="AD33" s="261"/>
      <c r="AI33" s="260"/>
      <c r="AJ33" s="261"/>
      <c r="AO33" s="260"/>
      <c r="AP33" s="261"/>
      <c r="AU33" s="260"/>
      <c r="AV33" s="261"/>
      <c r="BA33" s="260"/>
      <c r="BB33" s="261"/>
      <c r="BG33" s="260"/>
      <c r="BH33" s="261"/>
      <c r="BM33" s="260"/>
      <c r="BN33" s="261"/>
      <c r="BS33" s="260"/>
      <c r="BT33" s="261"/>
      <c r="BY33" s="260"/>
      <c r="BZ33" s="261"/>
      <c r="CF33" s="260"/>
      <c r="CG33" s="261"/>
    </row>
    <row r="34" spans="6:85" s="193" customFormat="1" ht="15" thickBot="1" x14ac:dyDescent="0.35">
      <c r="I34" s="254"/>
      <c r="W34" s="196"/>
      <c r="X34" s="196"/>
      <c r="CB34" s="254"/>
      <c r="CC34" s="254"/>
    </row>
    <row r="35" spans="6:85" s="193" customFormat="1" ht="15" thickBot="1" x14ac:dyDescent="0.35">
      <c r="F35" s="262" t="s">
        <v>411</v>
      </c>
      <c r="G35" s="263"/>
      <c r="H35" s="264"/>
      <c r="I35" s="265">
        <f>I32/45</f>
        <v>-3590.8075555555524</v>
      </c>
      <c r="J35" s="266"/>
      <c r="K35" s="265">
        <f>K32/45</f>
        <v>-783.65939555554883</v>
      </c>
      <c r="L35" s="265">
        <f>L32/45</f>
        <v>-1869.2128443000524</v>
      </c>
      <c r="M35" s="263"/>
      <c r="N35" s="264"/>
      <c r="O35" s="265"/>
      <c r="P35" s="265"/>
      <c r="Q35" s="265"/>
      <c r="R35" s="265"/>
      <c r="S35" s="263"/>
      <c r="T35" s="264"/>
      <c r="U35" s="265"/>
      <c r="V35" s="266"/>
      <c r="W35" s="265"/>
      <c r="X35" s="265"/>
      <c r="Y35" s="263"/>
      <c r="Z35" s="264"/>
      <c r="AA35" s="265"/>
      <c r="AB35" s="266"/>
      <c r="AC35" s="265"/>
      <c r="AD35" s="265"/>
      <c r="AE35" s="263"/>
      <c r="AF35" s="264"/>
      <c r="AG35" s="265"/>
      <c r="AH35" s="266"/>
      <c r="AI35" s="265"/>
      <c r="AJ35" s="265"/>
      <c r="AK35" s="263"/>
      <c r="AL35" s="264"/>
      <c r="AM35" s="265"/>
      <c r="AN35" s="266"/>
      <c r="AO35" s="265"/>
      <c r="AP35" s="265"/>
      <c r="AQ35" s="263"/>
      <c r="AR35" s="264"/>
      <c r="AS35" s="265"/>
      <c r="AT35" s="266"/>
      <c r="AU35" s="265"/>
      <c r="AV35" s="265"/>
      <c r="AW35" s="263"/>
      <c r="AX35" s="264"/>
      <c r="AY35" s="265"/>
      <c r="AZ35" s="266"/>
      <c r="BA35" s="265"/>
      <c r="BB35" s="265"/>
      <c r="BC35" s="263"/>
      <c r="BD35" s="264"/>
      <c r="BE35" s="265"/>
      <c r="BF35" s="266"/>
      <c r="BG35" s="265"/>
      <c r="BH35" s="265"/>
      <c r="BI35" s="263"/>
      <c r="BJ35" s="264"/>
      <c r="BK35" s="265"/>
      <c r="BL35" s="266"/>
      <c r="BM35" s="265"/>
      <c r="BN35" s="265"/>
      <c r="BO35" s="263"/>
      <c r="BP35" s="264"/>
      <c r="BQ35" s="265"/>
      <c r="BR35" s="266"/>
      <c r="BS35" s="265"/>
      <c r="BT35" s="265"/>
      <c r="BU35" s="263"/>
      <c r="BV35" s="264"/>
      <c r="BW35" s="265"/>
      <c r="BX35" s="266"/>
      <c r="BY35" s="265"/>
      <c r="BZ35" s="265"/>
      <c r="CB35" s="263"/>
      <c r="CC35" s="264"/>
      <c r="CD35" s="265"/>
      <c r="CE35" s="266"/>
      <c r="CF35" s="265"/>
      <c r="CG35" s="265"/>
    </row>
    <row r="36" spans="6:85" s="193" customFormat="1" x14ac:dyDescent="0.3">
      <c r="I36" s="196"/>
      <c r="AG36" s="196"/>
      <c r="BG36" s="254"/>
      <c r="BM36" s="254"/>
      <c r="BS36" s="254"/>
      <c r="BY36" s="254"/>
    </row>
    <row r="37" spans="6:85" s="193" customFormat="1" x14ac:dyDescent="0.3">
      <c r="I37" s="196"/>
      <c r="BG37" s="254"/>
      <c r="BM37" s="254"/>
      <c r="BS37" s="254"/>
      <c r="BY37" s="254"/>
    </row>
  </sheetData>
  <autoFilter ref="B14:CK33" xr:uid="{15A4B927-7AB2-41FB-A58C-9CC04F579CD2}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913EA-1E1A-4A38-B32E-0894FA90DDF2}">
  <sheetPr>
    <tabColor rgb="FF99CCFF"/>
  </sheetPr>
  <dimension ref="A1:Q91"/>
  <sheetViews>
    <sheetView workbookViewId="0">
      <selection activeCell="F49" sqref="F49:F54"/>
    </sheetView>
  </sheetViews>
  <sheetFormatPr defaultRowHeight="10.199999999999999" x14ac:dyDescent="0.2"/>
  <cols>
    <col min="1" max="1" width="6.5546875" style="789" customWidth="1"/>
    <col min="2" max="3" width="18.88671875" style="789" bestFit="1" customWidth="1"/>
    <col min="4" max="4" width="10.44140625" style="789" bestFit="1" customWidth="1"/>
    <col min="5" max="5" width="10.5546875" style="789" bestFit="1" customWidth="1"/>
    <col min="6" max="6" width="13.88671875" style="789" bestFit="1" customWidth="1"/>
    <col min="7" max="7" width="10.5546875" style="789" bestFit="1" customWidth="1"/>
    <col min="8" max="8" width="10.109375" style="789" bestFit="1" customWidth="1"/>
    <col min="9" max="14" width="10.5546875" style="789" bestFit="1" customWidth="1"/>
    <col min="15" max="15" width="11.33203125" style="789" bestFit="1" customWidth="1"/>
    <col min="16" max="16" width="7.5546875" style="789" bestFit="1" customWidth="1"/>
    <col min="17" max="17" width="4.33203125" style="789" bestFit="1" customWidth="1"/>
    <col min="18" max="18" width="6.77734375" style="789" bestFit="1" customWidth="1"/>
    <col min="19" max="16384" width="8.88671875" style="789"/>
  </cols>
  <sheetData>
    <row r="1" spans="2:15" ht="10.8" thickBot="1" x14ac:dyDescent="0.25">
      <c r="O1" s="790"/>
    </row>
    <row r="2" spans="2:15" ht="11.4" thickBot="1" x14ac:dyDescent="0.3">
      <c r="B2" s="791" t="s">
        <v>650</v>
      </c>
      <c r="C2" s="792">
        <f>VOLUME!H7</f>
        <v>53186</v>
      </c>
      <c r="D2" s="793"/>
      <c r="E2" s="793"/>
      <c r="F2" s="793"/>
      <c r="G2" s="793"/>
      <c r="H2" s="793"/>
      <c r="I2" s="793"/>
      <c r="J2" s="793"/>
      <c r="K2" s="793"/>
      <c r="L2" s="793"/>
      <c r="M2" s="793"/>
      <c r="N2" s="793"/>
    </row>
    <row r="3" spans="2:15" ht="21" customHeight="1" thickBot="1" x14ac:dyDescent="0.3">
      <c r="B3" s="794" t="s">
        <v>651</v>
      </c>
      <c r="C3" s="795" t="s">
        <v>378</v>
      </c>
      <c r="D3" s="796" t="s">
        <v>652</v>
      </c>
      <c r="E3" s="796" t="s">
        <v>653</v>
      </c>
      <c r="F3" s="797" t="s">
        <v>654</v>
      </c>
      <c r="G3" s="796" t="s">
        <v>384</v>
      </c>
      <c r="H3" s="798"/>
      <c r="I3" s="796" t="s">
        <v>379</v>
      </c>
      <c r="J3" s="796" t="s">
        <v>380</v>
      </c>
      <c r="K3" s="799"/>
      <c r="L3" s="800" t="s">
        <v>385</v>
      </c>
      <c r="M3" s="800" t="s">
        <v>386</v>
      </c>
      <c r="N3" s="800" t="s">
        <v>655</v>
      </c>
    </row>
    <row r="4" spans="2:15" ht="10.8" x14ac:dyDescent="0.25">
      <c r="B4" s="801">
        <v>40007037</v>
      </c>
      <c r="C4" s="802" t="s">
        <v>388</v>
      </c>
      <c r="D4" s="803">
        <v>0</v>
      </c>
      <c r="E4" s="804">
        <f>+IFERROR(F4/D4,0)</f>
        <v>0</v>
      </c>
      <c r="F4" s="804">
        <v>0</v>
      </c>
      <c r="G4" s="805">
        <f>+D4/$C$2</f>
        <v>0</v>
      </c>
      <c r="H4" s="940">
        <v>560</v>
      </c>
      <c r="I4" s="806">
        <v>0.03</v>
      </c>
      <c r="J4" s="807">
        <v>5.2</v>
      </c>
      <c r="K4" s="793"/>
      <c r="L4" s="808">
        <f t="shared" ref="L4:L14" si="0">+D4*(E4-J4)</f>
        <v>0</v>
      </c>
      <c r="M4" s="809">
        <f>+(D4-(I4*$C$2))*J4</f>
        <v>-8297.0159999999996</v>
      </c>
      <c r="N4" s="802"/>
      <c r="O4" s="882">
        <f>L4/56.15</f>
        <v>0</v>
      </c>
    </row>
    <row r="5" spans="2:15" ht="10.8" x14ac:dyDescent="0.25">
      <c r="B5" s="810">
        <v>40007340</v>
      </c>
      <c r="C5" s="811" t="s">
        <v>390</v>
      </c>
      <c r="D5" s="812">
        <v>30460</v>
      </c>
      <c r="E5" s="813">
        <f t="shared" ref="E5:E14" si="1">+IFERROR(F5/D5,0)</f>
        <v>3.5</v>
      </c>
      <c r="F5" s="814">
        <v>106610</v>
      </c>
      <c r="G5" s="815">
        <f t="shared" ref="G5:G14" si="2">+D5/$C$2</f>
        <v>0.57270710337306807</v>
      </c>
      <c r="H5" s="940">
        <v>21140</v>
      </c>
      <c r="I5" s="816">
        <v>0.7</v>
      </c>
      <c r="J5" s="817">
        <v>1</v>
      </c>
      <c r="K5" s="793"/>
      <c r="L5" s="818">
        <f t="shared" si="0"/>
        <v>76150</v>
      </c>
      <c r="M5" s="819">
        <f t="shared" ref="M5:M14" si="3">+(D5-(I5*$C$2))*J5</f>
        <v>-6770.1999999999971</v>
      </c>
      <c r="N5" s="811"/>
      <c r="O5" s="882">
        <f t="shared" ref="O5:O14" si="4">L5/56.15</f>
        <v>1356.1887800534284</v>
      </c>
    </row>
    <row r="6" spans="2:15" ht="10.8" x14ac:dyDescent="0.25">
      <c r="B6" s="810">
        <v>40007341</v>
      </c>
      <c r="C6" s="811" t="s">
        <v>392</v>
      </c>
      <c r="D6" s="812">
        <v>4</v>
      </c>
      <c r="E6" s="813">
        <f t="shared" si="1"/>
        <v>36450</v>
      </c>
      <c r="F6" s="814">
        <v>145800</v>
      </c>
      <c r="G6" s="815">
        <f t="shared" si="2"/>
        <v>7.5207761440980716E-5</v>
      </c>
      <c r="H6" s="940">
        <v>19620</v>
      </c>
      <c r="I6" s="816">
        <v>0.65</v>
      </c>
      <c r="J6" s="817">
        <v>1.5</v>
      </c>
      <c r="K6" s="793"/>
      <c r="L6" s="818">
        <f t="shared" si="0"/>
        <v>145794</v>
      </c>
      <c r="M6" s="819">
        <f t="shared" si="3"/>
        <v>-51850.350000000006</v>
      </c>
      <c r="N6" s="811"/>
      <c r="O6" s="882">
        <f t="shared" si="4"/>
        <v>2596.5093499554764</v>
      </c>
    </row>
    <row r="7" spans="2:15" ht="10.8" x14ac:dyDescent="0.25">
      <c r="B7" s="810">
        <v>41047780</v>
      </c>
      <c r="C7" s="811" t="s">
        <v>394</v>
      </c>
      <c r="D7" s="812">
        <v>45740</v>
      </c>
      <c r="E7" s="820">
        <f t="shared" si="1"/>
        <v>42.259488412767816</v>
      </c>
      <c r="F7" s="814">
        <v>1932949</v>
      </c>
      <c r="G7" s="815">
        <f t="shared" si="2"/>
        <v>0.86000075207761439</v>
      </c>
      <c r="H7" s="940">
        <v>27980</v>
      </c>
      <c r="I7" s="816">
        <v>0.8</v>
      </c>
      <c r="J7" s="817">
        <v>33.4818</v>
      </c>
      <c r="K7" s="793"/>
      <c r="L7" s="818">
        <f t="shared" si="0"/>
        <v>401491.46799999988</v>
      </c>
      <c r="M7" s="819">
        <f t="shared" si="3"/>
        <v>106847.1201599999</v>
      </c>
      <c r="N7" s="811"/>
      <c r="O7" s="882">
        <f t="shared" si="4"/>
        <v>7150.3378094390009</v>
      </c>
    </row>
    <row r="8" spans="2:15" ht="10.8" x14ac:dyDescent="0.25">
      <c r="B8" s="810">
        <v>41047943</v>
      </c>
      <c r="C8" s="811" t="s">
        <v>396</v>
      </c>
      <c r="D8" s="812">
        <v>440</v>
      </c>
      <c r="E8" s="812">
        <f t="shared" si="1"/>
        <v>20</v>
      </c>
      <c r="F8" s="814">
        <v>8800</v>
      </c>
      <c r="G8" s="815">
        <f t="shared" si="2"/>
        <v>8.2728537585078782E-3</v>
      </c>
      <c r="H8" s="940">
        <v>1480</v>
      </c>
      <c r="I8" s="816"/>
      <c r="J8" s="817"/>
      <c r="K8" s="793"/>
      <c r="L8" s="818">
        <f t="shared" si="0"/>
        <v>8800</v>
      </c>
      <c r="M8" s="819">
        <f t="shared" si="3"/>
        <v>0</v>
      </c>
      <c r="N8" s="811"/>
      <c r="O8" s="882">
        <f t="shared" si="4"/>
        <v>156.72306322350846</v>
      </c>
    </row>
    <row r="9" spans="2:15" ht="10.8" x14ac:dyDescent="0.25">
      <c r="B9" s="810">
        <v>40008331</v>
      </c>
      <c r="C9" s="811" t="s">
        <v>398</v>
      </c>
      <c r="D9" s="812">
        <v>6240</v>
      </c>
      <c r="E9" s="813">
        <f t="shared" si="1"/>
        <v>20</v>
      </c>
      <c r="F9" s="814">
        <v>124800</v>
      </c>
      <c r="G9" s="815">
        <f t="shared" si="2"/>
        <v>0.1173241078479299</v>
      </c>
      <c r="H9" s="940">
        <v>4380</v>
      </c>
      <c r="I9" s="816">
        <v>0.13</v>
      </c>
      <c r="J9" s="817">
        <v>2.5</v>
      </c>
      <c r="K9" s="793"/>
      <c r="L9" s="818">
        <f t="shared" si="0"/>
        <v>109200</v>
      </c>
      <c r="M9" s="819">
        <f t="shared" si="3"/>
        <v>-1685.4500000000007</v>
      </c>
      <c r="N9" s="811"/>
      <c r="O9" s="882">
        <f t="shared" si="4"/>
        <v>1944.7907390917187</v>
      </c>
    </row>
    <row r="10" spans="2:15" ht="10.8" x14ac:dyDescent="0.25">
      <c r="B10" s="810">
        <v>41047781</v>
      </c>
      <c r="C10" s="811" t="s">
        <v>400</v>
      </c>
      <c r="D10" s="812">
        <v>19380</v>
      </c>
      <c r="E10" s="821">
        <f t="shared" si="1"/>
        <v>24.210371517027863</v>
      </c>
      <c r="F10" s="814">
        <v>469197</v>
      </c>
      <c r="G10" s="815">
        <f t="shared" si="2"/>
        <v>0.36438160418155152</v>
      </c>
      <c r="H10" s="940">
        <v>12500</v>
      </c>
      <c r="I10" s="816">
        <v>0.4</v>
      </c>
      <c r="J10" s="817">
        <v>13.494179999999998</v>
      </c>
      <c r="K10" s="793"/>
      <c r="L10" s="818">
        <f t="shared" si="0"/>
        <v>207679.7916</v>
      </c>
      <c r="M10" s="819">
        <f t="shared" si="3"/>
        <v>-25563.374592000015</v>
      </c>
      <c r="N10" s="811"/>
      <c r="O10" s="882">
        <f t="shared" si="4"/>
        <v>3698.6605805877116</v>
      </c>
    </row>
    <row r="11" spans="2:15" ht="10.8" x14ac:dyDescent="0.25">
      <c r="B11" s="810">
        <v>41053620</v>
      </c>
      <c r="C11" s="811" t="s">
        <v>402</v>
      </c>
      <c r="D11" s="812">
        <v>11340</v>
      </c>
      <c r="E11" s="814">
        <f t="shared" si="1"/>
        <v>3</v>
      </c>
      <c r="F11" s="814">
        <v>34020</v>
      </c>
      <c r="G11" s="815">
        <f t="shared" si="2"/>
        <v>0.21321400368518031</v>
      </c>
      <c r="H11" s="940">
        <v>6920</v>
      </c>
      <c r="I11" s="816">
        <v>0.15</v>
      </c>
      <c r="J11" s="817">
        <v>0.05</v>
      </c>
      <c r="K11" s="793"/>
      <c r="L11" s="818">
        <f t="shared" si="0"/>
        <v>33453</v>
      </c>
      <c r="M11" s="819">
        <f t="shared" si="3"/>
        <v>168.10500000000002</v>
      </c>
      <c r="N11" s="811"/>
      <c r="O11" s="882">
        <f t="shared" si="4"/>
        <v>595.77916295636692</v>
      </c>
    </row>
    <row r="12" spans="2:15" ht="11.4" thickBot="1" x14ac:dyDescent="0.3">
      <c r="B12" s="822">
        <v>41053180</v>
      </c>
      <c r="C12" s="823" t="s">
        <v>404</v>
      </c>
      <c r="D12" s="824">
        <v>30820</v>
      </c>
      <c r="E12" s="825">
        <f t="shared" ref="E12:E13" si="5">+IFERROR(F12/D12,0)</f>
        <v>17.20461388708631</v>
      </c>
      <c r="F12" s="826">
        <v>530246.20000000007</v>
      </c>
      <c r="G12" s="827">
        <f t="shared" ref="G12:G13" si="6">+D12/$C$2</f>
        <v>0.57947580190275638</v>
      </c>
      <c r="H12" s="940">
        <v>17940</v>
      </c>
      <c r="I12" s="824">
        <v>0.3</v>
      </c>
      <c r="J12" s="828">
        <v>12.78396</v>
      </c>
      <c r="K12" s="793"/>
      <c r="L12" s="818">
        <f t="shared" ref="L12:L13" si="7">+D12*(E12-J12)</f>
        <v>136244.55280000006</v>
      </c>
      <c r="M12" s="819">
        <f t="shared" ref="M12:M13" si="8">+(D12-(I12*$C$2))*J12</f>
        <v>190023.33823200001</v>
      </c>
      <c r="N12" s="811"/>
      <c r="O12" s="882">
        <f t="shared" ref="O12:O13" si="9">L12/56.15</f>
        <v>2426.4390525378462</v>
      </c>
    </row>
    <row r="13" spans="2:15" ht="11.4" thickBot="1" x14ac:dyDescent="0.3">
      <c r="B13" s="822"/>
      <c r="C13" s="823" t="s">
        <v>667</v>
      </c>
      <c r="D13" s="824">
        <v>300</v>
      </c>
      <c r="E13" s="825">
        <f t="shared" si="5"/>
        <v>50</v>
      </c>
      <c r="F13" s="826">
        <v>15000</v>
      </c>
      <c r="G13" s="827">
        <f t="shared" si="6"/>
        <v>5.6405821080735535E-3</v>
      </c>
      <c r="H13" s="940"/>
      <c r="I13" s="824">
        <f>G13</f>
        <v>5.6405821080735535E-3</v>
      </c>
      <c r="J13" s="828">
        <f>(J12/E12)*E13</f>
        <v>37.15270823251538</v>
      </c>
      <c r="K13" s="793"/>
      <c r="L13" s="818">
        <f t="shared" si="7"/>
        <v>3854.1875302453859</v>
      </c>
      <c r="M13" s="819">
        <f t="shared" si="8"/>
        <v>0</v>
      </c>
      <c r="N13" s="811"/>
      <c r="O13" s="882">
        <f t="shared" si="9"/>
        <v>68.640917724761991</v>
      </c>
    </row>
    <row r="14" spans="2:15" ht="11.4" thickBot="1" x14ac:dyDescent="0.3">
      <c r="B14" s="822"/>
      <c r="C14" s="823" t="s">
        <v>1038</v>
      </c>
      <c r="D14" s="824">
        <v>1560</v>
      </c>
      <c r="E14" s="825">
        <f t="shared" si="1"/>
        <v>15</v>
      </c>
      <c r="F14" s="826">
        <v>23400</v>
      </c>
      <c r="G14" s="827">
        <f t="shared" si="2"/>
        <v>2.9331026961982476E-2</v>
      </c>
      <c r="H14" s="940"/>
      <c r="I14" s="824">
        <f>G14</f>
        <v>2.9331026961982476E-2</v>
      </c>
      <c r="J14" s="828">
        <f>(J13/E13)*E14</f>
        <v>11.145812469754613</v>
      </c>
      <c r="K14" s="793"/>
      <c r="L14" s="818">
        <f t="shared" si="0"/>
        <v>6012.5325471828037</v>
      </c>
      <c r="M14" s="819">
        <f t="shared" si="3"/>
        <v>0</v>
      </c>
      <c r="N14" s="811"/>
      <c r="O14" s="882">
        <f t="shared" si="4"/>
        <v>107.07983165062875</v>
      </c>
    </row>
    <row r="15" spans="2:15" ht="11.4" thickBot="1" x14ac:dyDescent="0.3">
      <c r="B15" s="829" t="s">
        <v>656</v>
      </c>
      <c r="C15" s="830"/>
      <c r="D15" s="831">
        <f>+SUM(D4:D14)</f>
        <v>146284</v>
      </c>
      <c r="E15" s="832"/>
      <c r="F15" s="833">
        <f>+SUM(F4:F14)</f>
        <v>3390822.2</v>
      </c>
      <c r="G15" s="941">
        <f>F15/57</f>
        <v>59488.10877192983</v>
      </c>
      <c r="H15" s="793"/>
      <c r="I15" s="793"/>
      <c r="J15" s="793"/>
      <c r="K15" s="793"/>
      <c r="L15" s="822"/>
      <c r="M15" s="835"/>
      <c r="N15" s="836"/>
    </row>
    <row r="16" spans="2:15" ht="11.4" thickBot="1" x14ac:dyDescent="0.3">
      <c r="B16" s="829" t="s">
        <v>61</v>
      </c>
      <c r="C16" s="830"/>
      <c r="D16" s="837"/>
      <c r="E16" s="837"/>
      <c r="F16" s="838">
        <f>-'data entry '!G101*57000</f>
        <v>3576712.96</v>
      </c>
      <c r="G16" s="941">
        <f>F16/57</f>
        <v>62749.350175438594</v>
      </c>
      <c r="H16" s="793"/>
      <c r="I16" s="793"/>
      <c r="J16" s="834"/>
      <c r="K16" s="793"/>
      <c r="L16" s="793"/>
      <c r="M16" s="793"/>
      <c r="N16" s="793"/>
    </row>
    <row r="17" spans="1:15" ht="11.4" thickBot="1" x14ac:dyDescent="0.3">
      <c r="B17" s="839" t="s">
        <v>410</v>
      </c>
      <c r="C17" s="840"/>
      <c r="D17" s="841"/>
      <c r="E17" s="841"/>
      <c r="F17" s="842">
        <f>+F15-F16</f>
        <v>-185890.75999999978</v>
      </c>
      <c r="G17" s="941">
        <f>G16-G15</f>
        <v>3261.2414035087641</v>
      </c>
      <c r="H17" s="793"/>
      <c r="I17" s="793"/>
      <c r="J17" s="843"/>
      <c r="K17" s="793"/>
      <c r="L17" s="844">
        <f>+SUM(L4:L15)</f>
        <v>1128679.5324774282</v>
      </c>
      <c r="M17" s="845">
        <f t="shared" ref="M17:N17" si="10">+SUM(M4:M15)</f>
        <v>202872.17279999988</v>
      </c>
      <c r="N17" s="846">
        <f t="shared" si="10"/>
        <v>0</v>
      </c>
    </row>
    <row r="18" spans="1:15" x14ac:dyDescent="0.2">
      <c r="D18" s="847"/>
      <c r="F18" s="847"/>
      <c r="G18" s="942">
        <f>G17--L18</f>
        <v>23062.636710130311</v>
      </c>
      <c r="H18" s="847"/>
      <c r="I18" s="790"/>
      <c r="L18" s="942">
        <f>L17/57</f>
        <v>19801.395306621547</v>
      </c>
      <c r="M18" s="942">
        <f>M17/57</f>
        <v>3559.1609263157875</v>
      </c>
      <c r="N18" s="942"/>
    </row>
    <row r="19" spans="1:15" ht="10.8" thickBot="1" x14ac:dyDescent="0.25">
      <c r="F19" s="847"/>
    </row>
    <row r="20" spans="1:15" ht="10.8" x14ac:dyDescent="0.25">
      <c r="B20" s="802" t="s">
        <v>388</v>
      </c>
      <c r="F20" s="789">
        <v>4.5</v>
      </c>
      <c r="G20" s="789">
        <v>4.5</v>
      </c>
      <c r="H20" s="789">
        <v>4.5</v>
      </c>
      <c r="I20" s="789">
        <v>4.5</v>
      </c>
      <c r="J20" s="789">
        <v>4.5</v>
      </c>
      <c r="K20" s="789">
        <v>4.5</v>
      </c>
      <c r="L20" s="789">
        <v>4.5</v>
      </c>
      <c r="M20" s="789">
        <v>4.5</v>
      </c>
      <c r="N20" s="789">
        <v>4.5</v>
      </c>
    </row>
    <row r="21" spans="1:15" ht="10.8" x14ac:dyDescent="0.25">
      <c r="B21" s="811" t="s">
        <v>390</v>
      </c>
      <c r="F21" s="789">
        <v>1.05</v>
      </c>
      <c r="G21" s="789">
        <v>1.05</v>
      </c>
      <c r="H21" s="789">
        <v>1.05</v>
      </c>
      <c r="I21" s="789">
        <v>1.05</v>
      </c>
      <c r="J21" s="789">
        <v>1.05</v>
      </c>
      <c r="K21" s="789">
        <v>1.05</v>
      </c>
      <c r="L21" s="789">
        <v>1.05</v>
      </c>
      <c r="M21" s="789">
        <v>1.05</v>
      </c>
      <c r="N21" s="789">
        <v>1.05</v>
      </c>
    </row>
    <row r="22" spans="1:15" ht="10.8" x14ac:dyDescent="0.25">
      <c r="B22" s="811" t="s">
        <v>392</v>
      </c>
      <c r="F22" s="789">
        <v>1.5</v>
      </c>
      <c r="G22" s="789">
        <v>1.5</v>
      </c>
      <c r="H22" s="789">
        <v>1.5</v>
      </c>
      <c r="I22" s="789">
        <v>1.5</v>
      </c>
      <c r="J22" s="789">
        <v>1.5</v>
      </c>
      <c r="K22" s="789">
        <v>1.5</v>
      </c>
      <c r="L22" s="789">
        <v>1.5</v>
      </c>
      <c r="M22" s="789">
        <v>1.5</v>
      </c>
      <c r="N22" s="789">
        <v>1.5</v>
      </c>
    </row>
    <row r="23" spans="1:15" ht="10.8" x14ac:dyDescent="0.25">
      <c r="B23" s="811" t="s">
        <v>394</v>
      </c>
      <c r="C23" s="848"/>
      <c r="D23" s="848"/>
      <c r="E23" s="848"/>
      <c r="F23" s="849">
        <v>46.25</v>
      </c>
      <c r="G23" s="849">
        <v>46.25</v>
      </c>
      <c r="H23" s="848">
        <v>50.229167225181257</v>
      </c>
      <c r="I23" s="848">
        <v>51.083063068009338</v>
      </c>
      <c r="J23" s="848">
        <v>51.84930901402948</v>
      </c>
      <c r="K23" s="848">
        <v>52.678897958253948</v>
      </c>
      <c r="L23" s="848">
        <v>53.574439223544267</v>
      </c>
      <c r="M23" s="848">
        <v>54.592353568791609</v>
      </c>
      <c r="N23" s="848">
        <v>55.68420064016744</v>
      </c>
    </row>
    <row r="24" spans="1:15" ht="10.8" x14ac:dyDescent="0.25">
      <c r="B24" s="811" t="s">
        <v>396</v>
      </c>
    </row>
    <row r="25" spans="1:15" ht="10.8" x14ac:dyDescent="0.25">
      <c r="B25" s="811" t="s">
        <v>398</v>
      </c>
      <c r="F25" s="789">
        <v>6</v>
      </c>
      <c r="G25" s="789">
        <v>6</v>
      </c>
      <c r="H25" s="789">
        <v>6</v>
      </c>
      <c r="I25" s="789">
        <v>6</v>
      </c>
      <c r="J25" s="789">
        <v>6</v>
      </c>
      <c r="K25" s="789">
        <v>6</v>
      </c>
      <c r="L25" s="789">
        <v>6</v>
      </c>
      <c r="M25" s="789">
        <v>6</v>
      </c>
      <c r="N25" s="789">
        <v>2.5</v>
      </c>
    </row>
    <row r="26" spans="1:15" ht="10.8" x14ac:dyDescent="0.25">
      <c r="B26" s="811" t="s">
        <v>400</v>
      </c>
      <c r="C26" s="848"/>
      <c r="D26" s="848"/>
      <c r="E26" s="850"/>
      <c r="F26" s="849">
        <v>22.85</v>
      </c>
      <c r="G26" s="848">
        <v>23.241253547671882</v>
      </c>
      <c r="H26" s="848">
        <v>23.671216738303816</v>
      </c>
      <c r="I26" s="848">
        <v>24.073627422854976</v>
      </c>
      <c r="J26" s="848">
        <v>24.434731834197802</v>
      </c>
      <c r="K26" s="848">
        <v>24.825687543544966</v>
      </c>
      <c r="L26" s="848">
        <v>25.247724231785231</v>
      </c>
      <c r="M26" s="848">
        <v>25.727430992189149</v>
      </c>
      <c r="N26" s="848">
        <v>26.241979612032935</v>
      </c>
    </row>
    <row r="27" spans="1:15" ht="10.8" x14ac:dyDescent="0.25">
      <c r="B27" s="811" t="s">
        <v>402</v>
      </c>
      <c r="C27" s="848"/>
      <c r="D27" s="848"/>
      <c r="E27" s="848"/>
      <c r="F27" s="848">
        <v>0.9</v>
      </c>
      <c r="G27" s="848">
        <v>0.9</v>
      </c>
      <c r="H27" s="848">
        <v>0.9</v>
      </c>
      <c r="I27" s="848">
        <v>0.9</v>
      </c>
      <c r="J27" s="848">
        <v>0.9</v>
      </c>
      <c r="K27" s="848">
        <v>0.9</v>
      </c>
      <c r="L27" s="848">
        <v>0.9</v>
      </c>
      <c r="M27" s="848">
        <v>0.9</v>
      </c>
      <c r="N27" s="848">
        <v>0.9</v>
      </c>
      <c r="O27" s="848"/>
    </row>
    <row r="28" spans="1:15" ht="11.4" thickBot="1" x14ac:dyDescent="0.3">
      <c r="B28" s="823" t="s">
        <v>404</v>
      </c>
      <c r="C28" s="848"/>
      <c r="D28" s="848"/>
      <c r="E28" s="850"/>
      <c r="F28" s="849">
        <v>15.91</v>
      </c>
      <c r="G28" s="849">
        <v>15.91</v>
      </c>
      <c r="H28" s="849">
        <v>15.91</v>
      </c>
      <c r="I28" s="848">
        <v>15.923823797751879</v>
      </c>
      <c r="J28" s="848">
        <v>16.162681154718157</v>
      </c>
      <c r="K28" s="848">
        <v>16.421284053193649</v>
      </c>
      <c r="L28" s="848">
        <v>16.700445882097938</v>
      </c>
      <c r="M28" s="848">
        <v>17.0177543538578</v>
      </c>
      <c r="N28" s="848">
        <v>17.358109440934957</v>
      </c>
    </row>
    <row r="30" spans="1:15" ht="10.8" x14ac:dyDescent="0.25">
      <c r="F30" s="848"/>
      <c r="G30" s="848"/>
    </row>
    <row r="31" spans="1:15" ht="11.4" thickBot="1" x14ac:dyDescent="0.3">
      <c r="A31" s="789" t="s">
        <v>657</v>
      </c>
      <c r="B31" s="823" t="s">
        <v>404</v>
      </c>
      <c r="F31" s="851">
        <v>15.027604039121224</v>
      </c>
      <c r="G31" s="851">
        <v>15.373238932021014</v>
      </c>
      <c r="H31" s="790">
        <v>15.6576438522634</v>
      </c>
      <c r="I31" s="790">
        <v>15.923823797751879</v>
      </c>
      <c r="J31" s="790">
        <v>16.162681154718157</v>
      </c>
      <c r="K31" s="790">
        <v>16.421284053193649</v>
      </c>
      <c r="L31" s="790">
        <v>16.700445882097938</v>
      </c>
      <c r="M31" s="790">
        <v>17.0177543538578</v>
      </c>
      <c r="N31" s="790">
        <v>17.358109440934957</v>
      </c>
    </row>
    <row r="32" spans="1:15" ht="10.8" x14ac:dyDescent="0.25">
      <c r="A32" s="789" t="s">
        <v>657</v>
      </c>
      <c r="B32" s="811" t="s">
        <v>400</v>
      </c>
      <c r="E32" s="848"/>
      <c r="F32" s="852">
        <v>22.718722920500372</v>
      </c>
      <c r="G32" s="852">
        <v>23.241253547671882</v>
      </c>
      <c r="H32" s="853">
        <v>23.671216738303816</v>
      </c>
      <c r="I32" s="853">
        <v>24.073627422854976</v>
      </c>
      <c r="J32" s="853">
        <v>24.434731834197802</v>
      </c>
      <c r="K32" s="853">
        <v>24.825687543544966</v>
      </c>
      <c r="L32" s="853">
        <v>25.247724231785231</v>
      </c>
      <c r="M32" s="853">
        <v>25.727430992189149</v>
      </c>
      <c r="N32" s="853">
        <v>26.241979612032935</v>
      </c>
    </row>
    <row r="33" spans="1:15" ht="10.8" x14ac:dyDescent="0.25">
      <c r="A33" s="789" t="s">
        <v>657</v>
      </c>
      <c r="B33" s="811" t="s">
        <v>658</v>
      </c>
      <c r="F33" s="852">
        <v>48.208021806915426</v>
      </c>
      <c r="G33" s="852">
        <v>49.316806308474483</v>
      </c>
      <c r="H33" s="853">
        <v>50.229167225181257</v>
      </c>
      <c r="I33" s="853">
        <v>51.083063068009338</v>
      </c>
      <c r="J33" s="853">
        <v>51.84930901402948</v>
      </c>
      <c r="K33" s="853">
        <v>52.678897958253948</v>
      </c>
      <c r="L33" s="853">
        <v>53.574439223544267</v>
      </c>
      <c r="M33" s="853">
        <v>54.592353568791609</v>
      </c>
      <c r="N33" s="853">
        <v>55.68420064016744</v>
      </c>
    </row>
    <row r="34" spans="1:15" ht="10.8" x14ac:dyDescent="0.25">
      <c r="F34" s="848"/>
      <c r="G34" s="848"/>
    </row>
    <row r="35" spans="1:15" ht="11.4" thickBot="1" x14ac:dyDescent="0.3">
      <c r="C35" s="823"/>
      <c r="E35" s="854"/>
      <c r="F35" s="854"/>
      <c r="G35" s="854"/>
      <c r="H35" s="854"/>
    </row>
    <row r="36" spans="1:15" ht="10.8" x14ac:dyDescent="0.25">
      <c r="C36" s="811"/>
      <c r="E36" s="854"/>
      <c r="F36" s="854"/>
      <c r="G36" s="854"/>
    </row>
    <row r="37" spans="1:15" ht="10.8" x14ac:dyDescent="0.25">
      <c r="C37" s="811"/>
      <c r="E37" s="854"/>
      <c r="F37" s="854"/>
      <c r="G37" s="854"/>
    </row>
    <row r="38" spans="1:15" x14ac:dyDescent="0.2">
      <c r="E38" s="854"/>
      <c r="F38" s="854"/>
      <c r="G38" s="854"/>
    </row>
    <row r="39" spans="1:15" ht="10.8" x14ac:dyDescent="0.25">
      <c r="C39" s="855" t="s">
        <v>0</v>
      </c>
      <c r="D39" s="855" t="s">
        <v>1</v>
      </c>
      <c r="E39" s="855" t="s">
        <v>130</v>
      </c>
      <c r="F39" s="855" t="s">
        <v>521</v>
      </c>
      <c r="G39" s="855" t="s">
        <v>4</v>
      </c>
      <c r="H39" s="855" t="s">
        <v>522</v>
      </c>
      <c r="I39" s="855" t="s">
        <v>523</v>
      </c>
      <c r="J39" s="855" t="s">
        <v>107</v>
      </c>
      <c r="K39" s="855" t="s">
        <v>490</v>
      </c>
      <c r="L39" s="855" t="s">
        <v>9</v>
      </c>
      <c r="M39" s="855" t="s">
        <v>10</v>
      </c>
      <c r="N39" s="855" t="s">
        <v>11</v>
      </c>
      <c r="O39" s="855" t="s">
        <v>67</v>
      </c>
    </row>
    <row r="40" spans="1:15" x14ac:dyDescent="0.2">
      <c r="B40" s="856" t="s">
        <v>659</v>
      </c>
      <c r="C40" s="857">
        <v>47357</v>
      </c>
      <c r="D40" s="857">
        <v>42593.000999999997</v>
      </c>
      <c r="E40" s="857">
        <v>23002.001</v>
      </c>
      <c r="F40" s="858">
        <v>44096</v>
      </c>
      <c r="G40" s="858">
        <v>33500</v>
      </c>
      <c r="H40" s="858">
        <v>52968</v>
      </c>
      <c r="I40" s="858">
        <v>40596</v>
      </c>
      <c r="J40" s="858">
        <v>39790</v>
      </c>
      <c r="K40" s="858">
        <v>54907</v>
      </c>
      <c r="L40" s="858">
        <v>49968</v>
      </c>
      <c r="M40" s="858">
        <v>51936</v>
      </c>
      <c r="N40" s="858">
        <v>42190</v>
      </c>
      <c r="O40" s="859">
        <f>+SUM(C40:N40)</f>
        <v>522903.00199999998</v>
      </c>
    </row>
    <row r="41" spans="1:15" x14ac:dyDescent="0.2">
      <c r="B41" s="789" t="s">
        <v>61</v>
      </c>
      <c r="C41" s="860">
        <v>3208944.28</v>
      </c>
      <c r="D41" s="860">
        <v>2890000.13</v>
      </c>
      <c r="E41" s="860">
        <v>1654706.46</v>
      </c>
      <c r="F41" s="861">
        <v>2786631.5400000005</v>
      </c>
      <c r="G41" s="861">
        <v>2523959.9999999995</v>
      </c>
      <c r="H41" s="861">
        <v>3820995.0701099988</v>
      </c>
      <c r="I41" s="861">
        <v>2909564.9999999995</v>
      </c>
      <c r="J41" s="861">
        <v>2734290.0701099993</v>
      </c>
      <c r="K41" s="861">
        <v>3791899.3499999992</v>
      </c>
      <c r="L41" s="861">
        <v>3503256.4799999991</v>
      </c>
      <c r="M41" s="861">
        <v>3641232.959999999</v>
      </c>
      <c r="N41" s="861">
        <v>2957940.8999999994</v>
      </c>
      <c r="O41" s="862"/>
    </row>
    <row r="42" spans="1:15" hidden="1" x14ac:dyDescent="0.2">
      <c r="B42" s="789" t="s">
        <v>631</v>
      </c>
      <c r="C42" s="863"/>
      <c r="D42" s="864"/>
      <c r="E42" s="864"/>
      <c r="F42" s="864"/>
      <c r="G42" s="864"/>
      <c r="H42" s="864"/>
      <c r="I42" s="864"/>
      <c r="J42" s="864"/>
      <c r="K42" s="864"/>
      <c r="L42" s="864"/>
      <c r="M42" s="864"/>
      <c r="N42" s="864"/>
      <c r="O42" s="790"/>
    </row>
    <row r="43" spans="1:15" hidden="1" x14ac:dyDescent="0.2">
      <c r="B43" s="789" t="s">
        <v>660</v>
      </c>
      <c r="C43" s="863"/>
      <c r="D43" s="790"/>
      <c r="E43" s="790"/>
      <c r="F43" s="790"/>
      <c r="G43" s="790"/>
      <c r="H43" s="790"/>
      <c r="I43" s="790"/>
      <c r="J43" s="790"/>
      <c r="K43" s="790"/>
      <c r="L43" s="790"/>
      <c r="M43" s="790"/>
      <c r="N43" s="790"/>
      <c r="O43" s="790"/>
    </row>
    <row r="44" spans="1:15" hidden="1" x14ac:dyDescent="0.2">
      <c r="B44" s="789" t="s">
        <v>661</v>
      </c>
      <c r="C44" s="863"/>
      <c r="D44" s="790"/>
      <c r="E44" s="790"/>
      <c r="F44" s="790"/>
      <c r="G44" s="790"/>
      <c r="H44" s="790"/>
      <c r="I44" s="790"/>
      <c r="J44" s="790"/>
      <c r="K44" s="790"/>
      <c r="L44" s="790"/>
      <c r="M44" s="790"/>
      <c r="N44" s="790"/>
      <c r="O44" s="790"/>
    </row>
    <row r="45" spans="1:15" hidden="1" x14ac:dyDescent="0.2">
      <c r="C45" s="863"/>
      <c r="D45" s="790"/>
      <c r="E45" s="790"/>
      <c r="F45" s="790"/>
      <c r="G45" s="790"/>
      <c r="H45" s="790"/>
      <c r="I45" s="790"/>
      <c r="J45" s="790"/>
      <c r="K45" s="790"/>
      <c r="L45" s="790"/>
      <c r="M45" s="790"/>
      <c r="N45" s="790"/>
      <c r="O45" s="790"/>
    </row>
    <row r="46" spans="1:15" s="865" customFormat="1" hidden="1" x14ac:dyDescent="0.2">
      <c r="B46" s="865" t="s">
        <v>662</v>
      </c>
      <c r="C46" s="866"/>
    </row>
    <row r="47" spans="1:15" s="865" customFormat="1" hidden="1" x14ac:dyDescent="0.2">
      <c r="B47" s="865" t="s">
        <v>663</v>
      </c>
      <c r="C47" s="866"/>
    </row>
    <row r="48" spans="1:15" s="865" customFormat="1" hidden="1" x14ac:dyDescent="0.2">
      <c r="C48" s="866"/>
    </row>
    <row r="49" spans="1:15" ht="10.8" thickBot="1" x14ac:dyDescent="0.25"/>
    <row r="50" spans="1:15" ht="11.4" thickBot="1" x14ac:dyDescent="0.3">
      <c r="B50" s="794" t="s">
        <v>651</v>
      </c>
      <c r="C50" s="795" t="s">
        <v>378</v>
      </c>
      <c r="D50" s="796" t="s">
        <v>1</v>
      </c>
      <c r="E50" s="855" t="s">
        <v>130</v>
      </c>
      <c r="F50" s="855" t="s">
        <v>521</v>
      </c>
      <c r="G50" s="855" t="s">
        <v>4</v>
      </c>
      <c r="H50" s="855" t="s">
        <v>522</v>
      </c>
      <c r="I50" s="855" t="s">
        <v>523</v>
      </c>
      <c r="J50" s="855" t="s">
        <v>107</v>
      </c>
      <c r="K50" s="855" t="s">
        <v>490</v>
      </c>
      <c r="L50" s="855" t="s">
        <v>9</v>
      </c>
      <c r="M50" s="855" t="s">
        <v>10</v>
      </c>
      <c r="N50" s="855" t="s">
        <v>11</v>
      </c>
      <c r="O50" s="855" t="s">
        <v>95</v>
      </c>
    </row>
    <row r="51" spans="1:15" ht="10.8" x14ac:dyDescent="0.25">
      <c r="B51" s="801">
        <v>40007037</v>
      </c>
      <c r="C51" s="867" t="s">
        <v>388</v>
      </c>
      <c r="D51" s="868"/>
      <c r="E51" s="868"/>
      <c r="F51" s="868">
        <f t="shared" ref="F51:N51" si="11">+$I4*F$40*$D20</f>
        <v>0</v>
      </c>
      <c r="G51" s="868">
        <f t="shared" si="11"/>
        <v>0</v>
      </c>
      <c r="H51" s="868">
        <f t="shared" si="11"/>
        <v>0</v>
      </c>
      <c r="I51" s="868">
        <f t="shared" si="11"/>
        <v>0</v>
      </c>
      <c r="J51" s="868">
        <f t="shared" si="11"/>
        <v>0</v>
      </c>
      <c r="K51" s="868">
        <f t="shared" si="11"/>
        <v>0</v>
      </c>
      <c r="L51" s="868">
        <f t="shared" si="11"/>
        <v>0</v>
      </c>
      <c r="M51" s="868">
        <f t="shared" si="11"/>
        <v>0</v>
      </c>
      <c r="N51" s="868">
        <f t="shared" si="11"/>
        <v>0</v>
      </c>
      <c r="O51" s="868">
        <f>+SUM(D51:N51)</f>
        <v>0</v>
      </c>
    </row>
    <row r="52" spans="1:15" ht="10.8" x14ac:dyDescent="0.25">
      <c r="B52" s="810">
        <v>40007340</v>
      </c>
      <c r="C52" s="869" t="s">
        <v>390</v>
      </c>
      <c r="D52" s="868"/>
      <c r="E52" s="868"/>
      <c r="F52" s="868">
        <f t="shared" ref="F52:N52" si="12">+$I5*F$40*$D21</f>
        <v>0</v>
      </c>
      <c r="G52" s="868">
        <f t="shared" si="12"/>
        <v>0</v>
      </c>
      <c r="H52" s="868">
        <f t="shared" si="12"/>
        <v>0</v>
      </c>
      <c r="I52" s="868">
        <f t="shared" si="12"/>
        <v>0</v>
      </c>
      <c r="J52" s="868">
        <f t="shared" si="12"/>
        <v>0</v>
      </c>
      <c r="K52" s="868">
        <f t="shared" si="12"/>
        <v>0</v>
      </c>
      <c r="L52" s="868">
        <f t="shared" si="12"/>
        <v>0</v>
      </c>
      <c r="M52" s="868">
        <f t="shared" si="12"/>
        <v>0</v>
      </c>
      <c r="N52" s="868">
        <f t="shared" si="12"/>
        <v>0</v>
      </c>
      <c r="O52" s="868">
        <f t="shared" ref="O52:O59" si="13">+SUM(D52:N52)</f>
        <v>0</v>
      </c>
    </row>
    <row r="53" spans="1:15" ht="10.8" x14ac:dyDescent="0.25">
      <c r="B53" s="810">
        <v>40007341</v>
      </c>
      <c r="C53" s="869" t="s">
        <v>392</v>
      </c>
      <c r="D53" s="868"/>
      <c r="E53" s="868"/>
      <c r="F53" s="868">
        <f t="shared" ref="F53:N53" si="14">+$I6*F$40*$D22</f>
        <v>0</v>
      </c>
      <c r="G53" s="868">
        <f t="shared" si="14"/>
        <v>0</v>
      </c>
      <c r="H53" s="868">
        <f t="shared" si="14"/>
        <v>0</v>
      </c>
      <c r="I53" s="868">
        <f t="shared" si="14"/>
        <v>0</v>
      </c>
      <c r="J53" s="868">
        <f t="shared" si="14"/>
        <v>0</v>
      </c>
      <c r="K53" s="868">
        <f t="shared" si="14"/>
        <v>0</v>
      </c>
      <c r="L53" s="868">
        <f t="shared" si="14"/>
        <v>0</v>
      </c>
      <c r="M53" s="868">
        <f t="shared" si="14"/>
        <v>0</v>
      </c>
      <c r="N53" s="868">
        <f t="shared" si="14"/>
        <v>0</v>
      </c>
      <c r="O53" s="868">
        <f t="shared" si="13"/>
        <v>0</v>
      </c>
    </row>
    <row r="54" spans="1:15" ht="10.8" x14ac:dyDescent="0.25">
      <c r="B54" s="810">
        <v>41047780</v>
      </c>
      <c r="C54" s="869" t="s">
        <v>394</v>
      </c>
      <c r="D54" s="868"/>
      <c r="E54" s="868"/>
      <c r="F54" s="868">
        <f t="shared" ref="F54:N54" si="15">+$I7*F$40*F$23</f>
        <v>1631552.0000000002</v>
      </c>
      <c r="G54" s="868">
        <f t="shared" si="15"/>
        <v>1239500</v>
      </c>
      <c r="H54" s="868">
        <f t="shared" si="15"/>
        <v>2128430.8236667207</v>
      </c>
      <c r="I54" s="868">
        <f t="shared" si="15"/>
        <v>1659014.4226471258</v>
      </c>
      <c r="J54" s="868">
        <f t="shared" si="15"/>
        <v>1650467.2045345863</v>
      </c>
      <c r="K54" s="868">
        <f t="shared" si="15"/>
        <v>2313952.2001550798</v>
      </c>
      <c r="L54" s="868">
        <f t="shared" si="15"/>
        <v>2141606.063297648</v>
      </c>
      <c r="M54" s="868">
        <f t="shared" si="15"/>
        <v>2268246.779959009</v>
      </c>
      <c r="N54" s="868">
        <f t="shared" si="15"/>
        <v>1879453.1400069315</v>
      </c>
      <c r="O54" s="868">
        <f t="shared" si="13"/>
        <v>16912222.634267099</v>
      </c>
    </row>
    <row r="55" spans="1:15" ht="10.8" x14ac:dyDescent="0.25">
      <c r="B55" s="810">
        <v>41047943</v>
      </c>
      <c r="C55" s="869" t="s">
        <v>396</v>
      </c>
      <c r="D55" s="868"/>
      <c r="E55" s="868"/>
      <c r="F55" s="868"/>
      <c r="G55" s="868"/>
      <c r="H55" s="868"/>
      <c r="I55" s="868"/>
      <c r="J55" s="868"/>
      <c r="K55" s="868"/>
      <c r="L55" s="868"/>
      <c r="M55" s="868"/>
      <c r="N55" s="868"/>
      <c r="O55" s="868">
        <f t="shared" si="13"/>
        <v>0</v>
      </c>
    </row>
    <row r="56" spans="1:15" ht="10.8" x14ac:dyDescent="0.25">
      <c r="B56" s="810">
        <v>40008331</v>
      </c>
      <c r="C56" s="869" t="s">
        <v>398</v>
      </c>
      <c r="D56" s="868"/>
      <c r="E56" s="868"/>
      <c r="F56" s="868">
        <f t="shared" ref="F56:N56" si="16">+$I9*F$40*F$25</f>
        <v>34394.880000000005</v>
      </c>
      <c r="G56" s="868">
        <f t="shared" si="16"/>
        <v>26130</v>
      </c>
      <c r="H56" s="868">
        <f t="shared" si="16"/>
        <v>41315.040000000001</v>
      </c>
      <c r="I56" s="868">
        <f t="shared" si="16"/>
        <v>31664.880000000005</v>
      </c>
      <c r="J56" s="868">
        <f t="shared" si="16"/>
        <v>31036.199999999997</v>
      </c>
      <c r="K56" s="868">
        <f t="shared" si="16"/>
        <v>42827.46</v>
      </c>
      <c r="L56" s="868">
        <f t="shared" si="16"/>
        <v>38975.040000000001</v>
      </c>
      <c r="M56" s="868">
        <f t="shared" si="16"/>
        <v>40510.080000000002</v>
      </c>
      <c r="N56" s="868">
        <f t="shared" si="16"/>
        <v>13711.75</v>
      </c>
      <c r="O56" s="868">
        <f t="shared" si="13"/>
        <v>300565.33</v>
      </c>
    </row>
    <row r="57" spans="1:15" ht="10.8" x14ac:dyDescent="0.25">
      <c r="B57" s="810">
        <v>41047781</v>
      </c>
      <c r="C57" s="869" t="s">
        <v>400</v>
      </c>
      <c r="D57" s="868"/>
      <c r="E57" s="868"/>
      <c r="F57" s="868">
        <f t="shared" ref="F57:N57" si="17">+$G10*F$40*F$26</f>
        <v>367148.57233106456</v>
      </c>
      <c r="G57" s="868">
        <f t="shared" si="17"/>
        <v>283700.95590484363</v>
      </c>
      <c r="H57" s="868">
        <f t="shared" si="17"/>
        <v>456867.8527960169</v>
      </c>
      <c r="I57" s="868">
        <f t="shared" si="17"/>
        <v>356107.58339172555</v>
      </c>
      <c r="J57" s="868">
        <f t="shared" si="17"/>
        <v>354272.92231510772</v>
      </c>
      <c r="K57" s="868">
        <f t="shared" si="17"/>
        <v>496690.03164323966</v>
      </c>
      <c r="L57" s="868">
        <f t="shared" si="17"/>
        <v>459695.9190753263</v>
      </c>
      <c r="M57" s="868">
        <f t="shared" si="17"/>
        <v>486879.35940812057</v>
      </c>
      <c r="N57" s="868">
        <f t="shared" si="17"/>
        <v>403424.77235245658</v>
      </c>
      <c r="O57" s="868">
        <f t="shared" si="13"/>
        <v>3664787.9692179016</v>
      </c>
    </row>
    <row r="58" spans="1:15" ht="10.8" x14ac:dyDescent="0.25">
      <c r="B58" s="810">
        <v>41053620</v>
      </c>
      <c r="C58" s="869" t="s">
        <v>402</v>
      </c>
      <c r="D58" s="868"/>
      <c r="E58" s="868"/>
      <c r="F58" s="868">
        <f t="shared" ref="F58:N58" si="18">+$I11*F$40*F$27</f>
        <v>5952.96</v>
      </c>
      <c r="G58" s="868">
        <f t="shared" si="18"/>
        <v>4522.5</v>
      </c>
      <c r="H58" s="868">
        <f t="shared" si="18"/>
        <v>7150.68</v>
      </c>
      <c r="I58" s="868">
        <f t="shared" si="18"/>
        <v>5480.46</v>
      </c>
      <c r="J58" s="868">
        <f t="shared" si="18"/>
        <v>5371.6500000000005</v>
      </c>
      <c r="K58" s="868">
        <f t="shared" si="18"/>
        <v>7412.4449999999997</v>
      </c>
      <c r="L58" s="868">
        <f t="shared" si="18"/>
        <v>6745.68</v>
      </c>
      <c r="M58" s="868">
        <f t="shared" si="18"/>
        <v>7011.36</v>
      </c>
      <c r="N58" s="868">
        <f t="shared" si="18"/>
        <v>5695.6500000000005</v>
      </c>
      <c r="O58" s="868">
        <f t="shared" si="13"/>
        <v>55343.385000000002</v>
      </c>
    </row>
    <row r="59" spans="1:15" ht="11.4" thickBot="1" x14ac:dyDescent="0.3">
      <c r="B59" s="870">
        <v>41053180</v>
      </c>
      <c r="C59" s="871" t="s">
        <v>404</v>
      </c>
      <c r="D59" s="868"/>
      <c r="E59" s="868"/>
      <c r="F59" s="868">
        <f t="shared" ref="F59:N59" si="19">+$I14*F$40*F$28</f>
        <v>20577.691151806866</v>
      </c>
      <c r="G59" s="868">
        <f t="shared" si="19"/>
        <v>15632.997405332231</v>
      </c>
      <c r="H59" s="868">
        <f t="shared" si="19"/>
        <v>24717.8688527056</v>
      </c>
      <c r="I59" s="868">
        <f t="shared" si="19"/>
        <v>18960.853220657973</v>
      </c>
      <c r="J59" s="868">
        <f t="shared" si="19"/>
        <v>18863.167181365912</v>
      </c>
      <c r="K59" s="868">
        <f t="shared" si="19"/>
        <v>26446.128151648511</v>
      </c>
      <c r="L59" s="868">
        <f t="shared" si="19"/>
        <v>24476.386502936952</v>
      </c>
      <c r="M59" s="868">
        <f t="shared" si="19"/>
        <v>25923.76152728642</v>
      </c>
      <c r="N59" s="868">
        <f t="shared" si="19"/>
        <v>21480.244316330456</v>
      </c>
      <c r="O59" s="868">
        <f t="shared" si="13"/>
        <v>197079.09831007093</v>
      </c>
    </row>
    <row r="60" spans="1:15" ht="11.4" thickBot="1" x14ac:dyDescent="0.3">
      <c r="B60" s="829" t="s">
        <v>656</v>
      </c>
      <c r="C60" s="872"/>
      <c r="D60" s="873">
        <f>+SUM(D51:D59)*-1</f>
        <v>0</v>
      </c>
      <c r="E60" s="874">
        <f t="shared" ref="E60:N60" si="20">+SUM(E51:E59)*-1</f>
        <v>0</v>
      </c>
      <c r="F60" s="874">
        <f t="shared" si="20"/>
        <v>-2059626.1034828718</v>
      </c>
      <c r="G60" s="874">
        <f t="shared" si="20"/>
        <v>-1569486.453310176</v>
      </c>
      <c r="H60" s="874">
        <f t="shared" si="20"/>
        <v>-2658482.2653154433</v>
      </c>
      <c r="I60" s="874">
        <f t="shared" si="20"/>
        <v>-2071228.1992595093</v>
      </c>
      <c r="J60" s="874">
        <f t="shared" si="20"/>
        <v>-2060011.1440310597</v>
      </c>
      <c r="K60" s="874">
        <f t="shared" si="20"/>
        <v>-2887328.2649499681</v>
      </c>
      <c r="L60" s="874">
        <f t="shared" si="20"/>
        <v>-2671499.0888759112</v>
      </c>
      <c r="M60" s="874">
        <f t="shared" si="20"/>
        <v>-2828571.340894416</v>
      </c>
      <c r="N60" s="874">
        <f t="shared" si="20"/>
        <v>-2323765.5566757186</v>
      </c>
      <c r="O60" s="874">
        <f>+SUM(D60:N60)</f>
        <v>-21129998.416795071</v>
      </c>
    </row>
    <row r="61" spans="1:15" ht="10.8" thickBot="1" x14ac:dyDescent="0.25">
      <c r="E61" s="853"/>
      <c r="F61" s="853"/>
      <c r="G61" s="853"/>
      <c r="H61" s="853"/>
      <c r="I61" s="853"/>
      <c r="J61" s="853"/>
      <c r="K61" s="853"/>
      <c r="L61" s="853"/>
      <c r="M61" s="853"/>
      <c r="N61" s="853"/>
      <c r="O61" s="853"/>
    </row>
    <row r="62" spans="1:15" ht="11.4" thickBot="1" x14ac:dyDescent="0.3">
      <c r="A62" s="789" t="s">
        <v>664</v>
      </c>
      <c r="B62" s="794" t="s">
        <v>651</v>
      </c>
      <c r="C62" s="795" t="s">
        <v>378</v>
      </c>
      <c r="D62" s="796" t="s">
        <v>1</v>
      </c>
      <c r="E62" s="875" t="s">
        <v>130</v>
      </c>
      <c r="F62" s="875" t="s">
        <v>521</v>
      </c>
      <c r="G62" s="875" t="s">
        <v>4</v>
      </c>
      <c r="H62" s="875" t="s">
        <v>522</v>
      </c>
      <c r="I62" s="875" t="s">
        <v>523</v>
      </c>
      <c r="J62" s="875" t="s">
        <v>107</v>
      </c>
      <c r="K62" s="875" t="s">
        <v>490</v>
      </c>
      <c r="L62" s="875" t="s">
        <v>9</v>
      </c>
      <c r="M62" s="875" t="s">
        <v>10</v>
      </c>
      <c r="N62" s="875" t="s">
        <v>11</v>
      </c>
      <c r="O62" s="875" t="s">
        <v>95</v>
      </c>
    </row>
    <row r="63" spans="1:15" ht="10.8" x14ac:dyDescent="0.25">
      <c r="B63" s="801">
        <v>40007037</v>
      </c>
      <c r="C63" s="867" t="s">
        <v>388</v>
      </c>
      <c r="D63" s="876"/>
      <c r="E63" s="876"/>
      <c r="F63" s="876">
        <f t="shared" ref="F63:N63" si="21">+$G4*F$40</f>
        <v>0</v>
      </c>
      <c r="G63" s="876">
        <f t="shared" si="21"/>
        <v>0</v>
      </c>
      <c r="H63" s="876">
        <f t="shared" si="21"/>
        <v>0</v>
      </c>
      <c r="I63" s="876">
        <f t="shared" si="21"/>
        <v>0</v>
      </c>
      <c r="J63" s="876">
        <f t="shared" si="21"/>
        <v>0</v>
      </c>
      <c r="K63" s="876">
        <f t="shared" si="21"/>
        <v>0</v>
      </c>
      <c r="L63" s="876">
        <f t="shared" si="21"/>
        <v>0</v>
      </c>
      <c r="M63" s="876">
        <f t="shared" si="21"/>
        <v>0</v>
      </c>
      <c r="N63" s="876">
        <f t="shared" si="21"/>
        <v>0</v>
      </c>
      <c r="O63" s="868">
        <f>+SUM(D63:N63)</f>
        <v>0</v>
      </c>
    </row>
    <row r="64" spans="1:15" ht="10.8" x14ac:dyDescent="0.25">
      <c r="B64" s="810">
        <v>40007340</v>
      </c>
      <c r="C64" s="869" t="s">
        <v>390</v>
      </c>
      <c r="D64" s="876"/>
      <c r="E64" s="876"/>
      <c r="F64" s="876">
        <f t="shared" ref="F64:N64" si="22">+$G5*F$40</f>
        <v>25254.092430338809</v>
      </c>
      <c r="G64" s="876">
        <f t="shared" si="22"/>
        <v>19185.687962997781</v>
      </c>
      <c r="H64" s="876">
        <f t="shared" si="22"/>
        <v>30335.14985146467</v>
      </c>
      <c r="I64" s="876">
        <f t="shared" si="22"/>
        <v>23249.617568533071</v>
      </c>
      <c r="J64" s="876">
        <f t="shared" si="22"/>
        <v>22788.015643214378</v>
      </c>
      <c r="K64" s="876">
        <f t="shared" si="22"/>
        <v>31445.62892490505</v>
      </c>
      <c r="L64" s="876">
        <f t="shared" si="22"/>
        <v>28617.028541345466</v>
      </c>
      <c r="M64" s="876">
        <f t="shared" si="22"/>
        <v>29744.116120783663</v>
      </c>
      <c r="N64" s="876">
        <f t="shared" si="22"/>
        <v>24162.512691309741</v>
      </c>
      <c r="O64" s="868">
        <f t="shared" ref="O64:O71" si="23">+SUM(D64:N64)</f>
        <v>234781.84973489263</v>
      </c>
    </row>
    <row r="65" spans="1:17" ht="10.8" x14ac:dyDescent="0.25">
      <c r="B65" s="810">
        <v>40007341</v>
      </c>
      <c r="C65" s="869" t="s">
        <v>392</v>
      </c>
      <c r="D65" s="876"/>
      <c r="E65" s="876"/>
      <c r="F65" s="876">
        <f t="shared" ref="F65:N65" si="24">+$I6*F$40</f>
        <v>28662.400000000001</v>
      </c>
      <c r="G65" s="876">
        <f t="shared" si="24"/>
        <v>21775</v>
      </c>
      <c r="H65" s="876">
        <f t="shared" si="24"/>
        <v>34429.200000000004</v>
      </c>
      <c r="I65" s="876">
        <f t="shared" si="24"/>
        <v>26387.4</v>
      </c>
      <c r="J65" s="876">
        <f t="shared" si="24"/>
        <v>25863.5</v>
      </c>
      <c r="K65" s="876">
        <f t="shared" si="24"/>
        <v>35689.550000000003</v>
      </c>
      <c r="L65" s="876">
        <f t="shared" si="24"/>
        <v>32479.200000000001</v>
      </c>
      <c r="M65" s="876">
        <f t="shared" si="24"/>
        <v>33758.400000000001</v>
      </c>
      <c r="N65" s="876">
        <f t="shared" si="24"/>
        <v>27423.5</v>
      </c>
      <c r="O65" s="868">
        <f t="shared" si="23"/>
        <v>266468.15000000002</v>
      </c>
    </row>
    <row r="66" spans="1:17" ht="10.8" x14ac:dyDescent="0.25">
      <c r="A66" s="789" t="s">
        <v>665</v>
      </c>
      <c r="B66" s="810">
        <v>41047780</v>
      </c>
      <c r="C66" s="869" t="s">
        <v>394</v>
      </c>
      <c r="D66" s="876"/>
      <c r="E66" s="876"/>
      <c r="F66" s="876">
        <f t="shared" ref="F66:N66" si="25">+$I7*F$40</f>
        <v>35276.800000000003</v>
      </c>
      <c r="G66" s="876">
        <f t="shared" si="25"/>
        <v>26800</v>
      </c>
      <c r="H66" s="876">
        <f t="shared" si="25"/>
        <v>42374.400000000001</v>
      </c>
      <c r="I66" s="876">
        <f t="shared" si="25"/>
        <v>32476.800000000003</v>
      </c>
      <c r="J66" s="876">
        <f t="shared" si="25"/>
        <v>31832</v>
      </c>
      <c r="K66" s="876">
        <f t="shared" si="25"/>
        <v>43925.600000000006</v>
      </c>
      <c r="L66" s="876">
        <f t="shared" si="25"/>
        <v>39974.400000000001</v>
      </c>
      <c r="M66" s="876">
        <f t="shared" si="25"/>
        <v>41548.800000000003</v>
      </c>
      <c r="N66" s="876">
        <f t="shared" si="25"/>
        <v>33752</v>
      </c>
      <c r="O66" s="868">
        <f t="shared" si="23"/>
        <v>327960.8</v>
      </c>
    </row>
    <row r="67" spans="1:17" ht="10.8" x14ac:dyDescent="0.25">
      <c r="B67" s="810">
        <v>41047943</v>
      </c>
      <c r="C67" s="869" t="s">
        <v>396</v>
      </c>
      <c r="D67" s="876"/>
      <c r="E67" s="876"/>
      <c r="F67" s="876"/>
      <c r="G67" s="876"/>
      <c r="H67" s="876"/>
      <c r="I67" s="876"/>
      <c r="J67" s="876"/>
      <c r="K67" s="876"/>
      <c r="L67" s="876"/>
      <c r="M67" s="876"/>
      <c r="N67" s="876"/>
      <c r="O67" s="868">
        <f t="shared" si="23"/>
        <v>0</v>
      </c>
    </row>
    <row r="68" spans="1:17" ht="10.8" x14ac:dyDescent="0.25">
      <c r="B68" s="810">
        <v>40008331</v>
      </c>
      <c r="C68" s="869" t="s">
        <v>398</v>
      </c>
      <c r="D68" s="876"/>
      <c r="E68" s="876"/>
      <c r="F68" s="876">
        <f t="shared" ref="F68:N68" si="26">+$G9*F$40</f>
        <v>5173.5238596623167</v>
      </c>
      <c r="G68" s="876">
        <f t="shared" si="26"/>
        <v>3930.3576129056519</v>
      </c>
      <c r="H68" s="876">
        <f t="shared" si="26"/>
        <v>6214.4233444891515</v>
      </c>
      <c r="I68" s="876">
        <f t="shared" si="26"/>
        <v>4762.8894821945623</v>
      </c>
      <c r="J68" s="876">
        <f t="shared" si="26"/>
        <v>4668.3262512691308</v>
      </c>
      <c r="K68" s="876">
        <f t="shared" si="26"/>
        <v>6441.9147896062868</v>
      </c>
      <c r="L68" s="876">
        <f t="shared" si="26"/>
        <v>5862.4510209453611</v>
      </c>
      <c r="M68" s="876">
        <f t="shared" si="26"/>
        <v>6093.3448651900871</v>
      </c>
      <c r="N68" s="876">
        <f t="shared" si="26"/>
        <v>4949.904110104163</v>
      </c>
      <c r="O68" s="868">
        <f t="shared" si="23"/>
        <v>48097.135336366715</v>
      </c>
    </row>
    <row r="69" spans="1:17" ht="10.8" x14ac:dyDescent="0.25">
      <c r="A69" s="789" t="s">
        <v>665</v>
      </c>
      <c r="B69" s="810">
        <v>41047781</v>
      </c>
      <c r="C69" s="869" t="s">
        <v>400</v>
      </c>
      <c r="D69" s="876"/>
      <c r="E69" s="876"/>
      <c r="F69" s="876">
        <f t="shared" ref="F69:N69" si="27">+$G10*F$40</f>
        <v>16067.771217989695</v>
      </c>
      <c r="G69" s="876">
        <f t="shared" si="27"/>
        <v>12206.783740081975</v>
      </c>
      <c r="H69" s="876">
        <f t="shared" si="27"/>
        <v>19300.564810288422</v>
      </c>
      <c r="I69" s="876">
        <f t="shared" si="27"/>
        <v>14792.435603354266</v>
      </c>
      <c r="J69" s="876">
        <f t="shared" si="27"/>
        <v>14498.744030383936</v>
      </c>
      <c r="K69" s="876">
        <f t="shared" si="27"/>
        <v>20007.10074079645</v>
      </c>
      <c r="L69" s="876">
        <f t="shared" si="27"/>
        <v>18207.419997743767</v>
      </c>
      <c r="M69" s="876">
        <f t="shared" si="27"/>
        <v>18924.522994773059</v>
      </c>
      <c r="N69" s="876">
        <f t="shared" si="27"/>
        <v>15373.259880419659</v>
      </c>
      <c r="O69" s="868">
        <f t="shared" si="23"/>
        <v>149378.60301583121</v>
      </c>
    </row>
    <row r="70" spans="1:17" ht="10.8" x14ac:dyDescent="0.25">
      <c r="B70" s="810">
        <v>41053620</v>
      </c>
      <c r="C70" s="869" t="s">
        <v>402</v>
      </c>
      <c r="D70" s="876"/>
      <c r="E70" s="876"/>
      <c r="F70" s="876">
        <f t="shared" ref="F70:N70" si="28">+$I11*F$40</f>
        <v>6614.4</v>
      </c>
      <c r="G70" s="876">
        <f t="shared" si="28"/>
        <v>5025</v>
      </c>
      <c r="H70" s="876">
        <f t="shared" si="28"/>
        <v>7945.2</v>
      </c>
      <c r="I70" s="876">
        <f t="shared" si="28"/>
        <v>6089.4</v>
      </c>
      <c r="J70" s="876">
        <f t="shared" si="28"/>
        <v>5968.5</v>
      </c>
      <c r="K70" s="876">
        <f t="shared" si="28"/>
        <v>8236.0499999999993</v>
      </c>
      <c r="L70" s="876">
        <f t="shared" si="28"/>
        <v>7495.2</v>
      </c>
      <c r="M70" s="876">
        <f t="shared" si="28"/>
        <v>7790.4</v>
      </c>
      <c r="N70" s="876">
        <f t="shared" si="28"/>
        <v>6328.5</v>
      </c>
      <c r="O70" s="868">
        <f t="shared" si="23"/>
        <v>61492.65</v>
      </c>
    </row>
    <row r="71" spans="1:17" ht="11.4" thickBot="1" x14ac:dyDescent="0.3">
      <c r="A71" s="789" t="s">
        <v>665</v>
      </c>
      <c r="B71" s="870">
        <v>41053180</v>
      </c>
      <c r="C71" s="871" t="s">
        <v>404</v>
      </c>
      <c r="D71" s="876"/>
      <c r="E71" s="876"/>
      <c r="F71" s="876">
        <f t="shared" ref="F71:N71" si="29">+$I14*F$40</f>
        <v>1293.3809649155792</v>
      </c>
      <c r="G71" s="876">
        <f t="shared" si="29"/>
        <v>982.58940322641297</v>
      </c>
      <c r="H71" s="876">
        <f t="shared" si="29"/>
        <v>1553.6058361222879</v>
      </c>
      <c r="I71" s="876">
        <f t="shared" si="29"/>
        <v>1190.7223705486406</v>
      </c>
      <c r="J71" s="876">
        <f t="shared" si="29"/>
        <v>1167.0815628172827</v>
      </c>
      <c r="K71" s="876">
        <f t="shared" si="29"/>
        <v>1610.4786974015717</v>
      </c>
      <c r="L71" s="876">
        <f t="shared" si="29"/>
        <v>1465.6127552363403</v>
      </c>
      <c r="M71" s="876">
        <f t="shared" si="29"/>
        <v>1523.3362162975218</v>
      </c>
      <c r="N71" s="876">
        <f t="shared" si="29"/>
        <v>1237.4760275260408</v>
      </c>
      <c r="O71" s="868">
        <f t="shared" si="23"/>
        <v>12024.283834091679</v>
      </c>
    </row>
    <row r="72" spans="1:17" ht="11.4" thickBot="1" x14ac:dyDescent="0.3">
      <c r="B72" s="829" t="s">
        <v>656</v>
      </c>
      <c r="C72" s="872"/>
      <c r="D72" s="877">
        <f t="shared" ref="D72:O72" si="30">SUM(D63:D71)</f>
        <v>0</v>
      </c>
      <c r="E72" s="878">
        <f t="shared" si="30"/>
        <v>0</v>
      </c>
      <c r="F72" s="878">
        <f t="shared" si="30"/>
        <v>118342.36847290638</v>
      </c>
      <c r="G72" s="878">
        <f t="shared" si="30"/>
        <v>89905.418719211812</v>
      </c>
      <c r="H72" s="878">
        <f t="shared" si="30"/>
        <v>142152.54384236457</v>
      </c>
      <c r="I72" s="878">
        <f t="shared" si="30"/>
        <v>108949.26502463054</v>
      </c>
      <c r="J72" s="878">
        <f t="shared" si="30"/>
        <v>106786.16748768472</v>
      </c>
      <c r="K72" s="878">
        <f t="shared" si="30"/>
        <v>147356.32315270934</v>
      </c>
      <c r="L72" s="878">
        <f t="shared" si="30"/>
        <v>134101.31231527094</v>
      </c>
      <c r="M72" s="878">
        <f t="shared" si="30"/>
        <v>139382.92019704432</v>
      </c>
      <c r="N72" s="878">
        <f t="shared" si="30"/>
        <v>113227.15270935959</v>
      </c>
      <c r="O72" s="874">
        <f t="shared" si="30"/>
        <v>1100203.471921182</v>
      </c>
    </row>
    <row r="73" spans="1:17" x14ac:dyDescent="0.2">
      <c r="E73" s="853"/>
      <c r="F73" s="853"/>
      <c r="G73" s="853"/>
      <c r="H73" s="853"/>
      <c r="I73" s="853"/>
      <c r="J73" s="853"/>
      <c r="K73" s="853"/>
      <c r="L73" s="853"/>
      <c r="M73" s="853"/>
      <c r="N73" s="853"/>
      <c r="O73" s="853"/>
    </row>
    <row r="74" spans="1:17" ht="10.8" thickBot="1" x14ac:dyDescent="0.25"/>
    <row r="75" spans="1:17" ht="11.4" thickBot="1" x14ac:dyDescent="0.3">
      <c r="B75" s="791" t="s">
        <v>666</v>
      </c>
      <c r="C75" s="792">
        <f>+SUM(F40:N40)</f>
        <v>409951</v>
      </c>
      <c r="D75" s="793"/>
      <c r="E75" s="793"/>
      <c r="F75" s="834"/>
      <c r="G75" s="793"/>
      <c r="H75" s="793"/>
      <c r="I75" s="793"/>
      <c r="J75" s="793"/>
      <c r="K75" s="793"/>
      <c r="L75" s="793"/>
      <c r="M75" s="793"/>
      <c r="N75" s="793"/>
    </row>
    <row r="76" spans="1:17" ht="22.2" thickBot="1" x14ac:dyDescent="0.3">
      <c r="B76" s="794" t="s">
        <v>651</v>
      </c>
      <c r="C76" s="795" t="s">
        <v>378</v>
      </c>
      <c r="D76" s="796" t="s">
        <v>652</v>
      </c>
      <c r="E76" s="796" t="s">
        <v>653</v>
      </c>
      <c r="F76" s="797" t="s">
        <v>654</v>
      </c>
      <c r="G76" s="796" t="s">
        <v>384</v>
      </c>
      <c r="H76" s="793"/>
    </row>
    <row r="77" spans="1:17" ht="10.8" x14ac:dyDescent="0.25">
      <c r="B77" s="801">
        <v>40007037</v>
      </c>
      <c r="C77" s="802" t="s">
        <v>388</v>
      </c>
      <c r="D77" s="803">
        <f>+O63</f>
        <v>0</v>
      </c>
      <c r="E77" s="804">
        <f>+IFERROR(F77/D77,0)</f>
        <v>0</v>
      </c>
      <c r="F77" s="804">
        <f>+O51</f>
        <v>0</v>
      </c>
      <c r="G77" s="805">
        <f>+D77/SUM($K$40:$N$40)</f>
        <v>0</v>
      </c>
      <c r="H77" s="834"/>
      <c r="I77" s="793"/>
      <c r="J77" s="793"/>
      <c r="K77" s="793"/>
      <c r="L77" s="793"/>
      <c r="M77" s="793"/>
      <c r="N77" s="793"/>
    </row>
    <row r="78" spans="1:17" ht="10.8" x14ac:dyDescent="0.25">
      <c r="B78" s="810">
        <v>40007340</v>
      </c>
      <c r="C78" s="811" t="s">
        <v>390</v>
      </c>
      <c r="D78" s="812">
        <f t="shared" ref="D78:D85" si="31">+O64</f>
        <v>234781.84973489263</v>
      </c>
      <c r="E78" s="814">
        <f>+IFERROR(F78/D78,0)</f>
        <v>0</v>
      </c>
      <c r="F78" s="814">
        <f>+O52</f>
        <v>0</v>
      </c>
      <c r="G78" s="815">
        <f t="shared" ref="G78:G85" si="32">+D78/SUM($K$40:$N$40)</f>
        <v>1.1798023614700059</v>
      </c>
      <c r="H78" s="834"/>
    </row>
    <row r="79" spans="1:17" ht="10.8" x14ac:dyDescent="0.25">
      <c r="B79" s="810">
        <v>40007341</v>
      </c>
      <c r="C79" s="811" t="s">
        <v>392</v>
      </c>
      <c r="D79" s="812">
        <f t="shared" si="31"/>
        <v>266468.15000000002</v>
      </c>
      <c r="E79" s="814">
        <f t="shared" ref="E79:E85" si="33">+IFERROR(F79/D79,0)</f>
        <v>0</v>
      </c>
      <c r="F79" s="814">
        <f t="shared" ref="F79:F85" si="34">+O53</f>
        <v>0</v>
      </c>
      <c r="G79" s="815">
        <f t="shared" si="32"/>
        <v>1.3390292008582874</v>
      </c>
      <c r="H79" s="834"/>
      <c r="I79" s="793"/>
      <c r="J79" s="793"/>
      <c r="K79" s="793"/>
      <c r="L79" s="793"/>
      <c r="M79" s="793"/>
      <c r="N79" s="793"/>
    </row>
    <row r="80" spans="1:17" ht="10.8" x14ac:dyDescent="0.25">
      <c r="B80" s="810">
        <v>41047780</v>
      </c>
      <c r="C80" s="811" t="s">
        <v>394</v>
      </c>
      <c r="D80" s="812">
        <f>+O66</f>
        <v>327960.8</v>
      </c>
      <c r="E80" s="814">
        <f>+IFERROR(F80/D80,0)</f>
        <v>51.567817355815393</v>
      </c>
      <c r="F80" s="814">
        <f>+O54</f>
        <v>16912222.634267099</v>
      </c>
      <c r="G80" s="815">
        <f t="shared" si="32"/>
        <v>1.6480359395178918</v>
      </c>
      <c r="H80" s="834"/>
      <c r="P80" s="790"/>
      <c r="Q80" s="847"/>
    </row>
    <row r="81" spans="2:14" ht="10.8" x14ac:dyDescent="0.25">
      <c r="B81" s="810">
        <v>41047943</v>
      </c>
      <c r="C81" s="811" t="s">
        <v>396</v>
      </c>
      <c r="D81" s="812">
        <f t="shared" si="31"/>
        <v>0</v>
      </c>
      <c r="E81" s="814">
        <f t="shared" si="33"/>
        <v>0</v>
      </c>
      <c r="F81" s="814">
        <f t="shared" si="34"/>
        <v>0</v>
      </c>
      <c r="G81" s="815">
        <f t="shared" si="32"/>
        <v>0</v>
      </c>
      <c r="H81" s="834"/>
      <c r="I81" s="793"/>
      <c r="J81" s="793"/>
      <c r="K81" s="793"/>
      <c r="L81" s="793"/>
      <c r="M81" s="793"/>
      <c r="N81" s="793"/>
    </row>
    <row r="82" spans="2:14" ht="10.8" x14ac:dyDescent="0.25">
      <c r="B82" s="810">
        <v>40008331</v>
      </c>
      <c r="C82" s="811" t="s">
        <v>398</v>
      </c>
      <c r="D82" s="812">
        <f t="shared" si="31"/>
        <v>48097.135336366715</v>
      </c>
      <c r="E82" s="814">
        <f t="shared" si="33"/>
        <v>6.2491316353458508</v>
      </c>
      <c r="F82" s="814">
        <f t="shared" si="34"/>
        <v>300565.33</v>
      </c>
      <c r="G82" s="815">
        <f t="shared" si="32"/>
        <v>0.24169293288157706</v>
      </c>
      <c r="H82" s="834"/>
    </row>
    <row r="83" spans="2:14" ht="10.8" x14ac:dyDescent="0.25">
      <c r="B83" s="810">
        <v>41047781</v>
      </c>
      <c r="C83" s="811" t="s">
        <v>400</v>
      </c>
      <c r="D83" s="812">
        <f t="shared" si="31"/>
        <v>149378.60301583121</v>
      </c>
      <c r="E83" s="814">
        <f t="shared" si="33"/>
        <v>24.533553636389986</v>
      </c>
      <c r="F83" s="814">
        <f t="shared" si="34"/>
        <v>3664787.9692179016</v>
      </c>
      <c r="G83" s="815">
        <f t="shared" si="32"/>
        <v>0.7506424742379747</v>
      </c>
      <c r="H83" s="834"/>
      <c r="I83" s="793"/>
      <c r="J83" s="793"/>
      <c r="K83" s="793"/>
      <c r="L83" s="793"/>
      <c r="M83" s="793"/>
      <c r="N83" s="793"/>
    </row>
    <row r="84" spans="2:14" ht="10.8" x14ac:dyDescent="0.25">
      <c r="B84" s="810">
        <v>41053620</v>
      </c>
      <c r="C84" s="811" t="s">
        <v>402</v>
      </c>
      <c r="D84" s="812">
        <f t="shared" si="31"/>
        <v>61492.65</v>
      </c>
      <c r="E84" s="814">
        <f t="shared" si="33"/>
        <v>0.9</v>
      </c>
      <c r="F84" s="814">
        <f t="shared" si="34"/>
        <v>55343.385000000002</v>
      </c>
      <c r="G84" s="815">
        <f t="shared" si="32"/>
        <v>0.30900673865960471</v>
      </c>
      <c r="H84" s="834"/>
    </row>
    <row r="85" spans="2:14" ht="11.4" thickBot="1" x14ac:dyDescent="0.3">
      <c r="B85" s="870">
        <v>41053180</v>
      </c>
      <c r="C85" s="879" t="s">
        <v>404</v>
      </c>
      <c r="D85" s="824">
        <f t="shared" si="31"/>
        <v>12024.283834091679</v>
      </c>
      <c r="E85" s="826">
        <f t="shared" si="33"/>
        <v>16.390090339626319</v>
      </c>
      <c r="F85" s="826">
        <f t="shared" si="34"/>
        <v>197079.09831007093</v>
      </c>
      <c r="G85" s="827">
        <f t="shared" si="32"/>
        <v>6.0423233220394265E-2</v>
      </c>
      <c r="H85" s="834"/>
      <c r="I85" s="793"/>
      <c r="J85" s="793"/>
      <c r="K85" s="793"/>
      <c r="L85" s="793"/>
      <c r="M85" s="793"/>
      <c r="N85" s="793"/>
    </row>
    <row r="86" spans="2:14" ht="11.4" thickBot="1" x14ac:dyDescent="0.3">
      <c r="B86" s="829" t="s">
        <v>656</v>
      </c>
      <c r="C86" s="830"/>
      <c r="D86" s="831">
        <f>+SUM(D77:D85)</f>
        <v>1100203.471921182</v>
      </c>
      <c r="E86" s="832"/>
      <c r="F86" s="833">
        <f>+SUM(F77:F85)</f>
        <v>21129998.416795071</v>
      </c>
      <c r="G86" s="834"/>
      <c r="H86" s="793"/>
    </row>
    <row r="87" spans="2:14" ht="11.4" thickBot="1" x14ac:dyDescent="0.3">
      <c r="B87" s="829" t="s">
        <v>61</v>
      </c>
      <c r="C87" s="830"/>
      <c r="D87" s="837"/>
      <c r="E87" s="837"/>
      <c r="F87" s="838">
        <f>SUM(F41:N41)</f>
        <v>28669771.370219998</v>
      </c>
      <c r="G87" s="834"/>
      <c r="H87" s="793"/>
      <c r="I87" s="793"/>
      <c r="J87" s="793"/>
      <c r="K87" s="793"/>
      <c r="L87" s="793"/>
      <c r="M87" s="793"/>
      <c r="N87" s="793"/>
    </row>
    <row r="88" spans="2:14" ht="11.4" thickBot="1" x14ac:dyDescent="0.3">
      <c r="B88" s="839" t="s">
        <v>410</v>
      </c>
      <c r="C88" s="840"/>
      <c r="D88" s="841"/>
      <c r="E88" s="841"/>
      <c r="F88" s="842">
        <f>+F86-F87</f>
        <v>-7539772.9534249268</v>
      </c>
      <c r="G88" s="880"/>
      <c r="H88" s="793"/>
    </row>
    <row r="89" spans="2:14" ht="10.8" x14ac:dyDescent="0.25">
      <c r="I89" s="793"/>
      <c r="J89" s="793"/>
      <c r="K89" s="793"/>
      <c r="L89" s="793"/>
      <c r="M89" s="793"/>
      <c r="N89" s="793"/>
    </row>
    <row r="90" spans="2:14" x14ac:dyDescent="0.2">
      <c r="F90" s="790"/>
    </row>
    <row r="91" spans="2:14" ht="10.8" x14ac:dyDescent="0.25">
      <c r="I91" s="793"/>
      <c r="J91" s="793"/>
      <c r="K91" s="793"/>
      <c r="L91" s="793"/>
      <c r="M91" s="793"/>
      <c r="N91" s="793"/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89558-A7D5-44C9-9478-9D5EA2B34FEA}">
  <sheetPr>
    <tabColor rgb="FF00B050"/>
  </sheetPr>
  <dimension ref="A1:CO98"/>
  <sheetViews>
    <sheetView topLeftCell="B3" zoomScale="55" zoomScaleNormal="55" workbookViewId="0">
      <pane xSplit="1" topLeftCell="Q1" activePane="topRight" state="frozen"/>
      <selection activeCell="F49" sqref="F49:F54"/>
      <selection pane="topRight" activeCell="F49" sqref="F49:F54"/>
    </sheetView>
  </sheetViews>
  <sheetFormatPr defaultRowHeight="14.4" outlineLevelCol="1" x14ac:dyDescent="0.3"/>
  <cols>
    <col min="1" max="1" width="22.6640625" hidden="1" customWidth="1"/>
    <col min="2" max="2" width="43.6640625" customWidth="1"/>
    <col min="3" max="10" width="17.33203125" customWidth="1"/>
    <col min="11" max="11" width="20.33203125" customWidth="1"/>
    <col min="12" max="12" width="17.5546875" customWidth="1"/>
    <col min="13" max="14" width="17.33203125" customWidth="1"/>
    <col min="15" max="15" width="7.44140625" customWidth="1"/>
    <col min="16" max="16" width="18" customWidth="1"/>
    <col min="17" max="27" width="17.33203125" customWidth="1"/>
    <col min="28" max="28" width="6.6640625" customWidth="1"/>
    <col min="29" max="29" width="17.33203125" customWidth="1" outlineLevel="1" collapsed="1"/>
    <col min="30" max="40" width="17.33203125" customWidth="1" outlineLevel="1"/>
    <col min="41" max="41" width="17.6640625" customWidth="1"/>
    <col min="42" max="42" width="14.33203125" customWidth="1"/>
    <col min="43" max="43" width="16.33203125" customWidth="1"/>
    <col min="44" max="44" width="11.5546875" customWidth="1" collapsed="1"/>
    <col min="45" max="45" width="20.5546875" bestFit="1" customWidth="1"/>
    <col min="46" max="57" width="16.6640625" customWidth="1"/>
    <col min="58" max="58" width="32" customWidth="1"/>
    <col min="59" max="59" width="43.6640625" customWidth="1"/>
    <col min="60" max="60" width="12.33203125" customWidth="1"/>
    <col min="61" max="61" width="12.5546875" customWidth="1"/>
    <col min="62" max="62" width="25.6640625" customWidth="1"/>
    <col min="63" max="63" width="16.33203125" customWidth="1"/>
    <col min="64" max="64" width="10.109375" bestFit="1" customWidth="1"/>
    <col min="65" max="65" width="13.6640625" customWidth="1"/>
    <col min="66" max="66" width="16.109375" bestFit="1" customWidth="1"/>
    <col min="67" max="67" width="14.33203125" customWidth="1"/>
    <col min="68" max="68" width="8.88671875" customWidth="1"/>
    <col min="69" max="69" width="14.6640625" customWidth="1"/>
    <col min="70" max="70" width="13" bestFit="1" customWidth="1"/>
    <col min="71" max="82" width="8.88671875" customWidth="1"/>
    <col min="83" max="83" width="10" customWidth="1"/>
    <col min="84" max="84" width="11.44140625" customWidth="1"/>
    <col min="85" max="86" width="12" customWidth="1"/>
    <col min="87" max="87" width="8.88671875" customWidth="1"/>
    <col min="88" max="88" width="8.33203125" customWidth="1"/>
    <col min="89" max="90" width="8.88671875" customWidth="1"/>
    <col min="92" max="92" width="12.33203125" bestFit="1" customWidth="1"/>
    <col min="93" max="93" width="14" bestFit="1" customWidth="1"/>
  </cols>
  <sheetData>
    <row r="1" spans="1:88" x14ac:dyDescent="0.3">
      <c r="AR1" s="1000"/>
      <c r="BM1" s="35"/>
    </row>
    <row r="2" spans="1:88" x14ac:dyDescent="0.3">
      <c r="AO2" s="103"/>
      <c r="AP2" s="1001"/>
      <c r="BF2" s="927"/>
    </row>
    <row r="3" spans="1:88" ht="21.6" thickBot="1" x14ac:dyDescent="0.45">
      <c r="B3" t="s">
        <v>801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P3" s="8"/>
      <c r="Q3" s="8"/>
      <c r="R3" s="8"/>
      <c r="S3" s="8">
        <v>-1</v>
      </c>
      <c r="T3" s="8"/>
      <c r="U3" s="8"/>
      <c r="V3" s="8"/>
      <c r="W3" s="8"/>
      <c r="X3" s="8"/>
      <c r="Y3" s="8"/>
      <c r="Z3" s="8"/>
      <c r="AA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921"/>
      <c r="AP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927"/>
      <c r="BH3" s="1266" t="s">
        <v>507</v>
      </c>
      <c r="BI3" s="1267"/>
      <c r="BJ3" s="1267"/>
      <c r="BK3" s="1267"/>
      <c r="BQ3" s="1002" t="s">
        <v>802</v>
      </c>
    </row>
    <row r="4" spans="1:88" ht="21.6" thickBot="1" x14ac:dyDescent="0.4">
      <c r="D4">
        <v>-1</v>
      </c>
      <c r="AC4" s="1003" t="s">
        <v>803</v>
      </c>
      <c r="AD4" s="1003" t="s">
        <v>804</v>
      </c>
      <c r="AE4" s="1003" t="s">
        <v>805</v>
      </c>
      <c r="AF4" s="1003" t="s">
        <v>806</v>
      </c>
      <c r="AG4" s="1003" t="s">
        <v>807</v>
      </c>
      <c r="AH4" s="1003" t="s">
        <v>808</v>
      </c>
      <c r="AI4" s="1003" t="s">
        <v>809</v>
      </c>
      <c r="AJ4" s="1003" t="s">
        <v>810</v>
      </c>
      <c r="AK4" s="1003" t="s">
        <v>811</v>
      </c>
      <c r="AL4" s="1003" t="s">
        <v>812</v>
      </c>
      <c r="AM4" s="1003" t="s">
        <v>813</v>
      </c>
      <c r="AN4" s="1003" t="s">
        <v>814</v>
      </c>
      <c r="AO4" s="927"/>
      <c r="AP4" s="105"/>
      <c r="AT4" t="s">
        <v>803</v>
      </c>
      <c r="AU4" s="1003" t="s">
        <v>804</v>
      </c>
      <c r="AV4" s="1003" t="s">
        <v>805</v>
      </c>
      <c r="AW4" s="1003" t="s">
        <v>806</v>
      </c>
      <c r="AX4" s="1003" t="s">
        <v>807</v>
      </c>
      <c r="AY4" s="1003" t="s">
        <v>808</v>
      </c>
      <c r="AZ4" s="1003" t="s">
        <v>809</v>
      </c>
      <c r="BA4" s="1003" t="s">
        <v>810</v>
      </c>
      <c r="BB4" s="1003" t="s">
        <v>811</v>
      </c>
      <c r="BC4" s="1003" t="s">
        <v>812</v>
      </c>
      <c r="BD4" s="1003" t="s">
        <v>813</v>
      </c>
      <c r="BE4" s="1003" t="s">
        <v>814</v>
      </c>
      <c r="BF4" s="927"/>
      <c r="BH4" s="1004" t="s">
        <v>599</v>
      </c>
      <c r="BI4" s="1005" t="s">
        <v>43</v>
      </c>
      <c r="BJ4" s="1005" t="s">
        <v>47</v>
      </c>
      <c r="BK4" s="1004" t="s">
        <v>815</v>
      </c>
      <c r="BN4" s="1006"/>
      <c r="BO4" s="1007" t="s">
        <v>816</v>
      </c>
      <c r="CE4" s="1008"/>
      <c r="CF4" s="1008"/>
      <c r="CG4" s="1008"/>
      <c r="CH4" s="1008"/>
    </row>
    <row r="5" spans="1:88" ht="18.600000000000001" thickBot="1" x14ac:dyDescent="0.4">
      <c r="A5" s="1009"/>
      <c r="B5" s="1009"/>
      <c r="C5" s="1003" t="s">
        <v>817</v>
      </c>
      <c r="D5" s="1003" t="s">
        <v>818</v>
      </c>
      <c r="E5" s="1003" t="s">
        <v>819</v>
      </c>
      <c r="F5" s="1003" t="s">
        <v>820</v>
      </c>
      <c r="G5" s="1003" t="s">
        <v>821</v>
      </c>
      <c r="H5" s="1003" t="s">
        <v>822</v>
      </c>
      <c r="I5" s="1003" t="s">
        <v>823</v>
      </c>
      <c r="J5" s="1003" t="s">
        <v>824</v>
      </c>
      <c r="K5" s="1003" t="s">
        <v>825</v>
      </c>
      <c r="L5" s="1003" t="s">
        <v>826</v>
      </c>
      <c r="M5" s="1003" t="s">
        <v>827</v>
      </c>
      <c r="N5" s="1003" t="s">
        <v>828</v>
      </c>
      <c r="P5" s="1003" t="s">
        <v>829</v>
      </c>
      <c r="Q5" s="1003" t="s">
        <v>830</v>
      </c>
      <c r="R5" s="1003" t="s">
        <v>831</v>
      </c>
      <c r="S5" s="1003" t="s">
        <v>832</v>
      </c>
      <c r="T5" s="1003" t="s">
        <v>558</v>
      </c>
      <c r="U5" s="1003" t="s">
        <v>559</v>
      </c>
      <c r="V5" s="1003" t="s">
        <v>560</v>
      </c>
      <c r="W5" s="1003" t="s">
        <v>833</v>
      </c>
      <c r="X5" s="1003" t="s">
        <v>834</v>
      </c>
      <c r="Y5" s="1003" t="s">
        <v>835</v>
      </c>
      <c r="Z5" s="1003" t="s">
        <v>836</v>
      </c>
      <c r="AA5" s="1003" t="s">
        <v>837</v>
      </c>
      <c r="AC5" s="1003" t="s">
        <v>61</v>
      </c>
      <c r="AD5" s="1003" t="s">
        <v>61</v>
      </c>
      <c r="AE5" s="1003" t="s">
        <v>61</v>
      </c>
      <c r="AF5" s="1003" t="s">
        <v>61</v>
      </c>
      <c r="AG5" s="1003" t="s">
        <v>61</v>
      </c>
      <c r="AH5" s="1003" t="s">
        <v>61</v>
      </c>
      <c r="AI5" s="1003" t="s">
        <v>61</v>
      </c>
      <c r="AJ5" s="1003" t="s">
        <v>61</v>
      </c>
      <c r="AK5" s="1003" t="s">
        <v>61</v>
      </c>
      <c r="AL5" s="1003" t="s">
        <v>61</v>
      </c>
      <c r="AM5" s="1003" t="s">
        <v>61</v>
      </c>
      <c r="AN5" s="1003" t="s">
        <v>61</v>
      </c>
      <c r="AO5" s="1010"/>
      <c r="AP5" s="1011" t="s">
        <v>838</v>
      </c>
      <c r="AQ5" s="1011" t="s">
        <v>839</v>
      </c>
      <c r="AR5" s="1011" t="s">
        <v>840</v>
      </c>
      <c r="AS5" s="1012" t="s">
        <v>841</v>
      </c>
      <c r="AT5" s="1012" t="s">
        <v>841</v>
      </c>
      <c r="AU5" s="1012" t="s">
        <v>841</v>
      </c>
      <c r="AV5" s="1012" t="s">
        <v>841</v>
      </c>
      <c r="AW5" s="1012" t="s">
        <v>841</v>
      </c>
      <c r="AX5" s="1012" t="s">
        <v>841</v>
      </c>
      <c r="AY5" s="1012" t="s">
        <v>841</v>
      </c>
      <c r="AZ5" s="1012" t="s">
        <v>841</v>
      </c>
      <c r="BA5" s="1012" t="s">
        <v>841</v>
      </c>
      <c r="BB5" s="1012" t="s">
        <v>841</v>
      </c>
      <c r="BC5" s="1012" t="s">
        <v>841</v>
      </c>
      <c r="BD5" s="1012" t="s">
        <v>841</v>
      </c>
      <c r="BE5" s="1012" t="s">
        <v>841</v>
      </c>
      <c r="BF5" s="1013"/>
      <c r="BG5" s="70" t="s">
        <v>842</v>
      </c>
      <c r="BH5" s="1014">
        <f>-82576+67499</f>
        <v>-15077</v>
      </c>
      <c r="BI5" s="1015">
        <v>-2</v>
      </c>
      <c r="BJ5" s="1015"/>
      <c r="BK5" s="1015"/>
      <c r="BL5" s="8"/>
      <c r="BM5" s="1009"/>
      <c r="BN5" s="1016" t="s">
        <v>843</v>
      </c>
      <c r="BO5" s="1017"/>
      <c r="BP5" s="1009"/>
      <c r="BQ5" s="1018">
        <v>5001010205</v>
      </c>
      <c r="BR5" s="1009" t="s">
        <v>844</v>
      </c>
      <c r="CE5" s="1008"/>
      <c r="CF5" s="1019"/>
      <c r="CG5" s="1019"/>
      <c r="CH5" s="1019"/>
      <c r="CI5" s="105"/>
      <c r="CJ5" s="105"/>
    </row>
    <row r="6" spans="1:88" ht="18.600000000000001" thickBot="1" x14ac:dyDescent="0.4">
      <c r="A6" s="1009"/>
      <c r="B6" s="1009" t="s">
        <v>906</v>
      </c>
      <c r="C6" s="1070">
        <v>52.488689999999991</v>
      </c>
      <c r="D6" s="1070">
        <v>53.485975109999984</v>
      </c>
      <c r="E6" s="1070">
        <v>54.502208637089979</v>
      </c>
      <c r="F6" s="1070">
        <v>55.319741766646324</v>
      </c>
      <c r="G6" s="1070">
        <v>56.149537893146011</v>
      </c>
      <c r="H6" s="1070">
        <v>56.991780961543199</v>
      </c>
      <c r="I6" s="1070">
        <v>57.447715209235547</v>
      </c>
      <c r="J6" s="1070">
        <v>57.907296930909432</v>
      </c>
      <c r="K6" s="1070">
        <v>58.370555306356707</v>
      </c>
      <c r="L6" s="1070">
        <v>59.392040024217955</v>
      </c>
      <c r="M6" s="1070">
        <v>60.431400724641776</v>
      </c>
      <c r="N6" s="1070">
        <v>61.48895023732301</v>
      </c>
      <c r="P6" s="1009"/>
      <c r="Q6" s="1009"/>
      <c r="R6" s="1009"/>
      <c r="S6" s="1009"/>
      <c r="T6" s="1009"/>
      <c r="U6" s="1009"/>
      <c r="V6" s="1009"/>
      <c r="W6" s="1009"/>
      <c r="X6" s="1009"/>
      <c r="Y6" s="1009"/>
      <c r="Z6" s="1009"/>
      <c r="AA6" s="1009"/>
      <c r="AC6" s="1009"/>
      <c r="AD6" s="1009"/>
      <c r="AE6" s="1009"/>
      <c r="AF6" s="1009"/>
      <c r="AG6" s="1009"/>
      <c r="AH6" s="1009"/>
      <c r="AI6" s="1009"/>
      <c r="AJ6" s="1009"/>
      <c r="AK6" s="1009"/>
      <c r="AL6" s="1009"/>
      <c r="AM6" s="1009"/>
      <c r="AN6" s="1009"/>
      <c r="AO6" s="1020"/>
      <c r="AP6" s="1009"/>
      <c r="AQ6" s="1009"/>
      <c r="AR6" s="1009"/>
      <c r="AS6" s="1009"/>
      <c r="AT6" s="1009"/>
      <c r="AU6" s="1009"/>
      <c r="AV6" s="1009"/>
      <c r="AW6" s="1009"/>
      <c r="AX6" s="1009"/>
      <c r="AY6" s="1009"/>
      <c r="AZ6" s="1009"/>
      <c r="BA6" s="1009"/>
      <c r="BB6" s="1009"/>
      <c r="BC6" s="1009"/>
      <c r="BD6" s="1009"/>
      <c r="BE6" s="1009"/>
      <c r="BF6" s="1013"/>
      <c r="BG6" s="1021" t="s">
        <v>845</v>
      </c>
      <c r="BH6" s="1015">
        <v>11483</v>
      </c>
      <c r="BI6" s="1015"/>
      <c r="BJ6" s="1015"/>
      <c r="BK6" s="1015"/>
      <c r="BL6" s="8"/>
      <c r="BM6" s="1009"/>
      <c r="BN6" s="1016" t="s">
        <v>846</v>
      </c>
      <c r="BO6" s="1017"/>
      <c r="BP6" s="1009"/>
      <c r="BQ6" s="1022">
        <v>6666010019</v>
      </c>
      <c r="BR6" s="1009" t="s">
        <v>847</v>
      </c>
      <c r="CE6" s="1008"/>
      <c r="CF6" s="1019"/>
      <c r="CG6" s="1019"/>
      <c r="CH6" s="1019"/>
      <c r="CI6" s="105"/>
      <c r="CJ6" s="105"/>
    </row>
    <row r="7" spans="1:88" ht="18.600000000000001" thickBot="1" x14ac:dyDescent="0.4">
      <c r="A7" s="1009"/>
      <c r="B7" s="1023" t="s">
        <v>848</v>
      </c>
      <c r="C7" s="1024">
        <v>22232300.152499989</v>
      </c>
      <c r="D7" s="1024">
        <v>24472209.000000019</v>
      </c>
      <c r="E7" s="1024">
        <v>25179249.844425011</v>
      </c>
      <c r="F7" s="1024">
        <v>24616397.277750034</v>
      </c>
      <c r="G7" s="1024">
        <v>28796441.392203033</v>
      </c>
      <c r="H7" s="1024">
        <v>27193859.097750027</v>
      </c>
      <c r="I7" s="1024">
        <v>24886397.581071012</v>
      </c>
      <c r="J7" s="1024">
        <v>25554233.489805009</v>
      </c>
      <c r="K7" s="1024">
        <v>30653228.510155581</v>
      </c>
      <c r="L7" s="1024">
        <v>28841311.364975668</v>
      </c>
      <c r="M7" s="1024">
        <v>28258946.693200041</v>
      </c>
      <c r="N7" s="1024">
        <v>28995045.948963825</v>
      </c>
      <c r="P7" s="1024"/>
      <c r="Q7" s="1024"/>
      <c r="R7" s="1024"/>
      <c r="S7" s="1024"/>
      <c r="T7" s="1024"/>
      <c r="U7" s="1025">
        <v>17514902.629999999</v>
      </c>
      <c r="V7" s="1025">
        <v>16616966.461999999</v>
      </c>
      <c r="W7" s="1025">
        <v>16903379.805999998</v>
      </c>
      <c r="X7" s="1025">
        <v>20200459.543140009</v>
      </c>
      <c r="Y7" s="1025">
        <v>23527438.526918851</v>
      </c>
      <c r="Z7" s="1025">
        <v>23123986.363340821</v>
      </c>
      <c r="AA7" s="1025">
        <v>23724662.613496851</v>
      </c>
      <c r="AC7" s="1026"/>
      <c r="AD7" s="1026"/>
      <c r="AE7" s="1026"/>
      <c r="AF7" s="1026"/>
      <c r="AG7" s="1026"/>
      <c r="AH7" s="1026"/>
      <c r="AI7" s="1026"/>
      <c r="AJ7" s="1026"/>
      <c r="AK7" s="1026"/>
      <c r="AL7" s="1026"/>
      <c r="AM7" s="1026"/>
      <c r="AN7" s="1026"/>
      <c r="AO7" s="1027"/>
      <c r="AP7" s="1027"/>
      <c r="AQ7" s="1024">
        <f>P7-D7</f>
        <v>-24472209.000000019</v>
      </c>
      <c r="AR7" s="1024">
        <f>AQ7/57</f>
        <v>-429337.00000000035</v>
      </c>
      <c r="AS7" s="1027">
        <f>P7-AP7</f>
        <v>0</v>
      </c>
      <c r="AT7" s="1027">
        <f>P7-AC7</f>
        <v>0</v>
      </c>
      <c r="AU7" s="1027"/>
      <c r="AV7" s="1027"/>
      <c r="AW7" s="1027"/>
      <c r="AX7" s="1027"/>
      <c r="AY7" s="1027"/>
      <c r="AZ7" s="1027"/>
      <c r="BA7" s="1027"/>
      <c r="BB7" s="1027"/>
      <c r="BC7" s="1027"/>
      <c r="BD7" s="1027"/>
      <c r="BE7" s="1027"/>
      <c r="BF7" s="1027"/>
      <c r="BG7" s="70" t="s">
        <v>849</v>
      </c>
      <c r="BH7" s="1014">
        <v>-3865</v>
      </c>
      <c r="BI7" s="1015"/>
      <c r="BJ7" s="1015"/>
      <c r="BK7" s="1015"/>
      <c r="BL7" s="8"/>
      <c r="BM7" s="1027"/>
      <c r="BN7" s="1028" t="s">
        <v>850</v>
      </c>
      <c r="BO7" s="1029"/>
      <c r="BP7" s="1009"/>
      <c r="BQ7" s="1022">
        <v>6666010115</v>
      </c>
      <c r="BR7" s="1009" t="s">
        <v>851</v>
      </c>
      <c r="CE7" s="1008"/>
      <c r="CF7" s="1019"/>
      <c r="CG7" s="1019"/>
      <c r="CH7" s="1019"/>
      <c r="CI7" s="105"/>
      <c r="CJ7" s="105"/>
    </row>
    <row r="8" spans="1:88" ht="18.600000000000001" thickBot="1" x14ac:dyDescent="0.4">
      <c r="A8" s="1009"/>
      <c r="B8" s="1023" t="s">
        <v>852</v>
      </c>
      <c r="C8" s="1024">
        <v>0</v>
      </c>
      <c r="D8" s="1024">
        <v>0</v>
      </c>
      <c r="E8" s="1024">
        <v>0</v>
      </c>
      <c r="F8" s="1024">
        <v>0</v>
      </c>
      <c r="G8" s="1024">
        <v>0</v>
      </c>
      <c r="H8" s="1024">
        <v>0</v>
      </c>
      <c r="I8" s="1024">
        <v>0</v>
      </c>
      <c r="J8" s="1024">
        <v>0</v>
      </c>
      <c r="K8" s="1024">
        <v>0</v>
      </c>
      <c r="L8" s="1024">
        <v>0</v>
      </c>
      <c r="M8" s="1024">
        <v>0</v>
      </c>
      <c r="N8" s="1024">
        <v>0</v>
      </c>
      <c r="P8" s="1024"/>
      <c r="Q8" s="1024"/>
      <c r="R8" s="1024"/>
      <c r="S8" s="1024"/>
      <c r="T8" s="1024"/>
      <c r="U8" s="1024">
        <v>471099.68</v>
      </c>
      <c r="V8" s="1024">
        <v>0</v>
      </c>
      <c r="W8" s="1024">
        <v>0</v>
      </c>
      <c r="X8" s="1024">
        <v>0</v>
      </c>
      <c r="Y8" s="1024">
        <v>0</v>
      </c>
      <c r="Z8" s="1024">
        <v>0</v>
      </c>
      <c r="AA8" s="1024">
        <v>0</v>
      </c>
      <c r="AC8" s="1024"/>
      <c r="AD8" s="1024"/>
      <c r="AE8" s="1024"/>
      <c r="AF8" s="1024"/>
      <c r="AG8" s="1024"/>
      <c r="AH8" s="1024"/>
      <c r="AI8" s="1024"/>
      <c r="AJ8" s="1024"/>
      <c r="AK8" s="1024"/>
      <c r="AL8" s="1024"/>
      <c r="AM8" s="1024"/>
      <c r="AN8" s="1024"/>
      <c r="AO8" s="1009"/>
      <c r="AP8" s="1027"/>
      <c r="AQ8" s="1024">
        <f t="shared" ref="AQ8:AQ30" si="0">P8-D8</f>
        <v>0</v>
      </c>
      <c r="AR8" s="1024">
        <f t="shared" ref="AR8:AR11" si="1">AQ8/57</f>
        <v>0</v>
      </c>
      <c r="AS8" s="1027">
        <f t="shared" ref="AS8:AS11" si="2">P8-AP8</f>
        <v>0</v>
      </c>
      <c r="AT8" s="1027">
        <f t="shared" ref="AT8:BE23" si="3">P8-AC8</f>
        <v>0</v>
      </c>
      <c r="AU8" s="1027"/>
      <c r="AV8" s="1027"/>
      <c r="AW8" s="1027"/>
      <c r="AX8" s="1027"/>
      <c r="AY8" s="1027"/>
      <c r="AZ8" s="1027"/>
      <c r="BA8" s="1027"/>
      <c r="BB8" s="1027"/>
      <c r="BC8" s="1027"/>
      <c r="BD8" s="1027"/>
      <c r="BE8" s="1027"/>
      <c r="BF8" s="1027"/>
      <c r="BH8" s="105"/>
      <c r="BI8" s="105"/>
      <c r="BJ8" s="105"/>
      <c r="BK8" s="105"/>
      <c r="BL8" s="8"/>
      <c r="BM8" s="1009"/>
      <c r="BN8" s="1030" t="s">
        <v>853</v>
      </c>
      <c r="BO8" s="1031"/>
      <c r="BP8" s="1009"/>
      <c r="BQ8" s="1022">
        <v>6666010183</v>
      </c>
      <c r="BR8" s="1009" t="s">
        <v>854</v>
      </c>
      <c r="CE8" s="1008"/>
      <c r="CF8" s="1019"/>
      <c r="CG8" s="1019"/>
      <c r="CH8" s="1019"/>
      <c r="CI8" s="105"/>
      <c r="CJ8" s="105"/>
    </row>
    <row r="9" spans="1:88" ht="15" thickBot="1" x14ac:dyDescent="0.35">
      <c r="A9" s="1009"/>
      <c r="B9" s="1023" t="s">
        <v>855</v>
      </c>
      <c r="C9" s="1024">
        <v>4533401.4668437392</v>
      </c>
      <c r="D9" s="1024">
        <v>4998182.5527000045</v>
      </c>
      <c r="E9" s="1024">
        <v>5144893.5279181562</v>
      </c>
      <c r="F9" s="1024">
        <v>5028101.6203331128</v>
      </c>
      <c r="G9" s="1024">
        <v>5894571.8440821487</v>
      </c>
      <c r="H9" s="1024">
        <v>5562924.9479831038</v>
      </c>
      <c r="I9" s="1024">
        <v>5083830.3732722132</v>
      </c>
      <c r="J9" s="1024">
        <v>5220924.7743345322</v>
      </c>
      <c r="K9" s="1024">
        <v>6274347.0121772615</v>
      </c>
      <c r="L9" s="1024">
        <v>5898670.5145524647</v>
      </c>
      <c r="M9" s="1024">
        <v>5777829.8451589746</v>
      </c>
      <c r="N9" s="1024">
        <v>5929977.820729983</v>
      </c>
      <c r="P9" s="1024"/>
      <c r="Q9" s="1024"/>
      <c r="R9" s="1024"/>
      <c r="S9" s="1024"/>
      <c r="T9" s="1024"/>
      <c r="U9" s="1025">
        <v>2999148.82</v>
      </c>
      <c r="V9" s="1025">
        <v>3394142.1333449967</v>
      </c>
      <c r="W9" s="1025">
        <v>3453572.902224998</v>
      </c>
      <c r="X9" s="1025">
        <v>4134546.807169552</v>
      </c>
      <c r="Y9" s="1025">
        <v>4798598.9022396505</v>
      </c>
      <c r="Z9" s="1025">
        <v>4714476.4798812224</v>
      </c>
      <c r="AA9" s="1025">
        <v>4838524.1817885935</v>
      </c>
      <c r="AC9" s="1024"/>
      <c r="AD9" s="1024"/>
      <c r="AE9" s="1024"/>
      <c r="AF9" s="1024"/>
      <c r="AG9" s="1024"/>
      <c r="AH9" s="1024"/>
      <c r="AI9" s="1024"/>
      <c r="AJ9" s="1024"/>
      <c r="AK9" s="1024"/>
      <c r="AL9" s="1024"/>
      <c r="AM9" s="1024"/>
      <c r="AN9" s="1024"/>
      <c r="AO9" s="1009"/>
      <c r="AP9" s="1027"/>
      <c r="AQ9" s="1024">
        <f t="shared" si="0"/>
        <v>-4998182.5527000045</v>
      </c>
      <c r="AR9" s="1024">
        <f t="shared" si="1"/>
        <v>-87687.413205263234</v>
      </c>
      <c r="AS9" s="1027">
        <f t="shared" si="2"/>
        <v>0</v>
      </c>
      <c r="AT9" s="1027">
        <f t="shared" si="3"/>
        <v>0</v>
      </c>
      <c r="AU9" s="1027"/>
      <c r="AV9" s="1027"/>
      <c r="AW9" s="1027"/>
      <c r="AX9" s="1027"/>
      <c r="AY9" s="1027"/>
      <c r="AZ9" s="1027"/>
      <c r="BA9" s="1027"/>
      <c r="BB9" s="1027"/>
      <c r="BC9" s="1027"/>
      <c r="BD9" s="1027"/>
      <c r="BE9" s="1027"/>
      <c r="BF9" s="1027"/>
      <c r="BH9" s="105"/>
      <c r="BI9" s="105"/>
      <c r="BJ9" s="105"/>
      <c r="BK9" s="105"/>
      <c r="BL9" s="8"/>
      <c r="BM9" s="1009"/>
      <c r="BN9" s="1016" t="s">
        <v>856</v>
      </c>
      <c r="BO9" s="1017"/>
      <c r="BP9" s="1009"/>
      <c r="BQ9" s="1022">
        <v>6666010188</v>
      </c>
      <c r="BR9" s="1009" t="s">
        <v>851</v>
      </c>
    </row>
    <row r="10" spans="1:88" ht="15" thickBot="1" x14ac:dyDescent="0.35">
      <c r="A10" s="1009"/>
      <c r="B10" s="1023" t="s">
        <v>857</v>
      </c>
      <c r="C10" s="1024">
        <v>436954.35824999947</v>
      </c>
      <c r="D10" s="1024">
        <v>481752.53520000138</v>
      </c>
      <c r="E10" s="1024">
        <v>495893.35208850034</v>
      </c>
      <c r="F10" s="1024">
        <v>484636.30075499974</v>
      </c>
      <c r="G10" s="1024">
        <v>568151.50304406043</v>
      </c>
      <c r="H10" s="1024">
        <v>536185.53715499945</v>
      </c>
      <c r="I10" s="1024">
        <v>490007.74682141957</v>
      </c>
      <c r="J10" s="1024">
        <v>503221.66499610065</v>
      </c>
      <c r="K10" s="1024">
        <v>604756.33852311166</v>
      </c>
      <c r="L10" s="1024">
        <v>568546.55561951397</v>
      </c>
      <c r="M10" s="1024">
        <v>556899.26218400185</v>
      </c>
      <c r="N10" s="1024">
        <v>571564.12729927595</v>
      </c>
      <c r="P10" s="1024"/>
      <c r="Q10" s="1024"/>
      <c r="R10" s="1024"/>
      <c r="S10" s="1024"/>
      <c r="T10" s="1024"/>
      <c r="U10" s="1025">
        <v>349631.17</v>
      </c>
      <c r="V10" s="1025">
        <v>327146.22971999983</v>
      </c>
      <c r="W10" s="1025">
        <v>332874.49660000013</v>
      </c>
      <c r="X10" s="1025">
        <v>398510.53563079925</v>
      </c>
      <c r="Y10" s="1025">
        <v>462515.5568423745</v>
      </c>
      <c r="Z10" s="1025">
        <v>454407.37155481539</v>
      </c>
      <c r="AA10" s="1025">
        <v>466363.77655793575</v>
      </c>
      <c r="AC10" s="1026"/>
      <c r="AD10" s="1026"/>
      <c r="AE10" s="1026"/>
      <c r="AF10" s="1026"/>
      <c r="AG10" s="1026"/>
      <c r="AH10" s="1026"/>
      <c r="AI10" s="1026"/>
      <c r="AJ10" s="1026"/>
      <c r="AK10" s="1026"/>
      <c r="AL10" s="1026"/>
      <c r="AM10" s="1026"/>
      <c r="AN10" s="1026"/>
      <c r="AO10" s="1009"/>
      <c r="AP10" s="1027"/>
      <c r="AQ10" s="1024">
        <f t="shared" si="0"/>
        <v>-481752.53520000138</v>
      </c>
      <c r="AR10" s="1024">
        <f t="shared" si="1"/>
        <v>-8451.7988631579192</v>
      </c>
      <c r="AS10" s="1027">
        <f t="shared" si="2"/>
        <v>0</v>
      </c>
      <c r="AT10" s="1027">
        <f t="shared" si="3"/>
        <v>0</v>
      </c>
      <c r="AU10" s="1027"/>
      <c r="AV10" s="1027"/>
      <c r="AW10" s="1027"/>
      <c r="AX10" s="1027"/>
      <c r="AY10" s="1027"/>
      <c r="AZ10" s="1027"/>
      <c r="BA10" s="1027"/>
      <c r="BB10" s="1027"/>
      <c r="BC10" s="1027"/>
      <c r="BD10" s="1027"/>
      <c r="BE10" s="1027"/>
      <c r="BF10" s="1027"/>
      <c r="BH10" s="105"/>
      <c r="BI10" s="105"/>
      <c r="BJ10" s="105"/>
      <c r="BK10" s="105"/>
      <c r="BL10" s="8"/>
      <c r="BM10" s="1009"/>
      <c r="BN10" s="1030" t="s">
        <v>858</v>
      </c>
      <c r="BO10" s="1031"/>
      <c r="BP10" s="1009"/>
      <c r="BQ10" s="1022">
        <v>6666010229</v>
      </c>
      <c r="BR10" s="1009" t="s">
        <v>859</v>
      </c>
    </row>
    <row r="11" spans="1:88" ht="15" thickBot="1" x14ac:dyDescent="0.35">
      <c r="A11" s="1009"/>
      <c r="B11" s="1023" t="s">
        <v>860</v>
      </c>
      <c r="C11" s="1024">
        <v>-1144593.3649724985</v>
      </c>
      <c r="D11" s="1024">
        <v>-1257072.7619999971</v>
      </c>
      <c r="E11" s="1024">
        <v>-1292642.8452194266</v>
      </c>
      <c r="F11" s="1024">
        <v>-1264366.1392477523</v>
      </c>
      <c r="G11" s="1024">
        <v>-1474048.6904483242</v>
      </c>
      <c r="H11" s="1024">
        <v>-1393813.0428277473</v>
      </c>
      <c r="I11" s="1024">
        <v>-1277845.4773517253</v>
      </c>
      <c r="J11" s="1024">
        <v>-1310970.039388418</v>
      </c>
      <c r="K11" s="1024">
        <v>-1565936.9872071568</v>
      </c>
      <c r="L11" s="1024">
        <v>-1475041.0688217261</v>
      </c>
      <c r="M11" s="1024">
        <v>-1445785.894311378</v>
      </c>
      <c r="N11" s="1024">
        <v>-1482591.4099211332</v>
      </c>
      <c r="P11" s="1024"/>
      <c r="Q11" s="1024"/>
      <c r="R11" s="1024"/>
      <c r="S11" s="1024"/>
      <c r="T11" s="1024"/>
      <c r="U11" s="1025">
        <v>-33010.720000000001</v>
      </c>
      <c r="V11" s="1025">
        <v>-867726.81718949985</v>
      </c>
      <c r="W11" s="1025">
        <v>-882146.19194950047</v>
      </c>
      <c r="X11" s="1025">
        <v>-1047349.7973137257</v>
      </c>
      <c r="Y11" s="1025">
        <v>-1206984.5586668481</v>
      </c>
      <c r="Z11" s="1025">
        <v>-1186583.485075763</v>
      </c>
      <c r="AA11" s="1025">
        <v>-1216612.1584957445</v>
      </c>
      <c r="AC11" s="1024"/>
      <c r="AD11" s="1024"/>
      <c r="AE11" s="1024"/>
      <c r="AF11" s="1024"/>
      <c r="AG11" s="1024"/>
      <c r="AH11" s="1024"/>
      <c r="AI11" s="1024"/>
      <c r="AJ11" s="1024"/>
      <c r="AK11" s="1024"/>
      <c r="AL11" s="1024"/>
      <c r="AM11" s="1024"/>
      <c r="AN11" s="1024"/>
      <c r="AO11" s="1009"/>
      <c r="AP11" s="1027"/>
      <c r="AQ11" s="1024">
        <f t="shared" si="0"/>
        <v>1257072.7619999971</v>
      </c>
      <c r="AR11" s="1024">
        <f t="shared" si="1"/>
        <v>22053.908105263108</v>
      </c>
      <c r="AS11" s="1027">
        <f t="shared" si="2"/>
        <v>0</v>
      </c>
      <c r="AT11" s="1027">
        <f t="shared" si="3"/>
        <v>0</v>
      </c>
      <c r="AU11" s="1027"/>
      <c r="AV11" s="1027"/>
      <c r="AW11" s="1027"/>
      <c r="AX11" s="1027"/>
      <c r="AY11" s="1027"/>
      <c r="AZ11" s="1027"/>
      <c r="BA11" s="1027"/>
      <c r="BB11" s="1027"/>
      <c r="BC11" s="1027"/>
      <c r="BD11" s="1027"/>
      <c r="BE11" s="1027"/>
      <c r="BF11" s="1027"/>
      <c r="BG11" s="1032" t="s">
        <v>861</v>
      </c>
      <c r="BH11" s="1033">
        <f>SUM(BH12:BH20)</f>
        <v>-786</v>
      </c>
      <c r="BI11" s="1034"/>
      <c r="BJ11" s="1034"/>
      <c r="BK11" s="1033">
        <f>SUM(BK12:BK20)</f>
        <v>58431</v>
      </c>
      <c r="BL11" s="8"/>
      <c r="BM11" s="1009">
        <v>52.488689999999998</v>
      </c>
      <c r="BN11" s="1030" t="s">
        <v>862</v>
      </c>
      <c r="BO11" s="1031"/>
      <c r="BP11" s="1009"/>
      <c r="BQ11" s="1035">
        <v>6666010380</v>
      </c>
      <c r="BR11" s="1009" t="s">
        <v>863</v>
      </c>
    </row>
    <row r="12" spans="1:88" ht="15" thickBot="1" x14ac:dyDescent="0.35">
      <c r="A12" s="1009"/>
      <c r="B12" s="1036" t="s">
        <v>864</v>
      </c>
      <c r="C12" s="1037">
        <f>SUM(C7:C11)</f>
        <v>26058062.612621229</v>
      </c>
      <c r="D12" s="1037">
        <f>SUM(D7:D11)</f>
        <v>28695071.325900026</v>
      </c>
      <c r="E12" s="1037">
        <f>SUM(E7:E11)</f>
        <v>29527393.879212242</v>
      </c>
      <c r="F12" s="1037">
        <f>SUM(F7:F11)</f>
        <v>28864769.059590392</v>
      </c>
      <c r="G12" s="1037">
        <f t="shared" ref="G12:AA12" si="4">SUM(G7:G11)</f>
        <v>33785116.04888092</v>
      </c>
      <c r="H12" s="1037">
        <f t="shared" si="4"/>
        <v>31899156.540060382</v>
      </c>
      <c r="I12" s="1037">
        <f t="shared" si="4"/>
        <v>29182390.223812919</v>
      </c>
      <c r="J12" s="1037">
        <f t="shared" si="4"/>
        <v>29967409.889747225</v>
      </c>
      <c r="K12" s="1037">
        <f t="shared" si="4"/>
        <v>35966394.873648793</v>
      </c>
      <c r="L12" s="1037">
        <f t="shared" si="4"/>
        <v>33833487.366325922</v>
      </c>
      <c r="M12" s="1037">
        <f t="shared" si="4"/>
        <v>33147889.906231638</v>
      </c>
      <c r="N12" s="1037">
        <f t="shared" si="4"/>
        <v>34013996.487071954</v>
      </c>
      <c r="P12" s="1037">
        <f t="shared" si="4"/>
        <v>0</v>
      </c>
      <c r="Q12" s="1037">
        <f t="shared" si="4"/>
        <v>0</v>
      </c>
      <c r="R12" s="1037">
        <f t="shared" si="4"/>
        <v>0</v>
      </c>
      <c r="S12" s="1037">
        <f t="shared" si="4"/>
        <v>0</v>
      </c>
      <c r="T12" s="1037">
        <f t="shared" si="4"/>
        <v>0</v>
      </c>
      <c r="U12" s="1037">
        <f t="shared" si="4"/>
        <v>21301771.580000002</v>
      </c>
      <c r="V12" s="1037">
        <f t="shared" si="4"/>
        <v>19470528.007875498</v>
      </c>
      <c r="W12" s="1037">
        <f t="shared" si="4"/>
        <v>19807681.012875494</v>
      </c>
      <c r="X12" s="1037">
        <f t="shared" si="4"/>
        <v>23686167.088626634</v>
      </c>
      <c r="Y12" s="1037">
        <f t="shared" si="4"/>
        <v>27581568.427334029</v>
      </c>
      <c r="Z12" s="1037">
        <f t="shared" si="4"/>
        <v>27106286.729701094</v>
      </c>
      <c r="AA12" s="1037">
        <f t="shared" si="4"/>
        <v>27812938.413347639</v>
      </c>
      <c r="AC12" s="1037">
        <f>'data entry '!B84*57000</f>
        <v>30577410.590000007</v>
      </c>
      <c r="AD12" s="1037">
        <f>'data entry '!C84*57000</f>
        <v>27476096.239999998</v>
      </c>
      <c r="AE12" s="1037">
        <f>'data entry '!D84*57000</f>
        <v>15739018.039999999</v>
      </c>
      <c r="AF12" s="1037">
        <f>'data entry '!E84*57000</f>
        <v>26521379.570000049</v>
      </c>
      <c r="AG12" s="1037">
        <f>'data entry '!F84*57000</f>
        <v>21606567.900000036</v>
      </c>
      <c r="AH12" s="1037">
        <f>'data entry '!G84*57000</f>
        <v>34109036.009999983</v>
      </c>
      <c r="AI12" s="1037">
        <f>'data entry '!H84*57000</f>
        <v>27115413.986993246</v>
      </c>
      <c r="AJ12" s="1037">
        <f>'data entry '!I84*57000</f>
        <v>25476934.386589553</v>
      </c>
      <c r="AK12" s="1037">
        <f>'data entry '!J84*57000</f>
        <v>35338187.500496857</v>
      </c>
      <c r="AL12" s="1037">
        <f>'data entry '!K84*57000</f>
        <v>32336109.029132899</v>
      </c>
      <c r="AM12" s="1037">
        <f>'data entry '!L84*57000</f>
        <v>34066178.87673226</v>
      </c>
      <c r="AN12" s="1037">
        <f>'data entry '!M84*57000</f>
        <v>27673522.928399071</v>
      </c>
      <c r="AO12" s="1027"/>
      <c r="AP12" s="1037">
        <f>SUM(AP7:AP11)</f>
        <v>0</v>
      </c>
      <c r="AQ12" s="1037">
        <f>SUM(AQ7:AQ11)</f>
        <v>-28695071.325900026</v>
      </c>
      <c r="AR12" s="1037">
        <f>SUM(AR7:AR11)</f>
        <v>-503422.30396315828</v>
      </c>
      <c r="AS12" s="1037">
        <f>SUM(AS7:AS11)</f>
        <v>0</v>
      </c>
      <c r="AT12" s="1037">
        <f t="shared" si="3"/>
        <v>-30577410.590000007</v>
      </c>
      <c r="AU12" s="1037">
        <f>Q12-AD12</f>
        <v>-27476096.239999998</v>
      </c>
      <c r="AV12" s="1037">
        <f t="shared" si="3"/>
        <v>-15739018.039999999</v>
      </c>
      <c r="AW12" s="1037">
        <f t="shared" si="3"/>
        <v>-26521379.570000049</v>
      </c>
      <c r="AX12" s="1037">
        <f t="shared" si="3"/>
        <v>-21606567.900000036</v>
      </c>
      <c r="AY12" s="1037">
        <f t="shared" si="3"/>
        <v>-12807264.429999981</v>
      </c>
      <c r="AZ12" s="1037">
        <f t="shared" si="3"/>
        <v>-7644885.9791177474</v>
      </c>
      <c r="BA12" s="1037">
        <f t="shared" si="3"/>
        <v>-5669253.3737140596</v>
      </c>
      <c r="BB12" s="1037">
        <f t="shared" si="3"/>
        <v>-11652020.411870223</v>
      </c>
      <c r="BC12" s="1037">
        <f t="shared" si="3"/>
        <v>-4754540.6017988697</v>
      </c>
      <c r="BD12" s="1037">
        <f t="shared" si="3"/>
        <v>-6959892.1470311657</v>
      </c>
      <c r="BE12" s="1037">
        <f t="shared" si="3"/>
        <v>139415.48494856805</v>
      </c>
      <c r="BF12" s="1027"/>
      <c r="BG12" s="70" t="s">
        <v>865</v>
      </c>
      <c r="BH12" s="150"/>
      <c r="BI12" s="1038"/>
      <c r="BJ12" s="1038"/>
      <c r="BK12" s="1039">
        <v>27607</v>
      </c>
      <c r="BL12" s="8"/>
      <c r="BM12" s="1009">
        <v>57</v>
      </c>
      <c r="BN12" s="1040" t="s">
        <v>860</v>
      </c>
      <c r="BO12" s="1041"/>
      <c r="BP12" s="1009"/>
      <c r="BQ12" s="1035"/>
      <c r="BR12" s="1009"/>
      <c r="BT12" s="34"/>
    </row>
    <row r="13" spans="1:88" ht="15" thickBot="1" x14ac:dyDescent="0.35">
      <c r="A13" s="1009"/>
      <c r="B13" s="1042" t="s">
        <v>866</v>
      </c>
      <c r="C13" s="1024">
        <v>481134.68268702686</v>
      </c>
      <c r="D13" s="1024">
        <v>481134.68268702686</v>
      </c>
      <c r="E13" s="1024">
        <v>481134.68268702686</v>
      </c>
      <c r="F13" s="1024">
        <v>481134.68268702686</v>
      </c>
      <c r="G13" s="1024">
        <v>481134.68268702651</v>
      </c>
      <c r="H13" s="1024">
        <v>481134.68268702686</v>
      </c>
      <c r="I13" s="1024">
        <v>481134.68268702948</v>
      </c>
      <c r="J13" s="1024">
        <v>481134.68268702913</v>
      </c>
      <c r="K13" s="1024">
        <v>481134.68268702755</v>
      </c>
      <c r="L13" s="1024">
        <v>481134.68268702913</v>
      </c>
      <c r="M13" s="1024">
        <v>481134.68268702913</v>
      </c>
      <c r="N13" s="1024">
        <v>481134.68268702878</v>
      </c>
      <c r="P13" s="1024"/>
      <c r="Q13" s="1024"/>
      <c r="R13" s="1024"/>
      <c r="S13" s="1024"/>
      <c r="T13" s="1024"/>
      <c r="U13" s="1025"/>
      <c r="V13" s="1025">
        <v>481134.68268702639</v>
      </c>
      <c r="W13" s="1025">
        <v>481134.68268702639</v>
      </c>
      <c r="X13" s="1025">
        <v>481134.68268702639</v>
      </c>
      <c r="Y13" s="1025">
        <v>481134.68268702808</v>
      </c>
      <c r="Z13" s="1025">
        <v>481134.68268702924</v>
      </c>
      <c r="AA13" s="1025">
        <v>481134.68268702686</v>
      </c>
      <c r="AC13" s="1024"/>
      <c r="AD13" s="1024"/>
      <c r="AE13" s="1024"/>
      <c r="AF13" s="1024"/>
      <c r="AG13" s="1024"/>
      <c r="AH13" s="1024"/>
      <c r="AI13" s="1024"/>
      <c r="AJ13" s="1024"/>
      <c r="AK13" s="1024"/>
      <c r="AL13" s="1024"/>
      <c r="AM13" s="1024"/>
      <c r="AN13" s="1024"/>
      <c r="AO13" s="1043"/>
      <c r="AP13" s="1027"/>
      <c r="AQ13" s="1024">
        <f t="shared" si="0"/>
        <v>-481134.68268702686</v>
      </c>
      <c r="AR13" s="1024">
        <f t="shared" ref="AR13:AR33" si="5">AQ13/57</f>
        <v>-8440.9593453864363</v>
      </c>
      <c r="AS13" s="1027">
        <f t="shared" ref="AS13:AS33" si="6">P13-AP13</f>
        <v>0</v>
      </c>
      <c r="AT13" s="1027">
        <f t="shared" si="3"/>
        <v>0</v>
      </c>
      <c r="AU13" s="1027">
        <f>Q13-AD13</f>
        <v>0</v>
      </c>
      <c r="AV13" s="1027">
        <f t="shared" si="3"/>
        <v>0</v>
      </c>
      <c r="AW13" s="1027">
        <f t="shared" si="3"/>
        <v>0</v>
      </c>
      <c r="AX13" s="1027">
        <f t="shared" si="3"/>
        <v>0</v>
      </c>
      <c r="AY13" s="1027">
        <f t="shared" si="3"/>
        <v>0</v>
      </c>
      <c r="AZ13" s="1027">
        <f t="shared" si="3"/>
        <v>481134.68268702639</v>
      </c>
      <c r="BA13" s="1027">
        <f t="shared" si="3"/>
        <v>481134.68268702639</v>
      </c>
      <c r="BB13" s="1027">
        <f t="shared" si="3"/>
        <v>481134.68268702639</v>
      </c>
      <c r="BC13" s="1027">
        <f t="shared" si="3"/>
        <v>481134.68268702808</v>
      </c>
      <c r="BD13" s="1027">
        <f t="shared" si="3"/>
        <v>481134.68268702924</v>
      </c>
      <c r="BE13" s="1027">
        <f t="shared" si="3"/>
        <v>481134.68268702686</v>
      </c>
      <c r="BF13" s="1027"/>
      <c r="BG13" s="70" t="s">
        <v>102</v>
      </c>
      <c r="BH13" s="1039">
        <v>-786</v>
      </c>
      <c r="BI13" s="150"/>
      <c r="BJ13" s="150"/>
      <c r="BK13" s="1039"/>
      <c r="BL13" s="8"/>
      <c r="BM13" s="1009"/>
      <c r="BN13" s="1044" t="s">
        <v>867</v>
      </c>
      <c r="BO13" s="1045"/>
      <c r="BP13" s="1009"/>
      <c r="BQ13" s="1009"/>
      <c r="BR13" s="1009"/>
      <c r="BT13" s="8"/>
    </row>
    <row r="14" spans="1:88" ht="15" thickBot="1" x14ac:dyDescent="0.35">
      <c r="A14" s="1009"/>
      <c r="B14" s="1042" t="s">
        <v>868</v>
      </c>
      <c r="C14" s="1024"/>
      <c r="D14" s="1024"/>
      <c r="E14" s="1024"/>
      <c r="F14" s="1024"/>
      <c r="G14" s="1024"/>
      <c r="H14" s="1024"/>
      <c r="I14" s="1024"/>
      <c r="J14" s="1024"/>
      <c r="K14" s="1024"/>
      <c r="L14" s="1024"/>
      <c r="M14" s="1024"/>
      <c r="N14" s="1024"/>
      <c r="P14" s="1024"/>
      <c r="Q14" s="1024"/>
      <c r="R14" s="1024"/>
      <c r="S14" s="1024"/>
      <c r="T14" s="1024"/>
      <c r="U14" s="1024">
        <v>561957.18999999994</v>
      </c>
      <c r="V14" s="1024"/>
      <c r="W14" s="1024"/>
      <c r="X14" s="1024"/>
      <c r="Y14" s="1024">
        <v>4096223.9999999995</v>
      </c>
      <c r="Z14" s="1024"/>
      <c r="AA14" s="1024"/>
      <c r="AC14" s="1046"/>
      <c r="AD14" s="1046"/>
      <c r="AE14" s="1046"/>
      <c r="AF14" s="1046"/>
      <c r="AG14" s="1046"/>
      <c r="AH14" s="1046"/>
      <c r="AI14" s="1046"/>
      <c r="AJ14" s="1046"/>
      <c r="AK14" s="1046"/>
      <c r="AL14" s="1046"/>
      <c r="AM14" s="1046"/>
      <c r="AN14" s="1046"/>
      <c r="AO14" s="1043"/>
      <c r="AP14" s="1027"/>
      <c r="AQ14" s="1024">
        <f t="shared" si="0"/>
        <v>0</v>
      </c>
      <c r="AR14" s="1024">
        <f t="shared" si="5"/>
        <v>0</v>
      </c>
      <c r="AS14" s="1027">
        <f t="shared" si="6"/>
        <v>0</v>
      </c>
      <c r="AT14" s="1027">
        <f t="shared" si="3"/>
        <v>0</v>
      </c>
      <c r="AU14" s="1027">
        <f t="shared" si="3"/>
        <v>0</v>
      </c>
      <c r="AV14" s="1027">
        <f t="shared" si="3"/>
        <v>0</v>
      </c>
      <c r="AW14" s="1027">
        <f t="shared" si="3"/>
        <v>0</v>
      </c>
      <c r="AX14" s="1027">
        <f t="shared" si="3"/>
        <v>0</v>
      </c>
      <c r="AY14" s="1027">
        <f t="shared" si="3"/>
        <v>561957.18999999994</v>
      </c>
      <c r="AZ14" s="1027">
        <f t="shared" si="3"/>
        <v>0</v>
      </c>
      <c r="BA14" s="1027">
        <f t="shared" si="3"/>
        <v>0</v>
      </c>
      <c r="BB14" s="1027">
        <f t="shared" si="3"/>
        <v>0</v>
      </c>
      <c r="BC14" s="1027">
        <f t="shared" si="3"/>
        <v>4096223.9999999995</v>
      </c>
      <c r="BD14" s="1027">
        <f t="shared" si="3"/>
        <v>0</v>
      </c>
      <c r="BE14" s="1027">
        <f t="shared" si="3"/>
        <v>0</v>
      </c>
      <c r="BF14" s="1047"/>
      <c r="BG14" s="70" t="s">
        <v>869</v>
      </c>
      <c r="BH14" s="1048"/>
      <c r="BI14" s="1048"/>
      <c r="BJ14" s="1048"/>
      <c r="BK14" s="1039">
        <v>10380</v>
      </c>
      <c r="BL14" s="8"/>
      <c r="BM14" s="1013"/>
      <c r="BN14" s="1049" t="s">
        <v>870</v>
      </c>
      <c r="BO14" s="1050"/>
      <c r="BP14" s="1009"/>
      <c r="BQ14" s="1009"/>
      <c r="BR14" s="1009"/>
      <c r="BT14" s="34"/>
    </row>
    <row r="15" spans="1:88" ht="15" thickBot="1" x14ac:dyDescent="0.35">
      <c r="A15" s="1009"/>
      <c r="B15" s="1051" t="s">
        <v>871</v>
      </c>
      <c r="C15" s="1024"/>
      <c r="D15" s="1024"/>
      <c r="E15" s="1024"/>
      <c r="F15" s="1024"/>
      <c r="G15" s="1024"/>
      <c r="H15" s="1024"/>
      <c r="I15" s="1024"/>
      <c r="J15" s="1024"/>
      <c r="K15" s="1024"/>
      <c r="L15" s="1024"/>
      <c r="M15" s="1024"/>
      <c r="N15" s="1024"/>
      <c r="P15" s="1024"/>
      <c r="Q15" s="1024"/>
      <c r="R15" s="1024"/>
      <c r="S15" s="1024"/>
      <c r="T15" s="1024"/>
      <c r="U15" s="1024"/>
      <c r="V15" s="1024"/>
      <c r="W15" s="1024"/>
      <c r="X15" s="1024"/>
      <c r="Y15" s="1024"/>
      <c r="Z15" s="1024"/>
      <c r="AA15" s="1024"/>
      <c r="AC15" s="1046"/>
      <c r="AD15" s="1046"/>
      <c r="AE15" s="1046"/>
      <c r="AF15" s="1046"/>
      <c r="AG15" s="1046"/>
      <c r="AH15" s="1046"/>
      <c r="AI15" s="1046"/>
      <c r="AJ15" s="1046"/>
      <c r="AK15" s="1046"/>
      <c r="AL15" s="1046"/>
      <c r="AM15" s="1046"/>
      <c r="AN15" s="1046"/>
      <c r="AO15" s="1043"/>
      <c r="AP15" s="1027"/>
      <c r="AQ15" s="1024">
        <f t="shared" si="0"/>
        <v>0</v>
      </c>
      <c r="AR15" s="1024">
        <f t="shared" si="5"/>
        <v>0</v>
      </c>
      <c r="AS15" s="1027">
        <f t="shared" si="6"/>
        <v>0</v>
      </c>
      <c r="AT15" s="1027">
        <f t="shared" si="3"/>
        <v>0</v>
      </c>
      <c r="AU15" s="1027">
        <f t="shared" si="3"/>
        <v>0</v>
      </c>
      <c r="AV15" s="1027">
        <f t="shared" si="3"/>
        <v>0</v>
      </c>
      <c r="AW15" s="1027">
        <f t="shared" si="3"/>
        <v>0</v>
      </c>
      <c r="AX15" s="1027">
        <f t="shared" si="3"/>
        <v>0</v>
      </c>
      <c r="AY15" s="1027">
        <f t="shared" si="3"/>
        <v>0</v>
      </c>
      <c r="AZ15" s="1027">
        <f t="shared" si="3"/>
        <v>0</v>
      </c>
      <c r="BA15" s="1027">
        <f t="shared" si="3"/>
        <v>0</v>
      </c>
      <c r="BB15" s="1027">
        <f t="shared" si="3"/>
        <v>0</v>
      </c>
      <c r="BC15" s="1027">
        <f t="shared" si="3"/>
        <v>0</v>
      </c>
      <c r="BD15" s="1027">
        <f t="shared" si="3"/>
        <v>0</v>
      </c>
      <c r="BE15" s="1027">
        <f t="shared" si="3"/>
        <v>0</v>
      </c>
      <c r="BF15" s="1047"/>
      <c r="BG15" s="70" t="s">
        <v>872</v>
      </c>
      <c r="BH15" s="1014"/>
      <c r="BI15" s="1048"/>
      <c r="BJ15" s="1048"/>
      <c r="BK15" s="1039">
        <v>1826</v>
      </c>
      <c r="BL15" s="8"/>
      <c r="BM15" s="1013"/>
      <c r="BN15" s="1049" t="s">
        <v>870</v>
      </c>
      <c r="BO15" s="1050"/>
      <c r="BP15" s="1009"/>
      <c r="BQ15" s="1009"/>
      <c r="BR15" s="1009"/>
      <c r="BT15" s="34"/>
    </row>
    <row r="16" spans="1:88" ht="15" thickBot="1" x14ac:dyDescent="0.35">
      <c r="A16" s="1009"/>
      <c r="B16" s="1052" t="s">
        <v>873</v>
      </c>
      <c r="C16" s="1053"/>
      <c r="D16" s="1053"/>
      <c r="E16" s="1053"/>
      <c r="F16" s="1053"/>
      <c r="G16" s="1053"/>
      <c r="H16" s="1053"/>
      <c r="I16" s="1053"/>
      <c r="J16" s="1053"/>
      <c r="K16" s="1053"/>
      <c r="L16" s="1053"/>
      <c r="M16" s="1053"/>
      <c r="N16" s="1053"/>
      <c r="P16" s="1024"/>
      <c r="Q16" s="1024"/>
      <c r="R16" s="1024"/>
      <c r="S16" s="1024"/>
      <c r="T16" s="1024"/>
      <c r="U16" s="1024"/>
      <c r="V16" s="1024"/>
      <c r="W16" s="1024"/>
      <c r="X16" s="1024"/>
      <c r="Y16" s="1024"/>
      <c r="Z16" s="1024"/>
      <c r="AA16" s="1024"/>
      <c r="AC16" s="1054"/>
      <c r="AD16" s="1054"/>
      <c r="AE16" s="1055"/>
      <c r="AF16" s="1055"/>
      <c r="AG16" s="1055"/>
      <c r="AH16" s="1055"/>
      <c r="AI16" s="1055"/>
      <c r="AJ16" s="1055"/>
      <c r="AK16" s="1055"/>
      <c r="AL16" s="1055"/>
      <c r="AM16" s="1055"/>
      <c r="AN16" s="1055"/>
      <c r="AO16" s="1027"/>
      <c r="AP16" s="1009"/>
      <c r="AQ16" s="1024">
        <f t="shared" si="0"/>
        <v>0</v>
      </c>
      <c r="AR16" s="1024">
        <f t="shared" si="5"/>
        <v>0</v>
      </c>
      <c r="AS16" s="1027">
        <f t="shared" si="6"/>
        <v>0</v>
      </c>
      <c r="AT16" s="1009">
        <f t="shared" si="3"/>
        <v>0</v>
      </c>
      <c r="AU16" s="1009">
        <f t="shared" si="3"/>
        <v>0</v>
      </c>
      <c r="AV16" s="1009">
        <f t="shared" si="3"/>
        <v>0</v>
      </c>
      <c r="AW16" s="1009">
        <f t="shared" si="3"/>
        <v>0</v>
      </c>
      <c r="AX16" s="1009">
        <f t="shared" si="3"/>
        <v>0</v>
      </c>
      <c r="AY16" s="1009">
        <f t="shared" si="3"/>
        <v>0</v>
      </c>
      <c r="AZ16" s="1009">
        <f t="shared" si="3"/>
        <v>0</v>
      </c>
      <c r="BA16" s="1009">
        <f t="shared" si="3"/>
        <v>0</v>
      </c>
      <c r="BB16" s="1009">
        <f t="shared" si="3"/>
        <v>0</v>
      </c>
      <c r="BC16" s="1009">
        <f t="shared" si="3"/>
        <v>0</v>
      </c>
      <c r="BD16" s="1009">
        <f t="shared" si="3"/>
        <v>0</v>
      </c>
      <c r="BE16" s="1009">
        <f t="shared" si="3"/>
        <v>0</v>
      </c>
      <c r="BF16" s="1047"/>
      <c r="BG16" s="70" t="s">
        <v>853</v>
      </c>
      <c r="BH16" s="150"/>
      <c r="BI16" s="150"/>
      <c r="BJ16" s="150"/>
      <c r="BK16" s="1039"/>
      <c r="BL16" s="8"/>
      <c r="BM16" s="1009"/>
      <c r="BN16" s="1049" t="s">
        <v>874</v>
      </c>
      <c r="BO16" s="1050"/>
      <c r="BP16" s="1009"/>
      <c r="BQ16" s="1009"/>
      <c r="BR16" s="1009"/>
    </row>
    <row r="17" spans="1:73" x14ac:dyDescent="0.3">
      <c r="A17" s="1009"/>
      <c r="B17" s="1009" t="s">
        <v>875</v>
      </c>
      <c r="C17" s="1024"/>
      <c r="D17" s="1024"/>
      <c r="E17" s="1024"/>
      <c r="F17" s="1024"/>
      <c r="G17" s="1024"/>
      <c r="H17" s="1024"/>
      <c r="I17" s="1024"/>
      <c r="J17" s="1024"/>
      <c r="K17" s="1024"/>
      <c r="L17" s="1024"/>
      <c r="M17" s="1024"/>
      <c r="N17" s="1024"/>
      <c r="P17" s="1024"/>
      <c r="Q17" s="1024"/>
      <c r="R17" s="1024"/>
      <c r="S17" s="1024"/>
      <c r="T17" s="1024"/>
      <c r="U17" s="1024">
        <v>-71567.13</v>
      </c>
      <c r="V17" s="1024"/>
      <c r="W17" s="1024"/>
      <c r="X17" s="1024"/>
      <c r="Y17" s="1024"/>
      <c r="Z17" s="1024"/>
      <c r="AA17" s="1024"/>
      <c r="AC17" s="1046"/>
      <c r="AD17" s="1046"/>
      <c r="AE17" s="1046"/>
      <c r="AF17" s="1046"/>
      <c r="AG17" s="1046"/>
      <c r="AH17" s="1046"/>
      <c r="AI17" s="1046"/>
      <c r="AJ17" s="1046"/>
      <c r="AK17" s="1046"/>
      <c r="AL17" s="1046"/>
      <c r="AM17" s="1046"/>
      <c r="AN17" s="1046"/>
      <c r="AO17" s="1043"/>
      <c r="AP17" s="1009"/>
      <c r="AQ17" s="1024">
        <f t="shared" si="0"/>
        <v>0</v>
      </c>
      <c r="AR17" s="1024">
        <f t="shared" si="5"/>
        <v>0</v>
      </c>
      <c r="AS17" s="1027">
        <f t="shared" si="6"/>
        <v>0</v>
      </c>
      <c r="AT17" s="1027">
        <f t="shared" si="3"/>
        <v>0</v>
      </c>
      <c r="AU17" s="1027">
        <f t="shared" si="3"/>
        <v>0</v>
      </c>
      <c r="AV17" s="1027">
        <f t="shared" si="3"/>
        <v>0</v>
      </c>
      <c r="AW17" s="1027">
        <f t="shared" si="3"/>
        <v>0</v>
      </c>
      <c r="AX17" s="1027">
        <f t="shared" si="3"/>
        <v>0</v>
      </c>
      <c r="AY17" s="1027">
        <f t="shared" si="3"/>
        <v>-71567.13</v>
      </c>
      <c r="AZ17" s="1027">
        <f t="shared" si="3"/>
        <v>0</v>
      </c>
      <c r="BA17" s="1027">
        <f t="shared" si="3"/>
        <v>0</v>
      </c>
      <c r="BB17" s="1027">
        <f t="shared" si="3"/>
        <v>0</v>
      </c>
      <c r="BC17" s="1027">
        <f t="shared" si="3"/>
        <v>0</v>
      </c>
      <c r="BD17" s="1027">
        <f t="shared" si="3"/>
        <v>0</v>
      </c>
      <c r="BE17" s="1027">
        <f t="shared" si="3"/>
        <v>0</v>
      </c>
      <c r="BF17" s="1047"/>
      <c r="BG17" s="1021" t="s">
        <v>98</v>
      </c>
      <c r="BH17" s="1056"/>
      <c r="BI17" s="1056"/>
      <c r="BJ17" s="1056"/>
      <c r="BK17" s="1039"/>
      <c r="BL17" s="8"/>
      <c r="BM17" s="1009"/>
      <c r="BN17" s="1009"/>
      <c r="BO17" s="1009"/>
      <c r="BP17" s="1009"/>
      <c r="BQ17" s="1009"/>
      <c r="BR17" s="1009"/>
    </row>
    <row r="18" spans="1:73" x14ac:dyDescent="0.3">
      <c r="A18" s="1009"/>
      <c r="B18" s="1009" t="s">
        <v>876</v>
      </c>
      <c r="C18" s="1024"/>
      <c r="D18" s="1024"/>
      <c r="E18" s="1024"/>
      <c r="F18" s="1057"/>
      <c r="G18" s="1057"/>
      <c r="H18" s="1057"/>
      <c r="I18" s="1057"/>
      <c r="J18" s="1057"/>
      <c r="K18" s="1057"/>
      <c r="L18" s="1057"/>
      <c r="M18" s="1057"/>
      <c r="N18" s="1057"/>
      <c r="P18" s="1024"/>
      <c r="Q18" s="1024"/>
      <c r="R18" s="1024"/>
      <c r="S18" s="1024"/>
      <c r="T18" s="1024"/>
      <c r="U18" s="1024"/>
      <c r="V18" s="1024"/>
      <c r="W18" s="1024"/>
      <c r="X18" s="1024"/>
      <c r="Y18" s="1024"/>
      <c r="Z18" s="1024"/>
      <c r="AA18" s="1024"/>
      <c r="AC18" s="1046"/>
      <c r="AD18" s="1046"/>
      <c r="AE18" s="1046"/>
      <c r="AF18" s="1046"/>
      <c r="AG18" s="1046"/>
      <c r="AH18" s="1046"/>
      <c r="AI18" s="1046"/>
      <c r="AJ18" s="1046"/>
      <c r="AK18" s="1046"/>
      <c r="AL18" s="1046"/>
      <c r="AM18" s="1046"/>
      <c r="AN18" s="1046"/>
      <c r="AO18" s="1043"/>
      <c r="AP18" s="1009"/>
      <c r="AQ18" s="1024">
        <f t="shared" si="0"/>
        <v>0</v>
      </c>
      <c r="AR18" s="1024">
        <f t="shared" si="5"/>
        <v>0</v>
      </c>
      <c r="AS18" s="1027">
        <f t="shared" si="6"/>
        <v>0</v>
      </c>
      <c r="AT18" s="1027">
        <f t="shared" si="3"/>
        <v>0</v>
      </c>
      <c r="AU18" s="1027">
        <f t="shared" si="3"/>
        <v>0</v>
      </c>
      <c r="AV18" s="1027">
        <f t="shared" si="3"/>
        <v>0</v>
      </c>
      <c r="AW18" s="1027">
        <f t="shared" si="3"/>
        <v>0</v>
      </c>
      <c r="AX18" s="1027">
        <f t="shared" si="3"/>
        <v>0</v>
      </c>
      <c r="AY18" s="1027">
        <f t="shared" si="3"/>
        <v>0</v>
      </c>
      <c r="AZ18" s="1027">
        <f t="shared" si="3"/>
        <v>0</v>
      </c>
      <c r="BA18" s="1027">
        <f t="shared" si="3"/>
        <v>0</v>
      </c>
      <c r="BB18" s="1027">
        <f t="shared" si="3"/>
        <v>0</v>
      </c>
      <c r="BC18" s="1027">
        <f t="shared" si="3"/>
        <v>0</v>
      </c>
      <c r="BD18" s="1027">
        <f t="shared" si="3"/>
        <v>0</v>
      </c>
      <c r="BE18" s="1027">
        <f t="shared" si="3"/>
        <v>0</v>
      </c>
      <c r="BF18" s="1047"/>
      <c r="BG18" s="1021" t="s">
        <v>877</v>
      </c>
      <c r="BH18" s="1039"/>
      <c r="BI18" s="1056"/>
      <c r="BJ18" s="1056"/>
      <c r="BK18" s="1039"/>
      <c r="BL18" s="8"/>
      <c r="BM18" s="1009"/>
      <c r="BN18" s="1009"/>
      <c r="BO18" s="1009"/>
      <c r="BP18" s="1009"/>
      <c r="BQ18" s="1009"/>
      <c r="BR18" s="1009"/>
    </row>
    <row r="19" spans="1:73" x14ac:dyDescent="0.3">
      <c r="A19" s="1009"/>
      <c r="B19" s="1009" t="s">
        <v>878</v>
      </c>
      <c r="C19" s="1024"/>
      <c r="D19" s="1024"/>
      <c r="E19" s="1024"/>
      <c r="F19" s="1057"/>
      <c r="G19" s="1057"/>
      <c r="H19" s="1057"/>
      <c r="I19" s="1057"/>
      <c r="J19" s="1057"/>
      <c r="K19" s="1057"/>
      <c r="L19" s="1057"/>
      <c r="M19" s="1057"/>
      <c r="N19" s="1057"/>
      <c r="P19" s="1024"/>
      <c r="Q19" s="1024"/>
      <c r="R19" s="1024"/>
      <c r="S19" s="1024"/>
      <c r="T19" s="1024"/>
      <c r="U19" s="1024"/>
      <c r="V19" s="1024"/>
      <c r="W19" s="1024"/>
      <c r="X19" s="1024"/>
      <c r="Y19" s="1024"/>
      <c r="Z19" s="1024"/>
      <c r="AA19" s="1024"/>
      <c r="AC19" s="1046"/>
      <c r="AD19" s="1046"/>
      <c r="AE19" s="1046"/>
      <c r="AF19" s="1046"/>
      <c r="AG19" s="1046"/>
      <c r="AH19" s="1046"/>
      <c r="AI19" s="1046"/>
      <c r="AJ19" s="1046"/>
      <c r="AK19" s="1046"/>
      <c r="AL19" s="1046"/>
      <c r="AM19" s="1046"/>
      <c r="AN19" s="1046"/>
      <c r="AO19" s="1043"/>
      <c r="AP19" s="1009"/>
      <c r="AQ19" s="1024">
        <f t="shared" si="0"/>
        <v>0</v>
      </c>
      <c r="AR19" s="1024">
        <f t="shared" si="5"/>
        <v>0</v>
      </c>
      <c r="AS19" s="1027">
        <f t="shared" si="6"/>
        <v>0</v>
      </c>
      <c r="AT19" s="1027">
        <f t="shared" si="3"/>
        <v>0</v>
      </c>
      <c r="AU19" s="1027">
        <f t="shared" si="3"/>
        <v>0</v>
      </c>
      <c r="AV19" s="1027">
        <f t="shared" si="3"/>
        <v>0</v>
      </c>
      <c r="AW19" s="1027">
        <f t="shared" si="3"/>
        <v>0</v>
      </c>
      <c r="AX19" s="1027">
        <f t="shared" si="3"/>
        <v>0</v>
      </c>
      <c r="AY19" s="1027">
        <f t="shared" si="3"/>
        <v>0</v>
      </c>
      <c r="AZ19" s="1027">
        <f t="shared" si="3"/>
        <v>0</v>
      </c>
      <c r="BA19" s="1027">
        <f t="shared" si="3"/>
        <v>0</v>
      </c>
      <c r="BB19" s="1027">
        <f t="shared" si="3"/>
        <v>0</v>
      </c>
      <c r="BC19" s="1027">
        <f t="shared" si="3"/>
        <v>0</v>
      </c>
      <c r="BD19" s="1027">
        <f t="shared" si="3"/>
        <v>0</v>
      </c>
      <c r="BE19" s="1027">
        <f t="shared" si="3"/>
        <v>0</v>
      </c>
      <c r="BF19" s="1009"/>
      <c r="BG19" s="70" t="s">
        <v>655</v>
      </c>
      <c r="BH19" s="150"/>
      <c r="BI19" s="150"/>
      <c r="BJ19" s="150"/>
      <c r="BK19" s="1039">
        <f>2+18616</f>
        <v>18618</v>
      </c>
      <c r="BL19" s="1027"/>
    </row>
    <row r="20" spans="1:73" ht="19.95" customHeight="1" x14ac:dyDescent="0.3">
      <c r="A20" s="1009"/>
      <c r="B20" s="1009" t="s">
        <v>879</v>
      </c>
      <c r="C20" s="1024"/>
      <c r="D20" s="1024"/>
      <c r="E20" s="1024"/>
      <c r="F20" s="1057"/>
      <c r="G20" s="1057"/>
      <c r="H20" s="1057"/>
      <c r="I20" s="1057"/>
      <c r="J20" s="1057"/>
      <c r="K20" s="1057"/>
      <c r="L20" s="1057"/>
      <c r="M20" s="1057"/>
      <c r="N20" s="1057"/>
      <c r="P20" s="1024"/>
      <c r="Q20" s="1024"/>
      <c r="R20" s="1024"/>
      <c r="S20" s="1024"/>
      <c r="T20" s="1024"/>
      <c r="U20" s="1024">
        <v>-45875.39</v>
      </c>
      <c r="V20" s="1024"/>
      <c r="W20" s="1024"/>
      <c r="X20" s="1024"/>
      <c r="Y20" s="1024"/>
      <c r="Z20" s="1024"/>
      <c r="AA20" s="1024"/>
      <c r="AC20" s="1046"/>
      <c r="AD20" s="1046"/>
      <c r="AE20" s="1046"/>
      <c r="AF20" s="1046"/>
      <c r="AG20" s="1046"/>
      <c r="AH20" s="1046"/>
      <c r="AI20" s="1046"/>
      <c r="AJ20" s="1046"/>
      <c r="AK20" s="1046"/>
      <c r="AL20" s="1046"/>
      <c r="AM20" s="1046"/>
      <c r="AN20" s="1046"/>
      <c r="AO20" s="1043"/>
      <c r="AP20" s="1009"/>
      <c r="AQ20" s="1024">
        <f t="shared" si="0"/>
        <v>0</v>
      </c>
      <c r="AR20" s="1024">
        <f t="shared" si="5"/>
        <v>0</v>
      </c>
      <c r="AS20" s="1027">
        <f t="shared" si="6"/>
        <v>0</v>
      </c>
      <c r="AT20" s="1027">
        <f t="shared" si="3"/>
        <v>0</v>
      </c>
      <c r="AU20" s="1027">
        <f t="shared" si="3"/>
        <v>0</v>
      </c>
      <c r="AV20" s="1027">
        <f t="shared" si="3"/>
        <v>0</v>
      </c>
      <c r="AW20" s="1027">
        <f t="shared" si="3"/>
        <v>0</v>
      </c>
      <c r="AX20" s="1027">
        <f t="shared" si="3"/>
        <v>0</v>
      </c>
      <c r="AY20" s="1027">
        <f t="shared" si="3"/>
        <v>-45875.39</v>
      </c>
      <c r="AZ20" s="1027">
        <f t="shared" si="3"/>
        <v>0</v>
      </c>
      <c r="BA20" s="1027">
        <f t="shared" si="3"/>
        <v>0</v>
      </c>
      <c r="BB20" s="1027">
        <f t="shared" si="3"/>
        <v>0</v>
      </c>
      <c r="BC20" s="1027">
        <f t="shared" si="3"/>
        <v>0</v>
      </c>
      <c r="BD20" s="1027">
        <f t="shared" si="3"/>
        <v>0</v>
      </c>
      <c r="BE20" s="1027">
        <f t="shared" si="3"/>
        <v>0</v>
      </c>
      <c r="BF20" s="1009"/>
      <c r="BG20" s="1021" t="s">
        <v>871</v>
      </c>
      <c r="BH20" s="1058"/>
      <c r="BI20" s="1021"/>
      <c r="BJ20" s="1021"/>
      <c r="BK20" s="1058"/>
      <c r="BL20" s="1027"/>
      <c r="BT20" s="32"/>
      <c r="BU20" s="32"/>
    </row>
    <row r="21" spans="1:73" ht="19.95" customHeight="1" x14ac:dyDescent="0.3">
      <c r="A21" s="1009"/>
      <c r="B21" s="1009" t="s">
        <v>880</v>
      </c>
      <c r="C21" s="1024"/>
      <c r="D21" s="1024"/>
      <c r="E21" s="1024"/>
      <c r="F21" s="1024"/>
      <c r="G21" s="1024"/>
      <c r="H21" s="1024"/>
      <c r="I21" s="1024"/>
      <c r="J21" s="1024"/>
      <c r="K21" s="1024"/>
      <c r="L21" s="1024"/>
      <c r="M21" s="1024"/>
      <c r="N21" s="1024"/>
      <c r="P21" s="1024"/>
      <c r="Q21" s="1024"/>
      <c r="R21" s="1024"/>
      <c r="S21" s="1024"/>
      <c r="T21" s="1024"/>
      <c r="U21" s="1024"/>
      <c r="V21" s="1024"/>
      <c r="W21" s="1024"/>
      <c r="X21" s="1024"/>
      <c r="Y21" s="1024"/>
      <c r="Z21" s="1024"/>
      <c r="AA21" s="1024"/>
      <c r="AC21" s="1024"/>
      <c r="AD21" s="1024"/>
      <c r="AE21" s="1024"/>
      <c r="AF21" s="1024"/>
      <c r="AG21" s="1024"/>
      <c r="AH21" s="1024"/>
      <c r="AI21" s="1024"/>
      <c r="AJ21" s="1024"/>
      <c r="AK21" s="1024"/>
      <c r="AL21" s="1024"/>
      <c r="AM21" s="1024"/>
      <c r="AN21" s="1024"/>
      <c r="AO21" s="1043"/>
      <c r="AP21" s="1009"/>
      <c r="AQ21" s="1024">
        <f t="shared" si="0"/>
        <v>0</v>
      </c>
      <c r="AR21" s="1024">
        <f t="shared" si="5"/>
        <v>0</v>
      </c>
      <c r="AS21" s="1027">
        <f t="shared" si="6"/>
        <v>0</v>
      </c>
      <c r="AT21" s="1027">
        <f t="shared" si="3"/>
        <v>0</v>
      </c>
      <c r="AU21" s="1027">
        <f t="shared" si="3"/>
        <v>0</v>
      </c>
      <c r="AV21" s="1027">
        <f t="shared" si="3"/>
        <v>0</v>
      </c>
      <c r="AW21" s="1027">
        <f t="shared" si="3"/>
        <v>0</v>
      </c>
      <c r="AX21" s="1027">
        <f t="shared" si="3"/>
        <v>0</v>
      </c>
      <c r="AY21" s="1027">
        <f t="shared" si="3"/>
        <v>0</v>
      </c>
      <c r="AZ21" s="1027">
        <f t="shared" si="3"/>
        <v>0</v>
      </c>
      <c r="BA21" s="1027">
        <f t="shared" si="3"/>
        <v>0</v>
      </c>
      <c r="BB21" s="1027">
        <f t="shared" si="3"/>
        <v>0</v>
      </c>
      <c r="BC21" s="1027">
        <f t="shared" si="3"/>
        <v>0</v>
      </c>
      <c r="BD21" s="1027">
        <f t="shared" si="3"/>
        <v>0</v>
      </c>
      <c r="BE21" s="1027">
        <f t="shared" si="3"/>
        <v>0</v>
      </c>
      <c r="BF21" s="1009"/>
      <c r="BG21" s="1059" t="s">
        <v>881</v>
      </c>
      <c r="BH21" s="1059"/>
      <c r="BI21" s="1059"/>
      <c r="BJ21" s="1059"/>
      <c r="BK21" s="1060">
        <v>30609.944333852793</v>
      </c>
      <c r="BL21" s="1027"/>
      <c r="BT21" s="105"/>
      <c r="BU21" s="105"/>
    </row>
    <row r="22" spans="1:73" ht="19.95" customHeight="1" x14ac:dyDescent="0.3">
      <c r="A22" s="1009"/>
      <c r="B22" s="1009" t="s">
        <v>882</v>
      </c>
      <c r="C22" s="1024"/>
      <c r="D22" s="1024"/>
      <c r="E22" s="1024"/>
      <c r="F22" s="1024"/>
      <c r="G22" s="1024"/>
      <c r="H22" s="1024"/>
      <c r="I22" s="1024"/>
      <c r="J22" s="1024"/>
      <c r="K22" s="1024"/>
      <c r="L22" s="1024"/>
      <c r="M22" s="1024"/>
      <c r="N22" s="1024"/>
      <c r="P22" s="1024"/>
      <c r="Q22" s="1024"/>
      <c r="R22" s="1024"/>
      <c r="S22" s="1024"/>
      <c r="T22" s="1024"/>
      <c r="U22" s="1024"/>
      <c r="V22" s="1024"/>
      <c r="W22" s="1024"/>
      <c r="X22" s="1024"/>
      <c r="Y22" s="1024"/>
      <c r="Z22" s="1024"/>
      <c r="AA22" s="1024"/>
      <c r="AC22" s="1024"/>
      <c r="AD22" s="1024"/>
      <c r="AE22" s="1024"/>
      <c r="AF22" s="1024"/>
      <c r="AG22" s="1024"/>
      <c r="AH22" s="1024"/>
      <c r="AI22" s="1024"/>
      <c r="AJ22" s="1024"/>
      <c r="AK22" s="1024"/>
      <c r="AL22" s="1024"/>
      <c r="AM22" s="1024"/>
      <c r="AN22" s="1024"/>
      <c r="AO22" s="1043"/>
      <c r="AP22" s="1009"/>
      <c r="AQ22" s="1024">
        <f t="shared" si="0"/>
        <v>0</v>
      </c>
      <c r="AR22" s="1024">
        <f t="shared" si="5"/>
        <v>0</v>
      </c>
      <c r="AS22" s="1027">
        <f t="shared" si="6"/>
        <v>0</v>
      </c>
      <c r="AT22" s="1027">
        <f t="shared" si="3"/>
        <v>0</v>
      </c>
      <c r="AU22" s="1027">
        <f t="shared" si="3"/>
        <v>0</v>
      </c>
      <c r="AV22" s="1027">
        <f t="shared" si="3"/>
        <v>0</v>
      </c>
      <c r="AW22" s="1027">
        <f t="shared" si="3"/>
        <v>0</v>
      </c>
      <c r="AX22" s="1027">
        <f t="shared" si="3"/>
        <v>0</v>
      </c>
      <c r="AY22" s="1027">
        <f t="shared" si="3"/>
        <v>0</v>
      </c>
      <c r="AZ22" s="1027">
        <f t="shared" si="3"/>
        <v>0</v>
      </c>
      <c r="BA22" s="1027">
        <f t="shared" si="3"/>
        <v>0</v>
      </c>
      <c r="BB22" s="1027">
        <f t="shared" si="3"/>
        <v>0</v>
      </c>
      <c r="BC22" s="1027">
        <f t="shared" si="3"/>
        <v>0</v>
      </c>
      <c r="BD22" s="1027">
        <f t="shared" si="3"/>
        <v>0</v>
      </c>
      <c r="BE22" s="1027">
        <f t="shared" si="3"/>
        <v>0</v>
      </c>
      <c r="BF22" s="1009"/>
      <c r="BG22" s="1009"/>
      <c r="BH22" s="1009"/>
      <c r="BI22" s="1009"/>
      <c r="BJ22" s="1009"/>
      <c r="BK22" s="1043">
        <v>80793.702741158399</v>
      </c>
      <c r="BL22" s="8"/>
      <c r="BT22" s="105"/>
      <c r="BU22" s="105"/>
    </row>
    <row r="23" spans="1:73" ht="19.95" customHeight="1" x14ac:dyDescent="0.3">
      <c r="A23" s="1009"/>
      <c r="B23" s="1009" t="s">
        <v>883</v>
      </c>
      <c r="C23" s="1024"/>
      <c r="D23" s="1024"/>
      <c r="E23" s="1024"/>
      <c r="F23" s="1024"/>
      <c r="G23" s="1024"/>
      <c r="H23" s="1024"/>
      <c r="I23" s="1024"/>
      <c r="J23" s="1024"/>
      <c r="K23" s="1024"/>
      <c r="L23" s="1024"/>
      <c r="M23" s="1024"/>
      <c r="N23" s="1024"/>
      <c r="P23" s="1024"/>
      <c r="Q23" s="1024"/>
      <c r="R23" s="1024"/>
      <c r="S23" s="1024"/>
      <c r="T23" s="1024"/>
      <c r="U23" s="1024"/>
      <c r="V23" s="1024"/>
      <c r="W23" s="1024"/>
      <c r="X23" s="1024"/>
      <c r="Y23" s="1024"/>
      <c r="Z23" s="1024"/>
      <c r="AA23" s="1024"/>
      <c r="AC23" s="1024"/>
      <c r="AD23" s="1024"/>
      <c r="AE23" s="1024"/>
      <c r="AF23" s="1024"/>
      <c r="AG23" s="1024"/>
      <c r="AH23" s="1024"/>
      <c r="AI23" s="1024"/>
      <c r="AJ23" s="1024"/>
      <c r="AK23" s="1024"/>
      <c r="AL23" s="1024"/>
      <c r="AM23" s="1024"/>
      <c r="AN23" s="1024"/>
      <c r="AO23" s="1043"/>
      <c r="AP23" s="1009"/>
      <c r="AQ23" s="1024">
        <f t="shared" si="0"/>
        <v>0</v>
      </c>
      <c r="AR23" s="1024">
        <f t="shared" si="5"/>
        <v>0</v>
      </c>
      <c r="AS23" s="1027">
        <f t="shared" si="6"/>
        <v>0</v>
      </c>
      <c r="AT23" s="1027">
        <f t="shared" si="3"/>
        <v>0</v>
      </c>
      <c r="AU23" s="1027">
        <f t="shared" si="3"/>
        <v>0</v>
      </c>
      <c r="AV23" s="1027">
        <f t="shared" si="3"/>
        <v>0</v>
      </c>
      <c r="AW23" s="1027">
        <f t="shared" si="3"/>
        <v>0</v>
      </c>
      <c r="AX23" s="1027">
        <f t="shared" si="3"/>
        <v>0</v>
      </c>
      <c r="AY23" s="1027">
        <f t="shared" si="3"/>
        <v>0</v>
      </c>
      <c r="AZ23" s="1027">
        <f t="shared" si="3"/>
        <v>0</v>
      </c>
      <c r="BA23" s="1027">
        <f t="shared" si="3"/>
        <v>0</v>
      </c>
      <c r="BB23" s="1027">
        <f t="shared" si="3"/>
        <v>0</v>
      </c>
      <c r="BC23" s="1027">
        <f t="shared" si="3"/>
        <v>0</v>
      </c>
      <c r="BD23" s="1027">
        <f t="shared" si="3"/>
        <v>0</v>
      </c>
      <c r="BE23" s="1027">
        <f t="shared" si="3"/>
        <v>0</v>
      </c>
      <c r="BF23" s="1009"/>
      <c r="BG23" s="1061"/>
      <c r="BH23" s="1009"/>
      <c r="BI23" s="1009"/>
      <c r="BJ23" s="1009"/>
      <c r="BK23" s="1013">
        <f>SUM(BH5,BI5,BH6,BH7,BH11,BK11,BK6)</f>
        <v>50184</v>
      </c>
      <c r="BL23" s="1009"/>
      <c r="BM23" s="107">
        <f>BH5+BH7+BH6-BM25</f>
        <v>-7459</v>
      </c>
      <c r="BT23" s="105"/>
      <c r="BU23" s="105"/>
    </row>
    <row r="24" spans="1:73" ht="19.95" customHeight="1" x14ac:dyDescent="0.3">
      <c r="A24" s="1009"/>
      <c r="B24" s="1009" t="s">
        <v>884</v>
      </c>
      <c r="C24" s="1024"/>
      <c r="D24" s="1024"/>
      <c r="E24" s="1024"/>
      <c r="F24" s="1024"/>
      <c r="G24" s="1024"/>
      <c r="H24" s="1024"/>
      <c r="I24" s="1024"/>
      <c r="J24" s="1024"/>
      <c r="K24" s="1024"/>
      <c r="L24" s="1024"/>
      <c r="M24" s="1024"/>
      <c r="N24" s="1024"/>
      <c r="P24" s="1024"/>
      <c r="Q24" s="1024"/>
      <c r="R24" s="1024"/>
      <c r="S24" s="1024"/>
      <c r="T24" s="1024"/>
      <c r="U24" s="1024"/>
      <c r="V24" s="1024"/>
      <c r="W24" s="1024"/>
      <c r="X24" s="1024"/>
      <c r="Y24" s="1024"/>
      <c r="Z24" s="1024"/>
      <c r="AA24" s="1024"/>
      <c r="AC24" s="1024"/>
      <c r="AD24" s="1024"/>
      <c r="AE24" s="1024"/>
      <c r="AF24" s="1024"/>
      <c r="AG24" s="1024"/>
      <c r="AH24" s="1024"/>
      <c r="AI24" s="1024"/>
      <c r="AJ24" s="1024"/>
      <c r="AK24" s="1024"/>
      <c r="AL24" s="1024"/>
      <c r="AM24" s="1024"/>
      <c r="AN24" s="1024"/>
      <c r="AO24" s="1043"/>
      <c r="AP24" s="1009"/>
      <c r="AQ24" s="1024">
        <f t="shared" si="0"/>
        <v>0</v>
      </c>
      <c r="AR24" s="1024">
        <f t="shared" si="5"/>
        <v>0</v>
      </c>
      <c r="AS24" s="1027">
        <f t="shared" si="6"/>
        <v>0</v>
      </c>
      <c r="AT24" s="1027">
        <f t="shared" ref="AT24:BE33" si="7">P24-AC24</f>
        <v>0</v>
      </c>
      <c r="AU24" s="1027">
        <f t="shared" si="7"/>
        <v>0</v>
      </c>
      <c r="AV24" s="1027">
        <f t="shared" si="7"/>
        <v>0</v>
      </c>
      <c r="AW24" s="1027">
        <f t="shared" si="7"/>
        <v>0</v>
      </c>
      <c r="AX24" s="1027">
        <f t="shared" si="7"/>
        <v>0</v>
      </c>
      <c r="AY24" s="1027">
        <f t="shared" si="7"/>
        <v>0</v>
      </c>
      <c r="AZ24" s="1027">
        <f t="shared" si="7"/>
        <v>0</v>
      </c>
      <c r="BA24" s="1027">
        <f t="shared" si="7"/>
        <v>0</v>
      </c>
      <c r="BB24" s="1027">
        <f t="shared" si="7"/>
        <v>0</v>
      </c>
      <c r="BC24" s="1027">
        <f t="shared" si="7"/>
        <v>0</v>
      </c>
      <c r="BD24" s="1027">
        <f t="shared" si="7"/>
        <v>0</v>
      </c>
      <c r="BE24" s="1027">
        <f t="shared" si="7"/>
        <v>0</v>
      </c>
      <c r="BF24" s="1009"/>
      <c r="BG24" s="1009"/>
      <c r="BH24" s="1009"/>
      <c r="BI24" s="1009"/>
      <c r="BJ24" s="1047"/>
      <c r="BK24" s="1027">
        <f>BK22-BK23-BK21-BJ5</f>
        <v>-0.24159269439405762</v>
      </c>
      <c r="BL24" s="1009"/>
      <c r="BM24" s="107">
        <v>-0.20050734071173792</v>
      </c>
      <c r="BN24" s="35"/>
      <c r="BT24" s="105"/>
      <c r="BU24" s="105"/>
    </row>
    <row r="25" spans="1:73" ht="19.95" customHeight="1" x14ac:dyDescent="0.3">
      <c r="A25" s="1009"/>
      <c r="B25" s="1009" t="s">
        <v>885</v>
      </c>
      <c r="C25" s="1024"/>
      <c r="D25" s="1024"/>
      <c r="E25" s="1024"/>
      <c r="F25" s="1024"/>
      <c r="G25" s="1024"/>
      <c r="H25" s="1024"/>
      <c r="I25" s="1024"/>
      <c r="J25" s="1024"/>
      <c r="K25" s="1024"/>
      <c r="L25" s="1024"/>
      <c r="M25" s="1024"/>
      <c r="N25" s="1024"/>
      <c r="P25" s="1024"/>
      <c r="Q25" s="1024"/>
      <c r="R25" s="1024"/>
      <c r="S25" s="1024"/>
      <c r="T25" s="1024"/>
      <c r="U25" s="1024">
        <v>-926734.2</v>
      </c>
      <c r="V25" s="1024"/>
      <c r="W25" s="1024"/>
      <c r="X25" s="1024"/>
      <c r="Y25" s="1024"/>
      <c r="Z25" s="1024"/>
      <c r="AA25" s="1024"/>
      <c r="AC25" s="1024"/>
      <c r="AD25" s="1024"/>
      <c r="AE25" s="1024"/>
      <c r="AF25" s="1024"/>
      <c r="AG25" s="1024"/>
      <c r="AH25" s="1024"/>
      <c r="AI25" s="1024"/>
      <c r="AJ25" s="1024"/>
      <c r="AK25" s="1024"/>
      <c r="AL25" s="1024"/>
      <c r="AM25" s="1024"/>
      <c r="AN25" s="1024"/>
      <c r="AO25" s="1043"/>
      <c r="AP25" s="1009"/>
      <c r="AQ25" s="1024">
        <f t="shared" si="0"/>
        <v>0</v>
      </c>
      <c r="AR25" s="1024">
        <f t="shared" si="5"/>
        <v>0</v>
      </c>
      <c r="AS25" s="1027">
        <f t="shared" si="6"/>
        <v>0</v>
      </c>
      <c r="AT25" s="1027">
        <f t="shared" si="7"/>
        <v>0</v>
      </c>
      <c r="AU25" s="1027">
        <f t="shared" si="7"/>
        <v>0</v>
      </c>
      <c r="AV25" s="1027">
        <f t="shared" si="7"/>
        <v>0</v>
      </c>
      <c r="AW25" s="1027">
        <f t="shared" si="7"/>
        <v>0</v>
      </c>
      <c r="AX25" s="1027">
        <f t="shared" si="7"/>
        <v>0</v>
      </c>
      <c r="AY25" s="1027">
        <f t="shared" si="7"/>
        <v>-926734.2</v>
      </c>
      <c r="AZ25" s="1027">
        <f t="shared" si="7"/>
        <v>0</v>
      </c>
      <c r="BA25" s="1027">
        <f t="shared" si="7"/>
        <v>0</v>
      </c>
      <c r="BB25" s="1027">
        <f t="shared" si="7"/>
        <v>0</v>
      </c>
      <c r="BC25" s="1027">
        <f t="shared" si="7"/>
        <v>0</v>
      </c>
      <c r="BD25" s="1027">
        <f t="shared" si="7"/>
        <v>0</v>
      </c>
      <c r="BE25" s="1027">
        <f t="shared" si="7"/>
        <v>0</v>
      </c>
      <c r="BF25" s="1009"/>
      <c r="BG25" s="1009"/>
      <c r="BH25" s="1013"/>
      <c r="BI25" s="1009"/>
      <c r="BJ25" s="1047"/>
      <c r="BK25" s="1062"/>
      <c r="BL25" s="1009"/>
      <c r="BT25" s="1063"/>
      <c r="BU25" s="1063"/>
    </row>
    <row r="26" spans="1:73" ht="19.95" customHeight="1" x14ac:dyDescent="0.3">
      <c r="A26" s="1009"/>
      <c r="B26" s="1009" t="s">
        <v>886</v>
      </c>
      <c r="C26" s="1024"/>
      <c r="D26" s="1024"/>
      <c r="E26" s="1024"/>
      <c r="F26" s="1024"/>
      <c r="G26" s="1024"/>
      <c r="H26" s="1024"/>
      <c r="I26" s="1024"/>
      <c r="J26" s="1024"/>
      <c r="K26" s="1024"/>
      <c r="L26" s="1024"/>
      <c r="M26" s="1024"/>
      <c r="N26" s="1024"/>
      <c r="P26" s="1024"/>
      <c r="Q26" s="1024"/>
      <c r="R26" s="1024"/>
      <c r="S26" s="1024"/>
      <c r="T26" s="1024"/>
      <c r="U26" s="1024"/>
      <c r="V26" s="1024"/>
      <c r="W26" s="1024"/>
      <c r="X26" s="1024"/>
      <c r="Y26" s="1024"/>
      <c r="Z26" s="1024"/>
      <c r="AA26" s="1024"/>
      <c r="AC26" s="1024"/>
      <c r="AD26" s="1024"/>
      <c r="AE26" s="1024"/>
      <c r="AF26" s="1024"/>
      <c r="AG26" s="1024"/>
      <c r="AH26" s="1024"/>
      <c r="AI26" s="1024"/>
      <c r="AJ26" s="1024"/>
      <c r="AK26" s="1024"/>
      <c r="AL26" s="1024"/>
      <c r="AM26" s="1024"/>
      <c r="AN26" s="1024"/>
      <c r="AO26" s="1043"/>
      <c r="AP26" s="1009"/>
      <c r="AQ26" s="1024">
        <f t="shared" si="0"/>
        <v>0</v>
      </c>
      <c r="AR26" s="1024">
        <f t="shared" si="5"/>
        <v>0</v>
      </c>
      <c r="AS26" s="1027">
        <f t="shared" si="6"/>
        <v>0</v>
      </c>
      <c r="AT26" s="1027">
        <f t="shared" si="7"/>
        <v>0</v>
      </c>
      <c r="AU26" s="1027">
        <f t="shared" si="7"/>
        <v>0</v>
      </c>
      <c r="AV26" s="1027">
        <f t="shared" si="7"/>
        <v>0</v>
      </c>
      <c r="AW26" s="1027">
        <f t="shared" si="7"/>
        <v>0</v>
      </c>
      <c r="AX26" s="1027">
        <f t="shared" si="7"/>
        <v>0</v>
      </c>
      <c r="AY26" s="1027">
        <f t="shared" si="7"/>
        <v>0</v>
      </c>
      <c r="AZ26" s="1027">
        <f t="shared" si="7"/>
        <v>0</v>
      </c>
      <c r="BA26" s="1027">
        <f t="shared" si="7"/>
        <v>0</v>
      </c>
      <c r="BB26" s="1027">
        <f t="shared" si="7"/>
        <v>0</v>
      </c>
      <c r="BC26" s="1027">
        <f t="shared" si="7"/>
        <v>0</v>
      </c>
      <c r="BD26" s="1027">
        <f t="shared" si="7"/>
        <v>0</v>
      </c>
      <c r="BE26" s="1027">
        <f t="shared" si="7"/>
        <v>0</v>
      </c>
      <c r="BF26" s="1009"/>
      <c r="BG26" s="1009"/>
      <c r="BH26" s="1009"/>
      <c r="BI26" s="1009"/>
      <c r="BJ26" s="1009"/>
      <c r="BK26" s="1064"/>
      <c r="BL26" s="1009"/>
    </row>
    <row r="27" spans="1:73" ht="19.95" customHeight="1" x14ac:dyDescent="0.3">
      <c r="A27" s="1009"/>
      <c r="B27" s="1009" t="s">
        <v>887</v>
      </c>
      <c r="C27" s="1024"/>
      <c r="D27" s="1024"/>
      <c r="E27" s="1024"/>
      <c r="F27" s="1024"/>
      <c r="G27" s="1024"/>
      <c r="H27" s="1024"/>
      <c r="I27" s="1024"/>
      <c r="J27" s="1024"/>
      <c r="K27" s="1024"/>
      <c r="L27" s="1024"/>
      <c r="M27" s="1024"/>
      <c r="N27" s="1024"/>
      <c r="P27" s="1024"/>
      <c r="Q27" s="1024"/>
      <c r="R27" s="1024"/>
      <c r="S27" s="1024"/>
      <c r="T27" s="1024"/>
      <c r="U27" s="1024"/>
      <c r="V27" s="1024"/>
      <c r="W27" s="1024"/>
      <c r="X27" s="1024"/>
      <c r="Y27" s="1024"/>
      <c r="Z27" s="1024"/>
      <c r="AA27" s="1024"/>
      <c r="AC27" s="1024"/>
      <c r="AD27" s="1024"/>
      <c r="AE27" s="1024"/>
      <c r="AF27" s="1024"/>
      <c r="AG27" s="1024"/>
      <c r="AH27" s="1024"/>
      <c r="AI27" s="1024"/>
      <c r="AJ27" s="1024"/>
      <c r="AK27" s="1024"/>
      <c r="AL27" s="1024"/>
      <c r="AM27" s="1024"/>
      <c r="AN27" s="1024"/>
      <c r="AO27" s="1043"/>
      <c r="AP27" s="1009"/>
      <c r="AQ27" s="1024">
        <f t="shared" si="0"/>
        <v>0</v>
      </c>
      <c r="AR27" s="1024">
        <f t="shared" si="5"/>
        <v>0</v>
      </c>
      <c r="AS27" s="1027">
        <f t="shared" si="6"/>
        <v>0</v>
      </c>
      <c r="AT27" s="1027">
        <f t="shared" si="7"/>
        <v>0</v>
      </c>
      <c r="AU27" s="1027">
        <f t="shared" si="7"/>
        <v>0</v>
      </c>
      <c r="AV27" s="1027">
        <f t="shared" si="7"/>
        <v>0</v>
      </c>
      <c r="AW27" s="1027">
        <f t="shared" si="7"/>
        <v>0</v>
      </c>
      <c r="AX27" s="1027">
        <f t="shared" si="7"/>
        <v>0</v>
      </c>
      <c r="AY27" s="1027">
        <f t="shared" si="7"/>
        <v>0</v>
      </c>
      <c r="AZ27" s="1027">
        <f t="shared" si="7"/>
        <v>0</v>
      </c>
      <c r="BA27" s="1027">
        <f t="shared" si="7"/>
        <v>0</v>
      </c>
      <c r="BB27" s="1027">
        <f t="shared" si="7"/>
        <v>0</v>
      </c>
      <c r="BC27" s="1027">
        <f t="shared" si="7"/>
        <v>0</v>
      </c>
      <c r="BD27" s="1027">
        <f t="shared" si="7"/>
        <v>0</v>
      </c>
      <c r="BE27" s="1027">
        <f t="shared" si="7"/>
        <v>0</v>
      </c>
      <c r="BF27" s="1009"/>
      <c r="BG27" s="1009"/>
      <c r="BH27" s="1009"/>
      <c r="BI27" s="1009"/>
      <c r="BJ27" s="1009"/>
      <c r="BK27" s="1027"/>
      <c r="BL27" s="1009"/>
    </row>
    <row r="28" spans="1:73" ht="19.95" customHeight="1" x14ac:dyDescent="0.3">
      <c r="A28" s="1009"/>
      <c r="B28" s="1009" t="s">
        <v>888</v>
      </c>
      <c r="C28" s="1024"/>
      <c r="D28" s="1024"/>
      <c r="E28" s="1024"/>
      <c r="F28" s="1024"/>
      <c r="G28" s="1024"/>
      <c r="H28" s="1024"/>
      <c r="I28" s="1024"/>
      <c r="J28" s="1024"/>
      <c r="K28" s="1024"/>
      <c r="L28" s="1024"/>
      <c r="M28" s="1024"/>
      <c r="N28" s="1024"/>
      <c r="P28" s="1024"/>
      <c r="Q28" s="1024"/>
      <c r="R28" s="1024"/>
      <c r="S28" s="1024"/>
      <c r="T28" s="1024"/>
      <c r="U28" s="1024"/>
      <c r="V28" s="1024"/>
      <c r="W28" s="1024"/>
      <c r="X28" s="1024"/>
      <c r="Y28" s="1024"/>
      <c r="Z28" s="1024"/>
      <c r="AA28" s="1024"/>
      <c r="AC28" s="1024"/>
      <c r="AD28" s="1024"/>
      <c r="AE28" s="1024"/>
      <c r="AF28" s="1024"/>
      <c r="AG28" s="1024"/>
      <c r="AH28" s="1024"/>
      <c r="AI28" s="1024"/>
      <c r="AJ28" s="1024"/>
      <c r="AK28" s="1024"/>
      <c r="AL28" s="1024"/>
      <c r="AM28" s="1024"/>
      <c r="AN28" s="1024"/>
      <c r="AO28" s="1043"/>
      <c r="AP28" s="1009"/>
      <c r="AQ28" s="1024">
        <f t="shared" si="0"/>
        <v>0</v>
      </c>
      <c r="AR28" s="1024">
        <f t="shared" si="5"/>
        <v>0</v>
      </c>
      <c r="AS28" s="1027">
        <f t="shared" si="6"/>
        <v>0</v>
      </c>
      <c r="AT28" s="1027">
        <f>P28-AC28</f>
        <v>0</v>
      </c>
      <c r="AU28" s="1027">
        <f>Q28-AD28</f>
        <v>0</v>
      </c>
      <c r="AV28" s="1027">
        <f t="shared" si="7"/>
        <v>0</v>
      </c>
      <c r="AW28" s="1027">
        <f t="shared" si="7"/>
        <v>0</v>
      </c>
      <c r="AX28" s="1027">
        <f t="shared" si="7"/>
        <v>0</v>
      </c>
      <c r="AY28" s="1027">
        <f t="shared" si="7"/>
        <v>0</v>
      </c>
      <c r="AZ28" s="1027">
        <f t="shared" si="7"/>
        <v>0</v>
      </c>
      <c r="BA28" s="1027">
        <f t="shared" si="7"/>
        <v>0</v>
      </c>
      <c r="BB28" s="1027">
        <f t="shared" si="7"/>
        <v>0</v>
      </c>
      <c r="BC28" s="1027">
        <f t="shared" si="7"/>
        <v>0</v>
      </c>
      <c r="BD28" s="1027">
        <f t="shared" si="7"/>
        <v>0</v>
      </c>
      <c r="BE28" s="1027">
        <f t="shared" si="7"/>
        <v>0</v>
      </c>
      <c r="BF28" s="1009"/>
      <c r="BG28" s="1009"/>
      <c r="BH28" s="1009"/>
      <c r="BI28" s="1009"/>
      <c r="BJ28" s="1009"/>
      <c r="BK28" s="1027"/>
      <c r="BL28" s="1009"/>
    </row>
    <row r="29" spans="1:73" ht="19.95" customHeight="1" x14ac:dyDescent="0.3">
      <c r="A29" s="1009"/>
      <c r="B29" s="1009" t="s">
        <v>889</v>
      </c>
      <c r="C29" s="1024"/>
      <c r="D29" s="1024"/>
      <c r="E29" s="1024"/>
      <c r="F29" s="1024"/>
      <c r="G29" s="1024"/>
      <c r="H29" s="1024"/>
      <c r="I29" s="1024"/>
      <c r="J29" s="1024"/>
      <c r="K29" s="1024"/>
      <c r="L29" s="1024"/>
      <c r="M29" s="1024"/>
      <c r="N29" s="1024"/>
      <c r="P29" s="1024"/>
      <c r="Q29" s="1024"/>
      <c r="R29" s="1024"/>
      <c r="S29" s="1024"/>
      <c r="T29" s="1024"/>
      <c r="U29" s="1024"/>
      <c r="V29" s="1024"/>
      <c r="W29" s="1024"/>
      <c r="X29" s="1024"/>
      <c r="Y29" s="1024"/>
      <c r="Z29" s="1024"/>
      <c r="AA29" s="1024"/>
      <c r="AC29" s="1024"/>
      <c r="AD29" s="1024"/>
      <c r="AE29" s="1024"/>
      <c r="AF29" s="1024"/>
      <c r="AG29" s="1024"/>
      <c r="AH29" s="1024"/>
      <c r="AI29" s="1024"/>
      <c r="AJ29" s="1024"/>
      <c r="AK29" s="1024"/>
      <c r="AL29" s="1024"/>
      <c r="AM29" s="1024"/>
      <c r="AN29" s="1024"/>
      <c r="AO29" s="1043"/>
      <c r="AP29" s="1009"/>
      <c r="AQ29" s="1024">
        <f t="shared" si="0"/>
        <v>0</v>
      </c>
      <c r="AR29" s="1024">
        <f t="shared" si="5"/>
        <v>0</v>
      </c>
      <c r="AS29" s="1027">
        <f t="shared" si="6"/>
        <v>0</v>
      </c>
      <c r="AT29" s="1027">
        <f t="shared" ref="AT29:AU33" si="8">P29-AC29</f>
        <v>0</v>
      </c>
      <c r="AU29" s="1027">
        <f t="shared" si="8"/>
        <v>0</v>
      </c>
      <c r="AV29" s="1027">
        <f t="shared" si="7"/>
        <v>0</v>
      </c>
      <c r="AW29" s="1027">
        <f t="shared" si="7"/>
        <v>0</v>
      </c>
      <c r="AX29" s="1027">
        <f t="shared" si="7"/>
        <v>0</v>
      </c>
      <c r="AY29" s="1027">
        <f t="shared" si="7"/>
        <v>0</v>
      </c>
      <c r="AZ29" s="1027">
        <f t="shared" si="7"/>
        <v>0</v>
      </c>
      <c r="BA29" s="1027">
        <f t="shared" si="7"/>
        <v>0</v>
      </c>
      <c r="BB29" s="1027">
        <f t="shared" si="7"/>
        <v>0</v>
      </c>
      <c r="BC29" s="1027">
        <f t="shared" si="7"/>
        <v>0</v>
      </c>
      <c r="BD29" s="1027">
        <f t="shared" si="7"/>
        <v>0</v>
      </c>
      <c r="BE29" s="1027">
        <f t="shared" si="7"/>
        <v>0</v>
      </c>
      <c r="BF29" s="1009"/>
      <c r="BG29" s="1009"/>
      <c r="BH29" s="1009"/>
      <c r="BI29" s="1009"/>
      <c r="BJ29" s="1009"/>
      <c r="BK29" s="1027"/>
      <c r="BL29" s="1009"/>
    </row>
    <row r="30" spans="1:73" ht="19.95" customHeight="1" x14ac:dyDescent="0.3">
      <c r="A30" s="1009"/>
      <c r="B30" s="1009" t="s">
        <v>890</v>
      </c>
      <c r="C30" s="1024"/>
      <c r="D30" s="1024"/>
      <c r="E30" s="1024"/>
      <c r="F30" s="1024"/>
      <c r="G30" s="1024"/>
      <c r="H30" s="1024"/>
      <c r="I30" s="1024"/>
      <c r="J30" s="1024"/>
      <c r="K30" s="1024"/>
      <c r="L30" s="1024"/>
      <c r="M30" s="1024"/>
      <c r="N30" s="1024"/>
      <c r="P30" s="1024"/>
      <c r="Q30" s="1024"/>
      <c r="R30" s="1024"/>
      <c r="S30" s="1024"/>
      <c r="T30" s="1024"/>
      <c r="U30" s="1024"/>
      <c r="V30" s="1024"/>
      <c r="W30" s="1024"/>
      <c r="X30" s="1024"/>
      <c r="Y30" s="1024"/>
      <c r="Z30" s="1024"/>
      <c r="AA30" s="1024"/>
      <c r="AC30" s="1024"/>
      <c r="AD30" s="1024"/>
      <c r="AE30" s="1024"/>
      <c r="AF30" s="1024"/>
      <c r="AG30" s="1024"/>
      <c r="AH30" s="1024"/>
      <c r="AI30" s="1024"/>
      <c r="AJ30" s="1024"/>
      <c r="AK30" s="1024"/>
      <c r="AL30" s="1024"/>
      <c r="AM30" s="1024"/>
      <c r="AN30" s="1024"/>
      <c r="AO30" s="1043"/>
      <c r="AP30" s="1009"/>
      <c r="AQ30" s="1024">
        <f t="shared" si="0"/>
        <v>0</v>
      </c>
      <c r="AR30" s="1024">
        <f t="shared" si="5"/>
        <v>0</v>
      </c>
      <c r="AS30" s="1027">
        <f t="shared" si="6"/>
        <v>0</v>
      </c>
      <c r="AT30" s="1027">
        <f t="shared" si="8"/>
        <v>0</v>
      </c>
      <c r="AU30" s="1027">
        <f t="shared" si="8"/>
        <v>0</v>
      </c>
      <c r="AV30" s="1027">
        <f t="shared" si="7"/>
        <v>0</v>
      </c>
      <c r="AW30" s="1027">
        <f t="shared" si="7"/>
        <v>0</v>
      </c>
      <c r="AX30" s="1027">
        <f t="shared" si="7"/>
        <v>0</v>
      </c>
      <c r="AY30" s="1027">
        <f t="shared" si="7"/>
        <v>0</v>
      </c>
      <c r="AZ30" s="1027">
        <f t="shared" si="7"/>
        <v>0</v>
      </c>
      <c r="BA30" s="1027">
        <f t="shared" si="7"/>
        <v>0</v>
      </c>
      <c r="BB30" s="1027">
        <f t="shared" si="7"/>
        <v>0</v>
      </c>
      <c r="BC30" s="1027">
        <f t="shared" si="7"/>
        <v>0</v>
      </c>
      <c r="BD30" s="1027">
        <f t="shared" si="7"/>
        <v>0</v>
      </c>
      <c r="BE30" s="1027">
        <f t="shared" si="7"/>
        <v>0</v>
      </c>
      <c r="BF30" s="1009"/>
      <c r="BG30" s="1009"/>
      <c r="BH30" s="1009"/>
      <c r="BI30" s="1009"/>
      <c r="BJ30" s="1009"/>
      <c r="BK30" s="1062"/>
      <c r="BL30" s="1009"/>
    </row>
    <row r="31" spans="1:73" ht="19.95" customHeight="1" x14ac:dyDescent="0.3">
      <c r="A31" s="1009"/>
      <c r="B31" s="947" t="s">
        <v>422</v>
      </c>
      <c r="C31" s="1024">
        <v>-243778.32174867109</v>
      </c>
      <c r="D31" s="1024">
        <v>-268000.81617480703</v>
      </c>
      <c r="E31" s="1024">
        <v>-275646.19417709851</v>
      </c>
      <c r="F31" s="1024">
        <v>-269559.59085300367</v>
      </c>
      <c r="G31" s="1024">
        <v>-863629.83854317782</v>
      </c>
      <c r="H31" s="1024">
        <v>-2808556.8711901437</v>
      </c>
      <c r="I31" s="1024">
        <v>-2833824.2563365097</v>
      </c>
      <c r="J31" s="1024">
        <v>-2869150.6762794526</v>
      </c>
      <c r="K31" s="1024">
        <v>-3420803.2440888835</v>
      </c>
      <c r="L31" s="1024">
        <v>-3233449.1661493662</v>
      </c>
      <c r="M31" s="1024">
        <v>-3168845.6705174004</v>
      </c>
      <c r="N31" s="1024">
        <v>-3226218.1488500703</v>
      </c>
      <c r="P31" s="1024"/>
      <c r="Q31" s="1024"/>
      <c r="R31" s="1024"/>
      <c r="S31" s="1024"/>
      <c r="T31" s="1024"/>
      <c r="U31" s="1024"/>
      <c r="V31" s="1024"/>
      <c r="W31" s="1024"/>
      <c r="X31" s="1024"/>
      <c r="Y31" s="1024"/>
      <c r="Z31" s="1024"/>
      <c r="AA31" s="1024"/>
      <c r="AB31" t="s">
        <v>422</v>
      </c>
      <c r="AC31" s="1065"/>
      <c r="AD31" s="1065">
        <f>'Budget assumption'!B118*57000</f>
        <v>-264730.63703700004</v>
      </c>
      <c r="AE31" s="1065">
        <f>'Budget assumption'!C118*57000</f>
        <v>-285608.45140200004</v>
      </c>
      <c r="AF31" s="1065">
        <f>'Budget assumption'!D118*57000</f>
        <v>-288278.832375</v>
      </c>
      <c r="AG31" s="1065">
        <f>'Budget assumption'!E118*57000</f>
        <v>-277747.07883300004</v>
      </c>
      <c r="AH31" s="1065">
        <f>'Budget assumption'!F118*57000</f>
        <v>-876710.70207000012</v>
      </c>
      <c r="AI31" s="1065">
        <f>'Budget assumption'!G118*57000</f>
        <v>-2808961.90551</v>
      </c>
      <c r="AJ31" s="1065">
        <f>'Budget assumption'!H118*57000</f>
        <v>-2811739.0224600001</v>
      </c>
      <c r="AK31" s="1065">
        <f>'Budget assumption'!I118*57000</f>
        <v>-2824196.5559999999</v>
      </c>
      <c r="AL31" s="1065">
        <f>'Budget assumption'!J118*57000</f>
        <v>-3340481.9242799999</v>
      </c>
      <c r="AM31" s="1065">
        <f>'Budget assumption'!K118*57000</f>
        <v>-3103220.6064600004</v>
      </c>
      <c r="AN31" s="1065">
        <f>'Budget assumption'!L118*57000</f>
        <v>-2988913.0658100001</v>
      </c>
      <c r="AO31" t="s">
        <v>422</v>
      </c>
      <c r="AP31" s="1009"/>
      <c r="AQ31" s="1024">
        <f>P31-C31</f>
        <v>243778.32174867109</v>
      </c>
      <c r="AR31" s="1024">
        <f t="shared" si="5"/>
        <v>4276.8126622573873</v>
      </c>
      <c r="AS31" s="1027">
        <f>P31-AP31</f>
        <v>0</v>
      </c>
      <c r="AT31" s="1027">
        <f t="shared" si="8"/>
        <v>0</v>
      </c>
      <c r="AU31" s="1027">
        <f t="shared" si="8"/>
        <v>264730.63703700004</v>
      </c>
      <c r="AV31" s="1027">
        <f>R31-AE31</f>
        <v>285608.45140200004</v>
      </c>
      <c r="AW31" s="1027">
        <f t="shared" si="7"/>
        <v>288278.832375</v>
      </c>
      <c r="AX31" s="1027">
        <f t="shared" si="7"/>
        <v>277747.07883300004</v>
      </c>
      <c r="AY31" s="1027">
        <f t="shared" si="7"/>
        <v>876710.70207000012</v>
      </c>
      <c r="AZ31" s="1027">
        <f t="shared" si="7"/>
        <v>2808961.90551</v>
      </c>
      <c r="BA31" s="1027">
        <f t="shared" si="7"/>
        <v>2811739.0224600001</v>
      </c>
      <c r="BB31" s="1027">
        <f t="shared" si="7"/>
        <v>2824196.5559999999</v>
      </c>
      <c r="BC31" s="1027">
        <f t="shared" si="7"/>
        <v>3340481.9242799999</v>
      </c>
      <c r="BD31" s="1027">
        <f t="shared" si="7"/>
        <v>3103220.6064600004</v>
      </c>
      <c r="BE31" s="1027">
        <f t="shared" si="7"/>
        <v>2988913.0658100001</v>
      </c>
      <c r="BF31" s="1009"/>
      <c r="BG31" s="1009"/>
      <c r="BH31" s="1009"/>
      <c r="BI31" s="1009"/>
      <c r="BJ31" s="1013"/>
      <c r="BK31" s="1047"/>
      <c r="BL31" s="1009"/>
    </row>
    <row r="32" spans="1:73" ht="19.95" customHeight="1" x14ac:dyDescent="0.3">
      <c r="A32" s="1009"/>
      <c r="B32" s="947" t="s">
        <v>891</v>
      </c>
      <c r="C32" s="1024"/>
      <c r="D32" s="1024"/>
      <c r="E32" s="1024"/>
      <c r="F32" s="1024"/>
      <c r="G32" s="1024"/>
      <c r="H32" s="1024"/>
      <c r="I32" s="1024"/>
      <c r="J32" s="1024"/>
      <c r="K32" s="1024"/>
      <c r="L32" s="1024"/>
      <c r="M32" s="1024"/>
      <c r="N32" s="1024"/>
      <c r="P32" s="1024"/>
      <c r="Q32" s="1024"/>
      <c r="R32" s="1024"/>
      <c r="S32" s="1024"/>
      <c r="T32" s="1024"/>
      <c r="U32" s="1024"/>
      <c r="V32" s="1024"/>
      <c r="W32" s="1024"/>
      <c r="X32" s="1024"/>
      <c r="Y32" s="1024"/>
      <c r="Z32" s="1024"/>
      <c r="AA32" s="1024"/>
      <c r="AB32" t="s">
        <v>891</v>
      </c>
      <c r="AC32" s="1065"/>
      <c r="AD32" s="1065">
        <f>'Budget assumption'!B149*'DL '!C$6*1000</f>
        <v>-1926780.1943118053</v>
      </c>
      <c r="AE32" s="1065">
        <f>'Budget assumption'!C149*'DL '!D$6*1000</f>
        <v>-1962727.5905557761</v>
      </c>
      <c r="AF32" s="1065">
        <f>'Budget assumption'!D149*'DL '!E$6*1000</f>
        <v>-2000059.0615157154</v>
      </c>
      <c r="AG32" s="1065">
        <f>'Budget assumption'!E149*'DL '!F$6*1000</f>
        <v>-1933601.2146295635</v>
      </c>
      <c r="AH32" s="1065">
        <f>'Budget assumption'!F149*'DL '!G$6*1000</f>
        <v>-1502608.1437263112</v>
      </c>
      <c r="AI32" s="1065">
        <f>'Budget assumption'!G149*'DL '!H$6*1000</f>
        <v>-2208246.4150596852</v>
      </c>
      <c r="AJ32" s="1065">
        <f>'Budget assumption'!H149*'DL '!I$6*1000</f>
        <v>-1757202.4769529609</v>
      </c>
      <c r="AK32" s="1065">
        <f>'Budget assumption'!I149*'DL '!J$6*1000</f>
        <v>-1649143.4466572353</v>
      </c>
      <c r="AL32" s="1065">
        <f>'Budget assumption'!J149*'DL '!K$6*1000</f>
        <v>-2281498.5921122055</v>
      </c>
      <c r="AM32" s="1065">
        <f>'Budget assumption'!K149*'DL '!L$6*1000</f>
        <v>-2097456.4884749497</v>
      </c>
      <c r="AN32" s="1065">
        <f>'Budget assumption'!L149*'DL '!M$6*1000</f>
        <v>-2259887.0996706723</v>
      </c>
      <c r="AO32" t="s">
        <v>891</v>
      </c>
      <c r="AP32" s="1009"/>
      <c r="AQ32" s="1024">
        <f t="shared" ref="AQ32:AQ33" si="9">P32-C32</f>
        <v>0</v>
      </c>
      <c r="AR32" s="1024">
        <f t="shared" si="5"/>
        <v>0</v>
      </c>
      <c r="AS32" s="1027">
        <f t="shared" si="6"/>
        <v>0</v>
      </c>
      <c r="AT32" s="1027">
        <f t="shared" si="8"/>
        <v>0</v>
      </c>
      <c r="AU32" s="1027">
        <f t="shared" si="8"/>
        <v>1926780.1943118053</v>
      </c>
      <c r="AV32" s="1027">
        <f t="shared" si="7"/>
        <v>1962727.5905557761</v>
      </c>
      <c r="AW32" s="1027">
        <f t="shared" si="7"/>
        <v>2000059.0615157154</v>
      </c>
      <c r="AX32" s="1027">
        <f t="shared" si="7"/>
        <v>1933601.2146295635</v>
      </c>
      <c r="AY32" s="1027">
        <f t="shared" si="7"/>
        <v>1502608.1437263112</v>
      </c>
      <c r="AZ32" s="1027">
        <f t="shared" si="7"/>
        <v>2208246.4150596852</v>
      </c>
      <c r="BA32" s="1027">
        <f t="shared" si="7"/>
        <v>1757202.4769529609</v>
      </c>
      <c r="BB32" s="1027">
        <f t="shared" si="7"/>
        <v>1649143.4466572353</v>
      </c>
      <c r="BC32" s="1027">
        <f t="shared" si="7"/>
        <v>2281498.5921122055</v>
      </c>
      <c r="BD32" s="1027">
        <f t="shared" si="7"/>
        <v>2097456.4884749497</v>
      </c>
      <c r="BE32" s="1027">
        <f t="shared" si="7"/>
        <v>2259887.0996706723</v>
      </c>
      <c r="BF32" s="1009"/>
      <c r="BG32" s="1009"/>
      <c r="BH32" s="1009"/>
      <c r="BI32" s="1009"/>
      <c r="BJ32" s="1009"/>
      <c r="BK32" s="1047"/>
      <c r="BL32" s="1009"/>
    </row>
    <row r="33" spans="1:93" ht="19.95" customHeight="1" x14ac:dyDescent="0.3">
      <c r="A33" s="1009"/>
      <c r="B33" s="947" t="s">
        <v>1010</v>
      </c>
      <c r="C33" s="1024">
        <v>-848567.15499999991</v>
      </c>
      <c r="D33" s="1024">
        <v>-864689.9309449998</v>
      </c>
      <c r="E33" s="1024">
        <v>-881119.03963295475</v>
      </c>
      <c r="F33" s="1024">
        <v>-894335.82522744895</v>
      </c>
      <c r="G33" s="1024">
        <v>-907750.86260586057</v>
      </c>
      <c r="H33" s="1024">
        <v>-921367.1255449485</v>
      </c>
      <c r="I33" s="1024">
        <v>-928738.06254930806</v>
      </c>
      <c r="J33" s="1024">
        <v>-936167.96704970254</v>
      </c>
      <c r="K33" s="1024">
        <v>-943657.3107861001</v>
      </c>
      <c r="L33" s="1024">
        <v>-960171.31372485706</v>
      </c>
      <c r="M33" s="1024">
        <v>-976974.3117150421</v>
      </c>
      <c r="N33" s="1024">
        <v>-994071.36217005539</v>
      </c>
      <c r="P33" s="1024"/>
      <c r="Q33" s="1024"/>
      <c r="R33" s="1024"/>
      <c r="S33" s="1024"/>
      <c r="T33" s="1024"/>
      <c r="U33" s="1024"/>
      <c r="V33" s="1024"/>
      <c r="W33" s="1024"/>
      <c r="X33" s="1024"/>
      <c r="Y33" s="1024"/>
      <c r="Z33" s="1024"/>
      <c r="AA33" s="1024"/>
      <c r="AB33" t="s">
        <v>892</v>
      </c>
      <c r="AC33" s="1065"/>
      <c r="AD33" s="1065"/>
      <c r="AE33" s="1065"/>
      <c r="AF33" s="1065"/>
      <c r="AG33" s="1065"/>
      <c r="AH33" s="1065"/>
      <c r="AI33" s="1065"/>
      <c r="AJ33" s="1065"/>
      <c r="AK33" s="1065"/>
      <c r="AL33" s="1065"/>
      <c r="AM33" s="1065"/>
      <c r="AN33" s="1065"/>
      <c r="AO33" t="s">
        <v>892</v>
      </c>
      <c r="AP33" s="1009"/>
      <c r="AQ33" s="1024">
        <f t="shared" si="9"/>
        <v>848567.15499999991</v>
      </c>
      <c r="AR33" s="1024">
        <f t="shared" si="5"/>
        <v>14887.143070175436</v>
      </c>
      <c r="AS33" s="1027">
        <f t="shared" si="6"/>
        <v>0</v>
      </c>
      <c r="AT33" s="1027">
        <f t="shared" si="8"/>
        <v>0</v>
      </c>
      <c r="AU33" s="1027">
        <f t="shared" si="8"/>
        <v>0</v>
      </c>
      <c r="AV33" s="1027">
        <f t="shared" si="7"/>
        <v>0</v>
      </c>
      <c r="AW33" s="1027">
        <f t="shared" si="7"/>
        <v>0</v>
      </c>
      <c r="AX33" s="1027">
        <f t="shared" si="7"/>
        <v>0</v>
      </c>
      <c r="AY33" s="1027">
        <f t="shared" si="7"/>
        <v>0</v>
      </c>
      <c r="AZ33" s="1027">
        <f t="shared" si="7"/>
        <v>0</v>
      </c>
      <c r="BA33" s="1027">
        <f t="shared" si="7"/>
        <v>0</v>
      </c>
      <c r="BB33" s="1027">
        <f t="shared" si="7"/>
        <v>0</v>
      </c>
      <c r="BC33" s="1027">
        <f t="shared" si="7"/>
        <v>0</v>
      </c>
      <c r="BD33" s="1027">
        <f t="shared" si="7"/>
        <v>0</v>
      </c>
      <c r="BE33" s="1027">
        <f t="shared" si="7"/>
        <v>0</v>
      </c>
      <c r="BF33" s="1009"/>
      <c r="BL33" s="1009"/>
    </row>
    <row r="34" spans="1:93" x14ac:dyDescent="0.3">
      <c r="A34" s="1009"/>
      <c r="B34" s="1066"/>
      <c r="C34" s="1067">
        <f>SUM(C12:C33)</f>
        <v>25446851.818559583</v>
      </c>
      <c r="D34" s="1067">
        <f t="shared" ref="D34:N34" si="10">SUM(D12:D33)</f>
        <v>28043515.261467241</v>
      </c>
      <c r="E34" s="1067">
        <f t="shared" si="10"/>
        <v>28851763.328089215</v>
      </c>
      <c r="F34" s="1067">
        <f t="shared" si="10"/>
        <v>28182008.326196965</v>
      </c>
      <c r="G34" s="1067">
        <f t="shared" si="10"/>
        <v>32494870.03041891</v>
      </c>
      <c r="H34" s="1067">
        <f t="shared" si="10"/>
        <v>28650367.226012312</v>
      </c>
      <c r="I34" s="1067">
        <f t="shared" si="10"/>
        <v>25900962.58761413</v>
      </c>
      <c r="J34" s="1067">
        <f t="shared" si="10"/>
        <v>26643225.929105099</v>
      </c>
      <c r="K34" s="1067">
        <f t="shared" si="10"/>
        <v>32083069.001460835</v>
      </c>
      <c r="L34" s="1067">
        <f t="shared" si="10"/>
        <v>30121001.569138728</v>
      </c>
      <c r="M34" s="1067">
        <f t="shared" si="10"/>
        <v>29483204.606686223</v>
      </c>
      <c r="N34" s="1067">
        <f t="shared" si="10"/>
        <v>30274841.658738859</v>
      </c>
      <c r="P34" s="1067">
        <f t="shared" ref="P34:T34" si="11">SUM(P12:P32)</f>
        <v>0</v>
      </c>
      <c r="Q34" s="1067">
        <f t="shared" si="11"/>
        <v>0</v>
      </c>
      <c r="R34" s="1067">
        <f t="shared" si="11"/>
        <v>0</v>
      </c>
      <c r="S34" s="1068">
        <f t="shared" si="11"/>
        <v>0</v>
      </c>
      <c r="T34" s="1068">
        <f t="shared" si="11"/>
        <v>0</v>
      </c>
      <c r="U34" s="1067">
        <f>SUM(U12:U33)</f>
        <v>20819552.050000004</v>
      </c>
      <c r="V34" s="1067">
        <f t="shared" ref="V34:AA34" si="12">SUM(V12:V33)</f>
        <v>19951662.690562524</v>
      </c>
      <c r="W34" s="1067">
        <f t="shared" si="12"/>
        <v>20288815.695562519</v>
      </c>
      <c r="X34" s="1067">
        <f t="shared" si="12"/>
        <v>24167301.77131366</v>
      </c>
      <c r="Y34" s="1067">
        <f t="shared" si="12"/>
        <v>32158927.110021058</v>
      </c>
      <c r="Z34" s="1067">
        <f t="shared" si="12"/>
        <v>27587421.412388124</v>
      </c>
      <c r="AA34" s="1067">
        <f t="shared" si="12"/>
        <v>28294073.096034665</v>
      </c>
      <c r="AC34" s="1067">
        <f t="shared" ref="AC34:AN34" si="13">SUM(AC12:AC28)</f>
        <v>30577410.590000007</v>
      </c>
      <c r="AD34" s="1067">
        <f t="shared" si="13"/>
        <v>27476096.239999998</v>
      </c>
      <c r="AE34" s="1067">
        <f t="shared" si="13"/>
        <v>15739018.039999999</v>
      </c>
      <c r="AF34" s="1067">
        <f t="shared" si="13"/>
        <v>26521379.570000049</v>
      </c>
      <c r="AG34" s="1067">
        <f t="shared" si="13"/>
        <v>21606567.900000036</v>
      </c>
      <c r="AH34" s="1067">
        <f t="shared" si="13"/>
        <v>34109036.009999983</v>
      </c>
      <c r="AI34" s="1067">
        <f t="shared" si="13"/>
        <v>27115413.986993246</v>
      </c>
      <c r="AJ34" s="1067">
        <f t="shared" si="13"/>
        <v>25476934.386589553</v>
      </c>
      <c r="AK34" s="1067">
        <f t="shared" si="13"/>
        <v>35338187.500496857</v>
      </c>
      <c r="AL34" s="1067">
        <f t="shared" si="13"/>
        <v>32336109.029132899</v>
      </c>
      <c r="AM34" s="1067">
        <f t="shared" si="13"/>
        <v>34066178.87673226</v>
      </c>
      <c r="AN34" s="1067">
        <f t="shared" si="13"/>
        <v>27673522.928399071</v>
      </c>
      <c r="AO34" s="1020"/>
      <c r="AP34" s="1067"/>
      <c r="AQ34" s="1067">
        <f>SUM(AQ12:AQ32)</f>
        <v>-28932427.686838381</v>
      </c>
      <c r="AR34" s="1067">
        <f t="shared" ref="AR34:BE34" si="14">SUM(AR12:AR33)</f>
        <v>-492699.30757611187</v>
      </c>
      <c r="AS34" s="1067">
        <f t="shared" si="14"/>
        <v>0</v>
      </c>
      <c r="AT34" s="1067">
        <f t="shared" si="14"/>
        <v>-30577410.590000007</v>
      </c>
      <c r="AU34" s="1067">
        <f>SUM(AU12:AU33)</f>
        <v>-25284585.408651192</v>
      </c>
      <c r="AV34" s="1067">
        <f>SUM(AV12:AV33)</f>
        <v>-13490681.998042224</v>
      </c>
      <c r="AW34" s="1067">
        <f t="shared" si="14"/>
        <v>-24233041.676109333</v>
      </c>
      <c r="AX34" s="1067">
        <f t="shared" si="14"/>
        <v>-19395219.606537472</v>
      </c>
      <c r="AY34" s="1067">
        <f t="shared" si="14"/>
        <v>-10910165.114203671</v>
      </c>
      <c r="AZ34" s="1067">
        <f t="shared" si="14"/>
        <v>-2146542.9758610358</v>
      </c>
      <c r="BA34" s="1067">
        <f t="shared" si="14"/>
        <v>-619177.19161407207</v>
      </c>
      <c r="BB34" s="1067">
        <f t="shared" si="14"/>
        <v>-6697545.7265259624</v>
      </c>
      <c r="BC34" s="1067">
        <f t="shared" si="14"/>
        <v>5444798.5972803636</v>
      </c>
      <c r="BD34" s="1067">
        <f t="shared" si="14"/>
        <v>-1278080.3694091863</v>
      </c>
      <c r="BE34" s="1067">
        <f t="shared" si="14"/>
        <v>5869350.3331162669</v>
      </c>
      <c r="BF34" s="1027"/>
    </row>
    <row r="35" spans="1:93" x14ac:dyDescent="0.3">
      <c r="A35" s="1009"/>
      <c r="B35" s="1070" t="e">
        <f>C34/C3*P3</f>
        <v>#DIV/0!</v>
      </c>
      <c r="C35" s="1043">
        <f>C34/C$6</f>
        <v>484806.3805471157</v>
      </c>
      <c r="D35" s="1043">
        <f t="shared" ref="D35:N35" si="15">D34/D$6</f>
        <v>524315.30328824639</v>
      </c>
      <c r="E35" s="1043">
        <f t="shared" si="15"/>
        <v>529368.69990356581</v>
      </c>
      <c r="F35" s="1043">
        <f t="shared" si="15"/>
        <v>509438.53724184615</v>
      </c>
      <c r="G35" s="1043">
        <f t="shared" si="15"/>
        <v>578720.16849466274</v>
      </c>
      <c r="H35" s="1043">
        <f t="shared" si="15"/>
        <v>502710.5091757871</v>
      </c>
      <c r="I35" s="1043">
        <f t="shared" si="15"/>
        <v>450861.49193710973</v>
      </c>
      <c r="J35" s="1043">
        <f t="shared" si="15"/>
        <v>460101.35753519565</v>
      </c>
      <c r="K35" s="1043">
        <f t="shared" si="15"/>
        <v>549644.74524995487</v>
      </c>
      <c r="L35" s="1043">
        <f t="shared" si="15"/>
        <v>507155.53055352968</v>
      </c>
      <c r="M35" s="1043">
        <f t="shared" si="15"/>
        <v>487878.88834527746</v>
      </c>
      <c r="N35" s="1043">
        <f t="shared" si="15"/>
        <v>492362.31130780332</v>
      </c>
      <c r="P35" t="s">
        <v>893</v>
      </c>
      <c r="Q35" s="105"/>
      <c r="R35" s="105"/>
      <c r="S35" s="105"/>
      <c r="T35" s="105"/>
      <c r="U35" s="105">
        <f>U34/SAP_ACT_EUR!H$3</f>
        <v>382677.18132524594</v>
      </c>
      <c r="V35" s="105">
        <f>V34/SAP_ACT_EUR!I$3</f>
        <v>360485.35335875436</v>
      </c>
      <c r="W35" s="105">
        <f>W34/SAP_ACT_EUR!J$3</f>
        <v>360444.42061224976</v>
      </c>
      <c r="X35" s="105">
        <f>X34/SAP_ACT_EUR!K$3</f>
        <v>422283.79820572532</v>
      </c>
      <c r="Y35" s="105">
        <f>Y34/SAP_ACT_EUR!L$3</f>
        <v>552701.33384929213</v>
      </c>
      <c r="Z35" s="105">
        <f>Z34/SAP_ACT_EUR!M$3</f>
        <v>466476.52033121622</v>
      </c>
      <c r="AA35" s="105">
        <f>AA34/SAP_ACT_EUR!N$3</f>
        <v>470822.41610840609</v>
      </c>
      <c r="AC35" s="1043">
        <f>AC34/45</f>
        <v>679498.01311111124</v>
      </c>
      <c r="AD35" s="1043">
        <f>AD34/57</f>
        <v>482036.77614035085</v>
      </c>
      <c r="AE35" s="1043">
        <f t="shared" ref="AE35:AN35" si="16">AE34/57</f>
        <v>276123.12350877194</v>
      </c>
      <c r="AF35" s="1043">
        <f t="shared" si="16"/>
        <v>465287.36087719386</v>
      </c>
      <c r="AG35" s="1043">
        <f t="shared" si="16"/>
        <v>379062.59473684273</v>
      </c>
      <c r="AH35" s="1043">
        <f t="shared" si="16"/>
        <v>598404.14052631555</v>
      </c>
      <c r="AI35" s="1043">
        <f t="shared" si="16"/>
        <v>475709.01731567096</v>
      </c>
      <c r="AJ35" s="1043">
        <f t="shared" si="16"/>
        <v>446963.76116823778</v>
      </c>
      <c r="AK35" s="1043">
        <f t="shared" si="16"/>
        <v>619968.20176310278</v>
      </c>
      <c r="AL35" s="1043">
        <f t="shared" si="16"/>
        <v>567300.15840584028</v>
      </c>
      <c r="AM35" s="1043">
        <f t="shared" si="16"/>
        <v>597652.26099530281</v>
      </c>
      <c r="AN35" s="1043">
        <f t="shared" si="16"/>
        <v>485500.40225261525</v>
      </c>
      <c r="AO35" s="1020"/>
      <c r="AP35" s="1027"/>
      <c r="AQ35" s="1009"/>
      <c r="AR35" s="1009"/>
      <c r="AS35" s="1009"/>
      <c r="AT35" s="1071">
        <f>AT34/57</f>
        <v>-536445.79982456157</v>
      </c>
      <c r="AU35" s="1071">
        <f t="shared" ref="AU35:BE35" si="17">AU34/57</f>
        <v>-443589.21769563493</v>
      </c>
      <c r="AV35" s="1071">
        <f t="shared" si="17"/>
        <v>-236678.63154460042</v>
      </c>
      <c r="AW35" s="1071">
        <f t="shared" si="17"/>
        <v>-425141.08203700581</v>
      </c>
      <c r="AX35" s="1071">
        <f t="shared" si="17"/>
        <v>-340267.01064100827</v>
      </c>
      <c r="AY35" s="1071">
        <f t="shared" si="17"/>
        <v>-191406.40551234511</v>
      </c>
      <c r="AZ35" s="1071">
        <f t="shared" si="17"/>
        <v>-37658.648699316414</v>
      </c>
      <c r="BA35" s="1071">
        <f t="shared" si="17"/>
        <v>-10862.7577476153</v>
      </c>
      <c r="BB35" s="1071">
        <f t="shared" si="17"/>
        <v>-117500.80221975372</v>
      </c>
      <c r="BC35" s="1071">
        <f t="shared" si="17"/>
        <v>95522.782408427433</v>
      </c>
      <c r="BD35" s="1071">
        <f t="shared" si="17"/>
        <v>-22422.462621213796</v>
      </c>
      <c r="BE35" s="1071">
        <f t="shared" si="17"/>
        <v>102971.05847572398</v>
      </c>
      <c r="BF35" s="1009"/>
      <c r="BI35" s="107"/>
    </row>
    <row r="36" spans="1:93" x14ac:dyDescent="0.3">
      <c r="A36" s="1009"/>
      <c r="C36" s="1043"/>
      <c r="D36" s="1043"/>
      <c r="E36" s="1043"/>
      <c r="F36" s="1043"/>
      <c r="G36" s="1043"/>
      <c r="H36" s="1043"/>
      <c r="I36" s="1043"/>
      <c r="J36" s="1043"/>
      <c r="K36" s="1043"/>
      <c r="L36" s="1043"/>
      <c r="M36" s="1043"/>
      <c r="N36" s="1043"/>
      <c r="P36" t="s">
        <v>175</v>
      </c>
      <c r="Q36" s="105"/>
      <c r="R36" s="105"/>
      <c r="S36" s="105"/>
      <c r="T36" s="105"/>
      <c r="U36" s="105">
        <f>SAP_ACT_EUR!H20-'DL '!U35</f>
        <v>8956.4286747541046</v>
      </c>
      <c r="V36" s="105">
        <f>SAP_ACT_EUR!I20-'DL '!V35</f>
        <v>0</v>
      </c>
      <c r="W36" s="105">
        <f>SAP_ACT_EUR!J20-'DL '!W35</f>
        <v>0</v>
      </c>
      <c r="X36" s="105">
        <f>SAP_ACT_EUR!K20-'DL '!X35</f>
        <v>0</v>
      </c>
      <c r="Y36" s="105">
        <f>SAP_ACT_EUR!L20-'DL '!Y35</f>
        <v>0</v>
      </c>
      <c r="Z36" s="105">
        <f>SAP_ACT_EUR!M20-'DL '!Z35</f>
        <v>0</v>
      </c>
      <c r="AA36" s="105">
        <f>SAP_ACT_EUR!N20-'DL '!AA35</f>
        <v>0</v>
      </c>
      <c r="AC36" s="1009"/>
      <c r="AD36" s="1009"/>
      <c r="AE36" s="1009"/>
      <c r="AF36" s="1009"/>
      <c r="AG36" s="1009"/>
      <c r="AH36" s="1009"/>
      <c r="AI36" s="1009"/>
      <c r="AJ36" s="1009"/>
      <c r="AK36" s="1009"/>
      <c r="AL36" s="1009"/>
      <c r="AM36" s="1009"/>
      <c r="AN36" s="1009"/>
      <c r="AO36" s="1009"/>
      <c r="AP36" s="1027"/>
      <c r="AQ36" s="1009"/>
      <c r="AR36" s="1009"/>
      <c r="AS36" s="1043"/>
      <c r="AT36" s="1027">
        <f>(AT34-AT33-AT31-AT32)/57</f>
        <v>-536445.79982456157</v>
      </c>
      <c r="AU36" s="1027">
        <f>(AU34-AU33-AU31-AU32)/57</f>
        <v>-482036.77614035085</v>
      </c>
      <c r="AV36" s="1027">
        <f t="shared" ref="AV36:BE36" si="18">(AV34-AV33-AV31-AV32)/57</f>
        <v>-276123.12350877194</v>
      </c>
      <c r="AW36" s="1027">
        <f t="shared" si="18"/>
        <v>-465287.36087719386</v>
      </c>
      <c r="AX36" s="1027">
        <f t="shared" si="18"/>
        <v>-379062.59473684273</v>
      </c>
      <c r="AY36" s="1027">
        <f t="shared" si="18"/>
        <v>-233148.84140350847</v>
      </c>
      <c r="AZ36" s="1027">
        <f t="shared" si="18"/>
        <v>-125679.84730580213</v>
      </c>
      <c r="BA36" s="1027">
        <f t="shared" si="18"/>
        <v>-91019.626158369007</v>
      </c>
      <c r="BB36" s="1027">
        <f t="shared" si="18"/>
        <v>-195980.4513891789</v>
      </c>
      <c r="BC36" s="1027">
        <f t="shared" si="18"/>
        <v>-3108.4547212603829</v>
      </c>
      <c r="BD36" s="1027">
        <f t="shared" si="18"/>
        <v>-113662.41165516029</v>
      </c>
      <c r="BE36" s="1027">
        <f t="shared" si="18"/>
        <v>10886.845046238501</v>
      </c>
      <c r="BF36" s="1013"/>
    </row>
    <row r="37" spans="1:93" x14ac:dyDescent="0.3">
      <c r="B37" s="1072"/>
      <c r="C37" s="1073" t="s">
        <v>803</v>
      </c>
      <c r="D37" s="1073" t="s">
        <v>804</v>
      </c>
      <c r="E37" s="1073" t="s">
        <v>805</v>
      </c>
      <c r="F37" s="1073" t="s">
        <v>806</v>
      </c>
      <c r="G37" s="1073" t="s">
        <v>807</v>
      </c>
      <c r="H37" s="1073" t="s">
        <v>808</v>
      </c>
      <c r="I37" s="1073" t="s">
        <v>809</v>
      </c>
      <c r="J37" s="1073" t="s">
        <v>810</v>
      </c>
      <c r="K37" s="1073" t="s">
        <v>811</v>
      </c>
      <c r="L37" s="1073" t="s">
        <v>812</v>
      </c>
      <c r="M37" s="1073" t="s">
        <v>813</v>
      </c>
      <c r="N37" s="1074" t="s">
        <v>814</v>
      </c>
      <c r="S37" s="35"/>
      <c r="T37" s="35"/>
      <c r="U37" s="921">
        <f>U34/H$6</f>
        <v>365307.97421559051</v>
      </c>
      <c r="V37" s="921">
        <f t="shared" ref="V37:AA37" si="19">V34/I$6</f>
        <v>347301.23935990769</v>
      </c>
      <c r="W37" s="921">
        <f t="shared" si="19"/>
        <v>350367.16909389821</v>
      </c>
      <c r="X37" s="921">
        <f t="shared" si="19"/>
        <v>414032.4114525218</v>
      </c>
      <c r="Y37" s="921">
        <f t="shared" si="19"/>
        <v>541468.63951647049</v>
      </c>
      <c r="Z37" s="921">
        <f t="shared" si="19"/>
        <v>456508.05841968436</v>
      </c>
      <c r="AA37" s="921">
        <f t="shared" si="19"/>
        <v>460148.90458904795</v>
      </c>
      <c r="AT37" s="1009"/>
      <c r="AU37" s="1009"/>
      <c r="AV37" s="1009"/>
      <c r="AW37" s="1009"/>
      <c r="AX37" s="1009"/>
      <c r="AY37" s="1009"/>
      <c r="AZ37" s="1009"/>
      <c r="BA37" s="1009"/>
      <c r="BB37" s="1009"/>
      <c r="BC37" s="1009"/>
      <c r="BD37" s="1009"/>
      <c r="BE37" s="1009"/>
      <c r="BF37" s="1009"/>
      <c r="BG37" s="1009"/>
      <c r="BH37" s="1009"/>
      <c r="BI37" s="1009"/>
      <c r="BJ37" s="1009"/>
      <c r="BK37" s="1009"/>
      <c r="BL37" s="1009"/>
      <c r="BM37" s="1009"/>
      <c r="BN37" s="1009"/>
      <c r="BO37" s="1009"/>
      <c r="BP37" s="1009"/>
      <c r="BQ37" s="1009"/>
      <c r="BR37" s="1009"/>
      <c r="BS37" s="1009"/>
      <c r="BT37" s="1009"/>
      <c r="BU37" s="1009"/>
      <c r="BV37" s="1009"/>
      <c r="BW37" s="1009"/>
      <c r="BX37" s="1009"/>
      <c r="BY37" s="1009"/>
      <c r="BZ37" s="1009"/>
      <c r="CA37" s="1009"/>
      <c r="CB37" s="1009"/>
      <c r="CC37" s="1009"/>
      <c r="CD37" s="1009"/>
      <c r="CE37" s="1009"/>
      <c r="CF37" s="1009"/>
      <c r="CG37" s="1009"/>
      <c r="CH37" s="1009"/>
      <c r="CI37" s="1009"/>
      <c r="CJ37" s="1009"/>
      <c r="CK37" s="1009"/>
      <c r="CL37" s="1009"/>
      <c r="CM37" s="1009"/>
      <c r="CN37" s="1009"/>
      <c r="CO37" s="1009"/>
    </row>
    <row r="38" spans="1:93" x14ac:dyDescent="0.3">
      <c r="B38" s="1075" t="s">
        <v>894</v>
      </c>
      <c r="C38" s="1076">
        <v>245</v>
      </c>
      <c r="D38" s="1077">
        <v>245</v>
      </c>
      <c r="E38" s="1077">
        <v>245</v>
      </c>
      <c r="F38" s="1077">
        <v>245</v>
      </c>
      <c r="G38" s="1077">
        <v>248</v>
      </c>
      <c r="H38" s="1077">
        <v>245</v>
      </c>
      <c r="I38" s="1077">
        <v>246</v>
      </c>
      <c r="J38" s="1077">
        <v>251</v>
      </c>
      <c r="K38" s="1077">
        <v>252</v>
      </c>
      <c r="L38" s="1077">
        <v>251</v>
      </c>
      <c r="M38" s="1077">
        <v>251</v>
      </c>
      <c r="N38" s="1078">
        <v>253</v>
      </c>
      <c r="P38" t="s">
        <v>881</v>
      </c>
      <c r="S38" s="103"/>
      <c r="T38" s="103"/>
      <c r="U38" s="8">
        <f>U35-U37</f>
        <v>17369.207109655428</v>
      </c>
      <c r="V38" s="8">
        <f t="shared" ref="V38:AA38" si="20">V35-V37</f>
        <v>13184.113998846675</v>
      </c>
      <c r="W38" s="8">
        <f t="shared" si="20"/>
        <v>10077.25151835155</v>
      </c>
      <c r="X38" s="8">
        <f t="shared" si="20"/>
        <v>8251.3867532035219</v>
      </c>
      <c r="Y38" s="8">
        <f t="shared" si="20"/>
        <v>11232.694332821644</v>
      </c>
      <c r="Z38" s="8">
        <f t="shared" si="20"/>
        <v>9968.4619115318637</v>
      </c>
      <c r="AA38" s="8">
        <f t="shared" si="20"/>
        <v>10673.511519358144</v>
      </c>
      <c r="AT38" s="1009"/>
      <c r="AU38" s="1009"/>
      <c r="AV38" s="1009"/>
      <c r="AW38" s="1009"/>
      <c r="AX38" s="1009"/>
      <c r="AY38" s="1009"/>
      <c r="AZ38" s="1009"/>
      <c r="BA38" s="1009"/>
      <c r="BB38" s="1009"/>
      <c r="BC38" s="1009"/>
      <c r="BD38" s="1009"/>
      <c r="BE38" s="1009"/>
      <c r="BF38" s="1009"/>
      <c r="BG38" s="1009"/>
      <c r="BH38" s="1009"/>
      <c r="BI38" s="1009"/>
      <c r="BJ38" s="1009"/>
      <c r="BK38" s="1009"/>
      <c r="BL38" s="1009"/>
      <c r="BM38" s="1009"/>
      <c r="BN38" s="1009"/>
      <c r="BO38" s="1009"/>
      <c r="BP38" s="1009"/>
      <c r="BQ38" s="1009"/>
      <c r="BR38" s="1009"/>
      <c r="BS38" s="1009"/>
      <c r="BT38" s="1009"/>
      <c r="BU38" s="1009"/>
      <c r="BV38" s="1009"/>
      <c r="BW38" s="1009"/>
      <c r="BX38" s="1009"/>
      <c r="BY38" s="1009"/>
      <c r="BZ38" s="1009"/>
      <c r="CA38" s="1009"/>
      <c r="CB38" s="1009"/>
      <c r="CC38" s="1009"/>
      <c r="CD38" s="1009"/>
      <c r="CE38" s="1009"/>
      <c r="CF38" s="1009"/>
      <c r="CG38" s="1009"/>
      <c r="CH38" s="1009"/>
      <c r="CI38" s="1009"/>
      <c r="CJ38" s="1009"/>
      <c r="CK38" s="1009"/>
      <c r="CL38" s="1009"/>
      <c r="CM38" s="1009"/>
      <c r="CN38" s="1009"/>
      <c r="CO38" s="1009"/>
    </row>
    <row r="39" spans="1:93" x14ac:dyDescent="0.3">
      <c r="B39" s="1079" t="s">
        <v>895</v>
      </c>
      <c r="C39" s="1076">
        <f>'HC 2026'!C4</f>
        <v>236.73</v>
      </c>
      <c r="D39" s="1076">
        <f>'HC 2026'!D4</f>
        <v>215</v>
      </c>
      <c r="E39" s="1076">
        <f>'HC 2026'!E4</f>
        <v>132</v>
      </c>
      <c r="F39" s="1076">
        <f>'HC 2026'!F4</f>
        <v>222</v>
      </c>
      <c r="G39" s="1077">
        <f>255-100</f>
        <v>155</v>
      </c>
      <c r="H39" s="1077">
        <f>243-100</f>
        <v>143</v>
      </c>
      <c r="I39" s="1077">
        <f>238-100</f>
        <v>138</v>
      </c>
      <c r="J39" s="1077">
        <f>242-100</f>
        <v>142</v>
      </c>
      <c r="K39" s="1077">
        <v>242</v>
      </c>
      <c r="L39" s="1077">
        <v>243</v>
      </c>
      <c r="M39" s="1077">
        <v>244</v>
      </c>
      <c r="N39" s="1077">
        <v>275</v>
      </c>
      <c r="AT39" s="1009"/>
      <c r="AU39" s="1009"/>
      <c r="AV39" s="1009"/>
      <c r="AW39" s="1009"/>
      <c r="AX39" s="1009"/>
      <c r="AY39" s="1009"/>
      <c r="AZ39" s="1009"/>
      <c r="BA39" s="1009"/>
      <c r="BB39" s="1009"/>
      <c r="BC39" s="1009"/>
      <c r="BD39" s="1009"/>
      <c r="BE39" s="1009"/>
      <c r="BF39" s="1009"/>
      <c r="BG39" s="1009"/>
      <c r="BH39" s="1009"/>
      <c r="BI39" s="1009"/>
      <c r="BJ39" s="1009"/>
      <c r="BK39" s="1009"/>
      <c r="BL39" s="1009"/>
      <c r="BM39" s="1009"/>
      <c r="BN39" s="1009"/>
      <c r="BO39" s="1009"/>
      <c r="BP39" s="1009"/>
      <c r="BQ39" s="1009"/>
      <c r="BR39" s="1009"/>
      <c r="BS39" s="1009"/>
      <c r="BT39" s="1009"/>
      <c r="BU39" s="1009"/>
      <c r="BV39" s="1009"/>
      <c r="BW39" s="1009"/>
      <c r="BX39" s="1009"/>
      <c r="BY39" s="1009"/>
      <c r="BZ39" s="1009"/>
      <c r="CA39" s="1009"/>
      <c r="CB39" s="1009"/>
      <c r="CC39" s="1009"/>
      <c r="CD39" s="1009"/>
      <c r="CE39" s="1009"/>
      <c r="CF39" s="1009"/>
      <c r="CG39" s="1009"/>
      <c r="CH39" s="1009"/>
      <c r="CI39" s="1009"/>
      <c r="CJ39" s="1009"/>
      <c r="CK39" s="1009"/>
      <c r="CL39" s="1009"/>
      <c r="CM39" s="1009"/>
      <c r="CN39" s="1009"/>
      <c r="CO39" s="1009"/>
    </row>
    <row r="40" spans="1:93" x14ac:dyDescent="0.3">
      <c r="B40" s="1079" t="s">
        <v>896</v>
      </c>
      <c r="C40" s="1076">
        <f t="shared" ref="C40:F40" si="21">C12/C38</f>
        <v>106359.43923518869</v>
      </c>
      <c r="D40" s="87">
        <f>D12/D38</f>
        <v>117122.74010571439</v>
      </c>
      <c r="E40" s="87">
        <f>E12/E38</f>
        <v>120519.97501719282</v>
      </c>
      <c r="F40" s="87">
        <f t="shared" si="21"/>
        <v>117815.38391669547</v>
      </c>
      <c r="G40" s="87">
        <f>G12/G38</f>
        <v>136230.30664871339</v>
      </c>
      <c r="H40" s="87">
        <f t="shared" ref="H40:N40" si="22">H12/H38</f>
        <v>130200.63893902197</v>
      </c>
      <c r="I40" s="87">
        <f t="shared" si="22"/>
        <v>118627.60253582487</v>
      </c>
      <c r="J40" s="87">
        <f t="shared" si="22"/>
        <v>119392.07127389332</v>
      </c>
      <c r="K40" s="87">
        <f t="shared" si="22"/>
        <v>142723.78918114601</v>
      </c>
      <c r="L40" s="87">
        <f t="shared" si="22"/>
        <v>134794.77038376863</v>
      </c>
      <c r="M40" s="87">
        <f t="shared" si="22"/>
        <v>132063.30639932925</v>
      </c>
      <c r="N40" s="1080">
        <f t="shared" si="22"/>
        <v>134442.6738619445</v>
      </c>
      <c r="Q40" t="s">
        <v>897</v>
      </c>
      <c r="T40" s="35">
        <v>38777311.969999999</v>
      </c>
      <c r="U40" s="1081">
        <v>36112907.763102889</v>
      </c>
      <c r="V40" s="1081">
        <v>33027272.200919136</v>
      </c>
      <c r="W40" s="1081">
        <v>33582362.680779137</v>
      </c>
      <c r="X40" s="1081">
        <v>39913804.110384554</v>
      </c>
      <c r="Y40" s="1081">
        <v>38539956.895423301</v>
      </c>
      <c r="Z40" s="1081">
        <v>37791533.825598545</v>
      </c>
      <c r="AA40" s="1081">
        <v>38580456.558813304</v>
      </c>
      <c r="AT40" s="1009"/>
      <c r="AU40" s="1009"/>
      <c r="AV40" s="1009"/>
      <c r="AW40" s="1009"/>
      <c r="AX40" s="1009"/>
      <c r="AY40" s="1009"/>
      <c r="AZ40" s="1009"/>
      <c r="BA40" s="1009"/>
      <c r="BB40" s="1009"/>
      <c r="BC40" s="1009"/>
      <c r="BD40" s="1009"/>
      <c r="BE40" s="1009"/>
      <c r="BF40" s="1009"/>
      <c r="BG40" s="1009"/>
      <c r="BH40" s="1009"/>
      <c r="BI40" s="1009"/>
      <c r="BJ40" s="1009"/>
      <c r="BK40" s="1009"/>
      <c r="BL40" s="1009"/>
      <c r="BM40" s="1009"/>
      <c r="BN40" s="1009"/>
      <c r="BO40" s="1009"/>
      <c r="BP40" s="1009"/>
      <c r="BQ40" s="1009"/>
      <c r="BR40" s="1009"/>
      <c r="BS40" s="1009"/>
      <c r="BT40" s="1009"/>
      <c r="BU40" s="1009"/>
      <c r="BV40" s="1009"/>
      <c r="BW40" s="1009"/>
      <c r="BX40" s="1009"/>
      <c r="BY40" s="1009"/>
      <c r="BZ40" s="1009"/>
      <c r="CA40" s="1009"/>
      <c r="CB40" s="1009"/>
      <c r="CC40" s="1009"/>
      <c r="CD40" s="1009"/>
      <c r="CE40" s="1009"/>
      <c r="CF40" s="1009"/>
      <c r="CG40" s="1009"/>
      <c r="CH40" s="1009"/>
      <c r="CI40" s="1009"/>
      <c r="CJ40" s="1009"/>
      <c r="CK40" s="1009"/>
      <c r="CL40" s="1009"/>
      <c r="CM40" s="1009"/>
      <c r="CN40" s="1009"/>
      <c r="CO40" s="1009"/>
    </row>
    <row r="41" spans="1:93" x14ac:dyDescent="0.3">
      <c r="B41" s="1079" t="s">
        <v>898</v>
      </c>
      <c r="C41" s="1076">
        <f t="shared" ref="C41:D41" si="23">P12/C39</f>
        <v>0</v>
      </c>
      <c r="D41" s="87">
        <f t="shared" si="23"/>
        <v>0</v>
      </c>
      <c r="E41" s="87">
        <f>R12/E39</f>
        <v>0</v>
      </c>
      <c r="F41" s="87">
        <f>S12/F39</f>
        <v>0</v>
      </c>
      <c r="G41" s="87">
        <f>T12/G39</f>
        <v>0</v>
      </c>
      <c r="H41" s="87">
        <f>U12/H39</f>
        <v>148963.43762237765</v>
      </c>
      <c r="I41" s="87">
        <f t="shared" ref="I41:N41" si="24">V12/I39</f>
        <v>141090.78266576448</v>
      </c>
      <c r="J41" s="87">
        <f t="shared" si="24"/>
        <v>139490.71135827812</v>
      </c>
      <c r="K41" s="87">
        <f t="shared" si="24"/>
        <v>97876.723506721624</v>
      </c>
      <c r="L41" s="87">
        <f t="shared" si="24"/>
        <v>113504.39682030465</v>
      </c>
      <c r="M41" s="87">
        <f t="shared" si="24"/>
        <v>111091.33905615202</v>
      </c>
      <c r="N41" s="1080">
        <f t="shared" si="24"/>
        <v>101137.95786671869</v>
      </c>
      <c r="R41">
        <v>0</v>
      </c>
      <c r="S41">
        <v>0</v>
      </c>
      <c r="T41" s="35">
        <f>T40-T34</f>
        <v>38777311.969999999</v>
      </c>
      <c r="U41" s="1081">
        <f>U34-U28-U40-U29</f>
        <v>-15293355.713102885</v>
      </c>
      <c r="V41" s="1081">
        <f t="shared" ref="V41:AA41" si="25">V34-V28-V40-V29</f>
        <v>-13075609.510356613</v>
      </c>
      <c r="W41" s="1081">
        <f t="shared" si="25"/>
        <v>-13293546.985216618</v>
      </c>
      <c r="X41" s="1081">
        <f t="shared" si="25"/>
        <v>-15746502.339070894</v>
      </c>
      <c r="Y41" s="1081">
        <f t="shared" si="25"/>
        <v>-6381029.7854022421</v>
      </c>
      <c r="Z41" s="1081">
        <f t="shared" si="25"/>
        <v>-10204112.413210422</v>
      </c>
      <c r="AA41" s="1081">
        <f t="shared" si="25"/>
        <v>-10286383.462778639</v>
      </c>
      <c r="AT41" s="1009"/>
      <c r="AU41" s="1009"/>
      <c r="AV41" s="1009"/>
      <c r="AW41" s="1009"/>
      <c r="AX41" s="1009"/>
      <c r="AY41" s="1009"/>
      <c r="AZ41" s="1009"/>
      <c r="BA41" s="1009"/>
      <c r="BB41" s="1009"/>
      <c r="BC41" s="1009"/>
      <c r="BD41" s="1009"/>
      <c r="BE41" s="1009"/>
      <c r="BF41" s="1009"/>
      <c r="BG41" s="1009"/>
      <c r="BH41" s="1009"/>
      <c r="BI41" s="1009"/>
      <c r="BJ41" s="1009"/>
      <c r="BK41" s="1009"/>
      <c r="BL41" s="1009"/>
      <c r="BM41" s="1009"/>
      <c r="BN41" s="1009"/>
      <c r="BO41" s="1009"/>
      <c r="BP41" s="1009"/>
      <c r="BQ41" s="1009"/>
      <c r="BR41" s="1009"/>
      <c r="BS41" s="1009"/>
      <c r="BT41" s="1009"/>
      <c r="BU41" s="1009"/>
      <c r="BV41" s="1009"/>
      <c r="BW41" s="1009"/>
      <c r="BX41" s="1009"/>
      <c r="BY41" s="1009"/>
      <c r="BZ41" s="1009"/>
      <c r="CA41" s="1009"/>
      <c r="CB41" s="1009"/>
      <c r="CC41" s="1009"/>
      <c r="CD41" s="1009"/>
      <c r="CE41" s="1009"/>
      <c r="CF41" s="1009"/>
      <c r="CG41" s="1009"/>
      <c r="CH41" s="1009"/>
      <c r="CI41" s="1009"/>
      <c r="CJ41" s="1009"/>
      <c r="CK41" s="1009"/>
      <c r="CL41" s="1009"/>
      <c r="CM41" s="1009"/>
      <c r="CN41" s="1009"/>
      <c r="CO41" s="1009"/>
    </row>
    <row r="42" spans="1:93" x14ac:dyDescent="0.3">
      <c r="B42" s="1079"/>
      <c r="C42" s="1076"/>
      <c r="D42" s="87"/>
      <c r="E42" s="87"/>
      <c r="F42" s="87"/>
      <c r="G42" s="87"/>
      <c r="H42" s="87"/>
      <c r="I42" s="87"/>
      <c r="J42" s="87"/>
      <c r="K42" s="87"/>
      <c r="L42" s="87"/>
      <c r="M42" s="87"/>
      <c r="N42" s="1080"/>
      <c r="AT42" s="1009"/>
      <c r="AU42" s="1009"/>
      <c r="AV42" s="1009"/>
      <c r="AW42" s="1009"/>
      <c r="AX42" s="1009"/>
      <c r="AY42" s="1009"/>
      <c r="AZ42" s="1009"/>
      <c r="BA42" s="1009"/>
      <c r="BB42" s="1009"/>
      <c r="BC42" s="1009"/>
      <c r="BD42" s="1009"/>
      <c r="BE42" s="1009"/>
      <c r="BF42" s="1009"/>
      <c r="BG42" s="1009"/>
      <c r="BH42" s="1009"/>
      <c r="BI42" s="1009"/>
      <c r="BJ42" s="1009"/>
      <c r="BK42" s="1009"/>
      <c r="BL42" s="1009"/>
      <c r="BM42" s="1009"/>
      <c r="BN42" s="1009"/>
      <c r="BO42" s="1009"/>
      <c r="BP42" s="1009"/>
      <c r="BQ42" s="1009"/>
      <c r="BR42" s="1009"/>
      <c r="BS42" s="1009"/>
      <c r="BT42" s="1009"/>
      <c r="BU42" s="1009"/>
      <c r="BV42" s="1009"/>
      <c r="BW42" s="1009"/>
      <c r="BX42" s="1009"/>
      <c r="BY42" s="1009"/>
      <c r="BZ42" s="1009"/>
      <c r="CA42" s="1009"/>
      <c r="CB42" s="1009"/>
      <c r="CC42" s="1009"/>
      <c r="CD42" s="1009"/>
      <c r="CE42" s="1009"/>
      <c r="CF42" s="1009"/>
      <c r="CG42" s="1009"/>
      <c r="CH42" s="1009"/>
      <c r="CI42" s="1009"/>
      <c r="CJ42" s="1009"/>
      <c r="CK42" s="1009"/>
      <c r="CL42" s="1009"/>
      <c r="CM42" s="1009"/>
      <c r="CN42" s="1009"/>
      <c r="CO42" s="1009"/>
    </row>
    <row r="43" spans="1:93" x14ac:dyDescent="0.3">
      <c r="B43" s="1079" t="s">
        <v>899</v>
      </c>
      <c r="C43" s="1076">
        <f t="shared" ref="C43:D43" si="26">(C41-C40)*C39</f>
        <v>-25178470.050146218</v>
      </c>
      <c r="D43" s="1082">
        <f t="shared" si="26"/>
        <v>-25181389.122728594</v>
      </c>
      <c r="E43" s="1082">
        <f>(E41-E40)*E39</f>
        <v>-15908636.702269452</v>
      </c>
      <c r="F43" s="1082">
        <f t="shared" ref="F43:J43" si="27">(F41-F40)*F39</f>
        <v>-26155015.229506396</v>
      </c>
      <c r="G43" s="1082">
        <f>(G41-G40)*G39</f>
        <v>-21115697.530550577</v>
      </c>
      <c r="H43" s="1082">
        <f>(H41-H40)*H39</f>
        <v>2683080.2117198622</v>
      </c>
      <c r="I43" s="1082">
        <f t="shared" si="27"/>
        <v>3099918.8579316651</v>
      </c>
      <c r="J43" s="1082">
        <f t="shared" si="27"/>
        <v>2854006.8919826411</v>
      </c>
      <c r="K43" s="1082">
        <f>(K41-K40)*K39</f>
        <v>-10852989.893210702</v>
      </c>
      <c r="L43" s="1082">
        <f>(L41-L40)*L39</f>
        <v>-5173560.7759217462</v>
      </c>
      <c r="M43" s="1082">
        <f>(M41-M40)*M39</f>
        <v>-5117160.0317352423</v>
      </c>
      <c r="N43" s="1083">
        <f>(N41-N40)*N39</f>
        <v>-9158796.8986870963</v>
      </c>
      <c r="AT43" s="1009"/>
      <c r="AU43" s="1009"/>
      <c r="AV43" s="1009"/>
      <c r="AW43" s="1009"/>
      <c r="AX43" s="1009"/>
      <c r="AY43" s="1009"/>
      <c r="AZ43" s="1009"/>
      <c r="BA43" s="1009"/>
      <c r="BB43" s="1009"/>
      <c r="BC43" s="1009"/>
      <c r="BD43" s="1009"/>
      <c r="BE43" s="1009"/>
      <c r="BF43" s="1009"/>
      <c r="BG43" s="1009"/>
      <c r="BH43" s="1009"/>
      <c r="BI43" s="1009"/>
      <c r="BJ43" s="1009"/>
      <c r="BK43" s="1009"/>
      <c r="BL43" s="1009"/>
      <c r="BM43" s="1009"/>
      <c r="BN43" s="1009"/>
      <c r="BO43" s="1009"/>
      <c r="BP43" s="1009"/>
      <c r="BQ43" s="1009"/>
      <c r="BR43" s="1009"/>
      <c r="BS43" s="1009"/>
      <c r="BT43" s="1009"/>
      <c r="BU43" s="1009"/>
      <c r="BV43" s="1009"/>
      <c r="BW43" s="1009"/>
      <c r="BX43" s="1009"/>
      <c r="BY43" s="1009"/>
      <c r="BZ43" s="1009"/>
      <c r="CA43" s="1009"/>
      <c r="CB43" s="1009"/>
      <c r="CC43" s="1009"/>
      <c r="CD43" s="1009"/>
      <c r="CE43" s="1009"/>
      <c r="CF43" s="1009"/>
      <c r="CG43" s="1009"/>
      <c r="CH43" s="1009"/>
      <c r="CI43" s="1009"/>
      <c r="CJ43" s="1009"/>
      <c r="CK43" s="1009"/>
      <c r="CL43" s="1009"/>
      <c r="CM43" s="1009"/>
      <c r="CN43" s="1009"/>
      <c r="CO43" s="1009"/>
    </row>
    <row r="44" spans="1:93" x14ac:dyDescent="0.3">
      <c r="B44" s="1079" t="s">
        <v>900</v>
      </c>
      <c r="C44" s="1076">
        <f>C43/57</f>
        <v>-441727.54473940731</v>
      </c>
      <c r="D44" s="1076">
        <v>350356.29046442785</v>
      </c>
      <c r="E44" s="1076">
        <v>145396.15665641983</v>
      </c>
      <c r="F44" s="1076">
        <v>3771.625816174213</v>
      </c>
      <c r="G44" s="1076">
        <v>16140.743052402402</v>
      </c>
      <c r="H44" s="1076">
        <f>H43/SAP_ACT_EUR!H$3</f>
        <v>49316.794627697134</v>
      </c>
      <c r="I44" s="1076">
        <f>I43/SAP_ACT_EUR!I$3</f>
        <v>56009.133785804603</v>
      </c>
      <c r="J44" s="1076">
        <f>J43/SAP_ACT_EUR!J$3</f>
        <v>50703.346909945358</v>
      </c>
      <c r="K44" s="1076">
        <f>K43/SAP_ACT_EUR!K$3</f>
        <v>-189638.12499057665</v>
      </c>
      <c r="L44" s="1076">
        <f>L43/SAP_ACT_EUR!L$3</f>
        <v>-88915.713258086224</v>
      </c>
      <c r="M44" s="1076">
        <f>M43/SAP_ACT_EUR!M$3</f>
        <v>-86526.209532215813</v>
      </c>
      <c r="N44" s="1076">
        <f>N43/SAP_ACT_EUR!N$3</f>
        <v>-152405.30657603955</v>
      </c>
      <c r="U44" s="8"/>
      <c r="V44" s="8"/>
      <c r="W44" s="8"/>
      <c r="X44" s="8"/>
      <c r="Y44" s="8"/>
      <c r="Z44" s="8"/>
      <c r="AA44" s="8"/>
      <c r="AT44" s="1009"/>
      <c r="AU44" s="1009"/>
      <c r="AV44" s="1009"/>
      <c r="AW44" s="1009"/>
      <c r="AX44" s="1009"/>
      <c r="AY44" s="1009"/>
      <c r="AZ44" s="1009"/>
      <c r="BA44" s="1009"/>
      <c r="BB44" s="1009"/>
      <c r="BC44" s="1009"/>
      <c r="BD44" s="1009"/>
      <c r="BE44" s="1009"/>
      <c r="BF44" s="1009"/>
      <c r="BG44" s="1009"/>
      <c r="BH44" s="1009"/>
      <c r="BI44" s="1009"/>
      <c r="BJ44" s="1009"/>
      <c r="BK44" s="1009"/>
      <c r="BL44" s="1009"/>
      <c r="BM44" s="1009"/>
      <c r="BN44" s="1009"/>
      <c r="BO44" s="1009"/>
      <c r="BP44" s="1009"/>
      <c r="BQ44" s="1009"/>
      <c r="BR44" s="1009"/>
      <c r="BS44" s="1009"/>
      <c r="BT44" s="1009"/>
      <c r="BU44" s="1009"/>
      <c r="BV44" s="1009"/>
      <c r="BW44" s="1009"/>
      <c r="BX44" s="1009"/>
      <c r="BY44" s="1009"/>
      <c r="BZ44" s="1009"/>
      <c r="CA44" s="1009"/>
      <c r="CB44" s="1009"/>
      <c r="CC44" s="1009"/>
      <c r="CD44" s="1009"/>
      <c r="CE44" s="1009"/>
      <c r="CF44" s="1009"/>
      <c r="CG44" s="1009"/>
      <c r="CH44" s="1009"/>
      <c r="CI44" s="1009"/>
      <c r="CJ44" s="1009"/>
      <c r="CK44" s="1009"/>
      <c r="CL44" s="1009"/>
      <c r="CM44" s="1009"/>
      <c r="CN44" s="1009"/>
      <c r="CO44" s="1009"/>
    </row>
    <row r="45" spans="1:93" x14ac:dyDescent="0.3">
      <c r="B45" s="1079" t="s">
        <v>901</v>
      </c>
      <c r="C45" s="1076">
        <f t="shared" ref="C45:N45" si="28">AT36-C44-C46-C47</f>
        <v>-94718.255085154262</v>
      </c>
      <c r="D45" s="1084">
        <f>AU36-D44-D46-D47</f>
        <v>-832393.06660477864</v>
      </c>
      <c r="E45" s="1084">
        <f t="shared" si="28"/>
        <v>-421519.28016519174</v>
      </c>
      <c r="F45" s="1084">
        <f t="shared" si="28"/>
        <v>-469058.98669336806</v>
      </c>
      <c r="G45" s="1084">
        <f t="shared" si="28"/>
        <v>-395203.33778924512</v>
      </c>
      <c r="H45" s="1084">
        <f t="shared" si="28"/>
        <v>-282465.63603120559</v>
      </c>
      <c r="I45" s="1084">
        <f t="shared" si="28"/>
        <v>-181688.98109160672</v>
      </c>
      <c r="J45" s="1084">
        <f t="shared" si="28"/>
        <v>-141722.97306831437</v>
      </c>
      <c r="K45" s="1084">
        <f t="shared" si="28"/>
        <v>-6342.3263986022503</v>
      </c>
      <c r="L45" s="1084">
        <f t="shared" si="28"/>
        <v>85807.258536825844</v>
      </c>
      <c r="M45" s="1084">
        <f t="shared" si="28"/>
        <v>-27136.20212294448</v>
      </c>
      <c r="N45" s="1085">
        <f t="shared" si="28"/>
        <v>163292.15162227806</v>
      </c>
      <c r="V45">
        <v>13278.172800103304</v>
      </c>
      <c r="W45">
        <v>15855.278386627404</v>
      </c>
      <c r="X45">
        <v>10824.028191033954</v>
      </c>
      <c r="Y45">
        <v>39522.626397970314</v>
      </c>
      <c r="Z45">
        <v>38019.524158039203</v>
      </c>
      <c r="AA45">
        <v>55722.741889169309</v>
      </c>
      <c r="AT45" s="1009"/>
      <c r="AU45" s="1009"/>
      <c r="AV45" s="1009"/>
      <c r="AW45" s="1009"/>
      <c r="AX45" s="1009"/>
      <c r="AY45" s="1009"/>
      <c r="AZ45" s="1009"/>
      <c r="BA45" s="1009"/>
      <c r="BB45" s="1009"/>
      <c r="BC45" s="1009"/>
      <c r="BD45" s="1009"/>
      <c r="BE45" s="1009"/>
      <c r="BF45" s="1009"/>
      <c r="BG45" s="1009"/>
      <c r="BH45" s="1009"/>
      <c r="BI45" s="1009"/>
      <c r="BJ45" s="1009"/>
      <c r="BK45" s="1009"/>
      <c r="BL45" s="1009"/>
      <c r="BM45" s="1009"/>
      <c r="BN45" s="1009"/>
      <c r="BO45" s="1009"/>
      <c r="BP45" s="1009"/>
      <c r="BQ45" s="1009"/>
      <c r="BR45" s="1009"/>
      <c r="BS45" s="1009"/>
      <c r="BT45" s="1009"/>
      <c r="BU45" s="1009"/>
      <c r="BV45" s="1009"/>
      <c r="BW45" s="1009"/>
      <c r="BX45" s="1009"/>
      <c r="BY45" s="1009"/>
      <c r="BZ45" s="1009"/>
      <c r="CA45" s="1009"/>
      <c r="CB45" s="1009"/>
      <c r="CC45" s="1009"/>
      <c r="CD45" s="1009"/>
      <c r="CE45" s="1009"/>
      <c r="CF45" s="1009"/>
      <c r="CG45" s="1009"/>
      <c r="CH45" s="1009"/>
      <c r="CI45" s="1009"/>
      <c r="CJ45" s="1009"/>
      <c r="CK45" s="1009"/>
      <c r="CL45" s="1009"/>
      <c r="CM45" s="1009"/>
      <c r="CN45" s="1009"/>
      <c r="CO45" s="1009"/>
    </row>
    <row r="46" spans="1:93" x14ac:dyDescent="0.3">
      <c r="B46" s="1079" t="s">
        <v>902</v>
      </c>
      <c r="C46" s="1076"/>
      <c r="D46" s="475"/>
      <c r="E46" s="475"/>
      <c r="F46" s="475"/>
      <c r="G46" s="475"/>
      <c r="N46" s="1086"/>
      <c r="Y46">
        <v>-66169.857590714339</v>
      </c>
      <c r="Z46">
        <v>-46239.855250048393</v>
      </c>
      <c r="AA46">
        <v>-60301.783361420021</v>
      </c>
      <c r="AT46" s="1009"/>
      <c r="AU46" s="1009"/>
      <c r="AV46" s="1009"/>
      <c r="AW46" s="1009"/>
      <c r="AX46" s="1009"/>
      <c r="AY46" s="1009"/>
      <c r="AZ46" s="1009"/>
      <c r="BA46" s="1009"/>
      <c r="BB46" s="1009"/>
      <c r="BC46" s="1009"/>
      <c r="BD46" s="1009"/>
      <c r="BE46" s="1009"/>
      <c r="BF46" s="1009"/>
      <c r="BG46" s="1009"/>
      <c r="BH46" s="1009"/>
      <c r="BI46" s="1009"/>
      <c r="BJ46" s="1009"/>
      <c r="BK46" s="1009"/>
      <c r="BL46" s="1009"/>
      <c r="BM46" s="1009"/>
      <c r="BN46" s="1009"/>
      <c r="BO46" s="1009"/>
      <c r="BP46" s="1009"/>
      <c r="BQ46" s="1009"/>
      <c r="BR46" s="1009"/>
      <c r="BS46" s="1009"/>
      <c r="BT46" s="1009"/>
      <c r="BU46" s="1009"/>
      <c r="BV46" s="1009"/>
      <c r="BW46" s="1009"/>
      <c r="BX46" s="1009"/>
      <c r="BY46" s="1009"/>
      <c r="BZ46" s="1009"/>
      <c r="CA46" s="1009"/>
      <c r="CB46" s="1009"/>
      <c r="CC46" s="1009"/>
      <c r="CD46" s="1009"/>
      <c r="CE46" s="1009"/>
      <c r="CF46" s="1009"/>
      <c r="CG46" s="1009"/>
      <c r="CH46" s="1009"/>
      <c r="CI46" s="1009"/>
      <c r="CJ46" s="1009"/>
      <c r="CK46" s="1009"/>
      <c r="CL46" s="1009"/>
      <c r="CM46" s="1009"/>
      <c r="CN46" s="1009"/>
      <c r="CO46" s="1009"/>
    </row>
    <row r="47" spans="1:93" x14ac:dyDescent="0.3">
      <c r="B47" s="1079" t="s">
        <v>892</v>
      </c>
      <c r="C47" s="1076"/>
      <c r="D47" s="475"/>
      <c r="E47" s="475"/>
      <c r="F47" s="475"/>
      <c r="G47" s="475"/>
      <c r="H47" s="475"/>
      <c r="I47" s="475"/>
      <c r="J47" s="475"/>
      <c r="K47" s="475"/>
      <c r="L47" s="475"/>
      <c r="M47" s="475"/>
      <c r="N47" s="1087"/>
      <c r="U47" s="103">
        <f>1100*100</f>
        <v>110000</v>
      </c>
      <c r="AT47" s="1009"/>
      <c r="AU47" s="1009"/>
      <c r="AV47" s="1009"/>
      <c r="AW47" s="1009"/>
      <c r="AX47" s="1009"/>
      <c r="AY47" s="1009"/>
      <c r="AZ47" s="1009"/>
      <c r="BA47" s="1009"/>
      <c r="BB47" s="1009"/>
      <c r="BC47" s="1009"/>
      <c r="BD47" s="1009"/>
      <c r="BE47" s="1009"/>
      <c r="BF47" s="1009"/>
      <c r="BG47" s="1009"/>
      <c r="BH47" s="1009"/>
      <c r="BI47" s="1009"/>
      <c r="BJ47" s="1009"/>
      <c r="BK47" s="1009"/>
      <c r="BL47" s="1009"/>
      <c r="BM47" s="1009"/>
      <c r="BN47" s="1009"/>
      <c r="BO47" s="1009"/>
      <c r="BP47" s="1009"/>
      <c r="BQ47" s="1009"/>
      <c r="BR47" s="1009"/>
      <c r="BS47" s="1009"/>
      <c r="BT47" s="1009"/>
      <c r="BU47" s="1009"/>
      <c r="BV47" s="1009"/>
      <c r="BW47" s="1009"/>
      <c r="BX47" s="1009"/>
      <c r="BY47" s="1009"/>
      <c r="BZ47" s="1009"/>
      <c r="CA47" s="1009"/>
      <c r="CB47" s="1009"/>
      <c r="CC47" s="1009"/>
      <c r="CD47" s="1009"/>
      <c r="CE47" s="1009"/>
      <c r="CF47" s="1009"/>
      <c r="CG47" s="1009"/>
      <c r="CH47" s="1009"/>
      <c r="CI47" s="1009"/>
      <c r="CJ47" s="1009"/>
      <c r="CK47" s="1009"/>
      <c r="CL47" s="1009"/>
      <c r="CM47" s="1009"/>
      <c r="CN47" s="1009"/>
      <c r="CO47" s="1009"/>
    </row>
    <row r="48" spans="1:93" x14ac:dyDescent="0.3">
      <c r="B48" s="1088" t="s">
        <v>655</v>
      </c>
      <c r="C48" s="1089"/>
      <c r="D48" s="1090"/>
      <c r="E48" s="1090"/>
      <c r="F48" s="1090"/>
      <c r="G48" s="1090"/>
      <c r="H48" s="1090"/>
      <c r="I48" s="1090"/>
      <c r="J48" s="1090"/>
      <c r="K48" s="1090"/>
      <c r="L48" s="1090"/>
      <c r="M48" s="1090"/>
      <c r="N48" s="1091"/>
      <c r="Y48" s="8"/>
      <c r="AT48" s="1009"/>
      <c r="AU48" s="1009"/>
      <c r="AV48" s="1009"/>
      <c r="AW48" s="1009"/>
      <c r="AX48" s="1009"/>
      <c r="AY48" s="1009"/>
      <c r="AZ48" s="1009"/>
      <c r="BA48" s="1009"/>
      <c r="BB48" s="1009"/>
      <c r="BC48" s="1009"/>
      <c r="BD48" s="1009"/>
      <c r="BE48" s="1009"/>
      <c r="BF48" s="1009"/>
      <c r="BG48" s="1009"/>
      <c r="BH48" s="1009"/>
      <c r="BI48" s="1009"/>
      <c r="BJ48" s="1009"/>
      <c r="BK48" s="1009"/>
      <c r="BL48" s="1009"/>
      <c r="BM48" s="1009"/>
      <c r="BN48" s="1009"/>
      <c r="BO48" s="1009"/>
      <c r="BP48" s="1009"/>
      <c r="BQ48" s="1009"/>
      <c r="BR48" s="1009"/>
      <c r="BS48" s="1009"/>
      <c r="BT48" s="1009"/>
      <c r="BU48" s="1009"/>
      <c r="BV48" s="1009"/>
      <c r="BW48" s="1009"/>
      <c r="BX48" s="1009"/>
      <c r="BY48" s="1009"/>
      <c r="BZ48" s="1009"/>
      <c r="CA48" s="1009"/>
      <c r="CB48" s="1009"/>
      <c r="CC48" s="1009"/>
      <c r="CD48" s="1009"/>
      <c r="CE48" s="1009"/>
      <c r="CF48" s="1009"/>
      <c r="CG48" s="1009"/>
      <c r="CH48" s="1009"/>
      <c r="CI48" s="1009"/>
      <c r="CJ48" s="1009"/>
      <c r="CK48" s="1009"/>
      <c r="CL48" s="1009"/>
      <c r="CM48" s="1009"/>
      <c r="CN48" s="1009"/>
      <c r="CO48" s="1009"/>
    </row>
    <row r="49" spans="2:93" x14ac:dyDescent="0.3">
      <c r="C49" s="105"/>
      <c r="G49" s="1092">
        <v>100</v>
      </c>
      <c r="H49" s="1092"/>
      <c r="I49" s="1092"/>
      <c r="J49" s="1092"/>
      <c r="K49" s="1092"/>
      <c r="L49" s="1092"/>
      <c r="M49" s="1092"/>
      <c r="N49" s="1092"/>
      <c r="Y49" s="8"/>
      <c r="AT49" s="1009"/>
      <c r="AU49" s="1009"/>
      <c r="AV49" s="1009"/>
      <c r="AW49" s="1009"/>
      <c r="AX49" s="1009"/>
      <c r="AY49" s="1009"/>
      <c r="AZ49" s="1009"/>
      <c r="BA49" s="1009"/>
      <c r="BB49" s="1009"/>
      <c r="BC49" s="1009"/>
      <c r="BD49" s="1009"/>
      <c r="BE49" s="1009"/>
      <c r="BF49" s="1009"/>
      <c r="BG49" s="1009"/>
      <c r="BH49" s="1009"/>
      <c r="BI49" s="1009"/>
      <c r="BJ49" s="1009"/>
      <c r="BK49" s="1009"/>
      <c r="BL49" s="1009"/>
      <c r="BM49" s="1009"/>
      <c r="BN49" s="1009"/>
      <c r="BO49" s="1009"/>
      <c r="BP49" s="1009"/>
      <c r="BQ49" s="1009"/>
      <c r="BR49" s="1009"/>
      <c r="BS49" s="1009"/>
      <c r="BT49" s="1009"/>
      <c r="BU49" s="1009"/>
      <c r="BV49" s="1009"/>
      <c r="BW49" s="1009"/>
      <c r="BX49" s="1009"/>
      <c r="BY49" s="1009"/>
      <c r="BZ49" s="1009"/>
      <c r="CA49" s="1009"/>
      <c r="CB49" s="1009"/>
      <c r="CC49" s="1009"/>
      <c r="CD49" s="1009"/>
      <c r="CE49" s="1009"/>
      <c r="CF49" s="1009"/>
      <c r="CG49" s="1009"/>
      <c r="CH49" s="1009"/>
      <c r="CI49" s="1009"/>
      <c r="CJ49" s="1009"/>
      <c r="CK49" s="1009"/>
      <c r="CL49" s="1009"/>
      <c r="CM49" s="1009"/>
      <c r="CN49" s="1009"/>
      <c r="CO49" s="1009"/>
    </row>
    <row r="50" spans="2:93" x14ac:dyDescent="0.3">
      <c r="C50" s="87"/>
      <c r="D50" s="87">
        <f t="shared" ref="D50:M50" si="29">D38-D39</f>
        <v>30</v>
      </c>
      <c r="E50" s="87">
        <f t="shared" si="29"/>
        <v>113</v>
      </c>
      <c r="F50" s="87">
        <f t="shared" si="29"/>
        <v>23</v>
      </c>
      <c r="G50" s="87">
        <f t="shared" si="29"/>
        <v>93</v>
      </c>
      <c r="H50" s="87">
        <f t="shared" si="29"/>
        <v>102</v>
      </c>
      <c r="I50" s="87">
        <f t="shared" si="29"/>
        <v>108</v>
      </c>
      <c r="J50" s="87">
        <f t="shared" si="29"/>
        <v>109</v>
      </c>
      <c r="K50" s="87">
        <f t="shared" si="29"/>
        <v>10</v>
      </c>
      <c r="L50" s="87">
        <f t="shared" si="29"/>
        <v>8</v>
      </c>
      <c r="M50" s="87">
        <f t="shared" si="29"/>
        <v>7</v>
      </c>
      <c r="N50" s="87">
        <f>N38-N39</f>
        <v>-22</v>
      </c>
      <c r="Y50" s="8"/>
      <c r="AT50" s="1009"/>
      <c r="AU50" s="1009"/>
      <c r="AV50" s="1009"/>
      <c r="AW50" s="1009"/>
      <c r="AX50" s="1009"/>
      <c r="AY50" s="1009"/>
      <c r="AZ50" s="1009"/>
      <c r="BA50" s="1009"/>
      <c r="BB50" s="1009"/>
      <c r="BC50" s="1009"/>
      <c r="BD50" s="1009"/>
      <c r="BE50" s="1009"/>
      <c r="BF50" s="1009"/>
      <c r="BG50" s="1009"/>
      <c r="BH50" s="1009"/>
      <c r="BI50" s="1009"/>
      <c r="BJ50" s="1009"/>
      <c r="BK50" s="1009"/>
      <c r="BL50" s="1009"/>
      <c r="BM50" s="1009"/>
      <c r="BN50" s="1009"/>
      <c r="BO50" s="1009"/>
      <c r="BP50" s="1009"/>
      <c r="BQ50" s="1009"/>
      <c r="BR50" s="1009"/>
      <c r="BS50" s="1009"/>
      <c r="BT50" s="1009"/>
      <c r="BU50" s="1009"/>
      <c r="BV50" s="1009"/>
      <c r="BW50" s="1009"/>
      <c r="BX50" s="1009"/>
      <c r="BY50" s="1009"/>
      <c r="BZ50" s="1009"/>
      <c r="CA50" s="1009"/>
      <c r="CB50" s="1009"/>
      <c r="CC50" s="1009"/>
      <c r="CD50" s="1009"/>
      <c r="CE50" s="1009"/>
      <c r="CF50" s="1009"/>
      <c r="CG50" s="1009"/>
      <c r="CH50" s="1009"/>
      <c r="CI50" s="1009"/>
      <c r="CJ50" s="1009"/>
      <c r="CK50" s="1009"/>
      <c r="CL50" s="1009"/>
      <c r="CM50" s="1009"/>
      <c r="CN50" s="1009"/>
      <c r="CO50" s="1009"/>
    </row>
    <row r="51" spans="2:93" x14ac:dyDescent="0.3">
      <c r="C51" s="105"/>
      <c r="E51" s="105"/>
      <c r="F51" s="105"/>
      <c r="G51" s="105"/>
      <c r="H51" s="105"/>
      <c r="I51" s="105"/>
      <c r="J51" s="105"/>
      <c r="K51" s="105"/>
      <c r="L51" s="105"/>
      <c r="M51" s="105"/>
      <c r="N51" s="105"/>
      <c r="AD51" s="103"/>
      <c r="AE51" s="103"/>
      <c r="AF51" s="103"/>
      <c r="AG51" s="103"/>
      <c r="AH51" s="921"/>
      <c r="AI51" s="921"/>
      <c r="AT51" s="1009"/>
      <c r="AU51" s="1009"/>
      <c r="AV51" s="1009"/>
      <c r="AW51" s="1009"/>
      <c r="AX51" s="1009"/>
      <c r="AY51" s="1009"/>
      <c r="AZ51" s="1009"/>
      <c r="BA51" s="1009"/>
      <c r="BB51" s="1009"/>
      <c r="BC51" s="1009"/>
      <c r="BD51" s="1009"/>
      <c r="BE51" s="1009"/>
      <c r="BF51" s="1009"/>
      <c r="BG51" s="1009"/>
      <c r="BH51" s="1009"/>
      <c r="BI51" s="1009"/>
      <c r="BJ51" s="1009"/>
      <c r="BK51" s="1009"/>
      <c r="BL51" s="1009"/>
      <c r="BM51" s="1009"/>
      <c r="BN51" s="1009"/>
      <c r="BO51" s="1009"/>
      <c r="BP51" s="1009"/>
      <c r="BQ51" s="1009"/>
      <c r="BR51" s="1009"/>
      <c r="BS51" s="1009"/>
      <c r="BT51" s="1009"/>
      <c r="BU51" s="1009"/>
      <c r="BV51" s="1009"/>
      <c r="BW51" s="1009"/>
      <c r="BX51" s="1009"/>
      <c r="BY51" s="1009"/>
      <c r="BZ51" s="1009"/>
      <c r="CA51" s="1009"/>
      <c r="CB51" s="1009"/>
      <c r="CC51" s="1009"/>
      <c r="CD51" s="1009"/>
      <c r="CE51" s="1009"/>
      <c r="CF51" s="1009"/>
      <c r="CG51" s="1009"/>
      <c r="CH51" s="1009"/>
      <c r="CI51" s="1009"/>
      <c r="CJ51" s="1009"/>
      <c r="CK51" s="1009"/>
      <c r="CL51" s="1009"/>
      <c r="CM51" s="1009"/>
      <c r="CN51" s="1009"/>
      <c r="CO51" s="1009"/>
    </row>
    <row r="52" spans="2:93" x14ac:dyDescent="0.3">
      <c r="C52" s="105"/>
      <c r="E52" s="107"/>
      <c r="F52" s="1073" t="s">
        <v>806</v>
      </c>
      <c r="G52" s="1073" t="s">
        <v>807</v>
      </c>
      <c r="H52" s="1073" t="s">
        <v>808</v>
      </c>
      <c r="I52" s="1073" t="s">
        <v>809</v>
      </c>
      <c r="J52" s="1073" t="s">
        <v>810</v>
      </c>
      <c r="K52" s="1073" t="s">
        <v>811</v>
      </c>
      <c r="L52" s="1073" t="s">
        <v>812</v>
      </c>
      <c r="M52" s="1073" t="s">
        <v>813</v>
      </c>
      <c r="N52" s="1074" t="s">
        <v>814</v>
      </c>
      <c r="AD52" s="103"/>
      <c r="AE52" s="103"/>
      <c r="AF52" s="103"/>
      <c r="AG52" s="103"/>
      <c r="AT52" s="1009"/>
      <c r="AU52" s="1009"/>
      <c r="AV52" s="1009"/>
      <c r="AW52" s="1009"/>
      <c r="AX52" s="1009"/>
      <c r="AY52" s="1009"/>
      <c r="AZ52" s="1009"/>
      <c r="BA52" s="1009"/>
      <c r="BB52" s="1009"/>
      <c r="BC52" s="1009"/>
      <c r="BD52" s="1009"/>
      <c r="BE52" s="1009"/>
      <c r="BF52" s="1009"/>
      <c r="BG52" s="1009"/>
      <c r="BH52" s="1009"/>
      <c r="BI52" s="1009"/>
      <c r="BJ52" s="1009"/>
      <c r="BK52" s="1009"/>
      <c r="BL52" s="1009"/>
      <c r="BM52" s="1009"/>
      <c r="BN52" s="1009"/>
      <c r="BO52" s="1009"/>
      <c r="BP52" s="1009"/>
      <c r="BQ52" s="1009"/>
      <c r="BR52" s="1009"/>
      <c r="BS52" s="1009"/>
      <c r="BT52" s="1009"/>
      <c r="BU52" s="1009"/>
      <c r="BV52" s="1009"/>
      <c r="BW52" s="1009"/>
      <c r="BX52" s="1009"/>
      <c r="BY52" s="1009"/>
      <c r="BZ52" s="1009"/>
      <c r="CA52" s="1009"/>
      <c r="CB52" s="1009"/>
      <c r="CC52" s="1009"/>
      <c r="CD52" s="1009"/>
      <c r="CE52" s="1009"/>
      <c r="CF52" s="1009"/>
      <c r="CG52" s="1009"/>
      <c r="CH52" s="1009"/>
      <c r="CI52" s="1009"/>
      <c r="CJ52" s="1009"/>
      <c r="CK52" s="1009"/>
      <c r="CL52" s="1009"/>
      <c r="CM52" s="1009"/>
      <c r="CN52" s="1009"/>
      <c r="CO52" s="1009"/>
    </row>
    <row r="53" spans="2:93" x14ac:dyDescent="0.3">
      <c r="C53" s="105"/>
      <c r="D53" s="107">
        <v>-20391.361839016172</v>
      </c>
      <c r="E53" s="107">
        <v>1119.5627863801437</v>
      </c>
      <c r="F53" s="107">
        <v>-1669.563885704403</v>
      </c>
      <c r="G53" s="107">
        <v>4686.9974390588322</v>
      </c>
      <c r="H53" s="107">
        <v>-1514.1378958288255</v>
      </c>
      <c r="I53" s="107">
        <v>805.36493473826783</v>
      </c>
      <c r="J53" s="107">
        <v>2114.8563906108425</v>
      </c>
      <c r="K53" s="107">
        <v>-2.7719810642732159</v>
      </c>
      <c r="L53" s="107">
        <v>1118.5780371991561</v>
      </c>
      <c r="M53" s="107">
        <v>3533.6380187561549</v>
      </c>
      <c r="N53" s="107">
        <v>8804.9702957817553</v>
      </c>
      <c r="P53" s="8">
        <v>129785</v>
      </c>
      <c r="Q53">
        <f>P53/56.46</f>
        <v>2298.7070492383987</v>
      </c>
      <c r="AT53" s="1009"/>
      <c r="AU53" s="1009"/>
      <c r="AV53" s="1009"/>
      <c r="AW53" s="1009"/>
      <c r="AX53" s="1009"/>
      <c r="AY53" s="1009"/>
      <c r="AZ53" s="1009"/>
      <c r="BA53" s="1009"/>
      <c r="BB53" s="1009"/>
      <c r="BC53" s="1009"/>
      <c r="BD53" s="1009"/>
      <c r="BE53" s="1009"/>
      <c r="BF53" s="1009"/>
      <c r="BG53" s="1009"/>
      <c r="BH53" s="1009"/>
      <c r="BI53" s="1009"/>
      <c r="BJ53" s="1009"/>
      <c r="BK53" s="1009"/>
      <c r="BL53" s="1009"/>
      <c r="BM53" s="1009"/>
      <c r="BN53" s="1009"/>
      <c r="BO53" s="1009"/>
      <c r="BP53" s="1009"/>
      <c r="BQ53" s="1009"/>
      <c r="BR53" s="1009"/>
      <c r="BS53" s="1009"/>
      <c r="BT53" s="1009"/>
      <c r="BU53" s="1009"/>
      <c r="BV53" s="1009"/>
      <c r="BW53" s="1009"/>
      <c r="BX53" s="1009"/>
      <c r="BY53" s="1009"/>
      <c r="BZ53" s="1009"/>
      <c r="CA53" s="1009"/>
      <c r="CB53" s="1009"/>
      <c r="CC53" s="1009"/>
      <c r="CD53" s="1009"/>
      <c r="CE53" s="1009"/>
      <c r="CF53" s="1009"/>
      <c r="CG53" s="1009"/>
      <c r="CH53" s="1009"/>
      <c r="CI53" s="1009"/>
      <c r="CJ53" s="1009"/>
      <c r="CK53" s="1009"/>
      <c r="CL53" s="1009"/>
      <c r="CM53" s="1009"/>
      <c r="CN53" s="1009"/>
      <c r="CO53" s="1009"/>
    </row>
    <row r="54" spans="2:93" x14ac:dyDescent="0.3">
      <c r="B54" s="70" t="s">
        <v>903</v>
      </c>
      <c r="C54" s="150">
        <f t="shared" ref="C54:N54" si="30">AT35</f>
        <v>-536445.79982456157</v>
      </c>
      <c r="D54" s="150">
        <f>AU34</f>
        <v>-25284585.408651192</v>
      </c>
      <c r="E54" s="1015">
        <f>AV35</f>
        <v>-236678.63154460042</v>
      </c>
      <c r="F54" s="1015">
        <f t="shared" si="30"/>
        <v>-425141.08203700581</v>
      </c>
      <c r="G54" s="1015">
        <f t="shared" si="30"/>
        <v>-340267.01064100827</v>
      </c>
      <c r="H54" s="1015">
        <f t="shared" si="30"/>
        <v>-191406.40551234511</v>
      </c>
      <c r="I54" s="1015">
        <f t="shared" si="30"/>
        <v>-37658.648699316414</v>
      </c>
      <c r="J54" s="1015">
        <f t="shared" si="30"/>
        <v>-10862.7577476153</v>
      </c>
      <c r="K54" s="1015">
        <f t="shared" si="30"/>
        <v>-117500.80221975372</v>
      </c>
      <c r="L54" s="1015">
        <f t="shared" si="30"/>
        <v>95522.782408427433</v>
      </c>
      <c r="M54" s="1015">
        <f t="shared" si="30"/>
        <v>-22422.462621213796</v>
      </c>
      <c r="N54" s="1015">
        <f t="shared" si="30"/>
        <v>102971.05847572398</v>
      </c>
      <c r="AT54" s="1009"/>
      <c r="AU54" s="1009"/>
      <c r="AV54" s="1009"/>
      <c r="AW54" s="1009"/>
      <c r="AX54" s="1009"/>
      <c r="AY54" s="1009"/>
      <c r="AZ54" s="1009"/>
      <c r="BA54" s="1009"/>
      <c r="BB54" s="1009"/>
      <c r="BC54" s="1009"/>
      <c r="BD54" s="1009"/>
      <c r="BE54" s="1009"/>
      <c r="BF54" s="1009"/>
      <c r="BG54" s="1009"/>
      <c r="BH54" s="1009"/>
      <c r="BI54" s="1009"/>
      <c r="BJ54" s="1009"/>
      <c r="BK54" s="1009"/>
      <c r="BL54" s="1009"/>
      <c r="BM54" s="1009"/>
      <c r="BN54" s="1009"/>
      <c r="BO54" s="1009"/>
      <c r="BP54" s="1009"/>
      <c r="BQ54" s="1009"/>
      <c r="BR54" s="1009"/>
      <c r="BS54" s="1009"/>
      <c r="BT54" s="1009"/>
      <c r="BU54" s="1009"/>
      <c r="BV54" s="1009"/>
      <c r="BW54" s="1009"/>
      <c r="BX54" s="1009"/>
      <c r="BY54" s="1009"/>
      <c r="BZ54" s="1009"/>
      <c r="CA54" s="1009"/>
      <c r="CB54" s="1009"/>
      <c r="CC54" s="1009"/>
      <c r="CD54" s="1009"/>
      <c r="CE54" s="1009"/>
      <c r="CF54" s="1009"/>
      <c r="CG54" s="1009"/>
      <c r="CH54" s="1009"/>
      <c r="CI54" s="1009"/>
      <c r="CJ54" s="1009"/>
      <c r="CK54" s="1009"/>
      <c r="CL54" s="1009"/>
      <c r="CM54" s="1009"/>
      <c r="CN54" s="1009"/>
      <c r="CO54" s="1009"/>
    </row>
    <row r="55" spans="2:93" x14ac:dyDescent="0.3">
      <c r="B55" s="70" t="s">
        <v>904</v>
      </c>
      <c r="C55" s="150">
        <v>136806.57087029595</v>
      </c>
      <c r="D55" s="150">
        <v>19548.241408383568</v>
      </c>
      <c r="E55" s="1015">
        <v>92154.807925826783</v>
      </c>
      <c r="F55" s="1015">
        <v>46598.860035290898</v>
      </c>
      <c r="G55" s="1015">
        <v>80793.702741158399</v>
      </c>
      <c r="H55" s="1015">
        <f>'data entry '!G153*1000</f>
        <v>-103706.3961728791</v>
      </c>
      <c r="I55" s="1015">
        <f>'data entry '!H153*1000</f>
        <v>-87778.328644278983</v>
      </c>
      <c r="J55" s="1015">
        <f>'data entry '!I153*1000</f>
        <v>-101059.64169300052</v>
      </c>
      <c r="K55" s="1015">
        <f>'data entry '!J153*1000</f>
        <v>-136306.6120042218</v>
      </c>
      <c r="L55" s="1015">
        <f>'data entry '!K153*1000</f>
        <v>30793.958595439406</v>
      </c>
      <c r="M55" s="1015">
        <f>'data entry '!L153*1000</f>
        <v>-34241.074019170541</v>
      </c>
      <c r="N55" s="1015">
        <f>'data entry '!M153*1000</f>
        <v>-43855.030564365436</v>
      </c>
      <c r="AT55" s="1009"/>
      <c r="AU55" s="1009"/>
      <c r="AV55" s="1009"/>
      <c r="AW55" s="1009"/>
      <c r="AX55" s="1009"/>
      <c r="AY55" s="1009"/>
      <c r="AZ55" s="1009"/>
      <c r="BA55" s="1009"/>
      <c r="BB55" s="1009"/>
      <c r="BC55" s="1009"/>
      <c r="BD55" s="1009"/>
      <c r="BE55" s="1009"/>
      <c r="BF55" s="1009"/>
      <c r="BG55" s="1009"/>
      <c r="BH55" s="1009"/>
      <c r="BI55" s="1009"/>
      <c r="BJ55" s="1009"/>
      <c r="BK55" s="1009"/>
      <c r="BL55" s="1009"/>
      <c r="BM55" s="1009"/>
      <c r="BN55" s="1009"/>
      <c r="BO55" s="1009"/>
      <c r="BP55" s="1009"/>
      <c r="BQ55" s="1009"/>
      <c r="BR55" s="1009"/>
      <c r="BS55" s="1009"/>
      <c r="BT55" s="1009"/>
      <c r="BU55" s="1009"/>
      <c r="BV55" s="1009"/>
      <c r="BW55" s="1009"/>
      <c r="BX55" s="1009"/>
      <c r="BY55" s="1009"/>
      <c r="BZ55" s="1009"/>
      <c r="CA55" s="1009"/>
      <c r="CB55" s="1009"/>
      <c r="CC55" s="1009"/>
      <c r="CD55" s="1009"/>
      <c r="CE55" s="1009"/>
      <c r="CF55" s="1009"/>
      <c r="CG55" s="1009"/>
      <c r="CH55" s="1009"/>
      <c r="CI55" s="1009"/>
      <c r="CJ55" s="1009"/>
      <c r="CK55" s="1009"/>
      <c r="CL55" s="1009"/>
      <c r="CM55" s="1009"/>
      <c r="CN55" s="1009"/>
      <c r="CO55" s="1009"/>
    </row>
    <row r="56" spans="2:93" x14ac:dyDescent="0.3">
      <c r="B56" s="70" t="s">
        <v>881</v>
      </c>
      <c r="C56" s="150">
        <v>-7449.9336905664386</v>
      </c>
      <c r="D56" s="150">
        <v>0</v>
      </c>
      <c r="E56" s="1015">
        <v>810474.21</v>
      </c>
      <c r="F56" s="1015">
        <v>36348.104404911377</v>
      </c>
      <c r="G56" s="1015">
        <v>40214.340552851616</v>
      </c>
      <c r="H56" s="1015">
        <f>U38</f>
        <v>17369.207109655428</v>
      </c>
      <c r="I56" s="1015">
        <f t="shared" ref="I56:N56" si="31">V38</f>
        <v>13184.113998846675</v>
      </c>
      <c r="J56" s="1015">
        <f t="shared" si="31"/>
        <v>10077.25151835155</v>
      </c>
      <c r="K56" s="1015">
        <f t="shared" si="31"/>
        <v>8251.3867532035219</v>
      </c>
      <c r="L56" s="1015">
        <f t="shared" si="31"/>
        <v>11232.694332821644</v>
      </c>
      <c r="M56" s="1015">
        <f t="shared" si="31"/>
        <v>9968.4619115318637</v>
      </c>
      <c r="N56" s="1015">
        <f t="shared" si="31"/>
        <v>10673.511519358144</v>
      </c>
      <c r="AT56" s="1009"/>
      <c r="AU56" s="1009"/>
      <c r="AV56" s="1009"/>
      <c r="AW56" s="1009"/>
      <c r="AX56" s="1009"/>
      <c r="AY56" s="1009"/>
      <c r="AZ56" s="1009"/>
      <c r="BA56" s="1009"/>
      <c r="BB56" s="1009"/>
      <c r="BC56" s="1009"/>
      <c r="BD56" s="1009"/>
      <c r="BE56" s="1009"/>
      <c r="BF56" s="1009"/>
      <c r="BG56" s="1009"/>
      <c r="BH56" s="1009"/>
      <c r="BI56" s="1009"/>
      <c r="BJ56" s="1009"/>
      <c r="BK56" s="1009"/>
      <c r="BL56" s="1009"/>
      <c r="BM56" s="1009"/>
      <c r="BN56" s="1009"/>
      <c r="BO56" s="1009"/>
      <c r="BP56" s="1009"/>
      <c r="BQ56" s="1009"/>
      <c r="BR56" s="1009"/>
      <c r="BS56" s="1009"/>
      <c r="BT56" s="1009"/>
      <c r="BU56" s="1009"/>
      <c r="BV56" s="1009"/>
      <c r="BW56" s="1009"/>
      <c r="BX56" s="1009"/>
      <c r="BY56" s="1009"/>
      <c r="BZ56" s="1009"/>
      <c r="CA56" s="1009"/>
      <c r="CB56" s="1009"/>
      <c r="CC56" s="1009"/>
      <c r="CD56" s="1009"/>
      <c r="CE56" s="1009"/>
      <c r="CF56" s="1009"/>
      <c r="CG56" s="1009"/>
      <c r="CH56" s="1009"/>
      <c r="CI56" s="1009"/>
      <c r="CJ56" s="1009"/>
      <c r="CK56" s="1009"/>
      <c r="CL56" s="1009"/>
      <c r="CM56" s="1009"/>
      <c r="CN56" s="1009"/>
      <c r="CO56" s="1009"/>
    </row>
    <row r="57" spans="2:93" x14ac:dyDescent="0.3">
      <c r="B57" s="70" t="s">
        <v>871</v>
      </c>
      <c r="C57" s="150">
        <f t="shared" ref="C57:N57" si="32">-C15/45</f>
        <v>0</v>
      </c>
      <c r="D57" s="1093">
        <f t="shared" si="32"/>
        <v>0</v>
      </c>
      <c r="E57" s="1093">
        <f t="shared" si="32"/>
        <v>0</v>
      </c>
      <c r="F57" s="1093">
        <f t="shared" si="32"/>
        <v>0</v>
      </c>
      <c r="G57" s="1093">
        <f t="shared" si="32"/>
        <v>0</v>
      </c>
      <c r="H57" s="1093">
        <f t="shared" si="32"/>
        <v>0</v>
      </c>
      <c r="I57" s="1093">
        <f t="shared" si="32"/>
        <v>0</v>
      </c>
      <c r="J57" s="1093">
        <f t="shared" si="32"/>
        <v>0</v>
      </c>
      <c r="K57" s="1093">
        <f t="shared" si="32"/>
        <v>0</v>
      </c>
      <c r="L57" s="1093">
        <f t="shared" si="32"/>
        <v>0</v>
      </c>
      <c r="M57" s="1093">
        <f t="shared" si="32"/>
        <v>0</v>
      </c>
      <c r="N57" s="1093">
        <f t="shared" si="32"/>
        <v>0</v>
      </c>
      <c r="AT57" s="1009"/>
      <c r="AU57" s="1009"/>
      <c r="AV57" s="1009"/>
      <c r="AW57" s="1009"/>
      <c r="AX57" s="1009"/>
      <c r="AY57" s="1009"/>
      <c r="AZ57" s="1009"/>
      <c r="BA57" s="1009"/>
      <c r="BB57" s="1009"/>
      <c r="BC57" s="1009"/>
      <c r="BD57" s="1009"/>
      <c r="BE57" s="1009"/>
      <c r="BF57" s="1009"/>
      <c r="BG57" s="1009"/>
      <c r="BH57" s="1009"/>
      <c r="BI57" s="1009"/>
      <c r="BJ57" s="1009"/>
      <c r="BK57" s="1009"/>
      <c r="BL57" s="1009"/>
      <c r="BM57" s="1009"/>
      <c r="BN57" s="1009"/>
      <c r="BO57" s="1009"/>
      <c r="BP57" s="1009"/>
      <c r="BQ57" s="1009"/>
      <c r="BR57" s="1009"/>
      <c r="BS57" s="1009"/>
      <c r="BT57" s="1009"/>
      <c r="BU57" s="1009"/>
      <c r="BV57" s="1009"/>
      <c r="BW57" s="1009"/>
      <c r="BX57" s="1009"/>
      <c r="BY57" s="1009"/>
      <c r="BZ57" s="1009"/>
      <c r="CA57" s="1009"/>
      <c r="CB57" s="1009"/>
      <c r="CC57" s="1009"/>
      <c r="CD57" s="1009"/>
      <c r="CE57" s="1009"/>
      <c r="CF57" s="1009"/>
      <c r="CG57" s="1009"/>
      <c r="CH57" s="1009"/>
      <c r="CI57" s="1009"/>
      <c r="CJ57" s="1009"/>
      <c r="CK57" s="1009"/>
      <c r="CL57" s="1009"/>
      <c r="CM57" s="1009"/>
      <c r="CN57" s="1009"/>
      <c r="CO57" s="1009"/>
    </row>
    <row r="58" spans="2:93" x14ac:dyDescent="0.3">
      <c r="C58" s="105">
        <f>C55-C54</f>
        <v>673252.37069485756</v>
      </c>
      <c r="D58" s="107">
        <f>D55-D54</f>
        <v>25304133.650059577</v>
      </c>
      <c r="E58" s="107">
        <f t="shared" ref="E58:M58" si="33">E55-E54</f>
        <v>328833.43947042723</v>
      </c>
      <c r="F58" s="107">
        <f>F55-F54</f>
        <v>471739.94207229669</v>
      </c>
      <c r="G58" s="107">
        <f t="shared" si="33"/>
        <v>421060.71338216669</v>
      </c>
      <c r="H58" s="107">
        <f t="shared" si="33"/>
        <v>87700.009339466007</v>
      </c>
      <c r="I58" s="107">
        <f t="shared" si="33"/>
        <v>-50119.679944962569</v>
      </c>
      <c r="J58" s="107">
        <f t="shared" si="33"/>
        <v>-90196.883945385227</v>
      </c>
      <c r="K58" s="107">
        <f t="shared" si="33"/>
        <v>-18805.809784468074</v>
      </c>
      <c r="L58" s="107">
        <f t="shared" si="33"/>
        <v>-64728.823812988026</v>
      </c>
      <c r="M58" s="107">
        <f t="shared" si="33"/>
        <v>-11818.611397956745</v>
      </c>
      <c r="N58" s="107">
        <f>N55-N54</f>
        <v>-146826.08904008943</v>
      </c>
      <c r="O58" t="s">
        <v>905</v>
      </c>
      <c r="AT58" s="1009"/>
      <c r="AU58" s="1009"/>
      <c r="AV58" s="1009"/>
      <c r="AW58" s="1009"/>
      <c r="AX58" s="1009"/>
      <c r="AY58" s="1009"/>
      <c r="AZ58" s="1009"/>
      <c r="BA58" s="1009"/>
      <c r="BB58" s="1009"/>
      <c r="BC58" s="1009"/>
      <c r="BD58" s="1009"/>
      <c r="BE58" s="1009"/>
      <c r="BF58" s="1009"/>
      <c r="BL58" s="1009"/>
      <c r="BM58" s="1009"/>
      <c r="BN58" s="1009"/>
      <c r="BO58" s="1009"/>
      <c r="BP58" s="1009"/>
      <c r="BQ58" s="1009"/>
      <c r="BR58" s="1009"/>
      <c r="BS58" s="1009"/>
      <c r="BT58" s="1009"/>
      <c r="BU58" s="1009"/>
      <c r="BV58" s="1009"/>
      <c r="BW58" s="1009"/>
      <c r="BX58" s="1009"/>
      <c r="BY58" s="1009"/>
      <c r="BZ58" s="1009"/>
      <c r="CA58" s="1009"/>
      <c r="CB58" s="1009"/>
      <c r="CC58" s="1009"/>
      <c r="CD58" s="1009"/>
      <c r="CE58" s="1009"/>
      <c r="CF58" s="1009"/>
      <c r="CG58" s="1009"/>
      <c r="CH58" s="1009"/>
      <c r="CI58" s="1009"/>
      <c r="CJ58" s="1009"/>
      <c r="CK58" s="1009"/>
      <c r="CL58" s="1009"/>
      <c r="CM58" s="1009"/>
      <c r="CN58" s="1009"/>
      <c r="CO58" s="1009"/>
    </row>
    <row r="59" spans="2:93" x14ac:dyDescent="0.3">
      <c r="C59" s="105">
        <f>C58-C56</f>
        <v>680702.30438542401</v>
      </c>
      <c r="D59" s="107">
        <f t="shared" ref="D59:N59" si="34">D58-D56</f>
        <v>25304133.650059577</v>
      </c>
      <c r="E59" s="107">
        <f t="shared" si="34"/>
        <v>-481640.77052957274</v>
      </c>
      <c r="F59" s="107">
        <f>F58-F56</f>
        <v>435391.83766738529</v>
      </c>
      <c r="G59" s="107">
        <f>G58-G56</f>
        <v>380846.37282931508</v>
      </c>
      <c r="H59" s="107">
        <f t="shared" si="34"/>
        <v>70330.802229810579</v>
      </c>
      <c r="I59" s="107">
        <f t="shared" si="34"/>
        <v>-63303.793943809244</v>
      </c>
      <c r="J59" s="107">
        <f t="shared" si="34"/>
        <v>-100274.13546373678</v>
      </c>
      <c r="K59" s="107">
        <f t="shared" si="34"/>
        <v>-27057.196537671596</v>
      </c>
      <c r="L59" s="107">
        <f t="shared" si="34"/>
        <v>-75961.518145809678</v>
      </c>
      <c r="M59" s="107">
        <f t="shared" si="34"/>
        <v>-21787.073309488609</v>
      </c>
      <c r="N59" s="107">
        <f t="shared" si="34"/>
        <v>-157499.60055944757</v>
      </c>
      <c r="O59" t="s">
        <v>905</v>
      </c>
    </row>
    <row r="60" spans="2:93" x14ac:dyDescent="0.3">
      <c r="C60" s="105"/>
      <c r="D60" s="107"/>
      <c r="E60" s="107"/>
      <c r="F60" s="107"/>
      <c r="G60" s="107"/>
      <c r="H60" s="107"/>
      <c r="I60" s="107"/>
      <c r="J60" s="107"/>
      <c r="K60" s="107"/>
      <c r="L60" s="107"/>
      <c r="M60" s="107"/>
      <c r="N60" s="107"/>
    </row>
    <row r="61" spans="2:93" x14ac:dyDescent="0.3">
      <c r="B61" s="129" t="s">
        <v>422</v>
      </c>
      <c r="C61" s="1015"/>
      <c r="D61" s="1015">
        <v>-6048.1384943084413</v>
      </c>
      <c r="E61" s="1015">
        <v>0</v>
      </c>
      <c r="F61" s="1015">
        <v>0</v>
      </c>
      <c r="G61" s="1015">
        <v>-1999.9999999999854</v>
      </c>
      <c r="H61" s="1015">
        <f>'ACE 2026'!G43</f>
        <v>-18259.368401817213</v>
      </c>
      <c r="I61" s="1015">
        <f>'ACE 2026'!H43</f>
        <v>-22063.721274061721</v>
      </c>
      <c r="J61" s="1015">
        <f>'ACE 2026'!I43</f>
        <v>-22431.383271977589</v>
      </c>
      <c r="K61" s="1015">
        <f>'ACE 2026'!J43</f>
        <v>-29147.181612625012</v>
      </c>
      <c r="L61" s="1015">
        <f>'ACE 2026'!K43</f>
        <v>-25745.496032868497</v>
      </c>
      <c r="M61" s="1015">
        <f>'ACE 2026'!L43</f>
        <v>-23436.953800409188</v>
      </c>
      <c r="N61" s="1015">
        <f>'ACE 2026'!M43</f>
        <v>-24969.395519086291</v>
      </c>
    </row>
    <row r="62" spans="2:93" x14ac:dyDescent="0.3">
      <c r="B62" s="129" t="s">
        <v>47</v>
      </c>
      <c r="C62" s="150"/>
      <c r="D62" s="1093"/>
      <c r="E62" s="1093"/>
      <c r="F62" s="1093"/>
      <c r="G62" s="1093"/>
      <c r="H62" s="1093"/>
      <c r="I62" s="1093"/>
      <c r="J62" s="1093"/>
      <c r="K62" s="1093"/>
      <c r="L62" s="1093"/>
      <c r="M62" s="1093"/>
      <c r="N62" s="1093"/>
    </row>
    <row r="63" spans="2:93" x14ac:dyDescent="0.3">
      <c r="B63" s="129" t="s">
        <v>600</v>
      </c>
      <c r="C63" s="150">
        <f>C44</f>
        <v>-441727.54473940731</v>
      </c>
      <c r="D63" s="1093">
        <f>(D44)</f>
        <v>350356.29046442785</v>
      </c>
      <c r="E63" s="1093">
        <f>(E44)</f>
        <v>145396.15665641983</v>
      </c>
      <c r="F63" s="1093">
        <f>((F44))+-13161.5919281567</f>
        <v>-9389.9661119824868</v>
      </c>
      <c r="G63" s="1093">
        <f>((G44))</f>
        <v>16140.743052402402</v>
      </c>
      <c r="H63" s="1093">
        <f>((H44))</f>
        <v>49316.794627697134</v>
      </c>
      <c r="I63" s="1093">
        <f t="shared" ref="I63:N63" si="35">((I44))</f>
        <v>56009.133785804603</v>
      </c>
      <c r="J63" s="1093">
        <f t="shared" si="35"/>
        <v>50703.346909945358</v>
      </c>
      <c r="K63" s="1093">
        <f t="shared" si="35"/>
        <v>-189638.12499057665</v>
      </c>
      <c r="L63" s="1130">
        <f>(((L44)))+70000</f>
        <v>-18915.713258086224</v>
      </c>
      <c r="M63" s="1093">
        <f t="shared" si="35"/>
        <v>-86526.209532215813</v>
      </c>
      <c r="N63" s="1093">
        <f t="shared" si="35"/>
        <v>-152405.30657603955</v>
      </c>
      <c r="P63" s="1094"/>
    </row>
    <row r="64" spans="2:93" x14ac:dyDescent="0.3">
      <c r="B64" s="129" t="s">
        <v>599</v>
      </c>
      <c r="C64" s="150">
        <f>C45</f>
        <v>-94718.255085154262</v>
      </c>
      <c r="D64" s="632">
        <f>D55-SUM(D63,D65,D66,D61)</f>
        <v>-324759.9105617358</v>
      </c>
      <c r="E64" s="632">
        <f t="shared" ref="E64" si="36">E55-SUM(E63,E65,E66,E61)</f>
        <v>-863715.55873059307</v>
      </c>
      <c r="F64" s="632">
        <f>F55-SUM(F63,F65,F66,F61)</f>
        <v>19640.72174236201</v>
      </c>
      <c r="G64" s="632">
        <f>(G55-SUM(G63,G65,G66,G61))</f>
        <v>26438.619135904366</v>
      </c>
      <c r="H64" s="632">
        <f>(H55-SUM(H63,H65,H66,H61))</f>
        <v>-152133.02950841445</v>
      </c>
      <c r="I64" s="632">
        <f t="shared" ref="I64:N64" si="37">(I55-SUM(I63,I65,I66,I61))</f>
        <v>-134907.85515486854</v>
      </c>
      <c r="J64" s="632">
        <f t="shared" si="37"/>
        <v>-139408.85684931983</v>
      </c>
      <c r="K64" s="632">
        <f t="shared" si="37"/>
        <v>74227.307845776348</v>
      </c>
      <c r="L64" s="1131">
        <v>64222.47355357249</v>
      </c>
      <c r="M64" s="632">
        <f t="shared" si="37"/>
        <v>65753.627401922597</v>
      </c>
      <c r="N64" s="632">
        <f t="shared" si="37"/>
        <v>122846.16001140227</v>
      </c>
    </row>
    <row r="65" spans="2:14" x14ac:dyDescent="0.3">
      <c r="B65" s="129" t="s">
        <v>906</v>
      </c>
      <c r="C65" s="150">
        <f>C56</f>
        <v>-7449.9336905664386</v>
      </c>
      <c r="D65" s="1093">
        <f t="shared" ref="D65:N66" si="38">D56</f>
        <v>0</v>
      </c>
      <c r="E65" s="1093">
        <f>E56</f>
        <v>810474.21</v>
      </c>
      <c r="F65" s="1093">
        <f>F56</f>
        <v>36348.104404911377</v>
      </c>
      <c r="G65" s="1093">
        <f t="shared" si="38"/>
        <v>40214.340552851616</v>
      </c>
      <c r="H65" s="1093">
        <f t="shared" si="38"/>
        <v>17369.207109655428</v>
      </c>
      <c r="I65" s="1093">
        <f t="shared" si="38"/>
        <v>13184.113998846675</v>
      </c>
      <c r="J65" s="1093">
        <f t="shared" si="38"/>
        <v>10077.25151835155</v>
      </c>
      <c r="K65" s="1093">
        <f t="shared" si="38"/>
        <v>8251.3867532035219</v>
      </c>
      <c r="L65" s="1093">
        <f t="shared" si="38"/>
        <v>11232.694332821644</v>
      </c>
      <c r="M65" s="1093">
        <f t="shared" si="38"/>
        <v>9968.4619115318637</v>
      </c>
      <c r="N65" s="1093">
        <f t="shared" si="38"/>
        <v>10673.511519358144</v>
      </c>
    </row>
    <row r="66" spans="2:14" x14ac:dyDescent="0.3">
      <c r="B66" s="129" t="s">
        <v>892</v>
      </c>
      <c r="C66" s="150">
        <f>C57</f>
        <v>0</v>
      </c>
      <c r="D66" s="1093">
        <f t="shared" si="38"/>
        <v>0</v>
      </c>
      <c r="E66" s="1093">
        <f t="shared" si="38"/>
        <v>0</v>
      </c>
      <c r="F66" s="1093">
        <f>F57</f>
        <v>0</v>
      </c>
      <c r="G66" s="1093">
        <f t="shared" si="38"/>
        <v>0</v>
      </c>
      <c r="H66" s="1093">
        <f>H57</f>
        <v>0</v>
      </c>
      <c r="I66" s="1093">
        <f t="shared" si="38"/>
        <v>0</v>
      </c>
      <c r="J66" s="1093">
        <f t="shared" si="38"/>
        <v>0</v>
      </c>
      <c r="K66" s="1093">
        <f t="shared" si="38"/>
        <v>0</v>
      </c>
      <c r="L66" s="1093">
        <f t="shared" si="38"/>
        <v>0</v>
      </c>
      <c r="M66" s="1093">
        <f t="shared" si="38"/>
        <v>0</v>
      </c>
      <c r="N66" s="1093">
        <f t="shared" si="38"/>
        <v>0</v>
      </c>
    </row>
    <row r="67" spans="2:14" x14ac:dyDescent="0.3">
      <c r="B67" s="129" t="s">
        <v>907</v>
      </c>
      <c r="C67" s="150">
        <f>C55-SUM(C61:C66)</f>
        <v>680702.30438542401</v>
      </c>
      <c r="D67" s="1093">
        <f t="shared" ref="D67:N67" si="39">D55-SUM(D61:D66)</f>
        <v>0</v>
      </c>
      <c r="E67" s="1093">
        <f t="shared" si="39"/>
        <v>0</v>
      </c>
      <c r="F67" s="1093">
        <f t="shared" si="39"/>
        <v>0</v>
      </c>
      <c r="G67" s="1093">
        <f>G55-SUM(G61:G66)</f>
        <v>0</v>
      </c>
      <c r="H67" s="1093">
        <f t="shared" si="39"/>
        <v>0</v>
      </c>
      <c r="I67" s="1093">
        <f t="shared" si="39"/>
        <v>0</v>
      </c>
      <c r="J67" s="1093">
        <f t="shared" si="39"/>
        <v>0</v>
      </c>
      <c r="K67" s="1093">
        <f t="shared" si="39"/>
        <v>0</v>
      </c>
      <c r="L67" s="1093">
        <f t="shared" si="39"/>
        <v>0</v>
      </c>
      <c r="M67" s="1093">
        <f t="shared" si="39"/>
        <v>0</v>
      </c>
      <c r="N67" s="1093">
        <f t="shared" si="39"/>
        <v>0</v>
      </c>
    </row>
    <row r="68" spans="2:14" x14ac:dyDescent="0.3">
      <c r="C68" s="105"/>
      <c r="E68" s="442"/>
      <c r="F68" s="442"/>
      <c r="G68" s="442"/>
      <c r="H68" s="442"/>
      <c r="I68" s="442"/>
      <c r="J68" s="442"/>
      <c r="K68" s="442"/>
      <c r="L68" s="442"/>
      <c r="M68" s="442"/>
      <c r="N68" s="442"/>
    </row>
    <row r="69" spans="2:14" x14ac:dyDescent="0.3">
      <c r="C69" s="105"/>
      <c r="E69" s="107"/>
      <c r="F69" s="107"/>
      <c r="G69" s="107"/>
      <c r="H69" s="107"/>
      <c r="I69" s="107"/>
      <c r="J69" s="107"/>
      <c r="K69" s="107"/>
      <c r="L69" s="107"/>
      <c r="M69" s="107"/>
      <c r="N69" s="107"/>
    </row>
    <row r="70" spans="2:14" x14ac:dyDescent="0.3">
      <c r="B70" s="129" t="s">
        <v>908</v>
      </c>
      <c r="C70" s="15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</row>
    <row r="71" spans="2:14" x14ac:dyDescent="0.3">
      <c r="B71" s="129" t="s">
        <v>909</v>
      </c>
      <c r="C71" s="15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</row>
    <row r="72" spans="2:14" x14ac:dyDescent="0.3">
      <c r="E72" s="105">
        <v>13161.052772060122</v>
      </c>
      <c r="F72" s="105">
        <v>7258.2632377973296</v>
      </c>
      <c r="G72" s="105">
        <v>7309.5841395107227</v>
      </c>
      <c r="H72" s="105">
        <v>7018.7379264824685</v>
      </c>
      <c r="I72" s="105">
        <v>7134.2633296148279</v>
      </c>
      <c r="J72" s="105">
        <v>7105.8148451051802</v>
      </c>
      <c r="K72" s="105">
        <v>5135.8578915362532</v>
      </c>
      <c r="L72" s="105">
        <v>5174.3234728218349</v>
      </c>
      <c r="M72" s="105">
        <v>2103.6797378626788</v>
      </c>
      <c r="N72" s="105">
        <v>47958.087545921269</v>
      </c>
    </row>
    <row r="73" spans="2:14" x14ac:dyDescent="0.3">
      <c r="E73" s="105">
        <f>E63-E72</f>
        <v>132235.10388435971</v>
      </c>
      <c r="F73" s="105">
        <f t="shared" ref="F73:N73" si="40">F63-F72</f>
        <v>-16648.229349779816</v>
      </c>
      <c r="G73" s="105">
        <f t="shared" si="40"/>
        <v>8831.1589128916785</v>
      </c>
      <c r="H73" s="105">
        <f t="shared" si="40"/>
        <v>42298.056701214664</v>
      </c>
      <c r="I73" s="105">
        <f t="shared" si="40"/>
        <v>48874.870456189776</v>
      </c>
      <c r="J73" s="105">
        <f t="shared" si="40"/>
        <v>43597.532064840176</v>
      </c>
      <c r="K73" s="105">
        <f t="shared" si="40"/>
        <v>-194773.9828821129</v>
      </c>
      <c r="L73" s="105">
        <f t="shared" si="40"/>
        <v>-24090.036730908058</v>
      </c>
      <c r="M73" s="105">
        <f t="shared" si="40"/>
        <v>-88629.889270078493</v>
      </c>
      <c r="N73" s="105">
        <f t="shared" si="40"/>
        <v>-200363.39412196082</v>
      </c>
    </row>
    <row r="75" spans="2:14" x14ac:dyDescent="0.3">
      <c r="G75">
        <v>10000</v>
      </c>
    </row>
    <row r="76" spans="2:14" hidden="1" x14ac:dyDescent="0.3">
      <c r="B76" s="70" t="s">
        <v>903</v>
      </c>
      <c r="C76" s="150">
        <v>537034.67490663892</v>
      </c>
      <c r="D76" s="150">
        <v>-1975512.3841337517</v>
      </c>
      <c r="E76" s="150">
        <v>6655.9832177983981</v>
      </c>
      <c r="F76" s="150">
        <v>-103909.70475317769</v>
      </c>
      <c r="G76" s="150">
        <v>208291.96458600738</v>
      </c>
      <c r="H76" s="150">
        <v>-71094.82285166673</v>
      </c>
      <c r="I76" s="150">
        <v>35339.641491432631</v>
      </c>
      <c r="J76" s="150">
        <v>92785.662730513533</v>
      </c>
      <c r="K76" s="150">
        <v>15728.094546617442</v>
      </c>
      <c r="L76" s="150">
        <v>-28885.449949721526</v>
      </c>
      <c r="M76" s="150">
        <v>92411.538362485458</v>
      </c>
      <c r="N76" s="150">
        <v>441116.55014260061</v>
      </c>
    </row>
    <row r="77" spans="2:14" hidden="1" x14ac:dyDescent="0.3">
      <c r="B77" s="70" t="s">
        <v>904</v>
      </c>
      <c r="C77" s="150">
        <v>136806.57087029595</v>
      </c>
      <c r="D77" s="150">
        <v>30004.625907208854</v>
      </c>
      <c r="E77" s="150">
        <v>2997.3385964071326</v>
      </c>
      <c r="F77" s="150">
        <v>14211.746215886877</v>
      </c>
      <c r="G77" s="150">
        <v>15249.96785218994</v>
      </c>
      <c r="H77" s="150">
        <v>13703.416182363611</v>
      </c>
      <c r="I77" s="150">
        <v>-1986.6384743301176</v>
      </c>
      <c r="J77" s="150">
        <v>9679.6709258745468</v>
      </c>
      <c r="K77" s="150">
        <v>-51951.019615094563</v>
      </c>
      <c r="L77" s="150">
        <v>-4722.0325328807039</v>
      </c>
      <c r="M77" s="150">
        <v>-7734.3427843387217</v>
      </c>
      <c r="N77" s="150">
        <v>45978.826216909569</v>
      </c>
    </row>
    <row r="78" spans="2:14" hidden="1" x14ac:dyDescent="0.3">
      <c r="B78" s="70" t="s">
        <v>881</v>
      </c>
      <c r="C78" s="150">
        <v>0</v>
      </c>
      <c r="D78" s="150">
        <v>13188.104272181088</v>
      </c>
      <c r="E78" s="150">
        <v>18077.396204106473</v>
      </c>
      <c r="F78" s="150">
        <v>11889.604881848263</v>
      </c>
      <c r="G78" s="150">
        <v>10058.582500037081</v>
      </c>
      <c r="H78" s="150">
        <v>6449.7680727320985</v>
      </c>
      <c r="I78" s="150">
        <v>2420.5804936550485</v>
      </c>
      <c r="J78" s="150">
        <v>-899.24336236868839</v>
      </c>
      <c r="K78" s="150">
        <v>-5231.4278558906553</v>
      </c>
      <c r="L78" s="150">
        <v>-4192.2000017212504</v>
      </c>
      <c r="M78" s="150">
        <v>-3510.0809954884553</v>
      </c>
      <c r="N78" s="150">
        <v>-2745.5438846107281</v>
      </c>
    </row>
    <row r="79" spans="2:14" hidden="1" x14ac:dyDescent="0.3">
      <c r="B79" s="70" t="s">
        <v>871</v>
      </c>
      <c r="C79" s="150">
        <v>0</v>
      </c>
      <c r="D79" s="1093">
        <v>0</v>
      </c>
      <c r="E79" s="1093">
        <v>0</v>
      </c>
      <c r="F79" s="1093">
        <v>0</v>
      </c>
      <c r="G79" s="1093">
        <v>0</v>
      </c>
      <c r="H79" s="1093">
        <v>0</v>
      </c>
      <c r="I79" s="1093">
        <v>0</v>
      </c>
      <c r="J79" s="1093">
        <v>0</v>
      </c>
      <c r="K79" s="1093">
        <v>0</v>
      </c>
      <c r="L79" s="1093">
        <v>0</v>
      </c>
      <c r="M79" s="1093">
        <v>0</v>
      </c>
      <c r="N79" s="1093">
        <v>0</v>
      </c>
    </row>
    <row r="80" spans="2:14" hidden="1" x14ac:dyDescent="0.3">
      <c r="C80" s="105">
        <v>-400228.10403634293</v>
      </c>
      <c r="D80" s="107">
        <v>2005517.0100409605</v>
      </c>
      <c r="E80" s="107">
        <v>-3658.6446213912654</v>
      </c>
      <c r="F80" s="107">
        <v>118121.45096906456</v>
      </c>
      <c r="G80" s="107">
        <v>-193041.99673381745</v>
      </c>
      <c r="H80" s="107">
        <v>84798.239034030339</v>
      </c>
      <c r="I80" s="107">
        <v>-37326.279965762747</v>
      </c>
      <c r="J80" s="107">
        <v>-83105.991804638994</v>
      </c>
      <c r="K80" s="107">
        <v>-67679.114161712001</v>
      </c>
      <c r="L80" s="107">
        <v>24163.417416840821</v>
      </c>
      <c r="M80" s="107">
        <v>-100145.88114682418</v>
      </c>
      <c r="N80" s="107">
        <v>-395137.72392569104</v>
      </c>
    </row>
    <row r="81" spans="2:14" hidden="1" x14ac:dyDescent="0.3">
      <c r="C81" s="105">
        <v>-400228.10403634293</v>
      </c>
      <c r="D81" s="107">
        <v>1992328.9057687793</v>
      </c>
      <c r="E81" s="107">
        <v>-21736.040825497737</v>
      </c>
      <c r="F81" s="107">
        <v>106231.8460872163</v>
      </c>
      <c r="G81" s="107">
        <v>-203100.57923385451</v>
      </c>
      <c r="H81" s="107">
        <v>78348.470961298241</v>
      </c>
      <c r="I81" s="107">
        <v>-39746.860459417796</v>
      </c>
      <c r="J81" s="107">
        <v>-82206.748442270298</v>
      </c>
      <c r="K81" s="107">
        <v>-62447.686305821349</v>
      </c>
      <c r="L81" s="107">
        <v>28355.617418562069</v>
      </c>
      <c r="M81" s="107">
        <v>-96635.800151335716</v>
      </c>
      <c r="N81" s="107">
        <v>-392392.18004108034</v>
      </c>
    </row>
    <row r="82" spans="2:14" hidden="1" x14ac:dyDescent="0.3">
      <c r="C82" s="105"/>
      <c r="D82" s="107"/>
      <c r="E82" s="107"/>
      <c r="F82" s="107"/>
      <c r="G82" s="107"/>
      <c r="H82" s="107"/>
      <c r="I82" s="107"/>
      <c r="J82" s="107"/>
      <c r="K82" s="107"/>
      <c r="L82" s="107"/>
      <c r="M82" s="107"/>
      <c r="N82" s="107"/>
    </row>
    <row r="83" spans="2:14" hidden="1" x14ac:dyDescent="0.3">
      <c r="B83" s="129" t="s">
        <v>422</v>
      </c>
      <c r="C83" s="1015"/>
      <c r="D83" s="1015">
        <v>0</v>
      </c>
      <c r="E83" s="1015">
        <v>0</v>
      </c>
      <c r="F83" s="1015">
        <v>0</v>
      </c>
      <c r="G83" s="1015">
        <v>0</v>
      </c>
      <c r="H83" s="1015">
        <v>0</v>
      </c>
      <c r="I83" s="1015">
        <v>0</v>
      </c>
      <c r="J83" s="1015">
        <v>0</v>
      </c>
      <c r="K83" s="1015">
        <v>0</v>
      </c>
      <c r="L83" s="1015">
        <v>0</v>
      </c>
      <c r="M83" s="1015">
        <v>0</v>
      </c>
      <c r="N83" s="1015">
        <v>0</v>
      </c>
    </row>
    <row r="84" spans="2:14" hidden="1" x14ac:dyDescent="0.3">
      <c r="B84" s="129" t="s">
        <v>47</v>
      </c>
      <c r="C84" s="150"/>
      <c r="D84" s="1093"/>
      <c r="E84" s="1093"/>
      <c r="F84" s="1093"/>
      <c r="G84" s="1093"/>
      <c r="H84" s="1093"/>
      <c r="I84" s="1093"/>
      <c r="J84" s="1093"/>
      <c r="K84" s="1093"/>
      <c r="L84" s="1093"/>
      <c r="M84" s="1093"/>
      <c r="N84" s="1093"/>
    </row>
    <row r="85" spans="2:14" hidden="1" x14ac:dyDescent="0.3">
      <c r="B85" s="129" t="s">
        <v>600</v>
      </c>
      <c r="C85" s="150">
        <v>1068.3099929031971</v>
      </c>
      <c r="D85" s="1093">
        <v>5640.5837026629888</v>
      </c>
      <c r="E85" s="1093">
        <v>13161.052772060122</v>
      </c>
      <c r="F85" s="1093">
        <v>7258.2632377973296</v>
      </c>
      <c r="G85" s="1093">
        <v>7309.5841395107227</v>
      </c>
      <c r="H85" s="1093">
        <v>7018.7379264824685</v>
      </c>
      <c r="I85" s="1093">
        <v>7134.2633296148279</v>
      </c>
      <c r="J85" s="1093">
        <v>7105.8148451051802</v>
      </c>
      <c r="K85" s="1093">
        <v>5135.8578915362532</v>
      </c>
      <c r="L85" s="1093">
        <v>5174.3234728218349</v>
      </c>
      <c r="M85" s="1093">
        <v>2103.6797378626788</v>
      </c>
      <c r="N85" s="1093">
        <v>47958.087545921269</v>
      </c>
    </row>
    <row r="86" spans="2:14" hidden="1" x14ac:dyDescent="0.3">
      <c r="B86" s="129" t="s">
        <v>599</v>
      </c>
      <c r="C86" s="150">
        <v>535966.36491373577</v>
      </c>
      <c r="D86" s="632">
        <v>11175.937932364777</v>
      </c>
      <c r="E86" s="632">
        <v>-28241.110379759466</v>
      </c>
      <c r="F86" s="632">
        <v>-4936.121903758718</v>
      </c>
      <c r="G86" s="632">
        <v>-2118.1987873578619</v>
      </c>
      <c r="H86" s="632">
        <v>234.91018314904431</v>
      </c>
      <c r="I86" s="632">
        <v>-11541.482297599992</v>
      </c>
      <c r="J86" s="632">
        <v>3473.099443138055</v>
      </c>
      <c r="K86" s="632">
        <v>-51855.449650740164</v>
      </c>
      <c r="L86" s="632">
        <v>-5704.1560039812884</v>
      </c>
      <c r="M86" s="632">
        <v>-6327.9415267129452</v>
      </c>
      <c r="N86" s="632">
        <v>766.28255559902755</v>
      </c>
    </row>
    <row r="87" spans="2:14" hidden="1" x14ac:dyDescent="0.3">
      <c r="B87" s="129" t="s">
        <v>906</v>
      </c>
      <c r="C87" s="150">
        <v>0</v>
      </c>
      <c r="D87" s="1093">
        <v>13188.104272181088</v>
      </c>
      <c r="E87" s="1093">
        <v>18077.396204106473</v>
      </c>
      <c r="F87" s="1093">
        <v>11889.604881848263</v>
      </c>
      <c r="G87" s="1093">
        <v>10058.582500037081</v>
      </c>
      <c r="H87" s="1093">
        <v>6449.7680727320985</v>
      </c>
      <c r="I87" s="1093">
        <v>2420.5804936550485</v>
      </c>
      <c r="J87" s="1093">
        <v>-899.24336236868839</v>
      </c>
      <c r="K87" s="1093">
        <v>-5231.4278558906553</v>
      </c>
      <c r="L87" s="1093">
        <v>-4192.2000017212504</v>
      </c>
      <c r="M87" s="1093">
        <v>-3510.0809954884553</v>
      </c>
      <c r="N87" s="1093">
        <v>-2745.5438846107281</v>
      </c>
    </row>
    <row r="88" spans="2:14" hidden="1" x14ac:dyDescent="0.3">
      <c r="B88" s="129" t="s">
        <v>892</v>
      </c>
      <c r="C88" s="150">
        <v>0</v>
      </c>
      <c r="D88" s="1093">
        <v>0</v>
      </c>
      <c r="E88" s="1093">
        <v>0</v>
      </c>
      <c r="F88" s="1093">
        <v>0</v>
      </c>
      <c r="G88" s="1093">
        <v>0</v>
      </c>
      <c r="H88" s="1093">
        <v>0</v>
      </c>
      <c r="I88" s="1093">
        <v>0</v>
      </c>
      <c r="J88" s="1093">
        <v>0</v>
      </c>
      <c r="K88" s="1093">
        <v>0</v>
      </c>
      <c r="L88" s="1093">
        <v>0</v>
      </c>
      <c r="M88" s="1093">
        <v>0</v>
      </c>
      <c r="N88" s="1093">
        <v>0</v>
      </c>
    </row>
    <row r="89" spans="2:14" hidden="1" x14ac:dyDescent="0.3">
      <c r="B89" s="129" t="s">
        <v>907</v>
      </c>
      <c r="C89" s="150">
        <v>-400228.10403634293</v>
      </c>
      <c r="D89" s="1093">
        <v>0</v>
      </c>
      <c r="E89" s="1093">
        <v>0</v>
      </c>
      <c r="F89" s="1093">
        <v>0</v>
      </c>
      <c r="G89" s="1093">
        <v>0</v>
      </c>
      <c r="H89" s="1093">
        <v>0</v>
      </c>
      <c r="I89" s="1093">
        <v>0</v>
      </c>
      <c r="J89" s="1093">
        <v>0</v>
      </c>
      <c r="K89" s="1093">
        <v>0</v>
      </c>
      <c r="L89" s="1093">
        <v>0</v>
      </c>
      <c r="M89" s="1093">
        <v>0</v>
      </c>
      <c r="N89" s="1093">
        <v>0</v>
      </c>
    </row>
    <row r="90" spans="2:14" hidden="1" x14ac:dyDescent="0.3">
      <c r="C90" s="105"/>
    </row>
    <row r="91" spans="2:14" hidden="1" x14ac:dyDescent="0.3">
      <c r="C91" s="105"/>
    </row>
    <row r="92" spans="2:14" hidden="1" x14ac:dyDescent="0.3">
      <c r="B92" s="129" t="s">
        <v>908</v>
      </c>
      <c r="C92" s="15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</row>
    <row r="93" spans="2:14" hidden="1" x14ac:dyDescent="0.3">
      <c r="B93" s="129" t="s">
        <v>909</v>
      </c>
      <c r="C93" s="15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</row>
    <row r="94" spans="2:14" hidden="1" x14ac:dyDescent="0.3"/>
    <row r="95" spans="2:14" hidden="1" x14ac:dyDescent="0.3"/>
    <row r="96" spans="2:14" hidden="1" x14ac:dyDescent="0.3"/>
    <row r="97" spans="4:14" hidden="1" x14ac:dyDescent="0.3">
      <c r="D97" s="107">
        <f>D85-D63</f>
        <v>-344715.70676176483</v>
      </c>
      <c r="E97" s="107">
        <f t="shared" ref="E97:N97" si="41">E85-E63</f>
        <v>-132235.10388435971</v>
      </c>
      <c r="F97" s="107">
        <f t="shared" si="41"/>
        <v>16648.229349779816</v>
      </c>
      <c r="G97" s="107">
        <f t="shared" si="41"/>
        <v>-8831.1589128916785</v>
      </c>
      <c r="H97" s="107">
        <f t="shared" si="41"/>
        <v>-42298.056701214664</v>
      </c>
      <c r="I97" s="107">
        <f t="shared" si="41"/>
        <v>-48874.870456189776</v>
      </c>
      <c r="J97" s="107">
        <f t="shared" si="41"/>
        <v>-43597.532064840176</v>
      </c>
      <c r="K97" s="107">
        <f t="shared" si="41"/>
        <v>194773.9828821129</v>
      </c>
      <c r="L97" s="107">
        <f t="shared" si="41"/>
        <v>24090.036730908058</v>
      </c>
      <c r="M97" s="107">
        <f t="shared" si="41"/>
        <v>88629.889270078493</v>
      </c>
      <c r="N97" s="107">
        <f t="shared" si="41"/>
        <v>200363.39412196082</v>
      </c>
    </row>
    <row r="98" spans="4:14" hidden="1" x14ac:dyDescent="0.3"/>
  </sheetData>
  <sheetProtection formatCells="0" formatColumns="0" formatRows="0" insertColumns="0" insertRows="0" insertHyperlinks="0" deleteColumns="0" deleteRows="0" sort="0" autoFilter="0" pivotTables="0"/>
  <mergeCells count="1">
    <mergeCell ref="BH3:BK3"/>
  </mergeCells>
  <conditionalFormatting sqref="U36:AA36">
    <cfRule type="cellIs" dxfId="5" priority="1" operator="notEqual">
      <formula>0</formula>
    </cfRule>
    <cfRule type="cellIs" dxfId="4" priority="2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9F72D-4647-4FCF-A5CD-1F31C27B3414}">
  <sheetPr>
    <tabColor rgb="FF92D050"/>
  </sheetPr>
  <dimension ref="A2:BD67"/>
  <sheetViews>
    <sheetView zoomScale="55" zoomScaleNormal="55" workbookViewId="0">
      <pane xSplit="2" topLeftCell="M1" activePane="topRight" state="frozen"/>
      <selection activeCell="F49" sqref="F49:F54"/>
      <selection pane="topRight" activeCell="F49" sqref="F49:F54"/>
    </sheetView>
  </sheetViews>
  <sheetFormatPr defaultRowHeight="14.4" outlineLevelCol="1" x14ac:dyDescent="0.3"/>
  <cols>
    <col min="2" max="2" width="29" bestFit="1" customWidth="1"/>
    <col min="3" max="3" width="21.21875" bestFit="1" customWidth="1"/>
    <col min="4" max="14" width="17.33203125" customWidth="1"/>
    <col min="15" max="15" width="17.33203125" customWidth="1" outlineLevel="1" collapsed="1"/>
    <col min="16" max="22" width="17.33203125" customWidth="1" outlineLevel="1"/>
    <col min="23" max="26" width="17.33203125" customWidth="1"/>
    <col min="27" max="34" width="17.33203125" customWidth="1" outlineLevel="1"/>
    <col min="35" max="38" width="17.33203125" customWidth="1"/>
    <col min="39" max="39" width="18.33203125" customWidth="1"/>
    <col min="40" max="41" width="17.33203125" customWidth="1"/>
    <col min="42" max="42" width="17.33203125" customWidth="1" collapsed="1"/>
    <col min="43" max="43" width="12.6640625" customWidth="1"/>
    <col min="44" max="44" width="8.88671875" customWidth="1"/>
    <col min="45" max="45" width="19.6640625" customWidth="1"/>
    <col min="46" max="49" width="22.6640625" customWidth="1"/>
    <col min="50" max="50" width="9.33203125" customWidth="1"/>
    <col min="51" max="53" width="8.88671875" customWidth="1"/>
    <col min="54" max="54" width="11.88671875" customWidth="1"/>
    <col min="55" max="55" width="14.33203125" customWidth="1"/>
    <col min="56" max="56" width="11.33203125" customWidth="1"/>
  </cols>
  <sheetData>
    <row r="2" spans="1:56" ht="21" x14ac:dyDescent="0.4">
      <c r="A2" s="1009"/>
      <c r="B2" s="1009"/>
      <c r="C2">
        <f>'DL '!C6</f>
        <v>52.488689999999991</v>
      </c>
      <c r="D2">
        <f>'DL '!D6</f>
        <v>53.485975109999984</v>
      </c>
      <c r="E2">
        <f>'DL '!E6</f>
        <v>54.502208637089979</v>
      </c>
      <c r="F2">
        <f>'DL '!F6</f>
        <v>55.319741766646324</v>
      </c>
      <c r="G2">
        <f>'DL '!G6</f>
        <v>56.149537893146011</v>
      </c>
      <c r="H2">
        <f>'DL '!H6</f>
        <v>56.991780961543199</v>
      </c>
      <c r="I2">
        <f>'DL '!I6</f>
        <v>57.447715209235547</v>
      </c>
      <c r="J2">
        <f>'DL '!J6</f>
        <v>57.907296930909432</v>
      </c>
      <c r="K2">
        <f>'DL '!K6</f>
        <v>58.370555306356707</v>
      </c>
      <c r="L2">
        <f>'DL '!L6</f>
        <v>59.392040024217955</v>
      </c>
      <c r="M2">
        <f>'DL '!M6</f>
        <v>60.431400724641776</v>
      </c>
      <c r="N2">
        <f>'DL '!N6</f>
        <v>61.48895023732301</v>
      </c>
      <c r="P2">
        <v>-1</v>
      </c>
      <c r="R2" s="35">
        <v>-1</v>
      </c>
      <c r="Z2" s="35"/>
      <c r="AC2" s="35"/>
      <c r="AD2" s="35"/>
      <c r="AM2" s="1001"/>
      <c r="AT2" s="1266" t="s">
        <v>507</v>
      </c>
      <c r="AU2" s="1267"/>
      <c r="AV2" s="1267"/>
      <c r="AW2" s="1267"/>
      <c r="BB2" t="s">
        <v>910</v>
      </c>
      <c r="BC2" s="953">
        <v>5001010206</v>
      </c>
      <c r="BD2" t="s">
        <v>844</v>
      </c>
    </row>
    <row r="3" spans="1:56" ht="21" x14ac:dyDescent="0.3">
      <c r="A3" s="1009"/>
      <c r="B3" s="1009"/>
      <c r="AA3" t="s">
        <v>410</v>
      </c>
      <c r="AB3" t="s">
        <v>410</v>
      </c>
      <c r="AC3" t="s">
        <v>410</v>
      </c>
      <c r="AD3" t="s">
        <v>410</v>
      </c>
      <c r="AE3" t="s">
        <v>410</v>
      </c>
      <c r="AF3" t="s">
        <v>410</v>
      </c>
      <c r="AG3" t="s">
        <v>410</v>
      </c>
      <c r="AH3" t="s">
        <v>410</v>
      </c>
      <c r="AI3" t="s">
        <v>410</v>
      </c>
      <c r="AJ3" t="s">
        <v>410</v>
      </c>
      <c r="AK3" t="s">
        <v>410</v>
      </c>
      <c r="AL3" t="s">
        <v>410</v>
      </c>
      <c r="AT3" s="1095" t="s">
        <v>599</v>
      </c>
      <c r="AU3" s="1096" t="s">
        <v>43</v>
      </c>
      <c r="AV3" s="1096" t="s">
        <v>47</v>
      </c>
      <c r="AW3" s="1095" t="s">
        <v>815</v>
      </c>
      <c r="BB3" t="s">
        <v>911</v>
      </c>
      <c r="BC3" s="953">
        <v>6666010012</v>
      </c>
      <c r="BD3" t="s">
        <v>847</v>
      </c>
    </row>
    <row r="4" spans="1:56" x14ac:dyDescent="0.3">
      <c r="A4" s="1009"/>
      <c r="B4" s="1009"/>
      <c r="C4" s="1003" t="s">
        <v>912</v>
      </c>
      <c r="D4" s="1003" t="s">
        <v>913</v>
      </c>
      <c r="E4" s="1003" t="s">
        <v>819</v>
      </c>
      <c r="F4" s="1003" t="s">
        <v>820</v>
      </c>
      <c r="G4" s="1003" t="s">
        <v>821</v>
      </c>
      <c r="H4" s="1003" t="s">
        <v>822</v>
      </c>
      <c r="I4" s="1003" t="s">
        <v>823</v>
      </c>
      <c r="J4" s="1003" t="s">
        <v>824</v>
      </c>
      <c r="K4" s="1003" t="s">
        <v>825</v>
      </c>
      <c r="L4" s="1003" t="s">
        <v>826</v>
      </c>
      <c r="M4" s="1003" t="s">
        <v>827</v>
      </c>
      <c r="N4" s="1003" t="s">
        <v>828</v>
      </c>
      <c r="O4" s="1003" t="s">
        <v>914</v>
      </c>
      <c r="P4" s="1003" t="s">
        <v>915</v>
      </c>
      <c r="Q4" s="1003" t="s">
        <v>916</v>
      </c>
      <c r="R4" s="1003" t="s">
        <v>917</v>
      </c>
      <c r="S4" s="1003" t="s">
        <v>918</v>
      </c>
      <c r="T4" s="1003" t="s">
        <v>919</v>
      </c>
      <c r="U4" s="1003" t="s">
        <v>920</v>
      </c>
      <c r="V4" s="1003" t="s">
        <v>921</v>
      </c>
      <c r="W4" s="1003" t="s">
        <v>922</v>
      </c>
      <c r="X4" s="1003" t="s">
        <v>923</v>
      </c>
      <c r="Y4" s="1003" t="s">
        <v>924</v>
      </c>
      <c r="Z4" s="1003" t="s">
        <v>925</v>
      </c>
      <c r="AA4" s="1003" t="s">
        <v>803</v>
      </c>
      <c r="AB4" s="1003" t="s">
        <v>804</v>
      </c>
      <c r="AC4" s="1003" t="s">
        <v>805</v>
      </c>
      <c r="AD4" s="1003" t="s">
        <v>806</v>
      </c>
      <c r="AE4" s="1003" t="s">
        <v>807</v>
      </c>
      <c r="AF4" s="1003" t="s">
        <v>808</v>
      </c>
      <c r="AG4" s="1003" t="s">
        <v>809</v>
      </c>
      <c r="AH4" s="1003" t="s">
        <v>810</v>
      </c>
      <c r="AI4" s="1003" t="s">
        <v>811</v>
      </c>
      <c r="AJ4" s="1003" t="s">
        <v>812</v>
      </c>
      <c r="AK4" s="1003" t="s">
        <v>813</v>
      </c>
      <c r="AL4" s="1003" t="s">
        <v>814</v>
      </c>
      <c r="AM4" s="107"/>
      <c r="AN4" s="1003" t="s">
        <v>839</v>
      </c>
      <c r="AO4" s="1003" t="s">
        <v>839</v>
      </c>
      <c r="AP4" s="1003" t="s">
        <v>840</v>
      </c>
      <c r="AS4" s="1032" t="s">
        <v>926</v>
      </c>
      <c r="AT4" s="1097">
        <f>SUM(AT5:AT7)</f>
        <v>-32637</v>
      </c>
      <c r="AU4" s="1097">
        <f>SUM(AU5:AU7)</f>
        <v>-7410</v>
      </c>
      <c r="AV4" s="1097">
        <f>SUM(AV5:AV7)</f>
        <v>0</v>
      </c>
      <c r="AW4" s="1097">
        <f>SUM(AW5:AW7)</f>
        <v>3947</v>
      </c>
      <c r="BB4" t="s">
        <v>927</v>
      </c>
      <c r="BC4" s="953">
        <v>6666010102</v>
      </c>
      <c r="BD4" t="s">
        <v>928</v>
      </c>
    </row>
    <row r="5" spans="1:56" x14ac:dyDescent="0.3">
      <c r="A5" s="1009"/>
      <c r="B5" s="1009" t="s">
        <v>929</v>
      </c>
      <c r="C5" s="1024">
        <v>8215869.977874998</v>
      </c>
      <c r="D5" s="1024">
        <v>8960362.5059999954</v>
      </c>
      <c r="E5" s="1024">
        <v>9308133.4534137435</v>
      </c>
      <c r="F5" s="1024">
        <v>9099516.6241624989</v>
      </c>
      <c r="G5" s="1024">
        <v>10482864.053413741</v>
      </c>
      <c r="H5" s="1024">
        <v>9985443.8291625008</v>
      </c>
      <c r="I5" s="1024">
        <v>9178438.4984137435</v>
      </c>
      <c r="J5" s="1024">
        <v>9318109.9884137437</v>
      </c>
      <c r="K5" s="1024">
        <v>11081398.564642515</v>
      </c>
      <c r="L5" s="1024">
        <v>10508758.236916158</v>
      </c>
      <c r="M5" s="1024">
        <v>10295686.308642514</v>
      </c>
      <c r="N5" s="1024">
        <v>10518734.771916158</v>
      </c>
      <c r="O5" s="1024"/>
      <c r="P5" s="1024"/>
      <c r="Q5" s="1024"/>
      <c r="R5" s="1024"/>
      <c r="S5" s="1024"/>
      <c r="T5" s="1025">
        <v>9393494.25</v>
      </c>
      <c r="U5" s="1025">
        <v>8929680.432</v>
      </c>
      <c r="V5" s="1025">
        <v>9083640.1119999997</v>
      </c>
      <c r="W5" s="1025">
        <v>10819500.042399997</v>
      </c>
      <c r="X5" s="1025">
        <v>10246751.733360002</v>
      </c>
      <c r="Y5" s="1025">
        <v>10043031.459999997</v>
      </c>
      <c r="Z5" s="1025">
        <v>10257748.853360003</v>
      </c>
      <c r="AA5" s="1024">
        <f t="shared" ref="AA5:AL9" si="0">O5-C5</f>
        <v>-8215869.977874998</v>
      </c>
      <c r="AB5" s="1024">
        <f t="shared" si="0"/>
        <v>-8960362.5059999954</v>
      </c>
      <c r="AC5" s="1024">
        <f t="shared" si="0"/>
        <v>-9308133.4534137435</v>
      </c>
      <c r="AD5" s="1024">
        <f t="shared" si="0"/>
        <v>-9099516.6241624989</v>
      </c>
      <c r="AE5" s="1024">
        <f t="shared" si="0"/>
        <v>-10482864.053413741</v>
      </c>
      <c r="AF5" s="1024">
        <f t="shared" si="0"/>
        <v>-591949.5791625008</v>
      </c>
      <c r="AG5" s="1024">
        <f t="shared" si="0"/>
        <v>-248758.06641374342</v>
      </c>
      <c r="AH5" s="1024">
        <f t="shared" si="0"/>
        <v>-234469.87641374394</v>
      </c>
      <c r="AI5" s="1024">
        <f t="shared" si="0"/>
        <v>-261898.52224251814</v>
      </c>
      <c r="AJ5" s="1024">
        <f t="shared" si="0"/>
        <v>-262006.50355615653</v>
      </c>
      <c r="AK5" s="1024">
        <f t="shared" si="0"/>
        <v>-252654.84864251688</v>
      </c>
      <c r="AL5" s="1024">
        <f t="shared" si="0"/>
        <v>-260985.91855615564</v>
      </c>
      <c r="AM5" s="107"/>
      <c r="AN5" s="1024">
        <f>O5-C5</f>
        <v>-8215869.977874998</v>
      </c>
      <c r="AO5" s="1024">
        <f>AN5</f>
        <v>-8215869.977874998</v>
      </c>
      <c r="AP5" s="1024">
        <f>AO5/57</f>
        <v>-144138.06978728066</v>
      </c>
      <c r="AS5" t="s">
        <v>930</v>
      </c>
      <c r="AT5" s="105">
        <f>-40047-AU5</f>
        <v>-32637</v>
      </c>
      <c r="AU5" s="105">
        <v>-7410</v>
      </c>
      <c r="AV5" s="105"/>
      <c r="AW5" s="105"/>
      <c r="AX5" s="34"/>
      <c r="AY5" s="34"/>
      <c r="BB5" t="s">
        <v>931</v>
      </c>
      <c r="BC5" s="953">
        <v>6666010184</v>
      </c>
      <c r="BD5" t="s">
        <v>863</v>
      </c>
    </row>
    <row r="6" spans="1:56" x14ac:dyDescent="0.3">
      <c r="A6" s="1009"/>
      <c r="B6" s="1009" t="s">
        <v>932</v>
      </c>
      <c r="C6" s="1024">
        <v>264877.00425000017</v>
      </c>
      <c r="D6" s="1024">
        <v>264877.00425000017</v>
      </c>
      <c r="E6" s="1024">
        <v>301430.03083649965</v>
      </c>
      <c r="F6" s="1024">
        <v>316501.53237832495</v>
      </c>
      <c r="G6" s="1024">
        <v>211001.02158554975</v>
      </c>
      <c r="H6" s="1024">
        <v>331573.03392015037</v>
      </c>
      <c r="I6" s="1024">
        <v>256215.52621102481</v>
      </c>
      <c r="J6" s="1024">
        <v>241144.02466919977</v>
      </c>
      <c r="K6" s="1024">
        <v>370367.07888880797</v>
      </c>
      <c r="L6" s="1024">
        <v>336697.34444437065</v>
      </c>
      <c r="M6" s="1024">
        <v>466622.90794761025</v>
      </c>
      <c r="N6" s="1024">
        <v>391519.59441037168</v>
      </c>
      <c r="O6" s="1024"/>
      <c r="P6" s="1024"/>
      <c r="Q6" s="1024"/>
      <c r="R6" s="1024"/>
      <c r="S6" s="1024"/>
      <c r="T6" s="1025">
        <v>682115.84</v>
      </c>
      <c r="U6" s="1025">
        <v>251131.99971428566</v>
      </c>
      <c r="V6" s="1025">
        <v>236359.52914285709</v>
      </c>
      <c r="W6" s="1025">
        <v>363018.69182228576</v>
      </c>
      <c r="X6" s="1025">
        <v>330016.99256571423</v>
      </c>
      <c r="Y6" s="1025">
        <v>457364.72616754286</v>
      </c>
      <c r="Z6" s="1025">
        <v>383751.52406112023</v>
      </c>
      <c r="AA6" s="1024">
        <f t="shared" si="0"/>
        <v>-264877.00425000017</v>
      </c>
      <c r="AB6" s="1024">
        <f t="shared" si="0"/>
        <v>-264877.00425000017</v>
      </c>
      <c r="AC6" s="1024">
        <f t="shared" si="0"/>
        <v>-301430.03083649965</v>
      </c>
      <c r="AD6" s="1024">
        <f t="shared" si="0"/>
        <v>-316501.53237832495</v>
      </c>
      <c r="AE6" s="1024">
        <f t="shared" si="0"/>
        <v>-211001.02158554975</v>
      </c>
      <c r="AF6" s="1024">
        <f t="shared" si="0"/>
        <v>350542.8060798496</v>
      </c>
      <c r="AG6" s="1024">
        <f t="shared" si="0"/>
        <v>-5083.5264967391558</v>
      </c>
      <c r="AH6" s="1024">
        <f t="shared" si="0"/>
        <v>-4784.4955263426818</v>
      </c>
      <c r="AI6" s="1024">
        <f t="shared" si="0"/>
        <v>-7348.3870665222057</v>
      </c>
      <c r="AJ6" s="1024">
        <f t="shared" si="0"/>
        <v>-6680.3518786564237</v>
      </c>
      <c r="AK6" s="1024">
        <f t="shared" si="0"/>
        <v>-9258.1817800673889</v>
      </c>
      <c r="AL6" s="1024">
        <f t="shared" si="0"/>
        <v>-7768.070349251444</v>
      </c>
      <c r="AM6" s="1009"/>
      <c r="AN6" s="1024">
        <f t="shared" ref="AN6:AN10" si="1">O6-C6</f>
        <v>-264877.00425000017</v>
      </c>
      <c r="AO6" s="1024">
        <f t="shared" ref="AO6:AO27" si="2">AN6</f>
        <v>-264877.00425000017</v>
      </c>
      <c r="AP6" s="1024">
        <f t="shared" ref="AP6:AP27" si="3">AO6/57</f>
        <v>-4646.9649868421084</v>
      </c>
      <c r="AS6" t="s">
        <v>933</v>
      </c>
      <c r="AT6" s="105"/>
      <c r="AU6" s="105"/>
      <c r="AV6" s="105"/>
      <c r="AW6" s="105"/>
      <c r="AX6" s="34"/>
      <c r="BB6" t="s">
        <v>934</v>
      </c>
      <c r="BC6" s="953">
        <v>6666010186</v>
      </c>
      <c r="BD6" t="s">
        <v>854</v>
      </c>
    </row>
    <row r="7" spans="1:56" x14ac:dyDescent="0.3">
      <c r="A7" s="1009"/>
      <c r="B7" s="1023" t="s">
        <v>935</v>
      </c>
      <c r="C7" s="1024">
        <v>1730657.4364709368</v>
      </c>
      <c r="D7" s="1024">
        <v>1885139.6360568728</v>
      </c>
      <c r="E7" s="1024">
        <v>1964886.8606619278</v>
      </c>
      <c r="F7" s="1024">
        <v>1924726.2051622211</v>
      </c>
      <c r="G7" s="1024">
        <v>2189879.4407423572</v>
      </c>
      <c r="H7" s="1024">
        <v>2111683.4367696522</v>
      </c>
      <c r="I7" s="1024">
        <v>1928593.1477896413</v>
      </c>
      <c r="J7" s="1024">
        <v>1954447.6453947099</v>
      </c>
      <c r="K7" s="1024">
        <v>2344797.0813207477</v>
      </c>
      <c r="L7" s="1024">
        <v>2218987.7434203122</v>
      </c>
      <c r="M7" s="1024">
        <v>2201734.8727304512</v>
      </c>
      <c r="N7" s="1024">
        <v>2232433.4913007584</v>
      </c>
      <c r="O7" s="1024"/>
      <c r="P7" s="1024"/>
      <c r="Q7" s="1024"/>
      <c r="R7" s="1024"/>
      <c r="S7" s="1024"/>
      <c r="T7" s="1025">
        <v>1687792.7</v>
      </c>
      <c r="U7" s="1025">
        <v>1873335.3813407142</v>
      </c>
      <c r="V7" s="1025">
        <v>1902216.7272971426</v>
      </c>
      <c r="W7" s="1025">
        <v>2284613.5441671237</v>
      </c>
      <c r="X7" s="1025">
        <v>2158920.4174455856</v>
      </c>
      <c r="Y7" s="1025">
        <v>2143073.1154457652</v>
      </c>
      <c r="Z7" s="1025">
        <v>2172352.2351308833</v>
      </c>
      <c r="AA7" s="1024">
        <f t="shared" si="0"/>
        <v>-1730657.4364709368</v>
      </c>
      <c r="AB7" s="1024">
        <f t="shared" si="0"/>
        <v>-1885139.6360568728</v>
      </c>
      <c r="AC7" s="1024">
        <f t="shared" si="0"/>
        <v>-1964886.8606619278</v>
      </c>
      <c r="AD7" s="1024">
        <f t="shared" si="0"/>
        <v>-1924726.2051622211</v>
      </c>
      <c r="AE7" s="1024">
        <f t="shared" si="0"/>
        <v>-2189879.4407423572</v>
      </c>
      <c r="AF7" s="1024">
        <f t="shared" si="0"/>
        <v>-423890.73676965223</v>
      </c>
      <c r="AG7" s="1024">
        <f t="shared" si="0"/>
        <v>-55257.766448927112</v>
      </c>
      <c r="AH7" s="1024">
        <f t="shared" si="0"/>
        <v>-52230.918097567279</v>
      </c>
      <c r="AI7" s="1024">
        <f t="shared" si="0"/>
        <v>-60183.537153623998</v>
      </c>
      <c r="AJ7" s="1024">
        <f t="shared" si="0"/>
        <v>-60067.325974726584</v>
      </c>
      <c r="AK7" s="1024">
        <f t="shared" si="0"/>
        <v>-58661.757284685969</v>
      </c>
      <c r="AL7" s="1024">
        <f t="shared" si="0"/>
        <v>-60081.256169875152</v>
      </c>
      <c r="AM7" s="1027"/>
      <c r="AN7" s="1024">
        <f t="shared" si="1"/>
        <v>-1730657.4364709368</v>
      </c>
      <c r="AO7" s="1024">
        <f t="shared" si="2"/>
        <v>-1730657.4364709368</v>
      </c>
      <c r="AP7" s="1024">
        <f t="shared" si="3"/>
        <v>-30362.411166156784</v>
      </c>
      <c r="AS7" t="s">
        <v>936</v>
      </c>
      <c r="AT7" s="105"/>
      <c r="AU7" s="105"/>
      <c r="AV7" s="105"/>
      <c r="AW7" s="105">
        <v>3947</v>
      </c>
      <c r="AX7" s="34"/>
      <c r="BB7" t="s">
        <v>937</v>
      </c>
      <c r="BC7" s="953">
        <v>6666010189</v>
      </c>
      <c r="BD7" t="s">
        <v>938</v>
      </c>
    </row>
    <row r="8" spans="1:56" x14ac:dyDescent="0.3">
      <c r="A8" s="1009"/>
      <c r="B8" s="1009" t="s">
        <v>939</v>
      </c>
      <c r="C8" s="1024">
        <v>-418326.23126374977</v>
      </c>
      <c r="D8" s="1024">
        <v>-455091.95708249998</v>
      </c>
      <c r="E8" s="1024">
        <v>-474149.44265173766</v>
      </c>
      <c r="F8" s="1024">
        <v>-464578.07146648417</v>
      </c>
      <c r="G8" s="1024">
        <v>-527719.70056113484</v>
      </c>
      <c r="H8" s="1024">
        <v>-509093.29636491812</v>
      </c>
      <c r="I8" s="1024">
        <v>-465499.66855643649</v>
      </c>
      <c r="J8" s="1024">
        <v>-471661.49510800239</v>
      </c>
      <c r="K8" s="1024">
        <v>-564652.08065764769</v>
      </c>
      <c r="L8" s="1024">
        <v>-534700.60421617527</v>
      </c>
      <c r="M8" s="1024">
        <v>-530588.77816829074</v>
      </c>
      <c r="N8" s="1024">
        <v>-537905.089855809</v>
      </c>
      <c r="O8" s="1024"/>
      <c r="P8" s="1024"/>
      <c r="Q8" s="1024"/>
      <c r="R8" s="1024"/>
      <c r="S8" s="1024"/>
      <c r="T8" s="1025">
        <v>-14214.51</v>
      </c>
      <c r="U8" s="1025">
        <v>-451406.11598571407</v>
      </c>
      <c r="V8" s="1025">
        <v>-458365.47645714303</v>
      </c>
      <c r="W8" s="1025">
        <v>-550509.28775111423</v>
      </c>
      <c r="X8" s="1025">
        <v>-520221.78733628569</v>
      </c>
      <c r="Y8" s="1025">
        <v>-516403.16034837731</v>
      </c>
      <c r="Z8" s="1025">
        <v>-523458.36991105619</v>
      </c>
      <c r="AA8" s="1024">
        <f t="shared" si="0"/>
        <v>418326.23126374977</v>
      </c>
      <c r="AB8" s="1024">
        <f t="shared" si="0"/>
        <v>455091.95708249998</v>
      </c>
      <c r="AC8" s="1024">
        <f t="shared" si="0"/>
        <v>474149.44265173766</v>
      </c>
      <c r="AD8" s="1024">
        <f t="shared" si="0"/>
        <v>464578.07146648417</v>
      </c>
      <c r="AE8" s="1024">
        <f t="shared" si="0"/>
        <v>527719.70056113484</v>
      </c>
      <c r="AF8" s="1024">
        <f t="shared" si="0"/>
        <v>494878.78636491811</v>
      </c>
      <c r="AG8" s="1024">
        <f t="shared" si="0"/>
        <v>14093.552570722415</v>
      </c>
      <c r="AH8" s="1024">
        <f t="shared" si="0"/>
        <v>13296.018650859362</v>
      </c>
      <c r="AI8" s="1024">
        <f t="shared" si="0"/>
        <v>14142.792906533461</v>
      </c>
      <c r="AJ8" s="1024">
        <f t="shared" si="0"/>
        <v>14478.816879889579</v>
      </c>
      <c r="AK8" s="1024">
        <f t="shared" si="0"/>
        <v>14185.61781991343</v>
      </c>
      <c r="AL8" s="1024">
        <f t="shared" si="0"/>
        <v>14446.719944752811</v>
      </c>
      <c r="AM8" s="1009"/>
      <c r="AN8" s="1024">
        <f t="shared" si="1"/>
        <v>418326.23126374977</v>
      </c>
      <c r="AO8" s="1024">
        <f t="shared" si="2"/>
        <v>418326.23126374977</v>
      </c>
      <c r="AP8" s="1024">
        <f t="shared" si="3"/>
        <v>7339.0566888377152</v>
      </c>
      <c r="AS8" s="1032" t="s">
        <v>861</v>
      </c>
      <c r="AT8" s="1033">
        <f>SUM(AT9:AT17)</f>
        <v>8175</v>
      </c>
      <c r="AU8" s="1034"/>
      <c r="AV8" s="1034"/>
      <c r="AW8" s="1033">
        <f>SUM(AW9:AW18)</f>
        <v>16249.05596331476</v>
      </c>
      <c r="BB8" t="s">
        <v>940</v>
      </c>
      <c r="BC8" s="953">
        <v>6666010226</v>
      </c>
      <c r="BD8" t="s">
        <v>859</v>
      </c>
    </row>
    <row r="9" spans="1:56" x14ac:dyDescent="0.3">
      <c r="A9" s="1009"/>
      <c r="B9" s="1023" t="s">
        <v>941</v>
      </c>
      <c r="C9" s="1024">
        <v>166810.35532249999</v>
      </c>
      <c r="D9" s="1024">
        <v>181700.20588499971</v>
      </c>
      <c r="E9" s="1024">
        <v>189386.68536500508</v>
      </c>
      <c r="F9" s="1024">
        <v>185515.77881081635</v>
      </c>
      <c r="G9" s="1024">
        <v>211072.71717998578</v>
      </c>
      <c r="H9" s="1024">
        <v>203535.7529416531</v>
      </c>
      <c r="I9" s="1024">
        <v>185888.4961724953</v>
      </c>
      <c r="J9" s="1024">
        <v>188380.4959416588</v>
      </c>
      <c r="K9" s="1024">
        <v>226004.53795862629</v>
      </c>
      <c r="L9" s="1024">
        <v>213878.33671521008</v>
      </c>
      <c r="M9" s="1024">
        <v>212215.4094198024</v>
      </c>
      <c r="N9" s="1024">
        <v>215174.31241453043</v>
      </c>
      <c r="O9" s="1024"/>
      <c r="P9" s="1024"/>
      <c r="Q9" s="1024"/>
      <c r="R9" s="1024"/>
      <c r="S9" s="1024"/>
      <c r="T9" s="1025">
        <v>189675.51</v>
      </c>
      <c r="U9" s="1025">
        <v>180562.44639428577</v>
      </c>
      <c r="V9" s="1025">
        <v>183346.19058285718</v>
      </c>
      <c r="W9" s="1025">
        <v>220203.7151004457</v>
      </c>
      <c r="X9" s="1025">
        <v>208088.71493451425</v>
      </c>
      <c r="Y9" s="1025">
        <v>206561.26413935088</v>
      </c>
      <c r="Z9" s="1025">
        <v>209383.34796442246</v>
      </c>
      <c r="AA9" s="1024">
        <f t="shared" si="0"/>
        <v>-166810.35532249999</v>
      </c>
      <c r="AB9" s="1024">
        <f t="shared" si="0"/>
        <v>-181700.20588499971</v>
      </c>
      <c r="AC9" s="1024">
        <f t="shared" si="0"/>
        <v>-189386.68536500508</v>
      </c>
      <c r="AD9" s="1024">
        <f t="shared" si="0"/>
        <v>-185515.77881081635</v>
      </c>
      <c r="AE9" s="1024">
        <f t="shared" si="0"/>
        <v>-211072.71717998578</v>
      </c>
      <c r="AF9" s="1024">
        <f t="shared" si="0"/>
        <v>-13860.242941653094</v>
      </c>
      <c r="AG9" s="1024">
        <f t="shared" si="0"/>
        <v>-5326.0497782095335</v>
      </c>
      <c r="AH9" s="1024">
        <f t="shared" si="0"/>
        <v>-5034.3053588016191</v>
      </c>
      <c r="AI9" s="1024">
        <f t="shared" si="0"/>
        <v>-5800.8228581805888</v>
      </c>
      <c r="AJ9" s="1024">
        <f t="shared" si="0"/>
        <v>-5789.6217806958302</v>
      </c>
      <c r="AK9" s="1024">
        <f t="shared" si="0"/>
        <v>-5654.1452804515138</v>
      </c>
      <c r="AL9" s="1024">
        <f t="shared" si="0"/>
        <v>-5790.9644501079747</v>
      </c>
      <c r="AM9" s="1009"/>
      <c r="AN9" s="1024">
        <f t="shared" si="1"/>
        <v>-166810.35532249999</v>
      </c>
      <c r="AO9" s="1024">
        <f t="shared" si="2"/>
        <v>-166810.35532249999</v>
      </c>
      <c r="AP9" s="1024">
        <f t="shared" si="3"/>
        <v>-2926.4974617982457</v>
      </c>
      <c r="AS9" t="s">
        <v>942</v>
      </c>
      <c r="AT9" s="105"/>
      <c r="AU9" s="105"/>
      <c r="AV9" s="105"/>
      <c r="AW9" s="105">
        <v>13753</v>
      </c>
      <c r="AX9" s="34"/>
      <c r="AY9" s="8"/>
    </row>
    <row r="10" spans="1:56" x14ac:dyDescent="0.3">
      <c r="A10" s="1009"/>
      <c r="B10" s="1009" t="s">
        <v>886</v>
      </c>
      <c r="C10" s="1024"/>
      <c r="D10" s="1024"/>
      <c r="E10" s="1024"/>
      <c r="F10" s="1024"/>
      <c r="G10" s="1024"/>
      <c r="H10" s="1024"/>
      <c r="I10" s="1024"/>
      <c r="J10" s="1024"/>
      <c r="K10" s="1024"/>
      <c r="L10" s="1024"/>
      <c r="M10" s="1024"/>
      <c r="N10" s="1024"/>
      <c r="O10" s="1024"/>
      <c r="P10" s="1024"/>
      <c r="Q10" s="1024"/>
      <c r="R10" s="1024"/>
      <c r="S10" s="1024"/>
      <c r="T10" s="1024"/>
      <c r="U10" s="1024"/>
      <c r="V10" s="1024"/>
      <c r="W10" s="1024"/>
      <c r="X10" s="1024"/>
      <c r="Y10" s="1024"/>
      <c r="Z10" s="1024"/>
      <c r="AA10" s="1024"/>
      <c r="AB10" s="1024"/>
      <c r="AC10" s="1024"/>
      <c r="AD10" s="1024"/>
      <c r="AE10" s="1024"/>
      <c r="AF10" s="1024"/>
      <c r="AG10" s="1024"/>
      <c r="AH10" s="1024"/>
      <c r="AI10" s="1024"/>
      <c r="AJ10" s="1024"/>
      <c r="AK10" s="1024"/>
      <c r="AL10" s="1024"/>
      <c r="AM10" s="1009"/>
      <c r="AN10" s="1024">
        <f t="shared" si="1"/>
        <v>0</v>
      </c>
      <c r="AO10" s="1024">
        <f t="shared" si="2"/>
        <v>0</v>
      </c>
      <c r="AP10" s="1024">
        <f t="shared" si="3"/>
        <v>0</v>
      </c>
      <c r="AS10" t="s">
        <v>102</v>
      </c>
      <c r="AT10" s="1098">
        <v>8175</v>
      </c>
      <c r="AU10" s="105"/>
      <c r="AV10" s="105"/>
      <c r="AX10" s="34"/>
    </row>
    <row r="11" spans="1:56" x14ac:dyDescent="0.3">
      <c r="A11" s="1009"/>
      <c r="B11" s="1036" t="s">
        <v>864</v>
      </c>
      <c r="C11" s="1037">
        <f t="shared" ref="C11:AL11" si="4">SUM(C5:C10)</f>
        <v>9959888.5426546857</v>
      </c>
      <c r="D11" s="1037">
        <f t="shared" si="4"/>
        <v>10836987.395109367</v>
      </c>
      <c r="E11" s="1037">
        <f t="shared" si="4"/>
        <v>11289687.587625438</v>
      </c>
      <c r="F11" s="1037">
        <f t="shared" si="4"/>
        <v>11061682.069047377</v>
      </c>
      <c r="G11" s="1037">
        <f t="shared" si="4"/>
        <v>12567097.5323605</v>
      </c>
      <c r="H11" s="1037">
        <f t="shared" si="4"/>
        <v>12123142.756429039</v>
      </c>
      <c r="I11" s="1037">
        <f t="shared" si="4"/>
        <v>11083636.000030469</v>
      </c>
      <c r="J11" s="1037">
        <f t="shared" si="4"/>
        <v>11230420.659311309</v>
      </c>
      <c r="K11" s="1037">
        <f t="shared" si="4"/>
        <v>13457915.182153048</v>
      </c>
      <c r="L11" s="1037">
        <f t="shared" si="4"/>
        <v>12743621.057279876</v>
      </c>
      <c r="M11" s="1037">
        <f t="shared" si="4"/>
        <v>12645670.720572088</v>
      </c>
      <c r="N11" s="1037">
        <f t="shared" si="4"/>
        <v>12819957.080186009</v>
      </c>
      <c r="O11" s="1037">
        <f t="shared" si="4"/>
        <v>0</v>
      </c>
      <c r="P11" s="1037">
        <f t="shared" si="4"/>
        <v>0</v>
      </c>
      <c r="Q11" s="1037">
        <f t="shared" si="4"/>
        <v>0</v>
      </c>
      <c r="R11" s="1037">
        <f t="shared" si="4"/>
        <v>0</v>
      </c>
      <c r="S11" s="1037">
        <f t="shared" si="4"/>
        <v>0</v>
      </c>
      <c r="T11" s="1037">
        <f t="shared" si="4"/>
        <v>11938863.789999999</v>
      </c>
      <c r="U11" s="1037">
        <f t="shared" si="4"/>
        <v>10783304.143463571</v>
      </c>
      <c r="V11" s="1037">
        <f t="shared" si="4"/>
        <v>10947197.082565712</v>
      </c>
      <c r="W11" s="1037">
        <f t="shared" si="4"/>
        <v>13136826.705738736</v>
      </c>
      <c r="X11" s="1037">
        <f t="shared" si="4"/>
        <v>12423556.070969529</v>
      </c>
      <c r="Y11" s="1037">
        <f t="shared" si="4"/>
        <v>12333627.405404277</v>
      </c>
      <c r="Z11" s="1037">
        <f t="shared" si="4"/>
        <v>12499777.590605374</v>
      </c>
      <c r="AA11" s="1037">
        <f t="shared" si="4"/>
        <v>-9959888.5426546857</v>
      </c>
      <c r="AB11" s="1037">
        <f t="shared" si="4"/>
        <v>-10836987.395109367</v>
      </c>
      <c r="AC11" s="1037">
        <f t="shared" si="4"/>
        <v>-11289687.587625438</v>
      </c>
      <c r="AD11" s="1037">
        <f t="shared" si="4"/>
        <v>-11061682.069047377</v>
      </c>
      <c r="AE11" s="1037">
        <f t="shared" si="4"/>
        <v>-12567097.5323605</v>
      </c>
      <c r="AF11" s="1037">
        <f t="shared" si="4"/>
        <v>-184278.96642903841</v>
      </c>
      <c r="AG11" s="1037">
        <f t="shared" si="4"/>
        <v>-300331.85656689678</v>
      </c>
      <c r="AH11" s="1037">
        <f t="shared" si="4"/>
        <v>-283223.57674559613</v>
      </c>
      <c r="AI11" s="1037">
        <f t="shared" si="4"/>
        <v>-321088.47641431144</v>
      </c>
      <c r="AJ11" s="1037">
        <f t="shared" si="4"/>
        <v>-320064.98631034582</v>
      </c>
      <c r="AK11" s="1037">
        <f t="shared" si="4"/>
        <v>-312043.31516780832</v>
      </c>
      <c r="AL11" s="1037">
        <f t="shared" si="4"/>
        <v>-320179.48958063743</v>
      </c>
      <c r="AM11" s="1027"/>
      <c r="AN11" s="1037">
        <f>SUM(AN5:AN10)</f>
        <v>-9959888.5426546857</v>
      </c>
      <c r="AO11" s="1024">
        <f t="shared" si="2"/>
        <v>-9959888.5426546857</v>
      </c>
      <c r="AP11" s="1037">
        <f t="shared" si="3"/>
        <v>-174734.88671324009</v>
      </c>
      <c r="AS11" t="s">
        <v>943</v>
      </c>
      <c r="AT11" s="105"/>
      <c r="AU11" s="105"/>
      <c r="AV11" s="105"/>
      <c r="AW11" s="105">
        <v>6997</v>
      </c>
      <c r="BC11">
        <v>50.960819402287548</v>
      </c>
    </row>
    <row r="12" spans="1:56" x14ac:dyDescent="0.3">
      <c r="A12" s="1009"/>
      <c r="B12" s="1052" t="s">
        <v>866</v>
      </c>
      <c r="C12" s="1024">
        <v>262228.90481305879</v>
      </c>
      <c r="D12" s="1024">
        <v>262228.90481305879</v>
      </c>
      <c r="E12" s="1024">
        <v>262228.90481305879</v>
      </c>
      <c r="F12" s="1024">
        <v>262228.90481305879</v>
      </c>
      <c r="G12" s="1024">
        <v>262228.90481305879</v>
      </c>
      <c r="H12" s="1024">
        <v>262228.90481305879</v>
      </c>
      <c r="I12" s="1024">
        <v>262228.90481305879</v>
      </c>
      <c r="J12" s="1024">
        <v>262228.90481305879</v>
      </c>
      <c r="K12" s="1024">
        <v>262228.90481305879</v>
      </c>
      <c r="L12" s="1024">
        <v>262228.90481305879</v>
      </c>
      <c r="M12" s="1024">
        <v>262228.90481305879</v>
      </c>
      <c r="N12" s="1024">
        <v>262228.90481305879</v>
      </c>
      <c r="O12" s="1024"/>
      <c r="P12" s="1024"/>
      <c r="Q12" s="1024"/>
      <c r="R12" s="1024"/>
      <c r="S12" s="1024"/>
      <c r="T12" s="1099">
        <v>269358.14</v>
      </c>
      <c r="U12" s="1099">
        <v>262228.90481305914</v>
      </c>
      <c r="V12" s="1099">
        <v>262228.90481305914</v>
      </c>
      <c r="W12" s="1099">
        <v>262228.90481305914</v>
      </c>
      <c r="X12" s="1099">
        <v>262228.90481305914</v>
      </c>
      <c r="Y12" s="1099">
        <v>262228.90481305914</v>
      </c>
      <c r="Z12" s="1099">
        <v>262228.90481305914</v>
      </c>
      <c r="AA12" s="1024">
        <f t="shared" ref="AA12:AL27" si="5">O12-C12</f>
        <v>-262228.90481305879</v>
      </c>
      <c r="AB12" s="1024">
        <f t="shared" si="5"/>
        <v>-262228.90481305879</v>
      </c>
      <c r="AC12" s="1024">
        <f t="shared" si="5"/>
        <v>-262228.90481305879</v>
      </c>
      <c r="AD12" s="1024">
        <f t="shared" si="5"/>
        <v>-262228.90481305879</v>
      </c>
      <c r="AE12" s="1024">
        <f t="shared" si="5"/>
        <v>-262228.90481305879</v>
      </c>
      <c r="AF12" s="1024">
        <f t="shared" si="5"/>
        <v>7129.2351869412232</v>
      </c>
      <c r="AG12" s="1024">
        <f t="shared" si="5"/>
        <v>0</v>
      </c>
      <c r="AH12" s="1024">
        <f t="shared" si="5"/>
        <v>0</v>
      </c>
      <c r="AI12" s="1024">
        <f t="shared" si="5"/>
        <v>0</v>
      </c>
      <c r="AJ12" s="1024">
        <f t="shared" si="5"/>
        <v>0</v>
      </c>
      <c r="AK12" s="1024">
        <f t="shared" si="5"/>
        <v>0</v>
      </c>
      <c r="AL12" s="1024">
        <f t="shared" si="5"/>
        <v>0</v>
      </c>
      <c r="AM12" s="1009"/>
      <c r="AN12" s="1024">
        <f t="shared" ref="AN12:AN27" si="6">O12-C12</f>
        <v>-262228.90481305879</v>
      </c>
      <c r="AO12" s="1024">
        <f t="shared" si="2"/>
        <v>-262228.90481305879</v>
      </c>
      <c r="AP12" s="1024">
        <f t="shared" si="3"/>
        <v>-4600.5071019834877</v>
      </c>
      <c r="AS12" t="s">
        <v>869</v>
      </c>
      <c r="AT12" s="105"/>
      <c r="AU12" s="105"/>
      <c r="AV12" s="105"/>
      <c r="AW12" s="1100">
        <v>-1044</v>
      </c>
      <c r="AX12" s="34"/>
      <c r="AY12" s="927"/>
      <c r="AZ12" s="8"/>
    </row>
    <row r="13" spans="1:56" x14ac:dyDescent="0.3">
      <c r="A13" s="1009"/>
      <c r="B13" s="1052" t="s">
        <v>868</v>
      </c>
      <c r="C13" s="1024"/>
      <c r="D13" s="1024"/>
      <c r="E13" s="1024"/>
      <c r="F13" s="1024"/>
      <c r="G13" s="1024"/>
      <c r="H13" s="1024"/>
      <c r="I13" s="1024"/>
      <c r="J13" s="1024"/>
      <c r="K13" s="1024"/>
      <c r="L13" s="1024"/>
      <c r="M13" s="1024"/>
      <c r="N13" s="1024"/>
      <c r="O13" s="1024"/>
      <c r="P13" s="1024"/>
      <c r="Q13" s="1024"/>
      <c r="R13" s="1024"/>
      <c r="S13" s="1024"/>
      <c r="T13" s="1024"/>
      <c r="U13" s="1024"/>
      <c r="V13" s="1024"/>
      <c r="W13" s="1024"/>
      <c r="X13" s="1024"/>
      <c r="Y13" s="1024"/>
      <c r="Z13" s="1024"/>
      <c r="AA13" s="1024">
        <f t="shared" si="5"/>
        <v>0</v>
      </c>
      <c r="AB13" s="1024">
        <f t="shared" si="5"/>
        <v>0</v>
      </c>
      <c r="AC13" s="1024">
        <f t="shared" si="5"/>
        <v>0</v>
      </c>
      <c r="AD13" s="1024">
        <f t="shared" si="5"/>
        <v>0</v>
      </c>
      <c r="AE13" s="1024">
        <f t="shared" si="5"/>
        <v>0</v>
      </c>
      <c r="AF13" s="1024">
        <f t="shared" si="5"/>
        <v>0</v>
      </c>
      <c r="AG13" s="1024">
        <f t="shared" si="5"/>
        <v>0</v>
      </c>
      <c r="AH13" s="1024">
        <f t="shared" si="5"/>
        <v>0</v>
      </c>
      <c r="AI13" s="1024">
        <f t="shared" si="5"/>
        <v>0</v>
      </c>
      <c r="AJ13" s="1024">
        <f t="shared" si="5"/>
        <v>0</v>
      </c>
      <c r="AK13" s="1024">
        <f t="shared" si="5"/>
        <v>0</v>
      </c>
      <c r="AL13" s="1024">
        <f t="shared" si="5"/>
        <v>0</v>
      </c>
      <c r="AM13" s="1009"/>
      <c r="AN13" s="1024">
        <f t="shared" si="6"/>
        <v>0</v>
      </c>
      <c r="AO13" s="1024">
        <f t="shared" si="2"/>
        <v>0</v>
      </c>
      <c r="AP13" s="1024">
        <f t="shared" si="3"/>
        <v>0</v>
      </c>
      <c r="AS13" t="s">
        <v>944</v>
      </c>
      <c r="AT13" s="105"/>
      <c r="AU13" s="105"/>
      <c r="AV13" s="105"/>
      <c r="AW13" s="1100"/>
      <c r="AX13" s="34"/>
      <c r="AY13" s="927"/>
      <c r="AZ13" s="8"/>
    </row>
    <row r="14" spans="1:56" x14ac:dyDescent="0.3">
      <c r="A14" s="1009"/>
      <c r="B14" s="1052" t="s">
        <v>945</v>
      </c>
      <c r="C14" s="1024"/>
      <c r="D14" s="1024"/>
      <c r="E14" s="1024"/>
      <c r="F14" s="1024"/>
      <c r="G14" s="1024"/>
      <c r="H14" s="1024"/>
      <c r="I14" s="1024"/>
      <c r="J14" s="1024"/>
      <c r="K14" s="1024"/>
      <c r="L14" s="1024"/>
      <c r="M14" s="1024"/>
      <c r="N14" s="1024"/>
      <c r="O14" s="1024"/>
      <c r="P14" s="1024"/>
      <c r="Q14" s="1024"/>
      <c r="R14" s="1024"/>
      <c r="S14" s="1024"/>
      <c r="T14" s="1024"/>
      <c r="U14" s="1024"/>
      <c r="V14" s="1024"/>
      <c r="W14" s="1024"/>
      <c r="X14" s="1024"/>
      <c r="Y14" s="1024"/>
      <c r="Z14" s="1024"/>
      <c r="AA14" s="1024">
        <f t="shared" si="5"/>
        <v>0</v>
      </c>
      <c r="AB14" s="1024">
        <f t="shared" si="5"/>
        <v>0</v>
      </c>
      <c r="AC14" s="1024">
        <f t="shared" si="5"/>
        <v>0</v>
      </c>
      <c r="AD14" s="1024">
        <f t="shared" si="5"/>
        <v>0</v>
      </c>
      <c r="AE14" s="1024">
        <f t="shared" si="5"/>
        <v>0</v>
      </c>
      <c r="AF14" s="1024">
        <f t="shared" si="5"/>
        <v>0</v>
      </c>
      <c r="AG14" s="1024">
        <f t="shared" si="5"/>
        <v>0</v>
      </c>
      <c r="AH14" s="1024">
        <f t="shared" si="5"/>
        <v>0</v>
      </c>
      <c r="AI14" s="1024">
        <f t="shared" si="5"/>
        <v>0</v>
      </c>
      <c r="AJ14" s="1024">
        <f t="shared" si="5"/>
        <v>0</v>
      </c>
      <c r="AK14" s="1024">
        <f t="shared" si="5"/>
        <v>0</v>
      </c>
      <c r="AL14" s="1024">
        <f t="shared" si="5"/>
        <v>0</v>
      </c>
      <c r="AM14" s="1009"/>
      <c r="AN14" s="1024">
        <f t="shared" si="6"/>
        <v>0</v>
      </c>
      <c r="AO14" s="1024">
        <f t="shared" si="2"/>
        <v>0</v>
      </c>
      <c r="AP14" s="1024">
        <f t="shared" si="3"/>
        <v>0</v>
      </c>
      <c r="AS14" t="s">
        <v>946</v>
      </c>
      <c r="AT14" s="105"/>
      <c r="AU14" s="105"/>
      <c r="AV14" s="105"/>
      <c r="AW14" s="1100"/>
      <c r="AX14" s="34"/>
    </row>
    <row r="15" spans="1:56" x14ac:dyDescent="0.3">
      <c r="A15" s="1009"/>
      <c r="B15" s="1052" t="s">
        <v>892</v>
      </c>
      <c r="C15" s="1024"/>
      <c r="D15" s="1024"/>
      <c r="E15" s="1024"/>
      <c r="F15" s="1024"/>
      <c r="G15" s="1024"/>
      <c r="H15" s="1024"/>
      <c r="I15" s="1024"/>
      <c r="J15" s="1024"/>
      <c r="K15" s="1024"/>
      <c r="L15" s="1024"/>
      <c r="M15" s="1024"/>
      <c r="N15" s="1024"/>
      <c r="O15" s="1024"/>
      <c r="P15" s="1024"/>
      <c r="Q15" s="1024"/>
      <c r="R15" s="1024"/>
      <c r="S15" s="1024"/>
      <c r="T15" s="1024"/>
      <c r="U15" s="1024"/>
      <c r="V15" s="1024"/>
      <c r="W15" s="1024"/>
      <c r="X15" s="1024"/>
      <c r="Y15" s="1024"/>
      <c r="Z15" s="1024"/>
      <c r="AA15" s="1024">
        <f t="shared" si="5"/>
        <v>0</v>
      </c>
      <c r="AB15" s="1024">
        <f t="shared" si="5"/>
        <v>0</v>
      </c>
      <c r="AC15" s="1024">
        <f t="shared" si="5"/>
        <v>0</v>
      </c>
      <c r="AD15" s="1024">
        <f t="shared" si="5"/>
        <v>0</v>
      </c>
      <c r="AE15" s="1024">
        <f t="shared" si="5"/>
        <v>0</v>
      </c>
      <c r="AF15" s="1024">
        <f t="shared" si="5"/>
        <v>0</v>
      </c>
      <c r="AG15" s="1024">
        <f t="shared" si="5"/>
        <v>0</v>
      </c>
      <c r="AH15" s="1024">
        <f t="shared" si="5"/>
        <v>0</v>
      </c>
      <c r="AI15" s="1024">
        <f t="shared" si="5"/>
        <v>0</v>
      </c>
      <c r="AJ15" s="1024">
        <f t="shared" si="5"/>
        <v>0</v>
      </c>
      <c r="AK15" s="1024">
        <f t="shared" si="5"/>
        <v>0</v>
      </c>
      <c r="AL15" s="1024">
        <f t="shared" si="5"/>
        <v>0</v>
      </c>
      <c r="AM15" s="1009"/>
      <c r="AN15" s="1024">
        <f t="shared" si="6"/>
        <v>0</v>
      </c>
      <c r="AO15" s="1024">
        <f t="shared" si="2"/>
        <v>0</v>
      </c>
      <c r="AP15" s="1024">
        <f t="shared" si="3"/>
        <v>0</v>
      </c>
      <c r="AS15" t="s">
        <v>947</v>
      </c>
      <c r="AT15" s="105"/>
      <c r="AU15" s="105"/>
      <c r="AV15" s="105"/>
      <c r="AW15" s="1100"/>
      <c r="AX15" s="34"/>
    </row>
    <row r="16" spans="1:56" x14ac:dyDescent="0.3">
      <c r="A16" s="1009"/>
      <c r="B16" s="1009" t="s">
        <v>875</v>
      </c>
      <c r="C16" s="1024"/>
      <c r="D16" s="1024"/>
      <c r="E16" s="1024"/>
      <c r="F16" s="1024"/>
      <c r="G16" s="1024"/>
      <c r="H16" s="1024"/>
      <c r="I16" s="1024"/>
      <c r="J16" s="1024"/>
      <c r="K16" s="1024"/>
      <c r="L16" s="1024"/>
      <c r="M16" s="1024"/>
      <c r="N16" s="1024"/>
      <c r="O16" s="1024"/>
      <c r="P16" s="1024"/>
      <c r="Q16" s="1024"/>
      <c r="R16" s="1024"/>
      <c r="S16" s="1024"/>
      <c r="T16" s="1024">
        <v>9757.0300000000007</v>
      </c>
      <c r="U16" s="1024"/>
      <c r="V16" s="1024"/>
      <c r="W16" s="1024"/>
      <c r="X16" s="1024"/>
      <c r="Y16" s="1024"/>
      <c r="Z16" s="1024"/>
      <c r="AA16" s="1024">
        <f t="shared" si="5"/>
        <v>0</v>
      </c>
      <c r="AB16" s="1024">
        <f t="shared" si="5"/>
        <v>0</v>
      </c>
      <c r="AC16" s="1024">
        <f t="shared" si="5"/>
        <v>0</v>
      </c>
      <c r="AD16" s="1024">
        <f t="shared" si="5"/>
        <v>0</v>
      </c>
      <c r="AE16" s="1024">
        <f t="shared" si="5"/>
        <v>0</v>
      </c>
      <c r="AF16" s="1024">
        <f t="shared" si="5"/>
        <v>9757.0300000000007</v>
      </c>
      <c r="AG16" s="1024">
        <f t="shared" si="5"/>
        <v>0</v>
      </c>
      <c r="AH16" s="1024">
        <f t="shared" si="5"/>
        <v>0</v>
      </c>
      <c r="AI16" s="1024">
        <f t="shared" si="5"/>
        <v>0</v>
      </c>
      <c r="AJ16" s="1024">
        <f t="shared" si="5"/>
        <v>0</v>
      </c>
      <c r="AK16" s="1024">
        <f t="shared" si="5"/>
        <v>0</v>
      </c>
      <c r="AL16" s="1024">
        <f t="shared" si="5"/>
        <v>0</v>
      </c>
      <c r="AM16" s="1009"/>
      <c r="AN16" s="1024">
        <f t="shared" si="6"/>
        <v>0</v>
      </c>
      <c r="AO16" s="1024">
        <f t="shared" si="2"/>
        <v>0</v>
      </c>
      <c r="AP16" s="1024">
        <f t="shared" si="3"/>
        <v>0</v>
      </c>
      <c r="AS16" t="s">
        <v>948</v>
      </c>
      <c r="AT16" s="1098"/>
      <c r="AU16" s="105"/>
      <c r="AV16" s="105"/>
      <c r="AW16" s="1098"/>
      <c r="AX16" s="34"/>
    </row>
    <row r="17" spans="1:56" x14ac:dyDescent="0.3">
      <c r="A17" s="1009"/>
      <c r="B17" s="1023" t="s">
        <v>876</v>
      </c>
      <c r="C17" s="1024"/>
      <c r="D17" s="1024"/>
      <c r="E17" s="1024"/>
      <c r="F17" s="1024"/>
      <c r="G17" s="1024"/>
      <c r="H17" s="1024"/>
      <c r="I17" s="1024"/>
      <c r="J17" s="1024"/>
      <c r="K17" s="1024"/>
      <c r="L17" s="1024"/>
      <c r="M17" s="1024"/>
      <c r="N17" s="1024"/>
      <c r="O17" s="1024"/>
      <c r="P17" s="1024"/>
      <c r="Q17" s="1024"/>
      <c r="R17" s="1024"/>
      <c r="S17" s="1024"/>
      <c r="T17" s="1024"/>
      <c r="U17" s="1024"/>
      <c r="V17" s="1024"/>
      <c r="W17" s="1024"/>
      <c r="X17" s="1024"/>
      <c r="Y17" s="1024"/>
      <c r="Z17" s="1024"/>
      <c r="AA17" s="1024">
        <f t="shared" si="5"/>
        <v>0</v>
      </c>
      <c r="AB17" s="1024">
        <f t="shared" si="5"/>
        <v>0</v>
      </c>
      <c r="AC17" s="1024">
        <f t="shared" si="5"/>
        <v>0</v>
      </c>
      <c r="AD17" s="1024">
        <f t="shared" si="5"/>
        <v>0</v>
      </c>
      <c r="AE17" s="1024">
        <f t="shared" si="5"/>
        <v>0</v>
      </c>
      <c r="AF17" s="1024">
        <f t="shared" si="5"/>
        <v>0</v>
      </c>
      <c r="AG17" s="1024">
        <f t="shared" si="5"/>
        <v>0</v>
      </c>
      <c r="AH17" s="1024">
        <f t="shared" si="5"/>
        <v>0</v>
      </c>
      <c r="AI17" s="1024">
        <f t="shared" si="5"/>
        <v>0</v>
      </c>
      <c r="AJ17" s="1024">
        <f t="shared" si="5"/>
        <v>0</v>
      </c>
      <c r="AK17" s="1024">
        <f t="shared" si="5"/>
        <v>0</v>
      </c>
      <c r="AL17" s="1024">
        <f t="shared" si="5"/>
        <v>0</v>
      </c>
      <c r="AM17" s="1009"/>
      <c r="AN17" s="1024">
        <f t="shared" si="6"/>
        <v>0</v>
      </c>
      <c r="AO17" s="1024">
        <f t="shared" si="2"/>
        <v>0</v>
      </c>
      <c r="AP17" s="1065">
        <f t="shared" si="3"/>
        <v>0</v>
      </c>
      <c r="AS17" t="s">
        <v>949</v>
      </c>
      <c r="AT17" s="105"/>
      <c r="AU17" s="105"/>
      <c r="AV17" s="105"/>
      <c r="AW17" s="1098">
        <f>(262-736)+-2982.94403668524</f>
        <v>-3456.94403668524</v>
      </c>
      <c r="AX17" s="34"/>
      <c r="AY17" s="927"/>
    </row>
    <row r="18" spans="1:56" x14ac:dyDescent="0.3">
      <c r="A18" s="1009"/>
      <c r="B18" s="1009" t="s">
        <v>950</v>
      </c>
      <c r="C18" s="1024"/>
      <c r="D18" s="1024"/>
      <c r="E18" s="1024"/>
      <c r="F18" s="1024"/>
      <c r="G18" s="1024"/>
      <c r="H18" s="1024"/>
      <c r="I18" s="1024"/>
      <c r="J18" s="1024"/>
      <c r="K18" s="1024"/>
      <c r="L18" s="1024"/>
      <c r="M18" s="1024"/>
      <c r="N18" s="1024"/>
      <c r="O18" s="1024"/>
      <c r="P18" s="1024"/>
      <c r="Q18" s="1024"/>
      <c r="R18" s="1024"/>
      <c r="S18" s="1024"/>
      <c r="T18" s="1024"/>
      <c r="U18" s="1024"/>
      <c r="V18" s="1024"/>
      <c r="W18" s="1024"/>
      <c r="X18" s="1024"/>
      <c r="Y18" s="1024"/>
      <c r="Z18" s="1024"/>
      <c r="AA18" s="1024">
        <f t="shared" si="5"/>
        <v>0</v>
      </c>
      <c r="AB18" s="1024">
        <f t="shared" si="5"/>
        <v>0</v>
      </c>
      <c r="AC18" s="1024">
        <f t="shared" si="5"/>
        <v>0</v>
      </c>
      <c r="AD18" s="1024">
        <f t="shared" si="5"/>
        <v>0</v>
      </c>
      <c r="AE18" s="1024">
        <f t="shared" si="5"/>
        <v>0</v>
      </c>
      <c r="AF18" s="1024">
        <f t="shared" si="5"/>
        <v>0</v>
      </c>
      <c r="AG18" s="1024">
        <f t="shared" si="5"/>
        <v>0</v>
      </c>
      <c r="AH18" s="1024">
        <f t="shared" si="5"/>
        <v>0</v>
      </c>
      <c r="AI18" s="1024">
        <f t="shared" si="5"/>
        <v>0</v>
      </c>
      <c r="AJ18" s="1024">
        <f t="shared" si="5"/>
        <v>0</v>
      </c>
      <c r="AK18" s="1024">
        <f t="shared" si="5"/>
        <v>0</v>
      </c>
      <c r="AL18" s="1024">
        <f t="shared" si="5"/>
        <v>0</v>
      </c>
      <c r="AM18" s="1009"/>
      <c r="AN18" s="1024">
        <f t="shared" si="6"/>
        <v>0</v>
      </c>
      <c r="AO18" s="1024">
        <f t="shared" si="2"/>
        <v>0</v>
      </c>
      <c r="AP18" s="1065">
        <f t="shared" si="3"/>
        <v>0</v>
      </c>
      <c r="AS18" t="s">
        <v>892</v>
      </c>
      <c r="AT18" s="927"/>
      <c r="AW18" s="105"/>
      <c r="AX18" s="34"/>
    </row>
    <row r="19" spans="1:56" x14ac:dyDescent="0.3">
      <c r="A19" s="1009"/>
      <c r="B19" s="1009" t="s">
        <v>951</v>
      </c>
      <c r="C19" s="1024"/>
      <c r="D19" s="1024"/>
      <c r="E19" s="1024"/>
      <c r="F19" s="1024"/>
      <c r="G19" s="1024"/>
      <c r="H19" s="1024"/>
      <c r="I19" s="1024"/>
      <c r="J19" s="1024"/>
      <c r="K19" s="1024"/>
      <c r="L19" s="1024"/>
      <c r="M19" s="1024"/>
      <c r="N19" s="1024"/>
      <c r="O19" s="1024"/>
      <c r="P19" s="1024"/>
      <c r="Q19" s="1024"/>
      <c r="R19" s="1024"/>
      <c r="S19" s="1024"/>
      <c r="T19" s="1024"/>
      <c r="U19" s="1024"/>
      <c r="V19" s="1024"/>
      <c r="W19" s="1024"/>
      <c r="X19" s="1024"/>
      <c r="Y19" s="1024"/>
      <c r="Z19" s="1024"/>
      <c r="AA19" s="1024">
        <f t="shared" si="5"/>
        <v>0</v>
      </c>
      <c r="AB19" s="1024">
        <f t="shared" si="5"/>
        <v>0</v>
      </c>
      <c r="AC19" s="1024">
        <f t="shared" si="5"/>
        <v>0</v>
      </c>
      <c r="AD19" s="1024">
        <f t="shared" si="5"/>
        <v>0</v>
      </c>
      <c r="AE19" s="1024">
        <f t="shared" si="5"/>
        <v>0</v>
      </c>
      <c r="AF19" s="1024">
        <f t="shared" si="5"/>
        <v>0</v>
      </c>
      <c r="AG19" s="1024">
        <f t="shared" si="5"/>
        <v>0</v>
      </c>
      <c r="AH19" s="1024">
        <f t="shared" si="5"/>
        <v>0</v>
      </c>
      <c r="AI19" s="1024">
        <f t="shared" si="5"/>
        <v>0</v>
      </c>
      <c r="AJ19" s="1024">
        <f t="shared" si="5"/>
        <v>0</v>
      </c>
      <c r="AK19" s="1024">
        <f t="shared" si="5"/>
        <v>0</v>
      </c>
      <c r="AL19" s="1024">
        <f t="shared" si="5"/>
        <v>0</v>
      </c>
      <c r="AM19" s="1009"/>
      <c r="AN19" s="1024">
        <f t="shared" si="6"/>
        <v>0</v>
      </c>
      <c r="AO19" s="1024">
        <f t="shared" si="2"/>
        <v>0</v>
      </c>
      <c r="AP19" s="1065">
        <f t="shared" si="3"/>
        <v>0</v>
      </c>
      <c r="AS19" t="s">
        <v>952</v>
      </c>
      <c r="AW19" s="105">
        <v>22259.855598310271</v>
      </c>
      <c r="AX19" s="1101">
        <v>10583.911561625029</v>
      </c>
      <c r="AY19" s="107">
        <f>AX19-AT4-AU4-AT8-AW8-AW19-AV4-AW4</f>
        <v>-3.637978807091713E-12</v>
      </c>
      <c r="AZ19" s="107"/>
    </row>
    <row r="20" spans="1:56" x14ac:dyDescent="0.3">
      <c r="A20" s="1009"/>
      <c r="B20" s="1009" t="s">
        <v>953</v>
      </c>
      <c r="C20" s="1024"/>
      <c r="D20" s="1024"/>
      <c r="E20" s="1024"/>
      <c r="F20" s="1024"/>
      <c r="G20" s="1024"/>
      <c r="H20" s="1024"/>
      <c r="I20" s="1024"/>
      <c r="J20" s="1024"/>
      <c r="K20" s="1024"/>
      <c r="L20" s="1024"/>
      <c r="M20" s="1024"/>
      <c r="N20" s="1024"/>
      <c r="O20" s="1024"/>
      <c r="P20" s="1024"/>
      <c r="Q20" s="1024"/>
      <c r="R20" s="1024"/>
      <c r="S20" s="1024"/>
      <c r="T20" s="1024"/>
      <c r="U20" s="1024"/>
      <c r="V20" s="1024"/>
      <c r="W20" s="1024"/>
      <c r="X20" s="1024"/>
      <c r="Y20" s="1024"/>
      <c r="Z20" s="1024"/>
      <c r="AA20" s="1024">
        <f t="shared" si="5"/>
        <v>0</v>
      </c>
      <c r="AB20" s="1024">
        <f t="shared" si="5"/>
        <v>0</v>
      </c>
      <c r="AC20" s="1024">
        <f t="shared" si="5"/>
        <v>0</v>
      </c>
      <c r="AD20" s="1024">
        <f t="shared" si="5"/>
        <v>0</v>
      </c>
      <c r="AE20" s="1024">
        <f t="shared" si="5"/>
        <v>0</v>
      </c>
      <c r="AF20" s="1024">
        <f t="shared" si="5"/>
        <v>0</v>
      </c>
      <c r="AG20" s="1024">
        <f t="shared" si="5"/>
        <v>0</v>
      </c>
      <c r="AH20" s="1024">
        <f t="shared" si="5"/>
        <v>0</v>
      </c>
      <c r="AI20" s="1024">
        <f t="shared" si="5"/>
        <v>0</v>
      </c>
      <c r="AJ20" s="1024">
        <f t="shared" si="5"/>
        <v>0</v>
      </c>
      <c r="AK20" s="1024">
        <f t="shared" si="5"/>
        <v>0</v>
      </c>
      <c r="AL20" s="1024">
        <f t="shared" si="5"/>
        <v>0</v>
      </c>
      <c r="AM20" s="1009"/>
      <c r="AN20" s="1024">
        <f t="shared" si="6"/>
        <v>0</v>
      </c>
      <c r="AO20" s="1024">
        <f t="shared" si="2"/>
        <v>0</v>
      </c>
      <c r="AP20" s="1065">
        <f t="shared" si="3"/>
        <v>0</v>
      </c>
    </row>
    <row r="21" spans="1:56" x14ac:dyDescent="0.3">
      <c r="A21" s="1009"/>
      <c r="B21" s="1023" t="s">
        <v>954</v>
      </c>
      <c r="C21" s="1024"/>
      <c r="D21" s="1024"/>
      <c r="E21" s="1024"/>
      <c r="F21" s="1024"/>
      <c r="G21" s="1024"/>
      <c r="H21" s="1024"/>
      <c r="I21" s="1024"/>
      <c r="J21" s="1024"/>
      <c r="K21" s="1024"/>
      <c r="L21" s="1024"/>
      <c r="M21" s="1024"/>
      <c r="N21" s="1024"/>
      <c r="O21" s="1024"/>
      <c r="P21" s="1024"/>
      <c r="Q21" s="1024"/>
      <c r="R21" s="1024"/>
      <c r="S21" s="1024"/>
      <c r="T21" s="1024">
        <v>-14613.68</v>
      </c>
      <c r="U21" s="1024"/>
      <c r="V21" s="1024"/>
      <c r="W21" s="1024"/>
      <c r="X21" s="1024"/>
      <c r="Y21" s="1024"/>
      <c r="Z21" s="1024"/>
      <c r="AA21" s="1024">
        <f t="shared" si="5"/>
        <v>0</v>
      </c>
      <c r="AB21" s="1024">
        <f t="shared" si="5"/>
        <v>0</v>
      </c>
      <c r="AC21" s="1024">
        <f t="shared" si="5"/>
        <v>0</v>
      </c>
      <c r="AD21" s="1024">
        <f t="shared" si="5"/>
        <v>0</v>
      </c>
      <c r="AE21" s="1024">
        <f t="shared" si="5"/>
        <v>0</v>
      </c>
      <c r="AF21" s="1024">
        <f t="shared" si="5"/>
        <v>-14613.68</v>
      </c>
      <c r="AG21" s="1024">
        <f t="shared" si="5"/>
        <v>0</v>
      </c>
      <c r="AH21" s="1024">
        <f t="shared" si="5"/>
        <v>0</v>
      </c>
      <c r="AI21" s="1024">
        <f t="shared" si="5"/>
        <v>0</v>
      </c>
      <c r="AJ21" s="1024">
        <f t="shared" si="5"/>
        <v>0</v>
      </c>
      <c r="AK21" s="1024">
        <f t="shared" si="5"/>
        <v>0</v>
      </c>
      <c r="AL21" s="1024">
        <f t="shared" si="5"/>
        <v>0</v>
      </c>
      <c r="AM21" s="1009"/>
      <c r="AN21" s="1024">
        <f t="shared" si="6"/>
        <v>0</v>
      </c>
      <c r="AO21" s="1024">
        <f t="shared" si="2"/>
        <v>0</v>
      </c>
      <c r="AP21" s="1065">
        <f t="shared" si="3"/>
        <v>0</v>
      </c>
    </row>
    <row r="22" spans="1:56" x14ac:dyDescent="0.3">
      <c r="A22" s="1009"/>
      <c r="B22" s="1023" t="s">
        <v>955</v>
      </c>
      <c r="C22" s="1024"/>
      <c r="D22" s="1024"/>
      <c r="E22" s="1024"/>
      <c r="F22" s="1024"/>
      <c r="G22" s="1024"/>
      <c r="H22" s="1024"/>
      <c r="I22" s="1024"/>
      <c r="J22" s="1024"/>
      <c r="K22" s="1024"/>
      <c r="L22" s="1024"/>
      <c r="M22" s="1024"/>
      <c r="N22" s="1024"/>
      <c r="O22" s="1024"/>
      <c r="P22" s="1024"/>
      <c r="Q22" s="1024"/>
      <c r="R22" s="1024"/>
      <c r="S22" s="1024"/>
      <c r="T22" s="1024"/>
      <c r="U22" s="1024"/>
      <c r="V22" s="1024"/>
      <c r="W22" s="1024"/>
      <c r="X22" s="1024"/>
      <c r="Y22" s="1024"/>
      <c r="Z22" s="1024"/>
      <c r="AA22" s="1024">
        <f t="shared" si="5"/>
        <v>0</v>
      </c>
      <c r="AB22" s="1024">
        <f t="shared" si="5"/>
        <v>0</v>
      </c>
      <c r="AC22" s="1024">
        <f t="shared" si="5"/>
        <v>0</v>
      </c>
      <c r="AD22" s="1024">
        <f t="shared" si="5"/>
        <v>0</v>
      </c>
      <c r="AE22" s="1024">
        <f t="shared" si="5"/>
        <v>0</v>
      </c>
      <c r="AF22" s="1024">
        <f t="shared" si="5"/>
        <v>0</v>
      </c>
      <c r="AG22" s="1024">
        <f t="shared" si="5"/>
        <v>0</v>
      </c>
      <c r="AH22" s="1024">
        <f t="shared" si="5"/>
        <v>0</v>
      </c>
      <c r="AI22" s="1024">
        <f t="shared" si="5"/>
        <v>0</v>
      </c>
      <c r="AJ22" s="1024">
        <f t="shared" si="5"/>
        <v>0</v>
      </c>
      <c r="AK22" s="1024">
        <f t="shared" si="5"/>
        <v>0</v>
      </c>
      <c r="AL22" s="1024">
        <f t="shared" si="5"/>
        <v>0</v>
      </c>
      <c r="AM22" s="1009"/>
      <c r="AN22" s="1024">
        <f t="shared" si="6"/>
        <v>0</v>
      </c>
      <c r="AO22" s="1024">
        <f t="shared" si="2"/>
        <v>0</v>
      </c>
      <c r="AP22" s="1065">
        <f t="shared" si="3"/>
        <v>0</v>
      </c>
      <c r="AT22" s="8"/>
      <c r="AW22" s="105"/>
      <c r="AX22" s="8"/>
    </row>
    <row r="23" spans="1:56" x14ac:dyDescent="0.3">
      <c r="A23" s="1009"/>
      <c r="B23" s="1102" t="s">
        <v>956</v>
      </c>
      <c r="C23" s="1024"/>
      <c r="D23" s="1024"/>
      <c r="E23" s="1024"/>
      <c r="F23" s="1024"/>
      <c r="G23" s="1024"/>
      <c r="H23" s="1024"/>
      <c r="I23" s="1024"/>
      <c r="J23" s="1024"/>
      <c r="K23" s="1024"/>
      <c r="L23" s="1024"/>
      <c r="M23" s="1024"/>
      <c r="N23" s="1024"/>
      <c r="O23" s="1024"/>
      <c r="P23" s="1024"/>
      <c r="Q23" s="1024"/>
      <c r="R23" s="1024"/>
      <c r="S23" s="1024"/>
      <c r="T23" s="1024"/>
      <c r="U23" s="1024"/>
      <c r="V23" s="1024"/>
      <c r="W23" s="1024"/>
      <c r="X23" s="1024"/>
      <c r="Y23" s="1024"/>
      <c r="Z23" s="1024"/>
      <c r="AA23" s="1024">
        <f t="shared" si="5"/>
        <v>0</v>
      </c>
      <c r="AB23" s="1024">
        <f t="shared" si="5"/>
        <v>0</v>
      </c>
      <c r="AC23" s="1024">
        <f t="shared" si="5"/>
        <v>0</v>
      </c>
      <c r="AD23" s="1024">
        <f t="shared" si="5"/>
        <v>0</v>
      </c>
      <c r="AE23" s="1024">
        <f t="shared" si="5"/>
        <v>0</v>
      </c>
      <c r="AF23" s="1024">
        <f t="shared" si="5"/>
        <v>0</v>
      </c>
      <c r="AG23" s="1024">
        <f t="shared" si="5"/>
        <v>0</v>
      </c>
      <c r="AH23" s="1024">
        <f t="shared" si="5"/>
        <v>0</v>
      </c>
      <c r="AI23" s="1024">
        <f t="shared" si="5"/>
        <v>0</v>
      </c>
      <c r="AJ23" s="1024">
        <f t="shared" si="5"/>
        <v>0</v>
      </c>
      <c r="AK23" s="1024">
        <f t="shared" si="5"/>
        <v>0</v>
      </c>
      <c r="AL23" s="1024">
        <f t="shared" si="5"/>
        <v>0</v>
      </c>
      <c r="AN23" s="1024">
        <f t="shared" si="6"/>
        <v>0</v>
      </c>
      <c r="AO23" s="1024">
        <f t="shared" si="2"/>
        <v>0</v>
      </c>
      <c r="AP23" s="1065">
        <f t="shared" si="3"/>
        <v>0</v>
      </c>
      <c r="AW23" s="105"/>
    </row>
    <row r="24" spans="1:56" x14ac:dyDescent="0.3">
      <c r="A24" s="1009"/>
      <c r="B24" s="1009" t="s">
        <v>957</v>
      </c>
      <c r="C24" s="1024"/>
      <c r="D24" s="1024"/>
      <c r="E24" s="1024"/>
      <c r="F24" s="1024"/>
      <c r="G24" s="1024"/>
      <c r="H24" s="1024"/>
      <c r="I24" s="1024"/>
      <c r="J24" s="1024"/>
      <c r="K24" s="1024"/>
      <c r="L24" s="1024"/>
      <c r="M24" s="1024"/>
      <c r="N24" s="1024"/>
      <c r="O24" s="1024"/>
      <c r="P24" s="1024"/>
      <c r="Q24" s="1024"/>
      <c r="R24" s="1024"/>
      <c r="S24" s="1024"/>
      <c r="T24" s="1024"/>
      <c r="U24" s="1024"/>
      <c r="V24" s="1024"/>
      <c r="W24" s="1024"/>
      <c r="X24" s="1024"/>
      <c r="Y24" s="1024"/>
      <c r="Z24" s="1024"/>
      <c r="AA24" s="1024">
        <f t="shared" si="5"/>
        <v>0</v>
      </c>
      <c r="AB24" s="1024">
        <f t="shared" si="5"/>
        <v>0</v>
      </c>
      <c r="AC24" s="1024">
        <f t="shared" si="5"/>
        <v>0</v>
      </c>
      <c r="AD24" s="1024">
        <f t="shared" si="5"/>
        <v>0</v>
      </c>
      <c r="AE24" s="1024">
        <f t="shared" si="5"/>
        <v>0</v>
      </c>
      <c r="AF24" s="1024">
        <f t="shared" si="5"/>
        <v>0</v>
      </c>
      <c r="AG24" s="1024">
        <f t="shared" si="5"/>
        <v>0</v>
      </c>
      <c r="AH24" s="1024">
        <f t="shared" si="5"/>
        <v>0</v>
      </c>
      <c r="AI24" s="1024">
        <f t="shared" si="5"/>
        <v>0</v>
      </c>
      <c r="AJ24" s="1024">
        <f t="shared" si="5"/>
        <v>0</v>
      </c>
      <c r="AK24" s="1024">
        <f t="shared" si="5"/>
        <v>0</v>
      </c>
      <c r="AL24" s="1024">
        <f t="shared" si="5"/>
        <v>0</v>
      </c>
      <c r="AM24" s="1009"/>
      <c r="AN24" s="1024">
        <f t="shared" si="6"/>
        <v>0</v>
      </c>
      <c r="AO24" s="1024">
        <f t="shared" si="2"/>
        <v>0</v>
      </c>
      <c r="AP24" s="1024">
        <f t="shared" si="3"/>
        <v>0</v>
      </c>
      <c r="AW24" s="105"/>
    </row>
    <row r="25" spans="1:56" x14ac:dyDescent="0.3">
      <c r="A25" s="1009"/>
      <c r="B25" s="1009" t="s">
        <v>958</v>
      </c>
      <c r="C25" s="1024"/>
      <c r="D25" s="1024"/>
      <c r="E25" s="1024"/>
      <c r="F25" s="1024"/>
      <c r="G25" s="1024"/>
      <c r="H25" s="1024"/>
      <c r="I25" s="1024"/>
      <c r="J25" s="1024"/>
      <c r="K25" s="1024"/>
      <c r="L25" s="1024"/>
      <c r="M25" s="1024"/>
      <c r="N25" s="1024"/>
      <c r="O25" s="1024"/>
      <c r="P25" s="1024"/>
      <c r="Q25" s="1024"/>
      <c r="R25" s="1024"/>
      <c r="S25" s="1024"/>
      <c r="T25" s="1024">
        <v>-22573</v>
      </c>
      <c r="U25" s="1024"/>
      <c r="V25" s="1024"/>
      <c r="W25" s="1024"/>
      <c r="X25" s="1024"/>
      <c r="Y25" s="1024"/>
      <c r="Z25" s="1024"/>
      <c r="AA25" s="1024">
        <f t="shared" si="5"/>
        <v>0</v>
      </c>
      <c r="AB25" s="1024">
        <f t="shared" si="5"/>
        <v>0</v>
      </c>
      <c r="AC25" s="1024">
        <f t="shared" si="5"/>
        <v>0</v>
      </c>
      <c r="AD25" s="1024">
        <f t="shared" si="5"/>
        <v>0</v>
      </c>
      <c r="AE25" s="1024">
        <f t="shared" si="5"/>
        <v>0</v>
      </c>
      <c r="AF25" s="1024">
        <f t="shared" si="5"/>
        <v>-22573</v>
      </c>
      <c r="AG25" s="1024">
        <f t="shared" si="5"/>
        <v>0</v>
      </c>
      <c r="AH25" s="1024">
        <f t="shared" si="5"/>
        <v>0</v>
      </c>
      <c r="AI25" s="1024">
        <f t="shared" si="5"/>
        <v>0</v>
      </c>
      <c r="AJ25" s="1024">
        <f t="shared" si="5"/>
        <v>0</v>
      </c>
      <c r="AK25" s="1024">
        <f t="shared" si="5"/>
        <v>0</v>
      </c>
      <c r="AL25" s="1024">
        <f t="shared" si="5"/>
        <v>0</v>
      </c>
      <c r="AM25" s="1009"/>
      <c r="AN25" s="1024">
        <f t="shared" si="6"/>
        <v>0</v>
      </c>
      <c r="AO25" s="1024">
        <f t="shared" si="2"/>
        <v>0</v>
      </c>
      <c r="AP25" s="1024">
        <f t="shared" si="3"/>
        <v>0</v>
      </c>
      <c r="AY25" s="107"/>
    </row>
    <row r="26" spans="1:56" x14ac:dyDescent="0.3">
      <c r="A26" s="1009"/>
      <c r="B26" s="1009" t="s">
        <v>959</v>
      </c>
      <c r="C26" s="1024"/>
      <c r="D26" s="1024"/>
      <c r="E26" s="1024"/>
      <c r="F26" s="1024"/>
      <c r="G26" s="1024"/>
      <c r="H26" s="1024"/>
      <c r="I26" s="1024"/>
      <c r="J26" s="1024"/>
      <c r="K26" s="1024"/>
      <c r="L26" s="1024"/>
      <c r="M26" s="1024"/>
      <c r="N26" s="1024"/>
      <c r="O26" s="1024"/>
      <c r="P26" s="1024"/>
      <c r="Q26" s="1024"/>
      <c r="R26" s="1024"/>
      <c r="S26" s="1024"/>
      <c r="T26" s="1024"/>
      <c r="U26" s="1024"/>
      <c r="V26" s="1024"/>
      <c r="W26" s="1024"/>
      <c r="X26" s="1024"/>
      <c r="Y26" s="1024"/>
      <c r="Z26" s="1024"/>
      <c r="AA26" s="1024">
        <f t="shared" si="5"/>
        <v>0</v>
      </c>
      <c r="AB26" s="1024">
        <f t="shared" si="5"/>
        <v>0</v>
      </c>
      <c r="AC26" s="1024">
        <f t="shared" si="5"/>
        <v>0</v>
      </c>
      <c r="AD26" s="1024">
        <f t="shared" si="5"/>
        <v>0</v>
      </c>
      <c r="AE26" s="1024">
        <f t="shared" si="5"/>
        <v>0</v>
      </c>
      <c r="AF26" s="1024">
        <f t="shared" si="5"/>
        <v>0</v>
      </c>
      <c r="AG26" s="1024">
        <f t="shared" si="5"/>
        <v>0</v>
      </c>
      <c r="AH26" s="1024">
        <f t="shared" si="5"/>
        <v>0</v>
      </c>
      <c r="AI26" s="1024">
        <f t="shared" si="5"/>
        <v>0</v>
      </c>
      <c r="AJ26" s="1024">
        <f t="shared" si="5"/>
        <v>0</v>
      </c>
      <c r="AK26" s="1024">
        <f t="shared" si="5"/>
        <v>0</v>
      </c>
      <c r="AL26" s="1024">
        <f t="shared" si="5"/>
        <v>0</v>
      </c>
      <c r="AM26" s="1009"/>
      <c r="AN26" s="1024">
        <f t="shared" si="6"/>
        <v>0</v>
      </c>
      <c r="AO26" s="1024">
        <f t="shared" si="2"/>
        <v>0</v>
      </c>
      <c r="AP26" s="1024">
        <f t="shared" si="3"/>
        <v>0</v>
      </c>
      <c r="AY26" s="107"/>
    </row>
    <row r="27" spans="1:56" x14ac:dyDescent="0.3">
      <c r="A27" s="1009"/>
      <c r="B27" s="1009" t="s">
        <v>960</v>
      </c>
      <c r="C27" s="1024"/>
      <c r="D27" s="1024"/>
      <c r="E27" s="1024"/>
      <c r="F27" s="1024"/>
      <c r="G27" s="1024"/>
      <c r="H27" s="1024"/>
      <c r="I27" s="1024">
        <v>3105235.4440171523</v>
      </c>
      <c r="J27" s="1024">
        <v>1782398.2928740575</v>
      </c>
      <c r="K27" s="1024"/>
      <c r="L27" s="1024"/>
      <c r="M27" s="1024"/>
      <c r="N27" s="1024">
        <v>4637531.3118419209</v>
      </c>
      <c r="O27" s="1024"/>
      <c r="P27" s="1024"/>
      <c r="Q27" s="1024"/>
      <c r="R27" s="1024"/>
      <c r="S27" s="1024"/>
      <c r="T27" s="1065">
        <f>H27</f>
        <v>0</v>
      </c>
      <c r="U27" s="1065">
        <f t="shared" ref="U27:Z27" si="7">I27</f>
        <v>3105235.4440171523</v>
      </c>
      <c r="V27" s="1065">
        <f t="shared" si="7"/>
        <v>1782398.2928740575</v>
      </c>
      <c r="W27" s="1065">
        <f t="shared" si="7"/>
        <v>0</v>
      </c>
      <c r="X27" s="1065">
        <f t="shared" si="7"/>
        <v>0</v>
      </c>
      <c r="Y27" s="1065">
        <f t="shared" si="7"/>
        <v>0</v>
      </c>
      <c r="Z27" s="1065">
        <f t="shared" si="7"/>
        <v>4637531.3118419209</v>
      </c>
      <c r="AA27" s="1024">
        <f t="shared" si="5"/>
        <v>0</v>
      </c>
      <c r="AB27" s="1024">
        <f t="shared" si="5"/>
        <v>0</v>
      </c>
      <c r="AC27" s="1024">
        <f t="shared" si="5"/>
        <v>0</v>
      </c>
      <c r="AD27" s="1024">
        <f t="shared" si="5"/>
        <v>0</v>
      </c>
      <c r="AE27" s="1024">
        <f t="shared" si="5"/>
        <v>0</v>
      </c>
      <c r="AF27" s="1024">
        <f t="shared" si="5"/>
        <v>0</v>
      </c>
      <c r="AG27" s="1024">
        <f t="shared" si="5"/>
        <v>0</v>
      </c>
      <c r="AH27" s="1024">
        <f t="shared" si="5"/>
        <v>0</v>
      </c>
      <c r="AI27" s="1024">
        <f t="shared" si="5"/>
        <v>0</v>
      </c>
      <c r="AJ27" s="1024">
        <f t="shared" si="5"/>
        <v>0</v>
      </c>
      <c r="AK27" s="1024">
        <f t="shared" si="5"/>
        <v>0</v>
      </c>
      <c r="AL27" s="1024">
        <f t="shared" si="5"/>
        <v>0</v>
      </c>
      <c r="AM27" s="1009"/>
      <c r="AN27" s="1024">
        <f t="shared" si="6"/>
        <v>0</v>
      </c>
      <c r="AO27" s="1024">
        <f t="shared" si="2"/>
        <v>0</v>
      </c>
      <c r="AP27" s="1024">
        <f t="shared" si="3"/>
        <v>0</v>
      </c>
    </row>
    <row r="28" spans="1:56" x14ac:dyDescent="0.3">
      <c r="A28" s="1009"/>
      <c r="B28" s="1009"/>
      <c r="C28" s="1103"/>
      <c r="D28" s="1103"/>
      <c r="E28" s="1103"/>
      <c r="F28" s="1103"/>
      <c r="G28" s="1103"/>
      <c r="H28" s="1103"/>
      <c r="I28" s="1103"/>
      <c r="J28" s="1103"/>
      <c r="K28" s="1103"/>
      <c r="L28" s="1103"/>
      <c r="M28" s="1103"/>
      <c r="N28" s="1103"/>
      <c r="O28" s="1103"/>
      <c r="P28" s="1103"/>
      <c r="Q28" s="1103"/>
      <c r="R28" s="1103"/>
      <c r="S28" s="1103"/>
      <c r="T28" s="1103"/>
      <c r="U28" s="1103"/>
      <c r="V28" s="1103"/>
      <c r="W28" s="1103"/>
      <c r="X28" s="1103"/>
      <c r="Y28" s="1103"/>
      <c r="Z28" s="1103"/>
      <c r="AA28" s="1103"/>
      <c r="AB28" s="1103"/>
      <c r="AC28" s="1103"/>
      <c r="AD28" s="1103"/>
      <c r="AE28" s="1103"/>
      <c r="AF28" s="1103"/>
      <c r="AG28" s="1103"/>
      <c r="AH28" s="1103"/>
      <c r="AI28" s="1103"/>
      <c r="AJ28" s="1103"/>
      <c r="AK28" s="1103"/>
      <c r="AL28" s="1103"/>
      <c r="AM28" s="1009"/>
      <c r="AN28" s="1103"/>
      <c r="AO28" s="1103"/>
      <c r="AP28" s="1103"/>
      <c r="AS28" s="8"/>
      <c r="AY28" s="927"/>
    </row>
    <row r="29" spans="1:56" x14ac:dyDescent="0.3">
      <c r="A29" s="1009"/>
      <c r="B29" s="1009"/>
      <c r="C29" s="1103"/>
      <c r="D29" s="1103"/>
      <c r="E29" s="1103"/>
      <c r="F29" s="1103"/>
      <c r="G29" s="1103"/>
      <c r="H29" s="1103"/>
      <c r="I29" s="1103"/>
      <c r="J29" s="1103"/>
      <c r="K29" s="1103"/>
      <c r="L29" s="1103"/>
      <c r="M29" s="1103"/>
      <c r="N29" s="1103"/>
      <c r="O29" s="1103"/>
      <c r="P29" s="1103"/>
      <c r="Q29" s="1103"/>
      <c r="R29" s="1103"/>
      <c r="S29" s="1103"/>
      <c r="T29" s="1103"/>
      <c r="U29" s="1103"/>
      <c r="V29" s="1103"/>
      <c r="W29" s="1103"/>
      <c r="X29" s="1103"/>
      <c r="Y29" s="1103"/>
      <c r="Z29" s="1103"/>
      <c r="AA29" s="1103"/>
      <c r="AB29" s="1103"/>
      <c r="AC29" s="1103"/>
      <c r="AD29" s="1103"/>
      <c r="AE29" s="1103"/>
      <c r="AF29" s="1103"/>
      <c r="AG29" s="1103"/>
      <c r="AH29" s="1103"/>
      <c r="AI29" s="1103"/>
      <c r="AJ29" s="1103"/>
      <c r="AK29" s="1103"/>
      <c r="AL29" s="1103"/>
      <c r="AM29" s="1009"/>
      <c r="AN29" s="1103"/>
      <c r="AO29" s="1103"/>
      <c r="AP29" s="1103"/>
      <c r="BD29" s="107"/>
    </row>
    <row r="30" spans="1:56" x14ac:dyDescent="0.3">
      <c r="A30" s="1009"/>
      <c r="B30" s="1009"/>
      <c r="C30" s="1067">
        <f>SUM(C11:C27)</f>
        <v>10222117.447467744</v>
      </c>
      <c r="D30" s="1067">
        <f t="shared" ref="D30:N30" si="8">SUM(D11:D27)</f>
        <v>11099216.299922425</v>
      </c>
      <c r="E30" s="1067">
        <f t="shared" si="8"/>
        <v>11551916.492438497</v>
      </c>
      <c r="F30" s="1067">
        <f t="shared" si="8"/>
        <v>11323910.973860435</v>
      </c>
      <c r="G30" s="1067">
        <f t="shared" si="8"/>
        <v>12829326.437173558</v>
      </c>
      <c r="H30" s="1067">
        <f t="shared" si="8"/>
        <v>12385371.661242098</v>
      </c>
      <c r="I30" s="1067">
        <f t="shared" si="8"/>
        <v>14451100.348860681</v>
      </c>
      <c r="J30" s="1067">
        <f t="shared" si="8"/>
        <v>13275047.856998425</v>
      </c>
      <c r="K30" s="1067">
        <f t="shared" si="8"/>
        <v>13720144.086966107</v>
      </c>
      <c r="L30" s="1067">
        <f t="shared" si="8"/>
        <v>13005849.962092934</v>
      </c>
      <c r="M30" s="1067">
        <f t="shared" si="8"/>
        <v>12907899.625385147</v>
      </c>
      <c r="N30" s="1067">
        <f t="shared" si="8"/>
        <v>17719717.296840988</v>
      </c>
      <c r="O30" s="1067">
        <f>SUM(O11:O27)</f>
        <v>0</v>
      </c>
      <c r="P30" s="1067">
        <f t="shared" ref="P30:AL30" si="9">SUM(P11:P27)</f>
        <v>0</v>
      </c>
      <c r="Q30" s="1067">
        <f t="shared" si="9"/>
        <v>0</v>
      </c>
      <c r="R30" s="1067">
        <f t="shared" si="9"/>
        <v>0</v>
      </c>
      <c r="S30" s="1067">
        <f t="shared" si="9"/>
        <v>0</v>
      </c>
      <c r="T30" s="1067">
        <f>SUM(T11:T27)</f>
        <v>12180792.279999999</v>
      </c>
      <c r="U30" s="1067">
        <f t="shared" si="9"/>
        <v>14150768.492293783</v>
      </c>
      <c r="V30" s="1069">
        <f t="shared" si="9"/>
        <v>12991824.280252827</v>
      </c>
      <c r="W30" s="1104">
        <f t="shared" si="9"/>
        <v>13399055.610551795</v>
      </c>
      <c r="X30" s="1067">
        <f t="shared" si="9"/>
        <v>12685784.975782588</v>
      </c>
      <c r="Y30" s="1067">
        <f t="shared" si="9"/>
        <v>12595856.310217336</v>
      </c>
      <c r="Z30" s="1067">
        <f t="shared" si="9"/>
        <v>17399537.807260353</v>
      </c>
      <c r="AA30" s="1067">
        <f t="shared" si="9"/>
        <v>-10222117.447467744</v>
      </c>
      <c r="AB30" s="1067">
        <f t="shared" si="9"/>
        <v>-11099216.299922425</v>
      </c>
      <c r="AC30" s="1067">
        <f t="shared" si="9"/>
        <v>-11551916.492438497</v>
      </c>
      <c r="AD30" s="1067">
        <f t="shared" si="9"/>
        <v>-11323910.973860435</v>
      </c>
      <c r="AE30" s="1067">
        <f t="shared" si="9"/>
        <v>-12829326.437173558</v>
      </c>
      <c r="AF30" s="1067">
        <f t="shared" si="9"/>
        <v>-204579.38124209718</v>
      </c>
      <c r="AG30" s="1067">
        <f t="shared" si="9"/>
        <v>-300331.85656689678</v>
      </c>
      <c r="AH30" s="1067">
        <f t="shared" si="9"/>
        <v>-283223.57674559613</v>
      </c>
      <c r="AI30" s="1067">
        <f t="shared" si="9"/>
        <v>-321088.47641431144</v>
      </c>
      <c r="AJ30" s="1067">
        <f t="shared" si="9"/>
        <v>-320064.98631034582</v>
      </c>
      <c r="AK30" s="1067">
        <f t="shared" si="9"/>
        <v>-312043.31516780832</v>
      </c>
      <c r="AL30" s="1067">
        <f t="shared" si="9"/>
        <v>-320179.48958063743</v>
      </c>
      <c r="AM30" s="1020"/>
      <c r="AN30" s="1067">
        <f>SUM(AN11:AN27)</f>
        <v>-10222117.447467744</v>
      </c>
      <c r="AO30" s="1067">
        <f>SUM(AO11:AO27)</f>
        <v>-10222117.447467744</v>
      </c>
      <c r="AP30" s="1067">
        <f>SUM(AP11:AP27)</f>
        <v>-179335.39381522359</v>
      </c>
      <c r="BD30" s="107"/>
    </row>
    <row r="31" spans="1:56" x14ac:dyDescent="0.3">
      <c r="A31" s="1009"/>
      <c r="B31" s="1009"/>
      <c r="C31" s="1009">
        <f>'Budget assumption'!B215*1000-C30/C2</f>
        <v>0</v>
      </c>
      <c r="D31" s="1009">
        <f>'Budget assumption'!C215*1000-D30/D2</f>
        <v>0</v>
      </c>
      <c r="E31" s="1009">
        <f>'Budget assumption'!D215*1000-E30/E2</f>
        <v>0</v>
      </c>
      <c r="F31" s="1009">
        <f>'Budget assumption'!E215*1000-F30/F2</f>
        <v>0</v>
      </c>
      <c r="G31" s="1009">
        <f>'Budget assumption'!F215*1000-G30/G2</f>
        <v>0</v>
      </c>
      <c r="H31" s="1009">
        <f>'Budget assumption'!G215*1000-H30/H2</f>
        <v>0</v>
      </c>
      <c r="I31" s="1009">
        <f>'Budget assumption'!H215*1000-I30/I2</f>
        <v>0</v>
      </c>
      <c r="J31" s="1009">
        <f>'Budget assumption'!I215*1000-J30/J2</f>
        <v>0</v>
      </c>
      <c r="K31" s="1009">
        <f>'Budget assumption'!J215*1000-K30/K2</f>
        <v>0</v>
      </c>
      <c r="L31" s="1009">
        <f>'Budget assumption'!K215*1000-L30/L2</f>
        <v>0</v>
      </c>
      <c r="M31" s="1009">
        <f>'Budget assumption'!L215*1000-M30/M2</f>
        <v>0</v>
      </c>
      <c r="N31" s="1009">
        <f>'Budget assumption'!M215*1000-N30/N2</f>
        <v>0</v>
      </c>
      <c r="O31" s="1043">
        <f>O30/57</f>
        <v>0</v>
      </c>
      <c r="P31" s="1043"/>
      <c r="Q31" s="1043">
        <v>18494707.190000001</v>
      </c>
      <c r="R31" s="1043">
        <v>342574.0618558313</v>
      </c>
      <c r="S31" s="1043">
        <v>369780.1142410707</v>
      </c>
      <c r="T31" s="1043">
        <f>T30/SAP_ACT_EUR!H3</f>
        <v>223891.0445731091</v>
      </c>
      <c r="U31" s="1043">
        <f>U30/SAP_ACT_EUR!I3</f>
        <v>255675.17150615124</v>
      </c>
      <c r="V31" s="1043">
        <f>V30/SAP_ACT_EUR!J3</f>
        <v>230808.47328196181</v>
      </c>
      <c r="W31" s="1043">
        <f>W30/SAP_ACT_EUR!K3</f>
        <v>234126.43037832947</v>
      </c>
      <c r="X31" s="1043">
        <f>X30/SAP_ACT_EUR!L3</f>
        <v>218025.00602874605</v>
      </c>
      <c r="Y31" s="1043">
        <f>Y30/SAP_ACT_EUR!M3</f>
        <v>212983.70494111156</v>
      </c>
      <c r="Z31" s="1043">
        <f>Z30/SAP_ACT_EUR!N3</f>
        <v>289533.868163081</v>
      </c>
      <c r="AA31" s="1043">
        <f t="shared" ref="AA31:AE31" si="10">AA30/57</f>
        <v>-179335.39381522359</v>
      </c>
      <c r="AB31" s="1043">
        <f t="shared" si="10"/>
        <v>-194723.09298109519</v>
      </c>
      <c r="AC31" s="1043">
        <f t="shared" si="10"/>
        <v>-202665.20162172802</v>
      </c>
      <c r="AD31" s="1043">
        <f t="shared" si="10"/>
        <v>-198665.10480456904</v>
      </c>
      <c r="AE31" s="1043">
        <f t="shared" si="10"/>
        <v>-225075.90240655365</v>
      </c>
      <c r="AF31" s="1043">
        <f>AF30/H2</f>
        <v>-3589.6295534288156</v>
      </c>
      <c r="AG31" s="1043">
        <f t="shared" ref="AG31:AL31" si="11">AG30/I2</f>
        <v>-5227.9164710559999</v>
      </c>
      <c r="AH31" s="1043">
        <f t="shared" si="11"/>
        <v>-4890.9825144060324</v>
      </c>
      <c r="AI31" s="1043">
        <f t="shared" si="11"/>
        <v>-5500.8638298725264</v>
      </c>
      <c r="AJ31" s="1043">
        <f t="shared" si="11"/>
        <v>-5389.0215958204963</v>
      </c>
      <c r="AK31" s="1043">
        <f t="shared" si="11"/>
        <v>-5163.5956047030395</v>
      </c>
      <c r="AL31" s="1043">
        <f t="shared" si="11"/>
        <v>-5207.1061279282103</v>
      </c>
      <c r="AM31" s="1027"/>
      <c r="AN31" s="1009"/>
      <c r="AO31" s="1009"/>
      <c r="AP31" s="1009"/>
      <c r="BD31" s="107"/>
    </row>
    <row r="32" spans="1:56" x14ac:dyDescent="0.3">
      <c r="A32" s="1009"/>
      <c r="B32" s="1009"/>
      <c r="C32" s="1043">
        <f>C30/57</f>
        <v>179335.39381522359</v>
      </c>
      <c r="D32" s="1043">
        <f t="shared" ref="D32:N32" si="12">D30/57</f>
        <v>194723.09298109519</v>
      </c>
      <c r="E32" s="1043">
        <f t="shared" si="12"/>
        <v>202665.20162172802</v>
      </c>
      <c r="F32" s="1043">
        <f t="shared" si="12"/>
        <v>198665.10480456904</v>
      </c>
      <c r="G32" s="1043">
        <f t="shared" si="12"/>
        <v>225075.90240655365</v>
      </c>
      <c r="H32" s="1043">
        <f t="shared" si="12"/>
        <v>217287.22212705435</v>
      </c>
      <c r="I32" s="1043">
        <f t="shared" si="12"/>
        <v>253528.07629580141</v>
      </c>
      <c r="J32" s="1043">
        <f t="shared" si="12"/>
        <v>232895.57643856885</v>
      </c>
      <c r="K32" s="1043">
        <f t="shared" si="12"/>
        <v>240704.28222747555</v>
      </c>
      <c r="L32" s="1043">
        <f t="shared" si="12"/>
        <v>228172.80635250761</v>
      </c>
      <c r="M32" s="1043">
        <f t="shared" si="12"/>
        <v>226454.37939272186</v>
      </c>
      <c r="N32" s="1043">
        <f t="shared" si="12"/>
        <v>310872.23327791208</v>
      </c>
      <c r="P32" s="921"/>
      <c r="Q32" s="921">
        <f>Q31-Q30</f>
        <v>18494707.190000001</v>
      </c>
      <c r="R32" s="921">
        <v>-183064.04650283128</v>
      </c>
      <c r="S32" s="921">
        <v>-272128.1357589293</v>
      </c>
      <c r="T32" s="921">
        <f>SAP_ACT_EUR!H104-T31</f>
        <v>150153.6454268909</v>
      </c>
      <c r="U32" s="921">
        <f>SAP_ACT_EUR!I104-U31</f>
        <v>0</v>
      </c>
      <c r="V32" s="921">
        <f>SAP_ACT_EUR!J104-V31</f>
        <v>0</v>
      </c>
      <c r="W32" s="921">
        <f>SAP_ACT_EUR!K104-W31</f>
        <v>0</v>
      </c>
      <c r="X32" s="921">
        <f>SAP_ACT_EUR!L104-X31</f>
        <v>0</v>
      </c>
      <c r="Y32" s="921">
        <f>SAP_ACT_EUR!M104-Y31</f>
        <v>0</v>
      </c>
      <c r="Z32" s="921">
        <f>SAP_ACT_EUR!N104-Z31</f>
        <v>0</v>
      </c>
      <c r="AM32" s="1009"/>
      <c r="AN32" s="1043">
        <f>AN30/57</f>
        <v>-179335.39381522359</v>
      </c>
      <c r="AO32" s="1043">
        <f>AO30/57</f>
        <v>-179335.39381522359</v>
      </c>
      <c r="AP32" s="1013">
        <f>AO32-AN32</f>
        <v>0</v>
      </c>
      <c r="AR32" s="107">
        <f>AO32-AN32</f>
        <v>0</v>
      </c>
    </row>
    <row r="33" spans="3:28" x14ac:dyDescent="0.3">
      <c r="C33" s="70"/>
      <c r="D33" s="70" t="s">
        <v>803</v>
      </c>
      <c r="E33" s="70" t="s">
        <v>804</v>
      </c>
      <c r="F33" s="70" t="s">
        <v>805</v>
      </c>
      <c r="G33" s="70" t="s">
        <v>806</v>
      </c>
      <c r="H33" s="70" t="s">
        <v>807</v>
      </c>
      <c r="I33" s="70" t="s">
        <v>808</v>
      </c>
      <c r="J33" s="70" t="s">
        <v>809</v>
      </c>
      <c r="K33" s="70" t="s">
        <v>810</v>
      </c>
      <c r="L33" s="70" t="s">
        <v>811</v>
      </c>
      <c r="M33" s="70" t="s">
        <v>812</v>
      </c>
      <c r="N33" s="70" t="s">
        <v>813</v>
      </c>
      <c r="O33" s="70" t="s">
        <v>814</v>
      </c>
      <c r="P33">
        <f>132-116</f>
        <v>16</v>
      </c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 spans="3:28" x14ac:dyDescent="0.3">
      <c r="C34" s="1105" t="s">
        <v>545</v>
      </c>
      <c r="D34" s="129" t="s">
        <v>961</v>
      </c>
      <c r="E34" s="129" t="s">
        <v>961</v>
      </c>
      <c r="F34" s="129" t="s">
        <v>961</v>
      </c>
      <c r="G34" s="129" t="s">
        <v>961</v>
      </c>
      <c r="H34" s="129" t="s">
        <v>961</v>
      </c>
      <c r="I34" s="129" t="s">
        <v>961</v>
      </c>
      <c r="J34" s="129" t="s">
        <v>961</v>
      </c>
      <c r="K34" s="129" t="s">
        <v>961</v>
      </c>
      <c r="L34" s="129" t="s">
        <v>961</v>
      </c>
      <c r="M34" s="129" t="s">
        <v>961</v>
      </c>
      <c r="N34" s="129" t="s">
        <v>961</v>
      </c>
      <c r="O34" s="129" t="s">
        <v>961</v>
      </c>
      <c r="P34">
        <f>P33*2400*8</f>
        <v>307200</v>
      </c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 spans="3:28" x14ac:dyDescent="0.3">
      <c r="C35" s="1105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R35" s="8"/>
      <c r="S35" s="8"/>
      <c r="T35" s="8"/>
      <c r="U35" s="8"/>
      <c r="V35" s="8"/>
      <c r="W35" s="8"/>
      <c r="X35" s="8"/>
      <c r="Y35" s="8"/>
      <c r="Z35" s="8"/>
    </row>
    <row r="36" spans="3:28" x14ac:dyDescent="0.3">
      <c r="C36" s="70" t="s">
        <v>962</v>
      </c>
      <c r="D36" s="70">
        <f>'HC 2026'!C11</f>
        <v>85</v>
      </c>
      <c r="E36" s="70">
        <f>'HC 2026'!D11</f>
        <v>82</v>
      </c>
      <c r="F36" s="70">
        <f>'HC 2026'!E11</f>
        <v>69</v>
      </c>
      <c r="G36" s="70">
        <f>'HC 2026'!F11</f>
        <v>79</v>
      </c>
      <c r="H36" s="70">
        <f>'HC 2026'!G11</f>
        <v>82</v>
      </c>
      <c r="I36" s="70">
        <f>'HC 2026'!H11</f>
        <v>82</v>
      </c>
      <c r="J36" s="70">
        <f>'HC 2026'!I11</f>
        <v>84</v>
      </c>
      <c r="K36" s="70">
        <f>'HC 2026'!J11</f>
        <v>84</v>
      </c>
      <c r="L36" s="70">
        <f>'HC 2026'!K11</f>
        <v>84</v>
      </c>
      <c r="M36" s="70">
        <f>'HC 2026'!L11</f>
        <v>84</v>
      </c>
      <c r="N36" s="70">
        <f>'HC 2026'!M11</f>
        <v>84</v>
      </c>
      <c r="O36" s="70">
        <v>84</v>
      </c>
      <c r="P36" s="1106">
        <v>111.44444439999999</v>
      </c>
      <c r="Q36">
        <f>9*2400*8</f>
        <v>172800</v>
      </c>
      <c r="R36" s="105"/>
      <c r="S36" s="8"/>
    </row>
    <row r="37" spans="3:28" x14ac:dyDescent="0.3">
      <c r="C37" s="70" t="s">
        <v>963</v>
      </c>
      <c r="D37" s="1132">
        <f>'HC 2026'!C40</f>
        <v>85</v>
      </c>
      <c r="E37" s="1132">
        <f>'HC 2026'!D40</f>
        <v>85</v>
      </c>
      <c r="F37" s="1132">
        <f>'HC 2026'!E40</f>
        <v>85</v>
      </c>
      <c r="G37" s="1132">
        <f>'HC 2026'!F40</f>
        <v>85</v>
      </c>
      <c r="H37" s="1132">
        <f>'HC 2026'!G40</f>
        <v>85</v>
      </c>
      <c r="I37" s="1132">
        <f>'HC 2026'!H40</f>
        <v>85</v>
      </c>
      <c r="J37" s="1132">
        <f>'HC 2026'!I40</f>
        <v>85</v>
      </c>
      <c r="K37" s="1132">
        <f>'HC 2026'!J40</f>
        <v>85</v>
      </c>
      <c r="L37" s="1132">
        <f>'HC 2026'!K40</f>
        <v>85</v>
      </c>
      <c r="M37" s="1132">
        <f>'HC 2026'!L40</f>
        <v>85</v>
      </c>
      <c r="N37" s="1132">
        <f>'HC 2026'!M40</f>
        <v>85</v>
      </c>
      <c r="O37" s="1132">
        <f>'HC 2026'!N40</f>
        <v>85</v>
      </c>
      <c r="P37" s="1107">
        <v>131.66666670000001</v>
      </c>
      <c r="AA37" s="1009"/>
    </row>
    <row r="38" spans="3:28" x14ac:dyDescent="0.3">
      <c r="C38" s="70" t="s">
        <v>896</v>
      </c>
      <c r="D38" s="150">
        <f t="shared" ref="D38:O38" si="13">C11/D37</f>
        <v>117175.15932534925</v>
      </c>
      <c r="E38" s="150">
        <f t="shared" si="13"/>
        <v>127493.96935422784</v>
      </c>
      <c r="F38" s="150">
        <f t="shared" si="13"/>
        <v>132819.85397206398</v>
      </c>
      <c r="G38" s="150">
        <f t="shared" si="13"/>
        <v>130137.43610643972</v>
      </c>
      <c r="H38" s="150">
        <f t="shared" si="13"/>
        <v>147848.2062630647</v>
      </c>
      <c r="I38" s="150">
        <f t="shared" si="13"/>
        <v>142625.20889916515</v>
      </c>
      <c r="J38" s="150">
        <f t="shared" si="13"/>
        <v>130395.71764741729</v>
      </c>
      <c r="K38" s="150">
        <f t="shared" si="13"/>
        <v>132122.59599189775</v>
      </c>
      <c r="L38" s="150">
        <f t="shared" si="13"/>
        <v>158328.41390768293</v>
      </c>
      <c r="M38" s="150">
        <f t="shared" si="13"/>
        <v>149924.95361505737</v>
      </c>
      <c r="N38" s="150">
        <f t="shared" si="13"/>
        <v>148772.59671261281</v>
      </c>
      <c r="O38" s="150">
        <f t="shared" si="13"/>
        <v>150823.02447277657</v>
      </c>
      <c r="P38" s="105">
        <f>P36-P37</f>
        <v>-20.222222300000013</v>
      </c>
      <c r="Q38" s="105"/>
      <c r="AA38" s="105"/>
    </row>
    <row r="39" spans="3:28" x14ac:dyDescent="0.3">
      <c r="C39" s="70" t="s">
        <v>898</v>
      </c>
      <c r="D39" s="1108">
        <f t="shared" ref="D39:O39" si="14">O11/D36</f>
        <v>0</v>
      </c>
      <c r="E39" s="1108">
        <f t="shared" si="14"/>
        <v>0</v>
      </c>
      <c r="F39" s="1108">
        <f t="shared" si="14"/>
        <v>0</v>
      </c>
      <c r="G39" s="1108">
        <f t="shared" si="14"/>
        <v>0</v>
      </c>
      <c r="H39" s="1108">
        <f t="shared" si="14"/>
        <v>0</v>
      </c>
      <c r="I39" s="1108">
        <f t="shared" si="14"/>
        <v>145595.89987804877</v>
      </c>
      <c r="J39" s="1108">
        <f t="shared" si="14"/>
        <v>128372.66837456632</v>
      </c>
      <c r="K39" s="1108">
        <f t="shared" si="14"/>
        <v>130323.77479244895</v>
      </c>
      <c r="L39" s="1108">
        <f t="shared" si="14"/>
        <v>156390.79411593734</v>
      </c>
      <c r="M39" s="1108">
        <f t="shared" si="14"/>
        <v>147899.47703535153</v>
      </c>
      <c r="N39" s="1108">
        <f t="shared" si="14"/>
        <v>146828.89768338425</v>
      </c>
      <c r="O39" s="1108">
        <f t="shared" si="14"/>
        <v>148806.8760786354</v>
      </c>
      <c r="P39" s="107">
        <f>P38*2400*9</f>
        <v>-436800.00168000028</v>
      </c>
      <c r="AA39" s="1043"/>
    </row>
    <row r="40" spans="3:28" x14ac:dyDescent="0.3">
      <c r="C40" s="70"/>
      <c r="D40" s="1021"/>
      <c r="E40" s="1021"/>
      <c r="F40" s="1021"/>
      <c r="G40" s="1021"/>
      <c r="H40" s="1021"/>
      <c r="I40" s="1021"/>
      <c r="J40" s="1021"/>
      <c r="K40" s="1021"/>
      <c r="L40" s="1021"/>
      <c r="M40" s="1021"/>
      <c r="N40" s="1021"/>
      <c r="O40" s="1021"/>
      <c r="AA40" s="1009"/>
    </row>
    <row r="41" spans="3:28" x14ac:dyDescent="0.3">
      <c r="C41" s="70" t="s">
        <v>899</v>
      </c>
      <c r="D41" s="1109">
        <f>(D39-D38)*D36</f>
        <v>-9959888.5426546857</v>
      </c>
      <c r="E41" s="1109">
        <f t="shared" ref="E41:O41" si="15">(E39-E38)*E36</f>
        <v>-10454505.487046683</v>
      </c>
      <c r="F41" s="1109">
        <f t="shared" si="15"/>
        <v>-9164569.9240724146</v>
      </c>
      <c r="G41" s="1109">
        <f t="shared" si="15"/>
        <v>-10280857.452408738</v>
      </c>
      <c r="H41" s="1109">
        <f t="shared" si="15"/>
        <v>-12123552.913571306</v>
      </c>
      <c r="I41" s="1109">
        <f t="shared" si="15"/>
        <v>243596.66026845685</v>
      </c>
      <c r="J41" s="1109">
        <f t="shared" si="15"/>
        <v>-169936.13891948154</v>
      </c>
      <c r="K41" s="1109">
        <f t="shared" si="15"/>
        <v>-151100.98075369868</v>
      </c>
      <c r="L41" s="1109">
        <f t="shared" si="15"/>
        <v>-162760.06250662927</v>
      </c>
      <c r="M41" s="1109">
        <f t="shared" si="15"/>
        <v>-170140.03269529017</v>
      </c>
      <c r="N41" s="1109">
        <f t="shared" si="15"/>
        <v>-163270.71845519927</v>
      </c>
      <c r="O41" s="1109">
        <f t="shared" si="15"/>
        <v>-169356.46510785841</v>
      </c>
      <c r="AA41" s="1013"/>
    </row>
    <row r="42" spans="3:28" x14ac:dyDescent="0.3">
      <c r="C42" s="70" t="s">
        <v>900</v>
      </c>
      <c r="D42" s="1109">
        <f t="shared" ref="D42:H42" si="16">D41/C$2</f>
        <v>-189753.04094376689</v>
      </c>
      <c r="E42" s="1109">
        <f t="shared" si="16"/>
        <v>-195462.55753112485</v>
      </c>
      <c r="F42" s="1109">
        <f t="shared" si="16"/>
        <v>-168150.43194113273</v>
      </c>
      <c r="G42" s="1109">
        <f t="shared" si="16"/>
        <v>-185844.27772233979</v>
      </c>
      <c r="H42" s="1109">
        <f t="shared" si="16"/>
        <v>-215915.45306468476</v>
      </c>
      <c r="I42" s="1109">
        <f>I41/H$2</f>
        <v>4274.241937321287</v>
      </c>
      <c r="J42" s="1109">
        <f t="shared" ref="J42:O42" si="17">J41/I$2</f>
        <v>-2958.1009149022148</v>
      </c>
      <c r="K42" s="1109">
        <f t="shared" si="17"/>
        <v>-2609.3599384198651</v>
      </c>
      <c r="L42" s="1109">
        <f t="shared" si="17"/>
        <v>-2788.3932515698421</v>
      </c>
      <c r="M42" s="1109">
        <f t="shared" si="17"/>
        <v>-2864.6942018814834</v>
      </c>
      <c r="N42" s="1109">
        <f t="shared" si="17"/>
        <v>-2701.7530041898117</v>
      </c>
      <c r="O42" s="1109">
        <f t="shared" si="17"/>
        <v>-2754.2585205018054</v>
      </c>
      <c r="AA42" s="1013"/>
    </row>
    <row r="43" spans="3:28" x14ac:dyDescent="0.3">
      <c r="C43" s="70" t="s">
        <v>964</v>
      </c>
      <c r="D43" s="1109">
        <f>(D36-D37)*D38</f>
        <v>0</v>
      </c>
      <c r="E43" s="1109">
        <f t="shared" ref="E43:O43" si="18">(E36-E37)*E38</f>
        <v>-382481.90806268353</v>
      </c>
      <c r="F43" s="1109">
        <f t="shared" si="18"/>
        <v>-2125117.6635530237</v>
      </c>
      <c r="G43" s="1109">
        <f t="shared" si="18"/>
        <v>-780824.61663863831</v>
      </c>
      <c r="H43" s="1109">
        <f t="shared" si="18"/>
        <v>-443544.61878919409</v>
      </c>
      <c r="I43" s="1109">
        <f t="shared" si="18"/>
        <v>-427875.62669749546</v>
      </c>
      <c r="J43" s="1109">
        <f t="shared" si="18"/>
        <v>-130395.71764741729</v>
      </c>
      <c r="K43" s="1109">
        <f t="shared" si="18"/>
        <v>-132122.59599189775</v>
      </c>
      <c r="L43" s="1109">
        <f>(L36-L37)*L38</f>
        <v>-158328.41390768293</v>
      </c>
      <c r="M43" s="1109">
        <f t="shared" si="18"/>
        <v>-149924.95361505737</v>
      </c>
      <c r="N43" s="1109">
        <f t="shared" si="18"/>
        <v>-148772.59671261281</v>
      </c>
      <c r="O43" s="1109">
        <f t="shared" si="18"/>
        <v>-150823.02447277657</v>
      </c>
      <c r="P43" s="8"/>
      <c r="Q43" s="8"/>
      <c r="AA43" s="1013"/>
    </row>
    <row r="44" spans="3:28" x14ac:dyDescent="0.3">
      <c r="C44" s="1105" t="s">
        <v>965</v>
      </c>
      <c r="D44" s="1093">
        <f>D43/57</f>
        <v>0</v>
      </c>
      <c r="E44" s="1093">
        <f t="shared" ref="E44:F44" si="19">E43/57</f>
        <v>-6710.2089133804129</v>
      </c>
      <c r="F44" s="1093">
        <f t="shared" si="19"/>
        <v>-37282.766027246027</v>
      </c>
      <c r="G44" s="1093">
        <v>-36661.884721951901</v>
      </c>
      <c r="H44" s="1093">
        <v>-40632.229851942699</v>
      </c>
      <c r="I44" s="1093">
        <f>I43/H$2</f>
        <v>-7507.6725008158028</v>
      </c>
      <c r="J44" s="1093">
        <f t="shared" ref="J44:O44" si="20">J43/I$2</f>
        <v>-2269.8155561538206</v>
      </c>
      <c r="K44" s="1093">
        <f t="shared" si="20"/>
        <v>-2281.6225759861723</v>
      </c>
      <c r="L44" s="1093">
        <f t="shared" si="20"/>
        <v>-2712.470578302697</v>
      </c>
      <c r="M44" s="1093">
        <f t="shared" si="20"/>
        <v>-2524.3273939390415</v>
      </c>
      <c r="N44" s="1093">
        <f t="shared" si="20"/>
        <v>-2461.8426005132897</v>
      </c>
      <c r="O44" s="1093">
        <f t="shared" si="20"/>
        <v>-2452.8476074263649</v>
      </c>
      <c r="P44" s="8"/>
      <c r="Q44" s="8"/>
      <c r="AA44" s="107"/>
    </row>
    <row r="45" spans="3:28" x14ac:dyDescent="0.3">
      <c r="C45" s="1105" t="s">
        <v>966</v>
      </c>
      <c r="D45" s="632">
        <f t="shared" ref="D45" si="21">SUM(AA20:AA23)/57</f>
        <v>0</v>
      </c>
      <c r="E45" s="632">
        <v>-178551.26443792172</v>
      </c>
      <c r="F45" s="632">
        <v>-25355.072128060259</v>
      </c>
      <c r="G45" s="632">
        <v>2894.6678966789668</v>
      </c>
      <c r="H45" s="632">
        <v>1964.6654611211575</v>
      </c>
      <c r="I45" s="632"/>
      <c r="J45" s="632"/>
      <c r="K45" s="632"/>
      <c r="L45" s="632"/>
      <c r="M45" s="632"/>
      <c r="N45" s="632"/>
      <c r="O45" s="632"/>
    </row>
    <row r="47" spans="3:28" x14ac:dyDescent="0.3">
      <c r="C47" s="1105" t="s">
        <v>964</v>
      </c>
      <c r="D47" s="70">
        <f>D36-D37</f>
        <v>0</v>
      </c>
      <c r="E47" s="70">
        <f t="shared" ref="E47:O47" si="22">E36-E37</f>
        <v>-3</v>
      </c>
      <c r="F47" s="70">
        <f t="shared" si="22"/>
        <v>-16</v>
      </c>
      <c r="G47" s="70">
        <f t="shared" si="22"/>
        <v>-6</v>
      </c>
      <c r="H47" s="70">
        <f t="shared" si="22"/>
        <v>-3</v>
      </c>
      <c r="I47" s="70">
        <f t="shared" si="22"/>
        <v>-3</v>
      </c>
      <c r="J47" s="70">
        <f t="shared" si="22"/>
        <v>-1</v>
      </c>
      <c r="K47" s="70">
        <f t="shared" si="22"/>
        <v>-1</v>
      </c>
      <c r="L47" s="70">
        <f t="shared" si="22"/>
        <v>-1</v>
      </c>
      <c r="M47" s="70">
        <f t="shared" si="22"/>
        <v>-1</v>
      </c>
      <c r="N47" s="70">
        <f t="shared" si="22"/>
        <v>-1</v>
      </c>
      <c r="O47" s="70">
        <f t="shared" si="22"/>
        <v>-1</v>
      </c>
      <c r="P47" s="1106">
        <f>20*2470</f>
        <v>49400</v>
      </c>
      <c r="Q47" s="1106">
        <f>P47*9</f>
        <v>444600</v>
      </c>
    </row>
    <row r="48" spans="3:28" x14ac:dyDescent="0.3">
      <c r="C48" s="1012"/>
    </row>
    <row r="49" spans="3:16" x14ac:dyDescent="0.3">
      <c r="C49" s="1105" t="s">
        <v>967</v>
      </c>
      <c r="D49" s="632">
        <f t="shared" ref="D49" si="23">(AA27-C14)/57</f>
        <v>0</v>
      </c>
      <c r="E49" s="632">
        <v>-9760.6914954446693</v>
      </c>
      <c r="F49" s="632">
        <v>0</v>
      </c>
      <c r="G49" s="632">
        <v>0</v>
      </c>
      <c r="H49" s="632">
        <v>0</v>
      </c>
      <c r="I49" s="632">
        <f>H27/H$2</f>
        <v>0</v>
      </c>
      <c r="J49" s="632">
        <f t="shared" ref="J49:O49" si="24">I27/I$2</f>
        <v>54053.245332861225</v>
      </c>
      <c r="K49" s="632">
        <f t="shared" si="24"/>
        <v>30780.201932075663</v>
      </c>
      <c r="L49" s="632">
        <f t="shared" si="24"/>
        <v>0</v>
      </c>
      <c r="M49" s="632">
        <f t="shared" si="24"/>
        <v>0</v>
      </c>
      <c r="N49" s="632">
        <f t="shared" si="24"/>
        <v>0</v>
      </c>
      <c r="O49" s="632">
        <f t="shared" si="24"/>
        <v>75420.564084162863</v>
      </c>
    </row>
    <row r="51" spans="3:16" x14ac:dyDescent="0.3">
      <c r="C51" s="70" t="s">
        <v>903</v>
      </c>
      <c r="D51" s="150">
        <f t="shared" ref="D51" si="25">AA30/57</f>
        <v>-179335.39381522359</v>
      </c>
      <c r="E51" s="150">
        <v>-23030.743310501202</v>
      </c>
      <c r="F51" s="150">
        <v>-8580.5206504585494</v>
      </c>
      <c r="G51" s="150">
        <v>1293.6558010109882</v>
      </c>
      <c r="H51" s="150">
        <v>-7064.0004715253481</v>
      </c>
      <c r="I51" s="150">
        <f>AF31</f>
        <v>-3589.6295534288156</v>
      </c>
      <c r="J51" s="150">
        <f t="shared" ref="J51:O51" si="26">AG31</f>
        <v>-5227.9164710559999</v>
      </c>
      <c r="K51" s="150">
        <f t="shared" si="26"/>
        <v>-4890.9825144060324</v>
      </c>
      <c r="L51" s="150">
        <f t="shared" si="26"/>
        <v>-5500.8638298725264</v>
      </c>
      <c r="M51" s="150">
        <f t="shared" si="26"/>
        <v>-5389.0215958204963</v>
      </c>
      <c r="N51" s="150">
        <f t="shared" si="26"/>
        <v>-5163.5956047030395</v>
      </c>
      <c r="O51" s="150">
        <f t="shared" si="26"/>
        <v>-5207.1061279282103</v>
      </c>
    </row>
    <row r="52" spans="3:16" x14ac:dyDescent="0.3">
      <c r="C52" s="70" t="s">
        <v>904</v>
      </c>
      <c r="D52" s="632">
        <v>11928.158807600255</v>
      </c>
      <c r="E52" s="632">
        <v>-29488.9172960211</v>
      </c>
      <c r="F52" s="632">
        <v>15231.961525284476</v>
      </c>
      <c r="G52" s="632">
        <v>14965.586156148391</v>
      </c>
      <c r="H52" s="632">
        <v>10583.911561625029</v>
      </c>
      <c r="I52" s="632">
        <f>'data entry '!G157*1000</f>
        <v>11922.061915291721</v>
      </c>
      <c r="J52" s="632">
        <f>'data entry '!H157*1000</f>
        <v>4122.9505653006418</v>
      </c>
      <c r="K52" s="632">
        <f>'data entry '!I157*1000</f>
        <v>1561.9264635669197</v>
      </c>
      <c r="L52" s="632">
        <f>'data entry '!J157*1000</f>
        <v>-926.05481658088706</v>
      </c>
      <c r="M52" s="632">
        <f>'data entry '!K157*1000</f>
        <v>-958.04215059942521</v>
      </c>
      <c r="N52" s="632">
        <f>'data entry '!L157*1000</f>
        <v>-612.19835758132035</v>
      </c>
      <c r="O52" s="632">
        <f>'data entry '!M157*1000</f>
        <v>1356.6065827500893</v>
      </c>
    </row>
    <row r="53" spans="3:16" x14ac:dyDescent="0.3">
      <c r="C53" s="70" t="s">
        <v>881</v>
      </c>
      <c r="D53" s="150">
        <v>-2500.5368553777867</v>
      </c>
      <c r="E53" s="150">
        <v>0</v>
      </c>
      <c r="F53" s="150">
        <v>579835.70000000007</v>
      </c>
      <c r="G53" s="150">
        <v>27278.262978396469</v>
      </c>
      <c r="H53" s="150">
        <v>36831.67497879186</v>
      </c>
      <c r="I53" s="150">
        <f>T31-T30/H$2</f>
        <v>10162.116041829664</v>
      </c>
      <c r="J53" s="150">
        <f t="shared" ref="J53:O53" si="27">U31-U30/I$2</f>
        <v>9350.8670363567071</v>
      </c>
      <c r="K53" s="150">
        <f t="shared" si="27"/>
        <v>6452.9089779729547</v>
      </c>
      <c r="L53" s="150">
        <f t="shared" si="27"/>
        <v>4574.8090132916404</v>
      </c>
      <c r="M53" s="150">
        <f t="shared" si="27"/>
        <v>4430.9794452211063</v>
      </c>
      <c r="N53" s="150">
        <f t="shared" si="27"/>
        <v>4551.3972471216985</v>
      </c>
      <c r="O53" s="150">
        <f t="shared" si="27"/>
        <v>6563.71271067817</v>
      </c>
    </row>
    <row r="54" spans="3:16" x14ac:dyDescent="0.3">
      <c r="C54" s="70" t="s">
        <v>871</v>
      </c>
      <c r="D54" s="1093">
        <f t="shared" ref="D54:O54" si="28">AA15/57</f>
        <v>0</v>
      </c>
      <c r="E54" s="1093">
        <f t="shared" si="28"/>
        <v>0</v>
      </c>
      <c r="F54" s="1093">
        <f t="shared" si="28"/>
        <v>0</v>
      </c>
      <c r="G54" s="1093">
        <f t="shared" si="28"/>
        <v>0</v>
      </c>
      <c r="H54" s="1093">
        <f t="shared" si="28"/>
        <v>0</v>
      </c>
      <c r="I54" s="1093">
        <f t="shared" si="28"/>
        <v>0</v>
      </c>
      <c r="J54" s="1093">
        <f t="shared" si="28"/>
        <v>0</v>
      </c>
      <c r="K54" s="1093">
        <f t="shared" si="28"/>
        <v>0</v>
      </c>
      <c r="L54" s="1093">
        <f t="shared" si="28"/>
        <v>0</v>
      </c>
      <c r="M54" s="1093">
        <f t="shared" si="28"/>
        <v>0</v>
      </c>
      <c r="N54" s="1093">
        <f t="shared" si="28"/>
        <v>0</v>
      </c>
      <c r="O54" s="1093">
        <f t="shared" si="28"/>
        <v>0</v>
      </c>
    </row>
    <row r="55" spans="3:16" x14ac:dyDescent="0.3">
      <c r="D55" s="107"/>
      <c r="E55" s="107"/>
      <c r="F55" s="107"/>
      <c r="G55" s="107"/>
      <c r="H55" s="107"/>
      <c r="I55" s="107"/>
      <c r="J55" s="107"/>
      <c r="K55" s="107"/>
      <c r="L55" s="107"/>
      <c r="M55" s="107"/>
      <c r="N55" s="107"/>
      <c r="O55" s="107"/>
      <c r="P55" t="s">
        <v>905</v>
      </c>
    </row>
    <row r="56" spans="3:16" x14ac:dyDescent="0.3">
      <c r="D56" s="107"/>
      <c r="E56" s="107"/>
      <c r="F56" s="107"/>
      <c r="G56" s="107"/>
      <c r="H56" s="107"/>
      <c r="I56" s="107"/>
      <c r="J56" s="107"/>
      <c r="K56" s="107"/>
      <c r="L56" s="107"/>
      <c r="M56" s="107"/>
      <c r="N56" s="107"/>
      <c r="O56" s="107"/>
    </row>
    <row r="57" spans="3:16" x14ac:dyDescent="0.3">
      <c r="C57" s="70"/>
      <c r="D57" s="70" t="s">
        <v>803</v>
      </c>
      <c r="E57" s="70" t="s">
        <v>804</v>
      </c>
      <c r="F57" s="70" t="s">
        <v>805</v>
      </c>
      <c r="G57" s="70" t="s">
        <v>806</v>
      </c>
      <c r="H57" s="70" t="s">
        <v>807</v>
      </c>
      <c r="I57" s="70" t="s">
        <v>808</v>
      </c>
      <c r="J57" s="70" t="s">
        <v>809</v>
      </c>
      <c r="K57" s="70" t="s">
        <v>810</v>
      </c>
      <c r="L57" s="70" t="s">
        <v>811</v>
      </c>
      <c r="M57" s="70" t="s">
        <v>812</v>
      </c>
      <c r="N57" s="70" t="s">
        <v>813</v>
      </c>
      <c r="O57" s="70" t="s">
        <v>814</v>
      </c>
    </row>
    <row r="58" spans="3:16" ht="13.95" customHeight="1" x14ac:dyDescent="0.3">
      <c r="C58" s="129" t="s">
        <v>422</v>
      </c>
      <c r="D58" s="150"/>
      <c r="E58" s="150">
        <v>-20951</v>
      </c>
      <c r="F58" s="150">
        <v>-13166</v>
      </c>
      <c r="G58" s="150">
        <v>-14820</v>
      </c>
      <c r="H58" s="150">
        <v>-7410</v>
      </c>
      <c r="I58" s="150">
        <f>'ACE 2026'!G49</f>
        <v>4481.7625895179335</v>
      </c>
      <c r="J58" s="150">
        <f>'ACE 2026'!H49</f>
        <v>2240.8812947589668</v>
      </c>
      <c r="K58" s="150">
        <f>'ACE 2026'!I49</f>
        <v>2240.8812947589668</v>
      </c>
      <c r="L58" s="150">
        <f>'ACE 2026'!J49</f>
        <v>2240.8812947589668</v>
      </c>
      <c r="M58" s="150">
        <f>'ACE 2026'!K49</f>
        <v>2240.8812947589668</v>
      </c>
      <c r="N58" s="150">
        <f>'ACE 2026'!L49</f>
        <v>2240.8812947589668</v>
      </c>
      <c r="O58" s="150">
        <f>'ACE 2026'!M49</f>
        <v>2240.8812947589668</v>
      </c>
    </row>
    <row r="59" spans="3:16" x14ac:dyDescent="0.3">
      <c r="C59" s="129" t="s">
        <v>47</v>
      </c>
      <c r="D59" s="1093">
        <f>D44-D58</f>
        <v>0</v>
      </c>
      <c r="E59" s="1093">
        <f t="shared" ref="E59:F59" si="29">E44-E58</f>
        <v>14240.791086619587</v>
      </c>
      <c r="F59" s="1093">
        <f t="shared" si="29"/>
        <v>-24116.766027246027</v>
      </c>
      <c r="G59" s="1093">
        <f>(G44-G58)+4264.7979840787</f>
        <v>-17577.0867378732</v>
      </c>
      <c r="H59" s="1093">
        <f>((H44-H58))+30874.301337982</f>
        <v>-2347.9285139606982</v>
      </c>
      <c r="I59" s="1093">
        <f>((I44-I58))</f>
        <v>-11989.435090333736</v>
      </c>
      <c r="J59" s="1093">
        <f t="shared" ref="J59:O59" si="30">((J44-J58))</f>
        <v>-4510.6968509127873</v>
      </c>
      <c r="K59" s="1093">
        <f t="shared" si="30"/>
        <v>-4522.5038707451386</v>
      </c>
      <c r="L59" s="1093">
        <f t="shared" si="30"/>
        <v>-4953.3518730616634</v>
      </c>
      <c r="M59" s="1093">
        <f t="shared" si="30"/>
        <v>-4765.2086886980087</v>
      </c>
      <c r="N59" s="1093">
        <f t="shared" si="30"/>
        <v>-4702.7238952722564</v>
      </c>
      <c r="O59" s="1093">
        <f t="shared" si="30"/>
        <v>-4693.7289021853321</v>
      </c>
    </row>
    <row r="60" spans="3:16" x14ac:dyDescent="0.3">
      <c r="C60" s="129" t="s">
        <v>600</v>
      </c>
      <c r="D60" s="1093">
        <f>D42</f>
        <v>-189753.04094376689</v>
      </c>
      <c r="E60" s="1093">
        <f>(((E42)))+-56.9245741625236</f>
        <v>-195519.48210528737</v>
      </c>
      <c r="F60" s="1093">
        <f>F42</f>
        <v>-168150.43194113273</v>
      </c>
      <c r="G60" s="1093">
        <f>(G42)</f>
        <v>-185844.27772233979</v>
      </c>
      <c r="H60" s="1093">
        <f t="shared" ref="H60:O60" si="31">(H42)</f>
        <v>-215915.45306468476</v>
      </c>
      <c r="I60" s="1093">
        <f t="shared" si="31"/>
        <v>4274.241937321287</v>
      </c>
      <c r="J60" s="1093">
        <f t="shared" si="31"/>
        <v>-2958.1009149022148</v>
      </c>
      <c r="K60" s="1093">
        <f t="shared" si="31"/>
        <v>-2609.3599384198651</v>
      </c>
      <c r="L60" s="1093">
        <f t="shared" si="31"/>
        <v>-2788.3932515698421</v>
      </c>
      <c r="M60" s="1093">
        <f t="shared" si="31"/>
        <v>-2864.6942018814834</v>
      </c>
      <c r="N60" s="1093">
        <f t="shared" si="31"/>
        <v>-2701.7530041898117</v>
      </c>
      <c r="O60" s="1093">
        <f t="shared" si="31"/>
        <v>-2754.2585205018054</v>
      </c>
    </row>
    <row r="61" spans="3:16" x14ac:dyDescent="0.3">
      <c r="C61" s="129" t="s">
        <v>599</v>
      </c>
      <c r="D61" s="632">
        <f>D45</f>
        <v>0</v>
      </c>
      <c r="E61" s="632">
        <f t="shared" ref="E61:F61" si="32">E45</f>
        <v>-178551.26443792172</v>
      </c>
      <c r="F61" s="632">
        <f t="shared" si="32"/>
        <v>-25355.072128060259</v>
      </c>
      <c r="G61" s="632">
        <f>((((G44+G45)-G58)))</f>
        <v>-18947.216825272932</v>
      </c>
      <c r="H61" s="632">
        <f>(((((H44+H45)-H58))))</f>
        <v>-31257.564390821542</v>
      </c>
      <c r="I61" s="632">
        <f>((((((I44+I45)-I58)))))+4743.43879503089</f>
        <v>-7245.9962953028462</v>
      </c>
      <c r="J61" s="632">
        <f>((((((J44+J45)-J58)))))+4510.69685091276</f>
        <v>-2.7284841053187847E-11</v>
      </c>
      <c r="K61" s="632">
        <f>((((((K44+K45)-K58)))))+4522.50387074514</f>
        <v>0</v>
      </c>
      <c r="L61" s="632">
        <f>((((((L44+L45)-L58)))))+4953.35187306167</f>
        <v>0</v>
      </c>
      <c r="M61" s="632">
        <f>((((((M44+M45)-M58)))))+4765.208688698</f>
        <v>-9.0949470177292824E-12</v>
      </c>
      <c r="N61" s="632">
        <f>((((((N44+N45)-N58)))))+4702.72389527234</f>
        <v>8.3673512563109398E-11</v>
      </c>
      <c r="O61" s="632">
        <f>(((((((O44+O45)-O58)))))+33074.2121345905)+-28380.483232405</f>
        <v>1.7098500393331051E-10</v>
      </c>
    </row>
    <row r="62" spans="3:16" x14ac:dyDescent="0.3">
      <c r="C62" s="129" t="s">
        <v>906</v>
      </c>
      <c r="D62" s="1093">
        <f>D53</f>
        <v>-2500.5368553777867</v>
      </c>
      <c r="E62" s="1093">
        <f t="shared" ref="E62:O63" si="33">E53</f>
        <v>0</v>
      </c>
      <c r="F62" s="1093">
        <f t="shared" si="33"/>
        <v>579835.70000000007</v>
      </c>
      <c r="G62" s="1093">
        <f t="shared" si="33"/>
        <v>27278.262978396469</v>
      </c>
      <c r="H62" s="1093">
        <f t="shared" si="33"/>
        <v>36831.67497879186</v>
      </c>
      <c r="I62" s="1093">
        <f t="shared" si="33"/>
        <v>10162.116041829664</v>
      </c>
      <c r="J62" s="1093">
        <f t="shared" si="33"/>
        <v>9350.8670363567071</v>
      </c>
      <c r="K62" s="1093">
        <f t="shared" si="33"/>
        <v>6452.9089779729547</v>
      </c>
      <c r="L62" s="1093">
        <f t="shared" si="33"/>
        <v>4574.8090132916404</v>
      </c>
      <c r="M62" s="1093">
        <f t="shared" si="33"/>
        <v>4430.9794452211063</v>
      </c>
      <c r="N62" s="1093">
        <f t="shared" si="33"/>
        <v>4551.3972471216985</v>
      </c>
      <c r="O62" s="1093">
        <f t="shared" si="33"/>
        <v>6563.71271067817</v>
      </c>
    </row>
    <row r="63" spans="3:16" x14ac:dyDescent="0.3">
      <c r="C63" s="129" t="s">
        <v>892</v>
      </c>
      <c r="D63" s="1093">
        <f>D54</f>
        <v>0</v>
      </c>
      <c r="E63" s="1093">
        <f t="shared" si="33"/>
        <v>0</v>
      </c>
      <c r="F63" s="1093">
        <f t="shared" si="33"/>
        <v>0</v>
      </c>
      <c r="G63" s="1093">
        <f t="shared" si="33"/>
        <v>0</v>
      </c>
      <c r="H63" s="1093">
        <f t="shared" si="33"/>
        <v>0</v>
      </c>
      <c r="I63" s="1093">
        <f t="shared" si="33"/>
        <v>0</v>
      </c>
      <c r="J63" s="1093">
        <f t="shared" si="33"/>
        <v>0</v>
      </c>
      <c r="K63" s="1093">
        <f t="shared" si="33"/>
        <v>0</v>
      </c>
      <c r="L63" s="1093">
        <f t="shared" si="33"/>
        <v>0</v>
      </c>
      <c r="M63" s="1093">
        <f t="shared" si="33"/>
        <v>0</v>
      </c>
      <c r="N63" s="1093">
        <f t="shared" si="33"/>
        <v>0</v>
      </c>
      <c r="O63" s="1093">
        <f t="shared" si="33"/>
        <v>0</v>
      </c>
    </row>
    <row r="64" spans="3:16" x14ac:dyDescent="0.3">
      <c r="C64" s="129" t="s">
        <v>907</v>
      </c>
      <c r="D64" s="1093">
        <f>D52-SUM(D58:D63)</f>
        <v>204181.73660674493</v>
      </c>
      <c r="E64" s="1093">
        <f t="shared" ref="E64:O64" si="34">E52-SUM(E58:E63)</f>
        <v>351292.03816056845</v>
      </c>
      <c r="F64" s="1093">
        <f t="shared" si="34"/>
        <v>-333815.46837827662</v>
      </c>
      <c r="G64" s="1093">
        <f t="shared" si="34"/>
        <v>224875.90446323785</v>
      </c>
      <c r="H64" s="1093">
        <f t="shared" si="34"/>
        <v>230683.18255230016</v>
      </c>
      <c r="I64" s="1093">
        <f>I52-SUM(I58:I63)</f>
        <v>12239.372732259419</v>
      </c>
      <c r="J64" s="1093">
        <f t="shared" si="34"/>
        <v>0</v>
      </c>
      <c r="K64" s="1093">
        <f t="shared" si="34"/>
        <v>1.8189894035458565E-12</v>
      </c>
      <c r="L64" s="1093">
        <f t="shared" si="34"/>
        <v>1.0686562745831907E-11</v>
      </c>
      <c r="M64" s="1093">
        <f>M52-SUM(M58:M63)</f>
        <v>2.9558577807620168E-12</v>
      </c>
      <c r="N64" s="1093">
        <f t="shared" si="34"/>
        <v>-1.1368683772161603E-12</v>
      </c>
      <c r="O64" s="1093">
        <f t="shared" si="34"/>
        <v>-8.0490281106904149E-11</v>
      </c>
    </row>
    <row r="66" spans="16:16" x14ac:dyDescent="0.3">
      <c r="P66">
        <v>13000</v>
      </c>
    </row>
    <row r="67" spans="16:16" x14ac:dyDescent="0.3">
      <c r="P67">
        <f>P66/9</f>
        <v>1444.4444444444443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T2:AW2"/>
  </mergeCells>
  <conditionalFormatting sqref="R32:Z32 R34:Z34">
    <cfRule type="cellIs" dxfId="3" priority="1" operator="notEqual">
      <formula>0</formula>
    </cfRule>
    <cfRule type="cellIs" dxfId="2" priority="2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0F82C-2742-4C91-B269-119629237794}">
  <sheetPr>
    <tabColor rgb="FF92D050"/>
  </sheetPr>
  <dimension ref="A1:BN84"/>
  <sheetViews>
    <sheetView topLeftCell="P1" zoomScale="55" zoomScaleNormal="55" workbookViewId="0">
      <pane xSplit="2" topLeftCell="U1" activePane="topRight" state="frozen"/>
      <selection activeCell="F49" sqref="F49:F54"/>
      <selection pane="topRight" activeCell="F49" sqref="F49:F54"/>
    </sheetView>
  </sheetViews>
  <sheetFormatPr defaultRowHeight="14.4" outlineLevelCol="2" x14ac:dyDescent="0.3"/>
  <cols>
    <col min="1" max="1" width="8.88671875" hidden="1" customWidth="1" outlineLevel="1"/>
    <col min="2" max="2" width="31.33203125" hidden="1" customWidth="1" outlineLevel="1"/>
    <col min="3" max="4" width="9.33203125" hidden="1" customWidth="1" outlineLevel="2"/>
    <col min="5" max="6" width="8.6640625" hidden="1" customWidth="1" outlineLevel="2"/>
    <col min="7" max="7" width="12.6640625" hidden="1" customWidth="1" outlineLevel="2"/>
    <col min="8" max="8" width="8.6640625" hidden="1" customWidth="1" outlineLevel="2"/>
    <col min="9" max="9" width="12.5546875" hidden="1" customWidth="1" outlineLevel="2"/>
    <col min="10" max="11" width="9.6640625" hidden="1" customWidth="1" outlineLevel="2"/>
    <col min="12" max="12" width="10.6640625" hidden="1" customWidth="1" outlineLevel="2"/>
    <col min="13" max="13" width="10.6640625" hidden="1" customWidth="1" outlineLevel="1"/>
    <col min="14" max="14" width="14" hidden="1" customWidth="1" outlineLevel="1"/>
    <col min="15" max="15" width="9.33203125" hidden="1" customWidth="1" outlineLevel="1"/>
    <col min="16" max="16" width="8.88671875" collapsed="1"/>
    <col min="17" max="17" width="25.33203125" customWidth="1"/>
    <col min="18" max="18" width="16.88671875" customWidth="1" outlineLevel="1"/>
    <col min="19" max="23" width="15.6640625" customWidth="1" outlineLevel="1"/>
    <col min="24" max="24" width="12.5546875" customWidth="1" outlineLevel="1"/>
    <col min="25" max="25" width="15.6640625" customWidth="1" outlineLevel="1"/>
    <col min="26" max="26" width="18.33203125" customWidth="1"/>
    <col min="27" max="27" width="15.6640625" customWidth="1"/>
    <col min="28" max="28" width="18.33203125" customWidth="1"/>
    <col min="29" max="29" width="17.6640625" customWidth="1"/>
    <col min="30" max="30" width="12.6640625" customWidth="1" outlineLevel="1" collapsed="1"/>
    <col min="31" max="36" width="12.6640625" customWidth="1" outlineLevel="1"/>
    <col min="37" max="37" width="13.44140625" customWidth="1" outlineLevel="1"/>
    <col min="38" max="41" width="12.6640625" customWidth="1"/>
    <col min="42" max="49" width="12.6640625" customWidth="1" outlineLevel="1"/>
    <col min="50" max="53" width="12.6640625" customWidth="1"/>
    <col min="54" max="54" width="13.5546875" customWidth="1"/>
    <col min="55" max="55" width="17.33203125" hidden="1" customWidth="1"/>
    <col min="56" max="56" width="17.33203125" hidden="1" customWidth="1" collapsed="1"/>
    <col min="57" max="57" width="8.88671875" hidden="1" customWidth="1"/>
    <col min="58" max="58" width="20.5546875" hidden="1" customWidth="1"/>
    <col min="59" max="59" width="13.109375" hidden="1" customWidth="1"/>
    <col min="60" max="60" width="11.5546875" hidden="1" customWidth="1"/>
    <col min="61" max="61" width="8.88671875" hidden="1" customWidth="1"/>
    <col min="62" max="62" width="16.33203125" hidden="1" customWidth="1"/>
    <col min="63" max="63" width="9" hidden="1" customWidth="1"/>
    <col min="64" max="64" width="8.33203125" hidden="1" customWidth="1"/>
    <col min="65" max="65" width="13.33203125" hidden="1" customWidth="1"/>
    <col min="66" max="72" width="0" hidden="1" customWidth="1"/>
  </cols>
  <sheetData>
    <row r="1" spans="1:66" x14ac:dyDescent="0.3">
      <c r="R1" s="34">
        <v>52.488689999999991</v>
      </c>
      <c r="S1" s="34">
        <v>53.485975109999984</v>
      </c>
      <c r="T1" s="34">
        <v>54.502208637089979</v>
      </c>
      <c r="U1" s="34">
        <v>55.319741766646324</v>
      </c>
      <c r="V1" s="34">
        <v>56.149537893146011</v>
      </c>
      <c r="W1" s="34">
        <v>56.991780961543199</v>
      </c>
      <c r="X1" s="34">
        <v>57.447715209235547</v>
      </c>
      <c r="Y1" s="34">
        <v>57.907296930909432</v>
      </c>
      <c r="Z1" s="34">
        <v>58.370555306356707</v>
      </c>
      <c r="AA1" s="34">
        <v>59.392040024217955</v>
      </c>
      <c r="AB1" s="34">
        <v>60.431400724641776</v>
      </c>
      <c r="AC1" s="34">
        <v>61.48895023732301</v>
      </c>
      <c r="AD1" s="34">
        <f>AD10/(AD2)</f>
        <v>0</v>
      </c>
      <c r="AE1" s="34"/>
      <c r="AF1" s="34"/>
      <c r="AG1" s="34"/>
      <c r="AH1" s="34"/>
      <c r="AI1" s="34">
        <v>-1</v>
      </c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</row>
    <row r="2" spans="1:66" x14ac:dyDescent="0.3">
      <c r="A2" s="1009"/>
      <c r="B2" s="1009"/>
      <c r="C2" s="1009" t="s">
        <v>968</v>
      </c>
      <c r="D2" s="1009" t="s">
        <v>969</v>
      </c>
      <c r="E2" s="1009" t="s">
        <v>970</v>
      </c>
      <c r="F2" s="1009" t="s">
        <v>971</v>
      </c>
      <c r="G2" s="1009" t="s">
        <v>807</v>
      </c>
      <c r="H2" s="1009" t="s">
        <v>5</v>
      </c>
      <c r="I2" s="1009" t="s">
        <v>972</v>
      </c>
      <c r="J2" s="1009" t="s">
        <v>973</v>
      </c>
      <c r="K2" s="1003" t="s">
        <v>974</v>
      </c>
      <c r="L2" s="1003" t="s">
        <v>975</v>
      </c>
      <c r="M2" s="1003" t="s">
        <v>976</v>
      </c>
      <c r="N2" s="1012" t="s">
        <v>94</v>
      </c>
      <c r="O2" s="1009"/>
      <c r="P2" s="1009"/>
      <c r="Q2" s="1009"/>
      <c r="R2" s="1009">
        <v>-1</v>
      </c>
      <c r="S2" s="1009"/>
      <c r="T2" s="1009"/>
      <c r="U2" s="1009"/>
      <c r="V2" s="1009"/>
      <c r="W2" s="1009"/>
      <c r="X2" s="1009"/>
      <c r="Y2" s="1009"/>
      <c r="Z2" s="1009"/>
      <c r="AA2" s="1009"/>
      <c r="AB2" s="1009"/>
      <c r="AC2" s="1009"/>
      <c r="AD2" s="1009">
        <v>32</v>
      </c>
      <c r="AE2" s="1009"/>
      <c r="AF2" s="1009"/>
      <c r="AG2" s="1047"/>
      <c r="AH2" s="1009"/>
      <c r="AI2" s="1009"/>
      <c r="AJ2" s="1009"/>
      <c r="AK2" s="1009"/>
      <c r="AL2" s="1009"/>
      <c r="AM2" s="1009"/>
      <c r="AN2" s="1009"/>
      <c r="AO2" s="1009"/>
      <c r="AP2" s="1009" t="s">
        <v>977</v>
      </c>
      <c r="AQ2" s="1009" t="s">
        <v>977</v>
      </c>
      <c r="AR2" s="1009" t="s">
        <v>977</v>
      </c>
      <c r="AS2" s="1009" t="s">
        <v>977</v>
      </c>
      <c r="AT2" s="1009" t="s">
        <v>977</v>
      </c>
      <c r="AU2" s="1009" t="s">
        <v>977</v>
      </c>
      <c r="AV2" s="1009" t="s">
        <v>977</v>
      </c>
      <c r="AW2" s="1009" t="s">
        <v>977</v>
      </c>
      <c r="AX2" s="1009" t="s">
        <v>977</v>
      </c>
      <c r="AY2" s="1009" t="s">
        <v>977</v>
      </c>
      <c r="AZ2" s="1009" t="s">
        <v>977</v>
      </c>
      <c r="BA2" s="1009" t="s">
        <v>977</v>
      </c>
      <c r="BB2" s="1009"/>
      <c r="BE2" s="1009"/>
      <c r="BF2" s="1009">
        <f>R2</f>
        <v>-1</v>
      </c>
      <c r="BG2" s="1009"/>
      <c r="BH2" s="1009"/>
      <c r="BI2" s="1009">
        <f>BF2-AD2</f>
        <v>-33</v>
      </c>
      <c r="BJ2" s="1009"/>
      <c r="BK2" s="1009"/>
      <c r="BL2" s="1009" t="s">
        <v>978</v>
      </c>
      <c r="BM2" s="1110">
        <v>6666010101</v>
      </c>
      <c r="BN2" s="1009" t="s">
        <v>979</v>
      </c>
    </row>
    <row r="3" spans="1:66" x14ac:dyDescent="0.3">
      <c r="A3" s="1009"/>
      <c r="B3" s="1009"/>
      <c r="C3" s="1009"/>
      <c r="D3" s="1009"/>
      <c r="E3" s="1009"/>
      <c r="F3" s="1009"/>
      <c r="G3" s="1009"/>
      <c r="H3" s="1009"/>
      <c r="I3" s="1009"/>
      <c r="J3" s="1009"/>
      <c r="K3" s="1009"/>
      <c r="L3" s="1009"/>
      <c r="M3" s="1009"/>
      <c r="N3" s="1012"/>
      <c r="O3" s="1009"/>
      <c r="P3" s="1009"/>
      <c r="Q3" s="1009"/>
      <c r="R3" s="1003" t="s">
        <v>980</v>
      </c>
      <c r="S3" s="1003" t="s">
        <v>981</v>
      </c>
      <c r="T3" s="1003" t="s">
        <v>982</v>
      </c>
      <c r="U3" s="1003" t="s">
        <v>820</v>
      </c>
      <c r="V3" s="1003" t="s">
        <v>821</v>
      </c>
      <c r="W3" s="1003" t="s">
        <v>822</v>
      </c>
      <c r="X3" s="1003" t="s">
        <v>823</v>
      </c>
      <c r="Y3" s="1003" t="s">
        <v>824</v>
      </c>
      <c r="Z3" s="1003" t="s">
        <v>825</v>
      </c>
      <c r="AA3" s="1003" t="s">
        <v>826</v>
      </c>
      <c r="AB3" s="1003" t="s">
        <v>827</v>
      </c>
      <c r="AC3" s="1003" t="s">
        <v>828</v>
      </c>
      <c r="AD3" s="1003" t="s">
        <v>829</v>
      </c>
      <c r="AE3" s="1003" t="s">
        <v>830</v>
      </c>
      <c r="AF3" s="1003" t="s">
        <v>831</v>
      </c>
      <c r="AG3" s="1003" t="s">
        <v>832</v>
      </c>
      <c r="AH3" s="1003" t="s">
        <v>558</v>
      </c>
      <c r="AI3" s="1003" t="s">
        <v>559</v>
      </c>
      <c r="AJ3" s="1003" t="s">
        <v>560</v>
      </c>
      <c r="AK3" s="1003" t="s">
        <v>833</v>
      </c>
      <c r="AL3" s="1003" t="s">
        <v>834</v>
      </c>
      <c r="AM3" s="1003" t="s">
        <v>835</v>
      </c>
      <c r="AN3" s="1003" t="s">
        <v>836</v>
      </c>
      <c r="AO3" s="1003" t="s">
        <v>837</v>
      </c>
      <c r="AP3" s="1003" t="s">
        <v>829</v>
      </c>
      <c r="AQ3" s="1003" t="s">
        <v>830</v>
      </c>
      <c r="AR3" s="1003" t="s">
        <v>831</v>
      </c>
      <c r="AS3" s="1003" t="s">
        <v>832</v>
      </c>
      <c r="AT3" s="1003" t="s">
        <v>558</v>
      </c>
      <c r="AU3" s="1003" t="s">
        <v>559</v>
      </c>
      <c r="AV3" s="1003" t="s">
        <v>560</v>
      </c>
      <c r="AW3" s="1003" t="s">
        <v>833</v>
      </c>
      <c r="AX3" s="1003" t="s">
        <v>834</v>
      </c>
      <c r="AY3" s="1003" t="s">
        <v>835</v>
      </c>
      <c r="AZ3" s="1003" t="s">
        <v>836</v>
      </c>
      <c r="BA3" s="1003" t="s">
        <v>837</v>
      </c>
      <c r="BB3" s="1009"/>
      <c r="BC3" s="1003" t="s">
        <v>839</v>
      </c>
      <c r="BD3" s="1003" t="s">
        <v>840</v>
      </c>
      <c r="BE3" s="1009"/>
      <c r="BF3" s="1009"/>
      <c r="BG3" s="1009" t="s">
        <v>973</v>
      </c>
      <c r="BH3" s="1009"/>
      <c r="BI3" s="1009"/>
      <c r="BJ3" s="1009"/>
      <c r="BK3" s="1009"/>
      <c r="BL3" s="1009" t="s">
        <v>978</v>
      </c>
      <c r="BM3" s="1110">
        <v>6666010185</v>
      </c>
      <c r="BN3" s="1009" t="s">
        <v>863</v>
      </c>
    </row>
    <row r="4" spans="1:66" x14ac:dyDescent="0.3">
      <c r="A4" s="1009"/>
      <c r="B4" s="1009" t="s">
        <v>942</v>
      </c>
      <c r="C4" s="1009"/>
      <c r="D4" s="1009"/>
      <c r="E4" s="1009"/>
      <c r="F4" s="1009"/>
      <c r="G4" s="1027">
        <v>1566649</v>
      </c>
      <c r="H4" s="1027">
        <v>1497384</v>
      </c>
      <c r="I4" s="1027">
        <v>1675447.61</v>
      </c>
      <c r="J4" s="1027">
        <v>1645727</v>
      </c>
      <c r="K4" s="1027">
        <v>1671528</v>
      </c>
      <c r="L4" s="1027">
        <v>1720533</v>
      </c>
      <c r="M4" s="1027">
        <v>1998550</v>
      </c>
      <c r="N4" s="1012"/>
      <c r="O4" s="1009"/>
      <c r="P4" s="1009"/>
      <c r="Q4" s="1009" t="s">
        <v>942</v>
      </c>
      <c r="R4" s="1024">
        <v>2552928.3714999999</v>
      </c>
      <c r="S4" s="1024">
        <v>2552928.3714999999</v>
      </c>
      <c r="T4" s="1024">
        <v>2552928.3714999999</v>
      </c>
      <c r="U4" s="1024">
        <v>2647797.4726450001</v>
      </c>
      <c r="V4" s="1024">
        <v>2647797.4726450001</v>
      </c>
      <c r="W4" s="1024">
        <v>2647797.4726450001</v>
      </c>
      <c r="X4" s="1024">
        <v>2647797.4726450001</v>
      </c>
      <c r="Y4" s="1024">
        <v>2711111.5351450001</v>
      </c>
      <c r="Z4" s="1024">
        <v>2711111.5351450001</v>
      </c>
      <c r="AA4" s="1024">
        <v>2711111.5351450001</v>
      </c>
      <c r="AB4" s="1024">
        <v>2711111.5351450001</v>
      </c>
      <c r="AC4" s="1024">
        <v>2711111.5351450001</v>
      </c>
      <c r="AD4" s="1024"/>
      <c r="AE4" s="1024"/>
      <c r="AF4" s="1024"/>
      <c r="AG4" s="1024"/>
      <c r="AH4" s="1024"/>
      <c r="AI4" s="1025">
        <v>3808972.51</v>
      </c>
      <c r="AJ4" s="1025">
        <v>2573125</v>
      </c>
      <c r="AK4" s="1025">
        <v>2651875</v>
      </c>
      <c r="AL4" s="1025">
        <v>2731431.25</v>
      </c>
      <c r="AM4" s="1025">
        <v>2731431.25</v>
      </c>
      <c r="AN4" s="1025">
        <v>2731431.25</v>
      </c>
      <c r="AO4" s="1025">
        <v>2731431.25</v>
      </c>
      <c r="AP4" s="1024">
        <f t="shared" ref="AP4:BA9" si="0">AD4-R4</f>
        <v>-2552928.3714999999</v>
      </c>
      <c r="AQ4" s="1024">
        <f t="shared" si="0"/>
        <v>-2552928.3714999999</v>
      </c>
      <c r="AR4" s="1024">
        <f t="shared" si="0"/>
        <v>-2552928.3714999999</v>
      </c>
      <c r="AS4" s="1024">
        <f t="shared" si="0"/>
        <v>-2647797.4726450001</v>
      </c>
      <c r="AT4" s="1024">
        <f t="shared" si="0"/>
        <v>-2647797.4726450001</v>
      </c>
      <c r="AU4" s="1024">
        <f t="shared" si="0"/>
        <v>1161175.0373549997</v>
      </c>
      <c r="AV4" s="1024">
        <f t="shared" si="0"/>
        <v>-74672.472645000089</v>
      </c>
      <c r="AW4" s="1024">
        <f t="shared" si="0"/>
        <v>-59236.535145000089</v>
      </c>
      <c r="AX4" s="1024">
        <f t="shared" si="0"/>
        <v>20319.714854999911</v>
      </c>
      <c r="AY4" s="1024">
        <f t="shared" si="0"/>
        <v>20319.714854999911</v>
      </c>
      <c r="AZ4" s="1024">
        <f t="shared" si="0"/>
        <v>20319.714854999911</v>
      </c>
      <c r="BA4" s="1024">
        <f t="shared" si="0"/>
        <v>20319.714854999911</v>
      </c>
      <c r="BB4" s="1009"/>
      <c r="BC4" s="1024">
        <f>AO4-AC4</f>
        <v>20319.714854999911</v>
      </c>
      <c r="BD4" s="1024">
        <f>BC4/38</f>
        <v>534.72933828947134</v>
      </c>
      <c r="BE4" s="1027"/>
      <c r="BF4" s="1009"/>
      <c r="BG4" s="1009"/>
      <c r="BH4" s="1009"/>
      <c r="BI4" s="1009"/>
      <c r="BJ4" s="1009"/>
      <c r="BK4" s="1009"/>
      <c r="BL4" s="1009" t="s">
        <v>978</v>
      </c>
      <c r="BM4" s="1111">
        <v>6666010196</v>
      </c>
      <c r="BN4" s="1009" t="s">
        <v>983</v>
      </c>
    </row>
    <row r="5" spans="1:66" ht="21" x14ac:dyDescent="0.4">
      <c r="A5" s="1009"/>
      <c r="B5" s="1009" t="s">
        <v>984</v>
      </c>
      <c r="C5" s="1009"/>
      <c r="D5" s="1009"/>
      <c r="E5" s="1009"/>
      <c r="F5" s="1009"/>
      <c r="G5" s="1027">
        <v>19094</v>
      </c>
      <c r="H5" s="1027">
        <v>20864</v>
      </c>
      <c r="I5" s="1027">
        <v>26358</v>
      </c>
      <c r="J5" s="1027">
        <v>25538.33</v>
      </c>
      <c r="K5" s="1027">
        <v>25171</v>
      </c>
      <c r="L5" s="1027">
        <v>26788</v>
      </c>
      <c r="M5" s="1027">
        <v>19663</v>
      </c>
      <c r="N5" s="1012"/>
      <c r="O5" s="1009"/>
      <c r="P5" s="1009"/>
      <c r="Q5" s="1009" t="s">
        <v>985</v>
      </c>
      <c r="R5" s="1024">
        <v>850976.12383333326</v>
      </c>
      <c r="S5" s="1024">
        <v>850976.12383333326</v>
      </c>
      <c r="T5" s="1024">
        <v>850976.12383333326</v>
      </c>
      <c r="U5" s="1024">
        <v>882599.15754833329</v>
      </c>
      <c r="V5" s="1024">
        <v>882599.15754833329</v>
      </c>
      <c r="W5" s="1024">
        <v>882599.15754833329</v>
      </c>
      <c r="X5" s="1024">
        <v>882599.15754833329</v>
      </c>
      <c r="Y5" s="1024">
        <v>903703.84504833329</v>
      </c>
      <c r="Z5" s="1024">
        <v>903703.84504833329</v>
      </c>
      <c r="AA5" s="1024">
        <v>903703.84504833329</v>
      </c>
      <c r="AB5" s="1024">
        <v>903703.84504833329</v>
      </c>
      <c r="AC5" s="1024">
        <v>903703.84504833329</v>
      </c>
      <c r="AD5" s="1024"/>
      <c r="AE5" s="1024"/>
      <c r="AF5" s="1024"/>
      <c r="AG5" s="1024"/>
      <c r="AH5" s="1024"/>
      <c r="AI5" s="1025"/>
      <c r="AJ5" s="1025">
        <v>857708.33333333326</v>
      </c>
      <c r="AK5" s="1025">
        <v>883958.33333333326</v>
      </c>
      <c r="AL5" s="1025">
        <v>910477.08333333326</v>
      </c>
      <c r="AM5" s="1025">
        <v>910477.08333333326</v>
      </c>
      <c r="AN5" s="1025">
        <v>910477.08333333326</v>
      </c>
      <c r="AO5" s="1025">
        <v>910477.08333333326</v>
      </c>
      <c r="AP5" s="1024">
        <f t="shared" si="0"/>
        <v>-850976.12383333326</v>
      </c>
      <c r="AQ5" s="1024">
        <f t="shared" si="0"/>
        <v>-850976.12383333326</v>
      </c>
      <c r="AR5" s="1024">
        <f t="shared" si="0"/>
        <v>-850976.12383333326</v>
      </c>
      <c r="AS5" s="1024">
        <f t="shared" si="0"/>
        <v>-882599.15754833329</v>
      </c>
      <c r="AT5" s="1024">
        <f t="shared" si="0"/>
        <v>-882599.15754833329</v>
      </c>
      <c r="AU5" s="1024">
        <f t="shared" si="0"/>
        <v>-882599.15754833329</v>
      </c>
      <c r="AV5" s="1024">
        <f t="shared" si="0"/>
        <v>-24890.82421500003</v>
      </c>
      <c r="AW5" s="1024">
        <f t="shared" si="0"/>
        <v>-19745.51171500003</v>
      </c>
      <c r="AX5" s="1024">
        <f t="shared" si="0"/>
        <v>6773.2382849999703</v>
      </c>
      <c r="AY5" s="1024">
        <f t="shared" si="0"/>
        <v>6773.2382849999703</v>
      </c>
      <c r="AZ5" s="1024">
        <f t="shared" si="0"/>
        <v>6773.2382849999703</v>
      </c>
      <c r="BA5" s="1024">
        <f t="shared" si="0"/>
        <v>6773.2382849999703</v>
      </c>
      <c r="BB5" s="1009"/>
      <c r="BC5" s="1024">
        <f>AO5-AC5</f>
        <v>6773.2382849999703</v>
      </c>
      <c r="BD5" s="1024">
        <f t="shared" ref="BD5:BD9" si="1">BC5/38</f>
        <v>178.24311276315711</v>
      </c>
      <c r="BE5" s="1009"/>
      <c r="BG5" s="1266" t="s">
        <v>507</v>
      </c>
      <c r="BH5" s="1267"/>
      <c r="BI5" s="1267"/>
      <c r="BJ5" s="1267"/>
      <c r="BL5" s="1009" t="s">
        <v>978</v>
      </c>
      <c r="BM5" s="1111">
        <v>6666010199</v>
      </c>
      <c r="BN5" s="1009" t="s">
        <v>986</v>
      </c>
    </row>
    <row r="6" spans="1:66" ht="12.6" customHeight="1" x14ac:dyDescent="0.3">
      <c r="A6" s="1009"/>
      <c r="B6" s="1009" t="s">
        <v>939</v>
      </c>
      <c r="C6" s="1009"/>
      <c r="D6" s="1009"/>
      <c r="E6" s="1009"/>
      <c r="F6" s="1009"/>
      <c r="G6" s="1027">
        <v>-26371</v>
      </c>
      <c r="H6" s="1027">
        <v>-24820</v>
      </c>
      <c r="I6" s="1027">
        <v>-33268</v>
      </c>
      <c r="J6" s="1027">
        <v>-31188.67</v>
      </c>
      <c r="K6" s="1027">
        <v>-31188</v>
      </c>
      <c r="L6" s="1027">
        <v>-30980</v>
      </c>
      <c r="M6" s="1027">
        <v>-20792</v>
      </c>
      <c r="N6" s="1012"/>
      <c r="O6" s="1009"/>
      <c r="P6" s="1009"/>
      <c r="Q6" s="1009" t="s">
        <v>987</v>
      </c>
      <c r="R6" s="1024">
        <v>149646.82558333332</v>
      </c>
      <c r="S6" s="1024">
        <v>474352.04158333328</v>
      </c>
      <c r="T6" s="1024">
        <v>149646.82558333332</v>
      </c>
      <c r="U6" s="1024">
        <v>149646.82558333332</v>
      </c>
      <c r="V6" s="1024">
        <v>474352.04158333328</v>
      </c>
      <c r="W6" s="1024">
        <v>412513.73758333334</v>
      </c>
      <c r="X6" s="1024">
        <v>149646.82558333332</v>
      </c>
      <c r="Y6" s="1024">
        <v>153442.4255833333</v>
      </c>
      <c r="Z6" s="1024">
        <v>419616.67518333328</v>
      </c>
      <c r="AA6" s="1024">
        <v>207012.18238333333</v>
      </c>
      <c r="AB6" s="1024">
        <v>207012.18238333333</v>
      </c>
      <c r="AC6" s="1024">
        <v>207012.18238333333</v>
      </c>
      <c r="AD6" s="1024"/>
      <c r="AE6" s="1024"/>
      <c r="AF6" s="1024"/>
      <c r="AG6" s="1024"/>
      <c r="AH6" s="1024"/>
      <c r="AI6" s="1025"/>
      <c r="AJ6" s="1025">
        <v>149646.82558333332</v>
      </c>
      <c r="AK6" s="1025">
        <v>153442.4255833333</v>
      </c>
      <c r="AL6" s="1025">
        <v>419616.67518333328</v>
      </c>
      <c r="AM6" s="1025">
        <v>207012.18238333333</v>
      </c>
      <c r="AN6" s="1025">
        <v>207012.18238333333</v>
      </c>
      <c r="AO6" s="1025">
        <v>207012.18238333333</v>
      </c>
      <c r="AP6" s="1024">
        <f t="shared" si="0"/>
        <v>-149646.82558333332</v>
      </c>
      <c r="AQ6" s="1024">
        <f t="shared" si="0"/>
        <v>-474352.04158333328</v>
      </c>
      <c r="AR6" s="1024">
        <f t="shared" si="0"/>
        <v>-149646.82558333332</v>
      </c>
      <c r="AS6" s="1024">
        <f t="shared" si="0"/>
        <v>-149646.82558333332</v>
      </c>
      <c r="AT6" s="1024">
        <f t="shared" si="0"/>
        <v>-474352.04158333328</v>
      </c>
      <c r="AU6" s="1024">
        <f t="shared" si="0"/>
        <v>-412513.73758333334</v>
      </c>
      <c r="AV6" s="1024">
        <f t="shared" si="0"/>
        <v>0</v>
      </c>
      <c r="AW6" s="1024">
        <f t="shared" si="0"/>
        <v>0</v>
      </c>
      <c r="AX6" s="1024">
        <f t="shared" si="0"/>
        <v>0</v>
      </c>
      <c r="AY6" s="1024">
        <f t="shared" si="0"/>
        <v>0</v>
      </c>
      <c r="AZ6" s="1024">
        <f t="shared" si="0"/>
        <v>0</v>
      </c>
      <c r="BA6" s="1024">
        <f t="shared" si="0"/>
        <v>0</v>
      </c>
      <c r="BB6" s="1009"/>
      <c r="BC6" s="1024">
        <f t="shared" ref="BC6:BC9" si="2">AO6-AC6</f>
        <v>0</v>
      </c>
      <c r="BD6" s="1024">
        <f t="shared" si="1"/>
        <v>0</v>
      </c>
      <c r="BE6" s="1009"/>
      <c r="BG6" s="1095" t="s">
        <v>599</v>
      </c>
      <c r="BH6" s="1096" t="s">
        <v>43</v>
      </c>
      <c r="BI6" s="1096" t="s">
        <v>47</v>
      </c>
      <c r="BJ6" s="1095" t="s">
        <v>815</v>
      </c>
      <c r="BL6" s="1009" t="s">
        <v>978</v>
      </c>
      <c r="BM6" s="1111">
        <v>6666010207</v>
      </c>
      <c r="BN6" s="1009" t="s">
        <v>844</v>
      </c>
    </row>
    <row r="7" spans="1:66" x14ac:dyDescent="0.3">
      <c r="A7" s="1009"/>
      <c r="B7" s="1009" t="s">
        <v>988</v>
      </c>
      <c r="C7" s="1009"/>
      <c r="D7" s="1009"/>
      <c r="E7" s="1009"/>
      <c r="F7" s="1009"/>
      <c r="G7" s="1027">
        <v>213376</v>
      </c>
      <c r="H7" s="1027">
        <v>199011</v>
      </c>
      <c r="I7" s="1027">
        <v>252930</v>
      </c>
      <c r="J7" s="1027">
        <v>246668.88</v>
      </c>
      <c r="K7" s="1027">
        <v>243925</v>
      </c>
      <c r="L7" s="1027">
        <v>256267</v>
      </c>
      <c r="M7" s="1027">
        <v>201044</v>
      </c>
      <c r="N7" s="1009"/>
      <c r="O7" s="1009"/>
      <c r="P7" s="1009"/>
      <c r="Q7" s="1009" t="s">
        <v>984</v>
      </c>
      <c r="R7" s="1024">
        <v>65450.425823333338</v>
      </c>
      <c r="S7" s="1024">
        <v>71058.970463333346</v>
      </c>
      <c r="T7" s="1024">
        <v>65450.425823333338</v>
      </c>
      <c r="U7" s="1024">
        <v>66896.718520533323</v>
      </c>
      <c r="V7" s="1024">
        <v>72505.263160533344</v>
      </c>
      <c r="W7" s="1024">
        <v>71437.147000533354</v>
      </c>
      <c r="X7" s="1024">
        <v>66896.718520533323</v>
      </c>
      <c r="Y7" s="1024">
        <v>69148.505520533319</v>
      </c>
      <c r="Z7" s="1024">
        <v>73756.918960533323</v>
      </c>
      <c r="AA7" s="1024">
        <v>70059.449520533337</v>
      </c>
      <c r="AB7" s="1024">
        <v>70059.449520533337</v>
      </c>
      <c r="AC7" s="1024">
        <v>70059.449520533337</v>
      </c>
      <c r="AD7" s="1024"/>
      <c r="AE7" s="1024"/>
      <c r="AF7" s="1024"/>
      <c r="AG7" s="1024"/>
      <c r="AH7" s="1024"/>
      <c r="AI7" s="1025">
        <v>51924.94</v>
      </c>
      <c r="AJ7" s="1025">
        <v>64721.137916666667</v>
      </c>
      <c r="AK7" s="1025">
        <v>66897.04991666667</v>
      </c>
      <c r="AL7" s="1025">
        <v>73020.96335666666</v>
      </c>
      <c r="AM7" s="1025">
        <v>69323.493916666674</v>
      </c>
      <c r="AN7" s="1025">
        <v>69323.493916666674</v>
      </c>
      <c r="AO7" s="1025">
        <v>69323.493916666674</v>
      </c>
      <c r="AP7" s="1024">
        <f t="shared" si="0"/>
        <v>-65450.425823333338</v>
      </c>
      <c r="AQ7" s="1024">
        <f t="shared" si="0"/>
        <v>-71058.970463333346</v>
      </c>
      <c r="AR7" s="1024">
        <f t="shared" si="0"/>
        <v>-65450.425823333338</v>
      </c>
      <c r="AS7" s="1024">
        <f t="shared" si="0"/>
        <v>-66896.718520533323</v>
      </c>
      <c r="AT7" s="1024">
        <f t="shared" si="0"/>
        <v>-72505.263160533344</v>
      </c>
      <c r="AU7" s="1024">
        <f t="shared" si="0"/>
        <v>-19512.207000533352</v>
      </c>
      <c r="AV7" s="1024">
        <f t="shared" si="0"/>
        <v>-2175.580603866656</v>
      </c>
      <c r="AW7" s="1024">
        <f t="shared" si="0"/>
        <v>-2251.4556038666487</v>
      </c>
      <c r="AX7" s="1024">
        <f t="shared" si="0"/>
        <v>-735.9556038666633</v>
      </c>
      <c r="AY7" s="1024">
        <f t="shared" si="0"/>
        <v>-735.9556038666633</v>
      </c>
      <c r="AZ7" s="1024">
        <f t="shared" si="0"/>
        <v>-735.9556038666633</v>
      </c>
      <c r="BA7" s="1024">
        <f t="shared" si="0"/>
        <v>-735.9556038666633</v>
      </c>
      <c r="BB7" s="1009"/>
      <c r="BC7" s="1024">
        <f t="shared" si="2"/>
        <v>-735.9556038666633</v>
      </c>
      <c r="BD7" s="1024">
        <f t="shared" si="1"/>
        <v>-19.367252733333245</v>
      </c>
      <c r="BE7" s="1009"/>
      <c r="BF7" s="1032" t="s">
        <v>926</v>
      </c>
      <c r="BG7" s="1097">
        <f>SUM(BG8:BG10)</f>
        <v>-23817</v>
      </c>
      <c r="BH7" s="1097">
        <f>SUM(BH8:BH10)</f>
        <v>0</v>
      </c>
      <c r="BI7" s="1097">
        <f>SUM(BI8:BI10)</f>
        <v>0</v>
      </c>
      <c r="BJ7" s="1097">
        <f>SUM(BJ8:BJ10)</f>
        <v>0</v>
      </c>
      <c r="BM7" s="1111"/>
      <c r="BN7" s="1009"/>
    </row>
    <row r="8" spans="1:66" x14ac:dyDescent="0.3">
      <c r="A8" s="1009"/>
      <c r="B8" s="1036" t="s">
        <v>864</v>
      </c>
      <c r="C8" s="1037">
        <v>1359218</v>
      </c>
      <c r="D8" s="1037">
        <v>1414026</v>
      </c>
      <c r="E8" s="1037">
        <v>1469366</v>
      </c>
      <c r="F8" s="1037">
        <v>1649646</v>
      </c>
      <c r="G8" s="1037">
        <v>1772748</v>
      </c>
      <c r="H8" s="1037">
        <v>1692439</v>
      </c>
      <c r="I8" s="1037">
        <f>SUM(I4:I7)</f>
        <v>1921467.61</v>
      </c>
      <c r="J8" s="1037">
        <f>SUM(J4:J7)</f>
        <v>1886745.54</v>
      </c>
      <c r="K8" s="1037">
        <f>SUM(K4:K7)</f>
        <v>1909436</v>
      </c>
      <c r="L8" s="1037">
        <f>SUM(L4:L7)</f>
        <v>1972608</v>
      </c>
      <c r="M8" s="1037">
        <f>SUM(M4:M7)</f>
        <v>2198465</v>
      </c>
      <c r="N8" s="1037">
        <f>SUM(C8:J8)</f>
        <v>13165656.149999999</v>
      </c>
      <c r="O8" s="1027">
        <v>1886984</v>
      </c>
      <c r="P8" s="1027"/>
      <c r="Q8" s="1009" t="s">
        <v>939</v>
      </c>
      <c r="R8" s="1024">
        <v>-174370.38476666666</v>
      </c>
      <c r="S8" s="1024">
        <v>-190605.6455666667</v>
      </c>
      <c r="T8" s="1024">
        <v>-174370.38476666666</v>
      </c>
      <c r="U8" s="1024">
        <v>-179476.24150966667</v>
      </c>
      <c r="V8" s="1024">
        <v>-195711.50230966668</v>
      </c>
      <c r="W8" s="1024">
        <v>-192619.58710966667</v>
      </c>
      <c r="X8" s="1024">
        <v>-179476.24150966667</v>
      </c>
      <c r="Y8" s="1024">
        <v>-185105.70900966667</v>
      </c>
      <c r="Z8" s="1024">
        <v>-198354.89764966667</v>
      </c>
      <c r="AA8" s="1024">
        <v>-187724.67300966667</v>
      </c>
      <c r="AB8" s="1024">
        <v>-187724.67300966667</v>
      </c>
      <c r="AC8" s="1024">
        <v>-187724.67300966667</v>
      </c>
      <c r="AD8" s="1024"/>
      <c r="AE8" s="1024"/>
      <c r="AF8" s="1024"/>
      <c r="AG8" s="1024"/>
      <c r="AH8" s="1024"/>
      <c r="AI8" s="1025"/>
      <c r="AJ8" s="1025">
        <v>-175716.82666666666</v>
      </c>
      <c r="AK8" s="1025">
        <v>-181156.60666666666</v>
      </c>
      <c r="AL8" s="1025">
        <v>-199709.5453066667</v>
      </c>
      <c r="AM8" s="1025">
        <v>-189079.3206666667</v>
      </c>
      <c r="AN8" s="1025">
        <v>-189079.3206666667</v>
      </c>
      <c r="AO8" s="1025">
        <v>-189079.3206666667</v>
      </c>
      <c r="AP8" s="1024">
        <f t="shared" si="0"/>
        <v>174370.38476666666</v>
      </c>
      <c r="AQ8" s="1024">
        <f t="shared" si="0"/>
        <v>190605.6455666667</v>
      </c>
      <c r="AR8" s="1024">
        <f t="shared" si="0"/>
        <v>174370.38476666666</v>
      </c>
      <c r="AS8" s="1024">
        <f t="shared" si="0"/>
        <v>179476.24150966667</v>
      </c>
      <c r="AT8" s="1024">
        <f t="shared" si="0"/>
        <v>195711.50230966668</v>
      </c>
      <c r="AU8" s="1024">
        <f t="shared" si="0"/>
        <v>192619.58710966667</v>
      </c>
      <c r="AV8" s="1024">
        <f t="shared" si="0"/>
        <v>3759.4148430000059</v>
      </c>
      <c r="AW8" s="1024">
        <f t="shared" si="0"/>
        <v>3949.1023430000059</v>
      </c>
      <c r="AX8" s="1024">
        <f t="shared" si="0"/>
        <v>-1354.6476570000232</v>
      </c>
      <c r="AY8" s="1024">
        <f t="shared" si="0"/>
        <v>-1354.6476570000232</v>
      </c>
      <c r="AZ8" s="1024">
        <f t="shared" si="0"/>
        <v>-1354.6476570000232</v>
      </c>
      <c r="BA8" s="1024">
        <f t="shared" si="0"/>
        <v>-1354.6476570000232</v>
      </c>
      <c r="BB8" s="1009"/>
      <c r="BC8" s="1024">
        <f t="shared" si="2"/>
        <v>-1354.6476570000232</v>
      </c>
      <c r="BD8" s="1024">
        <f t="shared" si="1"/>
        <v>-35.64862255263219</v>
      </c>
      <c r="BE8" s="1009"/>
      <c r="BF8" t="s">
        <v>930</v>
      </c>
      <c r="BG8" s="105">
        <v>-23817</v>
      </c>
      <c r="BH8" s="105">
        <v>0</v>
      </c>
      <c r="BI8" s="105"/>
      <c r="BJ8" s="105"/>
      <c r="BK8" s="34"/>
      <c r="BL8" s="1009" t="s">
        <v>978</v>
      </c>
      <c r="BM8" s="1112">
        <v>6666010227</v>
      </c>
      <c r="BN8" s="1009" t="s">
        <v>859</v>
      </c>
    </row>
    <row r="9" spans="1:66" x14ac:dyDescent="0.3">
      <c r="A9" s="1009"/>
      <c r="B9" s="1036" t="s">
        <v>989</v>
      </c>
      <c r="C9" s="1037">
        <v>750000</v>
      </c>
      <c r="D9" s="1037">
        <v>750000</v>
      </c>
      <c r="E9" s="1037">
        <v>750000</v>
      </c>
      <c r="F9" s="1037">
        <v>750000</v>
      </c>
      <c r="G9" s="1036"/>
      <c r="H9" s="1036"/>
      <c r="I9" s="1036"/>
      <c r="J9" s="1036"/>
      <c r="K9" s="1036"/>
      <c r="L9" s="1036"/>
      <c r="M9" s="1036"/>
      <c r="N9" s="1037">
        <f t="shared" ref="N9:N23" si="3">SUM(C9:J9)</f>
        <v>3000000</v>
      </c>
      <c r="O9" s="1009"/>
      <c r="P9" s="1009"/>
      <c r="Q9" s="1009" t="s">
        <v>988</v>
      </c>
      <c r="R9" s="1024">
        <v>679048.16791708337</v>
      </c>
      <c r="S9" s="1024">
        <v>737236.81855708337</v>
      </c>
      <c r="T9" s="1024">
        <v>679048.16791708337</v>
      </c>
      <c r="U9" s="1024">
        <v>694053.45465053327</v>
      </c>
      <c r="V9" s="1024">
        <v>752242.10529053339</v>
      </c>
      <c r="W9" s="1024">
        <v>741160.40013053326</v>
      </c>
      <c r="X9" s="1024">
        <v>694053.45465053327</v>
      </c>
      <c r="Y9" s="1024">
        <v>717415.74477553321</v>
      </c>
      <c r="Z9" s="1024">
        <v>765228.03421553341</v>
      </c>
      <c r="AA9" s="1024">
        <v>726866.78877553344</v>
      </c>
      <c r="AB9" s="1024">
        <v>726866.78877553344</v>
      </c>
      <c r="AC9" s="1024">
        <v>726866.78877553344</v>
      </c>
      <c r="AD9" s="1024"/>
      <c r="AE9" s="1024"/>
      <c r="AF9" s="1024"/>
      <c r="AG9" s="1024"/>
      <c r="AH9" s="1024"/>
      <c r="AI9" s="1025">
        <v>674097.06</v>
      </c>
      <c r="AJ9" s="1025">
        <v>671481.80588541669</v>
      </c>
      <c r="AK9" s="1025">
        <v>694056.89288541663</v>
      </c>
      <c r="AL9" s="1025">
        <v>757592.49482541659</v>
      </c>
      <c r="AM9" s="1025">
        <v>719231.24938541674</v>
      </c>
      <c r="AN9" s="1025">
        <v>719231.24938541674</v>
      </c>
      <c r="AO9" s="1025">
        <v>719231.24938541674</v>
      </c>
      <c r="AP9" s="1024">
        <f t="shared" si="0"/>
        <v>-679048.16791708337</v>
      </c>
      <c r="AQ9" s="1024">
        <f t="shared" si="0"/>
        <v>-737236.81855708337</v>
      </c>
      <c r="AR9" s="1024">
        <f t="shared" si="0"/>
        <v>-679048.16791708337</v>
      </c>
      <c r="AS9" s="1024">
        <f t="shared" si="0"/>
        <v>-694053.45465053327</v>
      </c>
      <c r="AT9" s="1024">
        <f t="shared" si="0"/>
        <v>-752242.10529053339</v>
      </c>
      <c r="AU9" s="1024">
        <f t="shared" si="0"/>
        <v>-67063.340130533208</v>
      </c>
      <c r="AV9" s="1024">
        <f t="shared" si="0"/>
        <v>-22571.648765116581</v>
      </c>
      <c r="AW9" s="1024">
        <f t="shared" si="0"/>
        <v>-23358.851890116581</v>
      </c>
      <c r="AX9" s="1024">
        <f t="shared" si="0"/>
        <v>-7635.5393901168136</v>
      </c>
      <c r="AY9" s="1024">
        <f t="shared" si="0"/>
        <v>-7635.5393901166972</v>
      </c>
      <c r="AZ9" s="1024">
        <f t="shared" si="0"/>
        <v>-7635.5393901166972</v>
      </c>
      <c r="BA9" s="1024">
        <f t="shared" si="0"/>
        <v>-7635.5393901166972</v>
      </c>
      <c r="BB9" s="1009"/>
      <c r="BC9" s="1024">
        <f t="shared" si="2"/>
        <v>-7635.5393901166972</v>
      </c>
      <c r="BD9" s="1024">
        <f t="shared" si="1"/>
        <v>-200.93524710833412</v>
      </c>
      <c r="BE9" s="1009"/>
      <c r="BG9" s="105"/>
      <c r="BH9" s="105"/>
      <c r="BI9" s="105"/>
      <c r="BJ9" s="105"/>
      <c r="BK9" s="34"/>
      <c r="BM9" s="1112"/>
      <c r="BN9" s="1009"/>
    </row>
    <row r="10" spans="1:66" x14ac:dyDescent="0.3">
      <c r="A10" s="1009"/>
      <c r="B10" s="1052" t="s">
        <v>866</v>
      </c>
      <c r="C10" s="1113">
        <v>259666</v>
      </c>
      <c r="D10" s="1113">
        <v>113252</v>
      </c>
      <c r="E10" s="1113">
        <v>719548</v>
      </c>
      <c r="F10" s="1052">
        <v>0</v>
      </c>
      <c r="G10" s="1052"/>
      <c r="H10" s="1052"/>
      <c r="I10" s="1052"/>
      <c r="J10" s="1052"/>
      <c r="K10" s="1052"/>
      <c r="L10" s="1052"/>
      <c r="M10" s="1052"/>
      <c r="N10" s="1037">
        <f t="shared" si="3"/>
        <v>1092466</v>
      </c>
      <c r="O10" s="1009"/>
      <c r="P10" s="1009"/>
      <c r="Q10" s="1036" t="s">
        <v>864</v>
      </c>
      <c r="R10" s="1037">
        <f t="shared" ref="R10:BA10" si="4">SUM(R4:R9)</f>
        <v>4123679.5298904162</v>
      </c>
      <c r="S10" s="1037">
        <f t="shared" si="4"/>
        <v>4495946.6803704165</v>
      </c>
      <c r="T10" s="1037">
        <f t="shared" si="4"/>
        <v>4123679.5298904162</v>
      </c>
      <c r="U10" s="1037">
        <f t="shared" si="4"/>
        <v>4261517.3874380663</v>
      </c>
      <c r="V10" s="1037">
        <f t="shared" si="4"/>
        <v>4633784.5379180666</v>
      </c>
      <c r="W10" s="1037">
        <f t="shared" si="4"/>
        <v>4562888.3277980667</v>
      </c>
      <c r="X10" s="1037">
        <f t="shared" si="4"/>
        <v>4261517.3874380663</v>
      </c>
      <c r="Y10" s="1037">
        <f t="shared" si="4"/>
        <v>4369716.3470630664</v>
      </c>
      <c r="Z10" s="1114">
        <f>SUM(Z4:Z9)</f>
        <v>4675062.1109030666</v>
      </c>
      <c r="AA10" s="1037">
        <f t="shared" si="4"/>
        <v>4431029.1278630663</v>
      </c>
      <c r="AB10" s="1037">
        <f t="shared" si="4"/>
        <v>4431029.1278630663</v>
      </c>
      <c r="AC10" s="1037">
        <f t="shared" si="4"/>
        <v>4431029.1278630663</v>
      </c>
      <c r="AD10" s="1037">
        <f>SUM(AD4:AD9)</f>
        <v>0</v>
      </c>
      <c r="AE10" s="1037">
        <f t="shared" si="4"/>
        <v>0</v>
      </c>
      <c r="AF10" s="1037">
        <f t="shared" si="4"/>
        <v>0</v>
      </c>
      <c r="AG10" s="1037">
        <f t="shared" si="4"/>
        <v>0</v>
      </c>
      <c r="AH10" s="1037">
        <f t="shared" si="4"/>
        <v>0</v>
      </c>
      <c r="AI10" s="1037">
        <f t="shared" si="4"/>
        <v>4534994.51</v>
      </c>
      <c r="AJ10" s="1037">
        <f t="shared" si="4"/>
        <v>4140966.2760520829</v>
      </c>
      <c r="AK10" s="1037">
        <f t="shared" si="4"/>
        <v>4269073.095052083</v>
      </c>
      <c r="AL10" s="1037">
        <f t="shared" si="4"/>
        <v>4692428.9213920832</v>
      </c>
      <c r="AM10" s="1037">
        <f t="shared" si="4"/>
        <v>4448395.9383520829</v>
      </c>
      <c r="AN10" s="1037">
        <f t="shared" si="4"/>
        <v>4448395.9383520829</v>
      </c>
      <c r="AO10" s="1037">
        <f t="shared" si="4"/>
        <v>4448395.9383520829</v>
      </c>
      <c r="AP10" s="1037">
        <f t="shared" si="4"/>
        <v>-4123679.5298904162</v>
      </c>
      <c r="AQ10" s="1037">
        <f t="shared" si="4"/>
        <v>-4495946.6803704165</v>
      </c>
      <c r="AR10" s="1037">
        <f t="shared" si="4"/>
        <v>-4123679.5298904162</v>
      </c>
      <c r="AS10" s="1037">
        <f t="shared" si="4"/>
        <v>-4261517.3874380663</v>
      </c>
      <c r="AT10" s="1037">
        <f t="shared" si="4"/>
        <v>-4633784.5379180666</v>
      </c>
      <c r="AU10" s="1037">
        <f t="shared" si="4"/>
        <v>-27893.817798066826</v>
      </c>
      <c r="AV10" s="1037">
        <f t="shared" si="4"/>
        <v>-120551.11138598336</v>
      </c>
      <c r="AW10" s="1037">
        <f t="shared" si="4"/>
        <v>-100643.25201098334</v>
      </c>
      <c r="AX10" s="1037">
        <f t="shared" si="4"/>
        <v>17366.810489016381</v>
      </c>
      <c r="AY10" s="1037">
        <f t="shared" si="4"/>
        <v>17366.810489016498</v>
      </c>
      <c r="AZ10" s="1037">
        <f t="shared" si="4"/>
        <v>17366.810489016498</v>
      </c>
      <c r="BA10" s="1037">
        <f t="shared" si="4"/>
        <v>17366.810489016498</v>
      </c>
      <c r="BB10" s="1009"/>
      <c r="BC10" s="1037">
        <f>SUM(BC4:BC9)</f>
        <v>17366.810489016498</v>
      </c>
      <c r="BD10" s="1037">
        <f>SUM(BD4:BD9)</f>
        <v>457.02132865832891</v>
      </c>
      <c r="BE10" s="1009"/>
      <c r="BG10" s="105"/>
      <c r="BH10" s="105"/>
      <c r="BI10" s="105"/>
      <c r="BJ10" s="105"/>
      <c r="BK10" s="34"/>
      <c r="BM10" s="1009"/>
      <c r="BN10" s="1009"/>
    </row>
    <row r="11" spans="1:66" x14ac:dyDescent="0.3">
      <c r="A11" s="1009"/>
      <c r="B11" s="1052" t="s">
        <v>868</v>
      </c>
      <c r="C11" s="1113">
        <v>21502</v>
      </c>
      <c r="D11" s="1113">
        <v>-16082</v>
      </c>
      <c r="E11" s="1113">
        <v>-1106920</v>
      </c>
      <c r="F11" s="1113">
        <v>18011</v>
      </c>
      <c r="G11" s="1113">
        <v>15656</v>
      </c>
      <c r="H11" s="1113">
        <v>4310</v>
      </c>
      <c r="I11" s="1115">
        <v>12659</v>
      </c>
      <c r="J11" s="1113">
        <v>12659</v>
      </c>
      <c r="K11" s="1113">
        <v>15157</v>
      </c>
      <c r="L11" s="1113">
        <v>14847</v>
      </c>
      <c r="M11" s="1113">
        <v>15066</v>
      </c>
      <c r="N11" s="1037">
        <f t="shared" si="3"/>
        <v>-1038205</v>
      </c>
      <c r="O11" s="1009"/>
      <c r="P11" s="1009"/>
      <c r="Q11" s="1009" t="s">
        <v>892</v>
      </c>
      <c r="R11" s="1024"/>
      <c r="S11" s="1024"/>
      <c r="T11" s="1024"/>
      <c r="U11" s="1024"/>
      <c r="V11" s="1024"/>
      <c r="W11" s="1024"/>
      <c r="X11" s="1024"/>
      <c r="Y11" s="1024"/>
      <c r="Z11" s="1116"/>
      <c r="AA11" s="1024"/>
      <c r="AB11" s="1024"/>
      <c r="AC11" s="1024"/>
      <c r="AD11" s="1024"/>
      <c r="AE11" s="1024"/>
      <c r="AF11" s="1024"/>
      <c r="AG11" s="1024"/>
      <c r="AH11" s="1024"/>
      <c r="AI11" s="1025"/>
      <c r="AJ11" s="1025"/>
      <c r="AK11" s="1025"/>
      <c r="AL11" s="1025"/>
      <c r="AM11" s="1025"/>
      <c r="AN11" s="1025"/>
      <c r="AO11" s="1025"/>
      <c r="AP11" s="1024">
        <f t="shared" ref="AP11:BA24" si="5">AD11-R11</f>
        <v>0</v>
      </c>
      <c r="AQ11" s="1024">
        <f t="shared" si="5"/>
        <v>0</v>
      </c>
      <c r="AR11" s="1024">
        <f t="shared" si="5"/>
        <v>0</v>
      </c>
      <c r="AS11" s="1024">
        <f t="shared" si="5"/>
        <v>0</v>
      </c>
      <c r="AT11" s="1024">
        <f t="shared" si="5"/>
        <v>0</v>
      </c>
      <c r="AU11" s="1024">
        <f t="shared" si="5"/>
        <v>0</v>
      </c>
      <c r="AV11" s="1024">
        <f t="shared" si="5"/>
        <v>0</v>
      </c>
      <c r="AW11" s="1024">
        <f t="shared" si="5"/>
        <v>0</v>
      </c>
      <c r="AX11" s="1024">
        <f t="shared" si="5"/>
        <v>0</v>
      </c>
      <c r="AY11" s="1024">
        <f t="shared" si="5"/>
        <v>0</v>
      </c>
      <c r="AZ11" s="1024">
        <f t="shared" si="5"/>
        <v>0</v>
      </c>
      <c r="BA11" s="1024">
        <f t="shared" si="5"/>
        <v>0</v>
      </c>
      <c r="BB11" s="1009"/>
      <c r="BC11" s="1024">
        <f t="shared" ref="BC11:BC24" si="6">AO11-AC11</f>
        <v>0</v>
      </c>
      <c r="BD11" s="1024">
        <f t="shared" ref="BD11:BD24" si="7">BC11/38</f>
        <v>0</v>
      </c>
      <c r="BE11" s="1009"/>
      <c r="BF11" s="1032" t="s">
        <v>861</v>
      </c>
      <c r="BG11" s="1033">
        <f>SUM(BG12:BG21)</f>
        <v>-201</v>
      </c>
      <c r="BH11" s="1117"/>
      <c r="BI11" s="1117"/>
      <c r="BJ11" s="1033">
        <f>SUM(BJ12:BJ21)</f>
        <v>34783.992184764109</v>
      </c>
      <c r="BM11" s="1009"/>
      <c r="BN11" s="1009"/>
    </row>
    <row r="12" spans="1:66" x14ac:dyDescent="0.3">
      <c r="A12" s="1009"/>
      <c r="B12" s="1052" t="s">
        <v>990</v>
      </c>
      <c r="C12" s="1113">
        <v>104109</v>
      </c>
      <c r="D12" s="1113">
        <v>28484</v>
      </c>
      <c r="E12" s="1113">
        <v>66296</v>
      </c>
      <c r="F12" s="1113">
        <v>-728445</v>
      </c>
      <c r="G12" s="1113">
        <v>66296</v>
      </c>
      <c r="H12" s="1113">
        <v>66295</v>
      </c>
      <c r="I12" s="1113">
        <f>-397776+464073</f>
        <v>66297</v>
      </c>
      <c r="J12" s="1113">
        <f>-464072.9+530369</f>
        <v>66296.099999999977</v>
      </c>
      <c r="K12" s="1113">
        <v>66296</v>
      </c>
      <c r="L12" s="1113">
        <v>1155758</v>
      </c>
      <c r="M12" s="1113">
        <v>-491424</v>
      </c>
      <c r="N12" s="1037">
        <f t="shared" si="3"/>
        <v>-264371.90000000002</v>
      </c>
      <c r="O12" s="1009"/>
      <c r="P12" s="1009"/>
      <c r="Q12" s="1009" t="s">
        <v>866</v>
      </c>
      <c r="R12" s="1024">
        <v>78738.639146065208</v>
      </c>
      <c r="S12" s="1024">
        <v>78738.639146065208</v>
      </c>
      <c r="T12" s="1024">
        <v>78738.639146065208</v>
      </c>
      <c r="U12" s="1024">
        <v>78738.639146065208</v>
      </c>
      <c r="V12" s="1024">
        <v>78738.639146065208</v>
      </c>
      <c r="W12" s="1024">
        <v>78738.639146065208</v>
      </c>
      <c r="X12" s="1024">
        <v>78738.639146065208</v>
      </c>
      <c r="Y12" s="1024">
        <v>78738.639146065208</v>
      </c>
      <c r="Z12" s="1024">
        <v>78738.639146065208</v>
      </c>
      <c r="AA12" s="1024">
        <v>78738.639146065208</v>
      </c>
      <c r="AB12" s="1024">
        <v>78738.639146065208</v>
      </c>
      <c r="AC12" s="1024">
        <v>78738.639146065208</v>
      </c>
      <c r="AD12" s="1024"/>
      <c r="AE12" s="1024"/>
      <c r="AF12" s="1024"/>
      <c r="AG12" s="1024"/>
      <c r="AH12" s="1024"/>
      <c r="AI12" s="1025"/>
      <c r="AJ12" s="1025">
        <v>78738.639146065208</v>
      </c>
      <c r="AK12" s="1025">
        <v>78738.639146065208</v>
      </c>
      <c r="AL12" s="1025">
        <v>78738.639146065208</v>
      </c>
      <c r="AM12" s="1025">
        <v>78738.639146065208</v>
      </c>
      <c r="AN12" s="1025">
        <v>78738.639146065208</v>
      </c>
      <c r="AO12" s="1025">
        <v>78738.639146065208</v>
      </c>
      <c r="AP12" s="1024">
        <f t="shared" si="5"/>
        <v>-78738.639146065208</v>
      </c>
      <c r="AQ12" s="1024">
        <f t="shared" si="5"/>
        <v>-78738.639146065208</v>
      </c>
      <c r="AR12" s="1024">
        <f t="shared" si="5"/>
        <v>-78738.639146065208</v>
      </c>
      <c r="AS12" s="1024">
        <f t="shared" si="5"/>
        <v>-78738.639146065208</v>
      </c>
      <c r="AT12" s="1024">
        <f t="shared" si="5"/>
        <v>-78738.639146065208</v>
      </c>
      <c r="AU12" s="1024">
        <f t="shared" si="5"/>
        <v>-78738.639146065208</v>
      </c>
      <c r="AV12" s="1024">
        <f t="shared" si="5"/>
        <v>0</v>
      </c>
      <c r="AW12" s="1024">
        <f t="shared" si="5"/>
        <v>0</v>
      </c>
      <c r="AX12" s="1024">
        <f t="shared" si="5"/>
        <v>0</v>
      </c>
      <c r="AY12" s="1024">
        <f t="shared" si="5"/>
        <v>0</v>
      </c>
      <c r="AZ12" s="1024">
        <f t="shared" si="5"/>
        <v>0</v>
      </c>
      <c r="BA12" s="1024">
        <f t="shared" si="5"/>
        <v>0</v>
      </c>
      <c r="BB12" s="1009"/>
      <c r="BC12" s="1024">
        <f t="shared" si="6"/>
        <v>0</v>
      </c>
      <c r="BD12" s="1024">
        <f t="shared" si="7"/>
        <v>0</v>
      </c>
      <c r="BE12" s="1009"/>
      <c r="BF12" t="s">
        <v>942</v>
      </c>
      <c r="BG12" s="105"/>
      <c r="BH12" s="105"/>
      <c r="BI12" s="105"/>
      <c r="BJ12" s="105">
        <v>-1943</v>
      </c>
      <c r="BK12" s="34"/>
      <c r="BL12" s="35"/>
      <c r="BM12" s="1009"/>
      <c r="BN12" s="1070">
        <v>50.871414570269955</v>
      </c>
    </row>
    <row r="13" spans="1:66" x14ac:dyDescent="0.3">
      <c r="A13" s="1009"/>
      <c r="B13" s="1009" t="s">
        <v>875</v>
      </c>
      <c r="C13" s="1027">
        <v>138916</v>
      </c>
      <c r="D13" s="1027">
        <v>254787</v>
      </c>
      <c r="E13" s="1027">
        <v>-513045</v>
      </c>
      <c r="F13" s="1027">
        <v>770999</v>
      </c>
      <c r="G13" s="1027">
        <v>-222609</v>
      </c>
      <c r="H13" s="1027">
        <v>52687</v>
      </c>
      <c r="I13" s="1027">
        <f>-996498+39242+397776.77</f>
        <v>-559479.23</v>
      </c>
      <c r="J13" s="1027">
        <f>-1271959+464073+751903</f>
        <v>-55983</v>
      </c>
      <c r="K13" s="1027">
        <v>762931</v>
      </c>
      <c r="L13" s="1113">
        <f>-751903+102055</f>
        <v>-649848</v>
      </c>
      <c r="M13" s="1113">
        <v>-18381</v>
      </c>
      <c r="N13" s="1037">
        <f t="shared" si="3"/>
        <v>-133727.22999999998</v>
      </c>
      <c r="O13" s="1009"/>
      <c r="P13" s="1009"/>
      <c r="Q13" s="1009" t="s">
        <v>868</v>
      </c>
      <c r="R13" s="1024"/>
      <c r="S13" s="1024"/>
      <c r="T13" s="1024"/>
      <c r="U13" s="1024"/>
      <c r="V13" s="1024"/>
      <c r="W13" s="1024"/>
      <c r="X13" s="1024"/>
      <c r="Y13" s="1024"/>
      <c r="Z13" s="1116"/>
      <c r="AA13" s="1024"/>
      <c r="AB13" s="1024"/>
      <c r="AC13" s="1024"/>
      <c r="AD13" s="1024"/>
      <c r="AE13" s="1024"/>
      <c r="AF13" s="1024"/>
      <c r="AG13" s="1024"/>
      <c r="AH13" s="1024"/>
      <c r="AI13" s="1025">
        <v>78846.63</v>
      </c>
      <c r="AJ13" s="1025"/>
      <c r="AK13" s="1025"/>
      <c r="AL13" s="1025"/>
      <c r="AM13" s="1025"/>
      <c r="AN13" s="1025"/>
      <c r="AO13" s="1025"/>
      <c r="AP13" s="1024">
        <f t="shared" si="5"/>
        <v>0</v>
      </c>
      <c r="AQ13" s="1024">
        <f t="shared" si="5"/>
        <v>0</v>
      </c>
      <c r="AR13" s="1024">
        <f t="shared" si="5"/>
        <v>0</v>
      </c>
      <c r="AS13" s="1024">
        <f t="shared" si="5"/>
        <v>0</v>
      </c>
      <c r="AT13" s="1024">
        <f t="shared" si="5"/>
        <v>0</v>
      </c>
      <c r="AU13" s="1024">
        <f t="shared" si="5"/>
        <v>78846.63</v>
      </c>
      <c r="AV13" s="1024">
        <f t="shared" si="5"/>
        <v>0</v>
      </c>
      <c r="AW13" s="1024">
        <f t="shared" si="5"/>
        <v>0</v>
      </c>
      <c r="AX13" s="1024">
        <f t="shared" si="5"/>
        <v>0</v>
      </c>
      <c r="AY13" s="1024">
        <f t="shared" si="5"/>
        <v>0</v>
      </c>
      <c r="AZ13" s="1024">
        <f t="shared" si="5"/>
        <v>0</v>
      </c>
      <c r="BA13" s="1024">
        <f t="shared" si="5"/>
        <v>0</v>
      </c>
      <c r="BB13" s="1009"/>
      <c r="BC13" s="1024">
        <f t="shared" si="6"/>
        <v>0</v>
      </c>
      <c r="BD13" s="1024">
        <f t="shared" si="7"/>
        <v>0</v>
      </c>
      <c r="BE13" s="1009"/>
      <c r="BF13" t="s">
        <v>991</v>
      </c>
      <c r="BG13" s="105"/>
      <c r="BH13" s="105"/>
      <c r="BI13" s="105"/>
      <c r="BJ13" s="105">
        <v>-25976</v>
      </c>
      <c r="BK13" s="34"/>
      <c r="BM13" s="1009"/>
      <c r="BN13" s="1009"/>
    </row>
    <row r="14" spans="1:66" x14ac:dyDescent="0.3">
      <c r="A14" s="1009" t="s">
        <v>992</v>
      </c>
      <c r="B14" s="1009" t="s">
        <v>876</v>
      </c>
      <c r="C14" s="1027">
        <v>42768</v>
      </c>
      <c r="D14" s="1009">
        <v>0</v>
      </c>
      <c r="E14" s="1027">
        <v>794740</v>
      </c>
      <c r="F14" s="1027">
        <v>223730</v>
      </c>
      <c r="G14" s="1027">
        <v>295477</v>
      </c>
      <c r="H14" s="1027">
        <v>83016</v>
      </c>
      <c r="I14" s="1118">
        <v>97700</v>
      </c>
      <c r="J14" s="1118">
        <v>79688</v>
      </c>
      <c r="K14" s="1118">
        <v>104468</v>
      </c>
      <c r="L14" s="1118">
        <v>-872148</v>
      </c>
      <c r="M14" s="1118">
        <v>-124366</v>
      </c>
      <c r="N14" s="1037">
        <f t="shared" si="3"/>
        <v>1617119</v>
      </c>
      <c r="O14" s="1009">
        <f>L14/19</f>
        <v>-45902.526315789473</v>
      </c>
      <c r="P14" s="1009"/>
      <c r="Q14" s="1009" t="s">
        <v>990</v>
      </c>
      <c r="R14" s="1024">
        <v>168404.16666666669</v>
      </c>
      <c r="S14" s="1024">
        <v>168404.16666666669</v>
      </c>
      <c r="T14" s="1024">
        <v>168404.16666666669</v>
      </c>
      <c r="U14" s="1024">
        <v>173456.29166666669</v>
      </c>
      <c r="V14" s="1024">
        <v>173456.29166666669</v>
      </c>
      <c r="W14" s="1024">
        <v>173456.29166666669</v>
      </c>
      <c r="X14" s="1024">
        <v>173456.29166666669</v>
      </c>
      <c r="Y14" s="1024">
        <v>173456.29166666669</v>
      </c>
      <c r="Z14" s="1024">
        <v>173456.29166666669</v>
      </c>
      <c r="AA14" s="1024">
        <v>173456.29166666669</v>
      </c>
      <c r="AB14" s="1024">
        <v>173456.29166666669</v>
      </c>
      <c r="AC14" s="1024">
        <v>173456.29166666669</v>
      </c>
      <c r="AD14" s="1024"/>
      <c r="AE14" s="1024"/>
      <c r="AF14" s="1024"/>
      <c r="AG14" s="1024"/>
      <c r="AH14" s="1024"/>
      <c r="AI14" s="1025">
        <v>214675.69</v>
      </c>
      <c r="AJ14" s="1025">
        <v>172750</v>
      </c>
      <c r="AK14" s="1025">
        <v>172750</v>
      </c>
      <c r="AL14" s="1025">
        <v>177932.5</v>
      </c>
      <c r="AM14" s="1025">
        <v>177932.5</v>
      </c>
      <c r="AN14" s="1025">
        <v>177932.5</v>
      </c>
      <c r="AO14" s="1025">
        <v>177932.5</v>
      </c>
      <c r="AP14" s="1024">
        <f t="shared" si="5"/>
        <v>-168404.16666666669</v>
      </c>
      <c r="AQ14" s="1024">
        <f t="shared" si="5"/>
        <v>-168404.16666666669</v>
      </c>
      <c r="AR14" s="1024">
        <f t="shared" si="5"/>
        <v>-168404.16666666669</v>
      </c>
      <c r="AS14" s="1024">
        <f t="shared" si="5"/>
        <v>-173456.29166666669</v>
      </c>
      <c r="AT14" s="1024">
        <f t="shared" si="5"/>
        <v>-173456.29166666669</v>
      </c>
      <c r="AU14" s="1024">
        <f t="shared" si="5"/>
        <v>41219.398333333316</v>
      </c>
      <c r="AV14" s="1024">
        <f t="shared" si="5"/>
        <v>-706.29166666668607</v>
      </c>
      <c r="AW14" s="1024">
        <f t="shared" si="5"/>
        <v>-706.29166666668607</v>
      </c>
      <c r="AX14" s="1024">
        <f t="shared" si="5"/>
        <v>4476.2083333333139</v>
      </c>
      <c r="AY14" s="1024">
        <f t="shared" si="5"/>
        <v>4476.2083333333139</v>
      </c>
      <c r="AZ14" s="1024">
        <f t="shared" si="5"/>
        <v>4476.2083333333139</v>
      </c>
      <c r="BA14" s="1024">
        <f t="shared" si="5"/>
        <v>4476.2083333333139</v>
      </c>
      <c r="BB14" s="1119"/>
      <c r="BC14" s="1024">
        <f t="shared" si="6"/>
        <v>4476.2083333333139</v>
      </c>
      <c r="BD14" s="1024">
        <f t="shared" si="7"/>
        <v>117.79495614035037</v>
      </c>
      <c r="BE14" s="1009"/>
      <c r="BF14" t="s">
        <v>102</v>
      </c>
      <c r="BG14" s="1098">
        <v>2903</v>
      </c>
      <c r="BH14" s="105"/>
      <c r="BI14" s="105"/>
      <c r="BJ14" s="1098"/>
      <c r="BK14" s="34"/>
      <c r="BM14" s="1009"/>
      <c r="BN14" s="1009"/>
    </row>
    <row r="15" spans="1:66" x14ac:dyDescent="0.3">
      <c r="A15" s="1009" t="s">
        <v>992</v>
      </c>
      <c r="B15" s="1009" t="s">
        <v>993</v>
      </c>
      <c r="C15" s="1009">
        <v>0</v>
      </c>
      <c r="D15" s="1009">
        <v>0</v>
      </c>
      <c r="E15" s="1027">
        <v>7968</v>
      </c>
      <c r="F15" s="1027">
        <v>52894</v>
      </c>
      <c r="G15" s="1027">
        <v>29342</v>
      </c>
      <c r="H15" s="1027">
        <v>31628</v>
      </c>
      <c r="I15" s="1118">
        <v>37689</v>
      </c>
      <c r="J15" s="1118">
        <v>26777.1</v>
      </c>
      <c r="K15" s="1118">
        <v>17208</v>
      </c>
      <c r="L15" s="1118">
        <v>8305</v>
      </c>
      <c r="M15" s="1120"/>
      <c r="N15" s="1037">
        <f t="shared" si="3"/>
        <v>186298.1</v>
      </c>
      <c r="O15" s="1009"/>
      <c r="P15" s="1009"/>
      <c r="Q15" s="1009" t="s">
        <v>875</v>
      </c>
      <c r="R15" s="1024"/>
      <c r="S15" s="1024"/>
      <c r="T15" s="1024"/>
      <c r="U15" s="1024"/>
      <c r="V15" s="1024"/>
      <c r="W15" s="1024"/>
      <c r="X15" s="1024"/>
      <c r="Y15" s="1024"/>
      <c r="Z15" s="1116"/>
      <c r="AA15" s="1024"/>
      <c r="AB15" s="1024"/>
      <c r="AC15" s="1024"/>
      <c r="AD15" s="1024"/>
      <c r="AE15" s="1024"/>
      <c r="AF15" s="1024"/>
      <c r="AG15" s="1024"/>
      <c r="AH15" s="1024"/>
      <c r="AI15" s="1025">
        <v>42247.54</v>
      </c>
      <c r="AJ15" s="1025"/>
      <c r="AK15" s="1025"/>
      <c r="AL15" s="1025"/>
      <c r="AM15" s="1025"/>
      <c r="AN15" s="1025"/>
      <c r="AO15" s="1025"/>
      <c r="AP15" s="1024">
        <f t="shared" si="5"/>
        <v>0</v>
      </c>
      <c r="AQ15" s="1024">
        <f t="shared" si="5"/>
        <v>0</v>
      </c>
      <c r="AR15" s="1024">
        <f t="shared" si="5"/>
        <v>0</v>
      </c>
      <c r="AS15" s="1024">
        <f t="shared" si="5"/>
        <v>0</v>
      </c>
      <c r="AT15" s="1024">
        <f t="shared" si="5"/>
        <v>0</v>
      </c>
      <c r="AU15" s="1024">
        <f t="shared" si="5"/>
        <v>42247.54</v>
      </c>
      <c r="AV15" s="1024">
        <f t="shared" si="5"/>
        <v>0</v>
      </c>
      <c r="AW15" s="1024">
        <f t="shared" si="5"/>
        <v>0</v>
      </c>
      <c r="AX15" s="1024">
        <f t="shared" si="5"/>
        <v>0</v>
      </c>
      <c r="AY15" s="1024">
        <f t="shared" si="5"/>
        <v>0</v>
      </c>
      <c r="AZ15" s="1024">
        <f t="shared" si="5"/>
        <v>0</v>
      </c>
      <c r="BA15" s="1024">
        <f t="shared" si="5"/>
        <v>0</v>
      </c>
      <c r="BB15" s="1009"/>
      <c r="BC15" s="1024">
        <f t="shared" si="6"/>
        <v>0</v>
      </c>
      <c r="BD15" s="1024">
        <f t="shared" si="7"/>
        <v>0</v>
      </c>
      <c r="BE15" s="1009"/>
      <c r="BF15" t="s">
        <v>994</v>
      </c>
      <c r="BG15" s="105">
        <v>-3784</v>
      </c>
      <c r="BH15" s="105"/>
      <c r="BI15" s="105"/>
      <c r="BJ15" s="105"/>
      <c r="BK15" s="8"/>
      <c r="BM15" s="1009"/>
      <c r="BN15" s="1009"/>
    </row>
    <row r="16" spans="1:66" x14ac:dyDescent="0.3">
      <c r="A16" s="1009" t="s">
        <v>992</v>
      </c>
      <c r="B16" s="1009" t="s">
        <v>995</v>
      </c>
      <c r="C16" s="1027">
        <v>71846</v>
      </c>
      <c r="D16" s="1027">
        <v>286435</v>
      </c>
      <c r="E16" s="1027">
        <v>-98837</v>
      </c>
      <c r="F16" s="1027">
        <v>-60206</v>
      </c>
      <c r="G16" s="1027">
        <v>21684</v>
      </c>
      <c r="H16" s="1027">
        <v>83268</v>
      </c>
      <c r="I16" s="1118">
        <v>20726</v>
      </c>
      <c r="J16" s="1118">
        <v>20726</v>
      </c>
      <c r="K16" s="1118">
        <v>349436</v>
      </c>
      <c r="L16" s="1118">
        <v>515927</v>
      </c>
      <c r="M16" s="1120"/>
      <c r="N16" s="1037">
        <f t="shared" si="3"/>
        <v>345642</v>
      </c>
      <c r="O16" s="1009"/>
      <c r="P16" s="1009"/>
      <c r="Q16" s="1121" t="s">
        <v>876</v>
      </c>
      <c r="R16" s="1024"/>
      <c r="S16" s="1024"/>
      <c r="T16" s="1024"/>
      <c r="U16" s="1024"/>
      <c r="V16" s="1024"/>
      <c r="W16" s="1024"/>
      <c r="X16" s="1024"/>
      <c r="Y16" s="1024"/>
      <c r="Z16" s="1116"/>
      <c r="AA16" s="1024"/>
      <c r="AB16" s="1024"/>
      <c r="AC16" s="1024"/>
      <c r="AD16" s="1024"/>
      <c r="AE16" s="1024"/>
      <c r="AF16" s="1024"/>
      <c r="AG16" s="1024"/>
      <c r="AH16" s="1024"/>
      <c r="AI16" s="1025"/>
      <c r="AJ16" s="1025"/>
      <c r="AK16" s="1025"/>
      <c r="AL16" s="1025"/>
      <c r="AM16" s="1025"/>
      <c r="AN16" s="1025"/>
      <c r="AO16" s="1025"/>
      <c r="AP16" s="1024">
        <f t="shared" si="5"/>
        <v>0</v>
      </c>
      <c r="AQ16" s="1024">
        <f t="shared" si="5"/>
        <v>0</v>
      </c>
      <c r="AR16" s="1024">
        <f t="shared" si="5"/>
        <v>0</v>
      </c>
      <c r="AS16" s="1024">
        <f t="shared" si="5"/>
        <v>0</v>
      </c>
      <c r="AT16" s="1024">
        <f t="shared" si="5"/>
        <v>0</v>
      </c>
      <c r="AU16" s="1024">
        <f t="shared" si="5"/>
        <v>0</v>
      </c>
      <c r="AV16" s="1024">
        <f t="shared" si="5"/>
        <v>0</v>
      </c>
      <c r="AW16" s="1024">
        <f t="shared" si="5"/>
        <v>0</v>
      </c>
      <c r="AX16" s="1024">
        <f t="shared" si="5"/>
        <v>0</v>
      </c>
      <c r="AY16" s="1024">
        <f t="shared" si="5"/>
        <v>0</v>
      </c>
      <c r="AZ16" s="1024">
        <f t="shared" si="5"/>
        <v>0</v>
      </c>
      <c r="BA16" s="1024">
        <f t="shared" si="5"/>
        <v>0</v>
      </c>
      <c r="BB16" s="1009"/>
      <c r="BC16" s="1024">
        <f t="shared" si="6"/>
        <v>0</v>
      </c>
      <c r="BD16" s="1024">
        <f t="shared" si="7"/>
        <v>0</v>
      </c>
      <c r="BE16" s="1009"/>
      <c r="BF16" t="s">
        <v>869</v>
      </c>
      <c r="BG16" s="105"/>
      <c r="BH16" s="105"/>
      <c r="BI16" s="105"/>
      <c r="BJ16" s="1098">
        <v>-80</v>
      </c>
      <c r="BK16" s="8"/>
    </row>
    <row r="17" spans="1:66" x14ac:dyDescent="0.3">
      <c r="A17" s="1009" t="s">
        <v>992</v>
      </c>
      <c r="B17" s="1009" t="s">
        <v>996</v>
      </c>
      <c r="C17" s="1027">
        <v>165593</v>
      </c>
      <c r="D17" s="1027">
        <v>394110</v>
      </c>
      <c r="E17" s="1027">
        <v>450039</v>
      </c>
      <c r="F17" s="1027">
        <v>461576</v>
      </c>
      <c r="G17" s="1027">
        <v>1389517</v>
      </c>
      <c r="H17" s="1027">
        <v>570984</v>
      </c>
      <c r="I17" s="1118">
        <v>642703</v>
      </c>
      <c r="J17" s="1118">
        <v>637432</v>
      </c>
      <c r="K17" s="1118">
        <v>1112171</v>
      </c>
      <c r="L17" s="1118">
        <v>795066</v>
      </c>
      <c r="M17" s="1120"/>
      <c r="N17" s="1037">
        <f t="shared" si="3"/>
        <v>4711954</v>
      </c>
      <c r="O17" s="1009"/>
      <c r="P17" s="1009"/>
      <c r="Q17" s="1121" t="s">
        <v>993</v>
      </c>
      <c r="R17" s="1065"/>
      <c r="S17" s="1065"/>
      <c r="T17" s="1065"/>
      <c r="U17" s="1065"/>
      <c r="V17" s="1065"/>
      <c r="W17" s="1065"/>
      <c r="X17" s="1065"/>
      <c r="Y17" s="1065"/>
      <c r="Z17" s="1122"/>
      <c r="AA17" s="1065"/>
      <c r="AB17" s="1065"/>
      <c r="AC17" s="1065"/>
      <c r="AD17" s="1024"/>
      <c r="AE17" s="1024"/>
      <c r="AF17" s="1024"/>
      <c r="AG17" s="1024"/>
      <c r="AH17" s="1024"/>
      <c r="AI17" s="1025"/>
      <c r="AJ17" s="1025"/>
      <c r="AK17" s="1025"/>
      <c r="AL17" s="1025"/>
      <c r="AM17" s="1025"/>
      <c r="AN17" s="1025"/>
      <c r="AO17" s="1025"/>
      <c r="AP17" s="1024">
        <f t="shared" si="5"/>
        <v>0</v>
      </c>
      <c r="AQ17" s="1024">
        <f t="shared" si="5"/>
        <v>0</v>
      </c>
      <c r="AR17" s="1024">
        <f t="shared" si="5"/>
        <v>0</v>
      </c>
      <c r="AS17" s="1024">
        <f t="shared" si="5"/>
        <v>0</v>
      </c>
      <c r="AT17" s="1024">
        <f t="shared" si="5"/>
        <v>0</v>
      </c>
      <c r="AU17" s="1024">
        <f t="shared" si="5"/>
        <v>0</v>
      </c>
      <c r="AV17" s="1024">
        <f t="shared" si="5"/>
        <v>0</v>
      </c>
      <c r="AW17" s="1024">
        <f t="shared" si="5"/>
        <v>0</v>
      </c>
      <c r="AX17" s="1024">
        <f t="shared" si="5"/>
        <v>0</v>
      </c>
      <c r="AY17" s="1024">
        <f t="shared" si="5"/>
        <v>0</v>
      </c>
      <c r="AZ17" s="1024">
        <f t="shared" si="5"/>
        <v>0</v>
      </c>
      <c r="BA17" s="1024">
        <f t="shared" si="5"/>
        <v>0</v>
      </c>
      <c r="BB17" s="1123"/>
      <c r="BC17" s="1024">
        <f t="shared" si="6"/>
        <v>0</v>
      </c>
      <c r="BD17" s="1024">
        <f t="shared" si="7"/>
        <v>0</v>
      </c>
      <c r="BE17" s="1009"/>
      <c r="BF17" t="s">
        <v>872</v>
      </c>
      <c r="BG17" s="1098">
        <v>680</v>
      </c>
      <c r="BH17" s="105"/>
      <c r="BI17" s="105"/>
      <c r="BJ17" s="105"/>
    </row>
    <row r="18" spans="1:66" x14ac:dyDescent="0.3">
      <c r="A18" s="1009" t="s">
        <v>992</v>
      </c>
      <c r="B18" s="1009" t="s">
        <v>997</v>
      </c>
      <c r="C18" s="1027">
        <v>12075</v>
      </c>
      <c r="D18" s="1027">
        <v>144895</v>
      </c>
      <c r="E18" s="1027">
        <v>141965</v>
      </c>
      <c r="F18" s="1027">
        <v>216734</v>
      </c>
      <c r="G18" s="1027">
        <v>193877</v>
      </c>
      <c r="H18" s="1027">
        <v>224267</v>
      </c>
      <c r="I18" s="1118">
        <v>352204</v>
      </c>
      <c r="J18" s="1118">
        <v>223813</v>
      </c>
      <c r="K18" s="1118">
        <v>547513.59999999998</v>
      </c>
      <c r="L18" s="1118">
        <v>211302</v>
      </c>
      <c r="M18" s="1120"/>
      <c r="N18" s="1037">
        <f t="shared" si="3"/>
        <v>1509830</v>
      </c>
      <c r="O18" s="1009"/>
      <c r="P18" s="1009"/>
      <c r="Q18" s="1121" t="s">
        <v>995</v>
      </c>
      <c r="R18" s="1024"/>
      <c r="S18" s="1024"/>
      <c r="T18" s="1024"/>
      <c r="U18" s="1024"/>
      <c r="V18" s="1024"/>
      <c r="W18" s="1024"/>
      <c r="X18" s="1024"/>
      <c r="Y18" s="1024"/>
      <c r="Z18" s="1116"/>
      <c r="AA18" s="1024"/>
      <c r="AB18" s="1024"/>
      <c r="AC18" s="1024"/>
      <c r="AD18" s="1024"/>
      <c r="AE18" s="1024"/>
      <c r="AF18" s="1024"/>
      <c r="AG18" s="1024"/>
      <c r="AH18" s="1024"/>
      <c r="AI18" s="1025"/>
      <c r="AJ18" s="1025"/>
      <c r="AK18" s="1025"/>
      <c r="AL18" s="1025"/>
      <c r="AM18" s="1025"/>
      <c r="AN18" s="1025"/>
      <c r="AO18" s="1025"/>
      <c r="AP18" s="1024">
        <f t="shared" si="5"/>
        <v>0</v>
      </c>
      <c r="AQ18" s="1024">
        <f t="shared" si="5"/>
        <v>0</v>
      </c>
      <c r="AR18" s="1024">
        <f t="shared" si="5"/>
        <v>0</v>
      </c>
      <c r="AS18" s="1024">
        <f t="shared" si="5"/>
        <v>0</v>
      </c>
      <c r="AT18" s="1024">
        <f t="shared" si="5"/>
        <v>0</v>
      </c>
      <c r="AU18" s="1024">
        <f t="shared" si="5"/>
        <v>0</v>
      </c>
      <c r="AV18" s="1024">
        <f t="shared" si="5"/>
        <v>0</v>
      </c>
      <c r="AW18" s="1024">
        <f t="shared" si="5"/>
        <v>0</v>
      </c>
      <c r="AX18" s="1024">
        <f t="shared" si="5"/>
        <v>0</v>
      </c>
      <c r="AY18" s="1024">
        <f t="shared" si="5"/>
        <v>0</v>
      </c>
      <c r="AZ18" s="1024">
        <f t="shared" si="5"/>
        <v>0</v>
      </c>
      <c r="BA18" s="1024">
        <f t="shared" si="5"/>
        <v>0</v>
      </c>
      <c r="BB18" s="1009"/>
      <c r="BC18" s="1024">
        <f t="shared" si="6"/>
        <v>0</v>
      </c>
      <c r="BD18" s="1024">
        <f t="shared" si="7"/>
        <v>0</v>
      </c>
      <c r="BE18" s="1009"/>
      <c r="BF18" t="s">
        <v>998</v>
      </c>
      <c r="BG18" s="105"/>
      <c r="BH18" s="105"/>
      <c r="BI18" s="105"/>
      <c r="BJ18" s="1098">
        <v>-405</v>
      </c>
      <c r="BK18" s="34"/>
    </row>
    <row r="19" spans="1:66" x14ac:dyDescent="0.3">
      <c r="A19" s="1009"/>
      <c r="B19" s="1009" t="s">
        <v>999</v>
      </c>
      <c r="C19" s="1009"/>
      <c r="D19" s="1009"/>
      <c r="E19" s="1009"/>
      <c r="F19" s="1009"/>
      <c r="G19" s="1009"/>
      <c r="H19" s="1027">
        <v>-344486</v>
      </c>
      <c r="I19" s="1118">
        <v>-502536</v>
      </c>
      <c r="J19" s="1118">
        <v>-116868.79</v>
      </c>
      <c r="K19" s="1118">
        <v>-685996</v>
      </c>
      <c r="L19" s="1124">
        <v>-384797.01</v>
      </c>
      <c r="M19" s="1124">
        <v>-445307</v>
      </c>
      <c r="N19" s="1037">
        <f t="shared" si="3"/>
        <v>-963890.79</v>
      </c>
      <c r="O19" s="1009"/>
      <c r="P19" s="1009"/>
      <c r="Q19" s="1121" t="s">
        <v>996</v>
      </c>
      <c r="R19" s="1024"/>
      <c r="S19" s="1024"/>
      <c r="T19" s="1024"/>
      <c r="U19" s="1024"/>
      <c r="V19" s="1024"/>
      <c r="W19" s="1024"/>
      <c r="X19" s="1024"/>
      <c r="Y19" s="1024"/>
      <c r="Z19" s="1024"/>
      <c r="AA19" s="1024"/>
      <c r="AB19" s="1024"/>
      <c r="AC19" s="1024"/>
      <c r="AD19" s="1024"/>
      <c r="AE19" s="1024"/>
      <c r="AF19" s="1024"/>
      <c r="AG19" s="1024"/>
      <c r="AH19" s="1024"/>
      <c r="AI19" s="1025"/>
      <c r="AJ19" s="1025"/>
      <c r="AK19" s="1025"/>
      <c r="AL19" s="1025"/>
      <c r="AM19" s="1025"/>
      <c r="AN19" s="1025"/>
      <c r="AO19" s="1025"/>
      <c r="AP19" s="1024">
        <f t="shared" si="5"/>
        <v>0</v>
      </c>
      <c r="AQ19" s="1024">
        <f t="shared" si="5"/>
        <v>0</v>
      </c>
      <c r="AR19" s="1024">
        <f t="shared" si="5"/>
        <v>0</v>
      </c>
      <c r="AS19" s="1024">
        <f t="shared" si="5"/>
        <v>0</v>
      </c>
      <c r="AT19" s="1024">
        <f t="shared" si="5"/>
        <v>0</v>
      </c>
      <c r="AU19" s="1024">
        <f t="shared" si="5"/>
        <v>0</v>
      </c>
      <c r="AV19" s="1024">
        <f t="shared" si="5"/>
        <v>0</v>
      </c>
      <c r="AW19" s="1024">
        <f t="shared" si="5"/>
        <v>0</v>
      </c>
      <c r="AX19" s="1024">
        <f t="shared" si="5"/>
        <v>0</v>
      </c>
      <c r="AY19" s="1024">
        <f t="shared" si="5"/>
        <v>0</v>
      </c>
      <c r="AZ19" s="1024">
        <f t="shared" si="5"/>
        <v>0</v>
      </c>
      <c r="BA19" s="1024">
        <f t="shared" si="5"/>
        <v>0</v>
      </c>
      <c r="BB19" s="1070"/>
      <c r="BC19" s="1024">
        <f t="shared" si="6"/>
        <v>0</v>
      </c>
      <c r="BD19" s="1024">
        <f t="shared" si="7"/>
        <v>0</v>
      </c>
      <c r="BE19" s="1009"/>
      <c r="BF19" t="s">
        <v>1000</v>
      </c>
      <c r="BG19" s="442"/>
      <c r="BH19" s="105"/>
      <c r="BI19" s="105"/>
      <c r="BJ19" s="1100"/>
      <c r="BK19" s="34"/>
      <c r="BM19" s="1009"/>
      <c r="BN19" s="1009"/>
    </row>
    <row r="20" spans="1:66" ht="18.600000000000001" customHeight="1" x14ac:dyDescent="0.3">
      <c r="A20" s="1009"/>
      <c r="B20" s="1009" t="s">
        <v>1001</v>
      </c>
      <c r="C20" s="1009"/>
      <c r="D20" s="1009"/>
      <c r="E20" s="1009"/>
      <c r="F20" s="1009"/>
      <c r="G20" s="1027">
        <v>-2937040</v>
      </c>
      <c r="H20" s="1009"/>
      <c r="I20" s="1009"/>
      <c r="J20" s="1009"/>
      <c r="K20" s="1009"/>
      <c r="L20" s="1009"/>
      <c r="M20" s="1009"/>
      <c r="N20" s="1037">
        <f t="shared" si="3"/>
        <v>-2937040</v>
      </c>
      <c r="O20" s="1009"/>
      <c r="P20" s="1009"/>
      <c r="Q20" s="1121" t="s">
        <v>997</v>
      </c>
      <c r="R20" s="1024">
        <v>1223422.00178139</v>
      </c>
      <c r="S20" s="1024">
        <v>1299300.5802104499</v>
      </c>
      <c r="T20" s="1024">
        <v>1223422.00178139</v>
      </c>
      <c r="U20" s="1024">
        <v>1257721.4634819517</v>
      </c>
      <c r="V20" s="1024">
        <v>1333040.5870889495</v>
      </c>
      <c r="W20" s="1024">
        <v>1318786.2482069477</v>
      </c>
      <c r="X20" s="1024">
        <v>1257721.4634819517</v>
      </c>
      <c r="Y20" s="1024">
        <v>1257721.4634819517</v>
      </c>
      <c r="Z20" s="1116">
        <v>1316750.7675158277</v>
      </c>
      <c r="AA20" s="1024">
        <v>1269575.4220654543</v>
      </c>
      <c r="AB20" s="1024">
        <v>1269575.4220654543</v>
      </c>
      <c r="AC20" s="1024">
        <v>1269575.4220654543</v>
      </c>
      <c r="AD20" s="1024"/>
      <c r="AE20" s="1024"/>
      <c r="AF20" s="1024"/>
      <c r="AG20" s="1024"/>
      <c r="AH20" s="1024"/>
      <c r="AI20" s="1025">
        <v>1111453.21</v>
      </c>
      <c r="AJ20" s="1025">
        <v>1213876.7701832699</v>
      </c>
      <c r="AK20" s="1025">
        <v>1213876.7701832699</v>
      </c>
      <c r="AL20" s="1025">
        <v>1295069.2852494852</v>
      </c>
      <c r="AM20" s="1025">
        <v>1248192.6110088974</v>
      </c>
      <c r="AN20" s="1025">
        <v>1248192.6110088974</v>
      </c>
      <c r="AO20" s="1025">
        <v>1248192.6110088974</v>
      </c>
      <c r="AP20" s="1024">
        <f t="shared" si="5"/>
        <v>-1223422.00178139</v>
      </c>
      <c r="AQ20" s="1024">
        <f t="shared" si="5"/>
        <v>-1299300.5802104499</v>
      </c>
      <c r="AR20" s="1024">
        <f t="shared" si="5"/>
        <v>-1223422.00178139</v>
      </c>
      <c r="AS20" s="1024">
        <f t="shared" si="5"/>
        <v>-1257721.4634819517</v>
      </c>
      <c r="AT20" s="1024">
        <f t="shared" si="5"/>
        <v>-1333040.5870889495</v>
      </c>
      <c r="AU20" s="1024">
        <f t="shared" si="5"/>
        <v>-207333.03820694773</v>
      </c>
      <c r="AV20" s="1024">
        <f t="shared" si="5"/>
        <v>-43844.693298681872</v>
      </c>
      <c r="AW20" s="1024">
        <f t="shared" si="5"/>
        <v>-43844.693298681872</v>
      </c>
      <c r="AX20" s="1024">
        <f t="shared" si="5"/>
        <v>-21681.4822663425</v>
      </c>
      <c r="AY20" s="1024">
        <f t="shared" si="5"/>
        <v>-21382.811056556879</v>
      </c>
      <c r="AZ20" s="1024">
        <f t="shared" si="5"/>
        <v>-21382.811056556879</v>
      </c>
      <c r="BA20" s="1024">
        <f t="shared" si="5"/>
        <v>-21382.811056556879</v>
      </c>
      <c r="BB20" s="1009"/>
      <c r="BC20" s="1024">
        <f t="shared" si="6"/>
        <v>-21382.811056556879</v>
      </c>
      <c r="BD20" s="1024">
        <f t="shared" si="7"/>
        <v>-562.70555411991791</v>
      </c>
      <c r="BE20" s="1009"/>
      <c r="BF20" t="s">
        <v>655</v>
      </c>
      <c r="BJ20" s="105">
        <v>63187.992184764109</v>
      </c>
      <c r="BK20" s="34"/>
      <c r="BM20" s="1009"/>
      <c r="BN20" s="1009"/>
    </row>
    <row r="21" spans="1:66" x14ac:dyDescent="0.3">
      <c r="A21" s="1009"/>
      <c r="B21" s="1125" t="s">
        <v>1002</v>
      </c>
      <c r="C21" s="1009"/>
      <c r="D21" s="1009"/>
      <c r="E21" s="1009"/>
      <c r="F21" s="1009"/>
      <c r="G21" s="1027">
        <v>-45486</v>
      </c>
      <c r="H21" s="1009"/>
      <c r="I21" s="1009"/>
      <c r="J21" s="1009"/>
      <c r="K21" s="1009"/>
      <c r="L21" s="1009"/>
      <c r="M21" s="1009"/>
      <c r="N21" s="1037">
        <f t="shared" si="3"/>
        <v>-45486</v>
      </c>
      <c r="O21" s="1009"/>
      <c r="P21" s="1009"/>
      <c r="Q21" s="1009" t="s">
        <v>1003</v>
      </c>
      <c r="R21" s="1027"/>
      <c r="S21" s="1027"/>
      <c r="T21" s="1027"/>
      <c r="U21" s="1027"/>
      <c r="V21" s="1027"/>
      <c r="W21" s="1027"/>
      <c r="X21" s="1027"/>
      <c r="Y21" s="1027"/>
      <c r="Z21" s="1027"/>
      <c r="AA21" s="1027"/>
      <c r="AB21" s="1027"/>
      <c r="AC21" s="1027"/>
      <c r="AD21" s="1027"/>
      <c r="AE21" s="1027"/>
      <c r="AF21" s="1027"/>
      <c r="AG21" s="1027"/>
      <c r="AH21" s="1027"/>
      <c r="AI21" s="1027"/>
      <c r="AJ21" s="1027"/>
      <c r="AK21" s="1027"/>
      <c r="AL21" s="1027"/>
      <c r="AM21" s="1027"/>
      <c r="AN21" s="1027"/>
      <c r="AO21" s="1027"/>
      <c r="AP21" s="1027">
        <f t="shared" si="5"/>
        <v>0</v>
      </c>
      <c r="AQ21" s="1027">
        <f t="shared" si="5"/>
        <v>0</v>
      </c>
      <c r="AR21" s="1027">
        <f t="shared" si="5"/>
        <v>0</v>
      </c>
      <c r="AS21" s="1027">
        <f t="shared" si="5"/>
        <v>0</v>
      </c>
      <c r="AT21" s="1027">
        <f t="shared" si="5"/>
        <v>0</v>
      </c>
      <c r="AU21" s="1027">
        <f t="shared" si="5"/>
        <v>0</v>
      </c>
      <c r="AV21" s="1027">
        <f t="shared" si="5"/>
        <v>0</v>
      </c>
      <c r="AW21" s="1027">
        <f t="shared" si="5"/>
        <v>0</v>
      </c>
      <c r="AX21" s="1027">
        <f t="shared" si="5"/>
        <v>0</v>
      </c>
      <c r="AY21" s="1027">
        <f t="shared" si="5"/>
        <v>0</v>
      </c>
      <c r="AZ21" s="1027">
        <f t="shared" si="5"/>
        <v>0</v>
      </c>
      <c r="BA21" s="1027">
        <f t="shared" si="5"/>
        <v>0</v>
      </c>
      <c r="BB21" s="1009"/>
      <c r="BC21" s="1024">
        <f t="shared" si="6"/>
        <v>0</v>
      </c>
      <c r="BD21" s="1024">
        <f t="shared" si="7"/>
        <v>0</v>
      </c>
      <c r="BE21" s="1009"/>
      <c r="BF21" s="1009" t="s">
        <v>892</v>
      </c>
      <c r="BG21" s="105"/>
      <c r="BH21" s="1009"/>
      <c r="BI21" s="1009"/>
      <c r="BJ21" s="1027"/>
      <c r="BK21" s="1123">
        <v>16923.593965408629</v>
      </c>
      <c r="BM21" s="1009"/>
      <c r="BN21" s="1009"/>
    </row>
    <row r="22" spans="1:66" x14ac:dyDescent="0.3">
      <c r="A22" s="1009"/>
      <c r="B22" s="1125" t="s">
        <v>1004</v>
      </c>
      <c r="C22" s="1009"/>
      <c r="D22" s="1009"/>
      <c r="E22" s="1009"/>
      <c r="F22" s="1009"/>
      <c r="G22" s="1009"/>
      <c r="H22" s="1027">
        <v>-289957</v>
      </c>
      <c r="I22" s="1027"/>
      <c r="J22" s="1027"/>
      <c r="K22" s="1027"/>
      <c r="L22" s="1027"/>
      <c r="M22" s="1027"/>
      <c r="N22" s="1037">
        <f t="shared" si="3"/>
        <v>-289957</v>
      </c>
      <c r="O22" s="1009"/>
      <c r="P22" s="1009"/>
      <c r="Q22" s="1009" t="s">
        <v>958</v>
      </c>
      <c r="R22" s="1027"/>
      <c r="S22" s="1027"/>
      <c r="T22" s="1027"/>
      <c r="U22" s="1027"/>
      <c r="V22" s="1027"/>
      <c r="W22" s="1027"/>
      <c r="X22" s="1027"/>
      <c r="Y22" s="1027"/>
      <c r="Z22" s="1027"/>
      <c r="AA22" s="1027"/>
      <c r="AB22" s="1027"/>
      <c r="AC22" s="1027"/>
      <c r="AD22" s="1027"/>
      <c r="AE22" s="1027"/>
      <c r="AF22" s="1027"/>
      <c r="AG22" s="1027"/>
      <c r="AH22" s="1027"/>
      <c r="AI22" s="1027">
        <v>-6161.21</v>
      </c>
      <c r="AJ22" s="1027"/>
      <c r="AK22" s="1027"/>
      <c r="AL22" s="1027"/>
      <c r="AM22" s="1027"/>
      <c r="AN22" s="1027"/>
      <c r="AO22" s="1027"/>
      <c r="AP22" s="1027">
        <f t="shared" si="5"/>
        <v>0</v>
      </c>
      <c r="AQ22" s="1027">
        <f t="shared" si="5"/>
        <v>0</v>
      </c>
      <c r="AR22" s="1027">
        <f t="shared" si="5"/>
        <v>0</v>
      </c>
      <c r="AS22" s="1027">
        <f t="shared" si="5"/>
        <v>0</v>
      </c>
      <c r="AT22" s="1027">
        <f t="shared" si="5"/>
        <v>0</v>
      </c>
      <c r="AU22" s="1027">
        <f t="shared" si="5"/>
        <v>-6161.21</v>
      </c>
      <c r="AV22" s="1027">
        <f t="shared" si="5"/>
        <v>0</v>
      </c>
      <c r="AW22" s="1027">
        <f t="shared" si="5"/>
        <v>0</v>
      </c>
      <c r="AX22" s="1027">
        <f t="shared" si="5"/>
        <v>0</v>
      </c>
      <c r="AY22" s="1027">
        <f t="shared" si="5"/>
        <v>0</v>
      </c>
      <c r="AZ22" s="1027">
        <f t="shared" si="5"/>
        <v>0</v>
      </c>
      <c r="BA22" s="1027">
        <f t="shared" si="5"/>
        <v>0</v>
      </c>
      <c r="BB22" s="1009"/>
      <c r="BC22" s="1024">
        <f t="shared" si="6"/>
        <v>0</v>
      </c>
      <c r="BD22" s="1024">
        <f t="shared" si="7"/>
        <v>0</v>
      </c>
      <c r="BE22" s="1009"/>
      <c r="BF22" s="1009" t="s">
        <v>1005</v>
      </c>
      <c r="BG22" s="1009"/>
      <c r="BH22" s="1009"/>
      <c r="BI22" s="1009"/>
      <c r="BJ22" s="1027">
        <v>6157.6017806445225</v>
      </c>
      <c r="BK22" s="1013">
        <f>BK21-BJ11-BG11-BG8</f>
        <v>6157.6017806445197</v>
      </c>
      <c r="BL22" s="1009"/>
      <c r="BM22" s="1009"/>
      <c r="BN22" s="1009"/>
    </row>
    <row r="23" spans="1:66" x14ac:dyDescent="0.3">
      <c r="A23" s="1009"/>
      <c r="B23" s="1102" t="s">
        <v>1006</v>
      </c>
      <c r="C23" s="1126">
        <v>2925692</v>
      </c>
      <c r="D23" s="1126">
        <v>3369906</v>
      </c>
      <c r="E23" s="1126">
        <v>2681119</v>
      </c>
      <c r="F23" s="1126">
        <v>3354940</v>
      </c>
      <c r="G23" s="1126">
        <v>579462</v>
      </c>
      <c r="H23" s="1126">
        <v>2174450</v>
      </c>
      <c r="I23" s="1126">
        <f>SUM(I8:I22)</f>
        <v>2089430.38</v>
      </c>
      <c r="J23" s="1126">
        <f>SUM(J8:J22)</f>
        <v>2781284.95</v>
      </c>
      <c r="K23" s="1126">
        <f>SUM(K8:K22)</f>
        <v>4198620.5999999996</v>
      </c>
      <c r="L23" s="1126">
        <f>SUM(L8:L22)</f>
        <v>2767019.99</v>
      </c>
      <c r="M23" s="1126">
        <f>SUM(M8:M22)</f>
        <v>1134053</v>
      </c>
      <c r="N23" s="1037">
        <f t="shared" si="3"/>
        <v>19956284.329999998</v>
      </c>
      <c r="O23" s="1009"/>
      <c r="P23" s="1009"/>
      <c r="Q23" s="1125" t="s">
        <v>951</v>
      </c>
      <c r="R23" s="1027"/>
      <c r="S23" s="1027"/>
      <c r="T23" s="1027"/>
      <c r="U23" s="1027"/>
      <c r="V23" s="1027"/>
      <c r="W23" s="1027"/>
      <c r="X23" s="1027"/>
      <c r="Y23" s="1027"/>
      <c r="Z23" s="1027"/>
      <c r="AA23" s="1027"/>
      <c r="AB23" s="1027"/>
      <c r="AC23" s="1027"/>
      <c r="AD23" s="1027"/>
      <c r="AE23" s="1027"/>
      <c r="AF23" s="1027"/>
      <c r="AG23" s="1027"/>
      <c r="AH23" s="1027"/>
      <c r="AI23" s="1027"/>
      <c r="AJ23" s="1027"/>
      <c r="AK23" s="1027"/>
      <c r="AL23" s="1027"/>
      <c r="AM23" s="1027"/>
      <c r="AN23" s="1027"/>
      <c r="AO23" s="1027"/>
      <c r="AP23" s="1027">
        <f t="shared" si="5"/>
        <v>0</v>
      </c>
      <c r="AQ23" s="1027">
        <f t="shared" si="5"/>
        <v>0</v>
      </c>
      <c r="AR23" s="1027">
        <f t="shared" si="5"/>
        <v>0</v>
      </c>
      <c r="AS23" s="1027">
        <f t="shared" si="5"/>
        <v>0</v>
      </c>
      <c r="AT23" s="1027">
        <f t="shared" si="5"/>
        <v>0</v>
      </c>
      <c r="AU23" s="1027">
        <f t="shared" si="5"/>
        <v>0</v>
      </c>
      <c r="AV23" s="1027">
        <f t="shared" si="5"/>
        <v>0</v>
      </c>
      <c r="AW23" s="1027">
        <f t="shared" si="5"/>
        <v>0</v>
      </c>
      <c r="AX23" s="1027">
        <f t="shared" si="5"/>
        <v>0</v>
      </c>
      <c r="AY23" s="1027">
        <f t="shared" si="5"/>
        <v>0</v>
      </c>
      <c r="AZ23" s="1027">
        <f t="shared" si="5"/>
        <v>0</v>
      </c>
      <c r="BA23" s="1027">
        <f t="shared" si="5"/>
        <v>0</v>
      </c>
      <c r="BB23" s="1009"/>
      <c r="BC23" s="1024">
        <f t="shared" si="6"/>
        <v>0</v>
      </c>
      <c r="BD23" s="1024">
        <f t="shared" si="7"/>
        <v>0</v>
      </c>
      <c r="BE23" s="1009"/>
      <c r="BF23" s="1009"/>
      <c r="BG23" s="1047"/>
      <c r="BH23" s="1009"/>
      <c r="BI23" s="1009"/>
      <c r="BJ23" s="1127"/>
      <c r="BK23" s="1013">
        <f>BK22-BJ22</f>
        <v>0</v>
      </c>
      <c r="BL23" s="1009"/>
      <c r="BM23" s="1009"/>
      <c r="BN23" s="1009"/>
    </row>
    <row r="24" spans="1:66" x14ac:dyDescent="0.3">
      <c r="A24" s="1009"/>
      <c r="B24" s="1009"/>
      <c r="C24" s="1009"/>
      <c r="D24" s="1009"/>
      <c r="E24" s="1009"/>
      <c r="F24" s="1009"/>
      <c r="G24" s="1009"/>
      <c r="H24" s="1009"/>
      <c r="I24" s="1009"/>
      <c r="J24" s="1009"/>
      <c r="K24" s="1009"/>
      <c r="L24" s="1009"/>
      <c r="M24" s="1009"/>
      <c r="N24" s="1009"/>
      <c r="O24" s="1009"/>
      <c r="P24" s="1009"/>
      <c r="Q24" s="1125" t="s">
        <v>1007</v>
      </c>
      <c r="R24" s="1027">
        <f>I22+J22</f>
        <v>0</v>
      </c>
      <c r="S24" s="1027"/>
      <c r="T24" s="1027"/>
      <c r="U24" s="1027"/>
      <c r="V24" s="1027"/>
      <c r="W24" s="1027"/>
      <c r="X24" s="1027"/>
      <c r="Y24" s="1027"/>
      <c r="Z24" s="1027"/>
      <c r="AA24" s="1027"/>
      <c r="AB24" s="1027"/>
      <c r="AC24" s="1027"/>
      <c r="AD24" s="1027"/>
      <c r="AE24" s="1027"/>
      <c r="AF24" s="1027"/>
      <c r="AG24" s="1027"/>
      <c r="AH24" s="1027"/>
      <c r="AI24" s="1027"/>
      <c r="AJ24" s="1027"/>
      <c r="AK24" s="1027"/>
      <c r="AL24" s="1027"/>
      <c r="AM24" s="1027"/>
      <c r="AN24" s="1027"/>
      <c r="AO24" s="1027"/>
      <c r="AP24" s="1027">
        <f t="shared" si="5"/>
        <v>0</v>
      </c>
      <c r="AQ24" s="1027">
        <f t="shared" si="5"/>
        <v>0</v>
      </c>
      <c r="AR24" s="1027">
        <f t="shared" si="5"/>
        <v>0</v>
      </c>
      <c r="AS24" s="1027">
        <f t="shared" si="5"/>
        <v>0</v>
      </c>
      <c r="AT24" s="1027">
        <f t="shared" si="5"/>
        <v>0</v>
      </c>
      <c r="AU24" s="1027">
        <f t="shared" si="5"/>
        <v>0</v>
      </c>
      <c r="AV24" s="1027">
        <f t="shared" si="5"/>
        <v>0</v>
      </c>
      <c r="AW24" s="1027">
        <f t="shared" si="5"/>
        <v>0</v>
      </c>
      <c r="AX24" s="1027">
        <f t="shared" si="5"/>
        <v>0</v>
      </c>
      <c r="AY24" s="1027">
        <f t="shared" si="5"/>
        <v>0</v>
      </c>
      <c r="AZ24" s="1027">
        <f t="shared" si="5"/>
        <v>0</v>
      </c>
      <c r="BA24" s="1027">
        <f t="shared" si="5"/>
        <v>0</v>
      </c>
      <c r="BB24" s="1009"/>
      <c r="BC24" s="1024">
        <f t="shared" si="6"/>
        <v>0</v>
      </c>
      <c r="BD24" s="1024">
        <f t="shared" si="7"/>
        <v>0</v>
      </c>
      <c r="BE24" s="1009"/>
      <c r="BF24" s="1009"/>
      <c r="BG24" s="1009"/>
      <c r="BH24" s="1009"/>
      <c r="BI24" s="1009"/>
      <c r="BJ24" s="1009"/>
      <c r="BK24" s="1009"/>
      <c r="BL24" s="1009"/>
      <c r="BM24" s="1009">
        <v>6666010101</v>
      </c>
      <c r="BN24" s="1009"/>
    </row>
    <row r="25" spans="1:66" x14ac:dyDescent="0.3">
      <c r="A25" s="1009"/>
      <c r="B25" s="1009"/>
      <c r="C25" s="1009"/>
      <c r="D25" s="1009"/>
      <c r="E25" s="1009"/>
      <c r="F25" s="1009"/>
      <c r="G25" s="1009"/>
      <c r="H25" s="1009"/>
      <c r="I25" s="1009"/>
      <c r="J25" s="1009"/>
      <c r="K25" s="1009"/>
      <c r="L25" s="1009"/>
      <c r="M25" s="1009"/>
      <c r="N25" s="1009"/>
      <c r="O25" s="1009"/>
      <c r="P25" s="1009"/>
      <c r="Q25" s="1102" t="s">
        <v>1006</v>
      </c>
      <c r="R25" s="1128">
        <f t="shared" ref="R25:BA25" si="8">SUM(R10:R24)</f>
        <v>5594244.3374845386</v>
      </c>
      <c r="S25" s="1128">
        <f t="shared" si="8"/>
        <v>6042390.0663935989</v>
      </c>
      <c r="T25" s="1128">
        <f t="shared" si="8"/>
        <v>5594244.3374845386</v>
      </c>
      <c r="U25" s="1128">
        <f t="shared" si="8"/>
        <v>5771433.7817327501</v>
      </c>
      <c r="V25" s="1128">
        <f t="shared" si="8"/>
        <v>6219020.055819748</v>
      </c>
      <c r="W25" s="1128">
        <f t="shared" si="8"/>
        <v>6133869.5068177469</v>
      </c>
      <c r="X25" s="1128">
        <f t="shared" si="8"/>
        <v>5771433.7817327501</v>
      </c>
      <c r="Y25" s="1128">
        <f t="shared" si="8"/>
        <v>5879632.7413577503</v>
      </c>
      <c r="Z25" s="1128">
        <f>SUM(Z10:Z24)</f>
        <v>6244007.8092316268</v>
      </c>
      <c r="AA25" s="1128">
        <f t="shared" si="8"/>
        <v>5952799.4807412531</v>
      </c>
      <c r="AB25" s="1128">
        <f t="shared" si="8"/>
        <v>5952799.4807412531</v>
      </c>
      <c r="AC25" s="1128">
        <f t="shared" si="8"/>
        <v>5952799.4807412531</v>
      </c>
      <c r="AD25" s="1128">
        <f t="shared" si="8"/>
        <v>0</v>
      </c>
      <c r="AE25" s="1128">
        <f t="shared" si="8"/>
        <v>0</v>
      </c>
      <c r="AF25" s="1128">
        <f t="shared" si="8"/>
        <v>0</v>
      </c>
      <c r="AG25" s="1128">
        <f t="shared" si="8"/>
        <v>0</v>
      </c>
      <c r="AH25" s="1128">
        <f t="shared" si="8"/>
        <v>0</v>
      </c>
      <c r="AI25" s="1128">
        <f t="shared" si="8"/>
        <v>5976056.3700000001</v>
      </c>
      <c r="AJ25" s="1128">
        <f t="shared" si="8"/>
        <v>5606331.6853814181</v>
      </c>
      <c r="AK25" s="1129">
        <f t="shared" si="8"/>
        <v>5734438.5043814182</v>
      </c>
      <c r="AL25" s="1128">
        <f t="shared" si="8"/>
        <v>6244169.3457876332</v>
      </c>
      <c r="AM25" s="1128">
        <f t="shared" si="8"/>
        <v>5953259.6885070456</v>
      </c>
      <c r="AN25" s="1128">
        <f t="shared" si="8"/>
        <v>5953259.6885070456</v>
      </c>
      <c r="AO25" s="1128">
        <f t="shared" si="8"/>
        <v>5953259.6885070456</v>
      </c>
      <c r="AP25" s="1128">
        <f t="shared" si="8"/>
        <v>-5594244.3374845386</v>
      </c>
      <c r="AQ25" s="1128">
        <f t="shared" si="8"/>
        <v>-6042390.0663935989</v>
      </c>
      <c r="AR25" s="1128">
        <f t="shared" si="8"/>
        <v>-5594244.3374845386</v>
      </c>
      <c r="AS25" s="1128">
        <f t="shared" si="8"/>
        <v>-5771433.7817327501</v>
      </c>
      <c r="AT25" s="1128">
        <f t="shared" si="8"/>
        <v>-6219020.055819748</v>
      </c>
      <c r="AU25" s="1128">
        <f t="shared" si="8"/>
        <v>-157813.13681774645</v>
      </c>
      <c r="AV25" s="1128">
        <f t="shared" si="8"/>
        <v>-165102.09635133191</v>
      </c>
      <c r="AW25" s="1128">
        <f t="shared" si="8"/>
        <v>-145194.23697633191</v>
      </c>
      <c r="AX25" s="1128">
        <f t="shared" si="8"/>
        <v>161.53655600719503</v>
      </c>
      <c r="AY25" s="1128">
        <f t="shared" si="8"/>
        <v>460.20776579293306</v>
      </c>
      <c r="AZ25" s="1128">
        <f t="shared" si="8"/>
        <v>460.20776579293306</v>
      </c>
      <c r="BA25" s="1128">
        <f t="shared" si="8"/>
        <v>460.20776579293306</v>
      </c>
      <c r="BB25" s="1020"/>
      <c r="BC25" s="1067">
        <f>SUM(BC10:BC24)</f>
        <v>460.20776579293306</v>
      </c>
      <c r="BD25" s="1067">
        <f>SUM(BD10:BD24)</f>
        <v>12.110730678761342</v>
      </c>
      <c r="BE25" s="1013"/>
      <c r="BF25" s="1013"/>
      <c r="BG25" s="1047"/>
      <c r="BH25" s="1009"/>
      <c r="BI25" s="1009"/>
      <c r="BJ25" s="1013">
        <v>0</v>
      </c>
      <c r="BK25" s="1009"/>
      <c r="BL25" s="1009"/>
      <c r="BM25" s="1009">
        <v>6666010185</v>
      </c>
      <c r="BN25" s="1009"/>
    </row>
    <row r="26" spans="1:66" x14ac:dyDescent="0.3">
      <c r="A26" s="1009"/>
      <c r="B26" s="1009"/>
      <c r="C26" s="1009"/>
      <c r="D26" s="1009"/>
      <c r="E26" s="1009"/>
      <c r="F26" s="1009"/>
      <c r="G26" s="1009"/>
      <c r="H26" s="1027"/>
      <c r="I26" s="1027"/>
      <c r="J26" s="1027"/>
      <c r="K26" s="1027"/>
      <c r="L26" s="1027"/>
      <c r="M26" s="1027"/>
      <c r="N26" s="1009"/>
      <c r="O26" s="1009"/>
      <c r="P26" s="1009"/>
      <c r="Q26" s="1009"/>
      <c r="R26" s="1009">
        <f>R25/R1</f>
        <v>106579.9953758522</v>
      </c>
      <c r="S26" s="1009">
        <f t="shared" ref="S26:AC26" si="9">S25/S1</f>
        <v>112971.48558975951</v>
      </c>
      <c r="T26" s="1009">
        <f t="shared" si="9"/>
        <v>102642.52545680378</v>
      </c>
      <c r="U26" s="1009">
        <f t="shared" si="9"/>
        <v>104328.64647268644</v>
      </c>
      <c r="V26" s="1009">
        <f t="shared" si="9"/>
        <v>110758.1698651679</v>
      </c>
      <c r="W26" s="1009">
        <f t="shared" si="9"/>
        <v>107627.26490257862</v>
      </c>
      <c r="X26" s="1009">
        <f t="shared" si="9"/>
        <v>100464.1135110785</v>
      </c>
      <c r="Y26" s="1009">
        <f t="shared" si="9"/>
        <v>101535.26503530081</v>
      </c>
      <c r="Z26" s="1009">
        <f t="shared" si="9"/>
        <v>106971.8760847841</v>
      </c>
      <c r="AA26" s="1009">
        <f t="shared" si="9"/>
        <v>100228.9107818811</v>
      </c>
      <c r="AB26" s="1009">
        <f t="shared" si="9"/>
        <v>98505.072021504762</v>
      </c>
      <c r="AC26" s="1009">
        <f t="shared" si="9"/>
        <v>96810.881593616461</v>
      </c>
      <c r="AD26" s="1043">
        <f t="shared" ref="AD26" si="10">AD25/57</f>
        <v>0</v>
      </c>
      <c r="AE26" s="1009"/>
      <c r="AF26" s="1047">
        <v>8066097.0099999998</v>
      </c>
      <c r="AG26" s="1009">
        <v>97882.45224232084</v>
      </c>
      <c r="AH26" s="1009">
        <v>176974.26403583362</v>
      </c>
      <c r="AI26" s="1043">
        <f>AI25/SAP_ACT_EUR!H3</f>
        <v>109843.88144472017</v>
      </c>
      <c r="AJ26" s="1043">
        <f>AJ25/SAP_ACT_EUR!I3</f>
        <v>101294.83893124702</v>
      </c>
      <c r="AK26" s="1043">
        <f>AK25/SAP_ACT_EUR!J3</f>
        <v>101876.14670384185</v>
      </c>
      <c r="AL26" s="1043">
        <f>AL25/SAP_ACT_EUR!K3</f>
        <v>109106.57602284875</v>
      </c>
      <c r="AM26" s="1043">
        <f>AM25/SAP_ACT_EUR!L3</f>
        <v>102316.05548693042</v>
      </c>
      <c r="AN26" s="1043">
        <f>AN25/SAP_ACT_EUR!M3</f>
        <v>100663.84322805287</v>
      </c>
      <c r="AO26" s="1043">
        <f>AO25/SAP_ACT_EUR!N3</f>
        <v>99064.143248307606</v>
      </c>
      <c r="AP26" s="1043"/>
      <c r="AQ26" s="1043"/>
      <c r="AR26" s="1043"/>
      <c r="AS26" s="1043"/>
      <c r="AT26" s="1043"/>
      <c r="AU26" s="1043"/>
      <c r="AV26" s="1043"/>
      <c r="AW26" s="1043"/>
      <c r="AX26" s="1043"/>
      <c r="AY26" s="1043"/>
      <c r="AZ26" s="1043"/>
      <c r="BA26" s="1043"/>
      <c r="BB26" s="1020"/>
      <c r="BC26" s="1043">
        <f>BC25/38</f>
        <v>12.110730678761396</v>
      </c>
      <c r="BD26" s="1009"/>
      <c r="BE26" s="1009"/>
      <c r="BF26" s="1009"/>
      <c r="BG26" s="1009"/>
      <c r="BH26" s="1009"/>
      <c r="BI26" s="1013"/>
      <c r="BJ26" s="1009"/>
      <c r="BK26" s="1009"/>
      <c r="BL26" s="1009"/>
      <c r="BM26" s="1009">
        <v>6666010196</v>
      </c>
      <c r="BN26" s="1009"/>
    </row>
    <row r="27" spans="1:66" x14ac:dyDescent="0.3">
      <c r="A27" s="1009"/>
      <c r="B27" s="1009"/>
      <c r="C27" s="1009"/>
      <c r="D27" s="1009"/>
      <c r="E27" s="1009"/>
      <c r="F27" s="1009"/>
      <c r="G27" s="1009"/>
      <c r="H27" s="1009"/>
      <c r="I27" s="1009"/>
      <c r="J27" s="1009"/>
      <c r="K27" s="1009"/>
      <c r="L27" s="1009"/>
      <c r="M27" s="1009"/>
      <c r="N27" s="1009"/>
      <c r="O27" s="1009"/>
      <c r="P27" s="1009"/>
      <c r="Q27" s="1009"/>
      <c r="R27" s="1027">
        <f>'Budget assumption'!B216*1000</f>
        <v>106579.9953758522</v>
      </c>
      <c r="S27" s="1027">
        <f>'Budget assumption'!C216*1000</f>
        <v>112971.48558975951</v>
      </c>
      <c r="T27" s="1027">
        <f>'Budget assumption'!D216*1000</f>
        <v>102642.52545680378</v>
      </c>
      <c r="U27" s="1027">
        <f>'Budget assumption'!E216*1000</f>
        <v>104328.64647268645</v>
      </c>
      <c r="V27" s="1027">
        <f>'Budget assumption'!F216*1000</f>
        <v>110758.1698651679</v>
      </c>
      <c r="W27" s="1027">
        <f>'Budget assumption'!G216*1000</f>
        <v>107627.26490257862</v>
      </c>
      <c r="X27" s="1027">
        <f>'Budget assumption'!H216*1000</f>
        <v>100464.11351107851</v>
      </c>
      <c r="Y27" s="1027">
        <f>'Budget assumption'!I216*1000</f>
        <v>101535.26503530082</v>
      </c>
      <c r="Z27" s="1027">
        <f>'Budget assumption'!J216*1000</f>
        <v>106971.87608478409</v>
      </c>
      <c r="AA27" s="1027">
        <f>'Budget assumption'!K216*1000</f>
        <v>100228.9107818811</v>
      </c>
      <c r="AB27" s="1027">
        <f>'Budget assumption'!L216*1000</f>
        <v>98505.072021504762</v>
      </c>
      <c r="AC27" s="1027">
        <f>'Budget assumption'!M216*1000</f>
        <v>96810.881593616461</v>
      </c>
      <c r="AD27" s="1009"/>
      <c r="AE27" s="1013"/>
      <c r="AF27" s="1013">
        <f>AF26-AF25</f>
        <v>8066097.0099999998</v>
      </c>
      <c r="AG27" s="1013">
        <v>-55737.127757679176</v>
      </c>
      <c r="AH27" s="1013">
        <v>-167622.60596416632</v>
      </c>
      <c r="AI27" s="1013">
        <f>SAP_ACT_EUR!H112-'FL '!AI26</f>
        <v>85189.04855527982</v>
      </c>
      <c r="AJ27" s="1013">
        <f>SAP_ACT_EUR!I112-'FL '!AJ26</f>
        <v>0</v>
      </c>
      <c r="AK27" s="1013">
        <f>SAP_ACT_EUR!J112-'FL '!AK26</f>
        <v>0</v>
      </c>
      <c r="AL27" s="1013">
        <f>SAP_ACT_EUR!K112-'FL '!AL26</f>
        <v>0</v>
      </c>
      <c r="AM27" s="1013">
        <f>SAP_ACT_EUR!L112-'FL '!AM26</f>
        <v>0</v>
      </c>
      <c r="AN27" s="1013">
        <f>SAP_ACT_EUR!M112-'FL '!AN26</f>
        <v>0</v>
      </c>
      <c r="AO27" s="1013">
        <f>SAP_ACT_EUR!N112-'FL '!AO26</f>
        <v>0</v>
      </c>
      <c r="AP27" s="1027">
        <f>SUM(AP10:AP24)</f>
        <v>-5594244.3374845386</v>
      </c>
      <c r="AQ27" s="1013">
        <f t="shared" ref="AQ27:BA27" si="11">SUM(AQ10:AQ24)</f>
        <v>-6042390.0663935989</v>
      </c>
      <c r="AR27" s="1013">
        <f t="shared" si="11"/>
        <v>-5594244.3374845386</v>
      </c>
      <c r="AS27" s="1013">
        <f t="shared" si="11"/>
        <v>-5771433.7817327501</v>
      </c>
      <c r="AT27" s="1013">
        <f t="shared" si="11"/>
        <v>-6219020.055819748</v>
      </c>
      <c r="AU27" s="1013">
        <f t="shared" si="11"/>
        <v>-157813.13681774645</v>
      </c>
      <c r="AV27" s="1013">
        <f t="shared" si="11"/>
        <v>-165102.09635133191</v>
      </c>
      <c r="AW27" s="1013">
        <f t="shared" si="11"/>
        <v>-145194.23697633191</v>
      </c>
      <c r="AX27" s="1013">
        <f t="shared" si="11"/>
        <v>161.53655600719503</v>
      </c>
      <c r="AY27" s="1013">
        <f t="shared" si="11"/>
        <v>460.20776579293306</v>
      </c>
      <c r="AZ27" s="1013">
        <f t="shared" si="11"/>
        <v>460.20776579293306</v>
      </c>
      <c r="BA27" s="1013">
        <f t="shared" si="11"/>
        <v>460.20776579293306</v>
      </c>
      <c r="BB27" s="1009"/>
      <c r="BC27" s="1009"/>
      <c r="BD27" s="1009"/>
      <c r="BE27" s="1009"/>
      <c r="BF27" s="1009"/>
      <c r="BG27" s="1009"/>
      <c r="BH27" s="1009"/>
      <c r="BI27" s="1009"/>
      <c r="BJ27" s="1009"/>
      <c r="BK27" s="1009"/>
      <c r="BL27" s="1009"/>
      <c r="BM27" s="1009">
        <v>6666010199</v>
      </c>
      <c r="BN27" s="1009"/>
    </row>
    <row r="28" spans="1:66" x14ac:dyDescent="0.3">
      <c r="A28" s="1009"/>
      <c r="B28" s="1009"/>
      <c r="C28" s="1009"/>
      <c r="D28" s="1009"/>
      <c r="E28" s="1009"/>
      <c r="F28" s="1009"/>
      <c r="G28" s="1009"/>
      <c r="H28" s="1027"/>
      <c r="I28" s="1027"/>
      <c r="J28" s="1027"/>
      <c r="K28" s="1119">
        <f>547/1318</f>
        <v>0.41502276176024278</v>
      </c>
      <c r="L28" s="1119"/>
      <c r="M28" s="1119"/>
      <c r="N28" s="1009"/>
      <c r="O28" s="1009"/>
      <c r="P28" s="1009"/>
      <c r="Q28" s="1009" t="s">
        <v>1008</v>
      </c>
      <c r="R28" s="1027">
        <f>R27-R26</f>
        <v>0</v>
      </c>
      <c r="S28" s="1027">
        <f t="shared" ref="S28:AC28" si="12">S27-S26</f>
        <v>0</v>
      </c>
      <c r="T28" s="1027">
        <f t="shared" si="12"/>
        <v>0</v>
      </c>
      <c r="U28" s="1027">
        <f t="shared" si="12"/>
        <v>0</v>
      </c>
      <c r="V28" s="1027">
        <f t="shared" si="12"/>
        <v>0</v>
      </c>
      <c r="W28" s="1027">
        <f t="shared" si="12"/>
        <v>0</v>
      </c>
      <c r="X28" s="1027">
        <f t="shared" si="12"/>
        <v>0</v>
      </c>
      <c r="Y28" s="1027">
        <f t="shared" si="12"/>
        <v>0</v>
      </c>
      <c r="Z28" s="1027">
        <f t="shared" si="12"/>
        <v>0</v>
      </c>
      <c r="AA28" s="1027">
        <f t="shared" si="12"/>
        <v>0</v>
      </c>
      <c r="AB28" s="1027">
        <f t="shared" si="12"/>
        <v>0</v>
      </c>
      <c r="AC28" s="1027">
        <f t="shared" si="12"/>
        <v>0</v>
      </c>
      <c r="AD28" s="1027"/>
      <c r="AE28" s="1027"/>
      <c r="AF28" s="1027"/>
      <c r="AG28" s="1027">
        <v>5133826.46</v>
      </c>
      <c r="AH28" s="1027"/>
      <c r="AI28" s="1027"/>
      <c r="AJ28" s="1027"/>
      <c r="AK28" s="1027"/>
      <c r="AL28" s="1027"/>
      <c r="AM28" s="1027"/>
      <c r="AN28" s="1027"/>
      <c r="AO28" s="1027"/>
      <c r="AP28" s="1027">
        <f>AP27/45</f>
        <v>-124316.54083298975</v>
      </c>
      <c r="AQ28" s="1027">
        <f t="shared" ref="AQ28:AT28" si="13">AQ27/45</f>
        <v>-134275.33480874664</v>
      </c>
      <c r="AR28" s="1027">
        <f>AR27/45</f>
        <v>-124316.54083298975</v>
      </c>
      <c r="AS28" s="1027">
        <f t="shared" si="13"/>
        <v>-128254.08403850556</v>
      </c>
      <c r="AT28" s="1027">
        <f t="shared" si="13"/>
        <v>-138200.44568488328</v>
      </c>
      <c r="AU28" s="1027">
        <f>AU27/W1</f>
        <v>-2769.050802680395</v>
      </c>
      <c r="AV28" s="1027">
        <f t="shared" ref="AV28:BA28" si="14">AV27/X1</f>
        <v>-2873.9540946058264</v>
      </c>
      <c r="AW28" s="1027">
        <f t="shared" si="14"/>
        <v>-2507.356493423732</v>
      </c>
      <c r="AX28" s="1027">
        <f t="shared" si="14"/>
        <v>2.7674322294755225</v>
      </c>
      <c r="AY28" s="1027">
        <f t="shared" si="14"/>
        <v>7.7486438520259071</v>
      </c>
      <c r="AZ28" s="1027">
        <f t="shared" si="14"/>
        <v>7.615374793145854</v>
      </c>
      <c r="BA28" s="1027">
        <f t="shared" si="14"/>
        <v>7.4843978311015755</v>
      </c>
      <c r="BB28" s="1009"/>
      <c r="BC28" s="1061">
        <v>248.49508727522789</v>
      </c>
      <c r="BD28" s="1009"/>
      <c r="BE28" s="1009"/>
      <c r="BF28" s="1009"/>
      <c r="BG28" s="1009"/>
      <c r="BH28" s="1009"/>
      <c r="BI28" s="1009"/>
      <c r="BJ28" s="1009"/>
      <c r="BK28" s="1009"/>
      <c r="BL28" s="1009"/>
      <c r="BM28" s="1009">
        <v>6666010207</v>
      </c>
      <c r="BN28" s="1009"/>
    </row>
    <row r="29" spans="1:66" x14ac:dyDescent="0.3">
      <c r="Q29" s="1009"/>
      <c r="R29" s="1009"/>
      <c r="S29" s="1009"/>
      <c r="T29" s="1009"/>
      <c r="U29" s="1009"/>
      <c r="V29" s="1009"/>
      <c r="W29" s="1009"/>
      <c r="X29" s="1009"/>
      <c r="Y29" s="1009"/>
      <c r="Z29" s="1009"/>
      <c r="AA29" s="1009"/>
      <c r="AB29" s="1009"/>
      <c r="AC29" s="1009"/>
      <c r="AD29" s="1009"/>
      <c r="AE29" s="1009"/>
      <c r="AF29" s="1009"/>
      <c r="AG29" s="1043">
        <f>AG28-AG25</f>
        <v>5133826.46</v>
      </c>
      <c r="AH29" s="1027">
        <v>9483773.5500000007</v>
      </c>
      <c r="AI29" s="1027">
        <v>7170740.5853606192</v>
      </c>
      <c r="AJ29" s="1027">
        <v>7627208.3365679327</v>
      </c>
      <c r="AK29" s="1027">
        <v>7627208.3365679327</v>
      </c>
      <c r="AL29" s="1027">
        <v>8290070.611635224</v>
      </c>
      <c r="AM29" s="1027">
        <v>7916291.4205306377</v>
      </c>
      <c r="AN29" s="1027">
        <v>7916291.4205306377</v>
      </c>
      <c r="AO29" s="1027">
        <v>7916291.4205306377</v>
      </c>
      <c r="AP29" s="1009"/>
      <c r="AQ29" s="1009"/>
      <c r="AR29" s="1027"/>
      <c r="AS29" s="1027"/>
      <c r="AT29" s="1027"/>
      <c r="AU29" s="1027"/>
      <c r="AV29" s="1027"/>
      <c r="AW29" s="1027"/>
      <c r="AX29" s="1027"/>
      <c r="AY29" s="1027"/>
      <c r="AZ29" s="1027"/>
      <c r="BA29" s="1027"/>
      <c r="BC29" s="8"/>
      <c r="BD29" s="8"/>
      <c r="BF29" s="1009"/>
      <c r="BG29" s="1009"/>
      <c r="BH29" s="1009"/>
      <c r="BI29" s="1009"/>
      <c r="BJ29" s="1009"/>
      <c r="BK29" s="1009"/>
      <c r="BL29" s="1009"/>
      <c r="BM29">
        <v>6666010227</v>
      </c>
    </row>
    <row r="30" spans="1:66" hidden="1" x14ac:dyDescent="0.3">
      <c r="Q30" s="1009"/>
      <c r="R30" s="1009"/>
      <c r="S30" s="1009"/>
      <c r="T30" s="1009"/>
      <c r="U30" s="1009"/>
      <c r="V30" s="1009"/>
      <c r="W30" s="1009"/>
      <c r="X30" s="1009"/>
      <c r="Y30" s="1009"/>
      <c r="Z30" s="1009"/>
      <c r="AA30" s="1009"/>
      <c r="AB30" s="1009"/>
      <c r="AC30" s="1009"/>
      <c r="AD30" s="1009"/>
      <c r="AE30" s="1009"/>
      <c r="AF30" s="1009"/>
      <c r="AG30" s="1009"/>
      <c r="AP30" s="107"/>
      <c r="BF30" s="1009"/>
      <c r="BG30" s="1009"/>
      <c r="BH30" s="1009"/>
      <c r="BI30" s="1009"/>
      <c r="BJ30" s="1009"/>
      <c r="BK30" s="1009"/>
      <c r="BL30" s="1009"/>
    </row>
    <row r="31" spans="1:66" hidden="1" x14ac:dyDescent="0.3">
      <c r="R31" s="1009"/>
      <c r="S31" s="1009"/>
      <c r="T31" s="1009"/>
      <c r="U31" s="1009"/>
      <c r="V31" s="1009"/>
      <c r="W31" s="1009"/>
      <c r="X31" s="1009"/>
      <c r="Y31" s="1009"/>
      <c r="Z31" s="1009"/>
      <c r="AA31" s="1009"/>
      <c r="AB31" s="1009"/>
      <c r="AC31" s="1009"/>
      <c r="AD31" s="1009"/>
      <c r="AE31" s="1009"/>
      <c r="AF31" s="1009"/>
      <c r="AG31" s="1009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C31" s="8"/>
      <c r="BF31" s="1009"/>
      <c r="BG31" s="1009"/>
      <c r="BH31" s="1009"/>
      <c r="BI31" s="1009"/>
      <c r="BJ31" s="1009"/>
      <c r="BK31" s="1009"/>
      <c r="BL31" s="1009"/>
    </row>
    <row r="32" spans="1:66" hidden="1" x14ac:dyDescent="0.3">
      <c r="R32" s="1009"/>
      <c r="S32" s="1009"/>
      <c r="T32" s="1009"/>
      <c r="U32" s="1009"/>
      <c r="V32" s="1009"/>
      <c r="W32" s="1009"/>
      <c r="X32" s="1009"/>
      <c r="Y32" s="1009"/>
      <c r="Z32" s="1009"/>
      <c r="AA32" s="1009"/>
      <c r="AB32" s="1009"/>
      <c r="AC32" s="1009"/>
      <c r="AD32" s="1009"/>
      <c r="AE32" s="1009"/>
      <c r="AF32" s="1009"/>
      <c r="AG32" s="1009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D32" s="103"/>
      <c r="BF32" s="1009"/>
      <c r="BG32" s="1009"/>
      <c r="BH32" s="1009"/>
      <c r="BI32" s="1009"/>
      <c r="BJ32" s="1009"/>
      <c r="BK32" s="1009"/>
      <c r="BL32" s="1009"/>
    </row>
    <row r="33" spans="18:64" hidden="1" x14ac:dyDescent="0.3">
      <c r="R33" s="1009"/>
      <c r="S33" s="1009"/>
      <c r="T33" s="1009"/>
      <c r="U33" s="1009"/>
      <c r="V33" s="1009"/>
      <c r="W33" s="1009"/>
      <c r="X33" s="1009"/>
      <c r="Y33" s="1009"/>
      <c r="Z33" s="1009"/>
      <c r="AA33" s="1009"/>
      <c r="AB33" s="1009"/>
      <c r="AC33" s="1009"/>
      <c r="AD33" s="1009"/>
      <c r="AE33" s="1009"/>
      <c r="AF33" s="1009"/>
      <c r="AG33" s="1009"/>
      <c r="AH33" s="35"/>
      <c r="AI33" s="35"/>
      <c r="AU33" s="35"/>
      <c r="BF33" s="1009"/>
      <c r="BG33" s="1009"/>
      <c r="BH33" s="1009"/>
      <c r="BI33" s="1009"/>
      <c r="BJ33" s="1009"/>
      <c r="BK33" s="1009"/>
      <c r="BL33" s="1009"/>
    </row>
    <row r="34" spans="18:64" hidden="1" x14ac:dyDescent="0.3">
      <c r="R34" s="1009"/>
      <c r="S34" s="1009"/>
      <c r="T34" s="1009"/>
      <c r="U34" s="1009"/>
      <c r="V34" s="1009"/>
      <c r="W34" s="1009"/>
      <c r="X34" s="1009"/>
      <c r="Y34" s="1009"/>
      <c r="Z34" s="1009"/>
      <c r="AA34" s="1009"/>
      <c r="AB34" s="1009"/>
      <c r="AC34" s="1009"/>
      <c r="AD34" s="1009"/>
      <c r="AE34" s="1009"/>
      <c r="AF34" s="1009"/>
      <c r="AG34" s="1009"/>
      <c r="BF34" s="1009"/>
      <c r="BG34" s="1009"/>
      <c r="BH34" s="1009"/>
      <c r="BI34" s="1009"/>
      <c r="BJ34" s="1009"/>
      <c r="BK34" s="1009"/>
      <c r="BL34" s="1009"/>
    </row>
    <row r="35" spans="18:64" hidden="1" x14ac:dyDescent="0.3">
      <c r="R35" s="1009"/>
      <c r="S35" s="1009"/>
      <c r="T35" s="1009"/>
      <c r="U35" s="1009"/>
      <c r="V35" s="1009"/>
      <c r="W35" s="1009"/>
      <c r="X35" s="1009"/>
      <c r="Y35" s="1009"/>
      <c r="Z35" s="1009"/>
      <c r="AA35" s="1009"/>
      <c r="AB35" s="1009"/>
      <c r="AC35" s="1009"/>
      <c r="AD35" s="1009"/>
      <c r="AE35" s="1009"/>
      <c r="AF35" s="1009"/>
      <c r="AG35" s="1009"/>
      <c r="BF35" s="1009"/>
      <c r="BG35" s="1009"/>
      <c r="BH35" s="1009"/>
      <c r="BI35" s="1009"/>
      <c r="BJ35" s="1009"/>
      <c r="BK35" s="1009"/>
      <c r="BL35" s="1009"/>
    </row>
    <row r="36" spans="18:64" hidden="1" x14ac:dyDescent="0.3">
      <c r="R36" s="1009"/>
      <c r="S36" s="1009"/>
      <c r="T36" s="1009"/>
      <c r="U36" s="1009"/>
      <c r="V36" s="1009"/>
      <c r="W36" s="1009"/>
      <c r="X36" s="1009"/>
      <c r="Y36" s="1009"/>
      <c r="Z36" s="1009"/>
      <c r="AA36" s="1009"/>
      <c r="AB36" s="1009"/>
      <c r="AC36" s="1009"/>
      <c r="AD36" s="1009"/>
      <c r="AE36" s="1009"/>
      <c r="AF36" s="1009"/>
      <c r="AG36" s="1009"/>
      <c r="BF36" s="1009"/>
      <c r="BG36" s="1009"/>
      <c r="BH36" s="1009"/>
      <c r="BI36" s="1009"/>
      <c r="BJ36" s="1009"/>
      <c r="BK36" s="1009"/>
      <c r="BL36" s="1009"/>
    </row>
    <row r="37" spans="18:64" hidden="1" x14ac:dyDescent="0.3">
      <c r="R37" s="1009"/>
      <c r="S37" s="1009"/>
      <c r="T37" s="1009"/>
      <c r="U37" s="1009"/>
      <c r="V37" s="1009"/>
      <c r="W37" s="1009"/>
      <c r="X37" s="1009"/>
      <c r="Y37" s="1009"/>
      <c r="Z37" s="1009"/>
      <c r="AA37" s="1009"/>
      <c r="AB37" s="1009"/>
      <c r="AC37" s="1009"/>
      <c r="AD37" s="1009"/>
      <c r="AE37" s="1009"/>
      <c r="AF37" s="1009"/>
      <c r="AG37" s="1009"/>
      <c r="BF37" s="1009"/>
      <c r="BG37" s="1009"/>
      <c r="BH37" s="1009"/>
      <c r="BI37" s="1009"/>
      <c r="BJ37" s="1009"/>
      <c r="BK37" s="1009"/>
      <c r="BL37" s="1009"/>
    </row>
    <row r="38" spans="18:64" hidden="1" x14ac:dyDescent="0.3">
      <c r="R38" s="1009"/>
      <c r="S38" s="1009"/>
      <c r="T38" s="1009"/>
      <c r="U38" s="1009"/>
      <c r="V38" s="1009"/>
      <c r="W38" s="1009"/>
      <c r="X38" s="1009"/>
      <c r="Y38" s="1009"/>
      <c r="Z38" s="1009"/>
      <c r="AA38" s="1009"/>
      <c r="AB38" s="1009"/>
      <c r="AC38" s="1009"/>
      <c r="AD38" s="1009"/>
      <c r="AE38" s="1009"/>
      <c r="AF38" s="1009"/>
      <c r="AG38" s="1009"/>
      <c r="BF38" s="1009"/>
      <c r="BG38" s="1009"/>
      <c r="BH38" s="1009"/>
      <c r="BI38" s="1009"/>
      <c r="BJ38" s="1009"/>
      <c r="BK38" s="1009"/>
      <c r="BL38" s="1009"/>
    </row>
    <row r="39" spans="18:64" hidden="1" x14ac:dyDescent="0.3">
      <c r="R39" s="1009"/>
      <c r="S39" s="1009"/>
      <c r="T39" s="1009"/>
      <c r="U39" s="1009"/>
      <c r="V39" s="1009"/>
      <c r="W39" s="1009"/>
      <c r="X39" s="1009"/>
      <c r="Y39" s="1009"/>
      <c r="Z39" s="1009"/>
      <c r="AA39" s="1009"/>
      <c r="AB39" s="1009"/>
      <c r="AC39" s="1009"/>
      <c r="AD39" s="1009"/>
      <c r="AE39" s="1009"/>
      <c r="AF39" s="1009"/>
      <c r="AG39" s="1009"/>
      <c r="BF39" s="1009"/>
      <c r="BG39" s="1009"/>
      <c r="BH39" s="1009"/>
      <c r="BI39" s="1009"/>
      <c r="BJ39" s="1009"/>
      <c r="BK39" s="1009"/>
      <c r="BL39" s="1009"/>
    </row>
    <row r="40" spans="18:64" hidden="1" x14ac:dyDescent="0.3">
      <c r="R40" s="1009"/>
      <c r="S40" s="1009"/>
      <c r="T40" s="1009"/>
      <c r="U40" s="1009"/>
      <c r="V40" s="1009"/>
      <c r="W40" s="1009"/>
      <c r="X40" s="1009"/>
      <c r="Y40" s="1009"/>
      <c r="Z40" s="1009"/>
      <c r="AA40" s="1009"/>
      <c r="AB40" s="1009"/>
      <c r="AC40" s="1009"/>
      <c r="AD40" s="1009"/>
      <c r="AE40" s="1009"/>
      <c r="AF40" s="1009"/>
      <c r="AG40" s="1009"/>
    </row>
    <row r="41" spans="18:64" hidden="1" x14ac:dyDescent="0.3"/>
    <row r="42" spans="18:64" hidden="1" x14ac:dyDescent="0.3"/>
    <row r="43" spans="18:64" hidden="1" x14ac:dyDescent="0.3"/>
    <row r="44" spans="18:64" hidden="1" x14ac:dyDescent="0.3"/>
    <row r="45" spans="18:64" hidden="1" x14ac:dyDescent="0.3"/>
    <row r="46" spans="18:64" hidden="1" x14ac:dyDescent="0.3"/>
    <row r="47" spans="18:64" hidden="1" x14ac:dyDescent="0.3"/>
    <row r="48" spans="18:64" hidden="1" x14ac:dyDescent="0.3"/>
    <row r="49" spans="18:41" x14ac:dyDescent="0.3"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G49" s="8"/>
      <c r="AH49" s="103">
        <f>AH29-AH25</f>
        <v>9483773.5500000007</v>
      </c>
      <c r="AI49" s="8">
        <f t="shared" ref="AI49:AO49" si="15">AI29-AI25</f>
        <v>1194684.2153606191</v>
      </c>
      <c r="AJ49" s="8">
        <f t="shared" si="15"/>
        <v>2020876.6511865146</v>
      </c>
      <c r="AK49" s="8">
        <f t="shared" si="15"/>
        <v>1892769.8321865145</v>
      </c>
      <c r="AL49" s="8">
        <f t="shared" si="15"/>
        <v>2045901.2658475908</v>
      </c>
      <c r="AM49" s="8">
        <f t="shared" si="15"/>
        <v>1963031.7320235921</v>
      </c>
      <c r="AN49" s="8">
        <f t="shared" si="15"/>
        <v>1963031.7320235921</v>
      </c>
      <c r="AO49" s="8">
        <f t="shared" si="15"/>
        <v>1963031.7320235921</v>
      </c>
    </row>
    <row r="50" spans="18:41" x14ac:dyDescent="0.3"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H50" s="107"/>
    </row>
    <row r="51" spans="18:41" x14ac:dyDescent="0.3"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H51" s="107"/>
      <c r="AK51" s="105"/>
      <c r="AL51" s="105"/>
      <c r="AM51" s="105"/>
      <c r="AN51" s="35"/>
    </row>
    <row r="52" spans="18:41" x14ac:dyDescent="0.3">
      <c r="R52" s="70"/>
      <c r="S52" s="70" t="s">
        <v>803</v>
      </c>
      <c r="T52" s="70" t="s">
        <v>804</v>
      </c>
      <c r="U52" s="70" t="s">
        <v>805</v>
      </c>
      <c r="V52" s="70" t="s">
        <v>806</v>
      </c>
      <c r="W52" s="70" t="s">
        <v>807</v>
      </c>
      <c r="X52" s="70" t="s">
        <v>808</v>
      </c>
      <c r="Y52" s="70" t="s">
        <v>809</v>
      </c>
      <c r="Z52" s="70" t="s">
        <v>810</v>
      </c>
      <c r="AA52" s="70" t="s">
        <v>811</v>
      </c>
      <c r="AB52" s="70" t="s">
        <v>812</v>
      </c>
      <c r="AC52" s="70" t="s">
        <v>813</v>
      </c>
      <c r="AD52" s="70" t="s">
        <v>814</v>
      </c>
      <c r="AH52" s="107"/>
      <c r="AJ52" s="8"/>
      <c r="AK52" s="105"/>
      <c r="AL52" s="105"/>
      <c r="AM52" s="105"/>
      <c r="AN52" s="107"/>
      <c r="AO52" s="107"/>
    </row>
    <row r="53" spans="18:41" x14ac:dyDescent="0.3">
      <c r="R53" s="1105" t="s">
        <v>545</v>
      </c>
      <c r="S53" s="129" t="s">
        <v>961</v>
      </c>
      <c r="T53" s="129" t="s">
        <v>961</v>
      </c>
      <c r="U53" s="129" t="s">
        <v>961</v>
      </c>
      <c r="V53" s="129" t="s">
        <v>961</v>
      </c>
      <c r="W53" s="129" t="s">
        <v>961</v>
      </c>
      <c r="X53" s="129" t="s">
        <v>961</v>
      </c>
      <c r="Y53" s="129" t="s">
        <v>961</v>
      </c>
      <c r="Z53" s="129" t="s">
        <v>961</v>
      </c>
      <c r="AA53" s="129" t="s">
        <v>961</v>
      </c>
      <c r="AB53" s="129" t="s">
        <v>961</v>
      </c>
      <c r="AC53" s="129" t="s">
        <v>961</v>
      </c>
      <c r="AD53" s="129" t="s">
        <v>961</v>
      </c>
      <c r="AH53" s="107"/>
      <c r="AJ53" s="8"/>
      <c r="AK53" s="105"/>
      <c r="AL53" s="105"/>
      <c r="AM53" s="105"/>
    </row>
    <row r="54" spans="18:41" x14ac:dyDescent="0.3">
      <c r="R54" s="70" t="s">
        <v>962</v>
      </c>
      <c r="S54" s="150">
        <f>'HC 2026'!C20</f>
        <v>25.5</v>
      </c>
      <c r="T54" s="150">
        <f>'HC 2026'!D20</f>
        <v>25.5</v>
      </c>
      <c r="U54" s="150">
        <f>'HC 2026'!E20</f>
        <v>25.5</v>
      </c>
      <c r="V54" s="150">
        <f>'HC 2026'!F20</f>
        <v>24.7</v>
      </c>
      <c r="W54" s="150">
        <f>'HC 2026'!G20</f>
        <v>24.7</v>
      </c>
      <c r="X54" s="150">
        <f>'HC 2026'!H20</f>
        <v>24.7</v>
      </c>
      <c r="Y54" s="150">
        <f>'HC 2026'!I20</f>
        <v>25.5</v>
      </c>
      <c r="Z54" s="150">
        <f>'HC 2026'!J20</f>
        <v>26.5</v>
      </c>
      <c r="AA54" s="150">
        <f>'HC 2026'!K20</f>
        <v>26.5</v>
      </c>
      <c r="AB54" s="150">
        <f>'HC 2026'!L20</f>
        <v>26.5</v>
      </c>
      <c r="AC54" s="150">
        <f>'HC 2026'!M20</f>
        <v>26.5</v>
      </c>
      <c r="AD54" s="150">
        <f>'HC 2026'!N20</f>
        <v>26.5</v>
      </c>
      <c r="AH54" s="107"/>
      <c r="AJ54" s="8"/>
      <c r="AK54" s="105"/>
      <c r="AL54" s="105"/>
      <c r="AM54" s="105"/>
    </row>
    <row r="55" spans="18:41" x14ac:dyDescent="0.3">
      <c r="R55" s="70" t="s">
        <v>963</v>
      </c>
      <c r="S55" s="1108">
        <f>'HC 2026'!C49</f>
        <v>26.5</v>
      </c>
      <c r="T55" s="1108">
        <f>'HC 2026'!D49</f>
        <v>26.5</v>
      </c>
      <c r="U55" s="1108">
        <f>'HC 2026'!E49</f>
        <v>26.5</v>
      </c>
      <c r="V55" s="1108">
        <f>'HC 2026'!F49</f>
        <v>26.5</v>
      </c>
      <c r="W55" s="1108">
        <f>'HC 2026'!G49</f>
        <v>26.5</v>
      </c>
      <c r="X55" s="1108">
        <f>'HC 2026'!H49</f>
        <v>26.5</v>
      </c>
      <c r="Y55" s="1108">
        <f>'HC 2026'!I49</f>
        <v>26.5</v>
      </c>
      <c r="Z55" s="1108">
        <f>'HC 2026'!J49</f>
        <v>27.5</v>
      </c>
      <c r="AA55" s="1108">
        <f>'HC 2026'!K49</f>
        <v>27.5</v>
      </c>
      <c r="AB55" s="1108">
        <f>'HC 2026'!L49</f>
        <v>27.5</v>
      </c>
      <c r="AC55" s="1108">
        <f>'HC 2026'!M49</f>
        <v>27.5</v>
      </c>
      <c r="AD55" s="1108">
        <f>'HC 2026'!N49</f>
        <v>27.5</v>
      </c>
      <c r="AH55" s="107"/>
      <c r="AK55" s="105"/>
      <c r="AL55" s="105"/>
      <c r="AM55" s="105"/>
    </row>
    <row r="56" spans="18:41" x14ac:dyDescent="0.3">
      <c r="R56" s="70" t="s">
        <v>896</v>
      </c>
      <c r="S56" s="150">
        <f t="shared" ref="S56:AD56" si="16">R10/S55</f>
        <v>155610.54829775155</v>
      </c>
      <c r="T56" s="150">
        <f>S10/T55</f>
        <v>169658.36529699684</v>
      </c>
      <c r="U56" s="150">
        <f t="shared" si="16"/>
        <v>155610.54829775155</v>
      </c>
      <c r="V56" s="150">
        <f t="shared" si="16"/>
        <v>160811.97688445533</v>
      </c>
      <c r="W56" s="150">
        <f t="shared" si="16"/>
        <v>174859.79388370062</v>
      </c>
      <c r="X56" s="150">
        <f t="shared" si="16"/>
        <v>172184.46519992704</v>
      </c>
      <c r="Y56" s="150">
        <f t="shared" si="16"/>
        <v>160811.97688445533</v>
      </c>
      <c r="Z56" s="150">
        <f t="shared" si="16"/>
        <v>158898.77625683878</v>
      </c>
      <c r="AA56" s="150">
        <f t="shared" si="16"/>
        <v>170002.25857829332</v>
      </c>
      <c r="AB56" s="150">
        <f t="shared" si="16"/>
        <v>161128.33192229332</v>
      </c>
      <c r="AC56" s="150">
        <f t="shared" si="16"/>
        <v>161128.33192229332</v>
      </c>
      <c r="AD56" s="150">
        <f t="shared" si="16"/>
        <v>161128.33192229332</v>
      </c>
      <c r="AE56" s="107"/>
      <c r="AF56" s="107"/>
      <c r="AK56" s="105"/>
      <c r="AL56" s="105"/>
      <c r="AM56" s="105"/>
    </row>
    <row r="57" spans="18:41" x14ac:dyDescent="0.3">
      <c r="R57" s="70" t="s">
        <v>898</v>
      </c>
      <c r="S57" s="1108">
        <f t="shared" ref="S57:AD57" si="17">AD10/S54</f>
        <v>0</v>
      </c>
      <c r="T57" s="1108">
        <f t="shared" si="17"/>
        <v>0</v>
      </c>
      <c r="U57" s="1108">
        <f t="shared" si="17"/>
        <v>0</v>
      </c>
      <c r="V57" s="1108">
        <f>AG10/V54</f>
        <v>0</v>
      </c>
      <c r="W57" s="1108">
        <f t="shared" si="17"/>
        <v>0</v>
      </c>
      <c r="X57" s="1108">
        <f t="shared" si="17"/>
        <v>183603.01659919028</v>
      </c>
      <c r="Y57" s="1108">
        <f t="shared" si="17"/>
        <v>162390.83435498364</v>
      </c>
      <c r="Z57" s="1108">
        <f t="shared" si="17"/>
        <v>161097.09792649371</v>
      </c>
      <c r="AA57" s="1108">
        <f t="shared" si="17"/>
        <v>177072.78948649371</v>
      </c>
      <c r="AB57" s="1108">
        <f t="shared" si="17"/>
        <v>167863.99767366351</v>
      </c>
      <c r="AC57" s="1108">
        <f t="shared" si="17"/>
        <v>167863.99767366351</v>
      </c>
      <c r="AD57" s="1108">
        <f t="shared" si="17"/>
        <v>167863.99767366351</v>
      </c>
      <c r="AE57" s="1043"/>
      <c r="AF57" s="1043"/>
      <c r="AK57" s="105"/>
      <c r="AL57" s="105"/>
      <c r="AM57" s="105"/>
    </row>
    <row r="58" spans="18:41" x14ac:dyDescent="0.3">
      <c r="R58" s="70"/>
      <c r="S58" s="1021"/>
      <c r="T58" s="1021"/>
      <c r="U58" s="1021"/>
      <c r="V58" s="1021"/>
      <c r="W58" s="1021"/>
      <c r="X58" s="1021"/>
      <c r="Y58" s="1109"/>
      <c r="Z58" s="1109"/>
      <c r="AA58" s="1109"/>
      <c r="AB58" s="1109"/>
      <c r="AC58" s="1109"/>
      <c r="AD58" s="1109"/>
      <c r="AK58" s="105"/>
      <c r="AL58" s="105"/>
      <c r="AM58" s="105"/>
    </row>
    <row r="59" spans="18:41" x14ac:dyDescent="0.3">
      <c r="R59" s="70" t="s">
        <v>899</v>
      </c>
      <c r="S59" s="1109">
        <f>(S57-S56)*S54</f>
        <v>-3968068.9815926645</v>
      </c>
      <c r="T59" s="1109">
        <f>(T57-T56)*T54</f>
        <v>-4326288.3150734194</v>
      </c>
      <c r="U59" s="1109">
        <f t="shared" ref="U59:AD59" si="18">(U57-U56)*U54</f>
        <v>-3968068.9815926645</v>
      </c>
      <c r="V59" s="1109">
        <f>(V57-V56)*V54</f>
        <v>-3972055.8290460468</v>
      </c>
      <c r="W59" s="1109">
        <f t="shared" si="18"/>
        <v>-4319036.9089274053</v>
      </c>
      <c r="X59" s="1109">
        <f t="shared" si="18"/>
        <v>282038.21956180187</v>
      </c>
      <c r="Y59" s="1109">
        <f>(Y57-Y56)*Y54</f>
        <v>40260.865498471903</v>
      </c>
      <c r="Z59" s="1109">
        <f t="shared" si="18"/>
        <v>58255.524245855398</v>
      </c>
      <c r="AA59" s="1109">
        <f t="shared" si="18"/>
        <v>187369.06906731048</v>
      </c>
      <c r="AB59" s="1109">
        <f t="shared" si="18"/>
        <v>178495.14241131014</v>
      </c>
      <c r="AC59" s="1109">
        <f>(AC57-AC56)*AC54</f>
        <v>178495.14241131014</v>
      </c>
      <c r="AD59" s="1109">
        <f t="shared" si="18"/>
        <v>178495.14241131014</v>
      </c>
    </row>
    <row r="60" spans="18:41" x14ac:dyDescent="0.3">
      <c r="R60" s="70" t="s">
        <v>900</v>
      </c>
      <c r="S60" s="1109"/>
      <c r="T60" s="1109"/>
      <c r="U60" s="1109"/>
      <c r="V60" s="1109">
        <v>54746.693682866746</v>
      </c>
      <c r="W60" s="1109">
        <v>62593.539174263686</v>
      </c>
      <c r="X60" s="1109">
        <f>X59/W1</f>
        <v>4948.752518404629</v>
      </c>
      <c r="Y60" s="1109">
        <f t="shared" ref="Y60:AD60" si="19">Y59/X1</f>
        <v>700.8262269758535</v>
      </c>
      <c r="Z60" s="1109">
        <f t="shared" si="19"/>
        <v>1006.013530822574</v>
      </c>
      <c r="AA60" s="1109">
        <f t="shared" si="19"/>
        <v>3209.9929165297062</v>
      </c>
      <c r="AB60" s="1109">
        <f t="shared" si="19"/>
        <v>3005.371466252484</v>
      </c>
      <c r="AC60" s="1109">
        <f t="shared" si="19"/>
        <v>2953.6820307149719</v>
      </c>
      <c r="AD60" s="1109">
        <f t="shared" si="19"/>
        <v>2902.8816026682766</v>
      </c>
      <c r="AG60" s="105"/>
    </row>
    <row r="61" spans="18:41" x14ac:dyDescent="0.3">
      <c r="R61" s="70" t="s">
        <v>964</v>
      </c>
      <c r="S61" s="1109">
        <f>(S54-S55)*S56</f>
        <v>-155610.54829775155</v>
      </c>
      <c r="T61" s="1109">
        <f>(T54-T55)*T56</f>
        <v>-169658.36529699684</v>
      </c>
      <c r="U61" s="1109">
        <f t="shared" ref="U61:AD61" si="20">(U54-U55)*U56</f>
        <v>-155610.54829775155</v>
      </c>
      <c r="V61" s="1109">
        <f>(V54-V55)*V56</f>
        <v>-289461.55839201971</v>
      </c>
      <c r="W61" s="1109">
        <f t="shared" si="20"/>
        <v>-314747.62899066124</v>
      </c>
      <c r="X61" s="1109">
        <f t="shared" si="20"/>
        <v>-309932.03735986882</v>
      </c>
      <c r="Y61" s="1109">
        <f t="shared" si="20"/>
        <v>-160811.97688445533</v>
      </c>
      <c r="Z61" s="1109">
        <f t="shared" si="20"/>
        <v>-158898.77625683878</v>
      </c>
      <c r="AA61" s="1109">
        <f t="shared" si="20"/>
        <v>-170002.25857829332</v>
      </c>
      <c r="AB61" s="1109">
        <f t="shared" si="20"/>
        <v>-161128.33192229332</v>
      </c>
      <c r="AC61" s="1109">
        <f t="shared" si="20"/>
        <v>-161128.33192229332</v>
      </c>
      <c r="AD61" s="1109">
        <f t="shared" si="20"/>
        <v>-161128.33192229332</v>
      </c>
    </row>
    <row r="62" spans="18:41" x14ac:dyDescent="0.3">
      <c r="R62" s="1105" t="s">
        <v>965</v>
      </c>
      <c r="S62" s="1093">
        <f>S61/45</f>
        <v>-3458.0121843944789</v>
      </c>
      <c r="T62" s="1093">
        <f t="shared" ref="T62:U62" si="21">T61/45</f>
        <v>-3770.1858954888185</v>
      </c>
      <c r="U62" s="1093">
        <f t="shared" si="21"/>
        <v>-3458.0121843944789</v>
      </c>
      <c r="V62" s="1093">
        <v>-22673.69060266588</v>
      </c>
      <c r="W62" s="1093">
        <v>-24004.944443283825</v>
      </c>
      <c r="X62" s="1093">
        <f>X61/W1</f>
        <v>-5438.1883164697756</v>
      </c>
      <c r="Y62" s="1093">
        <f t="shared" ref="Y62:AD62" si="22">Y61/X1</f>
        <v>-2799.2754158933458</v>
      </c>
      <c r="Z62" s="1093">
        <f t="shared" si="22"/>
        <v>-2744.0199193967674</v>
      </c>
      <c r="AA62" s="1093">
        <f t="shared" si="22"/>
        <v>-2912.4660145177618</v>
      </c>
      <c r="AB62" s="1093">
        <f t="shared" si="22"/>
        <v>-2712.9617345454194</v>
      </c>
      <c r="AC62" s="1093">
        <f t="shared" si="22"/>
        <v>-2666.3014590126968</v>
      </c>
      <c r="AD62" s="1093">
        <f t="shared" si="22"/>
        <v>-2620.4436943613728</v>
      </c>
    </row>
    <row r="63" spans="18:41" x14ac:dyDescent="0.3">
      <c r="R63" s="1105" t="s">
        <v>1009</v>
      </c>
      <c r="S63" s="632">
        <f t="shared" ref="S63" si="23">SUM(AP20,AP16,AP17,AP18,AP19)/45</f>
        <v>-27187.155595142001</v>
      </c>
      <c r="T63" s="632">
        <v>-6320.4183701911643</v>
      </c>
      <c r="U63" s="632">
        <v>-2970.2137811937846</v>
      </c>
      <c r="V63" s="632">
        <v>-8999.3191178184516</v>
      </c>
      <c r="W63" s="632">
        <v>-923.31841054536744</v>
      </c>
      <c r="X63" s="632">
        <f>(AI20-W20)/W1</f>
        <v>-3637.9462917091764</v>
      </c>
      <c r="Y63" s="632">
        <f t="shared" ref="Y63:AD63" si="24">(AJ20-X20)/X1</f>
        <v>-763.21039294584875</v>
      </c>
      <c r="Z63" s="632">
        <f t="shared" si="24"/>
        <v>-757.15316760500866</v>
      </c>
      <c r="AA63" s="632">
        <f t="shared" si="24"/>
        <v>-371.44553709567555</v>
      </c>
      <c r="AB63" s="632">
        <f t="shared" si="24"/>
        <v>-360.02823017760852</v>
      </c>
      <c r="AC63" s="632">
        <f t="shared" si="24"/>
        <v>-353.83609845465207</v>
      </c>
      <c r="AD63" s="632">
        <f t="shared" si="24"/>
        <v>-347.75046531169733</v>
      </c>
      <c r="AG63" s="8"/>
    </row>
    <row r="65" spans="18:34" x14ac:dyDescent="0.3">
      <c r="R65" s="1012"/>
    </row>
    <row r="66" spans="18:34" x14ac:dyDescent="0.3">
      <c r="R66" s="1012"/>
      <c r="AH66">
        <f>6*3000</f>
        <v>18000</v>
      </c>
    </row>
    <row r="67" spans="18:34" x14ac:dyDescent="0.3">
      <c r="R67" s="1012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H67">
        <v>6000</v>
      </c>
    </row>
    <row r="69" spans="18:34" x14ac:dyDescent="0.3">
      <c r="R69" s="70" t="s">
        <v>903</v>
      </c>
      <c r="S69" s="150">
        <f>AP27/57</f>
        <v>-98144.637499728749</v>
      </c>
      <c r="T69" s="150">
        <v>-12343.334343753988</v>
      </c>
      <c r="U69" s="150">
        <v>-690.11405895173516</v>
      </c>
      <c r="V69" s="150">
        <v>-60666.259011155642</v>
      </c>
      <c r="W69" s="150">
        <v>10651.292587780397</v>
      </c>
      <c r="X69" s="150">
        <f>AU28</f>
        <v>-2769.050802680395</v>
      </c>
      <c r="Y69" s="150">
        <f t="shared" ref="Y69:AD69" si="25">AV28</f>
        <v>-2873.9540946058264</v>
      </c>
      <c r="Z69" s="150">
        <f t="shared" si="25"/>
        <v>-2507.356493423732</v>
      </c>
      <c r="AA69" s="150">
        <f t="shared" si="25"/>
        <v>2.7674322294755225</v>
      </c>
      <c r="AB69" s="150">
        <f t="shared" si="25"/>
        <v>7.7486438520259071</v>
      </c>
      <c r="AC69" s="150">
        <f t="shared" si="25"/>
        <v>7.615374793145854</v>
      </c>
      <c r="AD69" s="150">
        <f t="shared" si="25"/>
        <v>7.4843978311015755</v>
      </c>
    </row>
    <row r="70" spans="18:34" x14ac:dyDescent="0.3">
      <c r="R70" s="70" t="s">
        <v>904</v>
      </c>
      <c r="S70" s="632">
        <v>16074.900192356183</v>
      </c>
      <c r="T70" s="632">
        <v>-7195.3716101950249</v>
      </c>
      <c r="U70" s="632">
        <v>9947.9341042914202</v>
      </c>
      <c r="V70" s="632">
        <v>-70526.309072883814</v>
      </c>
      <c r="W70" s="632">
        <v>16923.593965408629</v>
      </c>
      <c r="X70" s="632">
        <f>'data entry '!G158*1000</f>
        <v>3973.3650974213788</v>
      </c>
      <c r="Y70" s="632">
        <f>'data entry '!H158*1000</f>
        <v>830.72542016849127</v>
      </c>
      <c r="Z70" s="632">
        <f>'data entry '!I158*1000</f>
        <v>340.88166854104429</v>
      </c>
      <c r="AA70" s="632">
        <f>'data entry '!J158*1000</f>
        <v>2134.6999380646421</v>
      </c>
      <c r="AB70" s="632">
        <f>'data entry '!K158*1000</f>
        <v>2087.1447050493261</v>
      </c>
      <c r="AC70" s="632">
        <f>'data entry '!L158*1000</f>
        <v>2158.7712065480955</v>
      </c>
      <c r="AD70" s="632">
        <f>'data entry '!M158*1000</f>
        <v>2253.261654691144</v>
      </c>
    </row>
    <row r="71" spans="18:34" x14ac:dyDescent="0.3">
      <c r="R71" s="70" t="s">
        <v>881</v>
      </c>
      <c r="S71" s="150">
        <v>415.88310309897633</v>
      </c>
      <c r="T71" s="150">
        <v>0</v>
      </c>
      <c r="U71" s="150">
        <v>309190.72000000003</v>
      </c>
      <c r="V71" s="150">
        <v>7972.1679901706857</v>
      </c>
      <c r="W71" s="150">
        <v>19772.420613925726</v>
      </c>
      <c r="X71" s="150">
        <f>AI26-AI25/W$1</f>
        <v>4985.6673448219517</v>
      </c>
      <c r="Y71" s="150">
        <f t="shared" ref="Y71:AD71" si="26">AJ26-AJ25/X$1</f>
        <v>3704.6795147743687</v>
      </c>
      <c r="Z71" s="150">
        <f t="shared" si="26"/>
        <v>2848.2381619647786</v>
      </c>
      <c r="AA71" s="150">
        <f t="shared" si="26"/>
        <v>2131.9325058351824</v>
      </c>
      <c r="AB71" s="150">
        <f t="shared" si="26"/>
        <v>2079.3960611973016</v>
      </c>
      <c r="AC71" s="150">
        <f t="shared" si="26"/>
        <v>2151.1558317549643</v>
      </c>
      <c r="AD71" s="150">
        <f t="shared" si="26"/>
        <v>2245.7772568600485</v>
      </c>
    </row>
    <row r="72" spans="18:34" x14ac:dyDescent="0.3">
      <c r="R72" s="70" t="s">
        <v>871</v>
      </c>
      <c r="S72" s="1093"/>
      <c r="T72" s="1093"/>
      <c r="U72" s="1093"/>
      <c r="V72" s="1093"/>
      <c r="W72" s="1093"/>
      <c r="X72" s="1093"/>
      <c r="Y72" s="1093"/>
      <c r="Z72" s="1093"/>
      <c r="AA72" s="1093"/>
      <c r="AB72" s="1093"/>
      <c r="AC72" s="1093"/>
      <c r="AD72" s="1093"/>
    </row>
    <row r="73" spans="18:34" x14ac:dyDescent="0.3">
      <c r="S73" s="107">
        <f>S70-S69</f>
        <v>114219.53769208494</v>
      </c>
      <c r="T73" s="107">
        <f t="shared" ref="T73:AC73" si="27">T70-T69</f>
        <v>5147.962733558963</v>
      </c>
      <c r="U73" s="107">
        <f t="shared" si="27"/>
        <v>10638.048163243155</v>
      </c>
      <c r="V73" s="107">
        <f t="shared" si="27"/>
        <v>-9860.0500617281723</v>
      </c>
      <c r="W73" s="107">
        <f t="shared" si="27"/>
        <v>6272.3013776282314</v>
      </c>
      <c r="X73" s="107">
        <f t="shared" si="27"/>
        <v>6742.4159001017742</v>
      </c>
      <c r="Y73" s="107">
        <f t="shared" si="27"/>
        <v>3704.6795147743178</v>
      </c>
      <c r="Z73" s="107">
        <f t="shared" si="27"/>
        <v>2848.2381619647763</v>
      </c>
      <c r="AA73" s="107">
        <f t="shared" si="27"/>
        <v>2131.9325058351665</v>
      </c>
      <c r="AB73" s="107">
        <f t="shared" si="27"/>
        <v>2079.3960611973002</v>
      </c>
      <c r="AC73" s="107">
        <f t="shared" si="27"/>
        <v>2151.1558317549498</v>
      </c>
      <c r="AD73" s="107" t="s">
        <v>905</v>
      </c>
    </row>
    <row r="74" spans="18:34" x14ac:dyDescent="0.3">
      <c r="S74" s="107">
        <f>S73-S71</f>
        <v>113803.65458898596</v>
      </c>
      <c r="T74" s="107">
        <f t="shared" ref="T74:AC74" si="28">T73-T71</f>
        <v>5147.962733558963</v>
      </c>
      <c r="U74" s="107">
        <f t="shared" si="28"/>
        <v>-298552.67183675687</v>
      </c>
      <c r="V74" s="107">
        <f t="shared" si="28"/>
        <v>-17832.218051898857</v>
      </c>
      <c r="W74" s="107">
        <f t="shared" si="28"/>
        <v>-13500.119236297494</v>
      </c>
      <c r="X74" s="107">
        <f t="shared" si="28"/>
        <v>1756.7485552798225</v>
      </c>
      <c r="Y74" s="107">
        <f t="shared" si="28"/>
        <v>-5.0931703299283981E-11</v>
      </c>
      <c r="Z74" s="107">
        <f t="shared" si="28"/>
        <v>0</v>
      </c>
      <c r="AA74" s="107">
        <f t="shared" si="28"/>
        <v>-1.5916157281026244E-11</v>
      </c>
      <c r="AB74" s="107">
        <f t="shared" si="28"/>
        <v>0</v>
      </c>
      <c r="AC74" s="107">
        <f t="shared" si="28"/>
        <v>-1.4551915228366852E-11</v>
      </c>
      <c r="AD74" s="107" t="s">
        <v>905</v>
      </c>
    </row>
    <row r="75" spans="18:34" x14ac:dyDescent="0.3">
      <c r="R75" s="70"/>
      <c r="S75" s="70" t="s">
        <v>803</v>
      </c>
      <c r="T75" s="70" t="s">
        <v>804</v>
      </c>
      <c r="U75" s="70" t="s">
        <v>805</v>
      </c>
      <c r="V75" s="70" t="s">
        <v>806</v>
      </c>
      <c r="W75" s="70" t="s">
        <v>807</v>
      </c>
      <c r="X75" s="70" t="s">
        <v>808</v>
      </c>
      <c r="Y75" s="70" t="s">
        <v>809</v>
      </c>
      <c r="Z75" s="70" t="s">
        <v>810</v>
      </c>
      <c r="AA75" s="70" t="s">
        <v>811</v>
      </c>
      <c r="AB75" s="70" t="s">
        <v>812</v>
      </c>
      <c r="AC75" s="70" t="s">
        <v>813</v>
      </c>
      <c r="AD75" s="70" t="s">
        <v>814</v>
      </c>
    </row>
    <row r="76" spans="18:34" x14ac:dyDescent="0.3">
      <c r="R76" s="129" t="s">
        <v>422</v>
      </c>
      <c r="S76" s="150"/>
      <c r="T76" s="150">
        <v>0</v>
      </c>
      <c r="U76" s="150">
        <v>0</v>
      </c>
      <c r="V76" s="150">
        <v>0</v>
      </c>
      <c r="W76" s="150">
        <v>0</v>
      </c>
      <c r="X76" s="150">
        <f>'ACE 2026'!G50</f>
        <v>0</v>
      </c>
      <c r="Y76" s="150">
        <f>'ACE 2026'!H50</f>
        <v>0</v>
      </c>
      <c r="Z76" s="150">
        <f>'ACE 2026'!I50</f>
        <v>0</v>
      </c>
      <c r="AA76" s="150">
        <f>'ACE 2026'!J50</f>
        <v>0</v>
      </c>
      <c r="AB76" s="150">
        <f>'ACE 2026'!K50</f>
        <v>0</v>
      </c>
      <c r="AC76" s="150">
        <f>'ACE 2026'!L50</f>
        <v>0</v>
      </c>
      <c r="AD76" s="150">
        <f>'ACE 2026'!M50</f>
        <v>0</v>
      </c>
    </row>
    <row r="77" spans="18:34" x14ac:dyDescent="0.3">
      <c r="R77" s="129" t="s">
        <v>47</v>
      </c>
      <c r="S77" s="1093"/>
      <c r="T77" s="1093"/>
      <c r="U77" s="1093"/>
      <c r="V77" s="1093"/>
      <c r="W77" s="1093"/>
      <c r="X77" s="1093"/>
      <c r="Y77" s="1093"/>
      <c r="Z77" s="1093"/>
      <c r="AA77" s="1093"/>
      <c r="AB77" s="1093"/>
      <c r="AC77" s="1093"/>
      <c r="AD77" s="1093"/>
    </row>
    <row r="78" spans="18:34" x14ac:dyDescent="0.3">
      <c r="R78" s="129" t="s">
        <v>600</v>
      </c>
      <c r="S78" s="1093">
        <f>S60</f>
        <v>0</v>
      </c>
      <c r="T78" s="1093">
        <f>((T60))+-7.82072578130169</f>
        <v>-7.8207257813016904</v>
      </c>
      <c r="U78" s="1093">
        <f>((U60))+151.212652723487</f>
        <v>151.212652723487</v>
      </c>
      <c r="V78" s="1093">
        <f>V60</f>
        <v>54746.693682866746</v>
      </c>
      <c r="W78" s="1093">
        <f>(((W60)))+-541.776453509283</f>
        <v>62051.762720754399</v>
      </c>
      <c r="X78" s="1093">
        <f>((((X60))))+-12.3928688443898</f>
        <v>4936.3596495602387</v>
      </c>
      <c r="Y78" s="1093">
        <f>((((Y60))))+-12.2945127425361</f>
        <v>688.53171423331742</v>
      </c>
      <c r="Z78" s="1093">
        <f>((((Z60))))+-12.1969372445324</f>
        <v>993.81659357804165</v>
      </c>
      <c r="AA78" s="1093">
        <f>((((AA60))))+76.686067313191</f>
        <v>3286.6789838428972</v>
      </c>
      <c r="AB78" s="1093">
        <f>((((AB60))))+75.3671423225683</f>
        <v>3080.7386085750522</v>
      </c>
      <c r="AC78" s="1093">
        <f>((((AC60))))+74.0709015455081</f>
        <v>3027.7529322604801</v>
      </c>
      <c r="AD78" s="1093">
        <f>((((AD60))))+72.7969548358892</f>
        <v>2975.6785575041658</v>
      </c>
    </row>
    <row r="79" spans="18:34" x14ac:dyDescent="0.3">
      <c r="R79" s="129" t="s">
        <v>599</v>
      </c>
      <c r="S79" s="632">
        <f>S63+S62</f>
        <v>-30645.167779536481</v>
      </c>
      <c r="T79" s="632">
        <f t="shared" ref="T79:AD79" si="29">T63+T62</f>
        <v>-10090.604265679984</v>
      </c>
      <c r="U79" s="632">
        <f t="shared" si="29"/>
        <v>-6428.2259655882635</v>
      </c>
      <c r="V79" s="632">
        <f>V63+V62</f>
        <v>-31673.009720484333</v>
      </c>
      <c r="W79" s="632">
        <f t="shared" si="29"/>
        <v>-24928.26285382919</v>
      </c>
      <c r="X79" s="632">
        <f>X63+X62</f>
        <v>-9076.1346081789525</v>
      </c>
      <c r="Y79" s="632">
        <f t="shared" si="29"/>
        <v>-3562.4858088391948</v>
      </c>
      <c r="Z79" s="632">
        <f t="shared" si="29"/>
        <v>-3501.1730870017759</v>
      </c>
      <c r="AA79" s="632">
        <f t="shared" si="29"/>
        <v>-3283.9115516134375</v>
      </c>
      <c r="AB79" s="632">
        <f t="shared" si="29"/>
        <v>-3072.9899647230277</v>
      </c>
      <c r="AC79" s="632">
        <f t="shared" si="29"/>
        <v>-3020.1375574673489</v>
      </c>
      <c r="AD79" s="632">
        <f t="shared" si="29"/>
        <v>-2968.1941596730703</v>
      </c>
    </row>
    <row r="80" spans="18:34" x14ac:dyDescent="0.3">
      <c r="R80" s="129" t="s">
        <v>906</v>
      </c>
      <c r="S80" s="1093">
        <f>S71</f>
        <v>415.88310309897633</v>
      </c>
      <c r="T80" s="1093">
        <f t="shared" ref="T80:AD81" si="30">T71</f>
        <v>0</v>
      </c>
      <c r="U80" s="1093">
        <f t="shared" si="30"/>
        <v>309190.72000000003</v>
      </c>
      <c r="V80" s="1093">
        <f t="shared" si="30"/>
        <v>7972.1679901706857</v>
      </c>
      <c r="W80" s="1093">
        <f t="shared" si="30"/>
        <v>19772.420613925726</v>
      </c>
      <c r="X80" s="1093">
        <f>X71</f>
        <v>4985.6673448219517</v>
      </c>
      <c r="Y80" s="1093">
        <f t="shared" si="30"/>
        <v>3704.6795147743687</v>
      </c>
      <c r="Z80" s="1093">
        <f t="shared" si="30"/>
        <v>2848.2381619647786</v>
      </c>
      <c r="AA80" s="1093">
        <f t="shared" si="30"/>
        <v>2131.9325058351824</v>
      </c>
      <c r="AB80" s="1093">
        <f t="shared" si="30"/>
        <v>2079.3960611973016</v>
      </c>
      <c r="AC80" s="1093">
        <f t="shared" si="30"/>
        <v>2151.1558317549643</v>
      </c>
      <c r="AD80" s="1093">
        <f t="shared" si="30"/>
        <v>2245.7772568600485</v>
      </c>
    </row>
    <row r="81" spans="18:30" x14ac:dyDescent="0.3">
      <c r="R81" s="129" t="s">
        <v>892</v>
      </c>
      <c r="S81" s="1093">
        <f>S72</f>
        <v>0</v>
      </c>
      <c r="T81" s="1093">
        <f t="shared" si="30"/>
        <v>0</v>
      </c>
      <c r="U81" s="1093">
        <f t="shared" si="30"/>
        <v>0</v>
      </c>
      <c r="V81" s="1093">
        <f t="shared" si="30"/>
        <v>0</v>
      </c>
      <c r="W81" s="1093">
        <f t="shared" si="30"/>
        <v>0</v>
      </c>
      <c r="X81" s="1093">
        <f>X72</f>
        <v>0</v>
      </c>
      <c r="Y81" s="1093">
        <f t="shared" si="30"/>
        <v>0</v>
      </c>
      <c r="Z81" s="1093">
        <f t="shared" si="30"/>
        <v>0</v>
      </c>
      <c r="AA81" s="1093">
        <f t="shared" si="30"/>
        <v>0</v>
      </c>
      <c r="AB81" s="1093">
        <f t="shared" si="30"/>
        <v>0</v>
      </c>
      <c r="AC81" s="1093">
        <f t="shared" si="30"/>
        <v>0</v>
      </c>
      <c r="AD81" s="1093">
        <f t="shared" si="30"/>
        <v>0</v>
      </c>
    </row>
    <row r="82" spans="18:30" x14ac:dyDescent="0.3">
      <c r="R82" s="129" t="s">
        <v>907</v>
      </c>
      <c r="S82" s="1093">
        <f>S70-SUM(S76:S81)</f>
        <v>46304.184868793687</v>
      </c>
      <c r="T82" s="1093">
        <f t="shared" ref="T82:AD82" si="31">T70-SUM(T76:T81)</f>
        <v>2903.0533812662597</v>
      </c>
      <c r="U82" s="1093">
        <f t="shared" si="31"/>
        <v>-292965.77258284384</v>
      </c>
      <c r="V82" s="1093">
        <f t="shared" si="31"/>
        <v>-101572.16102543692</v>
      </c>
      <c r="W82" s="1093">
        <f t="shared" si="31"/>
        <v>-39972.326515442313</v>
      </c>
      <c r="X82" s="1093">
        <f>X70-SUM(X76:X81)</f>
        <v>3127.4727112181408</v>
      </c>
      <c r="Y82" s="1093">
        <f t="shared" si="31"/>
        <v>0</v>
      </c>
      <c r="Z82" s="1093">
        <f t="shared" si="31"/>
        <v>0</v>
      </c>
      <c r="AA82" s="1093">
        <f t="shared" si="31"/>
        <v>0</v>
      </c>
      <c r="AB82" s="1093">
        <f t="shared" si="31"/>
        <v>0</v>
      </c>
      <c r="AC82" s="1093">
        <f t="shared" si="31"/>
        <v>0</v>
      </c>
      <c r="AD82" s="1093">
        <f t="shared" si="31"/>
        <v>0</v>
      </c>
    </row>
    <row r="84" spans="18:30" x14ac:dyDescent="0.3">
      <c r="X84">
        <f>3000*7</f>
        <v>21000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BG5:BJ5"/>
  </mergeCells>
  <conditionalFormatting sqref="AE27:AO27 AQ27:BA27">
    <cfRule type="cellIs" dxfId="1" priority="2" operator="equal">
      <formula>0</formula>
    </cfRule>
  </conditionalFormatting>
  <conditionalFormatting sqref="AG27:AO27">
    <cfRule type="cellIs" dxfId="0" priority="1" operator="notEqual">
      <formula>0</formula>
    </cfRule>
  </conditionalFormatting>
  <pageMargins left="0.7" right="0.7" top="0.75" bottom="0.75" header="0.3" footer="0.3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768D7-A1EC-442B-9B4D-63300DC3337E}">
  <dimension ref="A1:Z97"/>
  <sheetViews>
    <sheetView zoomScale="80" zoomScaleNormal="80" workbookViewId="0">
      <selection activeCell="G9" sqref="G9:G13"/>
    </sheetView>
  </sheetViews>
  <sheetFormatPr defaultRowHeight="14.4" x14ac:dyDescent="0.3"/>
  <cols>
    <col min="1" max="1" width="34.33203125" bestFit="1" customWidth="1"/>
    <col min="2" max="5" width="8.88671875" customWidth="1"/>
  </cols>
  <sheetData>
    <row r="1" spans="1:26" x14ac:dyDescent="0.3">
      <c r="A1" t="s">
        <v>596</v>
      </c>
      <c r="B1" s="103">
        <v>52.488689999999991</v>
      </c>
      <c r="C1" s="103">
        <v>53.485975109999984</v>
      </c>
      <c r="D1" s="103">
        <v>54.502208637089979</v>
      </c>
      <c r="E1" s="103">
        <v>55.319741766646324</v>
      </c>
      <c r="F1" s="103">
        <v>56.149537893146011</v>
      </c>
      <c r="G1" s="103">
        <v>56.991780961543199</v>
      </c>
      <c r="H1" s="103">
        <v>57.447715209235547</v>
      </c>
      <c r="I1" s="103">
        <v>57.907296930909432</v>
      </c>
      <c r="J1" s="103">
        <v>58.370555306356707</v>
      </c>
      <c r="K1" s="103">
        <v>59.392040024217955</v>
      </c>
      <c r="L1" s="103">
        <v>60.431400724641776</v>
      </c>
      <c r="M1" s="103">
        <v>61.48895023732301</v>
      </c>
    </row>
    <row r="2" spans="1:26" x14ac:dyDescent="0.3">
      <c r="A2" t="s">
        <v>597</v>
      </c>
      <c r="B2" s="103"/>
      <c r="C2" s="103"/>
      <c r="D2" s="103"/>
      <c r="E2" s="103"/>
      <c r="F2" s="103"/>
      <c r="G2" s="103">
        <f>SAP_ACT_EUR!H3</f>
        <v>54.404999999999994</v>
      </c>
      <c r="H2" s="103">
        <f>SAP_ACT_EUR!I3</f>
        <v>55.346666666666664</v>
      </c>
      <c r="I2" s="103">
        <f>SAP_ACT_EUR!J3</f>
        <v>56.288333333333334</v>
      </c>
      <c r="J2" s="103">
        <f>SAP_ACT_EUR!K3</f>
        <v>57.23</v>
      </c>
      <c r="K2" s="103">
        <f>SAP_ACT_EUR!L3</f>
        <v>58.184999999999995</v>
      </c>
      <c r="L2" s="103">
        <f>SAP_ACT_EUR!M3</f>
        <v>59.139999999999993</v>
      </c>
      <c r="M2" s="103">
        <f>SAP_ACT_EUR!N3</f>
        <v>60.094999999999999</v>
      </c>
      <c r="N2">
        <f>AVERAGE(G2:M2)</f>
        <v>57.241428571428564</v>
      </c>
      <c r="S2">
        <v>54.811</v>
      </c>
      <c r="T2">
        <v>55.699666666666666</v>
      </c>
      <c r="U2">
        <v>56.588333333333331</v>
      </c>
      <c r="V2">
        <v>57.476999999999997</v>
      </c>
      <c r="W2">
        <v>58.333999999999996</v>
      </c>
      <c r="X2">
        <v>59.190999999999995</v>
      </c>
      <c r="Y2">
        <v>60.047999999999995</v>
      </c>
      <c r="Z2">
        <f>AVERAGE(S2:Y2)</f>
        <v>57.449857142857134</v>
      </c>
    </row>
    <row r="3" spans="1:26" x14ac:dyDescent="0.3">
      <c r="B3" s="609" t="s">
        <v>0</v>
      </c>
      <c r="C3" s="609" t="s">
        <v>1</v>
      </c>
      <c r="D3" s="609" t="s">
        <v>2</v>
      </c>
      <c r="E3" s="609" t="s">
        <v>3</v>
      </c>
      <c r="F3" s="609" t="s">
        <v>4</v>
      </c>
      <c r="G3" s="609" t="s">
        <v>5</v>
      </c>
      <c r="H3" s="609" t="s">
        <v>6</v>
      </c>
      <c r="I3" s="609" t="s">
        <v>7</v>
      </c>
      <c r="J3" s="609" t="s">
        <v>8</v>
      </c>
      <c r="K3" s="609" t="s">
        <v>9</v>
      </c>
      <c r="L3" s="609" t="s">
        <v>10</v>
      </c>
      <c r="M3" s="609" t="s">
        <v>11</v>
      </c>
      <c r="N3" s="609" t="s">
        <v>12</v>
      </c>
    </row>
    <row r="4" spans="1:26" x14ac:dyDescent="0.3">
      <c r="B4" s="756" t="s">
        <v>71</v>
      </c>
      <c r="C4" s="756" t="s">
        <v>71</v>
      </c>
      <c r="D4" s="756" t="s">
        <v>71</v>
      </c>
      <c r="E4" s="756" t="s">
        <v>71</v>
      </c>
      <c r="F4" s="756" t="s">
        <v>71</v>
      </c>
      <c r="G4" s="756" t="s">
        <v>71</v>
      </c>
      <c r="H4" s="756" t="s">
        <v>71</v>
      </c>
      <c r="I4" s="756" t="s">
        <v>71</v>
      </c>
      <c r="J4" s="756" t="s">
        <v>71</v>
      </c>
      <c r="K4" s="756" t="s">
        <v>71</v>
      </c>
      <c r="L4" s="756" t="s">
        <v>71</v>
      </c>
      <c r="M4" s="756" t="s">
        <v>71</v>
      </c>
      <c r="N4" s="756" t="s">
        <v>71</v>
      </c>
    </row>
    <row r="5" spans="1:26" x14ac:dyDescent="0.3">
      <c r="A5" s="961" t="s">
        <v>74</v>
      </c>
      <c r="B5" s="962">
        <v>5.3312814235904638</v>
      </c>
      <c r="C5" s="962">
        <v>-4.3449999999999998</v>
      </c>
      <c r="D5" s="962">
        <v>93</v>
      </c>
      <c r="E5" s="962">
        <v>15.885610479429999</v>
      </c>
      <c r="F5" s="962">
        <v>24.127724082199904</v>
      </c>
      <c r="G5" s="962">
        <f>'data entry '!G117-'data entry '!G117*'FX IMPACT'!G$2/'FX IMPACT'!G$1</f>
        <v>17.775727467299816</v>
      </c>
      <c r="H5" s="962">
        <f>'data entry '!H117-'data entry '!H117*'FX IMPACT'!H$2/'FX IMPACT'!H$1</f>
        <v>13.184113998846669</v>
      </c>
      <c r="I5" s="962">
        <f>'data entry '!I117-'data entry '!I117*'FX IMPACT'!I$2/'FX IMPACT'!I$1</f>
        <v>10.077251518351488</v>
      </c>
      <c r="J5" s="962">
        <f>'data entry '!J117-'data entry '!J117*'FX IMPACT'!J$2/'FX IMPACT'!J$1</f>
        <v>8.2513867532035192</v>
      </c>
      <c r="K5" s="962">
        <f>'data entry '!K117-'data entry '!K117*'FX IMPACT'!K$2/'FX IMPACT'!K$1</f>
        <v>11.232694332821666</v>
      </c>
      <c r="L5" s="962">
        <f>'data entry '!L117-'data entry '!L117*'FX IMPACT'!L$2/'FX IMPACT'!L$1</f>
        <v>9.9684619115318469</v>
      </c>
      <c r="M5" s="962">
        <f>'data entry '!M117-'data entry '!M117*'FX IMPACT'!M$2/'FX IMPACT'!M$1</f>
        <v>10.673511519358101</v>
      </c>
      <c r="N5" s="962">
        <f>SUM(F5:M5)</f>
        <v>105.29087158361301</v>
      </c>
      <c r="O5" s="963">
        <f>SUM(F5:M5)</f>
        <v>105.29087158361301</v>
      </c>
      <c r="P5" s="8">
        <v>149.61593434874214</v>
      </c>
      <c r="Q5" s="107">
        <f>O5-P5</f>
        <v>-44.325062765129132</v>
      </c>
    </row>
    <row r="6" spans="1:26" x14ac:dyDescent="0.3">
      <c r="A6" s="964" t="s">
        <v>75</v>
      </c>
      <c r="B6" s="965">
        <v>0.41774150477750327</v>
      </c>
      <c r="C6" s="965">
        <v>0.4</v>
      </c>
      <c r="D6" s="965">
        <v>1.1000000000000001</v>
      </c>
      <c r="E6" s="965">
        <v>1.5282519608461698</v>
      </c>
      <c r="F6" s="965">
        <v>1.1977015878490356</v>
      </c>
      <c r="G6" s="965">
        <f>'data entry '!G118-'data entry '!G118*'FX IMPACT'!G$2/'FX IMPACT'!G$1</f>
        <v>1.3008686957068534</v>
      </c>
      <c r="H6" s="965">
        <f>'data entry '!H118-'data entry '!H118*'FX IMPACT'!H$2/'FX IMPACT'!H$1</f>
        <v>1.1501555242635639</v>
      </c>
      <c r="I6" s="965">
        <f>'data entry '!I118-'data entry '!I118*'FX IMPACT'!I$2/'FX IMPACT'!I$1</f>
        <v>0.98195209351553103</v>
      </c>
      <c r="J6" s="965">
        <f>'data entry '!J118-'data entry '!J118*'FX IMPACT'!J$2/'FX IMPACT'!J$1</f>
        <v>0.72958139267310429</v>
      </c>
      <c r="K6" s="965">
        <f>'data entry '!K118-'data entry '!K118*'FX IMPACT'!K$2/'FX IMPACT'!K$1</f>
        <v>0.69597196706943265</v>
      </c>
      <c r="L6" s="965">
        <f>'data entry '!L118-'data entry '!L118*'FX IMPACT'!L$2/'FX IMPACT'!L$1</f>
        <v>0.8330497323996795</v>
      </c>
      <c r="M6" s="965">
        <f>'data entry '!M118-'data entry '!M118*'FX IMPACT'!M$2/'FX IMPACT'!M$1</f>
        <v>0.72902457489378847</v>
      </c>
      <c r="N6" s="965">
        <f t="shared" ref="N6:N33" si="0">SUM(F6:M6)</f>
        <v>7.6183055683709888</v>
      </c>
      <c r="O6" s="963">
        <f t="shared" ref="O6:O33" si="1">SUM(F6:M6)</f>
        <v>7.6183055683709888</v>
      </c>
      <c r="P6" s="8">
        <v>11.542586721574885</v>
      </c>
      <c r="Q6" s="107">
        <f t="shared" ref="Q6:Q14" si="2">O6-P6</f>
        <v>-3.9242811532038964</v>
      </c>
    </row>
    <row r="7" spans="1:26" x14ac:dyDescent="0.3">
      <c r="A7" s="964" t="s">
        <v>141</v>
      </c>
      <c r="B7" s="965">
        <v>0.25443126242624836</v>
      </c>
      <c r="C7" s="965"/>
      <c r="D7" s="965">
        <v>0.85</v>
      </c>
      <c r="E7" s="965">
        <v>0.75346165979241242</v>
      </c>
      <c r="F7" s="965">
        <v>0.61509655900613325</v>
      </c>
      <c r="G7" s="965">
        <f>'data entry '!G119-'data entry '!G119*'FX IMPACT'!G$2/'FX IMPACT'!G$1</f>
        <v>1.3110820535304875</v>
      </c>
      <c r="H7" s="965">
        <f>'data entry '!H119-'data entry '!H119*'FX IMPACT'!H$2/'FX IMPACT'!H$1</f>
        <v>0.47814285898638431</v>
      </c>
      <c r="I7" s="965">
        <f>'data entry '!I119-'data entry '!I119*'FX IMPACT'!I$2/'FX IMPACT'!I$1</f>
        <v>0.35787900547164142</v>
      </c>
      <c r="J7" s="965">
        <f>'data entry '!J119-'data entry '!J119*'FX IMPACT'!J$2/'FX IMPACT'!J$1</f>
        <v>0.34480262573923426</v>
      </c>
      <c r="K7" s="965">
        <f>'data entry '!K119-'data entry '!K119*'FX IMPACT'!K$2/'FX IMPACT'!K$1</f>
        <v>0.32579625819290037</v>
      </c>
      <c r="L7" s="965">
        <f>'data entry '!L119-'data entry '!L119*'FX IMPACT'!L$2/'FX IMPACT'!L$1</f>
        <v>0.35546037807352704</v>
      </c>
      <c r="M7" s="965">
        <f>'data entry '!M119-'data entry '!M119*'FX IMPACT'!M$2/'FX IMPACT'!M$1</f>
        <v>0.30582282993299792</v>
      </c>
      <c r="N7" s="965">
        <f t="shared" si="0"/>
        <v>4.094082568933306</v>
      </c>
      <c r="O7" s="963">
        <f t="shared" si="1"/>
        <v>4.094082568933306</v>
      </c>
      <c r="P7" s="8">
        <v>5.0479138971683888</v>
      </c>
      <c r="Q7" s="107">
        <f t="shared" si="2"/>
        <v>-0.95383132823508276</v>
      </c>
    </row>
    <row r="8" spans="1:26" x14ac:dyDescent="0.3">
      <c r="A8" s="966" t="s">
        <v>79</v>
      </c>
      <c r="B8" s="967">
        <v>6.0034541907942156</v>
      </c>
      <c r="C8" s="967">
        <v>-3.9449999999999998</v>
      </c>
      <c r="D8" s="967">
        <v>94.949999999999989</v>
      </c>
      <c r="E8" s="967">
        <v>18.167324100068583</v>
      </c>
      <c r="F8" s="967">
        <f>SUM(F5:F7)</f>
        <v>25.940522229055073</v>
      </c>
      <c r="G8" s="967">
        <f t="shared" ref="G8:M8" si="3">SUM(G5:G7)</f>
        <v>20.387678216537157</v>
      </c>
      <c r="H8" s="967">
        <f t="shared" si="3"/>
        <v>14.812412382096618</v>
      </c>
      <c r="I8" s="967">
        <f t="shared" si="3"/>
        <v>11.417082617338661</v>
      </c>
      <c r="J8" s="967">
        <f t="shared" si="3"/>
        <v>9.3257707716158578</v>
      </c>
      <c r="K8" s="967">
        <f t="shared" si="3"/>
        <v>12.254462558083999</v>
      </c>
      <c r="L8" s="967">
        <f t="shared" si="3"/>
        <v>11.156972022005053</v>
      </c>
      <c r="M8" s="967">
        <f t="shared" si="3"/>
        <v>11.708358924184887</v>
      </c>
      <c r="N8" s="967">
        <f t="shared" si="0"/>
        <v>117.00325972091731</v>
      </c>
      <c r="O8" s="107">
        <f t="shared" si="1"/>
        <v>117.00325972091731</v>
      </c>
    </row>
    <row r="9" spans="1:26" x14ac:dyDescent="0.3">
      <c r="A9" s="964" t="s">
        <v>80</v>
      </c>
      <c r="B9" s="965">
        <v>2.44</v>
      </c>
      <c r="C9" s="965">
        <v>-2.7</v>
      </c>
      <c r="D9" s="965">
        <v>9.1999999999999993</v>
      </c>
      <c r="E9" s="965">
        <v>12.151094524318466</v>
      </c>
      <c r="F9" s="965">
        <v>14.547185982840148</v>
      </c>
      <c r="G9" s="965">
        <f>'data entry '!G121-'data entry '!G121*'FX IMPACT'!G$2/'FX IMPACT'!G$1</f>
        <v>10.404926138884861</v>
      </c>
      <c r="H9" s="965">
        <f>'data entry '!H121-'data entry '!H121*'FX IMPACT'!H$2/'FX IMPACT'!H$1</f>
        <v>9.3508670363567035</v>
      </c>
      <c r="I9" s="965">
        <f>'data entry '!I121-'data entry '!I121*'FX IMPACT'!I$2/'FX IMPACT'!I$1</f>
        <v>6.4529089779729816</v>
      </c>
      <c r="J9" s="965">
        <f>'data entry '!J121-'data entry '!J121*'FX IMPACT'!J$2/'FX IMPACT'!J$1</f>
        <v>4.5748090132916275</v>
      </c>
      <c r="K9" s="965">
        <f>'data entry '!K121-'data entry '!K121*'FX IMPACT'!K$2/'FX IMPACT'!K$1</f>
        <v>4.4309794452210838</v>
      </c>
      <c r="L9" s="965">
        <f>'data entry '!L121-'data entry '!L121*'FX IMPACT'!L$2/'FX IMPACT'!L$1</f>
        <v>4.5513972471216846</v>
      </c>
      <c r="M9" s="965">
        <f>'data entry '!M121-'data entry '!M121*'FX IMPACT'!M$2/'FX IMPACT'!M$1</f>
        <v>6.5637127106782032</v>
      </c>
      <c r="N9" s="965">
        <f t="shared" si="0"/>
        <v>60.876786552367292</v>
      </c>
      <c r="O9" s="963">
        <f t="shared" si="1"/>
        <v>60.876786552367292</v>
      </c>
      <c r="P9" s="8">
        <v>86.089953026583174</v>
      </c>
      <c r="Q9" s="107">
        <f t="shared" si="2"/>
        <v>-25.213166474215882</v>
      </c>
    </row>
    <row r="10" spans="1:26" x14ac:dyDescent="0.3">
      <c r="A10" s="964" t="s">
        <v>81</v>
      </c>
      <c r="B10" s="965">
        <v>0.14392453935312613</v>
      </c>
      <c r="C10" s="965">
        <v>2.8</v>
      </c>
      <c r="D10" s="965">
        <v>4</v>
      </c>
      <c r="E10" s="965">
        <v>5.8642632614901515</v>
      </c>
      <c r="F10" s="965">
        <v>6.5007671304211812</v>
      </c>
      <c r="G10" s="965">
        <f>'data entry '!G122-'data entry '!G122*'FX IMPACT'!G$2/'FX IMPACT'!G$1</f>
        <v>5.0654038198074005</v>
      </c>
      <c r="H10" s="965">
        <f>'data entry '!H122-'data entry '!H122*'FX IMPACT'!H$2/'FX IMPACT'!H$1</f>
        <v>3.7046795147743694</v>
      </c>
      <c r="I10" s="965">
        <f>'data entry '!I122-'data entry '!I122*'FX IMPACT'!I$2/'FX IMPACT'!I$1</f>
        <v>2.8482381619647725</v>
      </c>
      <c r="J10" s="965">
        <f>'data entry '!J122-'data entry '!J122*'FX IMPACT'!J$2/'FX IMPACT'!J$1</f>
        <v>2.1319325058351666</v>
      </c>
      <c r="K10" s="965">
        <f>'data entry '!K122-'data entry '!K122*'FX IMPACT'!K$2/'FX IMPACT'!K$1</f>
        <v>2.0793960611972864</v>
      </c>
      <c r="L10" s="965">
        <f>'data entry '!L122-'data entry '!L122*'FX IMPACT'!L$2/'FX IMPACT'!L$1</f>
        <v>2.1511558317549628</v>
      </c>
      <c r="M10" s="965">
        <f>'data entry '!M122-'data entry '!M122*'FX IMPACT'!M$2/'FX IMPACT'!M$1</f>
        <v>2.2457772568600518</v>
      </c>
      <c r="N10" s="965">
        <f t="shared" si="0"/>
        <v>26.727350282615191</v>
      </c>
      <c r="O10" s="963">
        <f t="shared" si="1"/>
        <v>26.727350282615191</v>
      </c>
      <c r="P10" s="8">
        <v>36.687526456186561</v>
      </c>
      <c r="Q10" s="107">
        <f t="shared" si="2"/>
        <v>-9.9601761735713694</v>
      </c>
    </row>
    <row r="11" spans="1:26" x14ac:dyDescent="0.3">
      <c r="A11" s="964" t="s">
        <v>82</v>
      </c>
      <c r="B11" s="965">
        <v>6.138621709061475</v>
      </c>
      <c r="C11" s="965">
        <v>3</v>
      </c>
      <c r="D11" s="965">
        <v>1.4</v>
      </c>
      <c r="E11" s="965">
        <v>10.099789948667933</v>
      </c>
      <c r="F11" s="965">
        <v>9.5322767193278821</v>
      </c>
      <c r="G11" s="965">
        <f>'data entry '!G123-'data entry '!G123*'FX IMPACT'!G$2/'FX IMPACT'!G$1</f>
        <v>5.0540625536115442</v>
      </c>
      <c r="H11" s="965">
        <f>'data entry '!H123-'data entry '!H123*'FX IMPACT'!H$2/'FX IMPACT'!H$1</f>
        <v>6.7393589843203188</v>
      </c>
      <c r="I11" s="965">
        <f>'data entry '!I123-'data entry '!I123*'FX IMPACT'!I$2/'FX IMPACT'!I$1</f>
        <v>5.1307259631826128</v>
      </c>
      <c r="J11" s="965">
        <f>'data entry '!J123-'data entry '!J123*'FX IMPACT'!J$2/'FX IMPACT'!J$1</f>
        <v>4.4738322704473035</v>
      </c>
      <c r="K11" s="965">
        <f>'data entry '!K123-'data entry '!K123*'FX IMPACT'!K$2/'FX IMPACT'!K$1</f>
        <v>3.6793527321865156</v>
      </c>
      <c r="L11" s="965">
        <f>'data entry '!L123-'data entry '!L123*'FX IMPACT'!L$2/'FX IMPACT'!L$1</f>
        <v>3.8946146830403165</v>
      </c>
      <c r="M11" s="965">
        <f>'data entry '!M123-'data entry '!M123*'FX IMPACT'!M$2/'FX IMPACT'!M$1</f>
        <v>3.7883842999682997</v>
      </c>
      <c r="N11" s="965">
        <f t="shared" si="0"/>
        <v>42.292608206084793</v>
      </c>
      <c r="O11" s="963">
        <f t="shared" si="1"/>
        <v>42.292608206084793</v>
      </c>
      <c r="P11" s="8">
        <v>65.215005425288297</v>
      </c>
      <c r="Q11" s="107">
        <f t="shared" si="2"/>
        <v>-22.922397219203503</v>
      </c>
    </row>
    <row r="12" spans="1:26" x14ac:dyDescent="0.3">
      <c r="A12" s="964" t="s">
        <v>83</v>
      </c>
      <c r="B12" s="965">
        <v>6.0051174978838391E-2</v>
      </c>
      <c r="C12" s="965"/>
      <c r="D12" s="965"/>
      <c r="E12" s="965">
        <v>0.29135977375152056</v>
      </c>
      <c r="F12" s="965">
        <v>0.23448943282627477</v>
      </c>
      <c r="G12" s="965">
        <f>'data entry '!G124-'data entry '!G124*'FX IMPACT'!G$2/'FX IMPACT'!G$1</f>
        <v>9.1121379875444664E-2</v>
      </c>
      <c r="H12" s="965">
        <f>'data entry '!H124-'data entry '!H124*'FX IMPACT'!H$2/'FX IMPACT'!H$1</f>
        <v>0.18882705466834171</v>
      </c>
      <c r="I12" s="965">
        <f>'data entry '!I124-'data entry '!I124*'FX IMPACT'!I$2/'FX IMPACT'!I$1</f>
        <v>0.14134716910272349</v>
      </c>
      <c r="J12" s="965">
        <f>'data entry '!J124-'data entry '!J124*'FX IMPACT'!J$2/'FX IMPACT'!J$1</f>
        <v>0.13635973343678742</v>
      </c>
      <c r="K12" s="965">
        <f>'data entry '!K124-'data entry '!K124*'FX IMPACT'!K$2/'FX IMPACT'!K$1</f>
        <v>0.12933455900740753</v>
      </c>
      <c r="L12" s="965">
        <f>'data entry '!L124-'data entry '!L124*'FX IMPACT'!L$2/'FX IMPACT'!L$1</f>
        <v>0.14195030131731823</v>
      </c>
      <c r="M12" s="965">
        <f>'data entry '!M124-'data entry '!M124*'FX IMPACT'!M$2/'FX IMPACT'!M$1</f>
        <v>0.12299472175593706</v>
      </c>
      <c r="N12" s="965">
        <f t="shared" si="0"/>
        <v>1.1864243519902349</v>
      </c>
      <c r="O12" s="963">
        <f t="shared" si="1"/>
        <v>1.1864243519902349</v>
      </c>
      <c r="P12" s="8">
        <v>2.1173051312408586</v>
      </c>
      <c r="Q12" s="107">
        <f t="shared" si="2"/>
        <v>-0.93088077925062374</v>
      </c>
    </row>
    <row r="13" spans="1:26" x14ac:dyDescent="0.3">
      <c r="A13" s="964" t="s">
        <v>84</v>
      </c>
      <c r="B13" s="965">
        <v>1.2860963261856906</v>
      </c>
      <c r="C13" s="965">
        <v>-1.1000000000000001</v>
      </c>
      <c r="D13" s="965"/>
      <c r="E13" s="965">
        <v>2.1494166398358487</v>
      </c>
      <c r="F13" s="965">
        <v>2.7498775128922333</v>
      </c>
      <c r="G13" s="965">
        <f>'data entry '!G125-'data entry '!G125*'FX IMPACT'!G$2/'FX IMPACT'!G$1</f>
        <v>2.2890276320069205</v>
      </c>
      <c r="H13" s="965">
        <f>'data entry '!H125-'data entry '!H125*'FX IMPACT'!H$2/'FX IMPACT'!H$1</f>
        <v>1.4370334419327406</v>
      </c>
      <c r="I13" s="965">
        <f>'data entry '!I125-'data entry '!I125*'FX IMPACT'!I$2/'FX IMPACT'!I$1</f>
        <v>1.092969233301929</v>
      </c>
      <c r="J13" s="965">
        <f>'data entry '!J125-'data entry '!J125*'FX IMPACT'!J$2/'FX IMPACT'!J$1</f>
        <v>0.76003511999081752</v>
      </c>
      <c r="K13" s="965">
        <f>'data entry '!K125-'data entry '!K125*'FX IMPACT'!K$2/'FX IMPACT'!K$1</f>
        <v>0.94105294071458445</v>
      </c>
      <c r="L13" s="965">
        <f>'data entry '!L125-'data entry '!L125*'FX IMPACT'!L$2/'FX IMPACT'!L$1</f>
        <v>0.98061645609195836</v>
      </c>
      <c r="M13" s="965">
        <f>'data entry '!M125-'data entry '!M125*'FX IMPACT'!M$2/'FX IMPACT'!M$1</f>
        <v>1.098606912846904</v>
      </c>
      <c r="N13" s="965">
        <f t="shared" si="0"/>
        <v>11.349219249778088</v>
      </c>
      <c r="O13" s="963">
        <f t="shared" si="1"/>
        <v>11.349219249778088</v>
      </c>
      <c r="P13" s="8">
        <v>15.89283681854549</v>
      </c>
      <c r="Q13" s="107">
        <f t="shared" si="2"/>
        <v>-4.5436175687674023</v>
      </c>
    </row>
    <row r="14" spans="1:26" x14ac:dyDescent="0.3">
      <c r="A14" s="964" t="s">
        <v>86</v>
      </c>
      <c r="B14" s="965"/>
      <c r="C14" s="965"/>
      <c r="D14" s="965"/>
      <c r="E14" s="965"/>
      <c r="F14" s="965"/>
      <c r="G14" s="965"/>
      <c r="H14" s="965"/>
      <c r="I14" s="965"/>
      <c r="J14" s="965"/>
      <c r="K14" s="965"/>
      <c r="L14" s="965"/>
      <c r="M14" s="965"/>
      <c r="N14" s="965">
        <f t="shared" si="0"/>
        <v>0</v>
      </c>
      <c r="O14" s="963"/>
      <c r="P14" s="8">
        <v>0</v>
      </c>
      <c r="Q14" s="107">
        <f t="shared" si="2"/>
        <v>0</v>
      </c>
    </row>
    <row r="15" spans="1:26" x14ac:dyDescent="0.3">
      <c r="A15" s="966" t="s">
        <v>87</v>
      </c>
      <c r="B15" s="967">
        <v>19.628693749579131</v>
      </c>
      <c r="C15" s="967">
        <v>10.44</v>
      </c>
      <c r="D15" s="967">
        <v>25.27</v>
      </c>
      <c r="E15" s="967">
        <v>39.527374288680335</v>
      </c>
      <c r="F15" s="967">
        <f>SUM(F9:F14)</f>
        <v>33.564596778307717</v>
      </c>
      <c r="G15" s="967">
        <f t="shared" ref="G15:M15" si="4">SUM(G9:G14)</f>
        <v>22.904541524186172</v>
      </c>
      <c r="H15" s="967">
        <f t="shared" si="4"/>
        <v>21.420766032052473</v>
      </c>
      <c r="I15" s="967">
        <f t="shared" si="4"/>
        <v>15.666189505525018</v>
      </c>
      <c r="J15" s="967">
        <f t="shared" si="4"/>
        <v>12.076968643001702</v>
      </c>
      <c r="K15" s="967">
        <f t="shared" si="4"/>
        <v>11.260115738326878</v>
      </c>
      <c r="L15" s="967">
        <f t="shared" si="4"/>
        <v>11.719734519326241</v>
      </c>
      <c r="M15" s="967">
        <f t="shared" si="4"/>
        <v>13.819475902109396</v>
      </c>
      <c r="N15" s="967">
        <f t="shared" si="0"/>
        <v>142.4323886428356</v>
      </c>
      <c r="O15" s="107">
        <f t="shared" si="1"/>
        <v>142.4323886428356</v>
      </c>
    </row>
    <row r="16" spans="1:26" x14ac:dyDescent="0.3">
      <c r="A16" s="968" t="s">
        <v>88</v>
      </c>
      <c r="B16" s="267">
        <v>25.632147940373347</v>
      </c>
      <c r="C16" s="267">
        <v>6.4949999999999992</v>
      </c>
      <c r="D16" s="267">
        <v>120.21999999999998</v>
      </c>
      <c r="E16" s="267">
        <v>57.694698388748975</v>
      </c>
      <c r="F16" s="267">
        <f>SUM(F15,F8)</f>
        <v>59.505119007362794</v>
      </c>
      <c r="G16" s="267">
        <f t="shared" ref="G16:M16" si="5">SUM(G15,G8)</f>
        <v>43.292219740723326</v>
      </c>
      <c r="H16" s="267">
        <f t="shared" si="5"/>
        <v>36.233178414149094</v>
      </c>
      <c r="I16" s="267">
        <f t="shared" si="5"/>
        <v>27.083272122863679</v>
      </c>
      <c r="J16" s="267">
        <f t="shared" si="5"/>
        <v>21.40273941461756</v>
      </c>
      <c r="K16" s="267">
        <f t="shared" si="5"/>
        <v>23.514578296410875</v>
      </c>
      <c r="L16" s="267">
        <f t="shared" si="5"/>
        <v>22.876706541331295</v>
      </c>
      <c r="M16" s="267">
        <f t="shared" si="5"/>
        <v>25.527834826294281</v>
      </c>
      <c r="N16" s="267">
        <f t="shared" si="0"/>
        <v>259.43564836375288</v>
      </c>
      <c r="O16" s="107">
        <f t="shared" si="1"/>
        <v>259.43564836375288</v>
      </c>
    </row>
    <row r="17" spans="1:15" x14ac:dyDescent="0.3">
      <c r="A17" s="964" t="s">
        <v>89</v>
      </c>
      <c r="B17" s="965"/>
      <c r="C17" s="965"/>
      <c r="D17" s="965"/>
      <c r="E17" s="965">
        <v>0.92476063908804562</v>
      </c>
      <c r="F17" s="965">
        <v>1.0184442468834654</v>
      </c>
      <c r="G17" s="965">
        <f>'data entry '!G129-'data entry '!G129*'FX IMPACT'!G$2/'FX IMPACT'!G$1</f>
        <v>0.23019770186706978</v>
      </c>
      <c r="H17" s="965">
        <f>'data entry '!H129-'data entry '!H129*'FX IMPACT'!H$2/'FX IMPACT'!H$1</f>
        <v>0.79116698537031027</v>
      </c>
      <c r="I17" s="965">
        <f>'data entry '!I129-'data entry '!I129*'FX IMPACT'!I$2/'FX IMPACT'!I$1</f>
        <v>0.5998041377580563</v>
      </c>
      <c r="J17" s="965">
        <f>'data entry '!J129-'data entry '!J129*'FX IMPACT'!J$2/'FX IMPACT'!J$1</f>
        <v>0.42999359493580513</v>
      </c>
      <c r="K17" s="965">
        <f>'data entry '!K129-'data entry '!K129*'FX IMPACT'!K$2/'FX IMPACT'!K$1</f>
        <v>0.43408573962960517</v>
      </c>
      <c r="L17" s="965">
        <f>'data entry '!L129-'data entry '!L129*'FX IMPACT'!L$2/'FX IMPACT'!L$1</f>
        <v>0.44796386765448304</v>
      </c>
      <c r="M17" s="965">
        <f>'data entry '!M129-'data entry '!M129*'FX IMPACT'!M$2/'FX IMPACT'!M$1</f>
        <v>0.48071044129252627</v>
      </c>
      <c r="N17" s="965">
        <f t="shared" ref="N17" si="6">SUM(F17:M17)</f>
        <v>4.4323667153913213</v>
      </c>
      <c r="O17" s="963">
        <f t="shared" si="1"/>
        <v>4.4323667153913213</v>
      </c>
    </row>
    <row r="18" spans="1:15" x14ac:dyDescent="0.3">
      <c r="A18" s="968" t="s">
        <v>90</v>
      </c>
      <c r="B18" s="267">
        <v>25.632147940373347</v>
      </c>
      <c r="C18" s="267">
        <v>6.4949999999999992</v>
      </c>
      <c r="D18" s="267">
        <v>120.21999999999998</v>
      </c>
      <c r="E18" s="267">
        <v>58.619459027836911</v>
      </c>
      <c r="F18" s="267">
        <f>SUM(F16,F17)</f>
        <v>60.523563254246255</v>
      </c>
      <c r="G18" s="267">
        <f t="shared" ref="G18:M18" si="7">SUM(G16,G17)</f>
        <v>43.522417442590395</v>
      </c>
      <c r="H18" s="267">
        <f t="shared" si="7"/>
        <v>37.024345399519405</v>
      </c>
      <c r="I18" s="267">
        <f t="shared" si="7"/>
        <v>27.683076260621736</v>
      </c>
      <c r="J18" s="267">
        <f t="shared" si="7"/>
        <v>21.832733009553365</v>
      </c>
      <c r="K18" s="267">
        <f t="shared" si="7"/>
        <v>23.94866403604048</v>
      </c>
      <c r="L18" s="267">
        <f t="shared" si="7"/>
        <v>23.324670408985778</v>
      </c>
      <c r="M18" s="267">
        <f t="shared" si="7"/>
        <v>26.008545267586808</v>
      </c>
      <c r="N18" s="267">
        <f t="shared" si="0"/>
        <v>263.86801507914419</v>
      </c>
      <c r="O18" s="107">
        <f t="shared" si="1"/>
        <v>263.86801507914419</v>
      </c>
    </row>
    <row r="19" spans="1:15" x14ac:dyDescent="0.3">
      <c r="A19" s="969" t="s">
        <v>91</v>
      </c>
      <c r="B19" s="970"/>
      <c r="C19" s="970"/>
      <c r="D19" s="970"/>
      <c r="E19" s="970"/>
      <c r="F19" s="970"/>
      <c r="G19" s="965"/>
      <c r="H19" s="965"/>
      <c r="I19" s="965"/>
      <c r="J19" s="965"/>
      <c r="K19" s="965"/>
      <c r="L19" s="965"/>
      <c r="M19" s="965"/>
      <c r="N19" s="965">
        <f t="shared" ref="N19" si="8">SUM(F19:M19)</f>
        <v>0</v>
      </c>
      <c r="O19" s="107">
        <f t="shared" si="1"/>
        <v>0</v>
      </c>
    </row>
    <row r="20" spans="1:15" x14ac:dyDescent="0.3">
      <c r="A20" s="971" t="s">
        <v>92</v>
      </c>
      <c r="B20" s="972">
        <f>+B19+B18</f>
        <v>25.632147940373347</v>
      </c>
      <c r="C20" s="972">
        <f t="shared" ref="C20:M20" si="9">+C19+C18</f>
        <v>6.4949999999999992</v>
      </c>
      <c r="D20" s="972">
        <f t="shared" si="9"/>
        <v>120.21999999999998</v>
      </c>
      <c r="E20" s="972">
        <f>+E19+E18</f>
        <v>58.619459027836911</v>
      </c>
      <c r="F20" s="972">
        <f t="shared" si="9"/>
        <v>60.523563254246255</v>
      </c>
      <c r="G20" s="972">
        <f t="shared" si="9"/>
        <v>43.522417442590395</v>
      </c>
      <c r="H20" s="972">
        <f t="shared" si="9"/>
        <v>37.024345399519405</v>
      </c>
      <c r="I20" s="972">
        <f t="shared" si="9"/>
        <v>27.683076260621736</v>
      </c>
      <c r="J20" s="972">
        <f t="shared" si="9"/>
        <v>21.832733009553365</v>
      </c>
      <c r="K20" s="972">
        <f t="shared" si="9"/>
        <v>23.94866403604048</v>
      </c>
      <c r="L20" s="972">
        <f t="shared" si="9"/>
        <v>23.324670408985778</v>
      </c>
      <c r="M20" s="972">
        <f t="shared" si="9"/>
        <v>26.008545267586808</v>
      </c>
      <c r="N20" s="972">
        <f t="shared" si="0"/>
        <v>263.86801507914419</v>
      </c>
      <c r="O20" s="107">
        <f t="shared" si="1"/>
        <v>263.86801507914419</v>
      </c>
    </row>
    <row r="21" spans="1:15" x14ac:dyDescent="0.3">
      <c r="A21" s="973"/>
      <c r="B21" s="269"/>
      <c r="C21" s="269"/>
      <c r="D21" s="269"/>
      <c r="E21" s="269"/>
      <c r="F21" s="269"/>
      <c r="G21" s="269"/>
      <c r="H21" s="269"/>
      <c r="I21" s="269"/>
      <c r="J21" s="269"/>
      <c r="K21" s="269"/>
      <c r="L21" s="269"/>
      <c r="M21" s="269"/>
      <c r="N21" s="269"/>
    </row>
    <row r="22" spans="1:15" x14ac:dyDescent="0.3">
      <c r="A22" s="961" t="s">
        <v>76</v>
      </c>
      <c r="B22" s="962">
        <v>1.2846766966483594</v>
      </c>
      <c r="C22" s="962"/>
      <c r="D22" s="962"/>
      <c r="E22" s="962"/>
      <c r="F22" s="962"/>
      <c r="G22" s="962"/>
      <c r="H22" s="962"/>
      <c r="I22" s="962"/>
      <c r="J22" s="962"/>
      <c r="K22" s="962"/>
      <c r="L22" s="962"/>
      <c r="M22" s="962"/>
      <c r="N22" s="962">
        <f t="shared" ref="N22" si="10">SUM(F22:M22)</f>
        <v>0</v>
      </c>
      <c r="O22" s="963">
        <f t="shared" si="1"/>
        <v>0</v>
      </c>
    </row>
    <row r="23" spans="1:15" x14ac:dyDescent="0.3">
      <c r="A23" s="964" t="s">
        <v>77</v>
      </c>
      <c r="B23" s="965">
        <v>-2</v>
      </c>
      <c r="C23" s="965">
        <v>-1.9</v>
      </c>
      <c r="D23" s="965">
        <v>-1.8990219797570518</v>
      </c>
      <c r="E23" s="965">
        <v>-2.2446906322835076</v>
      </c>
      <c r="F23" s="965">
        <v>-2.8701031743596133</v>
      </c>
      <c r="G23" s="965">
        <f>'data entry '!G134-'data entry '!G134*'FX IMPACT'!G$2/'FX IMPACT'!G$1</f>
        <v>-3.3651888389937454</v>
      </c>
      <c r="H23" s="965">
        <f>'data entry '!H134-'data entry '!H134*'FX IMPACT'!H$2/'FX IMPACT'!H$1</f>
        <v>-1.4442235139017185</v>
      </c>
      <c r="I23" s="965">
        <f>'data entry '!I134-'data entry '!I134*'FX IMPACT'!I$2/'FX IMPACT'!I$1</f>
        <v>-1.0808088786306342</v>
      </c>
      <c r="J23" s="965">
        <f>'data entry '!J134-'data entry '!J134*'FX IMPACT'!J$2/'FX IMPACT'!J$1</f>
        <v>-1.0423992578846892</v>
      </c>
      <c r="K23" s="965">
        <f>'data entry '!K134-'data entry '!K134*'FX IMPACT'!K$2/'FX IMPACT'!K$1</f>
        <v>-0.98842466167456422</v>
      </c>
      <c r="L23" s="965">
        <f>'data entry '!L134-'data entry '!L134*'FX IMPACT'!L$2/'FX IMPACT'!L$1</f>
        <v>-1.084513061657475</v>
      </c>
      <c r="M23" s="965">
        <f>'data entry '!M134-'data entry '!M134*'FX IMPACT'!M$2/'FX IMPACT'!M$1</f>
        <v>-0.93215200887471639</v>
      </c>
      <c r="N23" s="965">
        <f t="shared" si="0"/>
        <v>-12.807813395977156</v>
      </c>
      <c r="O23" s="963">
        <f t="shared" si="1"/>
        <v>-12.807813395977156</v>
      </c>
    </row>
    <row r="24" spans="1:15" x14ac:dyDescent="0.3">
      <c r="A24" s="964" t="s">
        <v>144</v>
      </c>
      <c r="B24" s="965"/>
      <c r="C24" s="965"/>
      <c r="D24" s="965">
        <v>-3.4749883044876584E-2</v>
      </c>
      <c r="E24" s="965">
        <v>0</v>
      </c>
      <c r="F24" s="965">
        <v>0</v>
      </c>
      <c r="G24" s="965">
        <f>'data entry '!G135-'data entry '!G135*'FX IMPACT'!G$2/'FX IMPACT'!G$1</f>
        <v>-0.40461363989941113</v>
      </c>
      <c r="H24" s="965">
        <f>'data entry '!H135-'data entry '!H135*'FX IMPACT'!H$2/'FX IMPACT'!H$1</f>
        <v>0</v>
      </c>
      <c r="I24" s="965">
        <f>'data entry '!I135-'data entry '!I135*'FX IMPACT'!I$2/'FX IMPACT'!I$1</f>
        <v>0</v>
      </c>
      <c r="J24" s="965">
        <f>'data entry '!J135-'data entry '!J135*'FX IMPACT'!J$2/'FX IMPACT'!J$1</f>
        <v>0</v>
      </c>
      <c r="K24" s="965">
        <f>'data entry '!K135-'data entry '!K135*'FX IMPACT'!K$2/'FX IMPACT'!K$1</f>
        <v>0</v>
      </c>
      <c r="L24" s="965">
        <f>'data entry '!L135-'data entry '!L135*'FX IMPACT'!L$2/'FX IMPACT'!L$1</f>
        <v>0</v>
      </c>
      <c r="M24" s="965">
        <f>'data entry '!M135-'data entry '!M135*'FX IMPACT'!M$2/'FX IMPACT'!M$1</f>
        <v>0</v>
      </c>
      <c r="N24" s="962">
        <f t="shared" si="0"/>
        <v>-0.40461363989941113</v>
      </c>
      <c r="O24" s="963">
        <f t="shared" si="1"/>
        <v>-0.40461363989941113</v>
      </c>
    </row>
    <row r="25" spans="1:15" x14ac:dyDescent="0.3">
      <c r="A25" s="964" t="s">
        <v>85</v>
      </c>
      <c r="B25" s="965"/>
      <c r="C25" s="965"/>
      <c r="D25" s="965"/>
      <c r="E25" s="965"/>
      <c r="F25" s="965"/>
      <c r="G25" s="965"/>
      <c r="H25" s="965"/>
      <c r="I25" s="965"/>
      <c r="J25" s="965"/>
      <c r="K25" s="965"/>
      <c r="L25" s="965"/>
      <c r="M25" s="965"/>
      <c r="N25" s="962">
        <f t="shared" si="0"/>
        <v>0</v>
      </c>
      <c r="O25" s="963">
        <f t="shared" si="1"/>
        <v>0</v>
      </c>
    </row>
    <row r="26" spans="1:15" x14ac:dyDescent="0.3">
      <c r="A26" s="974" t="s">
        <v>145</v>
      </c>
      <c r="B26" s="975"/>
      <c r="C26" s="975"/>
      <c r="D26" s="975">
        <v>0</v>
      </c>
      <c r="E26" s="975">
        <v>0</v>
      </c>
      <c r="F26" s="975">
        <v>0</v>
      </c>
      <c r="G26" s="975">
        <f>'data entry '!G137-'data entry '!G137*'FX IMPACT'!G$2/'FX IMPACT'!G$1</f>
        <v>0</v>
      </c>
      <c r="H26" s="975">
        <f>'data entry '!H137-'data entry '!H137*'FX IMPACT'!H$2/'FX IMPACT'!H$1</f>
        <v>0</v>
      </c>
      <c r="I26" s="975">
        <f>'data entry '!I137-'data entry '!I137*'FX IMPACT'!I$2/'FX IMPACT'!I$1</f>
        <v>0</v>
      </c>
      <c r="J26" s="975">
        <f>'data entry '!J137-'data entry '!J137*'FX IMPACT'!J$2/'FX IMPACT'!J$1</f>
        <v>0</v>
      </c>
      <c r="K26" s="975">
        <f>'data entry '!K137-'data entry '!K137*'FX IMPACT'!K$2/'FX IMPACT'!K$1</f>
        <v>0</v>
      </c>
      <c r="L26" s="975">
        <f>'data entry '!L137-'data entry '!L137*'FX IMPACT'!L$2/'FX IMPACT'!L$1</f>
        <v>0</v>
      </c>
      <c r="M26" s="975">
        <f>'data entry '!M137-'data entry '!M137*'FX IMPACT'!M$2/'FX IMPACT'!M$1</f>
        <v>0</v>
      </c>
      <c r="N26" s="962">
        <f t="shared" si="0"/>
        <v>0</v>
      </c>
      <c r="O26" s="963">
        <f t="shared" si="1"/>
        <v>0</v>
      </c>
    </row>
    <row r="27" spans="1:15" x14ac:dyDescent="0.3">
      <c r="A27" s="976" t="s">
        <v>146</v>
      </c>
      <c r="B27" s="329">
        <v>-0.71532330335164063</v>
      </c>
      <c r="C27" s="329">
        <v>-1.9</v>
      </c>
      <c r="D27" s="329">
        <v>-1.9337718628019283</v>
      </c>
      <c r="E27" s="329">
        <v>-2.2446906322835076</v>
      </c>
      <c r="F27" s="329">
        <f>SUM(F22:F26)</f>
        <v>-2.8701031743596133</v>
      </c>
      <c r="G27" s="329">
        <f t="shared" ref="G27:M27" si="11">SUM(G22:G26)</f>
        <v>-3.7698024788931566</v>
      </c>
      <c r="H27" s="329">
        <f t="shared" si="11"/>
        <v>-1.4442235139017185</v>
      </c>
      <c r="I27" s="329">
        <f t="shared" si="11"/>
        <v>-1.0808088786306342</v>
      </c>
      <c r="J27" s="329">
        <f t="shared" si="11"/>
        <v>-1.0423992578846892</v>
      </c>
      <c r="K27" s="329">
        <f t="shared" si="11"/>
        <v>-0.98842466167456422</v>
      </c>
      <c r="L27" s="329">
        <f t="shared" si="11"/>
        <v>-1.084513061657475</v>
      </c>
      <c r="M27" s="329">
        <f t="shared" si="11"/>
        <v>-0.93215200887471639</v>
      </c>
      <c r="N27" s="329">
        <f t="shared" si="0"/>
        <v>-13.212427035876567</v>
      </c>
      <c r="O27" s="107">
        <f t="shared" si="1"/>
        <v>-13.212427035876567</v>
      </c>
    </row>
    <row r="28" spans="1:15" x14ac:dyDescent="0.3">
      <c r="A28" s="973"/>
      <c r="B28" s="269"/>
      <c r="C28" s="269"/>
      <c r="D28" s="269"/>
      <c r="E28" s="269"/>
      <c r="F28" s="269"/>
      <c r="G28" s="269"/>
      <c r="H28" s="269"/>
      <c r="I28" s="269"/>
      <c r="J28" s="269"/>
      <c r="K28" s="269"/>
      <c r="L28" s="269"/>
      <c r="M28" s="269"/>
      <c r="N28" s="269">
        <f t="shared" ref="N28:N32" si="12">SUM(B28:M28)</f>
        <v>0</v>
      </c>
    </row>
    <row r="29" spans="1:15" x14ac:dyDescent="0.3">
      <c r="A29" s="977" t="s">
        <v>148</v>
      </c>
      <c r="B29" s="978">
        <v>-1.81</v>
      </c>
      <c r="C29" s="978">
        <v>-1.28</v>
      </c>
      <c r="D29" s="978">
        <v>-1.28</v>
      </c>
      <c r="E29" s="978"/>
      <c r="F29" s="978"/>
      <c r="G29" s="978"/>
      <c r="H29" s="978"/>
      <c r="I29" s="978"/>
      <c r="J29" s="978"/>
      <c r="K29" s="978"/>
      <c r="L29" s="978"/>
      <c r="M29" s="978"/>
      <c r="N29" s="962">
        <f t="shared" si="0"/>
        <v>0</v>
      </c>
      <c r="O29" s="963">
        <f t="shared" si="1"/>
        <v>0</v>
      </c>
    </row>
    <row r="30" spans="1:15" x14ac:dyDescent="0.3">
      <c r="A30" s="979" t="s">
        <v>149</v>
      </c>
      <c r="B30" s="980"/>
      <c r="C30" s="980"/>
      <c r="D30" s="980"/>
      <c r="E30" s="980">
        <v>5.62938044126075</v>
      </c>
      <c r="F30" s="980">
        <v>6.0756265549457567</v>
      </c>
      <c r="G30" s="980">
        <v>1</v>
      </c>
      <c r="H30" s="980">
        <v>1</v>
      </c>
      <c r="I30" s="980">
        <v>3</v>
      </c>
      <c r="J30" s="980">
        <v>2</v>
      </c>
      <c r="K30" s="980">
        <v>2</v>
      </c>
      <c r="L30" s="980">
        <v>2</v>
      </c>
      <c r="M30" s="980">
        <v>2</v>
      </c>
      <c r="N30" s="962">
        <f t="shared" si="0"/>
        <v>19.075626554945757</v>
      </c>
      <c r="O30" s="963">
        <f t="shared" si="1"/>
        <v>19.075626554945757</v>
      </c>
    </row>
    <row r="31" spans="1:15" x14ac:dyDescent="0.3">
      <c r="A31" s="976" t="s">
        <v>150</v>
      </c>
      <c r="B31" s="329">
        <v>-1.81</v>
      </c>
      <c r="C31" s="329">
        <v>-1.28</v>
      </c>
      <c r="D31" s="329">
        <v>-1.28</v>
      </c>
      <c r="E31" s="329">
        <v>5.62938044126075</v>
      </c>
      <c r="F31" s="329">
        <f>SUM(F29:F30)</f>
        <v>6.0756265549457567</v>
      </c>
      <c r="G31" s="329">
        <f t="shared" ref="G31:M31" si="13">SUM(G29:G30)</f>
        <v>1</v>
      </c>
      <c r="H31" s="329">
        <f t="shared" si="13"/>
        <v>1</v>
      </c>
      <c r="I31" s="329">
        <f t="shared" si="13"/>
        <v>3</v>
      </c>
      <c r="J31" s="329">
        <f t="shared" si="13"/>
        <v>2</v>
      </c>
      <c r="K31" s="329">
        <f t="shared" si="13"/>
        <v>2</v>
      </c>
      <c r="L31" s="329">
        <f t="shared" si="13"/>
        <v>2</v>
      </c>
      <c r="M31" s="329">
        <f t="shared" si="13"/>
        <v>2</v>
      </c>
      <c r="N31" s="329">
        <f t="shared" si="0"/>
        <v>19.075626554945757</v>
      </c>
      <c r="O31" s="107">
        <f t="shared" si="1"/>
        <v>19.075626554945757</v>
      </c>
    </row>
    <row r="32" spans="1:15" x14ac:dyDescent="0.3">
      <c r="A32" s="973"/>
      <c r="B32" s="269"/>
      <c r="C32" s="269"/>
      <c r="D32" s="269"/>
      <c r="E32" s="269"/>
      <c r="F32" s="269"/>
      <c r="G32" s="269"/>
      <c r="H32" s="269"/>
      <c r="I32" s="269"/>
      <c r="J32" s="269"/>
      <c r="K32" s="269"/>
      <c r="L32" s="269"/>
      <c r="M32" s="269"/>
      <c r="N32" s="269">
        <f t="shared" si="12"/>
        <v>0</v>
      </c>
    </row>
    <row r="33" spans="1:15" x14ac:dyDescent="0.3">
      <c r="A33" s="976" t="s">
        <v>152</v>
      </c>
      <c r="B33" s="981">
        <v>0.10682463702170608</v>
      </c>
      <c r="C33" s="981">
        <v>-17.204999999999998</v>
      </c>
      <c r="D33" s="981">
        <v>89.656228137198042</v>
      </c>
      <c r="E33" s="981">
        <f>+E31+E27+E20</f>
        <v>62.004148836814153</v>
      </c>
      <c r="F33" s="981">
        <f t="shared" ref="F33:M33" si="14">+F31+F27+F20</f>
        <v>63.729086634832399</v>
      </c>
      <c r="G33" s="981">
        <f t="shared" si="14"/>
        <v>40.752614963697241</v>
      </c>
      <c r="H33" s="981">
        <f t="shared" si="14"/>
        <v>36.580121885617686</v>
      </c>
      <c r="I33" s="981">
        <f t="shared" si="14"/>
        <v>29.602267381991101</v>
      </c>
      <c r="J33" s="981">
        <f t="shared" si="14"/>
        <v>22.790333751668676</v>
      </c>
      <c r="K33" s="981">
        <f t="shared" si="14"/>
        <v>24.960239374365916</v>
      </c>
      <c r="L33" s="981">
        <f t="shared" si="14"/>
        <v>24.240157347328303</v>
      </c>
      <c r="M33" s="981">
        <f t="shared" si="14"/>
        <v>27.076393258712091</v>
      </c>
      <c r="N33" s="981">
        <f t="shared" si="0"/>
        <v>269.73121459821346</v>
      </c>
      <c r="O33" s="107">
        <f t="shared" si="1"/>
        <v>269.73121459821346</v>
      </c>
    </row>
    <row r="34" spans="1:15" x14ac:dyDescent="0.3">
      <c r="F34" s="107">
        <f>F33-F19-F14</f>
        <v>63.729086634832399</v>
      </c>
      <c r="G34" s="107">
        <f>G33-G19-G14</f>
        <v>40.752614963697241</v>
      </c>
      <c r="H34" s="107">
        <f t="shared" ref="H34:M34" si="15">H33-H19-H14</f>
        <v>36.580121885617686</v>
      </c>
      <c r="I34" s="107">
        <f t="shared" si="15"/>
        <v>29.602267381991101</v>
      </c>
      <c r="J34" s="107">
        <f t="shared" si="15"/>
        <v>22.790333751668676</v>
      </c>
      <c r="K34" s="107">
        <f t="shared" si="15"/>
        <v>24.960239374365916</v>
      </c>
      <c r="L34" s="107">
        <f t="shared" si="15"/>
        <v>24.240157347328303</v>
      </c>
      <c r="M34" s="107">
        <f t="shared" si="15"/>
        <v>27.076393258712091</v>
      </c>
    </row>
    <row r="35" spans="1:15" hidden="1" x14ac:dyDescent="0.3">
      <c r="B35" s="609" t="s">
        <v>0</v>
      </c>
      <c r="C35" s="609" t="s">
        <v>1</v>
      </c>
      <c r="D35" s="609" t="s">
        <v>2</v>
      </c>
      <c r="E35" s="609" t="s">
        <v>3</v>
      </c>
      <c r="F35" s="609" t="s">
        <v>4</v>
      </c>
      <c r="G35" s="609" t="s">
        <v>5</v>
      </c>
      <c r="H35" s="609" t="s">
        <v>6</v>
      </c>
      <c r="I35" s="609" t="s">
        <v>7</v>
      </c>
      <c r="J35" s="609" t="s">
        <v>8</v>
      </c>
      <c r="K35" s="609" t="s">
        <v>9</v>
      </c>
      <c r="L35" s="609" t="s">
        <v>10</v>
      </c>
      <c r="M35" s="609" t="s">
        <v>11</v>
      </c>
      <c r="N35" s="609" t="s">
        <v>12</v>
      </c>
    </row>
    <row r="36" spans="1:15" hidden="1" x14ac:dyDescent="0.3">
      <c r="B36" s="756" t="s">
        <v>71</v>
      </c>
      <c r="C36" s="756" t="s">
        <v>71</v>
      </c>
      <c r="D36" s="756" t="s">
        <v>71</v>
      </c>
      <c r="E36" s="756" t="s">
        <v>71</v>
      </c>
      <c r="F36" s="756" t="s">
        <v>71</v>
      </c>
      <c r="G36" s="756" t="s">
        <v>71</v>
      </c>
      <c r="H36" s="756" t="s">
        <v>71</v>
      </c>
      <c r="I36" s="756" t="s">
        <v>71</v>
      </c>
      <c r="J36" s="756" t="s">
        <v>71</v>
      </c>
      <c r="K36" s="756" t="s">
        <v>71</v>
      </c>
      <c r="L36" s="756" t="s">
        <v>71</v>
      </c>
      <c r="M36" s="756" t="s">
        <v>71</v>
      </c>
      <c r="N36" s="756" t="s">
        <v>71</v>
      </c>
    </row>
    <row r="37" spans="1:15" hidden="1" x14ac:dyDescent="0.3">
      <c r="A37" s="961" t="s">
        <v>74</v>
      </c>
      <c r="B37" s="962">
        <v>5.3312814235904638</v>
      </c>
      <c r="C37" s="962">
        <v>-4.3449999999999998</v>
      </c>
      <c r="D37" s="962">
        <v>93</v>
      </c>
      <c r="E37" s="962">
        <v>15.885610479429999</v>
      </c>
      <c r="F37" s="962">
        <v>24.127724082199904</v>
      </c>
      <c r="G37" s="962">
        <v>21.914665681261681</v>
      </c>
      <c r="H37" s="962">
        <v>16.861343185634098</v>
      </c>
      <c r="I37" s="962">
        <v>14.020777713902362</v>
      </c>
      <c r="J37" s="962">
        <v>15.353450397027189</v>
      </c>
      <c r="K37" s="962">
        <v>17.485217865269078</v>
      </c>
      <c r="L37" s="962">
        <v>18.849656299435253</v>
      </c>
      <c r="M37" s="962">
        <v>21.003099124012579</v>
      </c>
      <c r="N37" s="962">
        <v>149.61593434874214</v>
      </c>
    </row>
    <row r="38" spans="1:15" hidden="1" x14ac:dyDescent="0.3">
      <c r="A38" s="964" t="s">
        <v>75</v>
      </c>
      <c r="B38" s="965">
        <v>0.41774150477750327</v>
      </c>
      <c r="C38" s="965">
        <v>0.4</v>
      </c>
      <c r="D38" s="965">
        <v>1.1000000000000001</v>
      </c>
      <c r="E38" s="965">
        <v>1.5282519608461698</v>
      </c>
      <c r="F38" s="965">
        <v>1.1977015878490356</v>
      </c>
      <c r="G38" s="965">
        <v>2.1993620914014116</v>
      </c>
      <c r="H38" s="965">
        <v>1.4870129272620183</v>
      </c>
      <c r="I38" s="965">
        <v>1.3805887078242947</v>
      </c>
      <c r="J38" s="965">
        <v>1.1767261301639635</v>
      </c>
      <c r="K38" s="965">
        <v>1.1964741194369779</v>
      </c>
      <c r="L38" s="965">
        <v>1.5190106096540887</v>
      </c>
      <c r="M38" s="965">
        <v>1.3857105479830949</v>
      </c>
      <c r="N38" s="965">
        <v>11.542586721574885</v>
      </c>
    </row>
    <row r="39" spans="1:15" hidden="1" x14ac:dyDescent="0.3">
      <c r="A39" s="964" t="s">
        <v>141</v>
      </c>
      <c r="B39" s="965">
        <v>0.25443126242624836</v>
      </c>
      <c r="C39" s="965"/>
      <c r="D39" s="965">
        <v>0.85</v>
      </c>
      <c r="E39" s="965">
        <v>0.75346165979241242</v>
      </c>
      <c r="F39" s="965">
        <v>0.61509655900613325</v>
      </c>
      <c r="G39" s="965">
        <v>0.94331016093361342</v>
      </c>
      <c r="H39" s="965">
        <v>0.61644459129380991</v>
      </c>
      <c r="I39" s="965">
        <v>0.50220357772725066</v>
      </c>
      <c r="J39" s="965">
        <v>0.55553436995364081</v>
      </c>
      <c r="K39" s="965">
        <v>0.56771435842059859</v>
      </c>
      <c r="L39" s="965">
        <v>0.65721185501172208</v>
      </c>
      <c r="M39" s="965">
        <v>0.59039842482162008</v>
      </c>
      <c r="N39" s="965">
        <v>5.0479138971683888</v>
      </c>
    </row>
    <row r="40" spans="1:15" hidden="1" x14ac:dyDescent="0.3">
      <c r="A40" s="966" t="s">
        <v>79</v>
      </c>
      <c r="B40" s="967">
        <v>6.0034541907942156</v>
      </c>
      <c r="C40" s="967">
        <v>-3.9449999999999998</v>
      </c>
      <c r="D40" s="967">
        <v>94.949999999999989</v>
      </c>
      <c r="E40" s="967">
        <v>18.167324100068583</v>
      </c>
      <c r="F40" s="967">
        <v>25.940522229055073</v>
      </c>
      <c r="G40" s="967">
        <v>25.057337933596706</v>
      </c>
      <c r="H40" s="967">
        <v>18.964800704189926</v>
      </c>
      <c r="I40" s="967">
        <v>15.903569999453907</v>
      </c>
      <c r="J40" s="967">
        <v>17.085710897144793</v>
      </c>
      <c r="K40" s="967">
        <v>19.249406343126655</v>
      </c>
      <c r="L40" s="967">
        <v>21.025878764101066</v>
      </c>
      <c r="M40" s="967">
        <v>22.979208096817295</v>
      </c>
      <c r="N40" s="967">
        <v>166.20643496748542</v>
      </c>
    </row>
    <row r="41" spans="1:15" hidden="1" x14ac:dyDescent="0.3">
      <c r="A41" s="964" t="s">
        <v>80</v>
      </c>
      <c r="B41" s="965">
        <v>2.44</v>
      </c>
      <c r="C41" s="965">
        <v>-2.7</v>
      </c>
      <c r="D41" s="965">
        <v>9.1999999999999993</v>
      </c>
      <c r="E41" s="965">
        <v>12.151094524318466</v>
      </c>
      <c r="F41" s="965">
        <v>14.547185982840148</v>
      </c>
      <c r="G41" s="965">
        <v>13.435704390524876</v>
      </c>
      <c r="H41" s="965">
        <v>12.463648014510653</v>
      </c>
      <c r="I41" s="965">
        <v>9.7930014662167082</v>
      </c>
      <c r="J41" s="965">
        <v>7.3933595493946598</v>
      </c>
      <c r="K41" s="965">
        <v>7.7415685786633048</v>
      </c>
      <c r="L41" s="965">
        <v>8.4483857088951311</v>
      </c>
      <c r="M41" s="965">
        <v>12.267099335537694</v>
      </c>
      <c r="N41" s="965">
        <v>86.089953026583174</v>
      </c>
    </row>
    <row r="42" spans="1:15" hidden="1" x14ac:dyDescent="0.3">
      <c r="A42" s="964" t="s">
        <v>81</v>
      </c>
      <c r="B42" s="965">
        <v>0.14392453935312613</v>
      </c>
      <c r="C42" s="965">
        <v>2.8</v>
      </c>
      <c r="D42" s="965">
        <v>4</v>
      </c>
      <c r="E42" s="965">
        <v>5.8642632614901515</v>
      </c>
      <c r="F42" s="965">
        <v>6.5007671304211812</v>
      </c>
      <c r="G42" s="965">
        <v>6.1127376041004595</v>
      </c>
      <c r="H42" s="965">
        <v>4.8120108160856603</v>
      </c>
      <c r="I42" s="965">
        <v>4.0282805907185519</v>
      </c>
      <c r="J42" s="965">
        <v>3.3998510649353051</v>
      </c>
      <c r="K42" s="965">
        <v>3.5869619544134395</v>
      </c>
      <c r="L42" s="965">
        <v>3.9428854181840194</v>
      </c>
      <c r="M42" s="965">
        <v>4.3040318773279438</v>
      </c>
      <c r="N42" s="965">
        <v>36.687526456186561</v>
      </c>
    </row>
    <row r="43" spans="1:15" hidden="1" x14ac:dyDescent="0.3">
      <c r="A43" s="964" t="s">
        <v>82</v>
      </c>
      <c r="B43" s="965">
        <v>6.138621709061475</v>
      </c>
      <c r="C43" s="965">
        <v>3</v>
      </c>
      <c r="D43" s="965">
        <v>1.4</v>
      </c>
      <c r="E43" s="965">
        <v>10.099789948667933</v>
      </c>
      <c r="F43" s="965">
        <v>9.5322767193278821</v>
      </c>
      <c r="G43" s="965">
        <v>11.04394477614747</v>
      </c>
      <c r="H43" s="965">
        <v>8.8390249750917746</v>
      </c>
      <c r="I43" s="965">
        <v>7.3170890167745029</v>
      </c>
      <c r="J43" s="965">
        <v>7.3024331248767282</v>
      </c>
      <c r="K43" s="965">
        <v>6.498862644682788</v>
      </c>
      <c r="L43" s="965">
        <v>7.2860646248811349</v>
      </c>
      <c r="M43" s="965">
        <v>7.3953095435060163</v>
      </c>
      <c r="N43" s="965">
        <v>65.215005425288297</v>
      </c>
    </row>
    <row r="44" spans="1:15" hidden="1" x14ac:dyDescent="0.3">
      <c r="A44" s="964" t="s">
        <v>83</v>
      </c>
      <c r="B44" s="965">
        <v>6.0051174978838391E-2</v>
      </c>
      <c r="C44" s="965"/>
      <c r="D44" s="965"/>
      <c r="E44" s="965">
        <v>0.29135977375152056</v>
      </c>
      <c r="F44" s="965">
        <v>0.23448943282627477</v>
      </c>
      <c r="G44" s="965">
        <v>0.38812581491404075</v>
      </c>
      <c r="H44" s="965">
        <v>0.25475051921351888</v>
      </c>
      <c r="I44" s="965">
        <v>0.20765427786651891</v>
      </c>
      <c r="J44" s="965">
        <v>0.22825104553860065</v>
      </c>
      <c r="K44" s="965">
        <v>0.24984164688638533</v>
      </c>
      <c r="L44" s="965">
        <v>0.29087268204774297</v>
      </c>
      <c r="M44" s="965">
        <v>0.26331971194777637</v>
      </c>
      <c r="N44" s="965">
        <v>2.1173051312408586</v>
      </c>
    </row>
    <row r="45" spans="1:15" hidden="1" x14ac:dyDescent="0.3">
      <c r="A45" s="964" t="s">
        <v>84</v>
      </c>
      <c r="B45" s="965">
        <v>1.2860963261856906</v>
      </c>
      <c r="C45" s="965">
        <v>-1.1000000000000001</v>
      </c>
      <c r="D45" s="965"/>
      <c r="E45" s="965">
        <v>2.1494166398358487</v>
      </c>
      <c r="F45" s="965">
        <v>2.7498775128922333</v>
      </c>
      <c r="G45" s="965">
        <v>2.7369736207320443</v>
      </c>
      <c r="H45" s="965">
        <v>1.8978315115531998</v>
      </c>
      <c r="I45" s="965">
        <v>1.568663974283254</v>
      </c>
      <c r="J45" s="965">
        <v>1.2505408903229096</v>
      </c>
      <c r="K45" s="965">
        <v>1.6741795651324978</v>
      </c>
      <c r="L45" s="965">
        <v>1.8505615178962103</v>
      </c>
      <c r="M45" s="965">
        <v>2.164208225733141</v>
      </c>
      <c r="N45" s="965">
        <v>15.89283681854549</v>
      </c>
    </row>
    <row r="46" spans="1:15" hidden="1" x14ac:dyDescent="0.3">
      <c r="A46" s="964" t="s">
        <v>86</v>
      </c>
      <c r="B46" s="965"/>
      <c r="C46" s="965"/>
      <c r="D46" s="965"/>
      <c r="E46" s="965"/>
      <c r="F46" s="965"/>
      <c r="G46" s="965"/>
      <c r="H46" s="965"/>
      <c r="I46" s="965"/>
      <c r="J46" s="965"/>
      <c r="K46" s="965"/>
      <c r="L46" s="965"/>
      <c r="M46" s="965"/>
      <c r="N46" s="965">
        <v>0</v>
      </c>
    </row>
    <row r="47" spans="1:15" hidden="1" x14ac:dyDescent="0.3">
      <c r="A47" s="966" t="s">
        <v>87</v>
      </c>
      <c r="B47" s="967">
        <v>19.628693749579131</v>
      </c>
      <c r="C47" s="967">
        <v>10.44</v>
      </c>
      <c r="D47" s="967">
        <v>25.27</v>
      </c>
      <c r="E47" s="967">
        <v>39.527374288680335</v>
      </c>
      <c r="F47" s="967">
        <v>33.564596778307717</v>
      </c>
      <c r="G47" s="967">
        <v>33.71748620641889</v>
      </c>
      <c r="H47" s="967">
        <v>28.267265836454808</v>
      </c>
      <c r="I47" s="967">
        <v>22.914689325859534</v>
      </c>
      <c r="J47" s="967">
        <v>19.574435675068202</v>
      </c>
      <c r="K47" s="967">
        <v>19.751414389778414</v>
      </c>
      <c r="L47" s="967">
        <v>21.818769951904237</v>
      </c>
      <c r="M47" s="967">
        <v>26.393968694052571</v>
      </c>
      <c r="N47" s="967">
        <v>206.00262685784438</v>
      </c>
    </row>
    <row r="48" spans="1:15" hidden="1" x14ac:dyDescent="0.3">
      <c r="A48" s="968" t="s">
        <v>88</v>
      </c>
      <c r="B48" s="267">
        <v>25.632147940373347</v>
      </c>
      <c r="C48" s="267">
        <v>6.4949999999999992</v>
      </c>
      <c r="D48" s="267">
        <v>120.21999999999998</v>
      </c>
      <c r="E48" s="267">
        <v>57.694698388748975</v>
      </c>
      <c r="F48" s="267">
        <v>59.505119007362794</v>
      </c>
      <c r="G48" s="267">
        <v>58.774824140015596</v>
      </c>
      <c r="H48" s="267">
        <v>47.232066540644738</v>
      </c>
      <c r="I48" s="267">
        <v>38.818259325313441</v>
      </c>
      <c r="J48" s="267">
        <v>36.660146572212994</v>
      </c>
      <c r="K48" s="267">
        <v>39.000820732905069</v>
      </c>
      <c r="L48" s="267">
        <v>42.844648716005302</v>
      </c>
      <c r="M48" s="267">
        <v>49.373176790869863</v>
      </c>
      <c r="N48" s="267">
        <v>372.2090618253298</v>
      </c>
    </row>
    <row r="49" spans="1:14" hidden="1" x14ac:dyDescent="0.3">
      <c r="A49" s="964" t="s">
        <v>89</v>
      </c>
      <c r="B49" s="965"/>
      <c r="C49" s="965"/>
      <c r="D49" s="965"/>
      <c r="E49" s="965">
        <v>0.92476063908804562</v>
      </c>
      <c r="F49" s="965">
        <v>1.0184442468834654</v>
      </c>
      <c r="G49" s="965">
        <v>0.96793340706265596</v>
      </c>
      <c r="H49" s="965">
        <v>0.81490547578933814</v>
      </c>
      <c r="I49" s="965">
        <v>0.66755060727455628</v>
      </c>
      <c r="J49" s="965">
        <v>0.54551533513361861</v>
      </c>
      <c r="K49" s="965">
        <v>0.6181229520933833</v>
      </c>
      <c r="L49" s="965">
        <v>0.67544958446253389</v>
      </c>
      <c r="M49" s="965">
        <v>0.75648933172985977</v>
      </c>
      <c r="N49" s="965">
        <v>6.0644109404294113</v>
      </c>
    </row>
    <row r="50" spans="1:14" hidden="1" x14ac:dyDescent="0.3">
      <c r="A50" s="968" t="s">
        <v>90</v>
      </c>
      <c r="B50" s="267">
        <v>25.632147940373347</v>
      </c>
      <c r="C50" s="267">
        <v>6.4949999999999992</v>
      </c>
      <c r="D50" s="267">
        <v>120.21999999999998</v>
      </c>
      <c r="E50" s="267">
        <v>58.619459027836911</v>
      </c>
      <c r="F50" s="267">
        <v>60.523563254246255</v>
      </c>
      <c r="G50" s="267">
        <v>59.742757547078256</v>
      </c>
      <c r="H50" s="267">
        <v>48.046972016434076</v>
      </c>
      <c r="I50" s="267">
        <v>39.485809932587998</v>
      </c>
      <c r="J50" s="267">
        <v>37.205661907346609</v>
      </c>
      <c r="K50" s="267">
        <v>39.618943684998456</v>
      </c>
      <c r="L50" s="267">
        <v>43.520098300467836</v>
      </c>
      <c r="M50" s="267">
        <v>50.129666122599723</v>
      </c>
      <c r="N50" s="267">
        <v>378.27347276575921</v>
      </c>
    </row>
    <row r="51" spans="1:14" hidden="1" x14ac:dyDescent="0.3">
      <c r="A51" s="969" t="s">
        <v>91</v>
      </c>
      <c r="B51" s="970"/>
      <c r="C51" s="970"/>
      <c r="D51" s="970"/>
      <c r="E51" s="970"/>
      <c r="F51" s="970"/>
      <c r="G51" s="970"/>
      <c r="H51" s="970"/>
      <c r="I51" s="970"/>
      <c r="J51" s="970"/>
      <c r="K51" s="970"/>
      <c r="L51" s="970"/>
      <c r="M51" s="970"/>
      <c r="N51" s="970">
        <v>0</v>
      </c>
    </row>
    <row r="52" spans="1:14" hidden="1" x14ac:dyDescent="0.3">
      <c r="A52" s="971" t="s">
        <v>92</v>
      </c>
      <c r="B52" s="972">
        <v>25.632147940373347</v>
      </c>
      <c r="C52" s="972">
        <v>6.4949999999999992</v>
      </c>
      <c r="D52" s="972">
        <v>120.21999999999998</v>
      </c>
      <c r="E52" s="972">
        <v>58.619459027836911</v>
      </c>
      <c r="F52" s="972">
        <v>60.523563254246255</v>
      </c>
      <c r="G52" s="972">
        <v>59.742757547078256</v>
      </c>
      <c r="H52" s="972">
        <v>48.046972016434076</v>
      </c>
      <c r="I52" s="972">
        <v>39.485809932587998</v>
      </c>
      <c r="J52" s="972">
        <v>37.205661907346609</v>
      </c>
      <c r="K52" s="972">
        <v>39.618943684998456</v>
      </c>
      <c r="L52" s="972">
        <v>43.520098300467836</v>
      </c>
      <c r="M52" s="972">
        <v>50.129666122599723</v>
      </c>
      <c r="N52" s="972">
        <v>378.27347276575921</v>
      </c>
    </row>
    <row r="53" spans="1:14" hidden="1" x14ac:dyDescent="0.3">
      <c r="A53" s="973"/>
      <c r="B53" s="269"/>
      <c r="C53" s="269"/>
      <c r="D53" s="269"/>
      <c r="E53" s="269"/>
      <c r="F53" s="269"/>
      <c r="G53" s="269"/>
      <c r="H53" s="269"/>
      <c r="I53" s="269"/>
      <c r="J53" s="269"/>
      <c r="K53" s="269"/>
      <c r="L53" s="269"/>
      <c r="M53" s="269"/>
      <c r="N53" s="269"/>
    </row>
    <row r="54" spans="1:14" hidden="1" x14ac:dyDescent="0.3">
      <c r="A54" s="961" t="s">
        <v>76</v>
      </c>
      <c r="B54" s="962">
        <v>1.2846766966483594</v>
      </c>
      <c r="C54" s="962"/>
      <c r="D54" s="962"/>
      <c r="E54" s="962"/>
      <c r="F54" s="962"/>
      <c r="G54" s="962"/>
      <c r="H54" s="962"/>
      <c r="I54" s="962"/>
      <c r="J54" s="962"/>
      <c r="K54" s="962"/>
      <c r="L54" s="962"/>
      <c r="M54" s="962"/>
      <c r="N54" s="962">
        <v>0</v>
      </c>
    </row>
    <row r="55" spans="1:14" hidden="1" x14ac:dyDescent="0.3">
      <c r="A55" s="964" t="s">
        <v>77</v>
      </c>
      <c r="B55" s="965">
        <v>-2</v>
      </c>
      <c r="C55" s="965">
        <v>-1.9</v>
      </c>
      <c r="D55" s="965">
        <v>-1.8990219797570518</v>
      </c>
      <c r="E55" s="965">
        <v>-2.2446906322835076</v>
      </c>
      <c r="F55" s="965">
        <v>-2.8701031743596133</v>
      </c>
      <c r="G55" s="965">
        <v>-1.8738374318576376</v>
      </c>
      <c r="H55" s="965">
        <v>-1.524758270306549</v>
      </c>
      <c r="I55" s="965">
        <v>-1.686727045158932</v>
      </c>
      <c r="J55" s="965">
        <v>-1.7267842455008307</v>
      </c>
      <c r="K55" s="965">
        <v>-2.0068889155073393</v>
      </c>
      <c r="L55" s="965">
        <v>-1.7981347528577345</v>
      </c>
      <c r="M55" s="965">
        <v>-0.96358149842468777</v>
      </c>
      <c r="N55" s="965">
        <v>-14.450815333973324</v>
      </c>
    </row>
    <row r="56" spans="1:14" hidden="1" x14ac:dyDescent="0.3">
      <c r="A56" s="964" t="s">
        <v>144</v>
      </c>
      <c r="B56" s="965"/>
      <c r="C56" s="965"/>
      <c r="D56" s="965">
        <v>-3.4749883044876584E-2</v>
      </c>
      <c r="E56" s="965">
        <v>0</v>
      </c>
      <c r="F56" s="965">
        <v>0</v>
      </c>
      <c r="G56" s="965">
        <v>0</v>
      </c>
      <c r="H56" s="965">
        <v>0</v>
      </c>
      <c r="I56" s="965">
        <v>0</v>
      </c>
      <c r="J56" s="965">
        <v>0</v>
      </c>
      <c r="K56" s="965">
        <v>0</v>
      </c>
      <c r="L56" s="965">
        <v>0</v>
      </c>
      <c r="M56" s="965">
        <v>0</v>
      </c>
      <c r="N56" s="962">
        <v>0</v>
      </c>
    </row>
    <row r="57" spans="1:14" hidden="1" x14ac:dyDescent="0.3">
      <c r="A57" s="964" t="s">
        <v>85</v>
      </c>
      <c r="B57" s="965"/>
      <c r="C57" s="965"/>
      <c r="D57" s="965"/>
      <c r="E57" s="965"/>
      <c r="F57" s="965"/>
      <c r="G57" s="965"/>
      <c r="H57" s="965"/>
      <c r="I57" s="965"/>
      <c r="J57" s="965"/>
      <c r="K57" s="965"/>
      <c r="L57" s="965"/>
      <c r="M57" s="965"/>
      <c r="N57" s="962">
        <v>0</v>
      </c>
    </row>
    <row r="58" spans="1:14" hidden="1" x14ac:dyDescent="0.3">
      <c r="A58" s="974" t="s">
        <v>145</v>
      </c>
      <c r="B58" s="975"/>
      <c r="C58" s="975"/>
      <c r="D58" s="975">
        <v>0</v>
      </c>
      <c r="E58" s="975">
        <v>0</v>
      </c>
      <c r="F58" s="975">
        <v>0</v>
      </c>
      <c r="G58" s="975">
        <v>0</v>
      </c>
      <c r="H58" s="975">
        <v>0</v>
      </c>
      <c r="I58" s="975">
        <v>0</v>
      </c>
      <c r="J58" s="975">
        <v>0</v>
      </c>
      <c r="K58" s="975">
        <v>0</v>
      </c>
      <c r="L58" s="975">
        <v>0</v>
      </c>
      <c r="M58" s="975">
        <v>0</v>
      </c>
      <c r="N58" s="962">
        <v>0</v>
      </c>
    </row>
    <row r="59" spans="1:14" hidden="1" x14ac:dyDescent="0.3">
      <c r="A59" s="976" t="s">
        <v>146</v>
      </c>
      <c r="B59" s="329">
        <v>-0.71532330335164063</v>
      </c>
      <c r="C59" s="329">
        <v>-1.9</v>
      </c>
      <c r="D59" s="329">
        <v>-1.9337718628019283</v>
      </c>
      <c r="E59" s="329">
        <v>-2.2446906322835076</v>
      </c>
      <c r="F59" s="329">
        <v>-2.8701031743596133</v>
      </c>
      <c r="G59" s="329">
        <v>-1.8738374318576376</v>
      </c>
      <c r="H59" s="329">
        <v>-1.524758270306549</v>
      </c>
      <c r="I59" s="329">
        <v>-1.686727045158932</v>
      </c>
      <c r="J59" s="329">
        <v>-1.7267842455008307</v>
      </c>
      <c r="K59" s="329">
        <v>-2.0068889155073393</v>
      </c>
      <c r="L59" s="329">
        <v>-1.7981347528577345</v>
      </c>
      <c r="M59" s="329">
        <v>-0.96358149842468777</v>
      </c>
      <c r="N59" s="329">
        <v>-14.450815333973324</v>
      </c>
    </row>
    <row r="60" spans="1:14" hidden="1" x14ac:dyDescent="0.3">
      <c r="A60" s="973"/>
      <c r="B60" s="269"/>
      <c r="C60" s="269"/>
      <c r="D60" s="269"/>
      <c r="E60" s="269"/>
      <c r="F60" s="269"/>
      <c r="G60" s="269"/>
      <c r="H60" s="269"/>
      <c r="I60" s="269"/>
      <c r="J60" s="269"/>
      <c r="K60" s="269"/>
      <c r="L60" s="269"/>
      <c r="M60" s="269"/>
      <c r="N60" s="269">
        <v>0</v>
      </c>
    </row>
    <row r="61" spans="1:14" hidden="1" x14ac:dyDescent="0.3">
      <c r="A61" s="977" t="s">
        <v>148</v>
      </c>
      <c r="B61" s="978">
        <v>-1.81</v>
      </c>
      <c r="C61" s="978">
        <v>-1.28</v>
      </c>
      <c r="D61" s="978">
        <v>-1.28</v>
      </c>
      <c r="E61" s="978"/>
      <c r="F61" s="978"/>
      <c r="G61" s="978"/>
      <c r="H61" s="978"/>
      <c r="I61" s="978"/>
      <c r="J61" s="978"/>
      <c r="K61" s="978"/>
      <c r="L61" s="978"/>
      <c r="M61" s="978"/>
      <c r="N61" s="962">
        <v>0</v>
      </c>
    </row>
    <row r="62" spans="1:14" hidden="1" x14ac:dyDescent="0.3">
      <c r="A62" s="979" t="s">
        <v>149</v>
      </c>
      <c r="B62" s="980"/>
      <c r="C62" s="980"/>
      <c r="D62" s="980"/>
      <c r="E62" s="980">
        <v>5.62938044126075</v>
      </c>
      <c r="F62" s="980">
        <v>6.0756265549457567</v>
      </c>
      <c r="G62" s="980">
        <v>5.8041669883946554</v>
      </c>
      <c r="H62" s="980">
        <v>4.9226474094149495</v>
      </c>
      <c r="I62" s="980">
        <v>4.064540764414474</v>
      </c>
      <c r="J62" s="980">
        <v>3.3956170683562021</v>
      </c>
      <c r="K62" s="980">
        <v>3.6272177296328181</v>
      </c>
      <c r="L62" s="980">
        <v>4.0154718122374931</v>
      </c>
      <c r="M62" s="980">
        <v>3.9326265707642847</v>
      </c>
      <c r="N62" s="962">
        <v>35.837914898160633</v>
      </c>
    </row>
    <row r="63" spans="1:14" hidden="1" x14ac:dyDescent="0.3">
      <c r="A63" s="976" t="s">
        <v>150</v>
      </c>
      <c r="B63" s="329">
        <v>-1.81</v>
      </c>
      <c r="C63" s="329">
        <v>-1.28</v>
      </c>
      <c r="D63" s="329">
        <v>-1.28</v>
      </c>
      <c r="E63" s="329">
        <v>5.62938044126075</v>
      </c>
      <c r="F63" s="329">
        <v>6.0756265549457567</v>
      </c>
      <c r="G63" s="329">
        <v>5.8041669883946554</v>
      </c>
      <c r="H63" s="329">
        <v>4.9226474094149495</v>
      </c>
      <c r="I63" s="329">
        <v>4.064540764414474</v>
      </c>
      <c r="J63" s="329">
        <v>3.3956170683562021</v>
      </c>
      <c r="K63" s="329">
        <v>3.6272177296328181</v>
      </c>
      <c r="L63" s="329">
        <v>4.0154718122374931</v>
      </c>
      <c r="M63" s="329">
        <v>3.9326265707642847</v>
      </c>
      <c r="N63" s="329">
        <v>35.837914898160633</v>
      </c>
    </row>
    <row r="64" spans="1:14" hidden="1" x14ac:dyDescent="0.3">
      <c r="A64" s="973"/>
      <c r="B64" s="269"/>
      <c r="C64" s="269"/>
      <c r="D64" s="269"/>
      <c r="E64" s="269"/>
      <c r="F64" s="269"/>
      <c r="G64" s="269"/>
      <c r="H64" s="269"/>
      <c r="I64" s="269"/>
      <c r="J64" s="269"/>
      <c r="K64" s="269"/>
      <c r="L64" s="269"/>
      <c r="M64" s="269"/>
      <c r="N64" s="269">
        <v>0</v>
      </c>
    </row>
    <row r="65" spans="1:14" hidden="1" x14ac:dyDescent="0.3">
      <c r="A65" s="976" t="s">
        <v>152</v>
      </c>
      <c r="B65" s="981">
        <v>0.10682463702170608</v>
      </c>
      <c r="C65" s="981">
        <v>-17.204999999999998</v>
      </c>
      <c r="D65" s="981">
        <v>89.656228137198042</v>
      </c>
      <c r="E65" s="981">
        <v>62.004148836814153</v>
      </c>
      <c r="F65" s="981">
        <v>63.729086634832399</v>
      </c>
      <c r="G65" s="981">
        <v>63.673087103615273</v>
      </c>
      <c r="H65" s="981">
        <v>51.444861155542476</v>
      </c>
      <c r="I65" s="981">
        <v>41.86362365184354</v>
      </c>
      <c r="J65" s="981">
        <v>38.874494730201981</v>
      </c>
      <c r="K65" s="981">
        <v>41.239272499123935</v>
      </c>
      <c r="L65" s="981">
        <v>45.737435359847595</v>
      </c>
      <c r="M65" s="981">
        <v>53.09871119493932</v>
      </c>
      <c r="N65" s="981">
        <v>399.66057232994655</v>
      </c>
    </row>
    <row r="66" spans="1:14" hidden="1" x14ac:dyDescent="0.3"/>
    <row r="67" spans="1:14" hidden="1" x14ac:dyDescent="0.3"/>
    <row r="68" spans="1:14" hidden="1" x14ac:dyDescent="0.3"/>
    <row r="69" spans="1:14" hidden="1" x14ac:dyDescent="0.3">
      <c r="A69" s="961"/>
      <c r="B69" s="962"/>
      <c r="C69" s="962"/>
      <c r="D69" s="962"/>
      <c r="E69" s="962"/>
      <c r="F69" s="962"/>
      <c r="G69" s="962">
        <f>G5-G37</f>
        <v>-4.1389382139618647</v>
      </c>
      <c r="H69" s="962">
        <f t="shared" ref="H69:M77" si="16">H5-H37</f>
        <v>-3.6772291867874287</v>
      </c>
      <c r="I69" s="962">
        <f t="shared" si="16"/>
        <v>-3.9435261955508736</v>
      </c>
      <c r="J69" s="962">
        <f t="shared" si="16"/>
        <v>-7.1020636438236693</v>
      </c>
      <c r="K69" s="962">
        <f t="shared" si="16"/>
        <v>-6.2525235324474124</v>
      </c>
      <c r="L69" s="962">
        <f t="shared" si="16"/>
        <v>-8.8811943879034061</v>
      </c>
      <c r="M69" s="962">
        <f t="shared" si="16"/>
        <v>-10.329587604654478</v>
      </c>
      <c r="N69" s="962"/>
    </row>
    <row r="70" spans="1:14" hidden="1" x14ac:dyDescent="0.3">
      <c r="A70" s="964"/>
      <c r="B70" s="965"/>
      <c r="C70" s="965"/>
      <c r="D70" s="965"/>
      <c r="E70" s="965"/>
      <c r="F70" s="965"/>
      <c r="G70" s="962">
        <f>G6-G38</f>
        <v>-0.89849339569455822</v>
      </c>
      <c r="H70" s="962">
        <f t="shared" si="16"/>
        <v>-0.33685740299845435</v>
      </c>
      <c r="I70" s="962">
        <f t="shared" si="16"/>
        <v>-0.39863661430876363</v>
      </c>
      <c r="J70" s="962">
        <f t="shared" si="16"/>
        <v>-0.44714473749085926</v>
      </c>
      <c r="K70" s="962">
        <f t="shared" si="16"/>
        <v>-0.50050215236754525</v>
      </c>
      <c r="L70" s="962">
        <f t="shared" si="16"/>
        <v>-0.68596087725440924</v>
      </c>
      <c r="M70" s="962">
        <f t="shared" si="16"/>
        <v>-0.65668597308930643</v>
      </c>
      <c r="N70" s="965"/>
    </row>
    <row r="71" spans="1:14" hidden="1" x14ac:dyDescent="0.3">
      <c r="A71" s="964"/>
      <c r="B71" s="965"/>
      <c r="C71" s="965"/>
      <c r="D71" s="965"/>
      <c r="E71" s="965"/>
      <c r="F71" s="965"/>
      <c r="G71" s="962">
        <f>G7-G39</f>
        <v>0.36777189259687404</v>
      </c>
      <c r="H71" s="962">
        <f t="shared" si="16"/>
        <v>-0.1383017323074256</v>
      </c>
      <c r="I71" s="962">
        <f t="shared" si="16"/>
        <v>-0.14432457225560924</v>
      </c>
      <c r="J71" s="962">
        <f t="shared" si="16"/>
        <v>-0.21073174421440655</v>
      </c>
      <c r="K71" s="962">
        <f t="shared" si="16"/>
        <v>-0.24191810022769822</v>
      </c>
      <c r="L71" s="962">
        <f t="shared" si="16"/>
        <v>-0.30175147693819504</v>
      </c>
      <c r="M71" s="962">
        <f t="shared" si="16"/>
        <v>-0.28457559488862216</v>
      </c>
      <c r="N71" s="965"/>
    </row>
    <row r="72" spans="1:14" hidden="1" x14ac:dyDescent="0.3">
      <c r="A72" s="966"/>
      <c r="B72" s="967"/>
      <c r="C72" s="967"/>
      <c r="D72" s="967"/>
      <c r="E72" s="967"/>
      <c r="F72" s="967"/>
      <c r="G72" s="967"/>
      <c r="H72" s="967"/>
      <c r="I72" s="967"/>
      <c r="J72" s="967"/>
      <c r="K72" s="967"/>
      <c r="L72" s="967"/>
      <c r="M72" s="967"/>
      <c r="N72" s="967"/>
    </row>
    <row r="73" spans="1:14" hidden="1" x14ac:dyDescent="0.3">
      <c r="A73" s="964"/>
      <c r="B73" s="965"/>
      <c r="C73" s="965"/>
      <c r="D73" s="965"/>
      <c r="E73" s="965"/>
      <c r="F73" s="965"/>
      <c r="G73" s="962">
        <f>G9-G41</f>
        <v>-3.0307782516400152</v>
      </c>
      <c r="H73" s="962">
        <f t="shared" si="16"/>
        <v>-3.1127809781539497</v>
      </c>
      <c r="I73" s="962">
        <f t="shared" si="16"/>
        <v>-3.3400924882437266</v>
      </c>
      <c r="J73" s="962">
        <f t="shared" si="16"/>
        <v>-2.8185505361030323</v>
      </c>
      <c r="K73" s="962">
        <f t="shared" si="16"/>
        <v>-3.3105891334422211</v>
      </c>
      <c r="L73" s="962">
        <f t="shared" si="16"/>
        <v>-3.8969884617734465</v>
      </c>
      <c r="M73" s="962">
        <f t="shared" si="16"/>
        <v>-5.7033866248594904</v>
      </c>
      <c r="N73" s="965"/>
    </row>
    <row r="74" spans="1:14" hidden="1" x14ac:dyDescent="0.3">
      <c r="A74" s="964"/>
      <c r="B74" s="965"/>
      <c r="C74" s="965"/>
      <c r="D74" s="965"/>
      <c r="E74" s="965"/>
      <c r="F74" s="965"/>
      <c r="G74" s="962">
        <f>G10-G42</f>
        <v>-1.047333784293059</v>
      </c>
      <c r="H74" s="962">
        <f t="shared" si="16"/>
        <v>-1.1073313013112909</v>
      </c>
      <c r="I74" s="962">
        <f t="shared" si="16"/>
        <v>-1.1800424287537794</v>
      </c>
      <c r="J74" s="962">
        <f t="shared" si="16"/>
        <v>-1.2679185591001385</v>
      </c>
      <c r="K74" s="962">
        <f t="shared" si="16"/>
        <v>-1.5075658932161531</v>
      </c>
      <c r="L74" s="962">
        <f t="shared" si="16"/>
        <v>-1.7917295864290566</v>
      </c>
      <c r="M74" s="962">
        <f t="shared" si="16"/>
        <v>-2.058254620467892</v>
      </c>
      <c r="N74" s="965"/>
    </row>
    <row r="75" spans="1:14" hidden="1" x14ac:dyDescent="0.3">
      <c r="A75" s="964"/>
      <c r="B75" s="965"/>
      <c r="C75" s="965"/>
      <c r="D75" s="965"/>
      <c r="E75" s="965"/>
      <c r="F75" s="965"/>
      <c r="G75" s="962">
        <f>G11-G43</f>
        <v>-5.9898822225359254</v>
      </c>
      <c r="H75" s="962">
        <f t="shared" si="16"/>
        <v>-2.0996659907714559</v>
      </c>
      <c r="I75" s="962">
        <f t="shared" si="16"/>
        <v>-2.1863630535918901</v>
      </c>
      <c r="J75" s="962">
        <f t="shared" si="16"/>
        <v>-2.8286008544294248</v>
      </c>
      <c r="K75" s="962">
        <f t="shared" si="16"/>
        <v>-2.8195099124962724</v>
      </c>
      <c r="L75" s="962">
        <f t="shared" si="16"/>
        <v>-3.3914499418408184</v>
      </c>
      <c r="M75" s="962">
        <f t="shared" si="16"/>
        <v>-3.6069252435377166</v>
      </c>
      <c r="N75" s="965"/>
    </row>
    <row r="76" spans="1:14" hidden="1" x14ac:dyDescent="0.3">
      <c r="A76" s="964"/>
      <c r="B76" s="965"/>
      <c r="C76" s="965"/>
      <c r="D76" s="965"/>
      <c r="E76" s="965"/>
      <c r="F76" s="965"/>
      <c r="G76" s="962">
        <f>G12-G44</f>
        <v>-0.29700443503859608</v>
      </c>
      <c r="H76" s="962">
        <f t="shared" si="16"/>
        <v>-6.5923464545177168E-2</v>
      </c>
      <c r="I76" s="962">
        <f t="shared" si="16"/>
        <v>-6.6307108763795419E-2</v>
      </c>
      <c r="J76" s="962">
        <f t="shared" si="16"/>
        <v>-9.1891312101813227E-2</v>
      </c>
      <c r="K76" s="962">
        <f t="shared" si="16"/>
        <v>-0.12050708787897779</v>
      </c>
      <c r="L76" s="962">
        <f t="shared" si="16"/>
        <v>-0.14892238073042474</v>
      </c>
      <c r="M76" s="962">
        <f t="shared" si="16"/>
        <v>-0.1403249901918393</v>
      </c>
      <c r="N76" s="965"/>
    </row>
    <row r="77" spans="1:14" hidden="1" x14ac:dyDescent="0.3">
      <c r="A77" s="964"/>
      <c r="B77" s="965"/>
      <c r="C77" s="965"/>
      <c r="D77" s="965"/>
      <c r="E77" s="965"/>
      <c r="F77" s="965"/>
      <c r="G77" s="962">
        <f>G13-G45</f>
        <v>-0.44794598872512381</v>
      </c>
      <c r="H77" s="962">
        <f t="shared" si="16"/>
        <v>-0.46079806962045922</v>
      </c>
      <c r="I77" s="962">
        <f t="shared" si="16"/>
        <v>-0.47569474098132503</v>
      </c>
      <c r="J77" s="962">
        <f t="shared" si="16"/>
        <v>-0.49050577033209208</v>
      </c>
      <c r="K77" s="962">
        <f t="shared" si="16"/>
        <v>-0.73312662441791332</v>
      </c>
      <c r="L77" s="962">
        <f t="shared" si="16"/>
        <v>-0.86994506180425191</v>
      </c>
      <c r="M77" s="962">
        <f t="shared" si="16"/>
        <v>-1.0656013128862369</v>
      </c>
      <c r="N77" s="965"/>
    </row>
    <row r="78" spans="1:14" hidden="1" x14ac:dyDescent="0.3">
      <c r="A78" s="964"/>
      <c r="B78" s="965"/>
      <c r="C78" s="965"/>
      <c r="D78" s="965"/>
      <c r="E78" s="965"/>
      <c r="F78" s="965"/>
      <c r="G78" s="965"/>
      <c r="H78" s="965"/>
      <c r="I78" s="965"/>
      <c r="J78" s="965"/>
      <c r="K78" s="965"/>
      <c r="L78" s="965"/>
      <c r="M78" s="965"/>
      <c r="N78" s="965"/>
    </row>
    <row r="79" spans="1:14" hidden="1" x14ac:dyDescent="0.3">
      <c r="A79" s="966"/>
      <c r="B79" s="967"/>
      <c r="C79" s="967"/>
      <c r="D79" s="967"/>
      <c r="E79" s="967"/>
      <c r="F79" s="967"/>
      <c r="G79" s="967"/>
      <c r="H79" s="967"/>
      <c r="I79" s="967"/>
      <c r="J79" s="967"/>
      <c r="K79" s="967"/>
      <c r="L79" s="967"/>
      <c r="M79" s="967"/>
      <c r="N79" s="967"/>
    </row>
    <row r="80" spans="1:14" hidden="1" x14ac:dyDescent="0.3">
      <c r="A80" s="968"/>
      <c r="B80" s="267"/>
      <c r="C80" s="267"/>
      <c r="D80" s="267"/>
      <c r="E80" s="267"/>
      <c r="F80" s="267"/>
      <c r="G80" s="267"/>
      <c r="H80" s="267"/>
      <c r="I80" s="267"/>
      <c r="J80" s="267"/>
      <c r="K80" s="267"/>
      <c r="L80" s="267"/>
      <c r="M80" s="267"/>
      <c r="N80" s="267"/>
    </row>
    <row r="81" spans="1:14" hidden="1" x14ac:dyDescent="0.3">
      <c r="A81" s="964"/>
      <c r="B81" s="965"/>
      <c r="C81" s="965"/>
      <c r="D81" s="965"/>
      <c r="E81" s="965"/>
      <c r="F81" s="965"/>
      <c r="G81" s="962">
        <f>G17-G49</f>
        <v>-0.73773570519558618</v>
      </c>
      <c r="H81" s="962">
        <f t="shared" ref="H81:M81" si="17">H17-H49</f>
        <v>-2.3738490419027869E-2</v>
      </c>
      <c r="I81" s="962">
        <f t="shared" si="17"/>
        <v>-6.7746469516499985E-2</v>
      </c>
      <c r="J81" s="962">
        <f t="shared" si="17"/>
        <v>-0.11552174019781347</v>
      </c>
      <c r="K81" s="962">
        <f t="shared" si="17"/>
        <v>-0.18403721246377813</v>
      </c>
      <c r="L81" s="962">
        <f t="shared" si="17"/>
        <v>-0.22748571680805085</v>
      </c>
      <c r="M81" s="962">
        <f t="shared" si="17"/>
        <v>-0.2757788904373335</v>
      </c>
      <c r="N81" s="965"/>
    </row>
    <row r="82" spans="1:14" hidden="1" x14ac:dyDescent="0.3">
      <c r="A82" s="968"/>
      <c r="B82" s="267"/>
      <c r="C82" s="267"/>
      <c r="D82" s="267"/>
      <c r="E82" s="267"/>
      <c r="F82" s="267"/>
      <c r="G82" s="267"/>
      <c r="H82" s="267"/>
      <c r="I82" s="267"/>
      <c r="J82" s="267"/>
      <c r="K82" s="267"/>
      <c r="L82" s="267"/>
      <c r="M82" s="267"/>
      <c r="N82" s="267"/>
    </row>
    <row r="83" spans="1:14" hidden="1" x14ac:dyDescent="0.3">
      <c r="A83" s="969"/>
      <c r="B83" s="970"/>
      <c r="C83" s="970"/>
      <c r="D83" s="970"/>
      <c r="E83" s="970"/>
      <c r="F83" s="970"/>
      <c r="G83" s="970"/>
      <c r="H83" s="970"/>
      <c r="I83" s="970"/>
      <c r="J83" s="970"/>
      <c r="K83" s="970"/>
      <c r="L83" s="970"/>
      <c r="M83" s="970"/>
      <c r="N83" s="970"/>
    </row>
    <row r="84" spans="1:14" hidden="1" x14ac:dyDescent="0.3">
      <c r="A84" s="971"/>
      <c r="B84" s="972"/>
      <c r="C84" s="972"/>
      <c r="D84" s="972"/>
      <c r="E84" s="972"/>
      <c r="F84" s="972"/>
      <c r="G84" s="972"/>
      <c r="H84" s="972"/>
      <c r="I84" s="972"/>
      <c r="J84" s="972"/>
      <c r="K84" s="972"/>
      <c r="L84" s="972"/>
      <c r="M84" s="972"/>
      <c r="N84" s="972"/>
    </row>
    <row r="85" spans="1:14" hidden="1" x14ac:dyDescent="0.3">
      <c r="A85" s="973"/>
      <c r="B85" s="269"/>
      <c r="C85" s="269"/>
      <c r="D85" s="269"/>
      <c r="E85" s="269"/>
      <c r="F85" s="269"/>
      <c r="G85" s="269"/>
      <c r="H85" s="269"/>
      <c r="I85" s="269"/>
      <c r="J85" s="269"/>
      <c r="K85" s="269"/>
      <c r="L85" s="269"/>
      <c r="M85" s="269"/>
      <c r="N85" s="269"/>
    </row>
    <row r="86" spans="1:14" hidden="1" x14ac:dyDescent="0.3">
      <c r="A86" s="961"/>
      <c r="B86" s="962"/>
      <c r="C86" s="962"/>
      <c r="D86" s="962"/>
      <c r="E86" s="962"/>
      <c r="F86" s="962"/>
      <c r="G86" s="962">
        <f t="shared" ref="G86:M86" si="18">G22-G54</f>
        <v>0</v>
      </c>
      <c r="H86" s="962">
        <f t="shared" si="18"/>
        <v>0</v>
      </c>
      <c r="I86" s="962">
        <f t="shared" si="18"/>
        <v>0</v>
      </c>
      <c r="J86" s="962">
        <f t="shared" si="18"/>
        <v>0</v>
      </c>
      <c r="K86" s="962">
        <f t="shared" si="18"/>
        <v>0</v>
      </c>
      <c r="L86" s="962">
        <f t="shared" si="18"/>
        <v>0</v>
      </c>
      <c r="M86" s="962">
        <f t="shared" si="18"/>
        <v>0</v>
      </c>
      <c r="N86" s="962"/>
    </row>
    <row r="87" spans="1:14" hidden="1" x14ac:dyDescent="0.3">
      <c r="A87" s="964"/>
      <c r="B87" s="965"/>
      <c r="C87" s="965"/>
      <c r="D87" s="965"/>
      <c r="E87" s="965"/>
      <c r="F87" s="965"/>
      <c r="G87" s="962">
        <f t="shared" ref="G87:M87" si="19">G23-G55</f>
        <v>-1.4913514071361078</v>
      </c>
      <c r="H87" s="962">
        <f t="shared" si="19"/>
        <v>8.0534756404830432E-2</v>
      </c>
      <c r="I87" s="962">
        <f t="shared" si="19"/>
        <v>0.60591816652829777</v>
      </c>
      <c r="J87" s="962">
        <f t="shared" si="19"/>
        <v>0.68438498761614142</v>
      </c>
      <c r="K87" s="962">
        <f t="shared" si="19"/>
        <v>1.0184642538327751</v>
      </c>
      <c r="L87" s="962">
        <f t="shared" si="19"/>
        <v>0.71362169120025953</v>
      </c>
      <c r="M87" s="962">
        <f t="shared" si="19"/>
        <v>3.1429489549971379E-2</v>
      </c>
      <c r="N87" s="965"/>
    </row>
    <row r="88" spans="1:14" hidden="1" x14ac:dyDescent="0.3">
      <c r="A88" s="964"/>
      <c r="B88" s="965"/>
      <c r="C88" s="965"/>
      <c r="D88" s="965"/>
      <c r="E88" s="965"/>
      <c r="F88" s="965"/>
      <c r="G88" s="962">
        <f t="shared" ref="G88:M88" si="20">G24-G56</f>
        <v>-0.40461363989941113</v>
      </c>
      <c r="H88" s="962">
        <f t="shared" si="20"/>
        <v>0</v>
      </c>
      <c r="I88" s="962">
        <f t="shared" si="20"/>
        <v>0</v>
      </c>
      <c r="J88" s="962">
        <f t="shared" si="20"/>
        <v>0</v>
      </c>
      <c r="K88" s="962">
        <f t="shared" si="20"/>
        <v>0</v>
      </c>
      <c r="L88" s="962">
        <f t="shared" si="20"/>
        <v>0</v>
      </c>
      <c r="M88" s="962">
        <f t="shared" si="20"/>
        <v>0</v>
      </c>
      <c r="N88" s="962"/>
    </row>
    <row r="89" spans="1:14" hidden="1" x14ac:dyDescent="0.3">
      <c r="A89" s="964"/>
      <c r="B89" s="965"/>
      <c r="C89" s="965"/>
      <c r="D89" s="965"/>
      <c r="E89" s="965"/>
      <c r="F89" s="965"/>
      <c r="G89" s="962">
        <f t="shared" ref="G89:M89" si="21">G25-G57</f>
        <v>0</v>
      </c>
      <c r="H89" s="962">
        <f t="shared" si="21"/>
        <v>0</v>
      </c>
      <c r="I89" s="962">
        <f t="shared" si="21"/>
        <v>0</v>
      </c>
      <c r="J89" s="962">
        <f t="shared" si="21"/>
        <v>0</v>
      </c>
      <c r="K89" s="962">
        <f t="shared" si="21"/>
        <v>0</v>
      </c>
      <c r="L89" s="962">
        <f t="shared" si="21"/>
        <v>0</v>
      </c>
      <c r="M89" s="962">
        <f t="shared" si="21"/>
        <v>0</v>
      </c>
      <c r="N89" s="962"/>
    </row>
    <row r="90" spans="1:14" hidden="1" x14ac:dyDescent="0.3">
      <c r="A90" s="974"/>
      <c r="B90" s="975"/>
      <c r="C90" s="975"/>
      <c r="D90" s="975"/>
      <c r="E90" s="975"/>
      <c r="F90" s="975"/>
      <c r="G90" s="962">
        <f t="shared" ref="G90:M90" si="22">G26-G58</f>
        <v>0</v>
      </c>
      <c r="H90" s="962">
        <f t="shared" si="22"/>
        <v>0</v>
      </c>
      <c r="I90" s="962">
        <f t="shared" si="22"/>
        <v>0</v>
      </c>
      <c r="J90" s="962">
        <f t="shared" si="22"/>
        <v>0</v>
      </c>
      <c r="K90" s="962">
        <f t="shared" si="22"/>
        <v>0</v>
      </c>
      <c r="L90" s="962">
        <f t="shared" si="22"/>
        <v>0</v>
      </c>
      <c r="M90" s="962">
        <f t="shared" si="22"/>
        <v>0</v>
      </c>
      <c r="N90" s="962"/>
    </row>
    <row r="91" spans="1:14" hidden="1" x14ac:dyDescent="0.3">
      <c r="A91" s="976"/>
      <c r="B91" s="329"/>
      <c r="C91" s="329"/>
      <c r="D91" s="329"/>
      <c r="E91" s="329"/>
      <c r="F91" s="329"/>
      <c r="G91" s="329"/>
      <c r="H91" s="329"/>
      <c r="I91" s="329"/>
      <c r="J91" s="329"/>
      <c r="K91" s="329"/>
      <c r="L91" s="329"/>
      <c r="M91" s="329"/>
      <c r="N91" s="329"/>
    </row>
    <row r="92" spans="1:14" hidden="1" x14ac:dyDescent="0.3">
      <c r="A92" s="973"/>
      <c r="B92" s="269"/>
      <c r="C92" s="269"/>
      <c r="D92" s="269"/>
      <c r="E92" s="269"/>
      <c r="F92" s="269"/>
      <c r="G92" s="269"/>
      <c r="H92" s="269"/>
      <c r="I92" s="269"/>
      <c r="J92" s="269"/>
      <c r="K92" s="269"/>
      <c r="L92" s="269"/>
      <c r="M92" s="269"/>
      <c r="N92" s="269"/>
    </row>
    <row r="93" spans="1:14" hidden="1" x14ac:dyDescent="0.3">
      <c r="A93" s="977"/>
      <c r="B93" s="978"/>
      <c r="C93" s="978"/>
      <c r="D93" s="978"/>
      <c r="E93" s="978"/>
      <c r="F93" s="978"/>
      <c r="G93" s="962">
        <f t="shared" ref="G93:M93" si="23">G29-G61</f>
        <v>0</v>
      </c>
      <c r="H93" s="962">
        <f t="shared" si="23"/>
        <v>0</v>
      </c>
      <c r="I93" s="962">
        <f t="shared" si="23"/>
        <v>0</v>
      </c>
      <c r="J93" s="962">
        <f t="shared" si="23"/>
        <v>0</v>
      </c>
      <c r="K93" s="962">
        <f t="shared" si="23"/>
        <v>0</v>
      </c>
      <c r="L93" s="962">
        <f t="shared" si="23"/>
        <v>0</v>
      </c>
      <c r="M93" s="962">
        <f t="shared" si="23"/>
        <v>0</v>
      </c>
      <c r="N93" s="962"/>
    </row>
    <row r="94" spans="1:14" hidden="1" x14ac:dyDescent="0.3">
      <c r="A94" s="979"/>
      <c r="B94" s="980"/>
      <c r="C94" s="980"/>
      <c r="D94" s="980"/>
      <c r="E94" s="980"/>
      <c r="F94" s="980"/>
      <c r="G94" s="962">
        <f t="shared" ref="G94:M94" si="24">G30-G62</f>
        <v>-4.8041669883946554</v>
      </c>
      <c r="H94" s="962">
        <f t="shared" si="24"/>
        <v>-3.9226474094149495</v>
      </c>
      <c r="I94" s="962">
        <f t="shared" si="24"/>
        <v>-1.064540764414474</v>
      </c>
      <c r="J94" s="962">
        <f t="shared" si="24"/>
        <v>-1.3956170683562021</v>
      </c>
      <c r="K94" s="962">
        <f t="shared" si="24"/>
        <v>-1.6272177296328181</v>
      </c>
      <c r="L94" s="962">
        <f t="shared" si="24"/>
        <v>-2.0154718122374931</v>
      </c>
      <c r="M94" s="962">
        <f t="shared" si="24"/>
        <v>-1.9326265707642847</v>
      </c>
      <c r="N94" s="962"/>
    </row>
    <row r="95" spans="1:14" hidden="1" x14ac:dyDescent="0.3">
      <c r="A95" s="976"/>
      <c r="B95" s="329"/>
      <c r="C95" s="329"/>
      <c r="D95" s="329"/>
      <c r="E95" s="329"/>
      <c r="F95" s="329"/>
      <c r="G95" s="329"/>
      <c r="H95" s="329"/>
      <c r="I95" s="329"/>
      <c r="J95" s="329"/>
      <c r="K95" s="329"/>
      <c r="L95" s="329"/>
      <c r="M95" s="329"/>
      <c r="N95" s="329"/>
    </row>
    <row r="96" spans="1:14" hidden="1" x14ac:dyDescent="0.3">
      <c r="A96" s="973"/>
      <c r="B96" s="269"/>
      <c r="C96" s="269"/>
      <c r="D96" s="269"/>
      <c r="E96" s="269"/>
      <c r="F96" s="269"/>
      <c r="G96" s="269"/>
      <c r="H96" s="269"/>
      <c r="I96" s="269"/>
      <c r="J96" s="269"/>
      <c r="K96" s="269"/>
      <c r="L96" s="269"/>
      <c r="M96" s="269"/>
      <c r="N96" s="269"/>
    </row>
    <row r="97" spans="1:14" hidden="1" x14ac:dyDescent="0.3">
      <c r="A97" s="976"/>
      <c r="B97" s="981"/>
      <c r="C97" s="981"/>
      <c r="D97" s="981"/>
      <c r="E97" s="981"/>
      <c r="F97" s="981"/>
      <c r="G97" s="981"/>
      <c r="H97" s="981"/>
      <c r="I97" s="981"/>
      <c r="J97" s="981"/>
      <c r="K97" s="981"/>
      <c r="L97" s="981"/>
      <c r="M97" s="981"/>
      <c r="N97" s="981"/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15975-9762-4C0C-AFBC-E82B7DB73B4A}">
  <sheetPr codeName="Sheet31">
    <tabColor theme="8" tint="0.79998168889431442"/>
  </sheetPr>
  <dimension ref="D2:L27"/>
  <sheetViews>
    <sheetView showGridLines="0" workbookViewId="0">
      <selection activeCell="H11" sqref="H11"/>
    </sheetView>
  </sheetViews>
  <sheetFormatPr defaultRowHeight="14.4" x14ac:dyDescent="0.3"/>
  <cols>
    <col min="4" max="4" width="45.44140625" bestFit="1" customWidth="1"/>
    <col min="5" max="5" width="12.77734375" bestFit="1" customWidth="1"/>
    <col min="6" max="6" width="11.44140625" bestFit="1" customWidth="1"/>
    <col min="10" max="10" width="11.77734375" bestFit="1" customWidth="1"/>
    <col min="11" max="11" width="13.21875" bestFit="1" customWidth="1"/>
    <col min="12" max="12" width="11.44140625" bestFit="1" customWidth="1"/>
  </cols>
  <sheetData>
    <row r="2" spans="4:12" ht="28.8" x14ac:dyDescent="0.3">
      <c r="D2" s="290" t="s">
        <v>412</v>
      </c>
      <c r="E2" s="292" t="s">
        <v>413</v>
      </c>
      <c r="F2" s="293" t="s">
        <v>414</v>
      </c>
      <c r="J2" s="290" t="s">
        <v>412</v>
      </c>
      <c r="K2" s="292" t="s">
        <v>413</v>
      </c>
      <c r="L2" s="293" t="s">
        <v>414</v>
      </c>
    </row>
    <row r="3" spans="4:12" x14ac:dyDescent="0.3">
      <c r="D3" s="291" t="s">
        <v>225</v>
      </c>
      <c r="E3" s="287">
        <v>216125.29</v>
      </c>
      <c r="F3" s="286">
        <f t="shared" ref="F3:F9" si="0">E3/45</f>
        <v>4802.7842222222225</v>
      </c>
    </row>
    <row r="4" spans="4:12" x14ac:dyDescent="0.3">
      <c r="D4" s="291" t="s">
        <v>227</v>
      </c>
      <c r="E4" s="287">
        <v>2336836.06</v>
      </c>
      <c r="F4" s="286">
        <f t="shared" si="0"/>
        <v>51929.690222222227</v>
      </c>
    </row>
    <row r="5" spans="4:12" x14ac:dyDescent="0.3">
      <c r="D5" s="291" t="s">
        <v>228</v>
      </c>
      <c r="E5" s="287">
        <v>2322423.23</v>
      </c>
      <c r="F5" s="286">
        <f t="shared" si="0"/>
        <v>51609.405111111111</v>
      </c>
    </row>
    <row r="6" spans="4:12" x14ac:dyDescent="0.3">
      <c r="D6" s="291" t="s">
        <v>229</v>
      </c>
      <c r="E6" s="287">
        <v>292792.52</v>
      </c>
      <c r="F6" s="286">
        <f t="shared" si="0"/>
        <v>6506.5004444444448</v>
      </c>
    </row>
    <row r="7" spans="4:12" x14ac:dyDescent="0.3">
      <c r="D7" s="291" t="s">
        <v>230</v>
      </c>
      <c r="E7" s="287">
        <v>8835.9</v>
      </c>
      <c r="F7" s="286">
        <f t="shared" si="0"/>
        <v>196.35333333333332</v>
      </c>
    </row>
    <row r="8" spans="4:12" x14ac:dyDescent="0.3">
      <c r="D8" s="291" t="s">
        <v>231</v>
      </c>
      <c r="E8" s="287">
        <v>160980.37</v>
      </c>
      <c r="F8" s="286">
        <f t="shared" si="0"/>
        <v>3577.3415555555553</v>
      </c>
    </row>
    <row r="9" spans="4:12" x14ac:dyDescent="0.3">
      <c r="D9" s="291" t="s">
        <v>232</v>
      </c>
      <c r="E9" s="288">
        <v>3364.74</v>
      </c>
      <c r="F9" s="286">
        <f t="shared" si="0"/>
        <v>74.771999999999991</v>
      </c>
    </row>
    <row r="10" spans="4:12" x14ac:dyDescent="0.3">
      <c r="D10" s="289" t="s">
        <v>114</v>
      </c>
      <c r="E10" s="289">
        <f>SUM(E3:E9)</f>
        <v>5341358.1100000003</v>
      </c>
      <c r="F10" s="289">
        <f>SUM(F3:F9)</f>
        <v>118696.84688888889</v>
      </c>
      <c r="J10" s="129" t="s">
        <v>114</v>
      </c>
      <c r="K10" s="305">
        <v>5341358.1100000003</v>
      </c>
      <c r="L10" s="305">
        <v>118696.84688888889</v>
      </c>
    </row>
    <row r="14" spans="4:12" x14ac:dyDescent="0.3">
      <c r="D14" s="1268" t="s">
        <v>415</v>
      </c>
      <c r="E14" s="1268"/>
    </row>
    <row r="15" spans="4:12" x14ac:dyDescent="0.3">
      <c r="D15" s="294"/>
      <c r="E15" s="295" t="s">
        <v>130</v>
      </c>
    </row>
    <row r="16" spans="4:12" x14ac:dyDescent="0.3">
      <c r="D16" s="296" t="s">
        <v>416</v>
      </c>
      <c r="E16" s="297">
        <v>108626.94977777779</v>
      </c>
    </row>
    <row r="17" spans="4:6" x14ac:dyDescent="0.3">
      <c r="D17" s="296" t="s">
        <v>417</v>
      </c>
      <c r="E17" s="297">
        <v>36493.750707797284</v>
      </c>
    </row>
    <row r="18" spans="4:6" x14ac:dyDescent="0.3">
      <c r="D18" s="298" t="s">
        <v>418</v>
      </c>
      <c r="E18" s="299">
        <v>0</v>
      </c>
    </row>
    <row r="19" spans="4:6" x14ac:dyDescent="0.3">
      <c r="D19" s="298" t="s">
        <v>419</v>
      </c>
      <c r="E19" s="300">
        <v>15656.330480019493</v>
      </c>
    </row>
    <row r="20" spans="4:6" x14ac:dyDescent="0.3">
      <c r="D20" s="298" t="s">
        <v>420</v>
      </c>
      <c r="E20" s="299">
        <v>20837.420227777788</v>
      </c>
    </row>
    <row r="21" spans="4:6" x14ac:dyDescent="0.3">
      <c r="D21" s="296" t="s">
        <v>421</v>
      </c>
      <c r="E21" s="297">
        <v>24457.341269841272</v>
      </c>
    </row>
    <row r="22" spans="4:6" x14ac:dyDescent="0.3">
      <c r="D22" s="301"/>
      <c r="E22" s="302"/>
    </row>
    <row r="23" spans="4:6" x14ac:dyDescent="0.3">
      <c r="D23" s="303" t="s">
        <v>67</v>
      </c>
      <c r="E23" s="307">
        <v>169578.04175541634</v>
      </c>
    </row>
    <row r="25" spans="4:6" x14ac:dyDescent="0.3">
      <c r="D25" s="304" t="s">
        <v>422</v>
      </c>
      <c r="E25" s="305">
        <v>-14506</v>
      </c>
    </row>
    <row r="27" spans="4:6" x14ac:dyDescent="0.3">
      <c r="D27" s="304" t="s">
        <v>423</v>
      </c>
      <c r="E27" s="306">
        <f>E23+E25</f>
        <v>155072.04175541634</v>
      </c>
      <c r="F27" s="87">
        <f>E27-F10</f>
        <v>36375.194866527454</v>
      </c>
    </row>
  </sheetData>
  <mergeCells count="1">
    <mergeCell ref="D14:E14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6DF0A-5670-45E5-A2CB-F9DC2714A656}">
  <sheetPr codeName="Sheet32">
    <tabColor theme="8" tint="0.79998168889431442"/>
  </sheetPr>
  <dimension ref="A1:P77"/>
  <sheetViews>
    <sheetView topLeftCell="A18" workbookViewId="0">
      <selection activeCell="E16" sqref="E16"/>
    </sheetView>
  </sheetViews>
  <sheetFormatPr defaultRowHeight="14.4" x14ac:dyDescent="0.3"/>
  <cols>
    <col min="2" max="2" width="23.44140625" customWidth="1"/>
    <col min="3" max="3" width="20.44140625" bestFit="1" customWidth="1"/>
    <col min="4" max="4" width="27.21875" bestFit="1" customWidth="1"/>
    <col min="5" max="8" width="12.21875" bestFit="1" customWidth="1"/>
    <col min="9" max="9" width="12.44140625" bestFit="1" customWidth="1"/>
    <col min="10" max="10" width="13.44140625" bestFit="1" customWidth="1"/>
    <col min="11" max="15" width="12.21875" bestFit="1" customWidth="1"/>
    <col min="16" max="16" width="13.5546875" bestFit="1" customWidth="1"/>
  </cols>
  <sheetData>
    <row r="1" spans="1:16" s="32" customFormat="1" ht="15" thickBot="1" x14ac:dyDescent="0.35">
      <c r="D1" s="32" t="s">
        <v>0</v>
      </c>
      <c r="E1" s="32" t="s">
        <v>1</v>
      </c>
      <c r="F1" s="32" t="s">
        <v>2</v>
      </c>
      <c r="G1" s="32" t="s">
        <v>3</v>
      </c>
      <c r="H1" s="32" t="s">
        <v>4</v>
      </c>
      <c r="I1" s="32" t="s">
        <v>5</v>
      </c>
      <c r="J1" s="32" t="s">
        <v>6</v>
      </c>
      <c r="K1" s="32" t="s">
        <v>7</v>
      </c>
      <c r="L1" s="32" t="s">
        <v>8</v>
      </c>
      <c r="M1" s="32" t="s">
        <v>9</v>
      </c>
      <c r="N1" s="32" t="s">
        <v>10</v>
      </c>
      <c r="O1" s="32" t="s">
        <v>11</v>
      </c>
      <c r="P1" s="32" t="s">
        <v>114</v>
      </c>
    </row>
    <row r="2" spans="1:16" x14ac:dyDescent="0.3">
      <c r="A2" s="1269" t="s">
        <v>415</v>
      </c>
      <c r="B2" s="180" t="s">
        <v>208</v>
      </c>
      <c r="C2" s="180" t="s">
        <v>424</v>
      </c>
      <c r="D2" s="181">
        <v>-17262.859515982309</v>
      </c>
      <c r="E2" s="181">
        <v>-15188.036511539411</v>
      </c>
      <c r="F2" s="181">
        <v>-10208.304087540257</v>
      </c>
      <c r="G2" s="181">
        <v>-18469.79904007287</v>
      </c>
      <c r="H2" s="181">
        <v>-19228.678170644587</v>
      </c>
      <c r="I2" s="181">
        <v>-8759.6577600799537</v>
      </c>
      <c r="J2" s="181">
        <v>-33149.131919773266</v>
      </c>
      <c r="K2" s="181">
        <v>-34510.321591986736</v>
      </c>
      <c r="L2" s="181">
        <v>-44119.246054388401</v>
      </c>
      <c r="M2" s="181">
        <v>-45162.526296578333</v>
      </c>
      <c r="N2" s="181">
        <v>-54323.690998383463</v>
      </c>
      <c r="O2" s="181">
        <v>-38616.726356417574</v>
      </c>
      <c r="P2" s="182">
        <f t="shared" ref="P2:P12" si="0">SUM(D2:O2)</f>
        <v>-338998.97830338718</v>
      </c>
    </row>
    <row r="3" spans="1:16" x14ac:dyDescent="0.3">
      <c r="A3" s="1270"/>
      <c r="B3" s="70" t="s">
        <v>216</v>
      </c>
      <c r="C3" s="70" t="s">
        <v>75</v>
      </c>
      <c r="D3" s="150">
        <v>-1690.8450167861001</v>
      </c>
      <c r="E3" s="150">
        <v>-1690.8450167861001</v>
      </c>
      <c r="F3" s="150">
        <v>-1690.8450167861001</v>
      </c>
      <c r="G3" s="150">
        <v>-1690.8450167861001</v>
      </c>
      <c r="H3" s="150">
        <v>-1690.8450167861001</v>
      </c>
      <c r="I3" s="150">
        <v>-1690.8450167861001</v>
      </c>
      <c r="J3" s="150">
        <v>-1690.8450167861001</v>
      </c>
      <c r="K3" s="150">
        <v>-1690.8450167861001</v>
      </c>
      <c r="L3" s="150">
        <v>-1690.8450167861001</v>
      </c>
      <c r="M3" s="150">
        <v>-1690.8450167861001</v>
      </c>
      <c r="N3" s="150">
        <v>-1690.8450167861001</v>
      </c>
      <c r="O3" s="150">
        <v>-1690.8450167861001</v>
      </c>
      <c r="P3" s="183">
        <f t="shared" si="0"/>
        <v>-20290.140201433209</v>
      </c>
    </row>
    <row r="4" spans="1:16" x14ac:dyDescent="0.3">
      <c r="A4" s="1270"/>
      <c r="B4" s="70" t="s">
        <v>209</v>
      </c>
      <c r="C4" s="70" t="s">
        <v>76</v>
      </c>
      <c r="D4" s="150">
        <v>-519.26525000000004</v>
      </c>
      <c r="E4" s="150">
        <v>-519.26525000000004</v>
      </c>
      <c r="F4" s="150">
        <v>-519.26525000000004</v>
      </c>
      <c r="G4" s="150">
        <v>-519.26525000000004</v>
      </c>
      <c r="H4" s="150">
        <v>-519.26525000000004</v>
      </c>
      <c r="I4" s="150">
        <v>-519.26525000000004</v>
      </c>
      <c r="J4" s="150">
        <v>-519.26525000000004</v>
      </c>
      <c r="K4" s="150">
        <v>-519.26525000000004</v>
      </c>
      <c r="L4" s="150">
        <v>-519.26525000000004</v>
      </c>
      <c r="M4" s="150">
        <v>-519.26525000000004</v>
      </c>
      <c r="N4" s="150">
        <v>-519.26525000000004</v>
      </c>
      <c r="O4" s="150">
        <v>-519.26525000000004</v>
      </c>
      <c r="P4" s="183">
        <f t="shared" si="0"/>
        <v>-6231.1830000000018</v>
      </c>
    </row>
    <row r="5" spans="1:16" x14ac:dyDescent="0.3">
      <c r="A5" s="1270"/>
      <c r="B5" s="70" t="s">
        <v>214</v>
      </c>
      <c r="C5" s="70"/>
      <c r="D5" s="150">
        <v>0</v>
      </c>
      <c r="E5" s="150">
        <v>0</v>
      </c>
      <c r="F5" s="150">
        <v>0</v>
      </c>
      <c r="G5" s="150">
        <v>0</v>
      </c>
      <c r="H5" s="150">
        <v>0</v>
      </c>
      <c r="I5" s="150">
        <v>0</v>
      </c>
      <c r="J5" s="150">
        <v>0</v>
      </c>
      <c r="K5" s="150">
        <v>0</v>
      </c>
      <c r="L5" s="150">
        <v>0</v>
      </c>
      <c r="M5" s="150">
        <v>0</v>
      </c>
      <c r="N5" s="150">
        <v>0</v>
      </c>
      <c r="O5" s="150">
        <v>0</v>
      </c>
      <c r="P5" s="183">
        <f t="shared" si="0"/>
        <v>0</v>
      </c>
    </row>
    <row r="6" spans="1:16" x14ac:dyDescent="0.3">
      <c r="A6" s="1270"/>
      <c r="B6" s="70" t="s">
        <v>212</v>
      </c>
      <c r="C6" s="70" t="s">
        <v>425</v>
      </c>
      <c r="D6" s="150">
        <v>-1791.43388191335</v>
      </c>
      <c r="E6" s="150">
        <v>-1791.43388191335</v>
      </c>
      <c r="F6" s="150">
        <v>-1791.43388191335</v>
      </c>
      <c r="G6" s="150">
        <v>-1791.43388191335</v>
      </c>
      <c r="H6" s="150">
        <v>-1791.43388191335</v>
      </c>
      <c r="I6" s="150">
        <v>-1791.43388191335</v>
      </c>
      <c r="J6" s="150">
        <v>-1791.43388191335</v>
      </c>
      <c r="K6" s="150">
        <v>-1791.43388191335</v>
      </c>
      <c r="L6" s="150">
        <v>-1791.43388191335</v>
      </c>
      <c r="M6" s="150">
        <v>-1791.43388191335</v>
      </c>
      <c r="N6" s="150">
        <v>-1791.43388191335</v>
      </c>
      <c r="O6" s="150">
        <v>-1791.43388191335</v>
      </c>
      <c r="P6" s="183">
        <f t="shared" si="0"/>
        <v>-21497.2065829602</v>
      </c>
    </row>
    <row r="7" spans="1:16" x14ac:dyDescent="0.3">
      <c r="A7" s="1270"/>
      <c r="B7" s="70"/>
      <c r="C7" s="70"/>
      <c r="D7" s="150">
        <v>0</v>
      </c>
      <c r="E7" s="150">
        <v>0</v>
      </c>
      <c r="F7" s="150">
        <v>0</v>
      </c>
      <c r="G7" s="150">
        <v>0</v>
      </c>
      <c r="H7" s="150">
        <v>0</v>
      </c>
      <c r="I7" s="150">
        <v>0</v>
      </c>
      <c r="J7" s="150">
        <v>0</v>
      </c>
      <c r="K7" s="150">
        <v>0</v>
      </c>
      <c r="L7" s="150">
        <v>0</v>
      </c>
      <c r="M7" s="150">
        <v>0</v>
      </c>
      <c r="N7" s="150">
        <v>0</v>
      </c>
      <c r="O7" s="150">
        <v>0</v>
      </c>
      <c r="P7" s="183">
        <f t="shared" si="0"/>
        <v>0</v>
      </c>
    </row>
    <row r="8" spans="1:16" x14ac:dyDescent="0.3">
      <c r="A8" s="1270"/>
      <c r="B8" s="70" t="s">
        <v>217</v>
      </c>
      <c r="C8" s="70" t="s">
        <v>426</v>
      </c>
      <c r="D8" s="150">
        <v>-7333.333333333333</v>
      </c>
      <c r="E8" s="150">
        <v>-7333.333333333333</v>
      </c>
      <c r="F8" s="150">
        <v>-7333.333333333333</v>
      </c>
      <c r="G8" s="150">
        <v>-7333.333333333333</v>
      </c>
      <c r="H8" s="150">
        <v>-7333.333333333333</v>
      </c>
      <c r="I8" s="150">
        <v>-7333.333333333333</v>
      </c>
      <c r="J8" s="150">
        <v>-28227.450980392157</v>
      </c>
      <c r="K8" s="150">
        <v>-7333.333333333333</v>
      </c>
      <c r="L8" s="150">
        <v>-7333.333333333333</v>
      </c>
      <c r="M8" s="150">
        <v>-40086.274509803923</v>
      </c>
      <c r="N8" s="150">
        <v>-49686.274509803923</v>
      </c>
      <c r="O8" s="150">
        <v>-7333.333333333333</v>
      </c>
      <c r="P8" s="183">
        <f t="shared" si="0"/>
        <v>-184000</v>
      </c>
    </row>
    <row r="9" spans="1:16" x14ac:dyDescent="0.3">
      <c r="A9" s="1270"/>
      <c r="B9" s="70" t="s">
        <v>218</v>
      </c>
      <c r="C9" s="70"/>
      <c r="D9" s="150">
        <v>0</v>
      </c>
      <c r="E9" s="150">
        <v>0</v>
      </c>
      <c r="F9" s="150">
        <v>0</v>
      </c>
      <c r="G9" s="150">
        <v>0</v>
      </c>
      <c r="H9" s="150">
        <v>0</v>
      </c>
      <c r="I9" s="150">
        <v>0</v>
      </c>
      <c r="J9" s="150">
        <v>0</v>
      </c>
      <c r="K9" s="150">
        <v>0</v>
      </c>
      <c r="L9" s="150">
        <v>0</v>
      </c>
      <c r="M9" s="150">
        <v>0</v>
      </c>
      <c r="N9" s="150">
        <v>0</v>
      </c>
      <c r="O9" s="150">
        <v>0</v>
      </c>
      <c r="P9" s="183">
        <f t="shared" si="0"/>
        <v>0</v>
      </c>
    </row>
    <row r="10" spans="1:16" x14ac:dyDescent="0.3">
      <c r="A10" s="1270"/>
      <c r="B10" s="70" t="s">
        <v>219</v>
      </c>
      <c r="C10" s="70" t="s">
        <v>82</v>
      </c>
      <c r="D10" s="150">
        <v>-21785.625370370373</v>
      </c>
      <c r="E10" s="150">
        <v>-21785.625370370373</v>
      </c>
      <c r="F10" s="150">
        <v>-21785.625370370373</v>
      </c>
      <c r="G10" s="150">
        <v>-21785.625370370373</v>
      </c>
      <c r="H10" s="150">
        <v>-21785.625370370373</v>
      </c>
      <c r="I10" s="150">
        <v>-21785.625370370373</v>
      </c>
      <c r="J10" s="150">
        <v>-21785.625370370373</v>
      </c>
      <c r="K10" s="150">
        <v>-21785.625370370373</v>
      </c>
      <c r="L10" s="150">
        <v>-21785.625370370373</v>
      </c>
      <c r="M10" s="150">
        <v>-21785.625370370373</v>
      </c>
      <c r="N10" s="150">
        <v>-21785.625370370373</v>
      </c>
      <c r="O10" s="150">
        <v>-21785.625370370373</v>
      </c>
      <c r="P10" s="183">
        <f t="shared" si="0"/>
        <v>-261427.50444444446</v>
      </c>
    </row>
    <row r="11" spans="1:16" x14ac:dyDescent="0.3">
      <c r="A11" s="1270"/>
      <c r="B11" s="70" t="s">
        <v>215</v>
      </c>
      <c r="C11" s="70" t="s">
        <v>83</v>
      </c>
      <c r="D11" s="150">
        <v>-1468.957866666665</v>
      </c>
      <c r="E11" s="150">
        <v>-1468.957866666665</v>
      </c>
      <c r="F11" s="150">
        <v>-1468.957866666665</v>
      </c>
      <c r="G11" s="150">
        <v>-1468.957866666665</v>
      </c>
      <c r="H11" s="150">
        <v>-1468.957866666665</v>
      </c>
      <c r="I11" s="150">
        <v>-1468.957866666665</v>
      </c>
      <c r="J11" s="150">
        <v>-1468.957866666665</v>
      </c>
      <c r="K11" s="150">
        <v>-1468.957866666665</v>
      </c>
      <c r="L11" s="150">
        <v>-1468.957866666665</v>
      </c>
      <c r="M11" s="150">
        <v>-1468.957866666665</v>
      </c>
      <c r="N11" s="150">
        <v>-1468.957866666665</v>
      </c>
      <c r="O11" s="150">
        <v>-1468.957866666665</v>
      </c>
      <c r="P11" s="183">
        <f t="shared" si="0"/>
        <v>-17627.494399999985</v>
      </c>
    </row>
    <row r="12" spans="1:16" x14ac:dyDescent="0.3">
      <c r="A12" s="1270"/>
      <c r="B12" s="70" t="s">
        <v>210</v>
      </c>
      <c r="C12" s="70" t="s">
        <v>84</v>
      </c>
      <c r="D12" s="150">
        <v>-3806.2339076281646</v>
      </c>
      <c r="E12" s="150">
        <v>-3806.2339076281646</v>
      </c>
      <c r="F12" s="150">
        <v>-3806.2339076281646</v>
      </c>
      <c r="G12" s="150">
        <v>-3806.2339076281646</v>
      </c>
      <c r="H12" s="150">
        <v>-3806.2339076281646</v>
      </c>
      <c r="I12" s="150">
        <v>-3806.2339076281646</v>
      </c>
      <c r="J12" s="150">
        <v>-3806.2339076281646</v>
      </c>
      <c r="K12" s="150">
        <v>-3806.2339076281646</v>
      </c>
      <c r="L12" s="150">
        <v>-3806.2339076281646</v>
      </c>
      <c r="M12" s="150">
        <v>-3806.2339076281646</v>
      </c>
      <c r="N12" s="150">
        <v>-3806.2339076281646</v>
      </c>
      <c r="O12" s="150">
        <v>-3806.2339076281646</v>
      </c>
      <c r="P12" s="183">
        <f t="shared" si="0"/>
        <v>-45674.806891537977</v>
      </c>
    </row>
    <row r="13" spans="1:16" x14ac:dyDescent="0.3">
      <c r="A13" s="1270"/>
      <c r="B13" s="70" t="s">
        <v>213</v>
      </c>
      <c r="C13" s="70"/>
      <c r="D13" s="150">
        <v>0</v>
      </c>
      <c r="E13" s="150">
        <v>0</v>
      </c>
      <c r="F13" s="150">
        <v>0</v>
      </c>
      <c r="G13" s="150">
        <v>0</v>
      </c>
      <c r="H13" s="150">
        <v>0</v>
      </c>
      <c r="I13" s="150">
        <v>0</v>
      </c>
      <c r="J13" s="150">
        <v>0</v>
      </c>
      <c r="K13" s="150">
        <v>0</v>
      </c>
      <c r="L13" s="150">
        <v>0</v>
      </c>
      <c r="M13" s="150">
        <v>0</v>
      </c>
      <c r="N13" s="150">
        <v>0</v>
      </c>
      <c r="O13" s="150">
        <v>0</v>
      </c>
      <c r="P13" s="183">
        <v>0</v>
      </c>
    </row>
    <row r="14" spans="1:16" ht="15" thickBot="1" x14ac:dyDescent="0.35">
      <c r="A14" s="1271"/>
      <c r="B14" s="184" t="s">
        <v>207</v>
      </c>
      <c r="C14" s="184"/>
      <c r="D14" s="185">
        <v>0</v>
      </c>
      <c r="E14" s="185">
        <v>0</v>
      </c>
      <c r="F14" s="185">
        <v>0</v>
      </c>
      <c r="G14" s="185">
        <v>0</v>
      </c>
      <c r="H14" s="185">
        <v>0</v>
      </c>
      <c r="I14" s="185">
        <v>0</v>
      </c>
      <c r="J14" s="185">
        <v>0</v>
      </c>
      <c r="K14" s="185">
        <v>0</v>
      </c>
      <c r="L14" s="185">
        <v>0</v>
      </c>
      <c r="M14" s="185">
        <v>0</v>
      </c>
      <c r="N14" s="185">
        <v>0</v>
      </c>
      <c r="O14" s="185">
        <v>0</v>
      </c>
      <c r="P14" s="186">
        <v>0</v>
      </c>
    </row>
    <row r="15" spans="1:16" ht="15" thickBot="1" x14ac:dyDescent="0.35">
      <c r="D15" s="107"/>
    </row>
    <row r="16" spans="1:16" x14ac:dyDescent="0.3">
      <c r="A16" s="1269" t="s">
        <v>70</v>
      </c>
      <c r="B16" s="180" t="s">
        <v>208</v>
      </c>
      <c r="C16" s="180" t="s">
        <v>424</v>
      </c>
      <c r="D16" s="181">
        <v>-42262.859515982309</v>
      </c>
      <c r="E16" s="181">
        <v>-4654.2186436065895</v>
      </c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2">
        <f t="shared" ref="P16:P26" si="1">SUM(D16:O16)</f>
        <v>-46917.078159588898</v>
      </c>
    </row>
    <row r="17" spans="1:16" x14ac:dyDescent="0.3">
      <c r="A17" s="1270"/>
      <c r="B17" s="70" t="s">
        <v>216</v>
      </c>
      <c r="C17" s="70" t="s">
        <v>75</v>
      </c>
      <c r="D17" s="150">
        <v>-1690.8450167861001</v>
      </c>
      <c r="E17" s="150">
        <v>1690.8450167861001</v>
      </c>
      <c r="F17" s="150"/>
      <c r="G17" s="150"/>
      <c r="H17" s="150"/>
      <c r="I17" s="150"/>
      <c r="J17" s="150"/>
      <c r="K17" s="150"/>
      <c r="L17" s="150"/>
      <c r="M17" s="150"/>
      <c r="N17" s="150"/>
      <c r="O17" s="150"/>
      <c r="P17" s="183">
        <f t="shared" si="1"/>
        <v>0</v>
      </c>
    </row>
    <row r="18" spans="1:16" x14ac:dyDescent="0.3">
      <c r="A18" s="1270"/>
      <c r="B18" s="70" t="s">
        <v>209</v>
      </c>
      <c r="C18" s="70" t="s">
        <v>76</v>
      </c>
      <c r="D18" s="150">
        <v>-519.26525000000004</v>
      </c>
      <c r="E18" s="150">
        <v>519.26525000000004</v>
      </c>
      <c r="F18" s="150"/>
      <c r="G18" s="150"/>
      <c r="H18" s="150"/>
      <c r="I18" s="150"/>
      <c r="J18" s="150"/>
      <c r="K18" s="150"/>
      <c r="L18" s="150"/>
      <c r="M18" s="150"/>
      <c r="N18" s="150"/>
      <c r="O18" s="150"/>
      <c r="P18" s="183">
        <f t="shared" si="1"/>
        <v>0</v>
      </c>
    </row>
    <row r="19" spans="1:16" x14ac:dyDescent="0.3">
      <c r="A19" s="1270"/>
      <c r="B19" s="70" t="s">
        <v>214</v>
      </c>
      <c r="C19" s="70"/>
      <c r="D19" s="150">
        <v>0</v>
      </c>
      <c r="E19" s="150">
        <v>0</v>
      </c>
      <c r="F19" s="150"/>
      <c r="G19" s="150"/>
      <c r="H19" s="150"/>
      <c r="I19" s="150"/>
      <c r="J19" s="150"/>
      <c r="K19" s="150"/>
      <c r="L19" s="150"/>
      <c r="M19" s="150"/>
      <c r="N19" s="150"/>
      <c r="O19" s="150"/>
      <c r="P19" s="183">
        <f t="shared" si="1"/>
        <v>0</v>
      </c>
    </row>
    <row r="20" spans="1:16" x14ac:dyDescent="0.3">
      <c r="A20" s="1270"/>
      <c r="B20" s="70" t="s">
        <v>212</v>
      </c>
      <c r="C20" s="70" t="s">
        <v>425</v>
      </c>
      <c r="D20" s="150">
        <v>-38881.433881913348</v>
      </c>
      <c r="E20" s="150">
        <v>-21118.566118086652</v>
      </c>
      <c r="F20" s="150"/>
      <c r="G20" s="150"/>
      <c r="H20" s="150"/>
      <c r="I20" s="150"/>
      <c r="J20" s="150"/>
      <c r="K20" s="150"/>
      <c r="L20" s="150"/>
      <c r="M20" s="150"/>
      <c r="N20" s="150"/>
      <c r="O20" s="150"/>
      <c r="P20" s="183">
        <f t="shared" si="1"/>
        <v>-60000</v>
      </c>
    </row>
    <row r="21" spans="1:16" x14ac:dyDescent="0.3">
      <c r="A21" s="1270"/>
      <c r="B21" s="70"/>
      <c r="C21" s="70"/>
      <c r="D21" s="150">
        <v>0</v>
      </c>
      <c r="E21" s="150"/>
      <c r="F21" s="150"/>
      <c r="G21" s="150"/>
      <c r="H21" s="150"/>
      <c r="I21" s="150"/>
      <c r="J21" s="150"/>
      <c r="K21" s="150"/>
      <c r="L21" s="150"/>
      <c r="M21" s="150"/>
      <c r="N21" s="150"/>
      <c r="O21" s="150"/>
      <c r="P21" s="183">
        <f t="shared" si="1"/>
        <v>0</v>
      </c>
    </row>
    <row r="22" spans="1:16" x14ac:dyDescent="0.3">
      <c r="A22" s="1270"/>
      <c r="B22" s="70" t="s">
        <v>217</v>
      </c>
      <c r="C22" s="70" t="s">
        <v>426</v>
      </c>
      <c r="D22" s="150">
        <v>-22333.333333333332</v>
      </c>
      <c r="E22" s="150">
        <v>-16793.072035256326</v>
      </c>
      <c r="F22" s="150"/>
      <c r="G22" s="150"/>
      <c r="H22" s="150"/>
      <c r="I22" s="150"/>
      <c r="J22" s="150"/>
      <c r="K22" s="150"/>
      <c r="L22" s="150"/>
      <c r="M22" s="150"/>
      <c r="N22" s="150"/>
      <c r="O22" s="150"/>
      <c r="P22" s="183">
        <f t="shared" si="1"/>
        <v>-39126.405368589658</v>
      </c>
    </row>
    <row r="23" spans="1:16" x14ac:dyDescent="0.3">
      <c r="A23" s="1270"/>
      <c r="B23" s="70" t="s">
        <v>218</v>
      </c>
      <c r="C23" s="70"/>
      <c r="D23" s="150">
        <v>-11000</v>
      </c>
      <c r="E23" s="150">
        <v>-3000</v>
      </c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83">
        <f t="shared" si="1"/>
        <v>-14000</v>
      </c>
    </row>
    <row r="24" spans="1:16" x14ac:dyDescent="0.3">
      <c r="A24" s="1270"/>
      <c r="B24" s="70" t="s">
        <v>219</v>
      </c>
      <c r="C24" s="70" t="s">
        <v>82</v>
      </c>
      <c r="D24" s="150">
        <v>-56785.62537037037</v>
      </c>
      <c r="E24" s="150">
        <v>-43900.42436026936</v>
      </c>
      <c r="F24" s="150"/>
      <c r="G24" s="150"/>
      <c r="H24" s="150"/>
      <c r="I24" s="150"/>
      <c r="J24" s="150"/>
      <c r="K24" s="150"/>
      <c r="L24" s="150"/>
      <c r="M24" s="150"/>
      <c r="N24" s="150"/>
      <c r="O24" s="150"/>
      <c r="P24" s="183">
        <f t="shared" si="1"/>
        <v>-100686.04973063973</v>
      </c>
    </row>
    <row r="25" spans="1:16" x14ac:dyDescent="0.3">
      <c r="A25" s="1270"/>
      <c r="B25" s="70" t="s">
        <v>215</v>
      </c>
      <c r="C25" s="70" t="s">
        <v>83</v>
      </c>
      <c r="D25" s="150">
        <v>-1468.957866666665</v>
      </c>
      <c r="E25" s="150">
        <v>-2858.1089333333348</v>
      </c>
      <c r="F25" s="150"/>
      <c r="G25" s="150"/>
      <c r="H25" s="150"/>
      <c r="I25" s="150"/>
      <c r="J25" s="150"/>
      <c r="K25" s="150"/>
      <c r="L25" s="150"/>
      <c r="M25" s="150"/>
      <c r="N25" s="150"/>
      <c r="O25" s="150"/>
      <c r="P25" s="183">
        <f t="shared" si="1"/>
        <v>-4327.0667999999996</v>
      </c>
    </row>
    <row r="26" spans="1:16" x14ac:dyDescent="0.3">
      <c r="A26" s="1270"/>
      <c r="B26" s="70" t="s">
        <v>210</v>
      </c>
      <c r="C26" s="70" t="s">
        <v>84</v>
      </c>
      <c r="D26" s="150">
        <v>-31316.233907628164</v>
      </c>
      <c r="E26" s="150">
        <v>-11075.787434594073</v>
      </c>
      <c r="F26" s="150"/>
      <c r="G26" s="150"/>
      <c r="H26" s="150"/>
      <c r="I26" s="150"/>
      <c r="J26" s="150"/>
      <c r="K26" s="150"/>
      <c r="L26" s="150"/>
      <c r="M26" s="150"/>
      <c r="N26" s="150"/>
      <c r="O26" s="150"/>
      <c r="P26" s="183">
        <f t="shared" si="1"/>
        <v>-42392.021342222237</v>
      </c>
    </row>
    <row r="27" spans="1:16" x14ac:dyDescent="0.3">
      <c r="A27" s="1270"/>
      <c r="B27" s="70" t="s">
        <v>213</v>
      </c>
      <c r="C27" s="70"/>
      <c r="D27" s="150">
        <v>0</v>
      </c>
      <c r="E27" s="150">
        <v>0</v>
      </c>
      <c r="F27" s="150"/>
      <c r="G27" s="150"/>
      <c r="H27" s="150"/>
      <c r="I27" s="150"/>
      <c r="J27" s="150"/>
      <c r="K27" s="150"/>
      <c r="L27" s="150"/>
      <c r="M27" s="150"/>
      <c r="N27" s="150"/>
      <c r="O27" s="150"/>
      <c r="P27" s="183">
        <v>0</v>
      </c>
    </row>
    <row r="28" spans="1:16" ht="15" thickBot="1" x14ac:dyDescent="0.35">
      <c r="A28" s="1271"/>
      <c r="B28" s="184" t="s">
        <v>207</v>
      </c>
      <c r="C28" s="184"/>
      <c r="D28" s="185">
        <v>-48910</v>
      </c>
      <c r="E28" s="185">
        <v>-36583.750707797284</v>
      </c>
      <c r="F28" s="185"/>
      <c r="G28" s="185"/>
      <c r="H28" s="185"/>
      <c r="I28" s="185"/>
      <c r="J28" s="185"/>
      <c r="K28" s="185"/>
      <c r="L28" s="185"/>
      <c r="M28" s="185"/>
      <c r="N28" s="185"/>
      <c r="O28" s="185"/>
      <c r="P28" s="186">
        <v>0</v>
      </c>
    </row>
    <row r="30" spans="1:16" ht="15" thickBot="1" x14ac:dyDescent="0.35">
      <c r="D30" s="107"/>
    </row>
    <row r="31" spans="1:16" x14ac:dyDescent="0.3">
      <c r="A31" s="1269" t="s">
        <v>427</v>
      </c>
      <c r="B31" s="180" t="s">
        <v>208</v>
      </c>
      <c r="C31" s="180" t="s">
        <v>424</v>
      </c>
      <c r="D31" s="181">
        <f>D16-D2</f>
        <v>-25000</v>
      </c>
      <c r="E31" s="181">
        <f>E16-E2</f>
        <v>10533.817867932821</v>
      </c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2">
        <f t="shared" ref="P31:P41" si="2">SUM(D31:O31)</f>
        <v>-14466.182132067179</v>
      </c>
    </row>
    <row r="32" spans="1:16" x14ac:dyDescent="0.3">
      <c r="A32" s="1270"/>
      <c r="B32" s="70" t="s">
        <v>216</v>
      </c>
      <c r="C32" s="70" t="s">
        <v>75</v>
      </c>
      <c r="D32" s="150">
        <f t="shared" ref="D32:E43" si="3">D17-D3</f>
        <v>0</v>
      </c>
      <c r="E32" s="150">
        <f t="shared" si="3"/>
        <v>3381.6900335722003</v>
      </c>
      <c r="F32" s="150"/>
      <c r="G32" s="150"/>
      <c r="H32" s="150"/>
      <c r="I32" s="150"/>
      <c r="J32" s="150"/>
      <c r="K32" s="150"/>
      <c r="L32" s="150"/>
      <c r="M32" s="150"/>
      <c r="N32" s="150"/>
      <c r="O32" s="150"/>
      <c r="P32" s="183">
        <f t="shared" si="2"/>
        <v>3381.6900335722003</v>
      </c>
    </row>
    <row r="33" spans="1:16" x14ac:dyDescent="0.3">
      <c r="A33" s="1270"/>
      <c r="B33" s="70" t="s">
        <v>209</v>
      </c>
      <c r="C33" s="70" t="s">
        <v>76</v>
      </c>
      <c r="D33" s="150">
        <f t="shared" si="3"/>
        <v>0</v>
      </c>
      <c r="E33" s="150">
        <f t="shared" si="3"/>
        <v>1038.5305000000001</v>
      </c>
      <c r="F33" s="150"/>
      <c r="G33" s="150"/>
      <c r="H33" s="150"/>
      <c r="I33" s="150"/>
      <c r="J33" s="150"/>
      <c r="K33" s="150"/>
      <c r="L33" s="150"/>
      <c r="M33" s="150"/>
      <c r="N33" s="150"/>
      <c r="O33" s="150"/>
      <c r="P33" s="183">
        <f t="shared" si="2"/>
        <v>1038.5305000000001</v>
      </c>
    </row>
    <row r="34" spans="1:16" x14ac:dyDescent="0.3">
      <c r="A34" s="1270"/>
      <c r="B34" s="70" t="s">
        <v>214</v>
      </c>
      <c r="C34" s="70"/>
      <c r="D34" s="150">
        <f t="shared" si="3"/>
        <v>0</v>
      </c>
      <c r="E34" s="150">
        <f t="shared" si="3"/>
        <v>0</v>
      </c>
      <c r="F34" s="150"/>
      <c r="G34" s="150"/>
      <c r="H34" s="150"/>
      <c r="I34" s="150"/>
      <c r="J34" s="150"/>
      <c r="K34" s="150"/>
      <c r="L34" s="150"/>
      <c r="M34" s="150"/>
      <c r="N34" s="150"/>
      <c r="O34" s="150"/>
      <c r="P34" s="183">
        <f t="shared" si="2"/>
        <v>0</v>
      </c>
    </row>
    <row r="35" spans="1:16" x14ac:dyDescent="0.3">
      <c r="A35" s="1270"/>
      <c r="B35" s="70" t="s">
        <v>212</v>
      </c>
      <c r="C35" s="70" t="s">
        <v>425</v>
      </c>
      <c r="D35" s="150">
        <f t="shared" si="3"/>
        <v>-37090</v>
      </c>
      <c r="E35" s="150">
        <f t="shared" si="3"/>
        <v>-19327.132236173304</v>
      </c>
      <c r="F35" s="150"/>
      <c r="G35" s="150"/>
      <c r="H35" s="150"/>
      <c r="I35" s="150"/>
      <c r="J35" s="150"/>
      <c r="K35" s="150"/>
      <c r="L35" s="150"/>
      <c r="M35" s="150"/>
      <c r="N35" s="150"/>
      <c r="O35" s="150"/>
      <c r="P35" s="183">
        <f t="shared" si="2"/>
        <v>-56417.132236173304</v>
      </c>
    </row>
    <row r="36" spans="1:16" x14ac:dyDescent="0.3">
      <c r="A36" s="1270"/>
      <c r="B36" s="70"/>
      <c r="C36" s="70"/>
      <c r="D36" s="150">
        <f t="shared" si="3"/>
        <v>0</v>
      </c>
      <c r="E36" s="150">
        <f t="shared" si="3"/>
        <v>0</v>
      </c>
      <c r="F36" s="150"/>
      <c r="G36" s="150"/>
      <c r="H36" s="150"/>
      <c r="I36" s="150"/>
      <c r="J36" s="150"/>
      <c r="K36" s="150"/>
      <c r="L36" s="150"/>
      <c r="M36" s="150"/>
      <c r="N36" s="150"/>
      <c r="O36" s="150"/>
      <c r="P36" s="183">
        <f t="shared" si="2"/>
        <v>0</v>
      </c>
    </row>
    <row r="37" spans="1:16" x14ac:dyDescent="0.3">
      <c r="A37" s="1270"/>
      <c r="B37" s="70" t="s">
        <v>217</v>
      </c>
      <c r="C37" s="70" t="s">
        <v>426</v>
      </c>
      <c r="D37" s="150">
        <f t="shared" si="3"/>
        <v>-15000</v>
      </c>
      <c r="E37" s="150">
        <f t="shared" si="3"/>
        <v>-9459.7387019229936</v>
      </c>
      <c r="F37" s="150"/>
      <c r="G37" s="150"/>
      <c r="H37" s="150"/>
      <c r="I37" s="150"/>
      <c r="J37" s="150"/>
      <c r="K37" s="150"/>
      <c r="L37" s="150"/>
      <c r="M37" s="150"/>
      <c r="N37" s="150"/>
      <c r="O37" s="150"/>
      <c r="P37" s="183">
        <f t="shared" si="2"/>
        <v>-24459.738701922994</v>
      </c>
    </row>
    <row r="38" spans="1:16" x14ac:dyDescent="0.3">
      <c r="A38" s="1270"/>
      <c r="B38" s="70" t="s">
        <v>218</v>
      </c>
      <c r="C38" s="70"/>
      <c r="D38" s="150">
        <f t="shared" si="3"/>
        <v>-11000</v>
      </c>
      <c r="E38" s="150">
        <f t="shared" si="3"/>
        <v>-3000</v>
      </c>
      <c r="F38" s="150"/>
      <c r="G38" s="150"/>
      <c r="H38" s="150"/>
      <c r="I38" s="150"/>
      <c r="J38" s="150"/>
      <c r="K38" s="150"/>
      <c r="L38" s="150"/>
      <c r="M38" s="150"/>
      <c r="N38" s="150"/>
      <c r="O38" s="150"/>
      <c r="P38" s="183">
        <f t="shared" si="2"/>
        <v>-14000</v>
      </c>
    </row>
    <row r="39" spans="1:16" x14ac:dyDescent="0.3">
      <c r="A39" s="1270"/>
      <c r="B39" s="70" t="s">
        <v>219</v>
      </c>
      <c r="C39" s="70" t="s">
        <v>82</v>
      </c>
      <c r="D39" s="150">
        <f t="shared" si="3"/>
        <v>-35000</v>
      </c>
      <c r="E39" s="150">
        <f t="shared" si="3"/>
        <v>-22114.798989898987</v>
      </c>
      <c r="F39" s="150"/>
      <c r="G39" s="150"/>
      <c r="H39" s="150"/>
      <c r="I39" s="150"/>
      <c r="J39" s="150"/>
      <c r="K39" s="150"/>
      <c r="L39" s="150"/>
      <c r="M39" s="150"/>
      <c r="N39" s="150"/>
      <c r="O39" s="150"/>
      <c r="P39" s="183">
        <f t="shared" si="2"/>
        <v>-57114.798989898991</v>
      </c>
    </row>
    <row r="40" spans="1:16" x14ac:dyDescent="0.3">
      <c r="A40" s="1270"/>
      <c r="B40" s="70" t="s">
        <v>215</v>
      </c>
      <c r="C40" s="70" t="s">
        <v>83</v>
      </c>
      <c r="D40" s="150">
        <f t="shared" si="3"/>
        <v>0</v>
      </c>
      <c r="E40" s="150">
        <f t="shared" si="3"/>
        <v>-1389.1510666666697</v>
      </c>
      <c r="F40" s="150"/>
      <c r="G40" s="150"/>
      <c r="H40" s="150"/>
      <c r="I40" s="150"/>
      <c r="J40" s="150"/>
      <c r="K40" s="150"/>
      <c r="L40" s="150"/>
      <c r="M40" s="150"/>
      <c r="N40" s="150"/>
      <c r="O40" s="150"/>
      <c r="P40" s="183">
        <f t="shared" si="2"/>
        <v>-1389.1510666666697</v>
      </c>
    </row>
    <row r="41" spans="1:16" x14ac:dyDescent="0.3">
      <c r="A41" s="1270"/>
      <c r="B41" s="70" t="s">
        <v>210</v>
      </c>
      <c r="C41" s="70" t="s">
        <v>84</v>
      </c>
      <c r="D41" s="150">
        <f t="shared" si="3"/>
        <v>-27510</v>
      </c>
      <c r="E41" s="150">
        <f t="shared" si="3"/>
        <v>-7269.5535269659085</v>
      </c>
      <c r="F41" s="150"/>
      <c r="G41" s="150"/>
      <c r="H41" s="150"/>
      <c r="I41" s="150"/>
      <c r="J41" s="150"/>
      <c r="K41" s="150"/>
      <c r="L41" s="150"/>
      <c r="M41" s="150"/>
      <c r="N41" s="150"/>
      <c r="O41" s="150"/>
      <c r="P41" s="183">
        <f t="shared" si="2"/>
        <v>-34779.553526965909</v>
      </c>
    </row>
    <row r="42" spans="1:16" x14ac:dyDescent="0.3">
      <c r="A42" s="1270"/>
      <c r="B42" s="70" t="s">
        <v>213</v>
      </c>
      <c r="C42" s="70"/>
      <c r="D42" s="150">
        <f t="shared" si="3"/>
        <v>0</v>
      </c>
      <c r="E42" s="150">
        <f t="shared" si="3"/>
        <v>0</v>
      </c>
      <c r="F42" s="150"/>
      <c r="G42" s="150"/>
      <c r="H42" s="150"/>
      <c r="I42" s="150"/>
      <c r="J42" s="150"/>
      <c r="K42" s="150"/>
      <c r="L42" s="150"/>
      <c r="M42" s="150"/>
      <c r="N42" s="150"/>
      <c r="O42" s="150"/>
      <c r="P42" s="183">
        <v>0</v>
      </c>
    </row>
    <row r="43" spans="1:16" ht="15" thickBot="1" x14ac:dyDescent="0.35">
      <c r="A43" s="1271"/>
      <c r="B43" s="184" t="s">
        <v>207</v>
      </c>
      <c r="C43" s="184"/>
      <c r="D43" s="185">
        <f t="shared" si="3"/>
        <v>-48910</v>
      </c>
      <c r="E43" s="185">
        <f t="shared" si="3"/>
        <v>-36583.750707797284</v>
      </c>
      <c r="F43" s="185"/>
      <c r="G43" s="185"/>
      <c r="H43" s="185"/>
      <c r="I43" s="185"/>
      <c r="J43" s="185"/>
      <c r="K43" s="185"/>
      <c r="L43" s="185"/>
      <c r="M43" s="185"/>
      <c r="N43" s="185"/>
      <c r="O43" s="185"/>
      <c r="P43" s="186">
        <v>0</v>
      </c>
    </row>
    <row r="51" spans="2:12" x14ac:dyDescent="0.3">
      <c r="J51" t="s">
        <v>192</v>
      </c>
    </row>
    <row r="52" spans="2:12" x14ac:dyDescent="0.3">
      <c r="B52" s="170" t="s">
        <v>428</v>
      </c>
      <c r="C52" s="170" t="s">
        <v>429</v>
      </c>
      <c r="D52" s="170" t="s">
        <v>430</v>
      </c>
      <c r="E52" s="170" t="s">
        <v>431</v>
      </c>
      <c r="F52" s="170" t="s">
        <v>432</v>
      </c>
      <c r="I52" s="161" t="s">
        <v>433</v>
      </c>
      <c r="J52" t="s">
        <v>434</v>
      </c>
    </row>
    <row r="53" spans="2:12" x14ac:dyDescent="0.3">
      <c r="B53" s="171" t="s">
        <v>435</v>
      </c>
      <c r="C53" s="172">
        <v>2024</v>
      </c>
      <c r="D53" s="172" t="s">
        <v>436</v>
      </c>
      <c r="E53" s="172" t="s">
        <v>74</v>
      </c>
      <c r="F53" s="173">
        <v>15915.943333333335</v>
      </c>
      <c r="I53" s="176" t="s">
        <v>74</v>
      </c>
      <c r="J53" s="177">
        <v>23482.267907304169</v>
      </c>
      <c r="K53" s="164"/>
      <c r="L53" s="164"/>
    </row>
    <row r="54" spans="2:12" x14ac:dyDescent="0.3">
      <c r="B54" s="171" t="s">
        <v>437</v>
      </c>
      <c r="C54" s="172">
        <v>2025</v>
      </c>
      <c r="D54" s="172" t="s">
        <v>438</v>
      </c>
      <c r="E54" s="172" t="s">
        <v>74</v>
      </c>
      <c r="F54" s="173">
        <v>1680.5629999999999</v>
      </c>
      <c r="I54" s="176" t="s">
        <v>84</v>
      </c>
      <c r="J54" s="177">
        <v>2196.0106711111171</v>
      </c>
      <c r="K54" s="164"/>
      <c r="L54" s="164"/>
    </row>
    <row r="55" spans="2:12" x14ac:dyDescent="0.3">
      <c r="B55" s="171" t="s">
        <v>439</v>
      </c>
      <c r="C55" s="172">
        <v>2025</v>
      </c>
      <c r="D55" s="172" t="s">
        <v>440</v>
      </c>
      <c r="E55" s="172" t="s">
        <v>74</v>
      </c>
      <c r="F55" s="173">
        <v>5885.7615739708344</v>
      </c>
      <c r="I55" s="176" t="s">
        <v>83</v>
      </c>
      <c r="J55" s="177">
        <v>72.198000000000093</v>
      </c>
      <c r="K55" s="164"/>
      <c r="L55" s="164"/>
    </row>
    <row r="56" spans="2:12" x14ac:dyDescent="0.3">
      <c r="B56" s="171" t="s">
        <v>441</v>
      </c>
      <c r="C56" s="172">
        <v>2025</v>
      </c>
      <c r="D56" s="172" t="s">
        <v>442</v>
      </c>
      <c r="E56" s="172" t="s">
        <v>74</v>
      </c>
      <c r="F56" s="173">
        <v>0</v>
      </c>
      <c r="I56" s="176" t="s">
        <v>426</v>
      </c>
      <c r="J56" s="177">
        <v>5454.4245402308998</v>
      </c>
      <c r="K56" s="164"/>
      <c r="L56" s="164"/>
    </row>
    <row r="57" spans="2:12" x14ac:dyDescent="0.3">
      <c r="B57" s="171" t="s">
        <v>443</v>
      </c>
      <c r="C57" s="172">
        <v>2025</v>
      </c>
      <c r="D57" s="172" t="s">
        <v>438</v>
      </c>
      <c r="E57" s="172" t="s">
        <v>74</v>
      </c>
      <c r="F57" s="173">
        <v>0</v>
      </c>
      <c r="I57" s="176" t="s">
        <v>82</v>
      </c>
      <c r="J57" s="177">
        <v>9888.439106002892</v>
      </c>
      <c r="K57" s="164"/>
      <c r="L57" s="164"/>
    </row>
    <row r="58" spans="2:12" x14ac:dyDescent="0.3">
      <c r="B58" s="174" t="s">
        <v>444</v>
      </c>
      <c r="C58" s="172">
        <v>2025</v>
      </c>
      <c r="D58" s="172" t="s">
        <v>438</v>
      </c>
      <c r="E58" s="172" t="s">
        <v>74</v>
      </c>
      <c r="F58" s="173">
        <v>0</v>
      </c>
      <c r="I58" s="176" t="s">
        <v>202</v>
      </c>
      <c r="J58" s="177">
        <v>41093.34022464908</v>
      </c>
      <c r="K58" s="165"/>
      <c r="L58" s="164"/>
    </row>
    <row r="59" spans="2:12" x14ac:dyDescent="0.3">
      <c r="B59" s="174" t="s">
        <v>445</v>
      </c>
      <c r="C59" s="172">
        <v>2025</v>
      </c>
      <c r="D59" s="172" t="s">
        <v>438</v>
      </c>
      <c r="E59" s="172" t="s">
        <v>74</v>
      </c>
      <c r="F59" s="173">
        <v>0</v>
      </c>
    </row>
    <row r="60" spans="2:12" x14ac:dyDescent="0.3">
      <c r="B60" s="175" t="s">
        <v>446</v>
      </c>
      <c r="C60" s="172">
        <v>2025</v>
      </c>
      <c r="D60" s="172" t="s">
        <v>447</v>
      </c>
      <c r="E60" s="172" t="s">
        <v>83</v>
      </c>
      <c r="F60" s="173">
        <v>72.198000000000093</v>
      </c>
    </row>
    <row r="61" spans="2:12" x14ac:dyDescent="0.3">
      <c r="B61" s="171" t="s">
        <v>448</v>
      </c>
      <c r="C61" s="172">
        <v>2025</v>
      </c>
      <c r="D61" s="172" t="s">
        <v>447</v>
      </c>
      <c r="E61" s="172" t="s">
        <v>83</v>
      </c>
      <c r="F61" s="173">
        <v>0</v>
      </c>
    </row>
    <row r="62" spans="2:12" x14ac:dyDescent="0.3">
      <c r="B62" s="171" t="s">
        <v>449</v>
      </c>
      <c r="C62" s="172">
        <v>2025</v>
      </c>
      <c r="D62" s="172" t="s">
        <v>447</v>
      </c>
      <c r="E62" s="172" t="s">
        <v>83</v>
      </c>
      <c r="F62" s="173">
        <v>0</v>
      </c>
    </row>
    <row r="63" spans="2:12" x14ac:dyDescent="0.3">
      <c r="B63" s="171" t="s">
        <v>450</v>
      </c>
      <c r="C63" s="172">
        <v>2025</v>
      </c>
      <c r="D63" s="172" t="s">
        <v>451</v>
      </c>
      <c r="E63" s="172" t="s">
        <v>84</v>
      </c>
      <c r="F63" s="173">
        <v>1109.3145555555584</v>
      </c>
    </row>
    <row r="64" spans="2:12" x14ac:dyDescent="0.3">
      <c r="B64" s="171" t="s">
        <v>452</v>
      </c>
      <c r="C64" s="172">
        <v>2025</v>
      </c>
      <c r="D64" s="172" t="s">
        <v>451</v>
      </c>
      <c r="E64" s="172" t="s">
        <v>84</v>
      </c>
      <c r="F64" s="173">
        <v>1008.9571555555584</v>
      </c>
    </row>
    <row r="65" spans="2:6" x14ac:dyDescent="0.3">
      <c r="B65" s="171" t="s">
        <v>453</v>
      </c>
      <c r="C65" s="172">
        <v>2025</v>
      </c>
      <c r="D65" s="172" t="s">
        <v>454</v>
      </c>
      <c r="E65" s="172" t="s">
        <v>84</v>
      </c>
      <c r="F65" s="173">
        <v>77.738960000000006</v>
      </c>
    </row>
    <row r="66" spans="2:6" x14ac:dyDescent="0.3">
      <c r="B66" s="171" t="s">
        <v>455</v>
      </c>
      <c r="C66" s="172">
        <v>2025</v>
      </c>
      <c r="D66" s="172" t="s">
        <v>456</v>
      </c>
      <c r="E66" s="172" t="s">
        <v>82</v>
      </c>
      <c r="F66" s="173">
        <v>1236.9642592592584</v>
      </c>
    </row>
    <row r="67" spans="2:6" x14ac:dyDescent="0.3">
      <c r="B67" s="171" t="s">
        <v>457</v>
      </c>
      <c r="C67" s="172">
        <v>2025</v>
      </c>
      <c r="D67" s="172" t="s">
        <v>458</v>
      </c>
      <c r="E67" s="172" t="s">
        <v>82</v>
      </c>
      <c r="F67" s="173">
        <v>2083.3333333333335</v>
      </c>
    </row>
    <row r="68" spans="2:6" x14ac:dyDescent="0.3">
      <c r="B68" s="171" t="s">
        <v>459</v>
      </c>
      <c r="C68" s="172">
        <v>2025</v>
      </c>
      <c r="D68" s="172" t="s">
        <v>458</v>
      </c>
      <c r="E68" s="172" t="s">
        <v>82</v>
      </c>
      <c r="F68" s="173">
        <v>2500</v>
      </c>
    </row>
    <row r="69" spans="2:6" x14ac:dyDescent="0.3">
      <c r="B69" s="171" t="s">
        <v>460</v>
      </c>
      <c r="C69" s="172">
        <v>2025</v>
      </c>
      <c r="D69" s="172" t="s">
        <v>461</v>
      </c>
      <c r="E69" s="172" t="s">
        <v>84</v>
      </c>
      <c r="F69" s="173">
        <v>0</v>
      </c>
    </row>
    <row r="70" spans="2:6" x14ac:dyDescent="0.3">
      <c r="B70" s="171" t="s">
        <v>462</v>
      </c>
      <c r="C70" s="172">
        <v>2025</v>
      </c>
      <c r="D70" s="172" t="s">
        <v>454</v>
      </c>
      <c r="E70" s="172" t="s">
        <v>82</v>
      </c>
      <c r="F70" s="173">
        <v>0</v>
      </c>
    </row>
    <row r="71" spans="2:6" x14ac:dyDescent="0.3">
      <c r="B71" s="171" t="s">
        <v>463</v>
      </c>
      <c r="C71" s="172">
        <v>2025</v>
      </c>
      <c r="D71" s="172" t="s">
        <v>464</v>
      </c>
      <c r="E71" s="172" t="s">
        <v>82</v>
      </c>
      <c r="F71" s="173">
        <v>2250</v>
      </c>
    </row>
    <row r="72" spans="2:6" x14ac:dyDescent="0.3">
      <c r="B72" s="171" t="s">
        <v>465</v>
      </c>
      <c r="C72" s="172">
        <v>2025</v>
      </c>
      <c r="D72" s="172" t="s">
        <v>438</v>
      </c>
      <c r="E72" s="172" t="s">
        <v>82</v>
      </c>
      <c r="F72" s="173">
        <v>1818.1415134102999</v>
      </c>
    </row>
    <row r="73" spans="2:6" x14ac:dyDescent="0.3">
      <c r="B73" s="171" t="s">
        <v>466</v>
      </c>
      <c r="C73" s="172">
        <v>2025</v>
      </c>
      <c r="D73" s="172" t="s">
        <v>438</v>
      </c>
      <c r="E73" s="172" t="s">
        <v>426</v>
      </c>
      <c r="F73" s="173">
        <v>1818.1415134102999</v>
      </c>
    </row>
    <row r="74" spans="2:6" x14ac:dyDescent="0.3">
      <c r="B74" s="171" t="s">
        <v>467</v>
      </c>
      <c r="C74" s="172">
        <v>2025</v>
      </c>
      <c r="D74" s="172" t="s">
        <v>438</v>
      </c>
      <c r="E74" s="172" t="s">
        <v>426</v>
      </c>
      <c r="F74" s="173">
        <v>1818.1415134102999</v>
      </c>
    </row>
    <row r="75" spans="2:6" x14ac:dyDescent="0.3">
      <c r="B75" s="171" t="s">
        <v>468</v>
      </c>
      <c r="C75" s="172">
        <v>2025</v>
      </c>
      <c r="D75" s="172" t="s">
        <v>438</v>
      </c>
      <c r="E75" s="172" t="s">
        <v>426</v>
      </c>
      <c r="F75" s="173">
        <v>1818.1415134102999</v>
      </c>
    </row>
    <row r="76" spans="2:6" x14ac:dyDescent="0.3">
      <c r="B76" s="171" t="s">
        <v>469</v>
      </c>
      <c r="C76" s="172">
        <v>2025</v>
      </c>
      <c r="D76" s="172" t="s">
        <v>470</v>
      </c>
      <c r="E76" s="172" t="s">
        <v>426</v>
      </c>
      <c r="F76" s="173">
        <v>0</v>
      </c>
    </row>
    <row r="77" spans="2:6" x14ac:dyDescent="0.3">
      <c r="B77" s="171" t="s">
        <v>471</v>
      </c>
      <c r="C77" s="172">
        <v>2025</v>
      </c>
      <c r="D77" s="172" t="s">
        <v>472</v>
      </c>
      <c r="E77" s="172" t="s">
        <v>82</v>
      </c>
      <c r="F77" s="173">
        <v>0</v>
      </c>
    </row>
  </sheetData>
  <mergeCells count="3">
    <mergeCell ref="A16:A28"/>
    <mergeCell ref="A2:A14"/>
    <mergeCell ref="A31:A43"/>
  </mergeCells>
  <dataValidations count="2">
    <dataValidation type="list" allowBlank="1" showInputMessage="1" showErrorMessage="1" sqref="E53:E77" xr:uid="{2C393D7C-0283-44A4-BB4B-9912AA9026D2}">
      <formula1>$C$52:$C$64</formula1>
    </dataValidation>
    <dataValidation type="list" allowBlank="1" showInputMessage="1" showErrorMessage="1" sqref="D77" xr:uid="{BA4CF1B8-3FE9-410E-96DD-FFC98761A5D8}">
      <formula1>"In Budget, New"</formula1>
    </dataValidation>
  </dataValidation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66649-431A-47F5-A5AA-0AE14D549AC0}">
  <sheetPr codeName="Sheet33"/>
  <dimension ref="C3:P9"/>
  <sheetViews>
    <sheetView workbookViewId="0">
      <selection activeCell="N17" sqref="A17:N18"/>
    </sheetView>
  </sheetViews>
  <sheetFormatPr defaultRowHeight="14.4" x14ac:dyDescent="0.3"/>
  <cols>
    <col min="4" max="15" width="10.21875" bestFit="1" customWidth="1"/>
    <col min="16" max="16" width="11.21875" bestFit="1" customWidth="1"/>
  </cols>
  <sheetData>
    <row r="3" spans="3:16" x14ac:dyDescent="0.3">
      <c r="C3" t="s">
        <v>473</v>
      </c>
      <c r="D3" s="83">
        <v>1905</v>
      </c>
      <c r="E3" s="83">
        <v>1669</v>
      </c>
      <c r="F3" s="83">
        <v>1660</v>
      </c>
      <c r="G3" s="83">
        <v>1574</v>
      </c>
      <c r="H3" s="83">
        <v>1591</v>
      </c>
      <c r="I3" s="83">
        <v>1733</v>
      </c>
      <c r="J3" s="83">
        <v>1763</v>
      </c>
      <c r="K3" s="83">
        <v>1786</v>
      </c>
      <c r="L3" s="83">
        <v>2251</v>
      </c>
      <c r="M3" s="83">
        <v>2185</v>
      </c>
      <c r="N3" s="83">
        <v>2472</v>
      </c>
      <c r="O3" s="83">
        <v>2539</v>
      </c>
      <c r="P3" s="83">
        <v>23128</v>
      </c>
    </row>
    <row r="4" spans="3:16" x14ac:dyDescent="0.3">
      <c r="C4" t="s">
        <v>474</v>
      </c>
      <c r="D4" s="84">
        <v>14228.668333824597</v>
      </c>
      <c r="E4" s="84">
        <v>13034.430133044491</v>
      </c>
      <c r="F4" s="84">
        <v>13085.720604711414</v>
      </c>
      <c r="G4" s="84">
        <v>12491.740601743701</v>
      </c>
      <c r="H4" s="84">
        <v>12540.940267554412</v>
      </c>
      <c r="I4" s="84">
        <v>13801.257472403699</v>
      </c>
      <c r="J4" s="84">
        <v>13244.117289255108</v>
      </c>
      <c r="K4" s="84">
        <v>13305.541216018524</v>
      </c>
      <c r="L4" s="84">
        <v>15822.630154246483</v>
      </c>
      <c r="M4" s="84">
        <v>15423.56481919653</v>
      </c>
      <c r="N4" s="84">
        <v>16830.473117913501</v>
      </c>
      <c r="O4" s="84">
        <v>17269.507035466093</v>
      </c>
      <c r="P4" s="85">
        <v>171078.59104537856</v>
      </c>
    </row>
    <row r="5" spans="3:16" x14ac:dyDescent="0.3">
      <c r="C5" t="s">
        <v>43</v>
      </c>
      <c r="D5" s="86">
        <v>-74645.609485313587</v>
      </c>
      <c r="E5" s="86">
        <v>-74645.609485313587</v>
      </c>
      <c r="F5" s="86">
        <v>-74645.609485313587</v>
      </c>
      <c r="G5" s="86">
        <v>-74645.609485313587</v>
      </c>
      <c r="H5" s="86">
        <v>-74645.609485313587</v>
      </c>
      <c r="I5" s="86">
        <v>-74645.609485313587</v>
      </c>
      <c r="J5" s="86">
        <v>-74645.609485313587</v>
      </c>
      <c r="K5" s="86">
        <v>-74645.609485313587</v>
      </c>
      <c r="L5" s="86">
        <v>-74645.609485313587</v>
      </c>
      <c r="M5" s="86">
        <v>-74645.609485313587</v>
      </c>
      <c r="N5" s="86">
        <v>-74645.609485313587</v>
      </c>
      <c r="O5" s="86">
        <v>-74645.609485313587</v>
      </c>
      <c r="P5" s="86">
        <v>-895747.31382376328</v>
      </c>
    </row>
    <row r="7" spans="3:16" x14ac:dyDescent="0.3">
      <c r="D7" s="87">
        <f>D3*1000+D4+D5</f>
        <v>1844583.058848511</v>
      </c>
      <c r="E7" s="87">
        <f t="shared" ref="E7:P7" si="0">E3*1000+E4+E5</f>
        <v>1607388.820647731</v>
      </c>
      <c r="F7" s="87">
        <f t="shared" si="0"/>
        <v>1598440.1111193979</v>
      </c>
      <c r="G7" s="87">
        <f t="shared" si="0"/>
        <v>1511846.1311164303</v>
      </c>
      <c r="H7" s="87">
        <f t="shared" si="0"/>
        <v>1528895.330782241</v>
      </c>
      <c r="I7" s="87">
        <f t="shared" si="0"/>
        <v>1672155.6479870903</v>
      </c>
      <c r="J7" s="87">
        <f t="shared" si="0"/>
        <v>1701598.5078039416</v>
      </c>
      <c r="K7" s="87">
        <f t="shared" si="0"/>
        <v>1724659.9317307051</v>
      </c>
      <c r="L7" s="87">
        <f t="shared" si="0"/>
        <v>2192177.0206689327</v>
      </c>
      <c r="M7" s="87">
        <f t="shared" si="0"/>
        <v>2125777.9553338829</v>
      </c>
      <c r="N7" s="87">
        <f t="shared" si="0"/>
        <v>2414184.8636325998</v>
      </c>
      <c r="O7" s="87">
        <f t="shared" si="0"/>
        <v>2481623.8975501521</v>
      </c>
      <c r="P7" s="87">
        <f t="shared" si="0"/>
        <v>22403331.277221616</v>
      </c>
    </row>
    <row r="9" spans="3:16" x14ac:dyDescent="0.3">
      <c r="D9" s="20">
        <v>1844603.05884851</v>
      </c>
      <c r="E9" s="20">
        <v>1607268.8206477307</v>
      </c>
      <c r="F9" s="20">
        <v>1599080.1111193977</v>
      </c>
      <c r="G9" s="20">
        <v>1512456.1311164298</v>
      </c>
      <c r="H9" s="20">
        <v>1528295.3307822407</v>
      </c>
      <c r="I9" s="20">
        <v>1671855.6479870901</v>
      </c>
      <c r="J9" s="20">
        <v>1702718.5078039414</v>
      </c>
      <c r="K9" s="20">
        <v>1724879.9317307046</v>
      </c>
      <c r="L9" s="20">
        <v>2191317.0206689327</v>
      </c>
      <c r="M9" s="20">
        <v>2125727.9553338829</v>
      </c>
      <c r="N9" s="20">
        <v>2413734.8636325998</v>
      </c>
      <c r="O9" s="20">
        <v>2482053.8975501526</v>
      </c>
      <c r="P9" s="20">
        <v>22403991.277221616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479EA4AAF87084D8A4D0D0461CD88FB" ma:contentTypeVersion="14" ma:contentTypeDescription="Creare un nuovo documento." ma:contentTypeScope="" ma:versionID="7eaac695b813874d2af5d967a4076018">
  <xsd:schema xmlns:xsd="http://www.w3.org/2001/XMLSchema" xmlns:xs="http://www.w3.org/2001/XMLSchema" xmlns:p="http://schemas.microsoft.com/office/2006/metadata/properties" xmlns:ns2="da0ac492-7576-45d8-a3d8-6ed4e3a4298b" xmlns:ns3="11e10aad-a95a-47db-a41a-d71e64b6e20e" targetNamespace="http://schemas.microsoft.com/office/2006/metadata/properties" ma:root="true" ma:fieldsID="2f2a0e9ca2c84a7a95b034fcebb287ad" ns2:_="" ns3:_="">
    <xsd:import namespace="da0ac492-7576-45d8-a3d8-6ed4e3a4298b"/>
    <xsd:import namespace="11e10aad-a95a-47db-a41a-d71e64b6e2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0ac492-7576-45d8-a3d8-6ed4e3a429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Tag immagine" ma:readOnly="false" ma:fieldId="{5cf76f15-5ced-4ddc-b409-7134ff3c332f}" ma:taxonomyMulti="true" ma:sspId="daff384d-8d87-412f-a084-949fff9a30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e10aad-a95a-47db-a41a-d71e64b6e2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59e02b88-dce9-4530-8cba-ee6df80d782a}" ma:internalName="TaxCatchAll" ma:showField="CatchAllData" ma:web="11e10aad-a95a-47db-a41a-d71e64b6e2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1e10aad-a95a-47db-a41a-d71e64b6e20e" xsi:nil="true"/>
    <lcf76f155ced4ddcb4097134ff3c332f xmlns="da0ac492-7576-45d8-a3d8-6ed4e3a4298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360387C-FA7E-4A1B-9EF1-84294B9FC62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11703D5-0327-4F92-897E-C84200A088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0ac492-7576-45d8-a3d8-6ed4e3a4298b"/>
    <ds:schemaRef ds:uri="11e10aad-a95a-47db-a41a-d71e64b6e2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806620D-57FD-4AB6-8130-970336A1A604}">
  <ds:schemaRefs>
    <ds:schemaRef ds:uri="http://purl.org/dc/elements/1.1/"/>
    <ds:schemaRef ds:uri="http://purl.org/dc/terms/"/>
    <ds:schemaRef ds:uri="http://schemas.microsoft.com/office/infopath/2007/PartnerControls"/>
    <ds:schemaRef ds:uri="http://www.w3.org/XML/1998/namespace"/>
    <ds:schemaRef ds:uri="http://purl.org/dc/dcmitype/"/>
    <ds:schemaRef ds:uri="http://schemas.microsoft.com/office/2006/documentManagement/types"/>
    <ds:schemaRef ds:uri="da0ac492-7576-45d8-a3d8-6ed4e3a4298b"/>
    <ds:schemaRef ds:uri="http://schemas.openxmlformats.org/package/2006/metadata/core-properties"/>
    <ds:schemaRef ds:uri="11e10aad-a95a-47db-a41a-d71e64b6e20e"/>
    <ds:schemaRef ds:uri="http://schemas.microsoft.com/office/2006/metadata/properties"/>
  </ds:schemaRefs>
</ds:datastoreItem>
</file>

<file path=docMetadata/LabelInfo.xml><?xml version="1.0" encoding="utf-8"?>
<clbl:labelList xmlns:clbl="http://schemas.microsoft.com/office/2020/mipLabelMetadata">
  <clbl:label id="{41b89379-e28c-4971-b9ce-0b428bf8dafd}" enabled="0" method="" siteId="{41b89379-e28c-4971-b9ce-0b428bf8daf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Instruction</vt:lpstr>
      <vt:lpstr>Root cause explanations</vt:lpstr>
      <vt:lpstr>HC 2026</vt:lpstr>
      <vt:lpstr>G&amp;A _Out of Per_</vt:lpstr>
      <vt:lpstr>CC</vt:lpstr>
      <vt:lpstr>ACE 2026</vt:lpstr>
      <vt:lpstr>VOLUME</vt:lpstr>
      <vt:lpstr>HQD</vt:lpstr>
      <vt:lpstr>&gt;&gt;&gt;</vt:lpstr>
      <vt:lpstr>MTD Report  (HQD) (deneme)</vt:lpstr>
      <vt:lpstr>MTD Report  (HQD)</vt:lpstr>
      <vt:lpstr>YTD Report  (HQD)</vt:lpstr>
      <vt:lpstr>MTD VAR </vt:lpstr>
      <vt:lpstr>Obsolete</vt:lpstr>
      <vt:lpstr>YTD VAR</vt:lpstr>
      <vt:lpstr>ACE Details_FULL</vt:lpstr>
      <vt:lpstr>MTD Report(HQD)_variance</vt:lpstr>
      <vt:lpstr>YTD Report(HQD)_variance </vt:lpstr>
      <vt:lpstr>List</vt:lpstr>
      <vt:lpstr>data entry </vt:lpstr>
      <vt:lpstr>Budget assumption</vt:lpstr>
      <vt:lpstr>SAP_ACT_EUR</vt:lpstr>
      <vt:lpstr>SAP Actual extraction</vt:lpstr>
      <vt:lpstr>MTD</vt:lpstr>
      <vt:lpstr>YTD</vt:lpstr>
      <vt:lpstr>FCST &gt;&gt;</vt:lpstr>
      <vt:lpstr>GTN FCST </vt:lpstr>
      <vt:lpstr>Sheet12</vt:lpstr>
      <vt:lpstr>FCST 26 </vt:lpstr>
      <vt:lpstr>FCST CPU </vt:lpstr>
      <vt:lpstr>Scrap Recovery</vt:lpstr>
      <vt:lpstr>EFF DW</vt:lpstr>
      <vt:lpstr>Sheet3</vt:lpstr>
      <vt:lpstr>Scrap_Recovery</vt:lpstr>
      <vt:lpstr>SCRAP SALES</vt:lpstr>
      <vt:lpstr>DL </vt:lpstr>
      <vt:lpstr>IND </vt:lpstr>
      <vt:lpstr>FL </vt:lpstr>
      <vt:lpstr>FX IMPACT</vt:lpstr>
      <vt:lpstr>depreciation</vt:lpstr>
      <vt:lpstr>ACE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Özlem Çakmakçı</dc:creator>
  <cp:keywords/>
  <dc:description/>
  <cp:lastModifiedBy>Bengisu  Sarıtürk Ceran</cp:lastModifiedBy>
  <cp:revision/>
  <dcterms:created xsi:type="dcterms:W3CDTF">2025-01-06T08:03:37Z</dcterms:created>
  <dcterms:modified xsi:type="dcterms:W3CDTF">2026-07-08T05:36:09Z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0x010100C479EA4AAF87084D8A4D0D0461CD88FB</vt:lpwstr>
  </property>
  <property fmtid="{D5CDD505-2E9C-101B-9397-08002B2CF9AE}" pid="5" name="MediaServiceImageTags">
    <vt:lpwstr/>
  </property>
</Properties>
</file>