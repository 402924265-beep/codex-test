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gisu.ceran\Desktop\07 - DW\"/>
    </mc:Choice>
  </mc:AlternateContent>
  <xr:revisionPtr revIDLastSave="0" documentId="8_{060CB695-0FD6-4657-A6DB-7DEF50BE4922}" xr6:coauthVersionLast="47" xr6:coauthVersionMax="47" xr10:uidLastSave="{00000000-0000-0000-0000-000000000000}"/>
  <bookViews>
    <workbookView xWindow="-108" yWindow="-108" windowWidth="23256" windowHeight="12456" tabRatio="740" firstSheet="1" activeTab="1" xr2:uid="{00000000-000D-0000-FFFF-FFFF00000000}"/>
  </bookViews>
  <sheets>
    <sheet name="CC" sheetId="29" state="hidden" r:id="rId1"/>
    <sheet name="DW 2026" sheetId="40" r:id="rId2"/>
    <sheet name="1+11 Renta DW _2026" sheetId="43" state="hidden" r:id="rId3"/>
    <sheet name="Renta DW _2025 " sheetId="27" state="hidden" r:id="rId4"/>
    <sheet name="Renta DW _2024 new format " sheetId="31" state="hidden" r:id="rId5"/>
    <sheet name="2024 by account " sheetId="32" state="hidden" r:id="rId6"/>
    <sheet name="2024_ACT@ACT FX old format " sheetId="33" state="hidden" r:id="rId7"/>
    <sheet name="2026_service fee" sheetId="42" state="hidden" r:id="rId8"/>
    <sheet name="2025_service fee" sheetId="41" state="hidden" r:id="rId9"/>
    <sheet name="Service fee recharge kırınım" sheetId="39" state="hidden" r:id="rId10"/>
    <sheet name="S_ALR " sheetId="28" state="hidden" r:id="rId11"/>
  </sheets>
  <definedNames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 localSheetId="2" hidden="1">'1+11 Renta DW _2026'!$A$1:$T$253</definedName>
    <definedName name="_xlnm._FilterDatabase" localSheetId="6" hidden="1">'2024_ACT@ACT FX old format '!$A$1:$AS$90</definedName>
    <definedName name="_xlnm._FilterDatabase" localSheetId="8" hidden="1">'2025_service fee'!$A$1:$N$73</definedName>
    <definedName name="_xlnm._FilterDatabase" localSheetId="7" hidden="1">'2026_service fee'!$A$1:$D$58</definedName>
    <definedName name="_xlnm._FilterDatabase" localSheetId="1" hidden="1">'DW 2026'!$A$1:$T$259</definedName>
    <definedName name="_xlnm._FilterDatabase" localSheetId="3" hidden="1">'Renta DW _2025 '!$A$1:$AR$243</definedName>
    <definedName name="_xlnm._FilterDatabase" localSheetId="10" hidden="1">'S_ALR '!$A$1:$U$230</definedName>
    <definedName name="_xlnm._FilterDatabase" localSheetId="9" hidden="1">'Service fee recharge kırınım'!$D$3:$AI$77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_xlnm.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_xlnm.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0" i="40" l="1"/>
  <c r="Q81" i="40"/>
  <c r="Q185" i="40" l="1"/>
  <c r="Q184" i="40"/>
  <c r="Q183" i="40"/>
  <c r="J187" i="40"/>
  <c r="Q182" i="40"/>
  <c r="K82" i="40" l="1"/>
  <c r="P197" i="40"/>
  <c r="K197" i="40"/>
  <c r="J197" i="40"/>
  <c r="M194" i="40"/>
  <c r="P194" i="40"/>
  <c r="O194" i="40"/>
  <c r="N194" i="40"/>
  <c r="L194" i="40"/>
  <c r="K194" i="40"/>
  <c r="J194" i="40"/>
  <c r="P191" i="40"/>
  <c r="O191" i="40"/>
  <c r="N191" i="40"/>
  <c r="M191" i="40"/>
  <c r="L191" i="40"/>
  <c r="K191" i="40"/>
  <c r="J191" i="40"/>
  <c r="P189" i="40"/>
  <c r="O189" i="40"/>
  <c r="N189" i="40"/>
  <c r="M189" i="40"/>
  <c r="L189" i="40"/>
  <c r="K189" i="40"/>
  <c r="J189" i="40"/>
  <c r="K143" i="40"/>
  <c r="J143" i="40"/>
  <c r="P143" i="40"/>
  <c r="O143" i="40"/>
  <c r="N143" i="40"/>
  <c r="M143" i="40"/>
  <c r="L143" i="40"/>
  <c r="M131" i="40"/>
  <c r="L131" i="40"/>
  <c r="K131" i="40"/>
  <c r="J131" i="40"/>
  <c r="P131" i="40"/>
  <c r="O131" i="40"/>
  <c r="N131" i="40"/>
  <c r="P115" i="40"/>
  <c r="O115" i="40"/>
  <c r="N115" i="40"/>
  <c r="M115" i="40"/>
  <c r="L115" i="40"/>
  <c r="K115" i="40"/>
  <c r="J115" i="40"/>
  <c r="P107" i="40"/>
  <c r="O107" i="40"/>
  <c r="N107" i="40"/>
  <c r="M107" i="40"/>
  <c r="L107" i="40"/>
  <c r="K107" i="40"/>
  <c r="J107" i="40"/>
  <c r="K91" i="40"/>
  <c r="J91" i="40"/>
  <c r="P91" i="40"/>
  <c r="O91" i="40"/>
  <c r="N91" i="40"/>
  <c r="M91" i="40"/>
  <c r="L91" i="40"/>
  <c r="M89" i="40"/>
  <c r="L89" i="40"/>
  <c r="K89" i="40"/>
  <c r="J89" i="40"/>
  <c r="P89" i="40"/>
  <c r="O89" i="40"/>
  <c r="N89" i="40"/>
  <c r="J87" i="40"/>
  <c r="L87" i="40"/>
  <c r="K87" i="40"/>
  <c r="P87" i="40"/>
  <c r="O87" i="40"/>
  <c r="N87" i="40"/>
  <c r="M87" i="40"/>
  <c r="P82" i="40"/>
  <c r="O82" i="40"/>
  <c r="N82" i="40"/>
  <c r="M82" i="40"/>
  <c r="L82" i="40"/>
  <c r="J82" i="40"/>
  <c r="M28" i="40"/>
  <c r="L28" i="40"/>
  <c r="O28" i="40"/>
  <c r="N28" i="40"/>
  <c r="P28" i="40"/>
  <c r="K28" i="40"/>
  <c r="J28" i="40"/>
  <c r="K23" i="40"/>
  <c r="P23" i="40"/>
  <c r="O23" i="40"/>
  <c r="N23" i="40"/>
  <c r="M23" i="40"/>
  <c r="L23" i="40"/>
  <c r="J23" i="40"/>
  <c r="N14" i="40"/>
  <c r="P14" i="40"/>
  <c r="O14" i="40"/>
  <c r="M14" i="40"/>
  <c r="L14" i="40"/>
  <c r="K14" i="40"/>
  <c r="J14" i="40"/>
  <c r="O204" i="40" l="1"/>
  <c r="P204" i="40"/>
  <c r="L213" i="40"/>
  <c r="P140" i="40"/>
  <c r="O140" i="40"/>
  <c r="L140" i="40"/>
  <c r="M187" i="40"/>
  <c r="N197" i="40"/>
  <c r="J204" i="40"/>
  <c r="N213" i="40"/>
  <c r="M213" i="40"/>
  <c r="L197" i="40"/>
  <c r="M140" i="40"/>
  <c r="O197" i="40"/>
  <c r="K204" i="40"/>
  <c r="O213" i="40"/>
  <c r="L187" i="40"/>
  <c r="N140" i="40"/>
  <c r="L204" i="40"/>
  <c r="P213" i="40"/>
  <c r="K213" i="40"/>
  <c r="J140" i="40"/>
  <c r="K187" i="40"/>
  <c r="O187" i="40"/>
  <c r="P187" i="40"/>
  <c r="M204" i="40"/>
  <c r="J213" i="40"/>
  <c r="N187" i="40"/>
  <c r="K140" i="40"/>
  <c r="M197" i="40"/>
  <c r="N204" i="40"/>
  <c r="K214" i="40" l="1"/>
  <c r="M214" i="40"/>
  <c r="N214" i="40"/>
  <c r="J214" i="40"/>
  <c r="L214" i="40"/>
  <c r="O214" i="40"/>
  <c r="P214" i="40"/>
  <c r="G14" i="43" l="1"/>
  <c r="Q128" i="43"/>
  <c r="Q127" i="43"/>
  <c r="P129" i="43"/>
  <c r="O129" i="43"/>
  <c r="N129" i="43"/>
  <c r="M129" i="43"/>
  <c r="L129" i="43"/>
  <c r="K129" i="43"/>
  <c r="J129" i="43"/>
  <c r="I129" i="43"/>
  <c r="H129" i="43"/>
  <c r="G129" i="43"/>
  <c r="F129" i="43"/>
  <c r="P113" i="43"/>
  <c r="P222" i="43" s="1"/>
  <c r="O113" i="43"/>
  <c r="O222" i="43" s="1"/>
  <c r="N113" i="43"/>
  <c r="N222" i="43" s="1"/>
  <c r="M113" i="43"/>
  <c r="M222" i="43" s="1"/>
  <c r="L113" i="43"/>
  <c r="L222" i="43" s="1"/>
  <c r="K113" i="43"/>
  <c r="K222" i="43" s="1"/>
  <c r="J113" i="43"/>
  <c r="J222" i="43" s="1"/>
  <c r="I113" i="43"/>
  <c r="I222" i="43" s="1"/>
  <c r="H113" i="43"/>
  <c r="H222" i="43" s="1"/>
  <c r="G113" i="43"/>
  <c r="G222" i="43" s="1"/>
  <c r="F113" i="43"/>
  <c r="F222" i="43" s="1"/>
  <c r="P105" i="43"/>
  <c r="P221" i="43" s="1"/>
  <c r="O105" i="43"/>
  <c r="O221" i="43" s="1"/>
  <c r="N105" i="43"/>
  <c r="N221" i="43" s="1"/>
  <c r="M105" i="43"/>
  <c r="M221" i="43" s="1"/>
  <c r="L105" i="43"/>
  <c r="L221" i="43" s="1"/>
  <c r="K105" i="43"/>
  <c r="K221" i="43" s="1"/>
  <c r="J105" i="43"/>
  <c r="J221" i="43" s="1"/>
  <c r="I105" i="43"/>
  <c r="I221" i="43" s="1"/>
  <c r="H105" i="43"/>
  <c r="H221" i="43" s="1"/>
  <c r="G105" i="43"/>
  <c r="G221" i="43" s="1"/>
  <c r="F105" i="43"/>
  <c r="F221" i="43" s="1"/>
  <c r="P89" i="43"/>
  <c r="O89" i="43"/>
  <c r="N89" i="43"/>
  <c r="M89" i="43"/>
  <c r="L89" i="43"/>
  <c r="K89" i="43"/>
  <c r="J89" i="43"/>
  <c r="I89" i="43"/>
  <c r="H89" i="43"/>
  <c r="G89" i="43"/>
  <c r="F89" i="43"/>
  <c r="P87" i="43"/>
  <c r="O87" i="43"/>
  <c r="N87" i="43"/>
  <c r="M87" i="43"/>
  <c r="L87" i="43"/>
  <c r="K87" i="43"/>
  <c r="J87" i="43"/>
  <c r="I87" i="43"/>
  <c r="H87" i="43"/>
  <c r="G87" i="43"/>
  <c r="F87" i="43"/>
  <c r="P85" i="43"/>
  <c r="O85" i="43"/>
  <c r="N85" i="43"/>
  <c r="M85" i="43"/>
  <c r="L85" i="43"/>
  <c r="K85" i="43"/>
  <c r="J85" i="43"/>
  <c r="I85" i="43"/>
  <c r="H85" i="43"/>
  <c r="G85" i="43"/>
  <c r="F85" i="43"/>
  <c r="P28" i="43"/>
  <c r="O28" i="43"/>
  <c r="N28" i="43"/>
  <c r="N220" i="43" s="1"/>
  <c r="M28" i="43"/>
  <c r="L28" i="43"/>
  <c r="K28" i="43"/>
  <c r="J28" i="43"/>
  <c r="I28" i="43"/>
  <c r="H28" i="43"/>
  <c r="G28" i="43"/>
  <c r="F28" i="43"/>
  <c r="K23" i="43"/>
  <c r="J23" i="43"/>
  <c r="I23" i="43"/>
  <c r="H23" i="43"/>
  <c r="G23" i="43"/>
  <c r="F23" i="43"/>
  <c r="P23" i="43"/>
  <c r="O23" i="43"/>
  <c r="N23" i="43"/>
  <c r="M23" i="43"/>
  <c r="L23" i="43"/>
  <c r="P207" i="43"/>
  <c r="O207" i="43"/>
  <c r="N207" i="43"/>
  <c r="M207" i="43"/>
  <c r="L207" i="43"/>
  <c r="K207" i="43"/>
  <c r="J207" i="43"/>
  <c r="I207" i="43"/>
  <c r="H207" i="43"/>
  <c r="G207" i="43"/>
  <c r="F207" i="43"/>
  <c r="P198" i="43"/>
  <c r="O198" i="43"/>
  <c r="N198" i="43"/>
  <c r="M198" i="43"/>
  <c r="L198" i="43"/>
  <c r="K198" i="43"/>
  <c r="J198" i="43"/>
  <c r="I198" i="43"/>
  <c r="H198" i="43"/>
  <c r="G198" i="43"/>
  <c r="F198" i="43"/>
  <c r="P191" i="43"/>
  <c r="O191" i="43"/>
  <c r="N191" i="43"/>
  <c r="M191" i="43"/>
  <c r="L191" i="43"/>
  <c r="K191" i="43"/>
  <c r="J191" i="43"/>
  <c r="I191" i="43"/>
  <c r="H191" i="43"/>
  <c r="G191" i="43"/>
  <c r="F191" i="43"/>
  <c r="P188" i="43"/>
  <c r="O188" i="43"/>
  <c r="N188" i="43"/>
  <c r="M188" i="43"/>
  <c r="L188" i="43"/>
  <c r="K188" i="43"/>
  <c r="J188" i="43"/>
  <c r="I188" i="43"/>
  <c r="H188" i="43"/>
  <c r="G188" i="43"/>
  <c r="F188" i="43"/>
  <c r="P185" i="43"/>
  <c r="O185" i="43"/>
  <c r="N185" i="43"/>
  <c r="M185" i="43"/>
  <c r="L185" i="43"/>
  <c r="K185" i="43"/>
  <c r="J185" i="43"/>
  <c r="I185" i="43"/>
  <c r="H185" i="43"/>
  <c r="G185" i="43"/>
  <c r="F185" i="43"/>
  <c r="P183" i="43"/>
  <c r="O183" i="43"/>
  <c r="N183" i="43"/>
  <c r="M183" i="43"/>
  <c r="L183" i="43"/>
  <c r="K183" i="43"/>
  <c r="J183" i="43"/>
  <c r="I183" i="43"/>
  <c r="H183" i="43"/>
  <c r="G183" i="43"/>
  <c r="F183" i="43"/>
  <c r="P181" i="43"/>
  <c r="O181" i="43"/>
  <c r="N181" i="43"/>
  <c r="M181" i="43"/>
  <c r="L181" i="43"/>
  <c r="K181" i="43"/>
  <c r="J181" i="43"/>
  <c r="I181" i="43"/>
  <c r="H181" i="43"/>
  <c r="G181" i="43"/>
  <c r="F181" i="43"/>
  <c r="P141" i="43"/>
  <c r="O141" i="43"/>
  <c r="N141" i="43"/>
  <c r="M141" i="43"/>
  <c r="L141" i="43"/>
  <c r="K141" i="43"/>
  <c r="J141" i="43"/>
  <c r="I141" i="43"/>
  <c r="H141" i="43"/>
  <c r="G141" i="43"/>
  <c r="F141" i="43"/>
  <c r="P138" i="43"/>
  <c r="P208" i="43" s="1"/>
  <c r="O138" i="43"/>
  <c r="O208" i="43" s="1"/>
  <c r="N138" i="43"/>
  <c r="M138" i="43"/>
  <c r="L138" i="43"/>
  <c r="K138" i="43"/>
  <c r="J138" i="43"/>
  <c r="I138" i="43"/>
  <c r="H138" i="43"/>
  <c r="G138" i="43"/>
  <c r="F138" i="43"/>
  <c r="Q206" i="43"/>
  <c r="Q205" i="43"/>
  <c r="Q204" i="43"/>
  <c r="Q203" i="43"/>
  <c r="Q202" i="43"/>
  <c r="Q201" i="43"/>
  <c r="Q197" i="43"/>
  <c r="Q196" i="43"/>
  <c r="Q194" i="43"/>
  <c r="Q193" i="43"/>
  <c r="Q190" i="43"/>
  <c r="Q187" i="43"/>
  <c r="E185" i="43"/>
  <c r="Q180" i="43"/>
  <c r="Q179" i="43"/>
  <c r="Q178" i="43"/>
  <c r="Q177" i="43"/>
  <c r="Q176" i="43"/>
  <c r="Q175" i="43"/>
  <c r="Q174" i="43"/>
  <c r="Q173" i="43"/>
  <c r="Q172" i="43"/>
  <c r="Q171" i="43"/>
  <c r="Q170" i="43"/>
  <c r="Q169" i="43"/>
  <c r="Q168" i="43"/>
  <c r="Q166" i="43"/>
  <c r="Q164" i="43"/>
  <c r="Q163" i="43"/>
  <c r="Q162" i="43"/>
  <c r="Q161" i="43"/>
  <c r="Q160" i="43"/>
  <c r="Q159" i="43"/>
  <c r="Q158" i="43"/>
  <c r="Q157" i="43"/>
  <c r="Q156" i="43"/>
  <c r="Q155" i="43"/>
  <c r="Q154" i="43"/>
  <c r="Q153" i="43"/>
  <c r="Q152" i="43"/>
  <c r="Q151" i="43"/>
  <c r="Q150" i="43"/>
  <c r="Q149" i="43"/>
  <c r="Q148" i="43"/>
  <c r="Q147" i="43"/>
  <c r="Q146" i="43"/>
  <c r="Q145" i="43"/>
  <c r="Q144" i="43"/>
  <c r="Q143" i="43"/>
  <c r="Q139" i="43"/>
  <c r="Q135" i="43"/>
  <c r="Q137" i="43"/>
  <c r="Q136" i="43"/>
  <c r="Q96" i="43"/>
  <c r="Q95" i="43"/>
  <c r="Q94" i="43"/>
  <c r="Q91" i="43"/>
  <c r="P253" i="43"/>
  <c r="P269" i="43" s="1"/>
  <c r="O253" i="43"/>
  <c r="O269" i="43" s="1"/>
  <c r="N253" i="43"/>
  <c r="N269" i="43" s="1"/>
  <c r="M253" i="43"/>
  <c r="M269" i="43" s="1"/>
  <c r="L253" i="43"/>
  <c r="L269" i="43" s="1"/>
  <c r="K253" i="43"/>
  <c r="K269" i="43" s="1"/>
  <c r="J253" i="43"/>
  <c r="J269" i="43" s="1"/>
  <c r="I253" i="43"/>
  <c r="I269" i="43" s="1"/>
  <c r="H253" i="43"/>
  <c r="H269" i="43" s="1"/>
  <c r="G253" i="43"/>
  <c r="G269" i="43" s="1"/>
  <c r="F253" i="43"/>
  <c r="F269" i="43" s="1"/>
  <c r="E253" i="43"/>
  <c r="Q252" i="43"/>
  <c r="Q251" i="43"/>
  <c r="Q250" i="43"/>
  <c r="Q249" i="43"/>
  <c r="Q248" i="43"/>
  <c r="Q247" i="43"/>
  <c r="Q246" i="43"/>
  <c r="Q245" i="43"/>
  <c r="P97" i="43"/>
  <c r="O97" i="43"/>
  <c r="N97" i="43"/>
  <c r="M97" i="43"/>
  <c r="L97" i="43"/>
  <c r="K97" i="43"/>
  <c r="J97" i="43"/>
  <c r="I97" i="43"/>
  <c r="H97" i="43"/>
  <c r="G97" i="43"/>
  <c r="F97" i="43"/>
  <c r="P92" i="43"/>
  <c r="O92" i="43"/>
  <c r="N92" i="43"/>
  <c r="M92" i="43"/>
  <c r="L92" i="43"/>
  <c r="K92" i="43"/>
  <c r="J92" i="43"/>
  <c r="I92" i="43"/>
  <c r="H92" i="43"/>
  <c r="G92" i="43"/>
  <c r="F92" i="43"/>
  <c r="Q1" i="43"/>
  <c r="H194" i="40"/>
  <c r="H191" i="40"/>
  <c r="H189" i="40"/>
  <c r="H187" i="40"/>
  <c r="H143" i="40"/>
  <c r="H131" i="40"/>
  <c r="H115" i="40"/>
  <c r="H107" i="40"/>
  <c r="H99" i="40"/>
  <c r="H94" i="40"/>
  <c r="H91" i="40"/>
  <c r="H89" i="40"/>
  <c r="H87" i="40"/>
  <c r="H82" i="40"/>
  <c r="H28" i="40"/>
  <c r="H23" i="40"/>
  <c r="H14" i="40"/>
  <c r="P99" i="40"/>
  <c r="O99" i="40"/>
  <c r="N99" i="40"/>
  <c r="M99" i="40"/>
  <c r="L99" i="40"/>
  <c r="K99" i="40"/>
  <c r="J99" i="40"/>
  <c r="F208" i="43" l="1"/>
  <c r="P220" i="43"/>
  <c r="G208" i="43"/>
  <c r="H208" i="43"/>
  <c r="F220" i="43"/>
  <c r="H132" i="40"/>
  <c r="I208" i="43"/>
  <c r="G220" i="43"/>
  <c r="O220" i="43"/>
  <c r="J208" i="43"/>
  <c r="H220" i="43"/>
  <c r="L208" i="43"/>
  <c r="L225" i="43" s="1"/>
  <c r="J220" i="43"/>
  <c r="M208" i="43"/>
  <c r="K220" i="43"/>
  <c r="K208" i="43"/>
  <c r="I220" i="43"/>
  <c r="N208" i="43"/>
  <c r="L220" i="43"/>
  <c r="M220" i="43"/>
  <c r="P80" i="43"/>
  <c r="N80" i="43"/>
  <c r="M80" i="43"/>
  <c r="K80" i="43"/>
  <c r="K223" i="43" s="1"/>
  <c r="I80" i="43"/>
  <c r="G80" i="43"/>
  <c r="O80" i="43"/>
  <c r="L80" i="43"/>
  <c r="L223" i="43" s="1"/>
  <c r="J80" i="43"/>
  <c r="J223" i="43" s="1"/>
  <c r="H80" i="43"/>
  <c r="F80" i="43"/>
  <c r="Q253" i="43"/>
  <c r="Q126" i="43"/>
  <c r="Q125" i="43"/>
  <c r="Q124" i="43"/>
  <c r="Q123" i="43"/>
  <c r="Q122" i="43"/>
  <c r="Q121" i="43"/>
  <c r="Q120" i="43"/>
  <c r="Q119" i="43"/>
  <c r="Q118" i="43"/>
  <c r="Q117" i="43"/>
  <c r="Q116" i="43"/>
  <c r="Q115" i="43"/>
  <c r="Q112" i="43"/>
  <c r="Q111" i="43"/>
  <c r="Q110" i="43"/>
  <c r="Q109" i="43"/>
  <c r="Q108" i="43"/>
  <c r="Q107" i="43"/>
  <c r="Q104" i="43"/>
  <c r="Q102" i="43"/>
  <c r="Q101" i="43"/>
  <c r="Q100" i="43"/>
  <c r="Q99" i="43"/>
  <c r="Q103" i="43"/>
  <c r="P223" i="43"/>
  <c r="O223" i="43"/>
  <c r="N223" i="43"/>
  <c r="M223" i="43"/>
  <c r="I223" i="43"/>
  <c r="H223" i="43"/>
  <c r="G130" i="43"/>
  <c r="G223" i="43"/>
  <c r="F223" i="43"/>
  <c r="P259" i="43"/>
  <c r="O259" i="43"/>
  <c r="N259" i="43"/>
  <c r="M259" i="43"/>
  <c r="L259" i="43"/>
  <c r="K259" i="43"/>
  <c r="J259" i="43"/>
  <c r="I259" i="43"/>
  <c r="H259" i="43"/>
  <c r="G259" i="43"/>
  <c r="Q84" i="43"/>
  <c r="Q83" i="43"/>
  <c r="Q82" i="43"/>
  <c r="Q79" i="43"/>
  <c r="Q78" i="43"/>
  <c r="Q77" i="43"/>
  <c r="Q76" i="43"/>
  <c r="Q75" i="43"/>
  <c r="Q74" i="43"/>
  <c r="Q73" i="43"/>
  <c r="Q72" i="43"/>
  <c r="Q71" i="43"/>
  <c r="Q70" i="43"/>
  <c r="Q69" i="43"/>
  <c r="Q68" i="43"/>
  <c r="Q67" i="43"/>
  <c r="Q66" i="43"/>
  <c r="Q65" i="43"/>
  <c r="Q64" i="43"/>
  <c r="Q63" i="43"/>
  <c r="Q62" i="43"/>
  <c r="Q61" i="43"/>
  <c r="Q60" i="43"/>
  <c r="Q59" i="43"/>
  <c r="Q58" i="43"/>
  <c r="Q57" i="43"/>
  <c r="Q56" i="43"/>
  <c r="Q55" i="43"/>
  <c r="Q54" i="43"/>
  <c r="Q53" i="43"/>
  <c r="Q52" i="43"/>
  <c r="Q51" i="43"/>
  <c r="Q50" i="43"/>
  <c r="Q49" i="43"/>
  <c r="Q48" i="43"/>
  <c r="Q47" i="43"/>
  <c r="Q46" i="43"/>
  <c r="Q45" i="43"/>
  <c r="Q44" i="43"/>
  <c r="Q43" i="43"/>
  <c r="Q42" i="43"/>
  <c r="Q41" i="43"/>
  <c r="Q40" i="43"/>
  <c r="Q39" i="43"/>
  <c r="Q38" i="43"/>
  <c r="Q37" i="43"/>
  <c r="Q36" i="43"/>
  <c r="Q35" i="43"/>
  <c r="Q34" i="43"/>
  <c r="Q33" i="43"/>
  <c r="Q31" i="43"/>
  <c r="Q30" i="43"/>
  <c r="Q27" i="43"/>
  <c r="Q26" i="43"/>
  <c r="Q25" i="43"/>
  <c r="Q22" i="43"/>
  <c r="Q21" i="43"/>
  <c r="Q20" i="43"/>
  <c r="Q19" i="43"/>
  <c r="Q18" i="43"/>
  <c r="Q17" i="43"/>
  <c r="Q16" i="43"/>
  <c r="Q13" i="43"/>
  <c r="Q12" i="43"/>
  <c r="Q11" i="43"/>
  <c r="Q10" i="43"/>
  <c r="Q9" i="43"/>
  <c r="Q8" i="43"/>
  <c r="Q7" i="43"/>
  <c r="K219" i="43"/>
  <c r="K230" i="43"/>
  <c r="J230" i="43"/>
  <c r="J219" i="43"/>
  <c r="I230" i="43"/>
  <c r="I219" i="43"/>
  <c r="H219" i="43"/>
  <c r="H230" i="43"/>
  <c r="G219" i="43"/>
  <c r="G230" i="43"/>
  <c r="F219" i="43"/>
  <c r="F230" i="43"/>
  <c r="P219" i="43"/>
  <c r="P230" i="43"/>
  <c r="O230" i="43"/>
  <c r="O219" i="43"/>
  <c r="N230" i="43"/>
  <c r="N219" i="43"/>
  <c r="M219" i="43"/>
  <c r="M230" i="43"/>
  <c r="L219" i="43"/>
  <c r="L230" i="43"/>
  <c r="P14" i="43"/>
  <c r="P130" i="43" s="1"/>
  <c r="P212" i="43" s="1"/>
  <c r="P258" i="43"/>
  <c r="O258" i="43"/>
  <c r="O14" i="43"/>
  <c r="O130" i="43" s="1"/>
  <c r="O212" i="43" s="1"/>
  <c r="N258" i="43"/>
  <c r="N14" i="43"/>
  <c r="M258" i="43"/>
  <c r="M14" i="43"/>
  <c r="L14" i="43"/>
  <c r="L130" i="43" s="1"/>
  <c r="L258" i="43"/>
  <c r="K14" i="43"/>
  <c r="K130" i="43" s="1"/>
  <c r="K212" i="43" s="1"/>
  <c r="K258" i="43"/>
  <c r="J14" i="43"/>
  <c r="J258" i="43"/>
  <c r="I14" i="43"/>
  <c r="I130" i="43" s="1"/>
  <c r="I212" i="43" s="1"/>
  <c r="I258" i="43"/>
  <c r="I260" i="43" s="1"/>
  <c r="H14" i="43"/>
  <c r="H130" i="43" s="1"/>
  <c r="H212" i="43" s="1"/>
  <c r="H258" i="43"/>
  <c r="F14" i="43"/>
  <c r="F130" i="43" s="1"/>
  <c r="F212" i="43" s="1"/>
  <c r="F258" i="43"/>
  <c r="E207" i="43"/>
  <c r="Q199" i="43"/>
  <c r="Q207" i="43" s="1"/>
  <c r="E198" i="43"/>
  <c r="Q192" i="43"/>
  <c r="E191" i="43"/>
  <c r="Q189" i="43"/>
  <c r="Q191" i="43" s="1"/>
  <c r="E188" i="43"/>
  <c r="Q186" i="43"/>
  <c r="Q188" i="43" s="1"/>
  <c r="E183" i="43"/>
  <c r="Q182" i="43"/>
  <c r="Q183" i="43" s="1"/>
  <c r="E181" i="43"/>
  <c r="Q142" i="43"/>
  <c r="E141" i="43"/>
  <c r="Q140" i="43"/>
  <c r="Q141" i="43" s="1"/>
  <c r="Q134" i="43"/>
  <c r="Q138" i="43" s="1"/>
  <c r="E138" i="43"/>
  <c r="E129" i="43"/>
  <c r="Q114" i="43"/>
  <c r="E113" i="43"/>
  <c r="E222" i="43" s="1"/>
  <c r="Q106" i="43"/>
  <c r="Q113" i="43" s="1"/>
  <c r="Q222" i="43" s="1"/>
  <c r="E105" i="43"/>
  <c r="E221" i="43" s="1"/>
  <c r="Q98" i="43"/>
  <c r="E97" i="43"/>
  <c r="Q93" i="43"/>
  <c r="Q97" i="43" s="1"/>
  <c r="E92" i="43"/>
  <c r="Q90" i="43"/>
  <c r="Q92" i="43" s="1"/>
  <c r="E89" i="43"/>
  <c r="Q88" i="43"/>
  <c r="Q89" i="43" s="1"/>
  <c r="E87" i="43"/>
  <c r="Q86" i="43"/>
  <c r="Q87" i="43" s="1"/>
  <c r="E85" i="43"/>
  <c r="Q81" i="43"/>
  <c r="Q85" i="43" s="1"/>
  <c r="E80" i="43"/>
  <c r="E223" i="43" s="1"/>
  <c r="Q29" i="43"/>
  <c r="E259" i="43"/>
  <c r="E28" i="43"/>
  <c r="Q24" i="43"/>
  <c r="E23" i="43"/>
  <c r="Q15" i="43"/>
  <c r="Q195" i="43"/>
  <c r="F259" i="43"/>
  <c r="Q184" i="43"/>
  <c r="Q185" i="43" s="1"/>
  <c r="Q167" i="43"/>
  <c r="P225" i="43"/>
  <c r="O225" i="43"/>
  <c r="N225" i="43"/>
  <c r="M225" i="43"/>
  <c r="K225" i="43"/>
  <c r="J225" i="43"/>
  <c r="I225" i="43"/>
  <c r="H225" i="43"/>
  <c r="F225" i="43"/>
  <c r="G258" i="43"/>
  <c r="E14" i="43"/>
  <c r="E258" i="43"/>
  <c r="Q6" i="43"/>
  <c r="H140" i="40"/>
  <c r="H213" i="40"/>
  <c r="H197" i="40"/>
  <c r="H204" i="40"/>
  <c r="P94" i="40"/>
  <c r="P132" i="40" s="1"/>
  <c r="O94" i="40"/>
  <c r="O132" i="40" s="1"/>
  <c r="N94" i="40"/>
  <c r="N132" i="40" s="1"/>
  <c r="M94" i="40"/>
  <c r="M132" i="40" s="1"/>
  <c r="L94" i="40"/>
  <c r="L132" i="40" s="1"/>
  <c r="K94" i="40"/>
  <c r="K132" i="40" s="1"/>
  <c r="J94" i="40"/>
  <c r="J132" i="40" s="1"/>
  <c r="F268" i="40"/>
  <c r="G259" i="40"/>
  <c r="G12" i="40"/>
  <c r="G11" i="40"/>
  <c r="G10" i="40"/>
  <c r="G9" i="40"/>
  <c r="G8" i="40"/>
  <c r="G6" i="40"/>
  <c r="Q23" i="43" l="1"/>
  <c r="Q28" i="43"/>
  <c r="Q220" i="43" s="1"/>
  <c r="L212" i="43"/>
  <c r="M130" i="43"/>
  <c r="M212" i="43" s="1"/>
  <c r="E220" i="43"/>
  <c r="Q105" i="43"/>
  <c r="Q221" i="43" s="1"/>
  <c r="H260" i="43"/>
  <c r="N130" i="43"/>
  <c r="N212" i="43" s="1"/>
  <c r="Q129" i="43"/>
  <c r="J130" i="43"/>
  <c r="J212" i="43" s="1"/>
  <c r="H214" i="40"/>
  <c r="H218" i="40" s="1"/>
  <c r="M218" i="40"/>
  <c r="N218" i="40"/>
  <c r="Q80" i="43"/>
  <c r="P224" i="43"/>
  <c r="P231" i="43"/>
  <c r="O224" i="43"/>
  <c r="O231" i="43"/>
  <c r="N231" i="43"/>
  <c r="N224" i="43"/>
  <c r="M224" i="43"/>
  <c r="M226" i="43" s="1"/>
  <c r="M227" i="43" s="1"/>
  <c r="M231" i="43"/>
  <c r="L231" i="43"/>
  <c r="L224" i="43"/>
  <c r="L226" i="43" s="1"/>
  <c r="L227" i="43" s="1"/>
  <c r="K224" i="43"/>
  <c r="K226" i="43" s="1"/>
  <c r="K227" i="43" s="1"/>
  <c r="K231" i="43"/>
  <c r="J231" i="43"/>
  <c r="J224" i="43"/>
  <c r="J226" i="43" s="1"/>
  <c r="J227" i="43" s="1"/>
  <c r="I224" i="43"/>
  <c r="I226" i="43" s="1"/>
  <c r="I227" i="43" s="1"/>
  <c r="I231" i="43"/>
  <c r="H231" i="43"/>
  <c r="H224" i="43"/>
  <c r="H226" i="43" s="1"/>
  <c r="H227" i="43" s="1"/>
  <c r="F224" i="43"/>
  <c r="F226" i="43" s="1"/>
  <c r="F227" i="43" s="1"/>
  <c r="F231" i="43"/>
  <c r="P260" i="43"/>
  <c r="N260" i="43"/>
  <c r="J260" i="43"/>
  <c r="Q14" i="43"/>
  <c r="L260" i="43"/>
  <c r="G260" i="43"/>
  <c r="G263" i="43" s="1"/>
  <c r="K260" i="43"/>
  <c r="O260" i="43"/>
  <c r="M260" i="43"/>
  <c r="Q198" i="43"/>
  <c r="E208" i="43"/>
  <c r="E225" i="43" s="1"/>
  <c r="E232" i="43" s="1"/>
  <c r="Q181" i="43"/>
  <c r="Q208" i="43" s="1"/>
  <c r="Q225" i="43" s="1"/>
  <c r="Q232" i="43" s="1"/>
  <c r="E230" i="43"/>
  <c r="E219" i="43"/>
  <c r="Q219" i="43"/>
  <c r="Q230" i="43"/>
  <c r="P226" i="43"/>
  <c r="P227" i="43" s="1"/>
  <c r="P232" i="43"/>
  <c r="O226" i="43"/>
  <c r="O227" i="43" s="1"/>
  <c r="O232" i="43"/>
  <c r="O234" i="43" s="1"/>
  <c r="N226" i="43"/>
  <c r="N227" i="43" s="1"/>
  <c r="N232" i="43"/>
  <c r="M232" i="43"/>
  <c r="L232" i="43"/>
  <c r="K232" i="43"/>
  <c r="J232" i="43"/>
  <c r="I232" i="43"/>
  <c r="H232" i="43"/>
  <c r="F232" i="43"/>
  <c r="G224" i="43"/>
  <c r="G231" i="43"/>
  <c r="E130" i="43"/>
  <c r="E224" i="43"/>
  <c r="E231" i="43"/>
  <c r="Q224" i="43"/>
  <c r="G225" i="43"/>
  <c r="G232" i="43" s="1"/>
  <c r="G212" i="43"/>
  <c r="F260" i="43"/>
  <c r="F263" i="43" s="1"/>
  <c r="Q259" i="43"/>
  <c r="Q258" i="43"/>
  <c r="E260" i="43"/>
  <c r="E263" i="43" s="1"/>
  <c r="O218" i="40"/>
  <c r="K218" i="40"/>
  <c r="L218" i="40"/>
  <c r="J218" i="40"/>
  <c r="P218" i="40"/>
  <c r="E58" i="42"/>
  <c r="P234" i="43" l="1"/>
  <c r="Q223" i="43"/>
  <c r="Q130" i="43"/>
  <c r="Q231" i="43"/>
  <c r="N234" i="43"/>
  <c r="N236" i="43" s="1"/>
  <c r="N239" i="43" s="1"/>
  <c r="N3" i="43" s="1"/>
  <c r="M234" i="43"/>
  <c r="M236" i="43" s="1"/>
  <c r="M239" i="43" s="1"/>
  <c r="M3" i="43" s="1"/>
  <c r="L234" i="43"/>
  <c r="L236" i="43" s="1"/>
  <c r="L239" i="43" s="1"/>
  <c r="L3" i="43" s="1"/>
  <c r="K234" i="43"/>
  <c r="K236" i="43" s="1"/>
  <c r="K239" i="43" s="1"/>
  <c r="K3" i="43" s="1"/>
  <c r="J234" i="43"/>
  <c r="J236" i="43" s="1"/>
  <c r="J239" i="43" s="1"/>
  <c r="J3" i="43" s="1"/>
  <c r="I234" i="43"/>
  <c r="H234" i="43"/>
  <c r="H263" i="43" s="1"/>
  <c r="F234" i="43"/>
  <c r="F236" i="43" s="1"/>
  <c r="F239" i="43" s="1"/>
  <c r="F3" i="43" s="1"/>
  <c r="G234" i="43"/>
  <c r="G236" i="43" s="1"/>
  <c r="G239" i="43" s="1"/>
  <c r="G3" i="43" s="1"/>
  <c r="E212" i="43"/>
  <c r="Q212" i="43" s="1"/>
  <c r="E226" i="43"/>
  <c r="E227" i="43" s="1"/>
  <c r="E234" i="43"/>
  <c r="E236" i="43" s="1"/>
  <c r="E239" i="43" s="1"/>
  <c r="E3" i="43" s="1"/>
  <c r="Q226" i="43"/>
  <c r="Q227" i="43" s="1"/>
  <c r="Q234" i="43"/>
  <c r="Q260" i="43"/>
  <c r="P263" i="43"/>
  <c r="P236" i="43"/>
  <c r="P239" i="43" s="1"/>
  <c r="P3" i="43" s="1"/>
  <c r="O263" i="43"/>
  <c r="O236" i="43"/>
  <c r="O239" i="43" s="1"/>
  <c r="O3" i="43" s="1"/>
  <c r="N263" i="43"/>
  <c r="M263" i="43"/>
  <c r="L263" i="43"/>
  <c r="K263" i="43"/>
  <c r="J263" i="43"/>
  <c r="I263" i="43"/>
  <c r="I236" i="43"/>
  <c r="I239" i="43" s="1"/>
  <c r="I3" i="43" s="1"/>
  <c r="H236" i="43"/>
  <c r="H239" i="43" s="1"/>
  <c r="H3" i="43" s="1"/>
  <c r="G226" i="43"/>
  <c r="G227" i="43" s="1"/>
  <c r="G190" i="40"/>
  <c r="G143" i="40"/>
  <c r="G194" i="40"/>
  <c r="G187" i="40"/>
  <c r="G82" i="40"/>
  <c r="Q262" i="43" l="1"/>
  <c r="Q263" i="43" s="1"/>
  <c r="Q236" i="43"/>
  <c r="Q239" i="43" s="1"/>
  <c r="Q3" i="43" s="1"/>
  <c r="C58" i="42"/>
  <c r="D58" i="42"/>
  <c r="N73" i="41"/>
  <c r="M73" i="41"/>
  <c r="L73" i="41"/>
  <c r="K73" i="41"/>
  <c r="J73" i="41"/>
  <c r="I73" i="41"/>
  <c r="H73" i="41"/>
  <c r="G73" i="41"/>
  <c r="F73" i="41"/>
  <c r="E73" i="41"/>
  <c r="D73" i="41"/>
  <c r="C73" i="41"/>
  <c r="F206" i="40" l="1"/>
  <c r="Q58" i="40"/>
  <c r="Q170" i="40"/>
  <c r="Q171" i="40"/>
  <c r="F201" i="40"/>
  <c r="I191" i="40"/>
  <c r="G191" i="40"/>
  <c r="F190" i="40"/>
  <c r="E191" i="40"/>
  <c r="F169" i="40"/>
  <c r="F187" i="40" s="1"/>
  <c r="F194" i="40"/>
  <c r="E143" i="40"/>
  <c r="F143" i="40"/>
  <c r="F82" i="40"/>
  <c r="F191" i="40" l="1"/>
  <c r="Q201" i="40"/>
  <c r="Q169" i="40"/>
  <c r="Q190" i="40"/>
  <c r="Q191" i="40" s="1"/>
  <c r="Z24" i="39" l="1"/>
  <c r="AB24" i="39"/>
  <c r="AC24" i="39" s="1"/>
  <c r="AE24" i="39"/>
  <c r="AG24" i="39"/>
  <c r="AK24" i="39"/>
  <c r="Z25" i="39"/>
  <c r="AB25" i="39"/>
  <c r="AC25" i="39"/>
  <c r="AE25" i="39"/>
  <c r="AH25" i="39" s="1"/>
  <c r="AG25" i="39"/>
  <c r="AK25" i="39"/>
  <c r="Z26" i="39"/>
  <c r="AC26" i="39" s="1"/>
  <c r="AB26" i="39"/>
  <c r="AE26" i="39"/>
  <c r="AG26" i="39"/>
  <c r="AH26" i="39"/>
  <c r="AK26" i="39"/>
  <c r="Z27" i="39"/>
  <c r="AB27" i="39"/>
  <c r="AE27" i="39"/>
  <c r="AG27" i="39"/>
  <c r="AK27" i="39"/>
  <c r="Z28" i="39"/>
  <c r="AB28" i="39"/>
  <c r="AC28" i="39"/>
  <c r="AE28" i="39"/>
  <c r="AG28" i="39"/>
  <c r="AH28" i="39"/>
  <c r="AK28" i="39"/>
  <c r="Z29" i="39"/>
  <c r="AB29" i="39"/>
  <c r="AC29" i="39"/>
  <c r="AE29" i="39"/>
  <c r="AG29" i="39"/>
  <c r="AH29" i="39"/>
  <c r="AK29" i="39"/>
  <c r="Z30" i="39"/>
  <c r="AB30" i="39"/>
  <c r="AC30" i="39" s="1"/>
  <c r="AE30" i="39"/>
  <c r="AH30" i="39" s="1"/>
  <c r="AG30" i="39"/>
  <c r="AK30" i="39"/>
  <c r="Z31" i="39"/>
  <c r="AB31" i="39"/>
  <c r="AE31" i="39"/>
  <c r="AG31" i="39"/>
  <c r="AH31" i="39"/>
  <c r="AK31" i="39"/>
  <c r="Z32" i="39"/>
  <c r="AC32" i="39" s="1"/>
  <c r="AB32" i="39"/>
  <c r="AE32" i="39"/>
  <c r="AG32" i="39"/>
  <c r="AH32" i="39"/>
  <c r="AK32" i="39"/>
  <c r="Z33" i="39"/>
  <c r="AB33" i="39"/>
  <c r="AC33" i="39" s="1"/>
  <c r="AE33" i="39"/>
  <c r="AG33" i="39"/>
  <c r="AK33" i="39"/>
  <c r="Z34" i="39"/>
  <c r="AC34" i="39" s="1"/>
  <c r="AB34" i="39"/>
  <c r="AE34" i="39"/>
  <c r="AG34" i="39"/>
  <c r="AH34" i="39" s="1"/>
  <c r="AK34" i="39"/>
  <c r="Z35" i="39"/>
  <c r="AB35" i="39"/>
  <c r="AC35" i="39"/>
  <c r="AE35" i="39"/>
  <c r="AH35" i="39" s="1"/>
  <c r="AG35" i="39"/>
  <c r="AK35" i="39"/>
  <c r="Z36" i="39"/>
  <c r="AB36" i="39"/>
  <c r="AE36" i="39"/>
  <c r="AG36" i="39"/>
  <c r="AK36" i="39"/>
  <c r="Z37" i="39"/>
  <c r="AC37" i="39" s="1"/>
  <c r="AB37" i="39"/>
  <c r="AE37" i="39"/>
  <c r="AG37" i="39"/>
  <c r="AH37" i="39"/>
  <c r="AK37" i="39"/>
  <c r="Z38" i="39"/>
  <c r="AB38" i="39"/>
  <c r="AC38" i="39"/>
  <c r="AE38" i="39"/>
  <c r="AG38" i="39"/>
  <c r="AH38" i="39"/>
  <c r="AK38" i="39"/>
  <c r="AH36" i="39" l="1"/>
  <c r="AC36" i="39"/>
  <c r="AC31" i="39"/>
  <c r="AH24" i="39"/>
  <c r="AH27" i="39"/>
  <c r="AH33" i="39"/>
  <c r="AC27" i="39"/>
  <c r="Q1" i="40"/>
  <c r="E268" i="40"/>
  <c r="E265" i="40"/>
  <c r="E13" i="40"/>
  <c r="E12" i="40"/>
  <c r="E11" i="40"/>
  <c r="E10" i="40"/>
  <c r="E9" i="40"/>
  <c r="E8" i="40"/>
  <c r="E7" i="40"/>
  <c r="E6" i="40"/>
  <c r="E264" i="40" l="1"/>
  <c r="Q119" i="40"/>
  <c r="E213" i="40" l="1"/>
  <c r="E204" i="40"/>
  <c r="E197" i="40"/>
  <c r="E194" i="40"/>
  <c r="E189" i="40"/>
  <c r="E187" i="40"/>
  <c r="E140" i="40"/>
  <c r="E131" i="40"/>
  <c r="E115" i="40"/>
  <c r="E107" i="40"/>
  <c r="E227" i="40" s="1"/>
  <c r="E91" i="40"/>
  <c r="E89" i="40"/>
  <c r="E87" i="40"/>
  <c r="E82" i="40"/>
  <c r="E28" i="40"/>
  <c r="E23" i="40"/>
  <c r="E225" i="40" s="1"/>
  <c r="E14" i="40"/>
  <c r="E230" i="40" s="1"/>
  <c r="P265" i="40"/>
  <c r="N265" i="40"/>
  <c r="L265" i="40"/>
  <c r="K265" i="40"/>
  <c r="J265" i="40"/>
  <c r="I265" i="40"/>
  <c r="H265" i="40"/>
  <c r="G265" i="40"/>
  <c r="F265" i="40"/>
  <c r="P259" i="40"/>
  <c r="O259" i="40"/>
  <c r="L259" i="40"/>
  <c r="K259" i="40"/>
  <c r="J259" i="40"/>
  <c r="I259" i="40"/>
  <c r="Q256" i="40"/>
  <c r="Q252" i="40"/>
  <c r="Q251" i="40"/>
  <c r="I213" i="40"/>
  <c r="G213" i="40"/>
  <c r="F213" i="40"/>
  <c r="Q212" i="40"/>
  <c r="Q211" i="40"/>
  <c r="Q210" i="40"/>
  <c r="Q209" i="40"/>
  <c r="Q208" i="40"/>
  <c r="Q207" i="40"/>
  <c r="Q205" i="40"/>
  <c r="I204" i="40"/>
  <c r="G204" i="40"/>
  <c r="F204" i="40"/>
  <c r="Q203" i="40"/>
  <c r="Q202" i="40"/>
  <c r="Q200" i="40"/>
  <c r="Q199" i="40"/>
  <c r="Q198" i="40"/>
  <c r="I197" i="40"/>
  <c r="G197" i="40"/>
  <c r="F197" i="40"/>
  <c r="Q196" i="40"/>
  <c r="Q195" i="40"/>
  <c r="I194" i="40"/>
  <c r="Q193" i="40"/>
  <c r="Q192" i="40"/>
  <c r="I189" i="40"/>
  <c r="G189" i="40"/>
  <c r="F189" i="40"/>
  <c r="Q188" i="40"/>
  <c r="Q189" i="40" s="1"/>
  <c r="I187" i="40"/>
  <c r="Q181" i="40"/>
  <c r="Q180" i="40"/>
  <c r="Q179" i="40"/>
  <c r="Q178" i="40"/>
  <c r="Q177" i="40"/>
  <c r="Q175" i="40"/>
  <c r="Q174" i="40"/>
  <c r="Q173" i="40"/>
  <c r="Q172" i="40"/>
  <c r="Q168" i="40"/>
  <c r="Q166" i="40"/>
  <c r="Q165" i="40"/>
  <c r="Q164" i="40"/>
  <c r="Q163" i="40"/>
  <c r="Q162" i="40"/>
  <c r="Q161" i="40"/>
  <c r="Q160" i="40"/>
  <c r="Q159" i="40"/>
  <c r="Q158" i="40"/>
  <c r="Q157" i="40"/>
  <c r="Q156" i="40"/>
  <c r="Q154" i="40"/>
  <c r="Q153" i="40"/>
  <c r="Q152" i="40"/>
  <c r="Q151" i="40"/>
  <c r="Q150" i="40"/>
  <c r="Q149" i="40"/>
  <c r="Q148" i="40"/>
  <c r="Q147" i="40"/>
  <c r="Q146" i="40"/>
  <c r="Q145" i="40"/>
  <c r="Q144" i="40"/>
  <c r="I143" i="40"/>
  <c r="Q142" i="40"/>
  <c r="I140" i="40"/>
  <c r="G140" i="40"/>
  <c r="F140" i="40"/>
  <c r="Q139" i="40"/>
  <c r="Q138" i="40"/>
  <c r="Q137" i="40"/>
  <c r="Q136" i="40"/>
  <c r="I131" i="40"/>
  <c r="F131" i="40"/>
  <c r="Q130" i="40"/>
  <c r="Q129" i="40"/>
  <c r="Q128" i="40"/>
  <c r="Q127" i="40"/>
  <c r="Q126" i="40"/>
  <c r="Q125" i="40"/>
  <c r="Q124" i="40"/>
  <c r="Q123" i="40"/>
  <c r="Q122" i="40"/>
  <c r="Q121" i="40"/>
  <c r="Q120" i="40"/>
  <c r="Q118" i="40"/>
  <c r="Q117" i="40"/>
  <c r="Q116" i="40"/>
  <c r="P228" i="40"/>
  <c r="O228" i="40"/>
  <c r="N228" i="40"/>
  <c r="M228" i="40"/>
  <c r="L228" i="40"/>
  <c r="K228" i="40"/>
  <c r="J228" i="40"/>
  <c r="I115" i="40"/>
  <c r="I228" i="40" s="1"/>
  <c r="H228" i="40"/>
  <c r="F115" i="40"/>
  <c r="F228" i="40" s="1"/>
  <c r="Q114" i="40"/>
  <c r="Q113" i="40"/>
  <c r="Q112" i="40"/>
  <c r="Q111" i="40"/>
  <c r="Q110" i="40"/>
  <c r="G115" i="40"/>
  <c r="Q108" i="40"/>
  <c r="O227" i="40"/>
  <c r="L227" i="40"/>
  <c r="K227" i="40"/>
  <c r="I107" i="40"/>
  <c r="I227" i="40" s="1"/>
  <c r="F107" i="40"/>
  <c r="F227" i="40" s="1"/>
  <c r="Q106" i="40"/>
  <c r="Q105" i="40"/>
  <c r="Q104" i="40"/>
  <c r="Q103" i="40"/>
  <c r="Q102" i="40"/>
  <c r="Q101" i="40"/>
  <c r="Q100" i="40"/>
  <c r="I99" i="40"/>
  <c r="G99" i="40"/>
  <c r="Q97" i="40"/>
  <c r="Q96" i="40"/>
  <c r="Q95" i="40"/>
  <c r="I94" i="40"/>
  <c r="G94" i="40"/>
  <c r="F94" i="40"/>
  <c r="E94" i="40"/>
  <c r="Q92" i="40"/>
  <c r="I91" i="40"/>
  <c r="G91" i="40"/>
  <c r="F91" i="40"/>
  <c r="Q90" i="40"/>
  <c r="I89" i="40"/>
  <c r="G89" i="40"/>
  <c r="F89" i="40"/>
  <c r="Q88" i="40"/>
  <c r="I87" i="40"/>
  <c r="G87" i="40"/>
  <c r="F87" i="40"/>
  <c r="Q86" i="40"/>
  <c r="Q85" i="40"/>
  <c r="Q84" i="40"/>
  <c r="Q83" i="40"/>
  <c r="I82" i="40"/>
  <c r="Q79" i="40"/>
  <c r="Q78" i="40"/>
  <c r="Q77" i="40"/>
  <c r="Q76" i="40"/>
  <c r="Q75" i="40"/>
  <c r="Q74" i="40"/>
  <c r="Q73" i="40"/>
  <c r="Q72" i="40"/>
  <c r="Q71" i="40"/>
  <c r="Q70" i="40"/>
  <c r="Q69" i="40"/>
  <c r="Q68" i="40"/>
  <c r="Q67" i="40"/>
  <c r="Q66" i="40"/>
  <c r="Q65" i="40"/>
  <c r="Q64" i="40"/>
  <c r="Q63" i="40"/>
  <c r="Q62" i="40"/>
  <c r="Q61" i="40"/>
  <c r="Q60" i="40"/>
  <c r="Q59" i="40"/>
  <c r="Q57" i="40"/>
  <c r="Q56" i="40"/>
  <c r="Q55" i="40"/>
  <c r="Q54" i="40"/>
  <c r="Q53" i="40"/>
  <c r="Q52" i="40"/>
  <c r="Q51" i="40"/>
  <c r="Q50" i="40"/>
  <c r="Q49" i="40"/>
  <c r="Q48" i="40"/>
  <c r="Q47" i="40"/>
  <c r="Q46" i="40"/>
  <c r="Q45" i="40"/>
  <c r="Q44" i="40"/>
  <c r="Q43" i="40"/>
  <c r="Q42" i="40"/>
  <c r="Q41" i="40"/>
  <c r="Q40" i="40"/>
  <c r="Q39" i="40"/>
  <c r="Q37" i="40"/>
  <c r="Q36" i="40"/>
  <c r="Q35" i="40"/>
  <c r="Q34" i="40"/>
  <c r="Q33" i="40"/>
  <c r="Q31" i="40"/>
  <c r="Q30" i="40"/>
  <c r="Q29" i="40"/>
  <c r="I28" i="40"/>
  <c r="G28" i="40"/>
  <c r="F28" i="40"/>
  <c r="Q27" i="40"/>
  <c r="Q26" i="40"/>
  <c r="Q25" i="40"/>
  <c r="Q24" i="40"/>
  <c r="O225" i="40"/>
  <c r="L225" i="40"/>
  <c r="I23" i="40"/>
  <c r="I225" i="40" s="1"/>
  <c r="G23" i="40"/>
  <c r="F23" i="40"/>
  <c r="F225" i="40" s="1"/>
  <c r="Q22" i="40"/>
  <c r="Q21" i="40"/>
  <c r="Q20" i="40"/>
  <c r="Q19" i="40"/>
  <c r="Q18" i="40"/>
  <c r="Q17" i="40"/>
  <c r="Q16" i="40"/>
  <c r="Q15" i="40"/>
  <c r="G14" i="40"/>
  <c r="Q7" i="40"/>
  <c r="L230" i="40"/>
  <c r="AY78" i="39"/>
  <c r="AZ78" i="39"/>
  <c r="AS80" i="39"/>
  <c r="AR80" i="39"/>
  <c r="AP80" i="39"/>
  <c r="AO80" i="39"/>
  <c r="AM80" i="39"/>
  <c r="AL80" i="39"/>
  <c r="AJ80" i="39"/>
  <c r="AI80" i="39"/>
  <c r="AG80" i="39"/>
  <c r="AF80" i="39"/>
  <c r="AE80" i="39"/>
  <c r="AD80" i="39"/>
  <c r="AB80" i="39"/>
  <c r="AA80" i="39"/>
  <c r="Z80" i="39"/>
  <c r="Y80" i="39"/>
  <c r="W80" i="39"/>
  <c r="V80" i="39"/>
  <c r="U80" i="39"/>
  <c r="T80" i="39"/>
  <c r="R80" i="39"/>
  <c r="Q80" i="39"/>
  <c r="P80" i="39"/>
  <c r="O80" i="39"/>
  <c r="M80" i="39"/>
  <c r="L80" i="39"/>
  <c r="K80" i="39"/>
  <c r="J80" i="39"/>
  <c r="AW78" i="39"/>
  <c r="AT78" i="39"/>
  <c r="AQ78" i="39"/>
  <c r="AN78" i="39"/>
  <c r="AK78" i="39"/>
  <c r="AH78" i="39"/>
  <c r="AC78" i="39"/>
  <c r="X78" i="39"/>
  <c r="S78" i="39"/>
  <c r="N78" i="39"/>
  <c r="I78" i="39"/>
  <c r="AM75" i="39"/>
  <c r="AL75" i="39"/>
  <c r="AF75" i="39"/>
  <c r="AA75" i="39"/>
  <c r="V75" i="39"/>
  <c r="W75" i="39" s="1"/>
  <c r="Q75" i="39"/>
  <c r="L75" i="39"/>
  <c r="G75" i="39"/>
  <c r="E75" i="39"/>
  <c r="AZ74" i="39"/>
  <c r="AW74" i="39"/>
  <c r="AT74" i="39"/>
  <c r="AQ74" i="39"/>
  <c r="AN74" i="39"/>
  <c r="AK74" i="39"/>
  <c r="AG74" i="39"/>
  <c r="AE74" i="39"/>
  <c r="AH74" i="39" s="1"/>
  <c r="AB74" i="39"/>
  <c r="Z74" i="39"/>
  <c r="W74" i="39"/>
  <c r="U74" i="39"/>
  <c r="R74" i="39"/>
  <c r="P74" i="39"/>
  <c r="S74" i="39" s="1"/>
  <c r="M74" i="39"/>
  <c r="K74" i="39"/>
  <c r="N74" i="39" s="1"/>
  <c r="H74" i="39"/>
  <c r="I74" i="39" s="1"/>
  <c r="AZ73" i="39"/>
  <c r="AZ72" i="39"/>
  <c r="AZ71" i="39"/>
  <c r="AW71" i="39"/>
  <c r="AT71" i="39"/>
  <c r="AQ71" i="39"/>
  <c r="AN71" i="39"/>
  <c r="AK71" i="39"/>
  <c r="AG71" i="39"/>
  <c r="AH71" i="39" s="1"/>
  <c r="AE71" i="39"/>
  <c r="AB71" i="39"/>
  <c r="Z71" i="39"/>
  <c r="W71" i="39"/>
  <c r="U71" i="39"/>
  <c r="R71" i="39"/>
  <c r="P71" i="39"/>
  <c r="S71" i="39" s="1"/>
  <c r="M71" i="39"/>
  <c r="K71" i="39"/>
  <c r="N71" i="39" s="1"/>
  <c r="H71" i="39"/>
  <c r="I71" i="39" s="1"/>
  <c r="AZ70" i="39"/>
  <c r="AW70" i="39"/>
  <c r="AT70" i="39"/>
  <c r="AQ70" i="39"/>
  <c r="AZ69" i="39"/>
  <c r="AT69" i="39"/>
  <c r="AQ69" i="39"/>
  <c r="AZ68" i="39"/>
  <c r="AW68" i="39"/>
  <c r="AT68" i="39"/>
  <c r="AQ68" i="39"/>
  <c r="AZ67" i="39"/>
  <c r="AW67" i="39"/>
  <c r="AT67" i="39"/>
  <c r="AQ67" i="39"/>
  <c r="AN67" i="39"/>
  <c r="AK67" i="39"/>
  <c r="AG67" i="39"/>
  <c r="AE67" i="39"/>
  <c r="AB67" i="39"/>
  <c r="Z67" i="39"/>
  <c r="AC67" i="39" s="1"/>
  <c r="W67" i="39"/>
  <c r="X67" i="39" s="1"/>
  <c r="U67" i="39"/>
  <c r="R67" i="39"/>
  <c r="P67" i="39"/>
  <c r="S67" i="39" s="1"/>
  <c r="M67" i="39"/>
  <c r="K67" i="39"/>
  <c r="N67" i="39" s="1"/>
  <c r="I67" i="39"/>
  <c r="H67" i="39"/>
  <c r="AZ66" i="39"/>
  <c r="AW66" i="39"/>
  <c r="AT66" i="39"/>
  <c r="AQ66" i="39"/>
  <c r="AN66" i="39"/>
  <c r="AK66" i="39"/>
  <c r="AG66" i="39"/>
  <c r="AE66" i="39"/>
  <c r="AH66" i="39" s="1"/>
  <c r="AB66" i="39"/>
  <c r="Z66" i="39"/>
  <c r="AC66" i="39" s="1"/>
  <c r="W66" i="39"/>
  <c r="U66" i="39"/>
  <c r="R66" i="39"/>
  <c r="P66" i="39"/>
  <c r="S66" i="39" s="1"/>
  <c r="M66" i="39"/>
  <c r="K66" i="39"/>
  <c r="I66" i="39"/>
  <c r="H66" i="39"/>
  <c r="AZ65" i="39"/>
  <c r="AW65" i="39"/>
  <c r="AT65" i="39"/>
  <c r="AQ65" i="39"/>
  <c r="AN65" i="39"/>
  <c r="AK65" i="39"/>
  <c r="AG65" i="39"/>
  <c r="AE65" i="39"/>
  <c r="AH65" i="39" s="1"/>
  <c r="AB65" i="39"/>
  <c r="Z65" i="39"/>
  <c r="W65" i="39"/>
  <c r="U65" i="39"/>
  <c r="R65" i="39"/>
  <c r="P65" i="39"/>
  <c r="S65" i="39" s="1"/>
  <c r="M65" i="39"/>
  <c r="K65" i="39"/>
  <c r="N65" i="39" s="1"/>
  <c r="H65" i="39"/>
  <c r="I65" i="39" s="1"/>
  <c r="AZ64" i="39"/>
  <c r="AW64" i="39"/>
  <c r="AT64" i="39"/>
  <c r="AQ64" i="39"/>
  <c r="AN64" i="39"/>
  <c r="AK64" i="39"/>
  <c r="AG64" i="39"/>
  <c r="AE64" i="39"/>
  <c r="AH64" i="39" s="1"/>
  <c r="AB64" i="39"/>
  <c r="AC64" i="39" s="1"/>
  <c r="Z64" i="39"/>
  <c r="W64" i="39"/>
  <c r="U64" i="39"/>
  <c r="R64" i="39"/>
  <c r="P64" i="39"/>
  <c r="M64" i="39"/>
  <c r="K64" i="39"/>
  <c r="H64" i="39"/>
  <c r="I64" i="39" s="1"/>
  <c r="AZ63" i="39"/>
  <c r="AW63" i="39"/>
  <c r="AT63" i="39"/>
  <c r="AQ63" i="39"/>
  <c r="AN63" i="39"/>
  <c r="AK63" i="39"/>
  <c r="AG63" i="39"/>
  <c r="AE63" i="39"/>
  <c r="AB63" i="39"/>
  <c r="Z63" i="39"/>
  <c r="AC63" i="39" s="1"/>
  <c r="W63" i="39"/>
  <c r="U63" i="39"/>
  <c r="R63" i="39"/>
  <c r="P63" i="39"/>
  <c r="S63" i="39" s="1"/>
  <c r="M63" i="39"/>
  <c r="K63" i="39"/>
  <c r="N63" i="39" s="1"/>
  <c r="H63" i="39"/>
  <c r="F63" i="39"/>
  <c r="AZ62" i="39"/>
  <c r="AW62" i="39"/>
  <c r="AT62" i="39"/>
  <c r="AQ62" i="39"/>
  <c r="AN62" i="39"/>
  <c r="AK62" i="39"/>
  <c r="AG62" i="39"/>
  <c r="AE62" i="39"/>
  <c r="AH62" i="39" s="1"/>
  <c r="AB62" i="39"/>
  <c r="AC62" i="39" s="1"/>
  <c r="Z62" i="39"/>
  <c r="W62" i="39"/>
  <c r="U62" i="39"/>
  <c r="R62" i="39"/>
  <c r="P62" i="39"/>
  <c r="S62" i="39" s="1"/>
  <c r="M62" i="39"/>
  <c r="K62" i="39"/>
  <c r="H62" i="39"/>
  <c r="I62" i="39" s="1"/>
  <c r="AZ61" i="39"/>
  <c r="AW61" i="39"/>
  <c r="AT61" i="39"/>
  <c r="AQ61" i="39"/>
  <c r="AN61" i="39"/>
  <c r="AK61" i="39"/>
  <c r="AG61" i="39"/>
  <c r="AE61" i="39"/>
  <c r="AH61" i="39" s="1"/>
  <c r="AB61" i="39"/>
  <c r="Z61" i="39"/>
  <c r="W61" i="39"/>
  <c r="U61" i="39"/>
  <c r="R61" i="39"/>
  <c r="P61" i="39"/>
  <c r="M61" i="39"/>
  <c r="K61" i="39"/>
  <c r="H61" i="39"/>
  <c r="I61" i="39" s="1"/>
  <c r="AZ60" i="39"/>
  <c r="AW60" i="39"/>
  <c r="AT60" i="39"/>
  <c r="AQ60" i="39"/>
  <c r="AN60" i="39"/>
  <c r="AK60" i="39"/>
  <c r="AG60" i="39"/>
  <c r="AE60" i="39"/>
  <c r="AH60" i="39" s="1"/>
  <c r="AB60" i="39"/>
  <c r="Z60" i="39"/>
  <c r="AC60" i="39" s="1"/>
  <c r="W60" i="39"/>
  <c r="U60" i="39"/>
  <c r="R60" i="39"/>
  <c r="P60" i="39"/>
  <c r="S60" i="39" s="1"/>
  <c r="M60" i="39"/>
  <c r="K60" i="39"/>
  <c r="H60" i="39"/>
  <c r="I60" i="39" s="1"/>
  <c r="AZ59" i="39"/>
  <c r="AW59" i="39"/>
  <c r="AT59" i="39"/>
  <c r="AQ59" i="39"/>
  <c r="AN59" i="39"/>
  <c r="AK59" i="39"/>
  <c r="AG59" i="39"/>
  <c r="AE59" i="39"/>
  <c r="AB59" i="39"/>
  <c r="Z59" i="39"/>
  <c r="AC59" i="39" s="1"/>
  <c r="W59" i="39"/>
  <c r="U59" i="39"/>
  <c r="R59" i="39"/>
  <c r="P59" i="39"/>
  <c r="S59" i="39" s="1"/>
  <c r="M59" i="39"/>
  <c r="K59" i="39"/>
  <c r="N59" i="39" s="1"/>
  <c r="H59" i="39"/>
  <c r="I59" i="39" s="1"/>
  <c r="AQ58" i="39"/>
  <c r="AK58" i="39"/>
  <c r="AG58" i="39"/>
  <c r="AE58" i="39"/>
  <c r="AH58" i="39" s="1"/>
  <c r="AB58" i="39"/>
  <c r="Z58" i="39"/>
  <c r="AC58" i="39" s="1"/>
  <c r="W58" i="39"/>
  <c r="U58" i="39"/>
  <c r="X58" i="39" s="1"/>
  <c r="R58" i="39"/>
  <c r="P58" i="39"/>
  <c r="S58" i="39" s="1"/>
  <c r="M58" i="39"/>
  <c r="K58" i="39"/>
  <c r="N58" i="39" s="1"/>
  <c r="I58" i="39"/>
  <c r="H58" i="39"/>
  <c r="AW57" i="39"/>
  <c r="AQ57" i="39"/>
  <c r="AN57" i="39"/>
  <c r="AK57" i="39"/>
  <c r="AG57" i="39"/>
  <c r="AE57" i="39"/>
  <c r="AB57" i="39"/>
  <c r="AC57" i="39" s="1"/>
  <c r="Z57" i="39"/>
  <c r="W57" i="39"/>
  <c r="U57" i="39"/>
  <c r="R57" i="39"/>
  <c r="P57" i="39"/>
  <c r="S57" i="39" s="1"/>
  <c r="M57" i="39"/>
  <c r="K57" i="39"/>
  <c r="H57" i="39"/>
  <c r="I57" i="39" s="1"/>
  <c r="AZ56" i="39"/>
  <c r="AW56" i="39"/>
  <c r="AT56" i="39"/>
  <c r="AQ56" i="39"/>
  <c r="AN56" i="39"/>
  <c r="AK56" i="39"/>
  <c r="AG56" i="39"/>
  <c r="AE56" i="39"/>
  <c r="AH56" i="39" s="1"/>
  <c r="AB56" i="39"/>
  <c r="Z56" i="39"/>
  <c r="W56" i="39"/>
  <c r="U56" i="39"/>
  <c r="R56" i="39"/>
  <c r="P56" i="39"/>
  <c r="S56" i="39" s="1"/>
  <c r="M56" i="39"/>
  <c r="K56" i="39"/>
  <c r="N56" i="39" s="1"/>
  <c r="I56" i="39"/>
  <c r="H56" i="39"/>
  <c r="AZ55" i="39"/>
  <c r="AW55" i="39"/>
  <c r="AT55" i="39"/>
  <c r="AQ55" i="39"/>
  <c r="AN55" i="39"/>
  <c r="AK55" i="39"/>
  <c r="AG55" i="39"/>
  <c r="AE55" i="39"/>
  <c r="AH55" i="39" s="1"/>
  <c r="AB55" i="39"/>
  <c r="Z55" i="39"/>
  <c r="W55" i="39"/>
  <c r="U55" i="39"/>
  <c r="X55" i="39" s="1"/>
  <c r="R55" i="39"/>
  <c r="P55" i="39"/>
  <c r="M55" i="39"/>
  <c r="K55" i="39"/>
  <c r="H55" i="39"/>
  <c r="I55" i="39" s="1"/>
  <c r="AZ54" i="39"/>
  <c r="AW54" i="39"/>
  <c r="AQ54" i="39"/>
  <c r="AN54" i="39"/>
  <c r="AK54" i="39"/>
  <c r="AG54" i="39"/>
  <c r="AE54" i="39"/>
  <c r="AH54" i="39" s="1"/>
  <c r="AB54" i="39"/>
  <c r="Z54" i="39"/>
  <c r="W54" i="39"/>
  <c r="U54" i="39"/>
  <c r="R54" i="39"/>
  <c r="P54" i="39"/>
  <c r="S54" i="39" s="1"/>
  <c r="M54" i="39"/>
  <c r="K54" i="39"/>
  <c r="N54" i="39" s="1"/>
  <c r="I54" i="39"/>
  <c r="H54" i="39"/>
  <c r="AZ53" i="39"/>
  <c r="AW53" i="39"/>
  <c r="AT53" i="39"/>
  <c r="AQ53" i="39"/>
  <c r="AN53" i="39"/>
  <c r="AK53" i="39"/>
  <c r="AG53" i="39"/>
  <c r="AE53" i="39"/>
  <c r="AB53" i="39"/>
  <c r="Z53" i="39"/>
  <c r="AC53" i="39" s="1"/>
  <c r="X53" i="39"/>
  <c r="W53" i="39"/>
  <c r="U53" i="39"/>
  <c r="R53" i="39"/>
  <c r="P53" i="39"/>
  <c r="S53" i="39" s="1"/>
  <c r="M53" i="39"/>
  <c r="K53" i="39"/>
  <c r="N53" i="39" s="1"/>
  <c r="H53" i="39"/>
  <c r="I53" i="39" s="1"/>
  <c r="AZ52" i="39"/>
  <c r="AW52" i="39"/>
  <c r="AT52" i="39"/>
  <c r="AQ52" i="39"/>
  <c r="AN52" i="39"/>
  <c r="AK52" i="39"/>
  <c r="AG52" i="39"/>
  <c r="AE52" i="39"/>
  <c r="AH52" i="39" s="1"/>
  <c r="AB52" i="39"/>
  <c r="AC52" i="39" s="1"/>
  <c r="Z52" i="39"/>
  <c r="W52" i="39"/>
  <c r="U52" i="39"/>
  <c r="X52" i="39" s="1"/>
  <c r="R52" i="39"/>
  <c r="P52" i="39"/>
  <c r="S52" i="39" s="1"/>
  <c r="M52" i="39"/>
  <c r="K52" i="39"/>
  <c r="H52" i="39"/>
  <c r="I52" i="39" s="1"/>
  <c r="AZ51" i="39"/>
  <c r="AW51" i="39"/>
  <c r="AT51" i="39"/>
  <c r="AQ51" i="39"/>
  <c r="AN51" i="39"/>
  <c r="AK51" i="39"/>
  <c r="AG51" i="39"/>
  <c r="AE51" i="39"/>
  <c r="AB51" i="39"/>
  <c r="Z51" i="39"/>
  <c r="W51" i="39"/>
  <c r="U51" i="39"/>
  <c r="X51" i="39" s="1"/>
  <c r="R51" i="39"/>
  <c r="P51" i="39"/>
  <c r="M51" i="39"/>
  <c r="K51" i="39"/>
  <c r="H51" i="39"/>
  <c r="I51" i="39" s="1"/>
  <c r="AZ50" i="39"/>
  <c r="AT50" i="39"/>
  <c r="AQ50" i="39"/>
  <c r="AN50" i="39"/>
  <c r="AK50" i="39"/>
  <c r="AG50" i="39"/>
  <c r="AE50" i="39"/>
  <c r="AH50" i="39" s="1"/>
  <c r="AB50" i="39"/>
  <c r="Z50" i="39"/>
  <c r="AC50" i="39" s="1"/>
  <c r="W50" i="39"/>
  <c r="U50" i="39"/>
  <c r="X50" i="39" s="1"/>
  <c r="R50" i="39"/>
  <c r="P50" i="39"/>
  <c r="M50" i="39"/>
  <c r="K50" i="39"/>
  <c r="H50" i="39"/>
  <c r="I50" i="39" s="1"/>
  <c r="AZ49" i="39"/>
  <c r="AW49" i="39"/>
  <c r="AT49" i="39"/>
  <c r="AQ49" i="39"/>
  <c r="AN49" i="39"/>
  <c r="AK49" i="39"/>
  <c r="AG49" i="39"/>
  <c r="AE49" i="39"/>
  <c r="AH49" i="39" s="1"/>
  <c r="AB49" i="39"/>
  <c r="Z49" i="39"/>
  <c r="W49" i="39"/>
  <c r="U49" i="39"/>
  <c r="R49" i="39"/>
  <c r="P49" i="39"/>
  <c r="S49" i="39" s="1"/>
  <c r="M49" i="39"/>
  <c r="K49" i="39"/>
  <c r="N49" i="39" s="1"/>
  <c r="H49" i="39"/>
  <c r="I49" i="39" s="1"/>
  <c r="AZ48" i="39"/>
  <c r="AW48" i="39"/>
  <c r="AT48" i="39"/>
  <c r="AQ48" i="39"/>
  <c r="AN48" i="39"/>
  <c r="AK48" i="39"/>
  <c r="AG48" i="39"/>
  <c r="AE48" i="39"/>
  <c r="AH48" i="39" s="1"/>
  <c r="AB48" i="39"/>
  <c r="Z48" i="39"/>
  <c r="W48" i="39"/>
  <c r="U48" i="39"/>
  <c r="R48" i="39"/>
  <c r="P48" i="39"/>
  <c r="S48" i="39" s="1"/>
  <c r="M48" i="39"/>
  <c r="K48" i="39"/>
  <c r="N48" i="39" s="1"/>
  <c r="H48" i="39"/>
  <c r="I48" i="39" s="1"/>
  <c r="AZ47" i="39"/>
  <c r="AW47" i="39"/>
  <c r="AT47" i="39"/>
  <c r="AN47" i="39"/>
  <c r="AK47" i="39"/>
  <c r="AG47" i="39"/>
  <c r="AE47" i="39"/>
  <c r="AB47" i="39"/>
  <c r="Z47" i="39"/>
  <c r="AC47" i="39" s="1"/>
  <c r="W47" i="39"/>
  <c r="U47" i="39"/>
  <c r="X47" i="39" s="1"/>
  <c r="R47" i="39"/>
  <c r="P47" i="39"/>
  <c r="M47" i="39"/>
  <c r="K47" i="39"/>
  <c r="H47" i="39"/>
  <c r="I47" i="39" s="1"/>
  <c r="AZ46" i="39"/>
  <c r="AW46" i="39"/>
  <c r="AT46" i="39"/>
  <c r="AQ46" i="39"/>
  <c r="AN46" i="39"/>
  <c r="AK46" i="39"/>
  <c r="AG46" i="39"/>
  <c r="AE46" i="39"/>
  <c r="AB46" i="39"/>
  <c r="Z46" i="39"/>
  <c r="W46" i="39"/>
  <c r="U46" i="39"/>
  <c r="X46" i="39" s="1"/>
  <c r="R46" i="39"/>
  <c r="S46" i="39" s="1"/>
  <c r="P46" i="39"/>
  <c r="M46" i="39"/>
  <c r="K46" i="39"/>
  <c r="H46" i="39"/>
  <c r="I46" i="39" s="1"/>
  <c r="AZ45" i="39"/>
  <c r="AW45" i="39"/>
  <c r="AT45" i="39"/>
  <c r="AQ45" i="39"/>
  <c r="AN45" i="39"/>
  <c r="AK45" i="39"/>
  <c r="AG45" i="39"/>
  <c r="AE45" i="39"/>
  <c r="AH45" i="39" s="1"/>
  <c r="AB45" i="39"/>
  <c r="Z45" i="39"/>
  <c r="W45" i="39"/>
  <c r="U45" i="39"/>
  <c r="R45" i="39"/>
  <c r="P45" i="39"/>
  <c r="S45" i="39" s="1"/>
  <c r="M45" i="39"/>
  <c r="K45" i="39"/>
  <c r="I45" i="39"/>
  <c r="H45" i="39"/>
  <c r="AZ44" i="39"/>
  <c r="AW44" i="39"/>
  <c r="AT44" i="39"/>
  <c r="AQ44" i="39"/>
  <c r="AN44" i="39"/>
  <c r="AZ43" i="39"/>
  <c r="AW43" i="39"/>
  <c r="AT43" i="39"/>
  <c r="AQ43" i="39"/>
  <c r="AN43" i="39"/>
  <c r="AK43" i="39"/>
  <c r="AG43" i="39"/>
  <c r="AE43" i="39"/>
  <c r="AH43" i="39" s="1"/>
  <c r="AB43" i="39"/>
  <c r="Z43" i="39"/>
  <c r="AC43" i="39" s="1"/>
  <c r="W43" i="39"/>
  <c r="U43" i="39"/>
  <c r="R43" i="39"/>
  <c r="P43" i="39"/>
  <c r="M43" i="39"/>
  <c r="K43" i="39"/>
  <c r="H43" i="39"/>
  <c r="I43" i="39" s="1"/>
  <c r="AZ42" i="39"/>
  <c r="AW42" i="39"/>
  <c r="AT42" i="39"/>
  <c r="AQ42" i="39"/>
  <c r="AN42" i="39"/>
  <c r="AK42" i="39"/>
  <c r="AG42" i="39"/>
  <c r="AE42" i="39"/>
  <c r="AH42" i="39" s="1"/>
  <c r="AB42" i="39"/>
  <c r="Z42" i="39"/>
  <c r="W42" i="39"/>
  <c r="U42" i="39"/>
  <c r="R42" i="39"/>
  <c r="P42" i="39"/>
  <c r="S42" i="39" s="1"/>
  <c r="M42" i="39"/>
  <c r="K42" i="39"/>
  <c r="N42" i="39" s="1"/>
  <c r="H42" i="39"/>
  <c r="I42" i="39" s="1"/>
  <c r="AZ41" i="39"/>
  <c r="AW41" i="39"/>
  <c r="AT41" i="39"/>
  <c r="AQ41" i="39"/>
  <c r="AN41" i="39"/>
  <c r="AK41" i="39"/>
  <c r="AG41" i="39"/>
  <c r="AE41" i="39"/>
  <c r="AB41" i="39"/>
  <c r="Z41" i="39"/>
  <c r="W41" i="39"/>
  <c r="U41" i="39"/>
  <c r="R41" i="39"/>
  <c r="S41" i="39" s="1"/>
  <c r="P41" i="39"/>
  <c r="M41" i="39"/>
  <c r="K41" i="39"/>
  <c r="N41" i="39" s="1"/>
  <c r="H41" i="39"/>
  <c r="F41" i="39"/>
  <c r="F75" i="39" s="1"/>
  <c r="AZ40" i="39"/>
  <c r="AW40" i="39"/>
  <c r="AT40" i="39"/>
  <c r="AQ40" i="39"/>
  <c r="AN40" i="39"/>
  <c r="AK40" i="39"/>
  <c r="AG40" i="39"/>
  <c r="AE40" i="39"/>
  <c r="AB40" i="39"/>
  <c r="Z40" i="39"/>
  <c r="AC40" i="39" s="1"/>
  <c r="W40" i="39"/>
  <c r="U40" i="39"/>
  <c r="R40" i="39"/>
  <c r="P40" i="39"/>
  <c r="S40" i="39" s="1"/>
  <c r="M40" i="39"/>
  <c r="N40" i="39" s="1"/>
  <c r="K40" i="39"/>
  <c r="I40" i="39"/>
  <c r="H40" i="39"/>
  <c r="AZ39" i="39"/>
  <c r="AT39" i="39"/>
  <c r="AQ39" i="39"/>
  <c r="AN39" i="39"/>
  <c r="AK39" i="39"/>
  <c r="AG39" i="39"/>
  <c r="AE39" i="39"/>
  <c r="AH39" i="39" s="1"/>
  <c r="AB39" i="39"/>
  <c r="Z39" i="39"/>
  <c r="AC39" i="39" s="1"/>
  <c r="W39" i="39"/>
  <c r="U39" i="39"/>
  <c r="R39" i="39"/>
  <c r="P39" i="39"/>
  <c r="S39" i="39" s="1"/>
  <c r="M39" i="39"/>
  <c r="K39" i="39"/>
  <c r="H39" i="39"/>
  <c r="I39" i="39" s="1"/>
  <c r="AZ38" i="39"/>
  <c r="AW38" i="39"/>
  <c r="AT38" i="39"/>
  <c r="AQ38" i="39"/>
  <c r="AN38" i="39"/>
  <c r="W38" i="39"/>
  <c r="U38" i="39"/>
  <c r="R38" i="39"/>
  <c r="P38" i="39"/>
  <c r="S38" i="39" s="1"/>
  <c r="M38" i="39"/>
  <c r="K38" i="39"/>
  <c r="H38" i="39"/>
  <c r="I38" i="39" s="1"/>
  <c r="AZ37" i="39"/>
  <c r="AW37" i="39"/>
  <c r="AT37" i="39"/>
  <c r="AQ37" i="39"/>
  <c r="AN37" i="39"/>
  <c r="W37" i="39"/>
  <c r="U37" i="39"/>
  <c r="R37" i="39"/>
  <c r="P37" i="39"/>
  <c r="S37" i="39" s="1"/>
  <c r="M37" i="39"/>
  <c r="K37" i="39"/>
  <c r="H37" i="39"/>
  <c r="I37" i="39" s="1"/>
  <c r="AZ36" i="39"/>
  <c r="AW36" i="39"/>
  <c r="AT36" i="39"/>
  <c r="AQ36" i="39"/>
  <c r="AN36" i="39"/>
  <c r="W36" i="39"/>
  <c r="U36" i="39"/>
  <c r="R36" i="39"/>
  <c r="P36" i="39"/>
  <c r="S36" i="39" s="1"/>
  <c r="M36" i="39"/>
  <c r="K36" i="39"/>
  <c r="H36" i="39"/>
  <c r="I36" i="39" s="1"/>
  <c r="AZ35" i="39"/>
  <c r="AW35" i="39"/>
  <c r="AT35" i="39"/>
  <c r="AQ35" i="39"/>
  <c r="AN35" i="39"/>
  <c r="W35" i="39"/>
  <c r="U35" i="39"/>
  <c r="R35" i="39"/>
  <c r="P35" i="39"/>
  <c r="S35" i="39" s="1"/>
  <c r="M35" i="39"/>
  <c r="K35" i="39"/>
  <c r="N35" i="39" s="1"/>
  <c r="H35" i="39"/>
  <c r="I35" i="39" s="1"/>
  <c r="AZ34" i="39"/>
  <c r="AW34" i="39"/>
  <c r="AT34" i="39"/>
  <c r="AQ34" i="39"/>
  <c r="AN34" i="39"/>
  <c r="W34" i="39"/>
  <c r="U34" i="39"/>
  <c r="R34" i="39"/>
  <c r="P34" i="39"/>
  <c r="S34" i="39" s="1"/>
  <c r="M34" i="39"/>
  <c r="N34" i="39" s="1"/>
  <c r="K34" i="39"/>
  <c r="H34" i="39"/>
  <c r="I34" i="39" s="1"/>
  <c r="AZ33" i="39"/>
  <c r="AW33" i="39"/>
  <c r="AT33" i="39"/>
  <c r="AQ33" i="39"/>
  <c r="AN33" i="39"/>
  <c r="W33" i="39"/>
  <c r="U33" i="39"/>
  <c r="X33" i="39" s="1"/>
  <c r="R33" i="39"/>
  <c r="P33" i="39"/>
  <c r="M33" i="39"/>
  <c r="K33" i="39"/>
  <c r="N33" i="39" s="1"/>
  <c r="H33" i="39"/>
  <c r="I33" i="39" s="1"/>
  <c r="AZ32" i="39"/>
  <c r="AW32" i="39"/>
  <c r="AT32" i="39"/>
  <c r="AQ32" i="39"/>
  <c r="AN32" i="39"/>
  <c r="W32" i="39"/>
  <c r="U32" i="39"/>
  <c r="X32" i="39" s="1"/>
  <c r="R32" i="39"/>
  <c r="S32" i="39" s="1"/>
  <c r="P32" i="39"/>
  <c r="M32" i="39"/>
  <c r="K32" i="39"/>
  <c r="N32" i="39" s="1"/>
  <c r="H32" i="39"/>
  <c r="I32" i="39" s="1"/>
  <c r="AW31" i="39"/>
  <c r="AT31" i="39"/>
  <c r="AQ31" i="39"/>
  <c r="AN31" i="39"/>
  <c r="W31" i="39"/>
  <c r="U31" i="39"/>
  <c r="X31" i="39" s="1"/>
  <c r="R31" i="39"/>
  <c r="P31" i="39"/>
  <c r="S31" i="39" s="1"/>
  <c r="M31" i="39"/>
  <c r="K31" i="39"/>
  <c r="N31" i="39" s="1"/>
  <c r="H31" i="39"/>
  <c r="I31" i="39" s="1"/>
  <c r="AZ30" i="39"/>
  <c r="AW30" i="39"/>
  <c r="AT30" i="39"/>
  <c r="AQ30" i="39"/>
  <c r="AN30" i="39"/>
  <c r="W30" i="39"/>
  <c r="U30" i="39"/>
  <c r="X30" i="39" s="1"/>
  <c r="R30" i="39"/>
  <c r="S30" i="39" s="1"/>
  <c r="P30" i="39"/>
  <c r="M30" i="39"/>
  <c r="K30" i="39"/>
  <c r="N30" i="39" s="1"/>
  <c r="H30" i="39"/>
  <c r="I30" i="39" s="1"/>
  <c r="AZ29" i="39"/>
  <c r="AW29" i="39"/>
  <c r="AT29" i="39"/>
  <c r="AQ29" i="39"/>
  <c r="AN29" i="39"/>
  <c r="W29" i="39"/>
  <c r="U29" i="39"/>
  <c r="X29" i="39" s="1"/>
  <c r="R29" i="39"/>
  <c r="P29" i="39"/>
  <c r="S29" i="39" s="1"/>
  <c r="M29" i="39"/>
  <c r="K29" i="39"/>
  <c r="N29" i="39" s="1"/>
  <c r="H29" i="39"/>
  <c r="I29" i="39" s="1"/>
  <c r="AZ28" i="39"/>
  <c r="AW28" i="39"/>
  <c r="AQ28" i="39"/>
  <c r="AN28" i="39"/>
  <c r="W28" i="39"/>
  <c r="U28" i="39"/>
  <c r="X28" i="39" s="1"/>
  <c r="R28" i="39"/>
  <c r="P28" i="39"/>
  <c r="M28" i="39"/>
  <c r="K28" i="39"/>
  <c r="H28" i="39"/>
  <c r="I28" i="39" s="1"/>
  <c r="AZ27" i="39"/>
  <c r="AW27" i="39"/>
  <c r="AT27" i="39"/>
  <c r="AQ27" i="39"/>
  <c r="AN27" i="39"/>
  <c r="W27" i="39"/>
  <c r="U27" i="39"/>
  <c r="X27" i="39" s="1"/>
  <c r="R27" i="39"/>
  <c r="P27" i="39"/>
  <c r="M27" i="39"/>
  <c r="K27" i="39"/>
  <c r="N27" i="39" s="1"/>
  <c r="I27" i="39"/>
  <c r="H27" i="39"/>
  <c r="AZ26" i="39"/>
  <c r="AW26" i="39"/>
  <c r="AT26" i="39"/>
  <c r="AQ26" i="39"/>
  <c r="AN26" i="39"/>
  <c r="W26" i="39"/>
  <c r="U26" i="39"/>
  <c r="X26" i="39" s="1"/>
  <c r="R26" i="39"/>
  <c r="P26" i="39"/>
  <c r="N26" i="39"/>
  <c r="M26" i="39"/>
  <c r="K26" i="39"/>
  <c r="H26" i="39"/>
  <c r="I26" i="39" s="1"/>
  <c r="AZ25" i="39"/>
  <c r="AW25" i="39"/>
  <c r="AT25" i="39"/>
  <c r="AQ25" i="39"/>
  <c r="AN25" i="39"/>
  <c r="W25" i="39"/>
  <c r="U25" i="39"/>
  <c r="R25" i="39"/>
  <c r="P25" i="39"/>
  <c r="M25" i="39"/>
  <c r="K25" i="39"/>
  <c r="H25" i="39"/>
  <c r="I25" i="39" s="1"/>
  <c r="AZ24" i="39"/>
  <c r="AW24" i="39"/>
  <c r="AT24" i="39"/>
  <c r="AQ24" i="39"/>
  <c r="AN24" i="39"/>
  <c r="W24" i="39"/>
  <c r="U24" i="39"/>
  <c r="R24" i="39"/>
  <c r="P24" i="39"/>
  <c r="M24" i="39"/>
  <c r="K24" i="39"/>
  <c r="H24" i="39"/>
  <c r="I24" i="39" s="1"/>
  <c r="AZ23" i="39"/>
  <c r="AT23" i="39"/>
  <c r="AQ23" i="39"/>
  <c r="AN23" i="39"/>
  <c r="AK23" i="39"/>
  <c r="AG23" i="39"/>
  <c r="AE23" i="39"/>
  <c r="AB23" i="39"/>
  <c r="AC23" i="39" s="1"/>
  <c r="Z23" i="39"/>
  <c r="W23" i="39"/>
  <c r="U23" i="39"/>
  <c r="R23" i="39"/>
  <c r="P23" i="39"/>
  <c r="S23" i="39" s="1"/>
  <c r="M23" i="39"/>
  <c r="K23" i="39"/>
  <c r="H23" i="39"/>
  <c r="I23" i="39" s="1"/>
  <c r="AZ22" i="39"/>
  <c r="AW22" i="39"/>
  <c r="AT22" i="39"/>
  <c r="AQ22" i="39"/>
  <c r="AN22" i="39"/>
  <c r="AK22" i="39"/>
  <c r="AG22" i="39"/>
  <c r="AE22" i="39"/>
  <c r="AH22" i="39" s="1"/>
  <c r="AB22" i="39"/>
  <c r="Z22" i="39"/>
  <c r="AC22" i="39" s="1"/>
  <c r="W22" i="39"/>
  <c r="U22" i="39"/>
  <c r="X22" i="39" s="1"/>
  <c r="R22" i="39"/>
  <c r="P22" i="39"/>
  <c r="N22" i="39"/>
  <c r="M22" i="39"/>
  <c r="K22" i="39"/>
  <c r="H22" i="39"/>
  <c r="I22" i="39" s="1"/>
  <c r="AZ21" i="39"/>
  <c r="AT21" i="39"/>
  <c r="AQ21" i="39"/>
  <c r="AN21" i="39"/>
  <c r="AK21" i="39"/>
  <c r="AG21" i="39"/>
  <c r="AE21" i="39"/>
  <c r="AB21" i="39"/>
  <c r="Z21" i="39"/>
  <c r="W21" i="39"/>
  <c r="U21" i="39"/>
  <c r="R21" i="39"/>
  <c r="P21" i="39"/>
  <c r="S21" i="39" s="1"/>
  <c r="M21" i="39"/>
  <c r="N21" i="39" s="1"/>
  <c r="K21" i="39"/>
  <c r="H21" i="39"/>
  <c r="I21" i="39" s="1"/>
  <c r="AZ20" i="39"/>
  <c r="AW20" i="39"/>
  <c r="AT20" i="39"/>
  <c r="AQ20" i="39"/>
  <c r="AN20" i="39"/>
  <c r="AK20" i="39"/>
  <c r="AG20" i="39"/>
  <c r="AE20" i="39"/>
  <c r="AH20" i="39" s="1"/>
  <c r="AB20" i="39"/>
  <c r="AC20" i="39" s="1"/>
  <c r="Z20" i="39"/>
  <c r="W20" i="39"/>
  <c r="U20" i="39"/>
  <c r="X20" i="39" s="1"/>
  <c r="R20" i="39"/>
  <c r="P20" i="39"/>
  <c r="S20" i="39" s="1"/>
  <c r="N20" i="39"/>
  <c r="M20" i="39"/>
  <c r="K20" i="39"/>
  <c r="H20" i="39"/>
  <c r="I20" i="39" s="1"/>
  <c r="AZ19" i="39"/>
  <c r="AW19" i="39"/>
  <c r="AT19" i="39"/>
  <c r="AQ19" i="39"/>
  <c r="AN19" i="39"/>
  <c r="AK19" i="39"/>
  <c r="AG19" i="39"/>
  <c r="AE19" i="39"/>
  <c r="AB19" i="39"/>
  <c r="Z19" i="39"/>
  <c r="AC19" i="39" s="1"/>
  <c r="W19" i="39"/>
  <c r="U19" i="39"/>
  <c r="R19" i="39"/>
  <c r="P19" i="39"/>
  <c r="M19" i="39"/>
  <c r="K19" i="39"/>
  <c r="N19" i="39" s="1"/>
  <c r="H19" i="39"/>
  <c r="I19" i="39" s="1"/>
  <c r="AZ18" i="39"/>
  <c r="AW18" i="39"/>
  <c r="AT18" i="39"/>
  <c r="AQ18" i="39"/>
  <c r="AN18" i="39"/>
  <c r="AK18" i="39"/>
  <c r="AG18" i="39"/>
  <c r="AE18" i="39"/>
  <c r="AB18" i="39"/>
  <c r="Z18" i="39"/>
  <c r="W18" i="39"/>
  <c r="U18" i="39"/>
  <c r="X18" i="39" s="1"/>
  <c r="R18" i="39"/>
  <c r="P18" i="39"/>
  <c r="M18" i="39"/>
  <c r="K18" i="39"/>
  <c r="N18" i="39" s="1"/>
  <c r="H18" i="39"/>
  <c r="I18" i="39" s="1"/>
  <c r="AZ17" i="39"/>
  <c r="AW17" i="39"/>
  <c r="AT17" i="39"/>
  <c r="AQ17" i="39"/>
  <c r="AN17" i="39"/>
  <c r="AK17" i="39"/>
  <c r="AG17" i="39"/>
  <c r="AE17" i="39"/>
  <c r="AB17" i="39"/>
  <c r="Z17" i="39"/>
  <c r="AC17" i="39" s="1"/>
  <c r="W17" i="39"/>
  <c r="U17" i="39"/>
  <c r="R17" i="39"/>
  <c r="P17" i="39"/>
  <c r="M17" i="39"/>
  <c r="K17" i="39"/>
  <c r="H17" i="39"/>
  <c r="I17" i="39" s="1"/>
  <c r="AZ16" i="39"/>
  <c r="AW16" i="39"/>
  <c r="AT16" i="39"/>
  <c r="AQ16" i="39"/>
  <c r="AN16" i="39"/>
  <c r="AK16" i="39"/>
  <c r="AG16" i="39"/>
  <c r="AE16" i="39"/>
  <c r="AB16" i="39"/>
  <c r="Z16" i="39"/>
  <c r="W16" i="39"/>
  <c r="U16" i="39"/>
  <c r="X16" i="39" s="1"/>
  <c r="R16" i="39"/>
  <c r="P16" i="39"/>
  <c r="M16" i="39"/>
  <c r="K16" i="39"/>
  <c r="N16" i="39" s="1"/>
  <c r="I16" i="39"/>
  <c r="H16" i="39"/>
  <c r="AZ15" i="39"/>
  <c r="AW15" i="39"/>
  <c r="AT15" i="39"/>
  <c r="AQ15" i="39"/>
  <c r="AN15" i="39"/>
  <c r="AK15" i="39"/>
  <c r="AG15" i="39"/>
  <c r="AE15" i="39"/>
  <c r="AB15" i="39"/>
  <c r="Z15" i="39"/>
  <c r="AC15" i="39" s="1"/>
  <c r="W15" i="39"/>
  <c r="U15" i="39"/>
  <c r="R15" i="39"/>
  <c r="P15" i="39"/>
  <c r="M15" i="39"/>
  <c r="K15" i="39"/>
  <c r="N15" i="39" s="1"/>
  <c r="H15" i="39"/>
  <c r="I15" i="39" s="1"/>
  <c r="AZ14" i="39"/>
  <c r="AW14" i="39"/>
  <c r="AT14" i="39"/>
  <c r="AQ14" i="39"/>
  <c r="AN14" i="39"/>
  <c r="AK14" i="39"/>
  <c r="AG14" i="39"/>
  <c r="AE14" i="39"/>
  <c r="AB14" i="39"/>
  <c r="Z14" i="39"/>
  <c r="AC14" i="39" s="1"/>
  <c r="W14" i="39"/>
  <c r="U14" i="39"/>
  <c r="X14" i="39" s="1"/>
  <c r="R14" i="39"/>
  <c r="P14" i="39"/>
  <c r="M14" i="39"/>
  <c r="K14" i="39"/>
  <c r="N14" i="39" s="1"/>
  <c r="H14" i="39"/>
  <c r="I14" i="39" s="1"/>
  <c r="AZ13" i="39"/>
  <c r="AW13" i="39"/>
  <c r="AT13" i="39"/>
  <c r="AQ13" i="39"/>
  <c r="AN13" i="39"/>
  <c r="AK13" i="39"/>
  <c r="AH13" i="39"/>
  <c r="AG13" i="39"/>
  <c r="AE13" i="39"/>
  <c r="AB13" i="39"/>
  <c r="Z13" i="39"/>
  <c r="AC13" i="39" s="1"/>
  <c r="W13" i="39"/>
  <c r="U13" i="39"/>
  <c r="X13" i="39" s="1"/>
  <c r="R13" i="39"/>
  <c r="P13" i="39"/>
  <c r="M13" i="39"/>
  <c r="K13" i="39"/>
  <c r="H13" i="39"/>
  <c r="I13" i="39" s="1"/>
  <c r="AZ12" i="39"/>
  <c r="AW12" i="39"/>
  <c r="AS75" i="39"/>
  <c r="AQ12" i="39"/>
  <c r="AN12" i="39"/>
  <c r="AK12" i="39"/>
  <c r="AG12" i="39"/>
  <c r="AH12" i="39" s="1"/>
  <c r="AE12" i="39"/>
  <c r="AB12" i="39"/>
  <c r="Z12" i="39"/>
  <c r="AC12" i="39" s="1"/>
  <c r="W12" i="39"/>
  <c r="U12" i="39"/>
  <c r="X12" i="39" s="1"/>
  <c r="R12" i="39"/>
  <c r="P12" i="39"/>
  <c r="M12" i="39"/>
  <c r="K12" i="39"/>
  <c r="N12" i="39" s="1"/>
  <c r="H12" i="39"/>
  <c r="I12" i="39" s="1"/>
  <c r="AZ11" i="39"/>
  <c r="AW11" i="39"/>
  <c r="AT11" i="39"/>
  <c r="AQ11" i="39"/>
  <c r="AN11" i="39"/>
  <c r="AK11" i="39"/>
  <c r="AG11" i="39"/>
  <c r="AH11" i="39" s="1"/>
  <c r="AE11" i="39"/>
  <c r="AB11" i="39"/>
  <c r="Z11" i="39"/>
  <c r="AC11" i="39" s="1"/>
  <c r="W11" i="39"/>
  <c r="U11" i="39"/>
  <c r="X11" i="39" s="1"/>
  <c r="R11" i="39"/>
  <c r="P11" i="39"/>
  <c r="M11" i="39"/>
  <c r="K11" i="39"/>
  <c r="N11" i="39" s="1"/>
  <c r="H11" i="39"/>
  <c r="I11" i="39" s="1"/>
  <c r="AZ10" i="39"/>
  <c r="AW10" i="39"/>
  <c r="AT10" i="39"/>
  <c r="AQ10" i="39"/>
  <c r="AN10" i="39"/>
  <c r="AK10" i="39"/>
  <c r="AG10" i="39"/>
  <c r="AE10" i="39"/>
  <c r="AH10" i="39" s="1"/>
  <c r="AB10" i="39"/>
  <c r="Z10" i="39"/>
  <c r="X10" i="39"/>
  <c r="W10" i="39"/>
  <c r="U10" i="39"/>
  <c r="R10" i="39"/>
  <c r="P10" i="39"/>
  <c r="S10" i="39" s="1"/>
  <c r="M10" i="39"/>
  <c r="K10" i="39"/>
  <c r="H10" i="39"/>
  <c r="I10" i="39" s="1"/>
  <c r="AZ9" i="39"/>
  <c r="AW9" i="39"/>
  <c r="AT9" i="39"/>
  <c r="AQ9" i="39"/>
  <c r="AN9" i="39"/>
  <c r="AG9" i="39"/>
  <c r="AH9" i="39" s="1"/>
  <c r="AE9" i="39"/>
  <c r="AB9" i="39"/>
  <c r="Z9" i="39"/>
  <c r="AC9" i="39" s="1"/>
  <c r="W9" i="39"/>
  <c r="U9" i="39"/>
  <c r="X9" i="39" s="1"/>
  <c r="R9" i="39"/>
  <c r="S9" i="39" s="1"/>
  <c r="P9" i="39"/>
  <c r="M9" i="39"/>
  <c r="K9" i="39"/>
  <c r="N9" i="39" s="1"/>
  <c r="H9" i="39"/>
  <c r="I9" i="39" s="1"/>
  <c r="AZ8" i="39"/>
  <c r="AW8" i="39"/>
  <c r="AT8" i="39"/>
  <c r="AQ8" i="39"/>
  <c r="AN8" i="39"/>
  <c r="AK8" i="39"/>
  <c r="AG8" i="39"/>
  <c r="AH8" i="39" s="1"/>
  <c r="AE8" i="39"/>
  <c r="AB8" i="39"/>
  <c r="Z8" i="39"/>
  <c r="AC8" i="39" s="1"/>
  <c r="W8" i="39"/>
  <c r="U8" i="39"/>
  <c r="X8" i="39" s="1"/>
  <c r="R8" i="39"/>
  <c r="P8" i="39"/>
  <c r="M8" i="39"/>
  <c r="K8" i="39"/>
  <c r="N8" i="39" s="1"/>
  <c r="H8" i="39"/>
  <c r="I8" i="39" s="1"/>
  <c r="AZ7" i="39"/>
  <c r="AW7" i="39"/>
  <c r="AT7" i="39"/>
  <c r="AQ7" i="39"/>
  <c r="AN7" i="39"/>
  <c r="AK7" i="39"/>
  <c r="AG7" i="39"/>
  <c r="AE7" i="39"/>
  <c r="AB7" i="39"/>
  <c r="AC7" i="39" s="1"/>
  <c r="Z7" i="39"/>
  <c r="W7" i="39"/>
  <c r="U7" i="39"/>
  <c r="X7" i="39" s="1"/>
  <c r="R7" i="39"/>
  <c r="P7" i="39"/>
  <c r="S7" i="39" s="1"/>
  <c r="M7" i="39"/>
  <c r="K7" i="39"/>
  <c r="N7" i="39" s="1"/>
  <c r="H7" i="39"/>
  <c r="I7" i="39" s="1"/>
  <c r="AW6" i="39"/>
  <c r="AT6" i="39"/>
  <c r="AQ6" i="39"/>
  <c r="AN6" i="39"/>
  <c r="AK6" i="39"/>
  <c r="AG6" i="39"/>
  <c r="AE6" i="39"/>
  <c r="AH6" i="39" s="1"/>
  <c r="AB6" i="39"/>
  <c r="Z6" i="39"/>
  <c r="AC6" i="39" s="1"/>
  <c r="W6" i="39"/>
  <c r="U6" i="39"/>
  <c r="X6" i="39" s="1"/>
  <c r="R6" i="39"/>
  <c r="P6" i="39"/>
  <c r="S6" i="39" s="1"/>
  <c r="M6" i="39"/>
  <c r="K6" i="39"/>
  <c r="I6" i="39"/>
  <c r="H6" i="39"/>
  <c r="AZ5" i="39"/>
  <c r="AW5" i="39"/>
  <c r="AT5" i="39"/>
  <c r="AQ5" i="39"/>
  <c r="AN5" i="39"/>
  <c r="AK5" i="39"/>
  <c r="AG5" i="39"/>
  <c r="AE5" i="39"/>
  <c r="AH5" i="39" s="1"/>
  <c r="AB5" i="39"/>
  <c r="Z5" i="39"/>
  <c r="W5" i="39"/>
  <c r="U5" i="39"/>
  <c r="R5" i="39"/>
  <c r="P5" i="39"/>
  <c r="S5" i="39" s="1"/>
  <c r="M5" i="39"/>
  <c r="K5" i="39"/>
  <c r="N5" i="39" s="1"/>
  <c r="H5" i="39"/>
  <c r="I5" i="39" s="1"/>
  <c r="AY75" i="39"/>
  <c r="AW4" i="39"/>
  <c r="AN4" i="39"/>
  <c r="AJ75" i="39"/>
  <c r="AG4" i="39"/>
  <c r="AE4" i="39"/>
  <c r="AB4" i="39"/>
  <c r="Y75" i="39"/>
  <c r="W4" i="39"/>
  <c r="R4" i="39"/>
  <c r="O75" i="39"/>
  <c r="M4" i="39"/>
  <c r="H4" i="39"/>
  <c r="I4" i="39" s="1"/>
  <c r="AO236" i="27"/>
  <c r="AO227" i="27"/>
  <c r="AL11" i="27"/>
  <c r="AL10" i="27"/>
  <c r="AL9" i="27"/>
  <c r="AL8" i="27"/>
  <c r="AL7" i="27"/>
  <c r="AL5" i="27"/>
  <c r="AC10" i="39" l="1"/>
  <c r="N13" i="39"/>
  <c r="AH21" i="39"/>
  <c r="S22" i="39"/>
  <c r="AH23" i="39"/>
  <c r="X24" i="39"/>
  <c r="X25" i="39"/>
  <c r="S26" i="39"/>
  <c r="N28" i="39"/>
  <c r="AC41" i="39"/>
  <c r="AC45" i="39"/>
  <c r="S50" i="39"/>
  <c r="AH51" i="39"/>
  <c r="N46" i="39"/>
  <c r="AH57" i="39"/>
  <c r="M75" i="39"/>
  <c r="S11" i="39"/>
  <c r="S13" i="39"/>
  <c r="AH14" i="39"/>
  <c r="S15" i="39"/>
  <c r="AH16" i="39"/>
  <c r="S17" i="39"/>
  <c r="AH18" i="39"/>
  <c r="S19" i="39"/>
  <c r="S28" i="39"/>
  <c r="X40" i="39"/>
  <c r="AH41" i="39"/>
  <c r="X42" i="39"/>
  <c r="AH47" i="39"/>
  <c r="X48" i="39"/>
  <c r="N51" i="39"/>
  <c r="X54" i="39"/>
  <c r="X56" i="39"/>
  <c r="X61" i="39"/>
  <c r="X65" i="39"/>
  <c r="X74" i="39"/>
  <c r="AC61" i="39"/>
  <c r="N62" i="39"/>
  <c r="X15" i="39"/>
  <c r="X17" i="39"/>
  <c r="X19" i="39"/>
  <c r="N23" i="39"/>
  <c r="N36" i="39"/>
  <c r="N37" i="39"/>
  <c r="N38" i="39"/>
  <c r="N39" i="39"/>
  <c r="AC42" i="39"/>
  <c r="N43" i="39"/>
  <c r="AC48" i="39"/>
  <c r="S51" i="39"/>
  <c r="AC54" i="39"/>
  <c r="S55" i="39"/>
  <c r="AC56" i="39"/>
  <c r="N60" i="39"/>
  <c r="X63" i="39"/>
  <c r="AC65" i="39"/>
  <c r="N66" i="39"/>
  <c r="AC74" i="39"/>
  <c r="N10" i="39"/>
  <c r="N64" i="39"/>
  <c r="AB75" i="39"/>
  <c r="X5" i="39"/>
  <c r="X21" i="39"/>
  <c r="X23" i="39"/>
  <c r="N24" i="39"/>
  <c r="N25" i="39"/>
  <c r="X34" i="39"/>
  <c r="AH40" i="39"/>
  <c r="S43" i="39"/>
  <c r="AC46" i="39"/>
  <c r="N47" i="39"/>
  <c r="X49" i="39"/>
  <c r="X57" i="39"/>
  <c r="AH59" i="39"/>
  <c r="X62" i="39"/>
  <c r="S64" i="39"/>
  <c r="AH67" i="39"/>
  <c r="X71" i="39"/>
  <c r="S8" i="39"/>
  <c r="S12" i="39"/>
  <c r="S14" i="39"/>
  <c r="AH15" i="39"/>
  <c r="S16" i="39"/>
  <c r="AH17" i="39"/>
  <c r="S18" i="39"/>
  <c r="X35" i="39"/>
  <c r="X36" i="39"/>
  <c r="X37" i="39"/>
  <c r="X38" i="39"/>
  <c r="X39" i="39"/>
  <c r="X43" i="39"/>
  <c r="S47" i="39"/>
  <c r="N52" i="39"/>
  <c r="X60" i="39"/>
  <c r="I63" i="39"/>
  <c r="AH63" i="39"/>
  <c r="X66" i="39"/>
  <c r="AC5" i="39"/>
  <c r="N6" i="39"/>
  <c r="AH7" i="39"/>
  <c r="AH19" i="39"/>
  <c r="AC21" i="39"/>
  <c r="S25" i="39"/>
  <c r="X41" i="39"/>
  <c r="X45" i="39"/>
  <c r="AH46" i="39"/>
  <c r="AC49" i="39"/>
  <c r="N50" i="39"/>
  <c r="AC51" i="39"/>
  <c r="AC55" i="39"/>
  <c r="N61" i="39"/>
  <c r="X64" i="39"/>
  <c r="AC71" i="39"/>
  <c r="G214" i="40"/>
  <c r="F214" i="40"/>
  <c r="E214" i="40"/>
  <c r="E231" i="40" s="1"/>
  <c r="E238" i="40" s="1"/>
  <c r="AN75" i="39"/>
  <c r="AN80" i="39" s="1"/>
  <c r="N264" i="40"/>
  <c r="K226" i="40"/>
  <c r="G236" i="40"/>
  <c r="J236" i="40"/>
  <c r="N226" i="40"/>
  <c r="N230" i="40"/>
  <c r="J225" i="40"/>
  <c r="J227" i="40"/>
  <c r="Q12" i="40"/>
  <c r="H226" i="40"/>
  <c r="G131" i="40"/>
  <c r="Q141" i="40"/>
  <c r="Q204" i="40"/>
  <c r="M227" i="40"/>
  <c r="P229" i="40"/>
  <c r="Q213" i="40"/>
  <c r="N227" i="40"/>
  <c r="H259" i="40"/>
  <c r="F99" i="40"/>
  <c r="Q155" i="40"/>
  <c r="M259" i="40"/>
  <c r="P227" i="40"/>
  <c r="N259" i="40"/>
  <c r="Q257" i="40"/>
  <c r="Q13" i="40"/>
  <c r="Q194" i="40"/>
  <c r="G228" i="40"/>
  <c r="Q255" i="40"/>
  <c r="F14" i="40"/>
  <c r="F237" i="40" s="1"/>
  <c r="Q186" i="40"/>
  <c r="Q253" i="40"/>
  <c r="M230" i="40"/>
  <c r="E228" i="40"/>
  <c r="Q107" i="40"/>
  <c r="Q227" i="40" s="1"/>
  <c r="Q89" i="40"/>
  <c r="Q23" i="40"/>
  <c r="Q225" i="40" s="1"/>
  <c r="G230" i="40"/>
  <c r="I226" i="40"/>
  <c r="K225" i="40"/>
  <c r="K236" i="40"/>
  <c r="H229" i="40"/>
  <c r="Q197" i="40"/>
  <c r="P236" i="40"/>
  <c r="P225" i="40"/>
  <c r="E237" i="40"/>
  <c r="Q87" i="40"/>
  <c r="G107" i="40"/>
  <c r="O226" i="40"/>
  <c r="J264" i="40"/>
  <c r="Q6" i="40"/>
  <c r="I229" i="40"/>
  <c r="O265" i="40"/>
  <c r="E229" i="40"/>
  <c r="M225" i="40"/>
  <c r="Q131" i="40"/>
  <c r="Q176" i="40"/>
  <c r="M265" i="40"/>
  <c r="Q10" i="40"/>
  <c r="H264" i="40"/>
  <c r="L231" i="40"/>
  <c r="L238" i="40" s="1"/>
  <c r="F229" i="40"/>
  <c r="O264" i="40"/>
  <c r="P264" i="40"/>
  <c r="Q140" i="40"/>
  <c r="L264" i="40"/>
  <c r="I264" i="40"/>
  <c r="I14" i="40"/>
  <c r="I132" i="40" s="1"/>
  <c r="Q9" i="40"/>
  <c r="Q11" i="40"/>
  <c r="G225" i="40"/>
  <c r="G226" i="40"/>
  <c r="K264" i="40"/>
  <c r="Q28" i="40"/>
  <c r="K229" i="40"/>
  <c r="Q258" i="40"/>
  <c r="Q38" i="40"/>
  <c r="Q91" i="40"/>
  <c r="Q254" i="40"/>
  <c r="Q8" i="40"/>
  <c r="Q109" i="40"/>
  <c r="H227" i="40"/>
  <c r="F259" i="40"/>
  <c r="H236" i="40"/>
  <c r="H225" i="40"/>
  <c r="N236" i="40"/>
  <c r="N225" i="40"/>
  <c r="J226" i="40"/>
  <c r="P226" i="40"/>
  <c r="N229" i="40"/>
  <c r="L226" i="40"/>
  <c r="I214" i="40"/>
  <c r="G264" i="40"/>
  <c r="L237" i="40"/>
  <c r="I236" i="40"/>
  <c r="O236" i="40"/>
  <c r="O229" i="40"/>
  <c r="Q93" i="40"/>
  <c r="E259" i="40"/>
  <c r="AE75" i="39"/>
  <c r="AH4" i="39"/>
  <c r="AP75" i="39"/>
  <c r="AQ4" i="39"/>
  <c r="AQ75" i="39" s="1"/>
  <c r="AQ80" i="39" s="1"/>
  <c r="AO75" i="39"/>
  <c r="J75" i="39"/>
  <c r="K4" i="39"/>
  <c r="Z4" i="39"/>
  <c r="AQ47" i="39"/>
  <c r="AT54" i="39"/>
  <c r="AT57" i="39"/>
  <c r="S61" i="39"/>
  <c r="AW23" i="39"/>
  <c r="AK9" i="39"/>
  <c r="AW21" i="39"/>
  <c r="AW75" i="39" s="1"/>
  <c r="AW80" i="39" s="1"/>
  <c r="S27" i="39"/>
  <c r="AW39" i="39"/>
  <c r="N57" i="39"/>
  <c r="AU75" i="39"/>
  <c r="AZ57" i="39"/>
  <c r="P4" i="39"/>
  <c r="AW69" i="39"/>
  <c r="F77" i="39"/>
  <c r="G77" i="39" s="1"/>
  <c r="H77" i="39" s="1"/>
  <c r="AZ6" i="39"/>
  <c r="T75" i="39"/>
  <c r="AI75" i="39"/>
  <c r="AI77" i="39" s="1"/>
  <c r="AX75" i="39"/>
  <c r="S33" i="39"/>
  <c r="I41" i="39"/>
  <c r="I75" i="39" s="1"/>
  <c r="I80" i="39" s="1"/>
  <c r="N45" i="39"/>
  <c r="AW50" i="39"/>
  <c r="AH53" i="39"/>
  <c r="AV75" i="39"/>
  <c r="U4" i="39"/>
  <c r="R75" i="39"/>
  <c r="AG75" i="39"/>
  <c r="H75" i="39"/>
  <c r="AK4" i="39"/>
  <c r="AK75" i="39" s="1"/>
  <c r="AK80" i="39" s="1"/>
  <c r="AZ4" i="39"/>
  <c r="AZ75" i="39" s="1"/>
  <c r="AZ80" i="39" s="1"/>
  <c r="AT12" i="39"/>
  <c r="AC18" i="39"/>
  <c r="AT28" i="39"/>
  <c r="AR75" i="39"/>
  <c r="AD75" i="39"/>
  <c r="AT4" i="39"/>
  <c r="AC16" i="39"/>
  <c r="N17" i="39"/>
  <c r="S24" i="39"/>
  <c r="AZ31" i="39"/>
  <c r="N55" i="39"/>
  <c r="X59" i="39"/>
  <c r="AO71" i="27"/>
  <c r="AP71" i="27" s="1"/>
  <c r="AM71" i="27"/>
  <c r="AM60" i="27"/>
  <c r="AL88" i="27"/>
  <c r="AM88" i="27" s="1"/>
  <c r="AM124" i="27"/>
  <c r="AM123" i="27"/>
  <c r="AM122" i="27"/>
  <c r="AO121" i="27"/>
  <c r="AO120" i="27"/>
  <c r="AO119" i="27"/>
  <c r="AO118" i="27"/>
  <c r="AO117" i="27"/>
  <c r="AO116" i="27"/>
  <c r="AO115" i="27"/>
  <c r="AM114" i="27"/>
  <c r="AM113" i="27"/>
  <c r="AM112" i="27"/>
  <c r="AM111" i="27"/>
  <c r="AM109" i="27"/>
  <c r="AO108" i="27"/>
  <c r="AM107" i="27"/>
  <c r="AO106" i="27"/>
  <c r="AO103" i="27"/>
  <c r="AM101" i="27"/>
  <c r="AO100" i="27"/>
  <c r="AO99" i="27"/>
  <c r="AO98" i="27"/>
  <c r="AO97" i="27"/>
  <c r="AO96" i="27"/>
  <c r="AO95" i="27"/>
  <c r="AO92" i="27"/>
  <c r="AM91" i="27"/>
  <c r="AO87" i="27"/>
  <c r="AL86" i="27"/>
  <c r="AM86" i="27" s="1"/>
  <c r="AM83" i="27"/>
  <c r="AM81" i="27"/>
  <c r="AO80" i="27"/>
  <c r="AM79" i="27"/>
  <c r="AL82" i="27"/>
  <c r="AM82" i="27" s="1"/>
  <c r="AM76" i="27"/>
  <c r="AM75" i="27"/>
  <c r="AO74" i="27"/>
  <c r="AM69" i="27"/>
  <c r="AM68" i="27"/>
  <c r="AM67" i="27"/>
  <c r="AM66" i="27"/>
  <c r="AO65" i="27"/>
  <c r="AO64" i="27"/>
  <c r="AM63" i="27"/>
  <c r="AO62" i="27"/>
  <c r="AO61" i="27"/>
  <c r="AO56" i="27"/>
  <c r="AM55" i="27"/>
  <c r="AM54" i="27"/>
  <c r="AM53" i="27"/>
  <c r="AO52" i="27"/>
  <c r="AO51" i="27"/>
  <c r="AM50" i="27"/>
  <c r="AM49" i="27"/>
  <c r="AM48" i="27"/>
  <c r="AM44" i="27"/>
  <c r="AM43" i="27"/>
  <c r="AM42" i="27"/>
  <c r="AM41" i="27"/>
  <c r="AO40" i="27"/>
  <c r="AO39" i="27"/>
  <c r="AO38" i="27"/>
  <c r="AM37" i="27"/>
  <c r="AM36" i="27"/>
  <c r="AO32" i="27"/>
  <c r="AO31" i="27"/>
  <c r="AO30" i="27"/>
  <c r="AM29" i="27"/>
  <c r="AM28" i="27"/>
  <c r="AO26" i="27"/>
  <c r="AO25" i="27"/>
  <c r="AO24" i="27"/>
  <c r="AL27" i="27"/>
  <c r="AM27" i="27" s="1"/>
  <c r="AO21" i="27"/>
  <c r="AO19" i="27"/>
  <c r="AO18" i="27"/>
  <c r="AM17" i="27"/>
  <c r="AM16" i="27"/>
  <c r="AO15" i="27"/>
  <c r="AM14" i="27"/>
  <c r="AM12" i="27"/>
  <c r="AM11" i="27"/>
  <c r="AM10" i="27"/>
  <c r="AM9" i="27"/>
  <c r="AM8" i="27"/>
  <c r="AM7" i="27"/>
  <c r="AM6" i="27"/>
  <c r="AM5" i="27"/>
  <c r="AO170" i="27"/>
  <c r="AM170" i="27"/>
  <c r="AM196" i="27"/>
  <c r="AO194" i="27"/>
  <c r="AO193" i="27"/>
  <c r="AO192" i="27"/>
  <c r="AO191" i="27"/>
  <c r="AO190" i="27"/>
  <c r="AO188" i="27"/>
  <c r="AO187" i="27"/>
  <c r="AO186" i="27"/>
  <c r="AO185" i="27"/>
  <c r="AM184" i="27"/>
  <c r="AM182" i="27"/>
  <c r="AO179" i="27"/>
  <c r="AM178" i="27"/>
  <c r="AM176" i="27"/>
  <c r="AM174" i="27"/>
  <c r="AO173" i="27"/>
  <c r="AM172" i="27"/>
  <c r="AO171" i="27"/>
  <c r="AO169" i="27"/>
  <c r="AM168" i="27"/>
  <c r="AO167" i="27"/>
  <c r="AO166" i="27"/>
  <c r="AO165" i="27"/>
  <c r="AM164" i="27"/>
  <c r="AO163" i="27"/>
  <c r="AO162" i="27"/>
  <c r="AO158" i="27"/>
  <c r="AO157" i="27"/>
  <c r="AM156" i="27"/>
  <c r="AO155" i="27"/>
  <c r="AO154" i="27"/>
  <c r="AM152" i="27"/>
  <c r="AM151" i="27"/>
  <c r="AM150" i="27"/>
  <c r="AO148" i="27"/>
  <c r="AO147" i="27"/>
  <c r="AO146" i="27"/>
  <c r="AO145" i="27"/>
  <c r="AM144" i="27"/>
  <c r="AO143" i="27"/>
  <c r="AO142" i="27"/>
  <c r="AO141" i="27"/>
  <c r="AM140" i="27"/>
  <c r="AO139" i="27"/>
  <c r="AM136" i="27"/>
  <c r="AM135" i="27"/>
  <c r="AO133" i="27"/>
  <c r="AM132" i="27"/>
  <c r="AM131" i="27"/>
  <c r="AL134" i="27"/>
  <c r="AM134" i="27" s="1"/>
  <c r="AO195" i="27"/>
  <c r="AO181" i="27"/>
  <c r="AO161" i="27"/>
  <c r="AO160" i="27"/>
  <c r="AO159" i="27"/>
  <c r="AO105" i="27"/>
  <c r="AO90" i="27"/>
  <c r="AO73" i="27"/>
  <c r="AO72" i="27"/>
  <c r="AO70" i="27"/>
  <c r="AO59" i="27"/>
  <c r="AO58" i="27"/>
  <c r="AO57" i="27"/>
  <c r="AO47" i="27"/>
  <c r="AO46" i="27"/>
  <c r="AO45" i="27"/>
  <c r="AO35" i="27"/>
  <c r="AO34" i="27"/>
  <c r="AO33" i="27"/>
  <c r="AO20" i="27"/>
  <c r="AO1" i="27"/>
  <c r="AM195" i="27"/>
  <c r="AM194" i="27"/>
  <c r="AM193" i="27"/>
  <c r="AM181" i="27"/>
  <c r="AM165" i="27"/>
  <c r="AM161" i="27"/>
  <c r="AM160" i="27"/>
  <c r="AM159" i="27"/>
  <c r="AM158" i="27"/>
  <c r="AM153" i="27"/>
  <c r="AM149" i="27"/>
  <c r="AM141" i="27"/>
  <c r="AM118" i="27"/>
  <c r="AM117" i="27"/>
  <c r="AM116" i="27"/>
  <c r="AM105" i="27"/>
  <c r="AM104" i="27"/>
  <c r="AM103" i="27"/>
  <c r="AM90" i="27"/>
  <c r="AM87" i="27"/>
  <c r="AM73" i="27"/>
  <c r="AM72" i="27"/>
  <c r="AM70" i="27"/>
  <c r="AM59" i="27"/>
  <c r="AM58" i="27"/>
  <c r="AM57" i="27"/>
  <c r="AM56" i="27"/>
  <c r="AM47" i="27"/>
  <c r="AM46" i="27"/>
  <c r="AM45" i="27"/>
  <c r="AM35" i="27"/>
  <c r="AM34" i="27"/>
  <c r="AM33" i="27"/>
  <c r="AM32" i="27"/>
  <c r="AM21" i="27"/>
  <c r="AM20" i="27"/>
  <c r="AM19" i="27"/>
  <c r="AL243" i="27"/>
  <c r="AM243" i="27" s="1"/>
  <c r="AL84" i="27"/>
  <c r="AM84" i="27" s="1"/>
  <c r="AH75" i="39" l="1"/>
  <c r="AH80" i="39" s="1"/>
  <c r="G132" i="40"/>
  <c r="H230" i="40"/>
  <c r="Q98" i="40"/>
  <c r="N266" i="40"/>
  <c r="F230" i="40"/>
  <c r="H237" i="40"/>
  <c r="F236" i="40"/>
  <c r="F132" i="40"/>
  <c r="F226" i="40"/>
  <c r="N237" i="40"/>
  <c r="F264" i="40"/>
  <c r="I266" i="40"/>
  <c r="Q265" i="40"/>
  <c r="M264" i="40"/>
  <c r="J266" i="40"/>
  <c r="Q187" i="40"/>
  <c r="G266" i="40"/>
  <c r="Q259" i="40"/>
  <c r="P266" i="40"/>
  <c r="Q143" i="40"/>
  <c r="L266" i="40"/>
  <c r="K231" i="40"/>
  <c r="K238" i="40" s="1"/>
  <c r="P237" i="40"/>
  <c r="P230" i="40"/>
  <c r="M226" i="40"/>
  <c r="L236" i="40"/>
  <c r="L240" i="40" s="1"/>
  <c r="Q82" i="40"/>
  <c r="E99" i="40"/>
  <c r="Q115" i="40"/>
  <c r="O266" i="40"/>
  <c r="J237" i="40"/>
  <c r="J230" i="40"/>
  <c r="K237" i="40"/>
  <c r="K230" i="40"/>
  <c r="Q94" i="40"/>
  <c r="E266" i="40"/>
  <c r="J229" i="40"/>
  <c r="G229" i="40"/>
  <c r="J231" i="40"/>
  <c r="J238" i="40" s="1"/>
  <c r="H266" i="40"/>
  <c r="K266" i="40"/>
  <c r="M236" i="40"/>
  <c r="F231" i="40"/>
  <c r="F238" i="40" s="1"/>
  <c r="G237" i="40"/>
  <c r="L229" i="40"/>
  <c r="L232" i="40" s="1"/>
  <c r="L233" i="40" s="1"/>
  <c r="P231" i="40"/>
  <c r="P238" i="40" s="1"/>
  <c r="H231" i="40"/>
  <c r="H238" i="40" s="1"/>
  <c r="Q14" i="40"/>
  <c r="N231" i="40"/>
  <c r="N238" i="40" s="1"/>
  <c r="I230" i="40"/>
  <c r="I237" i="40"/>
  <c r="O230" i="40"/>
  <c r="O237" i="40"/>
  <c r="I218" i="40"/>
  <c r="I231" i="40"/>
  <c r="I238" i="40" s="1"/>
  <c r="G227" i="40"/>
  <c r="G231" i="40"/>
  <c r="G238" i="40" s="1"/>
  <c r="AT75" i="39"/>
  <c r="AT80" i="39" s="1"/>
  <c r="P75" i="39"/>
  <c r="S4" i="39"/>
  <c r="S75" i="39" s="1"/>
  <c r="S80" i="39" s="1"/>
  <c r="N4" i="39"/>
  <c r="N75" i="39" s="1"/>
  <c r="N80" i="39" s="1"/>
  <c r="K75" i="39"/>
  <c r="AC4" i="39"/>
  <c r="AC75" i="39" s="1"/>
  <c r="AC80" i="39" s="1"/>
  <c r="Z75" i="39"/>
  <c r="U75" i="39"/>
  <c r="X4" i="39"/>
  <c r="X75" i="39" s="1"/>
  <c r="X80" i="39" s="1"/>
  <c r="AE77" i="39"/>
  <c r="AO43" i="27"/>
  <c r="AO81" i="27"/>
  <c r="AP170" i="27"/>
  <c r="AM115" i="27"/>
  <c r="AO44" i="27"/>
  <c r="AO41" i="27"/>
  <c r="AO83" i="27"/>
  <c r="AM18" i="27"/>
  <c r="AO42" i="27"/>
  <c r="AO60" i="27"/>
  <c r="AP60" i="27" s="1"/>
  <c r="AM96" i="27"/>
  <c r="AL93" i="27"/>
  <c r="AM93" i="27" s="1"/>
  <c r="AM99" i="27"/>
  <c r="AM30" i="27"/>
  <c r="AM100" i="27"/>
  <c r="AO55" i="27"/>
  <c r="AM108" i="27"/>
  <c r="AM95" i="27"/>
  <c r="AM97" i="27"/>
  <c r="AM98" i="27"/>
  <c r="AM31" i="27"/>
  <c r="AO112" i="27"/>
  <c r="AO63" i="27"/>
  <c r="AO107" i="27"/>
  <c r="AM38" i="27"/>
  <c r="AO67" i="27"/>
  <c r="AO49" i="27"/>
  <c r="AO68" i="27"/>
  <c r="AO111" i="27"/>
  <c r="AM24" i="27"/>
  <c r="AO50" i="27"/>
  <c r="AO69" i="27"/>
  <c r="AM25" i="27"/>
  <c r="AM92" i="27"/>
  <c r="AM106" i="27"/>
  <c r="AO53" i="27"/>
  <c r="AO66" i="27"/>
  <c r="AO48" i="27"/>
  <c r="AO109" i="27"/>
  <c r="AM26" i="27"/>
  <c r="AO54" i="27"/>
  <c r="AO23" i="27"/>
  <c r="AO37" i="27"/>
  <c r="AM61" i="27"/>
  <c r="AM62" i="27"/>
  <c r="AM120" i="27"/>
  <c r="AM121" i="27"/>
  <c r="AO78" i="27"/>
  <c r="AO124" i="27"/>
  <c r="AO91" i="27"/>
  <c r="AM78" i="27"/>
  <c r="AM80" i="27"/>
  <c r="AM119" i="27"/>
  <c r="AO28" i="27"/>
  <c r="AO29" i="27"/>
  <c r="AO122" i="27"/>
  <c r="AO79" i="27"/>
  <c r="AM23" i="27"/>
  <c r="AM74" i="27"/>
  <c r="AO113" i="27"/>
  <c r="AL125" i="27"/>
  <c r="AM125" i="27" s="1"/>
  <c r="AO114" i="27"/>
  <c r="AL110" i="27"/>
  <c r="AM110" i="27" s="1"/>
  <c r="AM212" i="27" s="1"/>
  <c r="AL102" i="27"/>
  <c r="AM102" i="27" s="1"/>
  <c r="AM211" i="27" s="1"/>
  <c r="AM85" i="27"/>
  <c r="AO85" i="27"/>
  <c r="AL77" i="27"/>
  <c r="AM77" i="27" s="1"/>
  <c r="AM39" i="27"/>
  <c r="AM51" i="27"/>
  <c r="AM64" i="27"/>
  <c r="AM40" i="27"/>
  <c r="AM52" i="27"/>
  <c r="AM65" i="27"/>
  <c r="AO16" i="27"/>
  <c r="AM15" i="27"/>
  <c r="AO14" i="27"/>
  <c r="AL22" i="27"/>
  <c r="AL209" i="27" s="1"/>
  <c r="AO17" i="27"/>
  <c r="AO6" i="27"/>
  <c r="AO156" i="27"/>
  <c r="AM133" i="27"/>
  <c r="AM171" i="27"/>
  <c r="AM173" i="27"/>
  <c r="AM155" i="27"/>
  <c r="AM191" i="27"/>
  <c r="AM157" i="27"/>
  <c r="AM192" i="27"/>
  <c r="AO176" i="27"/>
  <c r="AM145" i="27"/>
  <c r="AM147" i="27"/>
  <c r="AM188" i="27"/>
  <c r="AO196" i="27"/>
  <c r="AM142" i="27"/>
  <c r="AL197" i="27"/>
  <c r="AM197" i="27" s="1"/>
  <c r="AM148" i="27"/>
  <c r="AM166" i="27"/>
  <c r="AM190" i="27"/>
  <c r="AO144" i="27"/>
  <c r="AL175" i="27"/>
  <c r="AM175" i="27" s="1"/>
  <c r="AO131" i="27"/>
  <c r="AM185" i="27"/>
  <c r="AO132" i="27"/>
  <c r="AM146" i="27"/>
  <c r="AM187" i="27"/>
  <c r="AM167" i="27"/>
  <c r="AM143" i="27"/>
  <c r="AO130" i="27"/>
  <c r="AM154" i="27"/>
  <c r="AM169" i="27"/>
  <c r="AL189" i="27"/>
  <c r="AM189" i="27" s="1"/>
  <c r="AM186" i="27"/>
  <c r="AO184" i="27"/>
  <c r="AO182" i="27"/>
  <c r="AL183" i="27"/>
  <c r="AM183" i="27" s="1"/>
  <c r="AL180" i="27"/>
  <c r="AM180" i="27" s="1"/>
  <c r="AM179" i="27"/>
  <c r="AO178" i="27"/>
  <c r="AL177" i="27"/>
  <c r="AM177" i="27" s="1"/>
  <c r="AO152" i="27"/>
  <c r="AO150" i="27"/>
  <c r="AO140" i="27"/>
  <c r="AM138" i="27"/>
  <c r="AM162" i="27"/>
  <c r="AO138" i="27"/>
  <c r="AO151" i="27"/>
  <c r="AM139" i="27"/>
  <c r="AM163" i="27"/>
  <c r="AO164" i="27"/>
  <c r="AO136" i="27"/>
  <c r="AM130" i="27"/>
  <c r="AL249" i="27"/>
  <c r="AL94" i="27"/>
  <c r="AM94" i="27" s="1"/>
  <c r="AL13" i="27"/>
  <c r="AM13" i="27" s="1"/>
  <c r="AL137" i="27"/>
  <c r="AM137" i="27" s="1"/>
  <c r="AL89" i="27"/>
  <c r="AM89" i="27" s="1"/>
  <c r="AM249" i="27" l="1"/>
  <c r="F218" i="40"/>
  <c r="P240" i="40"/>
  <c r="G218" i="40"/>
  <c r="Q99" i="40"/>
  <c r="H240" i="40"/>
  <c r="H268" i="40" s="1"/>
  <c r="N240" i="40"/>
  <c r="N268" i="40" s="1"/>
  <c r="N269" i="40" s="1"/>
  <c r="M266" i="40"/>
  <c r="M231" i="40"/>
  <c r="M238" i="40" s="1"/>
  <c r="G240" i="40"/>
  <c r="G269" i="40" s="1"/>
  <c r="Q264" i="40"/>
  <c r="F240" i="40"/>
  <c r="Q214" i="40"/>
  <c r="Q231" i="40" s="1"/>
  <c r="Q238" i="40" s="1"/>
  <c r="F266" i="40"/>
  <c r="F269" i="40" s="1"/>
  <c r="K240" i="40"/>
  <c r="K242" i="40" s="1"/>
  <c r="K245" i="40" s="1"/>
  <c r="K3" i="40" s="1"/>
  <c r="E132" i="40"/>
  <c r="I240" i="40"/>
  <c r="I242" i="40" s="1"/>
  <c r="I245" i="40" s="1"/>
  <c r="I3" i="40" s="1"/>
  <c r="I232" i="40"/>
  <c r="I233" i="40" s="1"/>
  <c r="N232" i="40"/>
  <c r="N233" i="40" s="1"/>
  <c r="J240" i="40"/>
  <c r="J268" i="40" s="1"/>
  <c r="J269" i="40" s="1"/>
  <c r="F232" i="40"/>
  <c r="F233" i="40" s="1"/>
  <c r="P232" i="40"/>
  <c r="P233" i="40" s="1"/>
  <c r="K232" i="40"/>
  <c r="K233" i="40" s="1"/>
  <c r="G232" i="40"/>
  <c r="G233" i="40" s="1"/>
  <c r="L268" i="40"/>
  <c r="L269" i="40" s="1"/>
  <c r="L242" i="40"/>
  <c r="L245" i="40" s="1"/>
  <c r="L3" i="40" s="1"/>
  <c r="Q230" i="40"/>
  <c r="Q237" i="40"/>
  <c r="O231" i="40"/>
  <c r="O238" i="40" s="1"/>
  <c r="O240" i="40" s="1"/>
  <c r="J232" i="40"/>
  <c r="J233" i="40" s="1"/>
  <c r="M229" i="40"/>
  <c r="M237" i="40"/>
  <c r="Q228" i="40"/>
  <c r="H232" i="40"/>
  <c r="H233" i="40" s="1"/>
  <c r="E236" i="40"/>
  <c r="E240" i="40" s="1"/>
  <c r="E226" i="40"/>
  <c r="E232" i="40" s="1"/>
  <c r="E233" i="40" s="1"/>
  <c r="Q229" i="40"/>
  <c r="U77" i="39"/>
  <c r="Z77" i="39"/>
  <c r="K77" i="39"/>
  <c r="P77" i="39"/>
  <c r="AL248" i="27"/>
  <c r="AM248" i="27" s="1"/>
  <c r="AM250" i="27" s="1"/>
  <c r="AL212" i="27"/>
  <c r="AL211" i="27"/>
  <c r="AM22" i="27"/>
  <c r="AM209" i="27" s="1"/>
  <c r="AL210" i="27"/>
  <c r="AM210" i="27"/>
  <c r="AL220" i="27"/>
  <c r="AL213" i="27"/>
  <c r="AM213" i="27"/>
  <c r="AL214" i="27"/>
  <c r="AL221" i="27"/>
  <c r="AL126" i="27"/>
  <c r="AM126" i="27" s="1"/>
  <c r="AL198" i="27"/>
  <c r="AM198" i="27" s="1"/>
  <c r="AL250" i="27" l="1"/>
  <c r="P242" i="40"/>
  <c r="P245" i="40" s="1"/>
  <c r="P3" i="40" s="1"/>
  <c r="P268" i="40"/>
  <c r="P269" i="40" s="1"/>
  <c r="H242" i="40"/>
  <c r="H245" i="40" s="1"/>
  <c r="H3" i="40" s="1"/>
  <c r="H269" i="40"/>
  <c r="I268" i="40"/>
  <c r="I269" i="40" s="1"/>
  <c r="N242" i="40"/>
  <c r="N245" i="40" s="1"/>
  <c r="N3" i="40" s="1"/>
  <c r="M240" i="40"/>
  <c r="M268" i="40" s="1"/>
  <c r="M269" i="40" s="1"/>
  <c r="Q226" i="40"/>
  <c r="Q232" i="40" s="1"/>
  <c r="Q233" i="40" s="1"/>
  <c r="Q236" i="40"/>
  <c r="Q240" i="40" s="1"/>
  <c r="Q242" i="40" s="1"/>
  <c r="M232" i="40"/>
  <c r="M233" i="40" s="1"/>
  <c r="Q132" i="40"/>
  <c r="G242" i="40"/>
  <c r="G245" i="40" s="1"/>
  <c r="G3" i="40" s="1"/>
  <c r="Q266" i="40"/>
  <c r="F242" i="40"/>
  <c r="F245" i="40" s="1"/>
  <c r="F3" i="40" s="1"/>
  <c r="E218" i="40"/>
  <c r="K268" i="40"/>
  <c r="K269" i="40" s="1"/>
  <c r="E242" i="40"/>
  <c r="E245" i="40" s="1"/>
  <c r="E3" i="40" s="1"/>
  <c r="J242" i="40"/>
  <c r="J245" i="40" s="1"/>
  <c r="J3" i="40" s="1"/>
  <c r="O242" i="40"/>
  <c r="O245" i="40" s="1"/>
  <c r="O3" i="40" s="1"/>
  <c r="O268" i="40"/>
  <c r="O269" i="40" s="1"/>
  <c r="O232" i="40"/>
  <c r="O233" i="40" s="1"/>
  <c r="AM220" i="27"/>
  <c r="AM214" i="27"/>
  <c r="AM221" i="27"/>
  <c r="AL215" i="27"/>
  <c r="AL222" i="27" s="1"/>
  <c r="AL202" i="27"/>
  <c r="AM202" i="27" s="1"/>
  <c r="AM215" i="27"/>
  <c r="AM222" i="27" s="1"/>
  <c r="AL224" i="27"/>
  <c r="AI11" i="27"/>
  <c r="AI10" i="27"/>
  <c r="AI9" i="27"/>
  <c r="AI8" i="27"/>
  <c r="AI7" i="27"/>
  <c r="AI5" i="27"/>
  <c r="AI243" i="27"/>
  <c r="AJ243" i="27" s="1"/>
  <c r="M242" i="40" l="1"/>
  <c r="M245" i="40" s="1"/>
  <c r="M3" i="40" s="1"/>
  <c r="Q218" i="40"/>
  <c r="E269" i="40"/>
  <c r="Q245" i="40"/>
  <c r="Q3" i="40" s="1"/>
  <c r="Q268" i="40"/>
  <c r="Q269" i="40" s="1"/>
  <c r="AM224" i="27"/>
  <c r="AM252" i="27" s="1"/>
  <c r="AM253" i="27" s="1"/>
  <c r="AM216" i="27"/>
  <c r="AM217" i="27" s="1"/>
  <c r="AL216" i="27"/>
  <c r="AL217" i="27" s="1"/>
  <c r="AL226" i="27"/>
  <c r="AL229" i="27" s="1"/>
  <c r="AL2" i="27" s="1"/>
  <c r="AL252" i="27"/>
  <c r="AL253" i="27" s="1"/>
  <c r="AI88" i="27"/>
  <c r="AI93" i="27" s="1"/>
  <c r="AI248" i="27" s="1"/>
  <c r="AJ248" i="27" s="1"/>
  <c r="AI135" i="27" l="1"/>
  <c r="AI249" i="27" s="1"/>
  <c r="AJ142" i="27"/>
  <c r="AP142" i="27" l="1"/>
  <c r="AJ196" i="27"/>
  <c r="AJ195" i="27"/>
  <c r="AJ194" i="27"/>
  <c r="AJ193" i="27"/>
  <c r="AJ192" i="27"/>
  <c r="AJ191" i="27"/>
  <c r="AJ190" i="27"/>
  <c r="AJ188" i="27"/>
  <c r="AJ187" i="27"/>
  <c r="AJ186" i="27"/>
  <c r="AJ185" i="27"/>
  <c r="AJ184" i="27"/>
  <c r="AJ182" i="27"/>
  <c r="AJ181" i="27"/>
  <c r="AJ179" i="27"/>
  <c r="AJ178" i="27"/>
  <c r="AJ176" i="27"/>
  <c r="AJ174" i="27"/>
  <c r="AJ173" i="27"/>
  <c r="AJ172" i="27"/>
  <c r="AJ171" i="27"/>
  <c r="AJ169" i="27"/>
  <c r="AJ168" i="27"/>
  <c r="AJ167" i="27"/>
  <c r="AJ166" i="27"/>
  <c r="AJ165" i="27"/>
  <c r="AJ164" i="27"/>
  <c r="AJ163" i="27"/>
  <c r="AJ162" i="27"/>
  <c r="AJ161" i="27"/>
  <c r="AJ160" i="27"/>
  <c r="AJ159" i="27"/>
  <c r="AJ158" i="27"/>
  <c r="AJ157" i="27"/>
  <c r="AJ156" i="27"/>
  <c r="AJ155" i="27"/>
  <c r="AJ154" i="27"/>
  <c r="AJ153" i="27"/>
  <c r="AJ152" i="27"/>
  <c r="AJ151" i="27"/>
  <c r="AJ150" i="27"/>
  <c r="AJ149" i="27"/>
  <c r="AJ148" i="27"/>
  <c r="AJ147" i="27"/>
  <c r="AJ146" i="27"/>
  <c r="AJ145" i="27"/>
  <c r="AJ144" i="27"/>
  <c r="AJ143" i="27"/>
  <c r="AJ141" i="27"/>
  <c r="AJ140" i="27"/>
  <c r="AJ139" i="27"/>
  <c r="AX78" i="39" s="1"/>
  <c r="AJ138" i="27"/>
  <c r="AJ136" i="27"/>
  <c r="AJ135" i="27"/>
  <c r="AJ133" i="27"/>
  <c r="AJ132" i="27"/>
  <c r="AJ131" i="27"/>
  <c r="AJ130" i="27"/>
  <c r="AJ124" i="27"/>
  <c r="AJ123" i="27"/>
  <c r="AJ122" i="27"/>
  <c r="AJ121" i="27"/>
  <c r="AJ120" i="27"/>
  <c r="AJ119" i="27"/>
  <c r="AJ118" i="27"/>
  <c r="AJ117" i="27"/>
  <c r="AJ116" i="27"/>
  <c r="AJ115" i="27"/>
  <c r="AJ114" i="27"/>
  <c r="AJ113" i="27"/>
  <c r="AJ112" i="27"/>
  <c r="AJ111" i="27"/>
  <c r="AJ109" i="27"/>
  <c r="AJ108" i="27"/>
  <c r="AJ107" i="27"/>
  <c r="AJ106" i="27"/>
  <c r="AJ105" i="27"/>
  <c r="AJ104" i="27"/>
  <c r="AJ103" i="27"/>
  <c r="AJ101" i="27"/>
  <c r="AJ100" i="27"/>
  <c r="AJ99" i="27"/>
  <c r="AJ98" i="27"/>
  <c r="AJ97" i="27"/>
  <c r="AJ96" i="27"/>
  <c r="AJ95" i="27"/>
  <c r="AJ93" i="27"/>
  <c r="AJ92" i="27"/>
  <c r="AJ91" i="27"/>
  <c r="AJ90" i="27"/>
  <c r="AJ88" i="27"/>
  <c r="AJ87" i="27"/>
  <c r="AJ85" i="27"/>
  <c r="AJ83" i="27"/>
  <c r="AJ81" i="27"/>
  <c r="AJ80" i="27"/>
  <c r="AJ79" i="27"/>
  <c r="AJ78" i="27"/>
  <c r="AJ76" i="27"/>
  <c r="AJ75" i="27"/>
  <c r="AJ74" i="27"/>
  <c r="AJ73" i="27"/>
  <c r="AJ72" i="27"/>
  <c r="AJ70" i="27"/>
  <c r="AJ69" i="27"/>
  <c r="AJ68" i="27"/>
  <c r="AJ67" i="27"/>
  <c r="AJ66" i="27"/>
  <c r="AJ65" i="27"/>
  <c r="AJ64" i="27"/>
  <c r="AJ63" i="27"/>
  <c r="AJ62" i="27"/>
  <c r="AJ61" i="27"/>
  <c r="AJ59" i="27"/>
  <c r="AJ58" i="27"/>
  <c r="AJ57" i="27"/>
  <c r="AJ56" i="27"/>
  <c r="AJ55" i="27"/>
  <c r="AJ54" i="27"/>
  <c r="AJ53" i="27"/>
  <c r="AJ52" i="27"/>
  <c r="AJ51" i="27"/>
  <c r="AJ50" i="27"/>
  <c r="AJ49" i="27"/>
  <c r="AJ48" i="27"/>
  <c r="AJ47" i="27"/>
  <c r="AJ46" i="27"/>
  <c r="AJ45" i="27"/>
  <c r="AJ44" i="27"/>
  <c r="AJ43" i="27"/>
  <c r="AJ42" i="27"/>
  <c r="AJ41" i="27"/>
  <c r="AJ40" i="27"/>
  <c r="AJ39" i="27"/>
  <c r="AJ38" i="27"/>
  <c r="AJ37" i="27"/>
  <c r="AJ36" i="27"/>
  <c r="AJ35" i="27"/>
  <c r="AJ34" i="27"/>
  <c r="AJ33" i="27"/>
  <c r="AJ32" i="27"/>
  <c r="AJ31" i="27"/>
  <c r="AJ30" i="27"/>
  <c r="AJ29" i="27"/>
  <c r="AJ28" i="27"/>
  <c r="AJ26" i="27"/>
  <c r="AJ25" i="27"/>
  <c r="AJ24" i="27"/>
  <c r="AJ23" i="27"/>
  <c r="AJ21" i="27"/>
  <c r="AJ20" i="27"/>
  <c r="AJ19" i="27"/>
  <c r="AJ18" i="27"/>
  <c r="AJ17" i="27"/>
  <c r="AJ16" i="27"/>
  <c r="AJ15" i="27"/>
  <c r="AJ14" i="27"/>
  <c r="AJ12" i="27"/>
  <c r="AJ11" i="27"/>
  <c r="AJ10" i="27"/>
  <c r="AJ9" i="27"/>
  <c r="AJ8" i="27"/>
  <c r="AJ7" i="27"/>
  <c r="AJ6" i="27"/>
  <c r="AJ5" i="27"/>
  <c r="AI197" i="27" l="1"/>
  <c r="AJ197" i="27" s="1"/>
  <c r="AI189" i="27"/>
  <c r="AJ189" i="27" s="1"/>
  <c r="AI183" i="27"/>
  <c r="AJ183" i="27" s="1"/>
  <c r="AI180" i="27"/>
  <c r="AJ180" i="27" s="1"/>
  <c r="AI177" i="27"/>
  <c r="AJ177" i="27" s="1"/>
  <c r="AI175" i="27"/>
  <c r="AJ175" i="27" s="1"/>
  <c r="AI137" i="27"/>
  <c r="AI134" i="27"/>
  <c r="AJ134" i="27" s="1"/>
  <c r="AI125" i="27"/>
  <c r="AJ125" i="27" s="1"/>
  <c r="AI110" i="27"/>
  <c r="AI102" i="27"/>
  <c r="AI94" i="27"/>
  <c r="AJ94" i="27" s="1"/>
  <c r="AI89" i="27"/>
  <c r="AJ89" i="27" s="1"/>
  <c r="AI86" i="27"/>
  <c r="AJ86" i="27" s="1"/>
  <c r="AI84" i="27"/>
  <c r="AJ84" i="27" s="1"/>
  <c r="AI82" i="27"/>
  <c r="AJ82" i="27" s="1"/>
  <c r="AI77" i="27"/>
  <c r="AI27" i="27"/>
  <c r="AJ27" i="27" s="1"/>
  <c r="AI22" i="27"/>
  <c r="AF239" i="27"/>
  <c r="AF238" i="27"/>
  <c r="AF237" i="27"/>
  <c r="AJ137" i="27" l="1"/>
  <c r="AI212" i="27"/>
  <c r="AJ110" i="27"/>
  <c r="AJ212" i="27" s="1"/>
  <c r="AI209" i="27"/>
  <c r="AJ22" i="27"/>
  <c r="AJ209" i="27" s="1"/>
  <c r="AI213" i="27"/>
  <c r="AJ77" i="27"/>
  <c r="AI211" i="27"/>
  <c r="AJ102" i="27"/>
  <c r="AJ211" i="27" s="1"/>
  <c r="AI220" i="27"/>
  <c r="AJ213" i="27"/>
  <c r="AI198" i="27"/>
  <c r="AI13" i="27"/>
  <c r="AJ13" i="27" s="1"/>
  <c r="AJ249" i="27"/>
  <c r="AI210" i="27"/>
  <c r="AI126" i="27"/>
  <c r="AJ126" i="27" s="1"/>
  <c r="AJ210" i="27"/>
  <c r="H36" i="27"/>
  <c r="AI221" i="27" l="1"/>
  <c r="AI214" i="27"/>
  <c r="AJ250" i="27"/>
  <c r="AJ198" i="27"/>
  <c r="AJ215" i="27" s="1"/>
  <c r="AJ222" i="27" s="1"/>
  <c r="AI215" i="27"/>
  <c r="AI222" i="27" s="1"/>
  <c r="AI224" i="27" s="1"/>
  <c r="AI226" i="27" s="1"/>
  <c r="AI229" i="27" s="1"/>
  <c r="AI2" i="27" s="1"/>
  <c r="AI250" i="27"/>
  <c r="AJ220" i="27"/>
  <c r="AJ214" i="27"/>
  <c r="AJ221" i="27"/>
  <c r="AI202" i="27"/>
  <c r="K36" i="27"/>
  <c r="AO36" i="27" s="1"/>
  <c r="AJ202" i="27" l="1"/>
  <c r="AI252" i="27"/>
  <c r="AI253" i="27" s="1"/>
  <c r="AI216" i="27"/>
  <c r="AI217" i="27" s="1"/>
  <c r="AJ224" i="27"/>
  <c r="AJ252" i="27" s="1"/>
  <c r="AJ253" i="27" s="1"/>
  <c r="AJ216" i="27"/>
  <c r="AJ217" i="27" s="1"/>
  <c r="E88" i="27"/>
  <c r="E93" i="27" s="1"/>
  <c r="E199" i="27"/>
  <c r="N88" i="27"/>
  <c r="E175" i="27"/>
  <c r="AF243" i="27" l="1"/>
  <c r="AF11" i="27"/>
  <c r="AF10" i="27"/>
  <c r="AF9" i="27"/>
  <c r="AF8" i="27"/>
  <c r="AF7" i="27"/>
  <c r="AF5" i="27"/>
  <c r="AG66" i="27"/>
  <c r="AO27" i="27" l="1"/>
  <c r="AF13" i="27"/>
  <c r="AG121" i="27"/>
  <c r="AG120" i="27"/>
  <c r="AG119" i="27"/>
  <c r="AG118" i="27"/>
  <c r="AF125" i="27"/>
  <c r="AG125" i="27" s="1"/>
  <c r="AG109" i="27"/>
  <c r="AG108" i="27"/>
  <c r="AG107" i="27"/>
  <c r="AG106" i="27"/>
  <c r="AG104" i="27"/>
  <c r="AF110" i="27"/>
  <c r="AG93" i="27"/>
  <c r="AG88" i="27"/>
  <c r="AG87" i="27"/>
  <c r="AG79" i="27"/>
  <c r="AG78" i="27"/>
  <c r="AG76" i="27"/>
  <c r="AG72" i="27"/>
  <c r="AG70" i="27"/>
  <c r="AG67" i="27"/>
  <c r="AG65" i="27"/>
  <c r="AG64" i="27"/>
  <c r="AG63" i="27"/>
  <c r="AG62" i="27"/>
  <c r="AG61" i="27"/>
  <c r="AG58" i="27"/>
  <c r="AG57" i="27"/>
  <c r="AG56" i="27"/>
  <c r="AG53" i="27"/>
  <c r="AG52" i="27"/>
  <c r="AG50" i="27"/>
  <c r="AG49" i="27"/>
  <c r="AG41" i="27"/>
  <c r="AG40" i="27"/>
  <c r="AG39" i="27"/>
  <c r="AG38" i="27"/>
  <c r="AG37" i="27"/>
  <c r="AG36" i="27"/>
  <c r="AG35" i="27"/>
  <c r="AG34" i="27"/>
  <c r="AG29" i="27"/>
  <c r="AG28" i="27"/>
  <c r="AG26" i="27"/>
  <c r="AG25" i="27"/>
  <c r="AG24" i="27"/>
  <c r="AG17" i="27"/>
  <c r="AG16" i="27"/>
  <c r="AG14" i="27"/>
  <c r="AG11" i="27"/>
  <c r="AG10" i="27"/>
  <c r="AG9" i="27"/>
  <c r="AG8" i="27"/>
  <c r="AG7" i="27"/>
  <c r="AG5" i="27"/>
  <c r="AG196" i="27"/>
  <c r="AG195" i="27"/>
  <c r="AG194" i="27"/>
  <c r="AG193" i="27"/>
  <c r="AG192" i="27"/>
  <c r="AG191" i="27"/>
  <c r="AG190" i="27"/>
  <c r="AG188" i="27"/>
  <c r="AG187" i="27"/>
  <c r="AG186" i="27"/>
  <c r="AG185" i="27"/>
  <c r="AG184" i="27"/>
  <c r="AG182" i="27"/>
  <c r="AG181" i="27"/>
  <c r="AG179" i="27"/>
  <c r="AG178" i="27"/>
  <c r="AG176" i="27"/>
  <c r="AG174" i="27"/>
  <c r="AG173" i="27"/>
  <c r="AG172" i="27"/>
  <c r="AG171" i="27"/>
  <c r="AG169" i="27"/>
  <c r="AG168" i="27"/>
  <c r="AG167" i="27"/>
  <c r="AG166" i="27"/>
  <c r="AG165" i="27"/>
  <c r="AG164" i="27"/>
  <c r="AG163" i="27"/>
  <c r="AG162" i="27"/>
  <c r="AG161" i="27"/>
  <c r="AG160" i="27"/>
  <c r="AG159" i="27"/>
  <c r="AG158" i="27"/>
  <c r="AG157" i="27"/>
  <c r="AG156" i="27"/>
  <c r="AG155" i="27"/>
  <c r="AG154" i="27"/>
  <c r="AG153" i="27"/>
  <c r="AG152" i="27"/>
  <c r="AG151" i="27"/>
  <c r="AG150" i="27"/>
  <c r="AG149" i="27"/>
  <c r="AG148" i="27"/>
  <c r="AG147" i="27"/>
  <c r="AG146" i="27"/>
  <c r="AG145" i="27"/>
  <c r="AG144" i="27"/>
  <c r="AG143" i="27"/>
  <c r="AG141" i="27"/>
  <c r="AG140" i="27"/>
  <c r="AG139" i="27"/>
  <c r="AG138" i="27"/>
  <c r="AG136" i="27"/>
  <c r="AG135" i="27"/>
  <c r="AG133" i="27"/>
  <c r="AG132" i="27"/>
  <c r="AG131" i="27"/>
  <c r="AG130" i="27"/>
  <c r="AG124" i="27"/>
  <c r="AG122" i="27"/>
  <c r="AG112" i="27"/>
  <c r="AG111" i="27"/>
  <c r="AG105" i="27"/>
  <c r="AG97" i="27"/>
  <c r="AG95" i="27"/>
  <c r="AG81" i="27"/>
  <c r="AG59" i="27"/>
  <c r="AG48" i="27"/>
  <c r="AG46" i="27"/>
  <c r="AG44" i="27"/>
  <c r="AG21" i="27"/>
  <c r="AG20" i="27"/>
  <c r="AG19" i="27"/>
  <c r="AG18" i="27"/>
  <c r="AG12" i="27"/>
  <c r="AG6" i="27"/>
  <c r="AP66" i="27"/>
  <c r="AG243" i="27"/>
  <c r="AF197" i="27"/>
  <c r="AG197" i="27" s="1"/>
  <c r="AF189" i="27"/>
  <c r="AG189" i="27" s="1"/>
  <c r="AF183" i="27"/>
  <c r="AG183" i="27" s="1"/>
  <c r="AF180" i="27"/>
  <c r="AG180" i="27" s="1"/>
  <c r="AF177" i="27"/>
  <c r="AG177" i="27" s="1"/>
  <c r="AF137" i="27"/>
  <c r="AG137" i="27" s="1"/>
  <c r="AF134" i="27"/>
  <c r="AG134" i="27" s="1"/>
  <c r="AG13" i="27" l="1"/>
  <c r="AF214" i="27"/>
  <c r="AG47" i="27"/>
  <c r="AG45" i="27"/>
  <c r="AG98" i="27"/>
  <c r="AG99" i="27"/>
  <c r="AG100" i="27"/>
  <c r="AG101" i="27"/>
  <c r="AG80" i="27"/>
  <c r="AG123" i="27"/>
  <c r="AF27" i="27"/>
  <c r="AG27" i="27" s="1"/>
  <c r="AG42" i="27"/>
  <c r="AF82" i="27"/>
  <c r="AG82" i="27" s="1"/>
  <c r="AG43" i="27"/>
  <c r="AG96" i="27"/>
  <c r="AG32" i="27"/>
  <c r="AG54" i="27"/>
  <c r="AG74" i="27"/>
  <c r="AG33" i="27"/>
  <c r="AG55" i="27"/>
  <c r="AG75" i="27"/>
  <c r="AF22" i="27"/>
  <c r="AF209" i="27" s="1"/>
  <c r="AG83" i="27"/>
  <c r="AG68" i="27"/>
  <c r="AG85" i="27"/>
  <c r="AF84" i="27"/>
  <c r="AG84" i="27" s="1"/>
  <c r="AG69" i="27"/>
  <c r="AF86" i="27"/>
  <c r="AG86" i="27" s="1"/>
  <c r="AG30" i="27"/>
  <c r="AG90" i="27"/>
  <c r="AG31" i="27"/>
  <c r="AG73" i="27"/>
  <c r="AG91" i="27"/>
  <c r="AF102" i="27"/>
  <c r="AF211" i="27" s="1"/>
  <c r="AG113" i="27"/>
  <c r="AG114" i="27"/>
  <c r="AG115" i="27"/>
  <c r="AG116" i="27"/>
  <c r="AG117" i="27"/>
  <c r="AF212" i="27"/>
  <c r="AG110" i="27"/>
  <c r="AG212" i="27" s="1"/>
  <c r="AG103" i="27"/>
  <c r="AG92" i="27"/>
  <c r="AF77" i="27"/>
  <c r="AG77" i="27" s="1"/>
  <c r="AG51" i="27"/>
  <c r="AG23" i="27"/>
  <c r="AG15" i="27"/>
  <c r="AF175" i="27"/>
  <c r="AG175" i="27" s="1"/>
  <c r="AF94" i="27"/>
  <c r="AG94" i="27" s="1"/>
  <c r="AF249" i="27"/>
  <c r="AF89" i="27"/>
  <c r="AF248" i="27"/>
  <c r="AG22" i="27" l="1"/>
  <c r="AG209" i="27" s="1"/>
  <c r="AG102" i="27"/>
  <c r="AG211" i="27" s="1"/>
  <c r="AG210" i="27"/>
  <c r="AG89" i="27"/>
  <c r="AG213" i="27" s="1"/>
  <c r="AG248" i="27"/>
  <c r="AF210" i="27"/>
  <c r="AF220" i="27"/>
  <c r="AF198" i="27"/>
  <c r="AG198" i="27" s="1"/>
  <c r="AF126" i="27"/>
  <c r="AG126" i="27" s="1"/>
  <c r="AF213" i="27"/>
  <c r="AF250" i="27"/>
  <c r="AG249" i="27"/>
  <c r="AF221" i="27"/>
  <c r="AG220" i="27" l="1"/>
  <c r="AG221" i="27"/>
  <c r="AG250" i="27"/>
  <c r="AG214" i="27"/>
  <c r="AF202" i="27"/>
  <c r="AG215" i="27"/>
  <c r="AG222" i="27" s="1"/>
  <c r="AF215" i="27"/>
  <c r="AF222" i="27" s="1"/>
  <c r="AF224" i="27" s="1"/>
  <c r="AF226" i="27" s="1"/>
  <c r="AG224" i="27" l="1"/>
  <c r="AG252" i="27" s="1"/>
  <c r="AG253" i="27" s="1"/>
  <c r="AG202" i="27"/>
  <c r="AF229" i="27"/>
  <c r="AF2" i="27" s="1"/>
  <c r="AF252" i="27"/>
  <c r="AF216" i="27"/>
  <c r="AF217" i="27" s="1"/>
  <c r="AG216" i="27"/>
  <c r="AG217" i="27" s="1"/>
  <c r="AC27" i="27"/>
  <c r="AC22" i="27"/>
  <c r="AC241" i="27"/>
  <c r="AC11" i="27" s="1"/>
  <c r="AC240" i="27"/>
  <c r="AC10" i="27" s="1"/>
  <c r="AC239" i="27"/>
  <c r="AC9" i="27" s="1"/>
  <c r="AC238" i="27"/>
  <c r="AC8" i="27" s="1"/>
  <c r="AC237" i="27"/>
  <c r="AC7" i="27" s="1"/>
  <c r="AC235" i="27"/>
  <c r="AC5" i="27" s="1"/>
  <c r="AC76" i="27"/>
  <c r="AO76" i="27" s="1"/>
  <c r="AC75" i="27"/>
  <c r="AO75" i="27" s="1"/>
  <c r="AC174" i="27"/>
  <c r="AO174" i="27" s="1"/>
  <c r="AC172" i="27"/>
  <c r="AO172" i="27" s="1"/>
  <c r="AC168" i="27"/>
  <c r="AO168" i="27" s="1"/>
  <c r="AC153" i="27"/>
  <c r="AO153" i="27" s="1"/>
  <c r="AC149" i="27"/>
  <c r="AO149" i="27" s="1"/>
  <c r="AC135" i="27"/>
  <c r="AO135" i="27" s="1"/>
  <c r="AC93" i="27"/>
  <c r="AC88" i="27" s="1"/>
  <c r="AF253" i="27" l="1"/>
  <c r="AD168" i="27"/>
  <c r="AD75" i="27"/>
  <c r="AD76" i="27"/>
  <c r="AC77" i="27"/>
  <c r="AD172" i="27"/>
  <c r="AC249" i="27"/>
  <c r="AD249" i="27" s="1"/>
  <c r="AC13" i="27"/>
  <c r="AD174" i="27"/>
  <c r="AC175" i="27"/>
  <c r="AD153" i="27"/>
  <c r="AD149" i="27"/>
  <c r="AC137" i="27"/>
  <c r="AD135" i="27"/>
  <c r="AO137" i="27" l="1"/>
  <c r="AD196" i="27"/>
  <c r="AD195" i="27"/>
  <c r="AD194" i="27"/>
  <c r="AD193" i="27"/>
  <c r="AD192" i="27"/>
  <c r="AD191" i="27"/>
  <c r="AD190" i="27"/>
  <c r="AD188" i="27"/>
  <c r="AD187" i="27"/>
  <c r="AD186" i="27"/>
  <c r="AD185" i="27"/>
  <c r="AD184" i="27"/>
  <c r="AD182" i="27"/>
  <c r="AD181" i="27"/>
  <c r="AD179" i="27"/>
  <c r="AD178" i="27"/>
  <c r="AD176" i="27"/>
  <c r="AD173" i="27"/>
  <c r="AD171" i="27"/>
  <c r="AD169" i="27"/>
  <c r="AD167" i="27"/>
  <c r="AD166" i="27"/>
  <c r="AD165" i="27"/>
  <c r="AD164" i="27"/>
  <c r="AD163" i="27"/>
  <c r="AD162" i="27"/>
  <c r="AD161" i="27"/>
  <c r="AD160" i="27"/>
  <c r="AD159" i="27"/>
  <c r="AD158" i="27"/>
  <c r="AD157" i="27"/>
  <c r="AD156" i="27"/>
  <c r="AD155" i="27"/>
  <c r="AD154" i="27"/>
  <c r="AD152" i="27"/>
  <c r="AD151" i="27"/>
  <c r="AD150" i="27"/>
  <c r="AD148" i="27"/>
  <c r="AD147" i="27"/>
  <c r="AD146" i="27"/>
  <c r="AD145" i="27"/>
  <c r="AD144" i="27"/>
  <c r="AD143" i="27"/>
  <c r="AD141" i="27"/>
  <c r="AD140" i="27"/>
  <c r="AD139" i="27"/>
  <c r="AD138" i="27"/>
  <c r="AD136" i="27"/>
  <c r="AD133" i="27"/>
  <c r="AD132" i="27"/>
  <c r="AD131" i="27"/>
  <c r="AD130" i="27"/>
  <c r="AD124" i="27"/>
  <c r="AD123" i="27"/>
  <c r="AD122" i="27"/>
  <c r="AD121" i="27"/>
  <c r="AD120" i="27"/>
  <c r="AD119" i="27"/>
  <c r="AD118" i="27"/>
  <c r="AD117" i="27"/>
  <c r="AD116" i="27"/>
  <c r="AD115" i="27"/>
  <c r="AD114" i="27"/>
  <c r="AD113" i="27"/>
  <c r="AD112" i="27"/>
  <c r="AD111" i="27"/>
  <c r="AD109" i="27"/>
  <c r="AD108" i="27"/>
  <c r="AD107" i="27"/>
  <c r="AD106" i="27"/>
  <c r="AD105" i="27"/>
  <c r="AD104" i="27"/>
  <c r="AD103" i="27"/>
  <c r="AD101" i="27"/>
  <c r="AD100" i="27"/>
  <c r="AD99" i="27"/>
  <c r="AD98" i="27"/>
  <c r="AD97" i="27"/>
  <c r="AD96" i="27"/>
  <c r="AD95" i="27"/>
  <c r="AD93" i="27"/>
  <c r="AD92" i="27"/>
  <c r="AD91" i="27"/>
  <c r="AD90" i="27"/>
  <c r="AD88" i="27"/>
  <c r="AD87" i="27"/>
  <c r="AD85" i="27"/>
  <c r="AD83" i="27"/>
  <c r="AD81" i="27"/>
  <c r="AD80" i="27"/>
  <c r="AD79" i="27"/>
  <c r="AD78" i="27"/>
  <c r="AD74" i="27"/>
  <c r="AD73" i="27"/>
  <c r="AD72" i="27"/>
  <c r="AD70" i="27"/>
  <c r="AD69" i="27"/>
  <c r="AD68" i="27"/>
  <c r="AD67" i="27"/>
  <c r="AD65" i="27"/>
  <c r="AD64" i="27"/>
  <c r="AD63" i="27"/>
  <c r="AD62" i="27"/>
  <c r="AD61" i="27"/>
  <c r="AD59" i="27"/>
  <c r="AD58" i="27"/>
  <c r="AD57" i="27"/>
  <c r="AD56" i="27"/>
  <c r="AD55" i="27"/>
  <c r="AD54" i="27"/>
  <c r="AD53" i="27"/>
  <c r="AD52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AD38" i="27"/>
  <c r="AD37" i="27"/>
  <c r="AD36" i="27"/>
  <c r="AD35" i="27"/>
  <c r="AD34" i="27"/>
  <c r="AD33" i="27"/>
  <c r="AD32" i="27"/>
  <c r="AD31" i="27"/>
  <c r="AD30" i="27"/>
  <c r="AD29" i="27"/>
  <c r="AD28" i="27"/>
  <c r="AD26" i="27"/>
  <c r="AD25" i="27"/>
  <c r="AD24" i="27"/>
  <c r="AD23" i="27"/>
  <c r="AD21" i="27"/>
  <c r="AD20" i="27"/>
  <c r="AD19" i="27"/>
  <c r="AD18" i="27"/>
  <c r="AD17" i="27"/>
  <c r="AD16" i="27"/>
  <c r="AD15" i="27"/>
  <c r="AD14" i="27"/>
  <c r="AD12" i="27"/>
  <c r="AD11" i="27"/>
  <c r="AD10" i="27"/>
  <c r="AD9" i="27"/>
  <c r="AD8" i="27"/>
  <c r="AD7" i="27"/>
  <c r="AD6" i="27"/>
  <c r="AD5" i="27"/>
  <c r="AP76" i="27" l="1"/>
  <c r="AP75" i="27"/>
  <c r="AO77" i="27"/>
  <c r="AO175" i="27"/>
  <c r="AP172" i="27"/>
  <c r="AP174" i="27"/>
  <c r="AP153" i="27"/>
  <c r="AP168" i="27"/>
  <c r="AP135" i="27"/>
  <c r="AP149" i="27"/>
  <c r="AC243" i="27"/>
  <c r="AD243" i="27" s="1"/>
  <c r="AC197" i="27"/>
  <c r="AD197" i="27" s="1"/>
  <c r="AC189" i="27"/>
  <c r="AD189" i="27" s="1"/>
  <c r="AC183" i="27"/>
  <c r="AD183" i="27" s="1"/>
  <c r="AC180" i="27"/>
  <c r="AD180" i="27" s="1"/>
  <c r="AC177" i="27"/>
  <c r="AD177" i="27" s="1"/>
  <c r="AD175" i="27"/>
  <c r="AD137" i="27"/>
  <c r="AC134" i="27"/>
  <c r="AD134" i="27" s="1"/>
  <c r="AC125" i="27"/>
  <c r="AC110" i="27"/>
  <c r="AC102" i="27"/>
  <c r="AC94" i="27"/>
  <c r="AC89" i="27"/>
  <c r="AC86" i="27"/>
  <c r="AC84" i="27"/>
  <c r="AC82" i="27"/>
  <c r="AD82" i="27" l="1"/>
  <c r="AD86" i="27"/>
  <c r="AD84" i="27"/>
  <c r="AD89" i="27"/>
  <c r="AD94" i="27"/>
  <c r="AD125" i="27"/>
  <c r="AD13" i="27"/>
  <c r="AD22" i="27"/>
  <c r="AD209" i="27" s="1"/>
  <c r="AD27" i="27"/>
  <c r="AD77" i="27"/>
  <c r="AC212" i="27"/>
  <c r="AD110" i="27"/>
  <c r="AD212" i="27" s="1"/>
  <c r="AD102" i="27"/>
  <c r="AD211" i="27" s="1"/>
  <c r="AC211" i="27"/>
  <c r="AC221" i="27"/>
  <c r="AC214" i="27"/>
  <c r="AC126" i="27"/>
  <c r="AC210" i="27"/>
  <c r="AC209" i="27"/>
  <c r="AC248" i="27"/>
  <c r="AD248" i="27" s="1"/>
  <c r="AD250" i="27" s="1"/>
  <c r="AC198" i="27"/>
  <c r="AD198" i="27" s="1"/>
  <c r="AC213" i="27"/>
  <c r="AC220" i="27"/>
  <c r="Z249" i="27"/>
  <c r="W249" i="27"/>
  <c r="T249" i="27"/>
  <c r="U249" i="27" s="1"/>
  <c r="Q249" i="27"/>
  <c r="R249" i="27" s="1"/>
  <c r="N249" i="27"/>
  <c r="O249" i="27" s="1"/>
  <c r="K249" i="27"/>
  <c r="L249" i="27" s="1"/>
  <c r="H249" i="27"/>
  <c r="I249" i="27" s="1"/>
  <c r="E249" i="27"/>
  <c r="AO249" i="27" l="1"/>
  <c r="AD210" i="27"/>
  <c r="AD213" i="27"/>
  <c r="AD126" i="27"/>
  <c r="AD220" i="27"/>
  <c r="AC250" i="27"/>
  <c r="AD214" i="27"/>
  <c r="AD221" i="27"/>
  <c r="AC202" i="27"/>
  <c r="AD215" i="27"/>
  <c r="AD222" i="27" s="1"/>
  <c r="AC215" i="27"/>
  <c r="AC222" i="27" s="1"/>
  <c r="AC224" i="27" s="1"/>
  <c r="AC252" i="27" s="1"/>
  <c r="F249" i="27"/>
  <c r="X249" i="27"/>
  <c r="AA249" i="27"/>
  <c r="AP249" i="27" l="1"/>
  <c r="AD202" i="27"/>
  <c r="AD216" i="27"/>
  <c r="AD217" i="27" s="1"/>
  <c r="AD224" i="27"/>
  <c r="AC226" i="27"/>
  <c r="AC229" i="27" s="1"/>
  <c r="AC2" i="27" s="1"/>
  <c r="AC253" i="27"/>
  <c r="AC216" i="27"/>
  <c r="AC217" i="27" s="1"/>
  <c r="AD252" i="27" l="1"/>
  <c r="AD253" i="27" s="1"/>
  <c r="Z9" i="27"/>
  <c r="Z8" i="27"/>
  <c r="Z7" i="27"/>
  <c r="Z5" i="27"/>
  <c r="Z12" i="27"/>
  <c r="Z11" i="27"/>
  <c r="Z10" i="27"/>
  <c r="Z88" i="27" l="1"/>
  <c r="Z93" i="27" s="1"/>
  <c r="Z248" i="27" l="1"/>
  <c r="AA248" i="27" s="1"/>
  <c r="AA250" i="27" s="1"/>
  <c r="Z102" i="27"/>
  <c r="Z250" i="27" l="1"/>
  <c r="Z243" i="27"/>
  <c r="AA243" i="27" s="1"/>
  <c r="AA196" i="27"/>
  <c r="AA195" i="27"/>
  <c r="AA194" i="27"/>
  <c r="AA193" i="27"/>
  <c r="AA192" i="27"/>
  <c r="AA191" i="27"/>
  <c r="AA190" i="27"/>
  <c r="AA188" i="27"/>
  <c r="AA187" i="27"/>
  <c r="AA186" i="27"/>
  <c r="AA185" i="27"/>
  <c r="AA184" i="27"/>
  <c r="AA182" i="27"/>
  <c r="AA181" i="27"/>
  <c r="AA179" i="27"/>
  <c r="AA178" i="27"/>
  <c r="AA176" i="27"/>
  <c r="AA173" i="27"/>
  <c r="AA171" i="27"/>
  <c r="AA169" i="27"/>
  <c r="AA167" i="27"/>
  <c r="AA166" i="27"/>
  <c r="AA165" i="27"/>
  <c r="AA164" i="27"/>
  <c r="AA163" i="27"/>
  <c r="AA162" i="27"/>
  <c r="AA161" i="27"/>
  <c r="AA160" i="27"/>
  <c r="AA159" i="27"/>
  <c r="AA158" i="27"/>
  <c r="AA157" i="27"/>
  <c r="AA156" i="27"/>
  <c r="AA155" i="27"/>
  <c r="AA154" i="27"/>
  <c r="AA152" i="27"/>
  <c r="AA151" i="27"/>
  <c r="AA150" i="27"/>
  <c r="AA148" i="27"/>
  <c r="AA147" i="27"/>
  <c r="AA146" i="27"/>
  <c r="AA145" i="27"/>
  <c r="AA144" i="27"/>
  <c r="AA143" i="27"/>
  <c r="AA141" i="27"/>
  <c r="AA140" i="27"/>
  <c r="AA139" i="27"/>
  <c r="AA138" i="27"/>
  <c r="AA136" i="27"/>
  <c r="AA133" i="27"/>
  <c r="AA132" i="27"/>
  <c r="AA131" i="27"/>
  <c r="AA130" i="27"/>
  <c r="AA124" i="27"/>
  <c r="AA123" i="27"/>
  <c r="AA122" i="27"/>
  <c r="AA121" i="27"/>
  <c r="AA120" i="27"/>
  <c r="AA119" i="27"/>
  <c r="AA118" i="27"/>
  <c r="AA117" i="27"/>
  <c r="AA116" i="27"/>
  <c r="AA115" i="27"/>
  <c r="AA114" i="27"/>
  <c r="AA113" i="27"/>
  <c r="AA112" i="27"/>
  <c r="AA111" i="27"/>
  <c r="AA109" i="27"/>
  <c r="AA108" i="27"/>
  <c r="AA107" i="27"/>
  <c r="AA106" i="27"/>
  <c r="AA105" i="27"/>
  <c r="AA104" i="27"/>
  <c r="AA103" i="27"/>
  <c r="AA101" i="27"/>
  <c r="AA100" i="27"/>
  <c r="AA99" i="27"/>
  <c r="AA98" i="27"/>
  <c r="AA97" i="27"/>
  <c r="AA96" i="27"/>
  <c r="AA95" i="27"/>
  <c r="AA93" i="27"/>
  <c r="AA92" i="27"/>
  <c r="AA91" i="27"/>
  <c r="AA90" i="27"/>
  <c r="AA88" i="27"/>
  <c r="AA87" i="27"/>
  <c r="AA85" i="27"/>
  <c r="AA83" i="27"/>
  <c r="AA81" i="27"/>
  <c r="AA80" i="27"/>
  <c r="AA79" i="27"/>
  <c r="AA78" i="27"/>
  <c r="AA74" i="27"/>
  <c r="AA73" i="27"/>
  <c r="AA72" i="27"/>
  <c r="AA70" i="27"/>
  <c r="AA69" i="27"/>
  <c r="AA68" i="27"/>
  <c r="AA67" i="27"/>
  <c r="AA65" i="27"/>
  <c r="AA64" i="27"/>
  <c r="AA63" i="27"/>
  <c r="AA62" i="27"/>
  <c r="AA61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6" i="27"/>
  <c r="AA25" i="27"/>
  <c r="AA24" i="27"/>
  <c r="AA23" i="27"/>
  <c r="AA21" i="27"/>
  <c r="AA20" i="27"/>
  <c r="AA19" i="27"/>
  <c r="AA18" i="27"/>
  <c r="AA17" i="27"/>
  <c r="AA16" i="27"/>
  <c r="AA15" i="27"/>
  <c r="AA14" i="27"/>
  <c r="AA12" i="27"/>
  <c r="AA11" i="27"/>
  <c r="AA10" i="27"/>
  <c r="AA9" i="27"/>
  <c r="AA8" i="27"/>
  <c r="AA7" i="27"/>
  <c r="AA6" i="27"/>
  <c r="AA5" i="27"/>
  <c r="Z211" i="27" l="1"/>
  <c r="Z197" i="27"/>
  <c r="AA197" i="27" s="1"/>
  <c r="Z189" i="27"/>
  <c r="AA189" i="27" s="1"/>
  <c r="Z183" i="27"/>
  <c r="AA183" i="27" s="1"/>
  <c r="Z180" i="27"/>
  <c r="AA180" i="27" s="1"/>
  <c r="Z177" i="27"/>
  <c r="AA177" i="27" s="1"/>
  <c r="Z175" i="27"/>
  <c r="AA175" i="27" s="1"/>
  <c r="Z137" i="27"/>
  <c r="AA137" i="27" s="1"/>
  <c r="Z134" i="27"/>
  <c r="AA134" i="27" s="1"/>
  <c r="Z125" i="27"/>
  <c r="AA125" i="27" s="1"/>
  <c r="Z110" i="27"/>
  <c r="Z212" i="27" s="1"/>
  <c r="Z94" i="27"/>
  <c r="AA94" i="27" s="1"/>
  <c r="Z89" i="27"/>
  <c r="AA89" i="27" s="1"/>
  <c r="Z86" i="27"/>
  <c r="AA86" i="27" s="1"/>
  <c r="Z84" i="27"/>
  <c r="AA84" i="27" s="1"/>
  <c r="Z82" i="27"/>
  <c r="AA82" i="27" s="1"/>
  <c r="Z77" i="27"/>
  <c r="AA77" i="27" s="1"/>
  <c r="Z27" i="27"/>
  <c r="AA27" i="27" s="1"/>
  <c r="Z22" i="27"/>
  <c r="Z13" i="27"/>
  <c r="AA13" i="27" s="1"/>
  <c r="W12" i="27"/>
  <c r="W11" i="27"/>
  <c r="W10" i="27"/>
  <c r="W9" i="27"/>
  <c r="W8" i="27"/>
  <c r="W7" i="27"/>
  <c r="W5" i="27"/>
  <c r="W248" i="27" l="1"/>
  <c r="Z209" i="27"/>
  <c r="AA22" i="27"/>
  <c r="AA110" i="27"/>
  <c r="AA212" i="27" s="1"/>
  <c r="AA102" i="27"/>
  <c r="AA211" i="27" s="1"/>
  <c r="Z214" i="27"/>
  <c r="Z221" i="27"/>
  <c r="Z126" i="27"/>
  <c r="AA126" i="27" s="1"/>
  <c r="AA210" i="27"/>
  <c r="Z220" i="27"/>
  <c r="Z198" i="27"/>
  <c r="AA198" i="27" s="1"/>
  <c r="Z213" i="27"/>
  <c r="AA213" i="27"/>
  <c r="Z210" i="27"/>
  <c r="X179" i="27"/>
  <c r="W180" i="27"/>
  <c r="X196" i="27"/>
  <c r="X195" i="27"/>
  <c r="X193" i="27"/>
  <c r="X192" i="27"/>
  <c r="W197" i="27"/>
  <c r="X197" i="27" s="1"/>
  <c r="X188" i="27"/>
  <c r="X186" i="27"/>
  <c r="X169" i="27"/>
  <c r="X167" i="27"/>
  <c r="X165" i="27"/>
  <c r="X164" i="27"/>
  <c r="X154" i="27"/>
  <c r="X152" i="27"/>
  <c r="X151" i="27"/>
  <c r="X143" i="27"/>
  <c r="X141" i="27"/>
  <c r="X140" i="27"/>
  <c r="X139" i="27"/>
  <c r="X138" i="27"/>
  <c r="X132" i="27"/>
  <c r="X131" i="27"/>
  <c r="X116" i="27"/>
  <c r="X115" i="27"/>
  <c r="X109" i="27"/>
  <c r="X108" i="27"/>
  <c r="X105" i="27"/>
  <c r="X104" i="27"/>
  <c r="W110" i="27"/>
  <c r="W212" i="27" s="1"/>
  <c r="X101" i="27"/>
  <c r="X100" i="27"/>
  <c r="X96" i="27"/>
  <c r="W102" i="27"/>
  <c r="X102" i="27" s="1"/>
  <c r="X92" i="27"/>
  <c r="X91" i="27"/>
  <c r="W94" i="27"/>
  <c r="X94" i="27" s="1"/>
  <c r="W89" i="27"/>
  <c r="X89" i="27" s="1"/>
  <c r="X88" i="27"/>
  <c r="W86" i="27"/>
  <c r="X86" i="27" s="1"/>
  <c r="X79" i="27"/>
  <c r="X67" i="27"/>
  <c r="X65" i="27"/>
  <c r="X64" i="27"/>
  <c r="X62" i="27"/>
  <c r="X59" i="27"/>
  <c r="X53" i="27"/>
  <c r="X52" i="27"/>
  <c r="X51" i="27"/>
  <c r="X48" i="27"/>
  <c r="X41" i="27"/>
  <c r="X40" i="27"/>
  <c r="X39" i="27"/>
  <c r="X38" i="27"/>
  <c r="X37" i="27"/>
  <c r="X36" i="27"/>
  <c r="X35" i="27"/>
  <c r="X34" i="27"/>
  <c r="X32" i="27"/>
  <c r="X31" i="27"/>
  <c r="X29" i="27"/>
  <c r="X28" i="27"/>
  <c r="X26" i="27"/>
  <c r="X24" i="27"/>
  <c r="X23" i="27"/>
  <c r="X12" i="27"/>
  <c r="X11" i="27"/>
  <c r="X10" i="27"/>
  <c r="X9" i="27"/>
  <c r="X8" i="27"/>
  <c r="X7" i="27"/>
  <c r="X6" i="27"/>
  <c r="X123" i="27"/>
  <c r="X194" i="27"/>
  <c r="X187" i="27"/>
  <c r="X173" i="27"/>
  <c r="X171" i="27"/>
  <c r="X162" i="27"/>
  <c r="X161" i="27"/>
  <c r="X158" i="27"/>
  <c r="X157" i="27"/>
  <c r="X156" i="27"/>
  <c r="X155" i="27"/>
  <c r="X148" i="27"/>
  <c r="X147" i="27"/>
  <c r="X124" i="27"/>
  <c r="X122" i="27"/>
  <c r="X121" i="27"/>
  <c r="X120" i="27"/>
  <c r="X119" i="27"/>
  <c r="X112" i="27"/>
  <c r="X98" i="27"/>
  <c r="X97" i="27"/>
  <c r="X93" i="27"/>
  <c r="X80" i="27"/>
  <c r="X74" i="27"/>
  <c r="X73" i="27"/>
  <c r="X72" i="27"/>
  <c r="X70" i="27"/>
  <c r="X47" i="27"/>
  <c r="X46" i="27"/>
  <c r="X45" i="27"/>
  <c r="X44" i="27"/>
  <c r="X43" i="27"/>
  <c r="X21" i="27"/>
  <c r="X20" i="27"/>
  <c r="X15" i="27"/>
  <c r="X14" i="27"/>
  <c r="W243" i="27"/>
  <c r="X243" i="27" s="1"/>
  <c r="X248" i="27" l="1"/>
  <c r="X250" i="27" s="1"/>
  <c r="W250" i="27"/>
  <c r="AA209" i="27"/>
  <c r="AA220" i="27"/>
  <c r="Z215" i="27"/>
  <c r="Z222" i="27" s="1"/>
  <c r="Z224" i="27" s="1"/>
  <c r="Z202" i="27"/>
  <c r="AA202" i="27" s="1"/>
  <c r="AA215" i="27"/>
  <c r="AA222" i="27" s="1"/>
  <c r="AA214" i="27"/>
  <c r="AA221" i="27"/>
  <c r="AO180" i="27"/>
  <c r="AP179" i="27"/>
  <c r="AP59" i="27"/>
  <c r="X16" i="27"/>
  <c r="X150" i="27"/>
  <c r="W189" i="27"/>
  <c r="X189" i="27" s="1"/>
  <c r="X17" i="27"/>
  <c r="X184" i="27"/>
  <c r="X55" i="27"/>
  <c r="X133" i="27"/>
  <c r="X56" i="27"/>
  <c r="W27" i="27"/>
  <c r="X27" i="27" s="1"/>
  <c r="X58" i="27"/>
  <c r="X166" i="27"/>
  <c r="X68" i="27"/>
  <c r="X144" i="27"/>
  <c r="W22" i="27"/>
  <c r="W209" i="27" s="1"/>
  <c r="W183" i="27"/>
  <c r="X183" i="27" s="1"/>
  <c r="X30" i="27"/>
  <c r="X54" i="27"/>
  <c r="X33" i="27"/>
  <c r="X57" i="27"/>
  <c r="X103" i="27"/>
  <c r="X163" i="27"/>
  <c r="X42" i="27"/>
  <c r="X69" i="27"/>
  <c r="X111" i="27"/>
  <c r="X191" i="27"/>
  <c r="AP190" i="27"/>
  <c r="X190" i="27"/>
  <c r="X185" i="27"/>
  <c r="X181" i="27"/>
  <c r="X182" i="27"/>
  <c r="X178" i="27"/>
  <c r="X180" i="27"/>
  <c r="W177" i="27"/>
  <c r="X177" i="27" s="1"/>
  <c r="X176" i="27"/>
  <c r="W175" i="27"/>
  <c r="X175" i="27" s="1"/>
  <c r="X145" i="27"/>
  <c r="X159" i="27"/>
  <c r="X146" i="27"/>
  <c r="X160" i="27"/>
  <c r="X136" i="27"/>
  <c r="W137" i="27"/>
  <c r="X137" i="27" s="1"/>
  <c r="W134" i="27"/>
  <c r="X134" i="27" s="1"/>
  <c r="X130" i="27"/>
  <c r="X113" i="27"/>
  <c r="X114" i="27"/>
  <c r="X117" i="27"/>
  <c r="X118" i="27"/>
  <c r="X106" i="27"/>
  <c r="X107" i="27"/>
  <c r="X99" i="27"/>
  <c r="X95" i="27"/>
  <c r="X90" i="27"/>
  <c r="X87" i="27"/>
  <c r="X85" i="27"/>
  <c r="W84" i="27"/>
  <c r="X84" i="27" s="1"/>
  <c r="X83" i="27"/>
  <c r="X78" i="27"/>
  <c r="X61" i="27"/>
  <c r="X49" i="27"/>
  <c r="X63" i="27"/>
  <c r="X50" i="27"/>
  <c r="W77" i="27"/>
  <c r="X77" i="27" s="1"/>
  <c r="X25" i="27"/>
  <c r="X19" i="27"/>
  <c r="X18" i="27"/>
  <c r="W13" i="27"/>
  <c r="X13" i="27" s="1"/>
  <c r="X5" i="27"/>
  <c r="W125" i="27"/>
  <c r="X125" i="27" s="1"/>
  <c r="X81" i="27"/>
  <c r="W82" i="27"/>
  <c r="X82" i="27" s="1"/>
  <c r="W211" i="27"/>
  <c r="X110" i="27"/>
  <c r="X212" i="27" s="1"/>
  <c r="X211" i="27"/>
  <c r="T12" i="27"/>
  <c r="T11" i="27"/>
  <c r="T10" i="27"/>
  <c r="T9" i="27"/>
  <c r="T8" i="27"/>
  <c r="T7" i="27"/>
  <c r="T5" i="27"/>
  <c r="T243" i="27"/>
  <c r="U243" i="27" s="1"/>
  <c r="Z226" i="27" l="1"/>
  <c r="Z229" i="27" s="1"/>
  <c r="Z2" i="27" s="1"/>
  <c r="Z252" i="27"/>
  <c r="AA216" i="27"/>
  <c r="AA217" i="27" s="1"/>
  <c r="AA224" i="27"/>
  <c r="AA252" i="27" s="1"/>
  <c r="AA253" i="27" s="1"/>
  <c r="Z216" i="27"/>
  <c r="Z217" i="27" s="1"/>
  <c r="X22" i="27"/>
  <c r="X209" i="27" s="1"/>
  <c r="X210" i="27"/>
  <c r="W198" i="27"/>
  <c r="W215" i="27" s="1"/>
  <c r="W222" i="27" s="1"/>
  <c r="W213" i="27"/>
  <c r="W221" i="27"/>
  <c r="W214" i="27"/>
  <c r="W126" i="27"/>
  <c r="X126" i="27" s="1"/>
  <c r="W210" i="27"/>
  <c r="W220" i="27"/>
  <c r="X213" i="27"/>
  <c r="X214" i="27"/>
  <c r="X221" i="27"/>
  <c r="T88" i="27"/>
  <c r="T248" i="27" s="1"/>
  <c r="U39" i="27"/>
  <c r="Z253" i="27" l="1"/>
  <c r="U248" i="27"/>
  <c r="U250" i="27" s="1"/>
  <c r="T250" i="27"/>
  <c r="X220" i="27"/>
  <c r="X198" i="27"/>
  <c r="X215" i="27" s="1"/>
  <c r="X222" i="27" s="1"/>
  <c r="W224" i="27"/>
  <c r="W202" i="27"/>
  <c r="X202" i="27" s="1"/>
  <c r="W216" i="27"/>
  <c r="W217" i="27" s="1"/>
  <c r="Q243" i="27"/>
  <c r="R243" i="27" s="1"/>
  <c r="U196" i="27"/>
  <c r="U195" i="27"/>
  <c r="U194" i="27"/>
  <c r="U193" i="27"/>
  <c r="U192" i="27"/>
  <c r="U191" i="27"/>
  <c r="U190" i="27"/>
  <c r="U188" i="27"/>
  <c r="U187" i="27"/>
  <c r="U186" i="27"/>
  <c r="U185" i="27"/>
  <c r="U184" i="27"/>
  <c r="U182" i="27"/>
  <c r="U181" i="27"/>
  <c r="U178" i="27"/>
  <c r="U176" i="27"/>
  <c r="U173" i="27"/>
  <c r="U171" i="27"/>
  <c r="U169" i="27"/>
  <c r="U167" i="27"/>
  <c r="U166" i="27"/>
  <c r="U165" i="27"/>
  <c r="U164" i="27"/>
  <c r="U163" i="27"/>
  <c r="U162" i="27"/>
  <c r="U161" i="27"/>
  <c r="U160" i="27"/>
  <c r="U159" i="27"/>
  <c r="U158" i="27"/>
  <c r="U157" i="27"/>
  <c r="U156" i="27"/>
  <c r="U155" i="27"/>
  <c r="U154" i="27"/>
  <c r="U152" i="27"/>
  <c r="U151" i="27"/>
  <c r="U150" i="27"/>
  <c r="U148" i="27"/>
  <c r="U147" i="27"/>
  <c r="U146" i="27"/>
  <c r="U145" i="27"/>
  <c r="U144" i="27"/>
  <c r="U143" i="27"/>
  <c r="U141" i="27"/>
  <c r="U140" i="27"/>
  <c r="U139" i="27"/>
  <c r="U138" i="27"/>
  <c r="U136" i="27"/>
  <c r="U133" i="27"/>
  <c r="U132" i="27"/>
  <c r="U131" i="27"/>
  <c r="U130" i="27"/>
  <c r="U124" i="27"/>
  <c r="U123" i="27"/>
  <c r="U122" i="27"/>
  <c r="U121" i="27"/>
  <c r="U120" i="27"/>
  <c r="U119" i="27"/>
  <c r="U118" i="27"/>
  <c r="U117" i="27"/>
  <c r="U116" i="27"/>
  <c r="U115" i="27"/>
  <c r="U114" i="27"/>
  <c r="U113" i="27"/>
  <c r="U112" i="27"/>
  <c r="U111" i="27"/>
  <c r="U109" i="27"/>
  <c r="U108" i="27"/>
  <c r="U107" i="27"/>
  <c r="U106" i="27"/>
  <c r="U105" i="27"/>
  <c r="U104" i="27"/>
  <c r="U103" i="27"/>
  <c r="U101" i="27"/>
  <c r="U100" i="27"/>
  <c r="U99" i="27"/>
  <c r="U98" i="27"/>
  <c r="U97" i="27"/>
  <c r="U96" i="27"/>
  <c r="U95" i="27"/>
  <c r="U93" i="27"/>
  <c r="U92" i="27"/>
  <c r="U91" i="27"/>
  <c r="U90" i="27"/>
  <c r="U88" i="27"/>
  <c r="U87" i="27"/>
  <c r="U85" i="27"/>
  <c r="U83" i="27"/>
  <c r="U81" i="27"/>
  <c r="U80" i="27"/>
  <c r="U79" i="27"/>
  <c r="U78" i="27"/>
  <c r="U74" i="27"/>
  <c r="U73" i="27"/>
  <c r="U72" i="27"/>
  <c r="U70" i="27"/>
  <c r="U69" i="27"/>
  <c r="U68" i="27"/>
  <c r="U67" i="27"/>
  <c r="U65" i="27"/>
  <c r="U64" i="27"/>
  <c r="U63" i="27"/>
  <c r="U62" i="27"/>
  <c r="U61" i="27"/>
  <c r="U58" i="27"/>
  <c r="U57" i="27"/>
  <c r="U56" i="27"/>
  <c r="U55" i="27"/>
  <c r="U54" i="27"/>
  <c r="U53" i="27"/>
  <c r="U52" i="27"/>
  <c r="U51" i="27"/>
  <c r="U50" i="27"/>
  <c r="U48" i="27"/>
  <c r="U47" i="27"/>
  <c r="U46" i="27"/>
  <c r="U45" i="27"/>
  <c r="U44" i="27"/>
  <c r="U43" i="27"/>
  <c r="U42" i="27"/>
  <c r="U41" i="27"/>
  <c r="U40" i="27"/>
  <c r="U38" i="27"/>
  <c r="U37" i="27"/>
  <c r="U36" i="27"/>
  <c r="U35" i="27"/>
  <c r="U34" i="27"/>
  <c r="U33" i="27"/>
  <c r="U32" i="27"/>
  <c r="U31" i="27"/>
  <c r="U30" i="27"/>
  <c r="U29" i="27"/>
  <c r="U28" i="27"/>
  <c r="U26" i="27"/>
  <c r="U25" i="27"/>
  <c r="U24" i="27"/>
  <c r="U23" i="27"/>
  <c r="U21" i="27"/>
  <c r="U20" i="27"/>
  <c r="U19" i="27"/>
  <c r="U18" i="27"/>
  <c r="U17" i="27"/>
  <c r="U16" i="27"/>
  <c r="U15" i="27"/>
  <c r="U14" i="27"/>
  <c r="U12" i="27"/>
  <c r="U11" i="27"/>
  <c r="U10" i="27"/>
  <c r="U9" i="27"/>
  <c r="U8" i="27"/>
  <c r="U7" i="27"/>
  <c r="U6" i="27"/>
  <c r="U5" i="27"/>
  <c r="T89" i="27"/>
  <c r="U89" i="27" s="1"/>
  <c r="T197" i="27"/>
  <c r="U197" i="27" s="1"/>
  <c r="T189" i="27"/>
  <c r="U189" i="27" s="1"/>
  <c r="T183" i="27"/>
  <c r="U183" i="27" s="1"/>
  <c r="T180" i="27"/>
  <c r="U180" i="27" s="1"/>
  <c r="T177" i="27"/>
  <c r="U177" i="27" s="1"/>
  <c r="T175" i="27"/>
  <c r="U175" i="27" s="1"/>
  <c r="T137" i="27"/>
  <c r="U137" i="27" s="1"/>
  <c r="T134" i="27"/>
  <c r="U134" i="27" s="1"/>
  <c r="T125" i="27"/>
  <c r="U125" i="27" s="1"/>
  <c r="T110" i="27"/>
  <c r="T212" i="27" s="1"/>
  <c r="T102" i="27"/>
  <c r="U102" i="27" s="1"/>
  <c r="T94" i="27"/>
  <c r="U94" i="27" s="1"/>
  <c r="T86" i="27"/>
  <c r="U86" i="27" s="1"/>
  <c r="T84" i="27"/>
  <c r="U84" i="27" s="1"/>
  <c r="T82" i="27"/>
  <c r="U82" i="27" s="1"/>
  <c r="T77" i="27"/>
  <c r="U77" i="27" s="1"/>
  <c r="T27" i="27"/>
  <c r="U27" i="27" s="1"/>
  <c r="T22" i="27"/>
  <c r="T209" i="27" s="1"/>
  <c r="T13" i="27"/>
  <c r="U13" i="27" s="1"/>
  <c r="Q12" i="27"/>
  <c r="R12" i="27" s="1"/>
  <c r="Q11" i="27"/>
  <c r="R11" i="27" s="1"/>
  <c r="Q10" i="27"/>
  <c r="R10" i="27" s="1"/>
  <c r="Q9" i="27"/>
  <c r="Q8" i="27"/>
  <c r="Q7" i="27"/>
  <c r="Q5" i="27"/>
  <c r="Q93" i="27"/>
  <c r="Q88" i="27"/>
  <c r="R88" i="27" s="1"/>
  <c r="R196" i="27"/>
  <c r="R195" i="27"/>
  <c r="R194" i="27"/>
  <c r="R193" i="27"/>
  <c r="R192" i="27"/>
  <c r="R191" i="27"/>
  <c r="R190" i="27"/>
  <c r="R188" i="27"/>
  <c r="R187" i="27"/>
  <c r="R186" i="27"/>
  <c r="R185" i="27"/>
  <c r="R184" i="27"/>
  <c r="R182" i="27"/>
  <c r="R181" i="27"/>
  <c r="R178" i="27"/>
  <c r="R176" i="27"/>
  <c r="R173" i="27"/>
  <c r="R171" i="27"/>
  <c r="R169" i="27"/>
  <c r="R167" i="27"/>
  <c r="R166" i="27"/>
  <c r="R165" i="27"/>
  <c r="R164" i="27"/>
  <c r="R163" i="27"/>
  <c r="R162" i="27"/>
  <c r="R161" i="27"/>
  <c r="R160" i="27"/>
  <c r="R159" i="27"/>
  <c r="R158" i="27"/>
  <c r="R157" i="27"/>
  <c r="R156" i="27"/>
  <c r="R155" i="27"/>
  <c r="R154" i="27"/>
  <c r="R152" i="27"/>
  <c r="R151" i="27"/>
  <c r="R150" i="27"/>
  <c r="R148" i="27"/>
  <c r="R147" i="27"/>
  <c r="R146" i="27"/>
  <c r="R145" i="27"/>
  <c r="R144" i="27"/>
  <c r="R143" i="27"/>
  <c r="R141" i="27"/>
  <c r="R140" i="27"/>
  <c r="R139" i="27"/>
  <c r="R138" i="27"/>
  <c r="R136" i="27"/>
  <c r="R133" i="27"/>
  <c r="R132" i="27"/>
  <c r="R131" i="27"/>
  <c r="R130" i="27"/>
  <c r="R124" i="27"/>
  <c r="R123" i="27"/>
  <c r="R122" i="27"/>
  <c r="R121" i="27"/>
  <c r="R120" i="27"/>
  <c r="R119" i="27"/>
  <c r="R118" i="27"/>
  <c r="R117" i="27"/>
  <c r="R116" i="27"/>
  <c r="R115" i="27"/>
  <c r="R114" i="27"/>
  <c r="R113" i="27"/>
  <c r="R112" i="27"/>
  <c r="R111" i="27"/>
  <c r="R109" i="27"/>
  <c r="R108" i="27"/>
  <c r="R107" i="27"/>
  <c r="R106" i="27"/>
  <c r="R105" i="27"/>
  <c r="R104" i="27"/>
  <c r="R103" i="27"/>
  <c r="R101" i="27"/>
  <c r="R100" i="27"/>
  <c r="R99" i="27"/>
  <c r="R98" i="27"/>
  <c r="R97" i="27"/>
  <c r="R96" i="27"/>
  <c r="R95" i="27"/>
  <c r="R92" i="27"/>
  <c r="R91" i="27"/>
  <c r="R90" i="27"/>
  <c r="R87" i="27"/>
  <c r="R85" i="27"/>
  <c r="R83" i="27"/>
  <c r="R81" i="27"/>
  <c r="R80" i="27"/>
  <c r="R79" i="27"/>
  <c r="R78" i="27"/>
  <c r="R74" i="27"/>
  <c r="R73" i="27"/>
  <c r="R72" i="27"/>
  <c r="R70" i="27"/>
  <c r="R69" i="27"/>
  <c r="R68" i="27"/>
  <c r="R67" i="27"/>
  <c r="R65" i="27"/>
  <c r="R64" i="27"/>
  <c r="R63" i="27"/>
  <c r="R62" i="27"/>
  <c r="R61" i="27"/>
  <c r="R58" i="27"/>
  <c r="R57" i="27"/>
  <c r="R56" i="27"/>
  <c r="R55" i="27"/>
  <c r="R54" i="27"/>
  <c r="R53" i="27"/>
  <c r="R52" i="27"/>
  <c r="R51" i="27"/>
  <c r="R50" i="27"/>
  <c r="R48" i="27"/>
  <c r="R47" i="27"/>
  <c r="R46" i="27"/>
  <c r="R45" i="27"/>
  <c r="R44" i="27"/>
  <c r="R43" i="27"/>
  <c r="R42" i="27"/>
  <c r="R41" i="27"/>
  <c r="R40" i="27"/>
  <c r="R38" i="27"/>
  <c r="R37" i="27"/>
  <c r="R36" i="27"/>
  <c r="R35" i="27"/>
  <c r="R34" i="27"/>
  <c r="R33" i="27"/>
  <c r="R32" i="27"/>
  <c r="R31" i="27"/>
  <c r="R30" i="27"/>
  <c r="R29" i="27"/>
  <c r="R28" i="27"/>
  <c r="R26" i="27"/>
  <c r="R25" i="27"/>
  <c r="R24" i="27"/>
  <c r="R23" i="27"/>
  <c r="R21" i="27"/>
  <c r="R20" i="27"/>
  <c r="R19" i="27"/>
  <c r="R18" i="27"/>
  <c r="R17" i="27"/>
  <c r="R16" i="27"/>
  <c r="R15" i="27"/>
  <c r="R14" i="27"/>
  <c r="R6" i="27"/>
  <c r="W226" i="27" l="1"/>
  <c r="W229" i="27" s="1"/>
  <c r="W2" i="27" s="1"/>
  <c r="W252" i="27"/>
  <c r="Q248" i="27"/>
  <c r="X224" i="27"/>
  <c r="X252" i="27" s="1"/>
  <c r="X253" i="27" s="1"/>
  <c r="X216" i="27"/>
  <c r="X217" i="27" s="1"/>
  <c r="AP39" i="27"/>
  <c r="AP49" i="27"/>
  <c r="U22" i="27"/>
  <c r="U209" i="27" s="1"/>
  <c r="U110" i="27"/>
  <c r="U212" i="27" s="1"/>
  <c r="U211" i="27"/>
  <c r="T198" i="27"/>
  <c r="T215" i="27" s="1"/>
  <c r="T222" i="27" s="1"/>
  <c r="T211" i="27"/>
  <c r="T210" i="27"/>
  <c r="T214" i="27"/>
  <c r="T221" i="27"/>
  <c r="U213" i="27"/>
  <c r="T126" i="27"/>
  <c r="U126" i="27" s="1"/>
  <c r="U210" i="27"/>
  <c r="T220" i="27"/>
  <c r="T213" i="27"/>
  <c r="AP145" i="27"/>
  <c r="AP159" i="27"/>
  <c r="AP146" i="27"/>
  <c r="AP155" i="27"/>
  <c r="R93" i="27"/>
  <c r="R9" i="27"/>
  <c r="R8" i="27"/>
  <c r="R7" i="27"/>
  <c r="R5" i="27"/>
  <c r="Q86" i="27"/>
  <c r="R86" i="27" s="1"/>
  <c r="AP161" i="27"/>
  <c r="Q197" i="27"/>
  <c r="R197" i="27" s="1"/>
  <c r="Q189" i="27"/>
  <c r="R189" i="27" s="1"/>
  <c r="Q183" i="27"/>
  <c r="R183" i="27" s="1"/>
  <c r="Q180" i="27"/>
  <c r="R180" i="27" s="1"/>
  <c r="Q177" i="27"/>
  <c r="R177" i="27" s="1"/>
  <c r="Q175" i="27"/>
  <c r="R175" i="27" s="1"/>
  <c r="Q137" i="27"/>
  <c r="R137" i="27" s="1"/>
  <c r="Q134" i="27"/>
  <c r="R134" i="27" s="1"/>
  <c r="E235" i="27"/>
  <c r="E239" i="27"/>
  <c r="E242" i="27"/>
  <c r="E241" i="27"/>
  <c r="E240" i="27"/>
  <c r="E238" i="27"/>
  <c r="W253" i="27" l="1"/>
  <c r="R248" i="27"/>
  <c r="R250" i="27" s="1"/>
  <c r="Q250" i="27"/>
  <c r="U198" i="27"/>
  <c r="U215" i="27" s="1"/>
  <c r="U222" i="27" s="1"/>
  <c r="T216" i="27"/>
  <c r="T217" i="27" s="1"/>
  <c r="U220" i="27"/>
  <c r="U214" i="27"/>
  <c r="U221" i="27"/>
  <c r="T224" i="27"/>
  <c r="T252" i="27" s="1"/>
  <c r="T202" i="27"/>
  <c r="AP154" i="27"/>
  <c r="AP152" i="27"/>
  <c r="AP194" i="27"/>
  <c r="AP150" i="27"/>
  <c r="AP163" i="27"/>
  <c r="AP156" i="27"/>
  <c r="AP143" i="27"/>
  <c r="AP157" i="27"/>
  <c r="AP144" i="27"/>
  <c r="AP158" i="27"/>
  <c r="AP148" i="27"/>
  <c r="AP162" i="27"/>
  <c r="AP151" i="27"/>
  <c r="AP195" i="27"/>
  <c r="AP147" i="27"/>
  <c r="AP160" i="27"/>
  <c r="Q198" i="27"/>
  <c r="Q27" i="27"/>
  <c r="R27" i="27" s="1"/>
  <c r="Q89" i="27"/>
  <c r="R89" i="27" s="1"/>
  <c r="Q110" i="27"/>
  <c r="Q125" i="27"/>
  <c r="R125" i="27" s="1"/>
  <c r="Q77" i="27"/>
  <c r="Q84" i="27"/>
  <c r="R84" i="27" s="1"/>
  <c r="Q82" i="27"/>
  <c r="R82" i="27" s="1"/>
  <c r="Q102" i="27"/>
  <c r="Q22" i="27"/>
  <c r="R22" i="27" s="1"/>
  <c r="Q13" i="27"/>
  <c r="R13" i="27" s="1"/>
  <c r="E243" i="27"/>
  <c r="N242" i="27"/>
  <c r="N241" i="27"/>
  <c r="N240" i="27"/>
  <c r="N239" i="27"/>
  <c r="N238" i="27"/>
  <c r="N237" i="27"/>
  <c r="N235" i="27"/>
  <c r="K242" i="27"/>
  <c r="K241" i="27"/>
  <c r="K240" i="27"/>
  <c r="K239" i="27"/>
  <c r="AO239" i="27" s="1"/>
  <c r="K238" i="27"/>
  <c r="K237" i="27"/>
  <c r="K235" i="27"/>
  <c r="H242" i="27"/>
  <c r="AO242" i="27" s="1"/>
  <c r="H241" i="27"/>
  <c r="AO241" i="27" s="1"/>
  <c r="H240" i="27"/>
  <c r="AO240" i="27" s="1"/>
  <c r="H239" i="27"/>
  <c r="H238" i="27"/>
  <c r="AO238" i="27" s="1"/>
  <c r="H237" i="27"/>
  <c r="H235" i="27"/>
  <c r="AO235" i="27" s="1"/>
  <c r="AO237" i="27" l="1"/>
  <c r="F243" i="27"/>
  <c r="T253" i="27"/>
  <c r="R77" i="27"/>
  <c r="R213" i="27" s="1"/>
  <c r="T226" i="27"/>
  <c r="T229" i="27" s="1"/>
  <c r="U202" i="27"/>
  <c r="U224" i="27"/>
  <c r="U252" i="27" s="1"/>
  <c r="U253" i="27" s="1"/>
  <c r="U216" i="27"/>
  <c r="U217" i="27" s="1"/>
  <c r="Q211" i="27"/>
  <c r="R102" i="27"/>
  <c r="R211" i="27" s="1"/>
  <c r="R110" i="27"/>
  <c r="R212" i="27" s="1"/>
  <c r="Q215" i="27"/>
  <c r="Q222" i="27" s="1"/>
  <c r="R198" i="27"/>
  <c r="R215" i="27" s="1"/>
  <c r="R222" i="27" s="1"/>
  <c r="Q214" i="27"/>
  <c r="Q213" i="27"/>
  <c r="Q212" i="27"/>
  <c r="Q221" i="27"/>
  <c r="Q94" i="27"/>
  <c r="Q220" i="27" s="1"/>
  <c r="Q209" i="27"/>
  <c r="R214" i="27"/>
  <c r="K243" i="27"/>
  <c r="H243" i="27"/>
  <c r="I243" i="27" s="1"/>
  <c r="N243" i="27"/>
  <c r="O243" i="27" s="1"/>
  <c r="N12" i="27"/>
  <c r="N11" i="27"/>
  <c r="N10" i="27"/>
  <c r="N9" i="27"/>
  <c r="N8" i="27"/>
  <c r="N7" i="27"/>
  <c r="N5" i="27"/>
  <c r="AO243" i="27" l="1"/>
  <c r="AP243" i="27" s="1"/>
  <c r="L243" i="27"/>
  <c r="O5" i="27"/>
  <c r="T2" i="27"/>
  <c r="Q210" i="27"/>
  <c r="Q216" i="27" s="1"/>
  <c r="Q217" i="27" s="1"/>
  <c r="R94" i="27"/>
  <c r="Q224" i="27"/>
  <c r="Q126" i="27"/>
  <c r="R126" i="27" s="1"/>
  <c r="R209" i="27"/>
  <c r="R221" i="27"/>
  <c r="AP6" i="27"/>
  <c r="O196" i="27"/>
  <c r="O194" i="27"/>
  <c r="O193" i="27"/>
  <c r="O192" i="27"/>
  <c r="O191" i="27"/>
  <c r="O190" i="27"/>
  <c r="O188" i="27"/>
  <c r="O187" i="27"/>
  <c r="O186" i="27"/>
  <c r="O185" i="27"/>
  <c r="O184" i="27"/>
  <c r="O182" i="27"/>
  <c r="O181" i="27"/>
  <c r="O178" i="27"/>
  <c r="O176" i="27"/>
  <c r="O173" i="27"/>
  <c r="O171" i="27"/>
  <c r="O169" i="27"/>
  <c r="O167" i="27"/>
  <c r="O166" i="27"/>
  <c r="O165" i="27"/>
  <c r="O164" i="27"/>
  <c r="O163" i="27"/>
  <c r="O162" i="27"/>
  <c r="O160" i="27"/>
  <c r="O159" i="27"/>
  <c r="O158" i="27"/>
  <c r="O157" i="27"/>
  <c r="O156" i="27"/>
  <c r="O155" i="27"/>
  <c r="O154" i="27"/>
  <c r="O152" i="27"/>
  <c r="O151" i="27"/>
  <c r="O150" i="27"/>
  <c r="O148" i="27"/>
  <c r="O147" i="27"/>
  <c r="O146" i="27"/>
  <c r="O145" i="27"/>
  <c r="O144" i="27"/>
  <c r="O143" i="27"/>
  <c r="O141" i="27"/>
  <c r="O140" i="27"/>
  <c r="O139" i="27"/>
  <c r="O138" i="27"/>
  <c r="O136" i="27"/>
  <c r="O133" i="27"/>
  <c r="O132" i="27"/>
  <c r="O131" i="27"/>
  <c r="O130" i="27"/>
  <c r="O124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09" i="27"/>
  <c r="O108" i="27"/>
  <c r="O107" i="27"/>
  <c r="O106" i="27"/>
  <c r="O105" i="27"/>
  <c r="O104" i="27"/>
  <c r="O103" i="27"/>
  <c r="O101" i="27"/>
  <c r="O100" i="27"/>
  <c r="O99" i="27"/>
  <c r="O98" i="27"/>
  <c r="O97" i="27"/>
  <c r="O96" i="27"/>
  <c r="O95" i="27"/>
  <c r="O93" i="27"/>
  <c r="O92" i="27"/>
  <c r="O91" i="27"/>
  <c r="O90" i="27"/>
  <c r="O87" i="27"/>
  <c r="O85" i="27"/>
  <c r="O83" i="27"/>
  <c r="O81" i="27"/>
  <c r="O80" i="27"/>
  <c r="O79" i="27"/>
  <c r="O78" i="27"/>
  <c r="O74" i="27"/>
  <c r="O73" i="27"/>
  <c r="O72" i="27"/>
  <c r="O70" i="27"/>
  <c r="O69" i="27"/>
  <c r="O68" i="27"/>
  <c r="O67" i="27"/>
  <c r="O65" i="27"/>
  <c r="O64" i="27"/>
  <c r="O63" i="27"/>
  <c r="O62" i="27"/>
  <c r="O61" i="27"/>
  <c r="O58" i="27"/>
  <c r="O57" i="27"/>
  <c r="O56" i="27"/>
  <c r="O55" i="27"/>
  <c r="O54" i="27"/>
  <c r="O53" i="27"/>
  <c r="O52" i="27"/>
  <c r="O51" i="27"/>
  <c r="O50" i="27"/>
  <c r="O48" i="27"/>
  <c r="O47" i="27"/>
  <c r="O46" i="27"/>
  <c r="O45" i="27"/>
  <c r="O44" i="27"/>
  <c r="O43" i="27"/>
  <c r="O42" i="27"/>
  <c r="O41" i="27"/>
  <c r="O40" i="27"/>
  <c r="O38" i="27"/>
  <c r="O37" i="27"/>
  <c r="O36" i="27"/>
  <c r="O35" i="27"/>
  <c r="O34" i="27"/>
  <c r="O33" i="27"/>
  <c r="O32" i="27"/>
  <c r="O31" i="27"/>
  <c r="O30" i="27"/>
  <c r="O29" i="27"/>
  <c r="O28" i="27"/>
  <c r="O26" i="27"/>
  <c r="O25" i="27"/>
  <c r="O24" i="27"/>
  <c r="O23" i="27"/>
  <c r="O21" i="27"/>
  <c r="O20" i="27"/>
  <c r="O19" i="27"/>
  <c r="O18" i="27"/>
  <c r="O17" i="27"/>
  <c r="O16" i="27"/>
  <c r="O15" i="27"/>
  <c r="O14" i="27"/>
  <c r="O12" i="27"/>
  <c r="O11" i="27"/>
  <c r="O10" i="27"/>
  <c r="O9" i="27"/>
  <c r="O8" i="27"/>
  <c r="O7" i="27"/>
  <c r="O6" i="27"/>
  <c r="N123" i="27"/>
  <c r="O123" i="27" s="1"/>
  <c r="N89" i="27"/>
  <c r="O89" i="27" s="1"/>
  <c r="N13" i="27"/>
  <c r="O13" i="27" s="1"/>
  <c r="N197" i="27"/>
  <c r="O197" i="27" s="1"/>
  <c r="N189" i="27"/>
  <c r="O189" i="27" s="1"/>
  <c r="N183" i="27"/>
  <c r="O183" i="27" s="1"/>
  <c r="N180" i="27"/>
  <c r="O180" i="27" s="1"/>
  <c r="N177" i="27"/>
  <c r="O177" i="27" s="1"/>
  <c r="N175" i="27"/>
  <c r="O175" i="27" s="1"/>
  <c r="N137" i="27"/>
  <c r="O137" i="27" s="1"/>
  <c r="N134" i="27"/>
  <c r="N102" i="27"/>
  <c r="O102" i="27" s="1"/>
  <c r="N94" i="27"/>
  <c r="O94" i="27" s="1"/>
  <c r="N86" i="27"/>
  <c r="O86" i="27" s="1"/>
  <c r="N84" i="27"/>
  <c r="O84" i="27" s="1"/>
  <c r="N82" i="27"/>
  <c r="O82" i="27" s="1"/>
  <c r="N77" i="27"/>
  <c r="O77" i="27" s="1"/>
  <c r="N27" i="27"/>
  <c r="O27" i="27" s="1"/>
  <c r="N22" i="27"/>
  <c r="N209" i="27" s="1"/>
  <c r="H11" i="27"/>
  <c r="Q226" i="27" l="1"/>
  <c r="Q229" i="27" s="1"/>
  <c r="Q2" i="27" s="1"/>
  <c r="Q252" i="27"/>
  <c r="N248" i="27"/>
  <c r="Q202" i="27"/>
  <c r="R210" i="27"/>
  <c r="R216" i="27" s="1"/>
  <c r="R217" i="27" s="1"/>
  <c r="R220" i="27"/>
  <c r="R224" i="27" s="1"/>
  <c r="R252" i="27" s="1"/>
  <c r="R253" i="27" s="1"/>
  <c r="O134" i="27"/>
  <c r="N198" i="27"/>
  <c r="O88" i="27"/>
  <c r="O22" i="27"/>
  <c r="N125" i="27"/>
  <c r="O125" i="27" s="1"/>
  <c r="N210" i="27"/>
  <c r="O211" i="27"/>
  <c r="N211" i="27"/>
  <c r="O210" i="27"/>
  <c r="N214" i="27"/>
  <c r="N220" i="27"/>
  <c r="N110" i="27"/>
  <c r="O110" i="27" s="1"/>
  <c r="K104" i="27"/>
  <c r="AO104" i="27" s="1"/>
  <c r="K101" i="27"/>
  <c r="AO101" i="27" s="1"/>
  <c r="K12" i="27"/>
  <c r="K11" i="27"/>
  <c r="AO11" i="27" s="1"/>
  <c r="K10" i="27"/>
  <c r="K9" i="27"/>
  <c r="K8" i="27"/>
  <c r="K7" i="27"/>
  <c r="K5" i="27"/>
  <c r="R202" i="27" l="1"/>
  <c r="Q253" i="27"/>
  <c r="O248" i="27"/>
  <c r="O250" i="27" s="1"/>
  <c r="N250" i="27"/>
  <c r="N213" i="27"/>
  <c r="O198" i="27"/>
  <c r="O215" i="27" s="1"/>
  <c r="O222" i="27" s="1"/>
  <c r="O213" i="27"/>
  <c r="N215" i="27"/>
  <c r="N222" i="27" s="1"/>
  <c r="N212" i="27"/>
  <c r="O212" i="27"/>
  <c r="N126" i="27"/>
  <c r="O126" i="27" s="1"/>
  <c r="N221" i="27"/>
  <c r="O209" i="27"/>
  <c r="O220" i="27"/>
  <c r="O214" i="27"/>
  <c r="AP185" i="27"/>
  <c r="AP173" i="27"/>
  <c r="AP169" i="27"/>
  <c r="AP167" i="27"/>
  <c r="AP166" i="27"/>
  <c r="AP165" i="27"/>
  <c r="AP164" i="27"/>
  <c r="AP141" i="27"/>
  <c r="AP140" i="27"/>
  <c r="AP139" i="27"/>
  <c r="L196" i="27"/>
  <c r="L194" i="27"/>
  <c r="L193" i="27"/>
  <c r="L192" i="27"/>
  <c r="L191" i="27"/>
  <c r="L190" i="27"/>
  <c r="L188" i="27"/>
  <c r="L187" i="27"/>
  <c r="L186" i="27"/>
  <c r="L185" i="27"/>
  <c r="L184" i="27"/>
  <c r="L182" i="27"/>
  <c r="L181" i="27"/>
  <c r="L178" i="27"/>
  <c r="L176" i="27"/>
  <c r="L173" i="27"/>
  <c r="L171" i="27"/>
  <c r="L169" i="27"/>
  <c r="L167" i="27"/>
  <c r="L166" i="27"/>
  <c r="L165" i="27"/>
  <c r="L164" i="27"/>
  <c r="L163" i="27"/>
  <c r="L162" i="27"/>
  <c r="L160" i="27"/>
  <c r="L159" i="27"/>
  <c r="L158" i="27"/>
  <c r="L157" i="27"/>
  <c r="L156" i="27"/>
  <c r="L155" i="27"/>
  <c r="L154" i="27"/>
  <c r="L151" i="27"/>
  <c r="L150" i="27"/>
  <c r="L148" i="27"/>
  <c r="L147" i="27"/>
  <c r="L146" i="27"/>
  <c r="L145" i="27"/>
  <c r="L144" i="27"/>
  <c r="L143" i="27"/>
  <c r="L141" i="27"/>
  <c r="L140" i="27"/>
  <c r="L139" i="27"/>
  <c r="L138" i="27"/>
  <c r="L136" i="27"/>
  <c r="L133" i="27"/>
  <c r="L132" i="27"/>
  <c r="L131" i="27"/>
  <c r="L130" i="27"/>
  <c r="K123" i="27"/>
  <c r="AO123" i="27" s="1"/>
  <c r="K93" i="27"/>
  <c r="K88" i="27" s="1"/>
  <c r="K248" i="27" l="1"/>
  <c r="L248" i="27" s="1"/>
  <c r="L250" i="27" s="1"/>
  <c r="O216" i="27"/>
  <c r="O217" i="27" s="1"/>
  <c r="N216" i="27"/>
  <c r="N217" i="27" s="1"/>
  <c r="N224" i="27"/>
  <c r="O221" i="27"/>
  <c r="O224" i="27" s="1"/>
  <c r="O252" i="27" s="1"/>
  <c r="O253" i="27" s="1"/>
  <c r="N202" i="27"/>
  <c r="AP171" i="27"/>
  <c r="K94" i="27"/>
  <c r="K77" i="27"/>
  <c r="K250" i="27" l="1"/>
  <c r="N226" i="27"/>
  <c r="N229" i="27" s="1"/>
  <c r="N252" i="27"/>
  <c r="O202" i="27"/>
  <c r="L124" i="27"/>
  <c r="L123" i="27"/>
  <c r="L122" i="27"/>
  <c r="L121" i="27"/>
  <c r="L120" i="27"/>
  <c r="L119" i="27"/>
  <c r="L118" i="27"/>
  <c r="L117" i="27"/>
  <c r="L116" i="27"/>
  <c r="L115" i="27"/>
  <c r="L114" i="27"/>
  <c r="L113" i="27"/>
  <c r="L112" i="27"/>
  <c r="L111" i="27"/>
  <c r="L109" i="27"/>
  <c r="L108" i="27"/>
  <c r="L107" i="27"/>
  <c r="L106" i="27"/>
  <c r="L105" i="27"/>
  <c r="L104" i="27"/>
  <c r="L103" i="27"/>
  <c r="L101" i="27"/>
  <c r="L100" i="27"/>
  <c r="L99" i="27"/>
  <c r="L98" i="27"/>
  <c r="L97" i="27"/>
  <c r="L96" i="27"/>
  <c r="L95" i="27"/>
  <c r="L93" i="27"/>
  <c r="L92" i="27"/>
  <c r="L91" i="27"/>
  <c r="L90" i="27"/>
  <c r="L88" i="27"/>
  <c r="L87" i="27"/>
  <c r="L85" i="27"/>
  <c r="L83" i="27"/>
  <c r="L81" i="27"/>
  <c r="L80" i="27"/>
  <c r="L79" i="27"/>
  <c r="L78" i="27"/>
  <c r="L74" i="27"/>
  <c r="L73" i="27"/>
  <c r="L72" i="27"/>
  <c r="L70" i="27"/>
  <c r="L69" i="27"/>
  <c r="L68" i="27"/>
  <c r="L67" i="27"/>
  <c r="L65" i="27"/>
  <c r="L64" i="27"/>
  <c r="L63" i="27"/>
  <c r="L62" i="27"/>
  <c r="L61" i="27"/>
  <c r="L58" i="27"/>
  <c r="L57" i="27"/>
  <c r="L56" i="27"/>
  <c r="L55" i="27"/>
  <c r="L54" i="27"/>
  <c r="L53" i="27"/>
  <c r="L52" i="27"/>
  <c r="L51" i="27"/>
  <c r="L50" i="27"/>
  <c r="L48" i="27"/>
  <c r="L47" i="27"/>
  <c r="L46" i="27"/>
  <c r="L45" i="27"/>
  <c r="L44" i="27"/>
  <c r="L43" i="27"/>
  <c r="L42" i="27"/>
  <c r="L41" i="27"/>
  <c r="L40" i="27"/>
  <c r="L38" i="27"/>
  <c r="L37" i="27"/>
  <c r="L36" i="27"/>
  <c r="L35" i="27"/>
  <c r="L34" i="27"/>
  <c r="L33" i="27"/>
  <c r="L32" i="27"/>
  <c r="L31" i="27"/>
  <c r="L30" i="27"/>
  <c r="L29" i="27"/>
  <c r="L28" i="27"/>
  <c r="L26" i="27"/>
  <c r="L25" i="27"/>
  <c r="L24" i="27"/>
  <c r="L23" i="27"/>
  <c r="L21" i="27"/>
  <c r="L20" i="27"/>
  <c r="L19" i="27"/>
  <c r="L18" i="27"/>
  <c r="L17" i="27"/>
  <c r="L16" i="27"/>
  <c r="L15" i="27"/>
  <c r="L14" i="27"/>
  <c r="L12" i="27"/>
  <c r="L11" i="27"/>
  <c r="L10" i="27"/>
  <c r="L9" i="27"/>
  <c r="L8" i="27"/>
  <c r="L7" i="27"/>
  <c r="L6" i="27"/>
  <c r="L5" i="27"/>
  <c r="N253" i="27" l="1"/>
  <c r="K197" i="27"/>
  <c r="L197" i="27" s="1"/>
  <c r="K189" i="27"/>
  <c r="L189" i="27" s="1"/>
  <c r="K183" i="27"/>
  <c r="L183" i="27" s="1"/>
  <c r="K180" i="27"/>
  <c r="L180" i="27" s="1"/>
  <c r="K177" i="27"/>
  <c r="L177" i="27" s="1"/>
  <c r="K175" i="27"/>
  <c r="L175" i="27" s="1"/>
  <c r="K137" i="27"/>
  <c r="L137" i="27" s="1"/>
  <c r="K134" i="27"/>
  <c r="L134" i="27" s="1"/>
  <c r="K125" i="27"/>
  <c r="K110" i="27"/>
  <c r="K102" i="27"/>
  <c r="K86" i="27"/>
  <c r="L86" i="27" s="1"/>
  <c r="K84" i="27"/>
  <c r="L84" i="27" s="1"/>
  <c r="K82" i="27"/>
  <c r="L82" i="27" s="1"/>
  <c r="L77" i="27"/>
  <c r="K27" i="27"/>
  <c r="L27" i="27" s="1"/>
  <c r="K22" i="27"/>
  <c r="K209" i="27" s="1"/>
  <c r="BA165" i="31"/>
  <c r="BA164" i="31"/>
  <c r="BA163" i="31"/>
  <c r="BA162" i="31"/>
  <c r="BA161" i="31"/>
  <c r="BA160" i="31"/>
  <c r="BA159" i="31"/>
  <c r="BA158" i="31"/>
  <c r="BA157" i="31"/>
  <c r="BA156" i="31"/>
  <c r="BA155" i="31"/>
  <c r="BA154" i="31"/>
  <c r="BA153" i="31"/>
  <c r="BA152" i="31"/>
  <c r="BA151" i="31"/>
  <c r="BA150" i="31"/>
  <c r="BA149" i="31"/>
  <c r="BA148" i="31"/>
  <c r="BA147" i="31"/>
  <c r="BA146" i="31"/>
  <c r="BA145" i="31"/>
  <c r="BA144" i="31"/>
  <c r="BA143" i="31"/>
  <c r="BA142" i="31"/>
  <c r="BA141" i="31"/>
  <c r="BA140" i="31"/>
  <c r="BA139" i="31"/>
  <c r="BA138" i="31"/>
  <c r="BA137" i="31"/>
  <c r="BA136" i="31"/>
  <c r="BA135" i="31"/>
  <c r="BA134" i="31"/>
  <c r="BA133" i="31"/>
  <c r="BA132" i="31"/>
  <c r="BA131" i="31"/>
  <c r="BA130" i="31"/>
  <c r="BA129" i="31"/>
  <c r="BA128" i="31"/>
  <c r="BA127" i="31"/>
  <c r="BA126" i="31"/>
  <c r="BA125" i="31"/>
  <c r="BA124" i="31"/>
  <c r="BA123" i="31"/>
  <c r="BA122" i="31"/>
  <c r="BA121" i="31"/>
  <c r="BA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20" i="31"/>
  <c r="AW166" i="31"/>
  <c r="AW190" i="31" s="1"/>
  <c r="AS166" i="31"/>
  <c r="AO166" i="31"/>
  <c r="AO190" i="31" s="1"/>
  <c r="AK166" i="31"/>
  <c r="AG166" i="31"/>
  <c r="AC166" i="31"/>
  <c r="Y166" i="31"/>
  <c r="U166" i="31"/>
  <c r="Q166" i="31"/>
  <c r="M166" i="31"/>
  <c r="I166" i="31"/>
  <c r="E166" i="31"/>
  <c r="F166" i="31" s="1"/>
  <c r="E94" i="27"/>
  <c r="E89" i="27" l="1"/>
  <c r="E248" i="27"/>
  <c r="I190" i="31"/>
  <c r="U190" i="31"/>
  <c r="L125" i="27"/>
  <c r="L22" i="27"/>
  <c r="L209" i="27" s="1"/>
  <c r="K212" i="27"/>
  <c r="L110" i="27"/>
  <c r="L212" i="27" s="1"/>
  <c r="K211" i="27"/>
  <c r="L102" i="27"/>
  <c r="L211" i="27" s="1"/>
  <c r="K13" i="27"/>
  <c r="L13" i="27" s="1"/>
  <c r="L94" i="27"/>
  <c r="K89" i="27"/>
  <c r="L89" i="27" s="1"/>
  <c r="K198" i="27"/>
  <c r="L198" i="27" s="1"/>
  <c r="F93" i="27"/>
  <c r="AS190" i="31"/>
  <c r="AK190" i="31"/>
  <c r="AG190" i="31"/>
  <c r="AC190" i="31"/>
  <c r="Y190" i="31"/>
  <c r="Q190" i="31"/>
  <c r="M190" i="31"/>
  <c r="F190" i="31"/>
  <c r="E190" i="31"/>
  <c r="BA166" i="31"/>
  <c r="H88" i="27"/>
  <c r="AO88" i="27" s="1"/>
  <c r="H93" i="27" l="1"/>
  <c r="AO93" i="27" s="1"/>
  <c r="F248" i="27"/>
  <c r="F250" i="27" s="1"/>
  <c r="E250" i="27"/>
  <c r="K126" i="27"/>
  <c r="L126" i="27" s="1"/>
  <c r="K213" i="27"/>
  <c r="K214" i="27"/>
  <c r="L213" i="27"/>
  <c r="K210" i="27"/>
  <c r="K220" i="27"/>
  <c r="L221" i="27"/>
  <c r="L214" i="27"/>
  <c r="L215" i="27"/>
  <c r="L222" i="27" s="1"/>
  <c r="K215" i="27"/>
  <c r="K222" i="27" s="1"/>
  <c r="K221" i="27"/>
  <c r="H12" i="27"/>
  <c r="AO12" i="27" s="1"/>
  <c r="H10" i="27"/>
  <c r="AO10" i="27" s="1"/>
  <c r="H7" i="27"/>
  <c r="AO7" i="27" s="1"/>
  <c r="H9" i="27"/>
  <c r="AO9" i="27" s="1"/>
  <c r="H8" i="27"/>
  <c r="AO8" i="27" s="1"/>
  <c r="H5" i="27"/>
  <c r="AO5" i="27" l="1"/>
  <c r="AO13" i="27" s="1"/>
  <c r="AP13" i="27" s="1"/>
  <c r="H248" i="27"/>
  <c r="AO248" i="27" s="1"/>
  <c r="AP248" i="27" s="1"/>
  <c r="AP8" i="27"/>
  <c r="I93" i="27"/>
  <c r="H94" i="27"/>
  <c r="K202" i="27"/>
  <c r="K216" i="27"/>
  <c r="K217" i="27" s="1"/>
  <c r="L220" i="27"/>
  <c r="L224" i="27" s="1"/>
  <c r="L252" i="27" s="1"/>
  <c r="L253" i="27" s="1"/>
  <c r="L210" i="27"/>
  <c r="L216" i="27" s="1"/>
  <c r="L217" i="27" s="1"/>
  <c r="K224" i="27"/>
  <c r="AP93" i="27"/>
  <c r="I196" i="27"/>
  <c r="I194" i="27"/>
  <c r="I193" i="27"/>
  <c r="I192" i="27"/>
  <c r="I191" i="27"/>
  <c r="I190" i="27"/>
  <c r="I188" i="27"/>
  <c r="I187" i="27"/>
  <c r="I186" i="27"/>
  <c r="I185" i="27"/>
  <c r="I184" i="27"/>
  <c r="I182" i="27"/>
  <c r="I181" i="27"/>
  <c r="I178" i="27"/>
  <c r="I176" i="27"/>
  <c r="I173" i="27"/>
  <c r="I171" i="27"/>
  <c r="I169" i="27"/>
  <c r="I167" i="27"/>
  <c r="I166" i="27"/>
  <c r="I165" i="27"/>
  <c r="I164" i="27"/>
  <c r="I162" i="27"/>
  <c r="I160" i="27"/>
  <c r="I159" i="27"/>
  <c r="I158" i="27"/>
  <c r="I156" i="27"/>
  <c r="I154" i="27"/>
  <c r="I151" i="27"/>
  <c r="I150" i="27"/>
  <c r="I148" i="27"/>
  <c r="I146" i="27"/>
  <c r="I145" i="27"/>
  <c r="I144" i="27"/>
  <c r="I143" i="27"/>
  <c r="I141" i="27"/>
  <c r="I140" i="27"/>
  <c r="I139" i="27"/>
  <c r="I138" i="27"/>
  <c r="I136" i="27"/>
  <c r="I133" i="27"/>
  <c r="I132" i="27"/>
  <c r="I131" i="27"/>
  <c r="I130" i="27"/>
  <c r="I124" i="27"/>
  <c r="I123" i="27"/>
  <c r="I122" i="27"/>
  <c r="I121" i="27"/>
  <c r="I120" i="27"/>
  <c r="I119" i="27"/>
  <c r="I118" i="27"/>
  <c r="I117" i="27"/>
  <c r="I116" i="27"/>
  <c r="I115" i="27"/>
  <c r="I114" i="27"/>
  <c r="I113" i="27"/>
  <c r="I112" i="27"/>
  <c r="I111" i="27"/>
  <c r="I109" i="27"/>
  <c r="I108" i="27"/>
  <c r="I107" i="27"/>
  <c r="I106" i="27"/>
  <c r="I105" i="27"/>
  <c r="I104" i="27"/>
  <c r="I103" i="27"/>
  <c r="I101" i="27"/>
  <c r="I100" i="27"/>
  <c r="I99" i="27"/>
  <c r="I98" i="27"/>
  <c r="I97" i="27"/>
  <c r="I96" i="27"/>
  <c r="I95" i="27"/>
  <c r="I92" i="27"/>
  <c r="I91" i="27"/>
  <c r="I90" i="27"/>
  <c r="I88" i="27"/>
  <c r="I87" i="27"/>
  <c r="I85" i="27"/>
  <c r="I83" i="27"/>
  <c r="I81" i="27"/>
  <c r="I80" i="27"/>
  <c r="I79" i="27"/>
  <c r="I78" i="27"/>
  <c r="I74" i="27"/>
  <c r="I73" i="27"/>
  <c r="I72" i="27"/>
  <c r="I70" i="27"/>
  <c r="I69" i="27"/>
  <c r="I68" i="27"/>
  <c r="I67" i="27"/>
  <c r="I65" i="27"/>
  <c r="I64" i="27"/>
  <c r="I63" i="27"/>
  <c r="I62" i="27"/>
  <c r="I61" i="27"/>
  <c r="I58" i="27"/>
  <c r="I57" i="27"/>
  <c r="I56" i="27"/>
  <c r="I55" i="27"/>
  <c r="I54" i="27"/>
  <c r="I53" i="27"/>
  <c r="I52" i="27"/>
  <c r="I51" i="27"/>
  <c r="I50" i="27"/>
  <c r="I48" i="27"/>
  <c r="I47" i="27"/>
  <c r="I46" i="27"/>
  <c r="I45" i="27"/>
  <c r="I44" i="27"/>
  <c r="I43" i="27"/>
  <c r="I42" i="27"/>
  <c r="I41" i="27"/>
  <c r="I40" i="27"/>
  <c r="I38" i="27"/>
  <c r="I37" i="27"/>
  <c r="I36" i="27"/>
  <c r="I35" i="27"/>
  <c r="I34" i="27"/>
  <c r="I33" i="27"/>
  <c r="I32" i="27"/>
  <c r="I31" i="27"/>
  <c r="I30" i="27"/>
  <c r="I29" i="27"/>
  <c r="I28" i="27"/>
  <c r="I26" i="27"/>
  <c r="I25" i="27"/>
  <c r="I24" i="27"/>
  <c r="I23" i="27"/>
  <c r="I21" i="27"/>
  <c r="I20" i="27"/>
  <c r="I19" i="27"/>
  <c r="I18" i="27"/>
  <c r="I17" i="27"/>
  <c r="I16" i="27"/>
  <c r="I15" i="27"/>
  <c r="I14" i="27"/>
  <c r="I12" i="27"/>
  <c r="I11" i="27"/>
  <c r="I10" i="27"/>
  <c r="I9" i="27"/>
  <c r="I8" i="27"/>
  <c r="I7" i="27"/>
  <c r="I6" i="27"/>
  <c r="I5" i="27"/>
  <c r="AP187" i="27"/>
  <c r="AP136" i="27"/>
  <c r="H197" i="27"/>
  <c r="H189" i="27"/>
  <c r="I189" i="27" s="1"/>
  <c r="H183" i="27"/>
  <c r="I183" i="27" s="1"/>
  <c r="H180" i="27"/>
  <c r="I180" i="27" s="1"/>
  <c r="H177" i="27"/>
  <c r="I177" i="27" s="1"/>
  <c r="H175" i="27"/>
  <c r="H137" i="27"/>
  <c r="I137" i="27" s="1"/>
  <c r="H134" i="27"/>
  <c r="I134" i="27" s="1"/>
  <c r="I197" i="27" l="1"/>
  <c r="I175" i="27"/>
  <c r="AP5" i="27"/>
  <c r="AP250" i="27"/>
  <c r="AO250" i="27"/>
  <c r="K226" i="27"/>
  <c r="K229" i="27" s="1"/>
  <c r="K252" i="27"/>
  <c r="I248" i="27"/>
  <c r="I250" i="27" s="1"/>
  <c r="H250" i="27"/>
  <c r="L202" i="27"/>
  <c r="AP181" i="27"/>
  <c r="AP191" i="27"/>
  <c r="AP132" i="27"/>
  <c r="AP182" i="27"/>
  <c r="AP133" i="27"/>
  <c r="AP176" i="27"/>
  <c r="AP188" i="27"/>
  <c r="AP131" i="27"/>
  <c r="AP193" i="27"/>
  <c r="AP186" i="27"/>
  <c r="AP196" i="27"/>
  <c r="AO134" i="27"/>
  <c r="AO189" i="27"/>
  <c r="AP189" i="27" s="1"/>
  <c r="AP180" i="27"/>
  <c r="AO197" i="27"/>
  <c r="AP197" i="27" s="1"/>
  <c r="AP137" i="27"/>
  <c r="AP175" i="27"/>
  <c r="AO177" i="27"/>
  <c r="AP177" i="27" s="1"/>
  <c r="AP138" i="27"/>
  <c r="AP184" i="27"/>
  <c r="AP192" i="27"/>
  <c r="AP130" i="27"/>
  <c r="AP178" i="27"/>
  <c r="AO183" i="27"/>
  <c r="AP183" i="27" s="1"/>
  <c r="H198" i="27"/>
  <c r="AP115" i="27"/>
  <c r="AP123" i="27"/>
  <c r="AP122" i="27"/>
  <c r="AP121" i="27"/>
  <c r="AP120" i="27"/>
  <c r="AP119" i="27"/>
  <c r="AP118" i="27"/>
  <c r="AP117" i="27"/>
  <c r="AP116" i="27"/>
  <c r="AP114" i="27"/>
  <c r="AP113" i="27"/>
  <c r="AP112" i="27"/>
  <c r="AP29" i="27"/>
  <c r="AP30" i="27"/>
  <c r="AP31" i="27"/>
  <c r="AP35" i="27"/>
  <c r="AP37" i="27"/>
  <c r="AP42" i="27"/>
  <c r="AP45" i="27"/>
  <c r="AP46" i="27"/>
  <c r="AP47" i="27"/>
  <c r="AP48" i="27"/>
  <c r="AP50" i="27"/>
  <c r="AP51" i="27"/>
  <c r="AP52" i="27"/>
  <c r="AP53" i="27"/>
  <c r="AP54" i="27"/>
  <c r="AP55" i="27"/>
  <c r="AP56" i="27"/>
  <c r="AP57" i="27"/>
  <c r="AP58" i="27"/>
  <c r="AP62" i="27"/>
  <c r="AP63" i="27"/>
  <c r="AP64" i="27"/>
  <c r="AP65" i="27"/>
  <c r="AP67" i="27"/>
  <c r="AP70" i="27"/>
  <c r="AP72" i="27"/>
  <c r="AP73" i="27"/>
  <c r="AP74" i="27"/>
  <c r="AP108" i="27"/>
  <c r="AP88" i="27"/>
  <c r="AP81" i="27"/>
  <c r="AP80" i="27"/>
  <c r="AP68" i="27"/>
  <c r="AP40" i="27"/>
  <c r="AP38" i="27"/>
  <c r="AP34" i="27"/>
  <c r="AP33" i="27"/>
  <c r="AP32" i="27"/>
  <c r="AP20" i="27"/>
  <c r="AP105" i="27"/>
  <c r="AP104" i="27"/>
  <c r="AP103" i="27"/>
  <c r="AP99" i="27"/>
  <c r="AP98" i="27"/>
  <c r="AP96" i="27"/>
  <c r="AP95" i="27"/>
  <c r="AP92" i="27"/>
  <c r="AP91" i="27"/>
  <c r="AP87" i="27"/>
  <c r="H84" i="27"/>
  <c r="AP79" i="27"/>
  <c r="AP26" i="27"/>
  <c r="AP24" i="27"/>
  <c r="AP23" i="27"/>
  <c r="AP19" i="27"/>
  <c r="AP18" i="27"/>
  <c r="AP17" i="27"/>
  <c r="AP16" i="27"/>
  <c r="AP15" i="27"/>
  <c r="AP12" i="27"/>
  <c r="AP11" i="27"/>
  <c r="AP10" i="27"/>
  <c r="AP9" i="27"/>
  <c r="F106" i="31"/>
  <c r="F99" i="31"/>
  <c r="F80" i="31"/>
  <c r="F71" i="31"/>
  <c r="F63" i="31"/>
  <c r="F35" i="31"/>
  <c r="F34" i="31"/>
  <c r="F20" i="31"/>
  <c r="AW84" i="31"/>
  <c r="AS84" i="31"/>
  <c r="AO84" i="31"/>
  <c r="AK84" i="31"/>
  <c r="AG84" i="31"/>
  <c r="AC84" i="31"/>
  <c r="Y84" i="31"/>
  <c r="U84" i="31"/>
  <c r="Q84" i="31"/>
  <c r="M84" i="31"/>
  <c r="I84" i="31"/>
  <c r="E84" i="31"/>
  <c r="F84" i="31" s="1"/>
  <c r="AX179" i="31"/>
  <c r="AD179" i="31"/>
  <c r="BA106" i="31"/>
  <c r="BA99" i="31"/>
  <c r="BA80" i="31"/>
  <c r="BA71" i="31"/>
  <c r="BA63" i="31"/>
  <c r="BA35" i="31"/>
  <c r="BA34" i="31"/>
  <c r="BA20" i="31"/>
  <c r="AW100" i="31"/>
  <c r="E40" i="31"/>
  <c r="F40" i="31" s="1"/>
  <c r="I40" i="31"/>
  <c r="M41" i="31"/>
  <c r="M42" i="31"/>
  <c r="M43" i="31"/>
  <c r="M33" i="31"/>
  <c r="M36" i="31"/>
  <c r="M21" i="31"/>
  <c r="E29" i="31"/>
  <c r="F29" i="31" s="1"/>
  <c r="I29" i="31"/>
  <c r="M29" i="31"/>
  <c r="Q29" i="31"/>
  <c r="U29" i="31"/>
  <c r="Y29" i="31"/>
  <c r="AC29" i="31"/>
  <c r="AG29" i="31"/>
  <c r="AK29" i="31"/>
  <c r="AO29" i="31"/>
  <c r="AS29" i="31"/>
  <c r="AW29" i="31"/>
  <c r="I61" i="31"/>
  <c r="M61" i="31"/>
  <c r="AW179" i="31"/>
  <c r="AW172" i="31"/>
  <c r="AW171" i="31"/>
  <c r="AW170" i="31"/>
  <c r="AW169" i="31"/>
  <c r="AW115" i="31"/>
  <c r="AW114" i="31"/>
  <c r="AW113" i="31"/>
  <c r="AW112" i="31"/>
  <c r="AW111" i="31"/>
  <c r="AW110" i="31"/>
  <c r="AW109" i="31"/>
  <c r="AW108" i="31"/>
  <c r="AW107" i="31"/>
  <c r="AW105" i="31"/>
  <c r="AW104" i="31"/>
  <c r="AW103" i="31"/>
  <c r="AW102" i="31"/>
  <c r="AW98" i="31"/>
  <c r="AW97" i="31"/>
  <c r="AW96" i="31"/>
  <c r="AW95" i="31"/>
  <c r="AW94" i="31"/>
  <c r="AW92" i="31"/>
  <c r="AW91" i="31"/>
  <c r="AW90" i="31"/>
  <c r="AW89" i="31"/>
  <c r="AW88" i="31"/>
  <c r="AW87" i="31"/>
  <c r="AW86" i="31"/>
  <c r="AW83" i="31"/>
  <c r="AW82" i="31"/>
  <c r="AW79" i="31"/>
  <c r="AW77" i="31"/>
  <c r="AW75" i="31"/>
  <c r="AW73" i="31"/>
  <c r="AW72" i="31"/>
  <c r="AW70" i="31"/>
  <c r="AW68" i="31"/>
  <c r="AW67" i="31"/>
  <c r="AW66" i="31"/>
  <c r="AW65" i="31"/>
  <c r="AW64" i="31"/>
  <c r="AW62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W47" i="31"/>
  <c r="AW46" i="31"/>
  <c r="AW45" i="31"/>
  <c r="AW44" i="31"/>
  <c r="AW43" i="31"/>
  <c r="AW42" i="31"/>
  <c r="AW41" i="31"/>
  <c r="AW39" i="31"/>
  <c r="AW38" i="31"/>
  <c r="AW37" i="31"/>
  <c r="AW36" i="31"/>
  <c r="AW33" i="31"/>
  <c r="AW32" i="31"/>
  <c r="AW31" i="31"/>
  <c r="AW30" i="31"/>
  <c r="AW28" i="31"/>
  <c r="AW26" i="31"/>
  <c r="AW25" i="31"/>
  <c r="AW24" i="31"/>
  <c r="AW23" i="31"/>
  <c r="AW21" i="31"/>
  <c r="AW19" i="31"/>
  <c r="AW18" i="31"/>
  <c r="AW17" i="31"/>
  <c r="AW16" i="31"/>
  <c r="AW15" i="31"/>
  <c r="AW14" i="31"/>
  <c r="AW12" i="31"/>
  <c r="AW11" i="31"/>
  <c r="AW10" i="31"/>
  <c r="AW9" i="31"/>
  <c r="AW8" i="31"/>
  <c r="AW7" i="31"/>
  <c r="AW6" i="31"/>
  <c r="AW5" i="31"/>
  <c r="AX2" i="31"/>
  <c r="AX1" i="31"/>
  <c r="AS172" i="31"/>
  <c r="AS171" i="31"/>
  <c r="AS170" i="31"/>
  <c r="AS169" i="31"/>
  <c r="AS115" i="31"/>
  <c r="AS114" i="31"/>
  <c r="AS113" i="31"/>
  <c r="AS112" i="31"/>
  <c r="AS111" i="31"/>
  <c r="AS110" i="31"/>
  <c r="AS109" i="31"/>
  <c r="AS108" i="31"/>
  <c r="AS107" i="31"/>
  <c r="AS105" i="31"/>
  <c r="AS104" i="31"/>
  <c r="AS103" i="31"/>
  <c r="AS102" i="31"/>
  <c r="AS100" i="31"/>
  <c r="AS98" i="31"/>
  <c r="AS97" i="31"/>
  <c r="AS96" i="31"/>
  <c r="AS95" i="31"/>
  <c r="AS94" i="31"/>
  <c r="AS92" i="31"/>
  <c r="AS91" i="31"/>
  <c r="AS90" i="31"/>
  <c r="AS89" i="31"/>
  <c r="AS88" i="31"/>
  <c r="AS87" i="31"/>
  <c r="AS86" i="31"/>
  <c r="AS83" i="31"/>
  <c r="AS82" i="31"/>
  <c r="AS79" i="31"/>
  <c r="AS77" i="31"/>
  <c r="AS75" i="31"/>
  <c r="AS73" i="31"/>
  <c r="AS72" i="31"/>
  <c r="AS70" i="31"/>
  <c r="AS68" i="31"/>
  <c r="AS67" i="31"/>
  <c r="AS66" i="31"/>
  <c r="AS65" i="31"/>
  <c r="AS64" i="31"/>
  <c r="AS62" i="31"/>
  <c r="AS61" i="31"/>
  <c r="AS60" i="31"/>
  <c r="AS59" i="31"/>
  <c r="AS58" i="31"/>
  <c r="AS57" i="31"/>
  <c r="AS56" i="31"/>
  <c r="AS55" i="31"/>
  <c r="AS54" i="31"/>
  <c r="AS53" i="31"/>
  <c r="AS52" i="31"/>
  <c r="AS51" i="31"/>
  <c r="AS50" i="31"/>
  <c r="AS49" i="31"/>
  <c r="AS48" i="31"/>
  <c r="AS47" i="31"/>
  <c r="AS46" i="31"/>
  <c r="AS45" i="31"/>
  <c r="AS44" i="31"/>
  <c r="AS43" i="31"/>
  <c r="AS42" i="31"/>
  <c r="AS41" i="31"/>
  <c r="AS39" i="31"/>
  <c r="AS38" i="31"/>
  <c r="AS37" i="31"/>
  <c r="AS36" i="31"/>
  <c r="AS33" i="31"/>
  <c r="AS32" i="31"/>
  <c r="AS31" i="31"/>
  <c r="AS30" i="31"/>
  <c r="AS28" i="31"/>
  <c r="AS26" i="31"/>
  <c r="AS25" i="31"/>
  <c r="AS24" i="31"/>
  <c r="AS23" i="31"/>
  <c r="AS21" i="31"/>
  <c r="AS19" i="31"/>
  <c r="AS18" i="31"/>
  <c r="AS17" i="31"/>
  <c r="AS16" i="31"/>
  <c r="AS15" i="31"/>
  <c r="AS14" i="31"/>
  <c r="AS12" i="31"/>
  <c r="AS11" i="31"/>
  <c r="AS10" i="31"/>
  <c r="AS9" i="31"/>
  <c r="AS8" i="31"/>
  <c r="AS7" i="31"/>
  <c r="AS6" i="31"/>
  <c r="AS5" i="31"/>
  <c r="AT2" i="31"/>
  <c r="AO172" i="31"/>
  <c r="AO171" i="31"/>
  <c r="AO170" i="31"/>
  <c r="AO169" i="31"/>
  <c r="AO115" i="31"/>
  <c r="AO114" i="31"/>
  <c r="AO113" i="31"/>
  <c r="AO112" i="31"/>
  <c r="AO111" i="31"/>
  <c r="AO110" i="31"/>
  <c r="AO109" i="31"/>
  <c r="AO108" i="31"/>
  <c r="AO107" i="31"/>
  <c r="AO105" i="31"/>
  <c r="AO104" i="31"/>
  <c r="AO103" i="31"/>
  <c r="AO102" i="31"/>
  <c r="AO100" i="31"/>
  <c r="AO98" i="31"/>
  <c r="AO97" i="31"/>
  <c r="AO96" i="31"/>
  <c r="AO95" i="31"/>
  <c r="AO94" i="31"/>
  <c r="AO92" i="31"/>
  <c r="AO91" i="31"/>
  <c r="AO90" i="31"/>
  <c r="AO89" i="31"/>
  <c r="AO88" i="31"/>
  <c r="AO87" i="31"/>
  <c r="AO86" i="31"/>
  <c r="AO83" i="31"/>
  <c r="AO82" i="31"/>
  <c r="AO79" i="31"/>
  <c r="AO77" i="31"/>
  <c r="AO75" i="31"/>
  <c r="AO73" i="31"/>
  <c r="AO72" i="31"/>
  <c r="AO70" i="31"/>
  <c r="AO68" i="31"/>
  <c r="AO67" i="31"/>
  <c r="AO66" i="31"/>
  <c r="AO65" i="31"/>
  <c r="AO64" i="31"/>
  <c r="AO62" i="31"/>
  <c r="AO61" i="31"/>
  <c r="AO60" i="31"/>
  <c r="AO59" i="31"/>
  <c r="AO58" i="31"/>
  <c r="AO57" i="31"/>
  <c r="AO56" i="31"/>
  <c r="AO55" i="31"/>
  <c r="AO54" i="31"/>
  <c r="AO53" i="31"/>
  <c r="AO52" i="31"/>
  <c r="AO51" i="31"/>
  <c r="AO50" i="31"/>
  <c r="AO49" i="31"/>
  <c r="AO48" i="31"/>
  <c r="AO47" i="31"/>
  <c r="AO46" i="31"/>
  <c r="AO45" i="31"/>
  <c r="AO44" i="31"/>
  <c r="AO43" i="31"/>
  <c r="AO42" i="31"/>
  <c r="AO41" i="31"/>
  <c r="AO39" i="31"/>
  <c r="AO38" i="31"/>
  <c r="AO37" i="31"/>
  <c r="AO36" i="31"/>
  <c r="AO33" i="31"/>
  <c r="AO32" i="31"/>
  <c r="AO31" i="31"/>
  <c r="AO30" i="31"/>
  <c r="AO28" i="31"/>
  <c r="AO26" i="31"/>
  <c r="AO25" i="31"/>
  <c r="AO24" i="31"/>
  <c r="AO23" i="31"/>
  <c r="AO21" i="31"/>
  <c r="AO19" i="31"/>
  <c r="AO18" i="31"/>
  <c r="AO17" i="31"/>
  <c r="AO16" i="31"/>
  <c r="AO15" i="31"/>
  <c r="AO14" i="31"/>
  <c r="AO12" i="31"/>
  <c r="AO11" i="31"/>
  <c r="AO10" i="31"/>
  <c r="AO9" i="31"/>
  <c r="AO8" i="31"/>
  <c r="AO7" i="31"/>
  <c r="AO6" i="31"/>
  <c r="AP2" i="31"/>
  <c r="AP1" i="31"/>
  <c r="AO5" i="31"/>
  <c r="AK172" i="31"/>
  <c r="AK171" i="31"/>
  <c r="AK170" i="31"/>
  <c r="AK169" i="31"/>
  <c r="AK115" i="31"/>
  <c r="AK114" i="31"/>
  <c r="AK113" i="31"/>
  <c r="AK112" i="31"/>
  <c r="AK111" i="31"/>
  <c r="AK110" i="31"/>
  <c r="AK109" i="31"/>
  <c r="AK108" i="31"/>
  <c r="AK107" i="31"/>
  <c r="AK105" i="31"/>
  <c r="AK104" i="31"/>
  <c r="AK103" i="31"/>
  <c r="AK102" i="31"/>
  <c r="AK100" i="31"/>
  <c r="AK98" i="31"/>
  <c r="AK97" i="31"/>
  <c r="AK96" i="31"/>
  <c r="AK95" i="31"/>
  <c r="AK94" i="31"/>
  <c r="AK92" i="31"/>
  <c r="AK91" i="31"/>
  <c r="AK90" i="31"/>
  <c r="AK89" i="31"/>
  <c r="AK88" i="31"/>
  <c r="AK87" i="31"/>
  <c r="AK86" i="31"/>
  <c r="AK83" i="31"/>
  <c r="AK82" i="31"/>
  <c r="AK79" i="31"/>
  <c r="AK77" i="31"/>
  <c r="AK75" i="31"/>
  <c r="AK73" i="31"/>
  <c r="AK72" i="31"/>
  <c r="AK70" i="31"/>
  <c r="AK68" i="31"/>
  <c r="AK67" i="31"/>
  <c r="AK66" i="31"/>
  <c r="AK65" i="31"/>
  <c r="AK64" i="31"/>
  <c r="AK62" i="31"/>
  <c r="AK61" i="31"/>
  <c r="AK60" i="31"/>
  <c r="AK59" i="31"/>
  <c r="AK58" i="31"/>
  <c r="AK57" i="31"/>
  <c r="AK56" i="31"/>
  <c r="AK55" i="31"/>
  <c r="AK54" i="31"/>
  <c r="AK53" i="31"/>
  <c r="AK52" i="31"/>
  <c r="AK51" i="31"/>
  <c r="AK50" i="31"/>
  <c r="AK49" i="31"/>
  <c r="AK48" i="31"/>
  <c r="AK47" i="31"/>
  <c r="AK46" i="31"/>
  <c r="AK45" i="31"/>
  <c r="AK44" i="31"/>
  <c r="AK43" i="31"/>
  <c r="AK42" i="31"/>
  <c r="AK41" i="31"/>
  <c r="AK39" i="31"/>
  <c r="AK38" i="31"/>
  <c r="AK37" i="31"/>
  <c r="AK36" i="31"/>
  <c r="AK33" i="31"/>
  <c r="AK32" i="31"/>
  <c r="AK31" i="31"/>
  <c r="AK30" i="31"/>
  <c r="AK28" i="31"/>
  <c r="AK26" i="31"/>
  <c r="AK25" i="31"/>
  <c r="AK24" i="31"/>
  <c r="AK23" i="31"/>
  <c r="AK21" i="31"/>
  <c r="AK19" i="31"/>
  <c r="AK18" i="31"/>
  <c r="AK17" i="31"/>
  <c r="AK16" i="31"/>
  <c r="AK15" i="31"/>
  <c r="AK14" i="31"/>
  <c r="AK12" i="31"/>
  <c r="AK11" i="31"/>
  <c r="AK10" i="31"/>
  <c r="AK9" i="31"/>
  <c r="AK8" i="31"/>
  <c r="AK7" i="31"/>
  <c r="AK6" i="31"/>
  <c r="AL2" i="31"/>
  <c r="AL1" i="31"/>
  <c r="AK5" i="31"/>
  <c r="AG169" i="31"/>
  <c r="AG172" i="31"/>
  <c r="AG171" i="31"/>
  <c r="AG170" i="31"/>
  <c r="AG115" i="31"/>
  <c r="AG114" i="31"/>
  <c r="AG113" i="31"/>
  <c r="AG112" i="31"/>
  <c r="AG111" i="31"/>
  <c r="AG110" i="31"/>
  <c r="AG109" i="31"/>
  <c r="AG108" i="31"/>
  <c r="AG107" i="31"/>
  <c r="AG105" i="31"/>
  <c r="AG104" i="31"/>
  <c r="AG103" i="31"/>
  <c r="AG102" i="31"/>
  <c r="AG100" i="31"/>
  <c r="AG98" i="31"/>
  <c r="AG97" i="31"/>
  <c r="AG96" i="31"/>
  <c r="AG95" i="31"/>
  <c r="AG94" i="31"/>
  <c r="AG92" i="31"/>
  <c r="AG91" i="31"/>
  <c r="AG90" i="31"/>
  <c r="AG89" i="31"/>
  <c r="AG88" i="31"/>
  <c r="AG87" i="31"/>
  <c r="AG86" i="31"/>
  <c r="AG83" i="31"/>
  <c r="AG82" i="31"/>
  <c r="AG79" i="31"/>
  <c r="AG77" i="31"/>
  <c r="AG75" i="31"/>
  <c r="AG73" i="31"/>
  <c r="AG72" i="31"/>
  <c r="AG70" i="31"/>
  <c r="AG68" i="31"/>
  <c r="AG67" i="31"/>
  <c r="AG66" i="31"/>
  <c r="AG65" i="31"/>
  <c r="AG64" i="31"/>
  <c r="AG62" i="31"/>
  <c r="AG61" i="31"/>
  <c r="AG60" i="31"/>
  <c r="AG59" i="31"/>
  <c r="AG58" i="31"/>
  <c r="AG57" i="31"/>
  <c r="AG56" i="31"/>
  <c r="AG55" i="31"/>
  <c r="AG54" i="31"/>
  <c r="AG53" i="31"/>
  <c r="AG52" i="31"/>
  <c r="AG51" i="31"/>
  <c r="AG50" i="31"/>
  <c r="AG49" i="31"/>
  <c r="AG48" i="31"/>
  <c r="AG47" i="31"/>
  <c r="AG46" i="31"/>
  <c r="AG45" i="31"/>
  <c r="AG44" i="31"/>
  <c r="AG43" i="31"/>
  <c r="AG42" i="31"/>
  <c r="AG41" i="31"/>
  <c r="AG39" i="31"/>
  <c r="AG38" i="31"/>
  <c r="AG37" i="31"/>
  <c r="AG36" i="31"/>
  <c r="AG33" i="31"/>
  <c r="AG32" i="31"/>
  <c r="AG31" i="31"/>
  <c r="AG30" i="31"/>
  <c r="AG28" i="31"/>
  <c r="AG26" i="31"/>
  <c r="AG25" i="31"/>
  <c r="AG24" i="31"/>
  <c r="AG23" i="31"/>
  <c r="AG21" i="31"/>
  <c r="AG19" i="31"/>
  <c r="AG18" i="31"/>
  <c r="AG17" i="31"/>
  <c r="AG16" i="31"/>
  <c r="AG15" i="31"/>
  <c r="AG14" i="31"/>
  <c r="AG12" i="31"/>
  <c r="AG11" i="31"/>
  <c r="AG10" i="31"/>
  <c r="AG9" i="31"/>
  <c r="AG8" i="31"/>
  <c r="AG7" i="31"/>
  <c r="AG6" i="31"/>
  <c r="AG5" i="31"/>
  <c r="AH2" i="31"/>
  <c r="AH1" i="31"/>
  <c r="AC179" i="31"/>
  <c r="AC169" i="31"/>
  <c r="AC172" i="31"/>
  <c r="AC171" i="31"/>
  <c r="AC170" i="31"/>
  <c r="AC115" i="31"/>
  <c r="AC114" i="31"/>
  <c r="AC113" i="31"/>
  <c r="AC112" i="31"/>
  <c r="AC111" i="31"/>
  <c r="AC110" i="31"/>
  <c r="AC109" i="31"/>
  <c r="AC108" i="31"/>
  <c r="AC107" i="31"/>
  <c r="AC105" i="31"/>
  <c r="AC104" i="31"/>
  <c r="AC103" i="31"/>
  <c r="AC102" i="31"/>
  <c r="AC100" i="31"/>
  <c r="AC98" i="31"/>
  <c r="AC97" i="31"/>
  <c r="AC96" i="31"/>
  <c r="AC95" i="31"/>
  <c r="AC94" i="31"/>
  <c r="AC92" i="31"/>
  <c r="AC91" i="31"/>
  <c r="AC90" i="31"/>
  <c r="AC89" i="31"/>
  <c r="AC88" i="31"/>
  <c r="AC87" i="31"/>
  <c r="AC86" i="31"/>
  <c r="AC83" i="31"/>
  <c r="AC82" i="31"/>
  <c r="AC79" i="31"/>
  <c r="AC77" i="31"/>
  <c r="AC75" i="31"/>
  <c r="AC73" i="31"/>
  <c r="AC72" i="31"/>
  <c r="AC70" i="31"/>
  <c r="AC68" i="31"/>
  <c r="AC67" i="31"/>
  <c r="AC66" i="31"/>
  <c r="AC65" i="31"/>
  <c r="AC64" i="31"/>
  <c r="AC62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C47" i="31"/>
  <c r="AC46" i="31"/>
  <c r="AC45" i="31"/>
  <c r="AC44" i="31"/>
  <c r="AC43" i="31"/>
  <c r="AC42" i="31"/>
  <c r="AC41" i="31"/>
  <c r="AC39" i="31"/>
  <c r="AC38" i="31"/>
  <c r="AC37" i="31"/>
  <c r="AC36" i="31"/>
  <c r="AC33" i="31"/>
  <c r="AC32" i="31"/>
  <c r="AC31" i="31"/>
  <c r="AC30" i="31"/>
  <c r="AC28" i="31"/>
  <c r="AC26" i="31"/>
  <c r="AC25" i="31"/>
  <c r="AC24" i="31"/>
  <c r="AC23" i="31"/>
  <c r="AC21" i="31"/>
  <c r="AC19" i="31"/>
  <c r="AC18" i="31"/>
  <c r="AC17" i="31"/>
  <c r="AC16" i="31"/>
  <c r="AC15" i="31"/>
  <c r="AC14" i="31"/>
  <c r="AC12" i="31"/>
  <c r="AC11" i="31"/>
  <c r="AC10" i="31"/>
  <c r="AC9" i="31"/>
  <c r="AC8" i="31"/>
  <c r="AC7" i="31"/>
  <c r="AC6" i="31"/>
  <c r="AC5" i="31"/>
  <c r="AD2" i="31"/>
  <c r="AD1" i="31"/>
  <c r="Y179" i="31"/>
  <c r="Y170" i="31"/>
  <c r="Y171" i="31"/>
  <c r="Y172" i="31"/>
  <c r="Y169" i="31"/>
  <c r="Y115" i="31"/>
  <c r="Y114" i="31"/>
  <c r="Y113" i="31"/>
  <c r="Y112" i="31"/>
  <c r="Y111" i="31"/>
  <c r="Y110" i="31"/>
  <c r="Y109" i="31"/>
  <c r="Y108" i="31"/>
  <c r="Y107" i="31"/>
  <c r="Y105" i="31"/>
  <c r="Y104" i="31"/>
  <c r="Y103" i="31"/>
  <c r="Y102" i="31"/>
  <c r="Y100" i="31"/>
  <c r="Y98" i="31"/>
  <c r="Y97" i="31"/>
  <c r="Y96" i="31"/>
  <c r="Y95" i="31"/>
  <c r="Y94" i="31"/>
  <c r="Y92" i="31"/>
  <c r="Y91" i="31"/>
  <c r="Y90" i="31"/>
  <c r="Y89" i="31"/>
  <c r="Y88" i="31"/>
  <c r="Y87" i="31"/>
  <c r="Y86" i="31"/>
  <c r="Y83" i="31"/>
  <c r="Y82" i="31"/>
  <c r="Y79" i="31"/>
  <c r="Y77" i="31"/>
  <c r="Y75" i="31"/>
  <c r="Y73" i="31"/>
  <c r="Y72" i="31"/>
  <c r="Y70" i="31"/>
  <c r="Y68" i="31"/>
  <c r="Y67" i="31"/>
  <c r="Y66" i="31"/>
  <c r="Y65" i="31"/>
  <c r="Y64" i="31"/>
  <c r="Y62" i="31"/>
  <c r="Y61" i="31"/>
  <c r="Y60" i="31"/>
  <c r="Y59" i="31"/>
  <c r="Y58" i="31"/>
  <c r="Y57" i="31"/>
  <c r="Y56" i="31"/>
  <c r="Y55" i="31"/>
  <c r="Y54" i="31"/>
  <c r="Y53" i="31"/>
  <c r="Y52" i="31"/>
  <c r="Y51" i="31"/>
  <c r="Y50" i="31"/>
  <c r="Y49" i="31"/>
  <c r="Y48" i="31"/>
  <c r="Y47" i="31"/>
  <c r="Y46" i="31"/>
  <c r="Y45" i="31"/>
  <c r="Y44" i="31"/>
  <c r="Y43" i="31"/>
  <c r="Y42" i="31"/>
  <c r="Y41" i="31"/>
  <c r="Y39" i="31"/>
  <c r="Y38" i="31"/>
  <c r="Y37" i="31"/>
  <c r="Y36" i="31"/>
  <c r="Y33" i="31"/>
  <c r="Y32" i="31"/>
  <c r="Y31" i="31"/>
  <c r="Y30" i="31"/>
  <c r="Y28" i="31"/>
  <c r="Y26" i="31"/>
  <c r="Y25" i="31"/>
  <c r="Y24" i="31"/>
  <c r="Y23" i="31"/>
  <c r="Y21" i="31"/>
  <c r="Y19" i="31"/>
  <c r="Y18" i="31"/>
  <c r="Y17" i="31"/>
  <c r="Y16" i="31"/>
  <c r="Y15" i="31"/>
  <c r="Y14" i="31"/>
  <c r="Y12" i="31"/>
  <c r="Y11" i="31"/>
  <c r="Y10" i="31"/>
  <c r="Y9" i="31"/>
  <c r="Y8" i="31"/>
  <c r="Y7" i="31"/>
  <c r="Y6" i="31"/>
  <c r="Y5" i="31"/>
  <c r="Z2" i="31"/>
  <c r="Z1" i="31"/>
  <c r="U179" i="31"/>
  <c r="U172" i="31"/>
  <c r="U171" i="31"/>
  <c r="U170" i="31"/>
  <c r="U169" i="31"/>
  <c r="U115" i="31"/>
  <c r="U114" i="31"/>
  <c r="U113" i="31"/>
  <c r="U112" i="31"/>
  <c r="U111" i="31"/>
  <c r="U110" i="31"/>
  <c r="U109" i="31"/>
  <c r="U108" i="31"/>
  <c r="U107" i="31"/>
  <c r="U105" i="31"/>
  <c r="U104" i="31"/>
  <c r="U103" i="31"/>
  <c r="U102" i="31"/>
  <c r="U100" i="31"/>
  <c r="U98" i="31"/>
  <c r="U97" i="31"/>
  <c r="U96" i="31"/>
  <c r="U95" i="31"/>
  <c r="U94" i="31"/>
  <c r="U92" i="31"/>
  <c r="U91" i="31"/>
  <c r="U90" i="31"/>
  <c r="U89" i="31"/>
  <c r="U88" i="31"/>
  <c r="U87" i="31"/>
  <c r="U86" i="31"/>
  <c r="U83" i="31"/>
  <c r="U82" i="31"/>
  <c r="U79" i="31"/>
  <c r="U77" i="31"/>
  <c r="U78" i="31" s="1"/>
  <c r="U75" i="31"/>
  <c r="U73" i="31"/>
  <c r="U72" i="31"/>
  <c r="U70" i="31"/>
  <c r="U68" i="31"/>
  <c r="U67" i="31"/>
  <c r="U66" i="31"/>
  <c r="U65" i="31"/>
  <c r="U64" i="31"/>
  <c r="U62" i="31"/>
  <c r="U61" i="31"/>
  <c r="U60" i="31"/>
  <c r="U59" i="31"/>
  <c r="U58" i="31"/>
  <c r="U57" i="31"/>
  <c r="U56" i="31"/>
  <c r="U55" i="31"/>
  <c r="U54" i="31"/>
  <c r="U53" i="31"/>
  <c r="U52" i="31"/>
  <c r="U51" i="31"/>
  <c r="U50" i="31"/>
  <c r="U49" i="31"/>
  <c r="U48" i="31"/>
  <c r="U47" i="31"/>
  <c r="U46" i="31"/>
  <c r="U45" i="31"/>
  <c r="U44" i="31"/>
  <c r="U43" i="31"/>
  <c r="U42" i="31"/>
  <c r="U41" i="31"/>
  <c r="U39" i="31"/>
  <c r="U38" i="31"/>
  <c r="U37" i="31"/>
  <c r="U36" i="31"/>
  <c r="U33" i="31"/>
  <c r="U32" i="31"/>
  <c r="U31" i="31"/>
  <c r="U30" i="31"/>
  <c r="U28" i="31"/>
  <c r="U26" i="31"/>
  <c r="U25" i="31"/>
  <c r="U24" i="31"/>
  <c r="U23" i="31"/>
  <c r="U21" i="31"/>
  <c r="U19" i="31"/>
  <c r="U18" i="31"/>
  <c r="U17" i="31"/>
  <c r="U16" i="31"/>
  <c r="U15" i="31"/>
  <c r="U14" i="31"/>
  <c r="U12" i="31"/>
  <c r="U11" i="31"/>
  <c r="U10" i="31"/>
  <c r="U9" i="31"/>
  <c r="U8" i="31"/>
  <c r="U7" i="31"/>
  <c r="U6" i="31"/>
  <c r="U5" i="31"/>
  <c r="V2" i="31"/>
  <c r="V1" i="31"/>
  <c r="Q179" i="31"/>
  <c r="Q172" i="31"/>
  <c r="Q171" i="31"/>
  <c r="Q170" i="31"/>
  <c r="Q169" i="31"/>
  <c r="R2" i="31"/>
  <c r="R1" i="31"/>
  <c r="Q115" i="31"/>
  <c r="Q114" i="31"/>
  <c r="Q113" i="31"/>
  <c r="Q112" i="31"/>
  <c r="Q111" i="31"/>
  <c r="Q110" i="31"/>
  <c r="Q109" i="31"/>
  <c r="Q108" i="31"/>
  <c r="Q107" i="31"/>
  <c r="Q105" i="31"/>
  <c r="Q104" i="31"/>
  <c r="Q103" i="31"/>
  <c r="Q102" i="31"/>
  <c r="Q100" i="31"/>
  <c r="Q98" i="31"/>
  <c r="Q97" i="31"/>
  <c r="Q96" i="31"/>
  <c r="Q95" i="31"/>
  <c r="Q94" i="31"/>
  <c r="Q92" i="31"/>
  <c r="Q91" i="31"/>
  <c r="Q90" i="31"/>
  <c r="Q89" i="31"/>
  <c r="R89" i="31" s="1"/>
  <c r="Q88" i="31"/>
  <c r="Q87" i="31"/>
  <c r="Q86" i="31"/>
  <c r="Q83" i="31"/>
  <c r="Q82" i="31"/>
  <c r="Q79" i="31"/>
  <c r="Q77" i="31"/>
  <c r="Q75" i="31"/>
  <c r="Q73" i="31"/>
  <c r="Q72" i="31"/>
  <c r="Q70" i="31"/>
  <c r="Q68" i="31"/>
  <c r="Q67" i="31"/>
  <c r="Q66" i="31"/>
  <c r="Q65" i="31"/>
  <c r="Q64" i="31"/>
  <c r="Q62" i="31"/>
  <c r="Q61" i="31"/>
  <c r="Q60" i="31"/>
  <c r="Q59" i="31"/>
  <c r="Q58" i="31"/>
  <c r="Q57" i="31"/>
  <c r="Q56" i="31"/>
  <c r="Q55" i="31"/>
  <c r="R55" i="31" s="1"/>
  <c r="Q54" i="31"/>
  <c r="Q53" i="31"/>
  <c r="Q52" i="31"/>
  <c r="Q51" i="31"/>
  <c r="Q50" i="31"/>
  <c r="Q49" i="31"/>
  <c r="Q48" i="31"/>
  <c r="Q47" i="31"/>
  <c r="Q46" i="31"/>
  <c r="Q45" i="31"/>
  <c r="Q44" i="31"/>
  <c r="Q43" i="31"/>
  <c r="Q42" i="31"/>
  <c r="Q41" i="31"/>
  <c r="Q39" i="31"/>
  <c r="Q38" i="31"/>
  <c r="Q37" i="31"/>
  <c r="Q36" i="31"/>
  <c r="Q33" i="31"/>
  <c r="Q32" i="31"/>
  <c r="Q31" i="31"/>
  <c r="Q30" i="31"/>
  <c r="Q28" i="31"/>
  <c r="Q26" i="31"/>
  <c r="R26" i="31" s="1"/>
  <c r="Q25" i="31"/>
  <c r="Q24" i="31"/>
  <c r="Q23" i="31"/>
  <c r="Q21" i="31"/>
  <c r="Q19" i="31"/>
  <c r="Q18" i="31"/>
  <c r="Q17" i="31"/>
  <c r="Q16" i="31"/>
  <c r="Q15" i="31"/>
  <c r="Q14" i="31"/>
  <c r="Q12" i="31"/>
  <c r="Q11" i="31"/>
  <c r="Q10" i="31"/>
  <c r="Q9" i="31"/>
  <c r="Q8" i="31"/>
  <c r="Q7" i="31"/>
  <c r="Q6" i="31"/>
  <c r="Q5" i="31"/>
  <c r="M179" i="31"/>
  <c r="M172" i="31"/>
  <c r="M171" i="31"/>
  <c r="M170" i="31"/>
  <c r="M169" i="31"/>
  <c r="I169" i="31"/>
  <c r="M115" i="31"/>
  <c r="M114" i="31"/>
  <c r="M113" i="31"/>
  <c r="M112" i="31"/>
  <c r="M111" i="31"/>
  <c r="M110" i="31"/>
  <c r="M109" i="31"/>
  <c r="M108" i="31"/>
  <c r="M107" i="31"/>
  <c r="M105" i="31"/>
  <c r="M104" i="31"/>
  <c r="M103" i="31"/>
  <c r="M102" i="31"/>
  <c r="M100" i="31"/>
  <c r="M98" i="31"/>
  <c r="M97" i="31"/>
  <c r="M96" i="31"/>
  <c r="M95" i="31"/>
  <c r="M94" i="31"/>
  <c r="M92" i="31"/>
  <c r="M91" i="31"/>
  <c r="M90" i="31"/>
  <c r="M89" i="31"/>
  <c r="M88" i="31"/>
  <c r="M87" i="31"/>
  <c r="M86" i="31"/>
  <c r="M83" i="31"/>
  <c r="M82" i="31"/>
  <c r="M79" i="31"/>
  <c r="M77" i="31"/>
  <c r="M75" i="31"/>
  <c r="M73" i="31"/>
  <c r="M72" i="31"/>
  <c r="M70" i="31"/>
  <c r="M68" i="31"/>
  <c r="M67" i="31"/>
  <c r="M66" i="31"/>
  <c r="M65" i="31"/>
  <c r="M64" i="31"/>
  <c r="M62" i="31"/>
  <c r="M60" i="31"/>
  <c r="M59" i="31"/>
  <c r="M58" i="31"/>
  <c r="M57" i="31"/>
  <c r="M56" i="31"/>
  <c r="M55" i="31"/>
  <c r="M54" i="31"/>
  <c r="M53" i="31"/>
  <c r="M52" i="31"/>
  <c r="M51" i="31"/>
  <c r="M50" i="31"/>
  <c r="M49" i="31"/>
  <c r="M48" i="31"/>
  <c r="M47" i="31"/>
  <c r="M46" i="31"/>
  <c r="M45" i="31"/>
  <c r="M44" i="31"/>
  <c r="M39" i="31"/>
  <c r="M38" i="31"/>
  <c r="M37" i="31"/>
  <c r="M32" i="31"/>
  <c r="M31" i="31"/>
  <c r="M30" i="31"/>
  <c r="M28" i="31"/>
  <c r="M26" i="31"/>
  <c r="M25" i="31"/>
  <c r="M24" i="31"/>
  <c r="M23" i="31"/>
  <c r="M19" i="31"/>
  <c r="M18" i="31"/>
  <c r="M17" i="31"/>
  <c r="M16" i="31"/>
  <c r="M15" i="31"/>
  <c r="M14" i="31"/>
  <c r="M12" i="31"/>
  <c r="M11" i="31"/>
  <c r="M10" i="31"/>
  <c r="M9" i="31"/>
  <c r="M8" i="31"/>
  <c r="M7" i="31"/>
  <c r="M6" i="31"/>
  <c r="N2" i="31"/>
  <c r="N1" i="31"/>
  <c r="O34" i="31" s="1"/>
  <c r="M5" i="31"/>
  <c r="I172" i="31"/>
  <c r="I171" i="31"/>
  <c r="I170" i="31"/>
  <c r="I179" i="31"/>
  <c r="E179" i="31"/>
  <c r="I115" i="31"/>
  <c r="I114" i="31"/>
  <c r="I113" i="31"/>
  <c r="I112" i="31"/>
  <c r="I111" i="31"/>
  <c r="I110" i="31"/>
  <c r="I109" i="31"/>
  <c r="I108" i="31"/>
  <c r="I107" i="31"/>
  <c r="I105" i="31"/>
  <c r="I104" i="31"/>
  <c r="I103" i="31"/>
  <c r="I102" i="31"/>
  <c r="I100" i="31"/>
  <c r="I98" i="31"/>
  <c r="I97" i="31"/>
  <c r="I96" i="31"/>
  <c r="I95" i="31"/>
  <c r="I94" i="31"/>
  <c r="I92" i="31"/>
  <c r="I91" i="31"/>
  <c r="I90" i="31"/>
  <c r="I89" i="31"/>
  <c r="I88" i="31"/>
  <c r="I87" i="31"/>
  <c r="I86" i="31"/>
  <c r="I83" i="31"/>
  <c r="I82" i="31"/>
  <c r="I79" i="31"/>
  <c r="I81" i="31" s="1"/>
  <c r="I77" i="31"/>
  <c r="I75" i="31"/>
  <c r="I73" i="31"/>
  <c r="I72" i="31"/>
  <c r="I70" i="31"/>
  <c r="I68" i="31"/>
  <c r="I67" i="31"/>
  <c r="I66" i="31"/>
  <c r="I65" i="31"/>
  <c r="I64" i="31"/>
  <c r="I62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39" i="31"/>
  <c r="I38" i="31"/>
  <c r="I37" i="31"/>
  <c r="I36" i="31"/>
  <c r="I33" i="31"/>
  <c r="I32" i="31"/>
  <c r="I31" i="31"/>
  <c r="I30" i="31"/>
  <c r="I28" i="31"/>
  <c r="I26" i="31"/>
  <c r="I25" i="31"/>
  <c r="I24" i="31"/>
  <c r="I23" i="31"/>
  <c r="I21" i="31"/>
  <c r="I19" i="31"/>
  <c r="I18" i="31"/>
  <c r="I17" i="31"/>
  <c r="I16" i="31"/>
  <c r="I15" i="31"/>
  <c r="I14" i="31"/>
  <c r="I12" i="31"/>
  <c r="I11" i="31"/>
  <c r="I10" i="31"/>
  <c r="I9" i="31"/>
  <c r="I8" i="31"/>
  <c r="I7" i="31"/>
  <c r="I6" i="31"/>
  <c r="I5" i="31"/>
  <c r="E5" i="31"/>
  <c r="J2" i="31"/>
  <c r="J1" i="31"/>
  <c r="E171" i="31"/>
  <c r="F171" i="31" s="1"/>
  <c r="E170" i="31"/>
  <c r="F170" i="31" s="1"/>
  <c r="E169" i="31"/>
  <c r="F169" i="31" s="1"/>
  <c r="E172" i="31"/>
  <c r="F172" i="31" s="1"/>
  <c r="F1" i="31"/>
  <c r="P83" i="33"/>
  <c r="K83" i="33"/>
  <c r="J83" i="33"/>
  <c r="I83" i="33"/>
  <c r="H83" i="33"/>
  <c r="G83" i="33"/>
  <c r="F83" i="33"/>
  <c r="E83" i="33"/>
  <c r="P82" i="33"/>
  <c r="K82" i="33"/>
  <c r="J82" i="33"/>
  <c r="I82" i="33"/>
  <c r="H82" i="33"/>
  <c r="G82" i="33"/>
  <c r="F82" i="33"/>
  <c r="E82" i="33"/>
  <c r="P81" i="33"/>
  <c r="K81" i="33"/>
  <c r="J81" i="33"/>
  <c r="I81" i="33"/>
  <c r="H81" i="33"/>
  <c r="G81" i="33"/>
  <c r="F81" i="33"/>
  <c r="E81" i="33"/>
  <c r="P80" i="33"/>
  <c r="O80" i="33"/>
  <c r="K80" i="33"/>
  <c r="J80" i="33"/>
  <c r="I80" i="33"/>
  <c r="H80" i="33"/>
  <c r="G80" i="33"/>
  <c r="F80" i="33"/>
  <c r="E80" i="33"/>
  <c r="P79" i="33"/>
  <c r="K79" i="33"/>
  <c r="J79" i="33"/>
  <c r="I79" i="33"/>
  <c r="H79" i="33"/>
  <c r="G79" i="33"/>
  <c r="F79" i="33"/>
  <c r="E79" i="33"/>
  <c r="Q78" i="33"/>
  <c r="P78" i="33"/>
  <c r="K78" i="33"/>
  <c r="J78" i="33"/>
  <c r="I78" i="33"/>
  <c r="H78" i="33"/>
  <c r="G78" i="33"/>
  <c r="F78" i="33"/>
  <c r="E78" i="33"/>
  <c r="P75" i="33"/>
  <c r="K75" i="33"/>
  <c r="J75" i="33"/>
  <c r="I75" i="33"/>
  <c r="H75" i="33"/>
  <c r="G75" i="33"/>
  <c r="F75" i="33"/>
  <c r="E75" i="33"/>
  <c r="P74" i="33"/>
  <c r="K74" i="33"/>
  <c r="J74" i="33"/>
  <c r="I74" i="33"/>
  <c r="H74" i="33"/>
  <c r="G74" i="33"/>
  <c r="F74" i="33"/>
  <c r="E74" i="33"/>
  <c r="P73" i="33"/>
  <c r="K73" i="33"/>
  <c r="J73" i="33"/>
  <c r="I73" i="33"/>
  <c r="H73" i="33"/>
  <c r="G73" i="33"/>
  <c r="F73" i="33"/>
  <c r="E73" i="33"/>
  <c r="AD69" i="33"/>
  <c r="Y69" i="33"/>
  <c r="X69" i="33"/>
  <c r="Z179" i="31" s="1"/>
  <c r="W69" i="33"/>
  <c r="AK69" i="33" s="1"/>
  <c r="W179" i="31" s="1"/>
  <c r="V69" i="33"/>
  <c r="AJ69" i="33" s="1"/>
  <c r="S179" i="31" s="1"/>
  <c r="U69" i="33"/>
  <c r="AI69" i="33" s="1"/>
  <c r="O179" i="31" s="1"/>
  <c r="T69" i="33"/>
  <c r="AH69" i="33" s="1"/>
  <c r="K179" i="31" s="1"/>
  <c r="S69" i="33"/>
  <c r="AG69" i="33" s="1"/>
  <c r="G179" i="31" s="1"/>
  <c r="BA179" i="31"/>
  <c r="AD68" i="33"/>
  <c r="Y68" i="33"/>
  <c r="AM68" i="33" s="1"/>
  <c r="X68" i="33"/>
  <c r="AL68" i="33" s="1"/>
  <c r="W68" i="33"/>
  <c r="AK68" i="33" s="1"/>
  <c r="V68" i="33"/>
  <c r="AJ68" i="33" s="1"/>
  <c r="U68" i="33"/>
  <c r="AI68" i="33" s="1"/>
  <c r="T68" i="33"/>
  <c r="AH68" i="33" s="1"/>
  <c r="S68" i="33"/>
  <c r="AG68" i="33" s="1"/>
  <c r="AC68" i="33"/>
  <c r="AQ68" i="33" s="1"/>
  <c r="AB68" i="33"/>
  <c r="AA68" i="33"/>
  <c r="Z68" i="33"/>
  <c r="AD67" i="33"/>
  <c r="AA67" i="33"/>
  <c r="Y67" i="33"/>
  <c r="AM67" i="33" s="1"/>
  <c r="X67" i="33"/>
  <c r="AL67" i="33" s="1"/>
  <c r="W67" i="33"/>
  <c r="AK67" i="33" s="1"/>
  <c r="V67" i="33"/>
  <c r="AJ67" i="33" s="1"/>
  <c r="U67" i="33"/>
  <c r="AI67" i="33" s="1"/>
  <c r="T67" i="33"/>
  <c r="AH67" i="33" s="1"/>
  <c r="S67" i="33"/>
  <c r="AG67" i="33" s="1"/>
  <c r="AC67" i="33"/>
  <c r="AQ67" i="33" s="1"/>
  <c r="AB67" i="33"/>
  <c r="Z67" i="33"/>
  <c r="AD66" i="33"/>
  <c r="Y66" i="33"/>
  <c r="AM66" i="33" s="1"/>
  <c r="X66" i="33"/>
  <c r="AL66" i="33" s="1"/>
  <c r="W66" i="33"/>
  <c r="AK66" i="33" s="1"/>
  <c r="V66" i="33"/>
  <c r="AJ66" i="33" s="1"/>
  <c r="U66" i="33"/>
  <c r="AI66" i="33" s="1"/>
  <c r="T66" i="33"/>
  <c r="AH66" i="33" s="1"/>
  <c r="S66" i="33"/>
  <c r="AG66" i="33" s="1"/>
  <c r="AC66" i="33"/>
  <c r="AB66" i="33"/>
  <c r="AA66" i="33"/>
  <c r="AO66" i="33" s="1"/>
  <c r="Z66" i="33"/>
  <c r="AD65" i="33"/>
  <c r="AC65" i="33"/>
  <c r="AB65" i="33"/>
  <c r="Y65" i="33"/>
  <c r="X65" i="33"/>
  <c r="AL65" i="33" s="1"/>
  <c r="W65" i="33"/>
  <c r="AK65" i="33" s="1"/>
  <c r="V65" i="33"/>
  <c r="AJ65" i="33" s="1"/>
  <c r="U65" i="33"/>
  <c r="T65" i="33"/>
  <c r="AH65" i="33" s="1"/>
  <c r="S65" i="33"/>
  <c r="AG65" i="33" s="1"/>
  <c r="AA65" i="33"/>
  <c r="Z65" i="33"/>
  <c r="AD64" i="33"/>
  <c r="Y64" i="33"/>
  <c r="AM64" i="33" s="1"/>
  <c r="X64" i="33"/>
  <c r="AL64" i="33" s="1"/>
  <c r="W64" i="33"/>
  <c r="AK64" i="33" s="1"/>
  <c r="V64" i="33"/>
  <c r="AJ64" i="33" s="1"/>
  <c r="U64" i="33"/>
  <c r="AI64" i="33" s="1"/>
  <c r="T64" i="33"/>
  <c r="S64" i="33"/>
  <c r="AG64" i="33" s="1"/>
  <c r="AC64" i="33"/>
  <c r="AB64" i="33"/>
  <c r="AA64" i="33"/>
  <c r="Z64" i="33"/>
  <c r="AD63" i="33"/>
  <c r="AB63" i="33"/>
  <c r="Y63" i="33"/>
  <c r="X63" i="33"/>
  <c r="AL63" i="33" s="1"/>
  <c r="W63" i="33"/>
  <c r="AK63" i="33" s="1"/>
  <c r="V63" i="33"/>
  <c r="AJ63" i="33" s="1"/>
  <c r="U63" i="33"/>
  <c r="AI63" i="33" s="1"/>
  <c r="T63" i="33"/>
  <c r="AH63" i="33" s="1"/>
  <c r="S63" i="33"/>
  <c r="AG63" i="33" s="1"/>
  <c r="AC63" i="33"/>
  <c r="AQ63" i="33" s="1"/>
  <c r="AA63" i="33"/>
  <c r="Z63" i="33"/>
  <c r="AD62" i="33"/>
  <c r="Y62" i="33"/>
  <c r="AM62" i="33" s="1"/>
  <c r="X62" i="33"/>
  <c r="AL62" i="33" s="1"/>
  <c r="W62" i="33"/>
  <c r="V62" i="33"/>
  <c r="U62" i="33"/>
  <c r="AI62" i="33" s="1"/>
  <c r="T62" i="33"/>
  <c r="AH62" i="33" s="1"/>
  <c r="S62" i="33"/>
  <c r="AC62" i="33"/>
  <c r="AA62" i="33"/>
  <c r="Z62" i="33"/>
  <c r="AD61" i="33"/>
  <c r="AA61" i="33"/>
  <c r="Y61" i="33"/>
  <c r="AM61" i="33" s="1"/>
  <c r="X61" i="33"/>
  <c r="W61" i="33"/>
  <c r="AK61" i="33" s="1"/>
  <c r="V61" i="33"/>
  <c r="AJ61" i="33" s="1"/>
  <c r="U61" i="33"/>
  <c r="T61" i="33"/>
  <c r="AH61" i="33" s="1"/>
  <c r="S61" i="33"/>
  <c r="AG61" i="33" s="1"/>
  <c r="Q82" i="33"/>
  <c r="O82" i="33"/>
  <c r="AB61" i="33"/>
  <c r="M82" i="33"/>
  <c r="AD60" i="33"/>
  <c r="AB60" i="33"/>
  <c r="Y60" i="33"/>
  <c r="X60" i="33"/>
  <c r="AL60" i="33" s="1"/>
  <c r="W60" i="33"/>
  <c r="AK60" i="33" s="1"/>
  <c r="V60" i="33"/>
  <c r="AJ60" i="33" s="1"/>
  <c r="U60" i="33"/>
  <c r="AI60" i="33" s="1"/>
  <c r="T60" i="33"/>
  <c r="AH60" i="33" s="1"/>
  <c r="S60" i="33"/>
  <c r="AG60" i="33" s="1"/>
  <c r="AC60" i="33"/>
  <c r="AA60" i="33"/>
  <c r="Z60" i="33"/>
  <c r="AD59" i="33"/>
  <c r="AC59" i="33"/>
  <c r="AB59" i="33"/>
  <c r="AD58" i="33"/>
  <c r="Y58" i="33"/>
  <c r="X58" i="33"/>
  <c r="AL58" i="33" s="1"/>
  <c r="W58" i="33"/>
  <c r="AK58" i="33" s="1"/>
  <c r="V58" i="33"/>
  <c r="AJ58" i="33" s="1"/>
  <c r="U58" i="33"/>
  <c r="AI58" i="33" s="1"/>
  <c r="T58" i="33"/>
  <c r="AH58" i="33" s="1"/>
  <c r="S58" i="33"/>
  <c r="AG58" i="33" s="1"/>
  <c r="AC58" i="33"/>
  <c r="AB58" i="33"/>
  <c r="AA58" i="33"/>
  <c r="Z58" i="33"/>
  <c r="AN58" i="33" s="1"/>
  <c r="AH57" i="33"/>
  <c r="AD57" i="33"/>
  <c r="Y57" i="33"/>
  <c r="AM57" i="33" s="1"/>
  <c r="X57" i="33"/>
  <c r="AL57" i="33" s="1"/>
  <c r="W57" i="33"/>
  <c r="AK57" i="33" s="1"/>
  <c r="V57" i="33"/>
  <c r="AJ57" i="33" s="1"/>
  <c r="U57" i="33"/>
  <c r="AI57" i="33" s="1"/>
  <c r="T57" i="33"/>
  <c r="S57" i="33"/>
  <c r="AG57" i="33" s="1"/>
  <c r="AC57" i="33"/>
  <c r="AQ57" i="33" s="1"/>
  <c r="AB57" i="33"/>
  <c r="AA57" i="33"/>
  <c r="AO57" i="33" s="1"/>
  <c r="Z57" i="33"/>
  <c r="AD56" i="33"/>
  <c r="Y56" i="33"/>
  <c r="X56" i="33"/>
  <c r="AL56" i="33" s="1"/>
  <c r="W56" i="33"/>
  <c r="AK56" i="33" s="1"/>
  <c r="V56" i="33"/>
  <c r="AJ56" i="33" s="1"/>
  <c r="U56" i="33"/>
  <c r="AI56" i="33" s="1"/>
  <c r="T56" i="33"/>
  <c r="AH56" i="33" s="1"/>
  <c r="S56" i="33"/>
  <c r="AG56" i="33" s="1"/>
  <c r="AC56" i="33"/>
  <c r="AB56" i="33"/>
  <c r="AA56" i="33"/>
  <c r="Z56" i="33"/>
  <c r="AN56" i="33" s="1"/>
  <c r="AD55" i="33"/>
  <c r="Y55" i="33"/>
  <c r="AM55" i="33" s="1"/>
  <c r="X55" i="33"/>
  <c r="AL55" i="33" s="1"/>
  <c r="W55" i="33"/>
  <c r="AK55" i="33" s="1"/>
  <c r="V55" i="33"/>
  <c r="AJ55" i="33" s="1"/>
  <c r="U55" i="33"/>
  <c r="AI55" i="33" s="1"/>
  <c r="T55" i="33"/>
  <c r="AH55" i="33" s="1"/>
  <c r="S55" i="33"/>
  <c r="AG55" i="33" s="1"/>
  <c r="AC55" i="33"/>
  <c r="AB55" i="33"/>
  <c r="AA55" i="33"/>
  <c r="Z55" i="33"/>
  <c r="AD54" i="33"/>
  <c r="AA54" i="33"/>
  <c r="Y54" i="33"/>
  <c r="AM54" i="33" s="1"/>
  <c r="X54" i="33"/>
  <c r="AL54" i="33" s="1"/>
  <c r="W54" i="33"/>
  <c r="AK54" i="33" s="1"/>
  <c r="V54" i="33"/>
  <c r="AJ54" i="33" s="1"/>
  <c r="U54" i="33"/>
  <c r="T54" i="33"/>
  <c r="AH54" i="33" s="1"/>
  <c r="S54" i="33"/>
  <c r="AG54" i="33" s="1"/>
  <c r="AC54" i="33"/>
  <c r="AQ54" i="33" s="1"/>
  <c r="AB54" i="33"/>
  <c r="Z54" i="33"/>
  <c r="AD53" i="33"/>
  <c r="AC53" i="33"/>
  <c r="AQ53" i="33" s="1"/>
  <c r="Y53" i="33"/>
  <c r="AM53" i="33" s="1"/>
  <c r="X53" i="33"/>
  <c r="AL53" i="33" s="1"/>
  <c r="W53" i="33"/>
  <c r="AK53" i="33" s="1"/>
  <c r="V53" i="33"/>
  <c r="AJ53" i="33" s="1"/>
  <c r="U53" i="33"/>
  <c r="AI53" i="33" s="1"/>
  <c r="T53" i="33"/>
  <c r="AH53" i="33" s="1"/>
  <c r="S53" i="33"/>
  <c r="AB53" i="33"/>
  <c r="AA53" i="33"/>
  <c r="Z53" i="33"/>
  <c r="AD52" i="33"/>
  <c r="AC52" i="33"/>
  <c r="AB52" i="33"/>
  <c r="Y52" i="33"/>
  <c r="AM52" i="33" s="1"/>
  <c r="X52" i="33"/>
  <c r="AL52" i="33" s="1"/>
  <c r="W52" i="33"/>
  <c r="AK52" i="33" s="1"/>
  <c r="V52" i="33"/>
  <c r="AJ52" i="33" s="1"/>
  <c r="U52" i="33"/>
  <c r="AI52" i="33" s="1"/>
  <c r="T52" i="33"/>
  <c r="AH52" i="33" s="1"/>
  <c r="S52" i="33"/>
  <c r="AG52" i="33" s="1"/>
  <c r="AA52" i="33"/>
  <c r="AO52" i="33" s="1"/>
  <c r="Z52" i="33"/>
  <c r="AN52" i="33" s="1"/>
  <c r="AH51" i="33"/>
  <c r="AG51" i="33"/>
  <c r="AD51" i="33"/>
  <c r="AB51" i="33"/>
  <c r="Y51" i="33"/>
  <c r="X51" i="33"/>
  <c r="AL51" i="33" s="1"/>
  <c r="W51" i="33"/>
  <c r="AK51" i="33" s="1"/>
  <c r="V51" i="33"/>
  <c r="AJ51" i="33" s="1"/>
  <c r="U51" i="33"/>
  <c r="AI51" i="33" s="1"/>
  <c r="T51" i="33"/>
  <c r="S51" i="33"/>
  <c r="AC51" i="33"/>
  <c r="AA51" i="33"/>
  <c r="Z51" i="33"/>
  <c r="AD50" i="33"/>
  <c r="Y50" i="33"/>
  <c r="AM50" i="33" s="1"/>
  <c r="X50" i="33"/>
  <c r="AL50" i="33" s="1"/>
  <c r="W50" i="33"/>
  <c r="AK50" i="33" s="1"/>
  <c r="V50" i="33"/>
  <c r="AJ50" i="33" s="1"/>
  <c r="U50" i="33"/>
  <c r="AI50" i="33" s="1"/>
  <c r="T50" i="33"/>
  <c r="AH50" i="33" s="1"/>
  <c r="S50" i="33"/>
  <c r="AC50" i="33"/>
  <c r="AB50" i="33"/>
  <c r="AA50" i="33"/>
  <c r="Z50" i="33"/>
  <c r="AD49" i="33"/>
  <c r="Y49" i="33"/>
  <c r="X49" i="33"/>
  <c r="AL49" i="33" s="1"/>
  <c r="W49" i="33"/>
  <c r="AK49" i="33" s="1"/>
  <c r="V49" i="33"/>
  <c r="U49" i="33"/>
  <c r="AI49" i="33" s="1"/>
  <c r="T49" i="33"/>
  <c r="AH49" i="33" s="1"/>
  <c r="S49" i="33"/>
  <c r="AC49" i="33"/>
  <c r="AB49" i="33"/>
  <c r="AA49" i="33"/>
  <c r="Z49" i="33"/>
  <c r="AD48" i="33"/>
  <c r="AC48" i="33"/>
  <c r="AQ48" i="33" s="1"/>
  <c r="Y48" i="33"/>
  <c r="AM48" i="33" s="1"/>
  <c r="X48" i="33"/>
  <c r="AL48" i="33" s="1"/>
  <c r="W48" i="33"/>
  <c r="AK48" i="33" s="1"/>
  <c r="V48" i="33"/>
  <c r="AJ48" i="33" s="1"/>
  <c r="U48" i="33"/>
  <c r="AI48" i="33" s="1"/>
  <c r="T48" i="33"/>
  <c r="AH48" i="33" s="1"/>
  <c r="S48" i="33"/>
  <c r="AG48" i="33" s="1"/>
  <c r="AB48" i="33"/>
  <c r="AP48" i="33" s="1"/>
  <c r="AA48" i="33"/>
  <c r="AO48" i="33" s="1"/>
  <c r="Z48" i="33"/>
  <c r="AD47" i="33"/>
  <c r="AC47" i="33"/>
  <c r="Y47" i="33"/>
  <c r="X47" i="33"/>
  <c r="AL47" i="33" s="1"/>
  <c r="W47" i="33"/>
  <c r="AK47" i="33" s="1"/>
  <c r="V47" i="33"/>
  <c r="AJ47" i="33" s="1"/>
  <c r="U47" i="33"/>
  <c r="AI47" i="33" s="1"/>
  <c r="T47" i="33"/>
  <c r="S47" i="33"/>
  <c r="AG47" i="33" s="1"/>
  <c r="AB47" i="33"/>
  <c r="AA47" i="33"/>
  <c r="Z47" i="33"/>
  <c r="AD46" i="33"/>
  <c r="Y46" i="33"/>
  <c r="AM46" i="33" s="1"/>
  <c r="X46" i="33"/>
  <c r="AL46" i="33" s="1"/>
  <c r="W46" i="33"/>
  <c r="AK46" i="33" s="1"/>
  <c r="V46" i="33"/>
  <c r="AJ46" i="33" s="1"/>
  <c r="U46" i="33"/>
  <c r="AI46" i="33" s="1"/>
  <c r="T46" i="33"/>
  <c r="AH46" i="33" s="1"/>
  <c r="S46" i="33"/>
  <c r="AC46" i="33"/>
  <c r="AB46" i="33"/>
  <c r="AA46" i="33"/>
  <c r="Z46" i="33"/>
  <c r="AD45" i="33"/>
  <c r="Y45" i="33"/>
  <c r="AM45" i="33" s="1"/>
  <c r="X45" i="33"/>
  <c r="AL45" i="33" s="1"/>
  <c r="W45" i="33"/>
  <c r="AK45" i="33" s="1"/>
  <c r="V45" i="33"/>
  <c r="AJ45" i="33" s="1"/>
  <c r="U45" i="33"/>
  <c r="AI45" i="33" s="1"/>
  <c r="T45" i="33"/>
  <c r="S45" i="33"/>
  <c r="AU45" i="33" s="1"/>
  <c r="AC45" i="33"/>
  <c r="AB45" i="33"/>
  <c r="AA45" i="33"/>
  <c r="AD44" i="33"/>
  <c r="Y44" i="33"/>
  <c r="AM44" i="33" s="1"/>
  <c r="X44" i="33"/>
  <c r="AL44" i="33" s="1"/>
  <c r="W44" i="33"/>
  <c r="AK44" i="33" s="1"/>
  <c r="V44" i="33"/>
  <c r="AJ44" i="33" s="1"/>
  <c r="U44" i="33"/>
  <c r="AI44" i="33" s="1"/>
  <c r="T44" i="33"/>
  <c r="AH44" i="33" s="1"/>
  <c r="S44" i="33"/>
  <c r="AG44" i="33" s="1"/>
  <c r="AC44" i="33"/>
  <c r="AB44" i="33"/>
  <c r="AA44" i="33"/>
  <c r="Z44" i="33"/>
  <c r="AD43" i="33"/>
  <c r="AC43" i="33"/>
  <c r="AQ43" i="33" s="1"/>
  <c r="AB43" i="33"/>
  <c r="Y43" i="33"/>
  <c r="X43" i="33"/>
  <c r="AL43" i="33" s="1"/>
  <c r="W43" i="33"/>
  <c r="AK43" i="33" s="1"/>
  <c r="V43" i="33"/>
  <c r="AJ43" i="33" s="1"/>
  <c r="U43" i="33"/>
  <c r="AI43" i="33" s="1"/>
  <c r="T43" i="33"/>
  <c r="AH43" i="33" s="1"/>
  <c r="S43" i="33"/>
  <c r="AA43" i="33"/>
  <c r="Z43" i="33"/>
  <c r="AN43" i="33" s="1"/>
  <c r="AD42" i="33"/>
  <c r="Y42" i="33"/>
  <c r="AM42" i="33" s="1"/>
  <c r="X42" i="33"/>
  <c r="AL42" i="33" s="1"/>
  <c r="W42" i="33"/>
  <c r="AK42" i="33" s="1"/>
  <c r="V42" i="33"/>
  <c r="AJ42" i="33" s="1"/>
  <c r="U42" i="33"/>
  <c r="AI42" i="33" s="1"/>
  <c r="T42" i="33"/>
  <c r="AH42" i="33" s="1"/>
  <c r="S42" i="33"/>
  <c r="AG42" i="33" s="1"/>
  <c r="AC42" i="33"/>
  <c r="AB42" i="33"/>
  <c r="AA42" i="33"/>
  <c r="Z42" i="33"/>
  <c r="AN42" i="33" s="1"/>
  <c r="AD41" i="33"/>
  <c r="Y41" i="33"/>
  <c r="AM41" i="33" s="1"/>
  <c r="X41" i="33"/>
  <c r="AL41" i="33" s="1"/>
  <c r="W41" i="33"/>
  <c r="AK41" i="33" s="1"/>
  <c r="V41" i="33"/>
  <c r="U41" i="33"/>
  <c r="AI41" i="33" s="1"/>
  <c r="T41" i="33"/>
  <c r="AH41" i="33" s="1"/>
  <c r="S41" i="33"/>
  <c r="AG41" i="33" s="1"/>
  <c r="AD40" i="33"/>
  <c r="Y40" i="33"/>
  <c r="AM40" i="33" s="1"/>
  <c r="X40" i="33"/>
  <c r="AL40" i="33" s="1"/>
  <c r="W40" i="33"/>
  <c r="AK40" i="33" s="1"/>
  <c r="V40" i="33"/>
  <c r="AJ40" i="33" s="1"/>
  <c r="U40" i="33"/>
  <c r="AI40" i="33" s="1"/>
  <c r="T40" i="33"/>
  <c r="AH40" i="33" s="1"/>
  <c r="S40" i="33"/>
  <c r="AG40" i="33" s="1"/>
  <c r="AC40" i="33"/>
  <c r="AQ40" i="33" s="1"/>
  <c r="AB40" i="33"/>
  <c r="AA40" i="33"/>
  <c r="AO40" i="33" s="1"/>
  <c r="Z40" i="33"/>
  <c r="AN40" i="33" s="1"/>
  <c r="AU39" i="33"/>
  <c r="AD39" i="33"/>
  <c r="AC39" i="33"/>
  <c r="AQ39" i="33" s="1"/>
  <c r="AB39" i="33"/>
  <c r="AP39" i="33" s="1"/>
  <c r="AA39" i="33"/>
  <c r="Z39" i="33"/>
  <c r="AN39" i="33" s="1"/>
  <c r="AD38" i="33"/>
  <c r="Y38" i="33"/>
  <c r="AM38" i="33" s="1"/>
  <c r="X38" i="33"/>
  <c r="AL38" i="33" s="1"/>
  <c r="W38" i="33"/>
  <c r="AK38" i="33" s="1"/>
  <c r="V38" i="33"/>
  <c r="AJ38" i="33" s="1"/>
  <c r="U38" i="33"/>
  <c r="AI38" i="33" s="1"/>
  <c r="T38" i="33"/>
  <c r="AH38" i="33" s="1"/>
  <c r="S38" i="33"/>
  <c r="AC38" i="33"/>
  <c r="AQ38" i="33" s="1"/>
  <c r="AB38" i="33"/>
  <c r="AP38" i="33" s="1"/>
  <c r="AA38" i="33"/>
  <c r="Z38" i="33"/>
  <c r="AJ37" i="33"/>
  <c r="AD37" i="33"/>
  <c r="Y37" i="33"/>
  <c r="AM37" i="33" s="1"/>
  <c r="X37" i="33"/>
  <c r="AL37" i="33" s="1"/>
  <c r="W37" i="33"/>
  <c r="AK37" i="33" s="1"/>
  <c r="V37" i="33"/>
  <c r="U37" i="33"/>
  <c r="AI37" i="33" s="1"/>
  <c r="T37" i="33"/>
  <c r="AH37" i="33" s="1"/>
  <c r="S37" i="33"/>
  <c r="AC37" i="33"/>
  <c r="AB37" i="33"/>
  <c r="AA37" i="33"/>
  <c r="Z37" i="33"/>
  <c r="AD36" i="33"/>
  <c r="AC36" i="33"/>
  <c r="Y36" i="33"/>
  <c r="X36" i="33"/>
  <c r="AL36" i="33" s="1"/>
  <c r="W36" i="33"/>
  <c r="AK36" i="33" s="1"/>
  <c r="V36" i="33"/>
  <c r="U36" i="33"/>
  <c r="AI36" i="33" s="1"/>
  <c r="T36" i="33"/>
  <c r="AH36" i="33" s="1"/>
  <c r="S36" i="33"/>
  <c r="AG36" i="33" s="1"/>
  <c r="AB36" i="33"/>
  <c r="AA36" i="33"/>
  <c r="Z36" i="33"/>
  <c r="AN36" i="33" s="1"/>
  <c r="AD35" i="33"/>
  <c r="AB35" i="33"/>
  <c r="Y35" i="33"/>
  <c r="AM35" i="33" s="1"/>
  <c r="X35" i="33"/>
  <c r="AL35" i="33" s="1"/>
  <c r="W35" i="33"/>
  <c r="AK35" i="33" s="1"/>
  <c r="V35" i="33"/>
  <c r="AJ35" i="33" s="1"/>
  <c r="U35" i="33"/>
  <c r="AI35" i="33" s="1"/>
  <c r="T35" i="33"/>
  <c r="AH35" i="33" s="1"/>
  <c r="S35" i="33"/>
  <c r="AC35" i="33"/>
  <c r="AA35" i="33"/>
  <c r="Z35" i="33"/>
  <c r="AN35" i="33" s="1"/>
  <c r="AK34" i="33"/>
  <c r="AD34" i="33"/>
  <c r="AB34" i="33"/>
  <c r="AP34" i="33" s="1"/>
  <c r="AA34" i="33"/>
  <c r="AO34" i="33" s="1"/>
  <c r="Y34" i="33"/>
  <c r="X34" i="33"/>
  <c r="W34" i="33"/>
  <c r="V34" i="33"/>
  <c r="AJ34" i="33" s="1"/>
  <c r="U34" i="33"/>
  <c r="AI34" i="33" s="1"/>
  <c r="T34" i="33"/>
  <c r="AH34" i="33" s="1"/>
  <c r="S34" i="33"/>
  <c r="AC34" i="33"/>
  <c r="AQ34" i="33" s="1"/>
  <c r="Z34" i="33"/>
  <c r="AD33" i="33"/>
  <c r="Y33" i="33"/>
  <c r="AM33" i="33" s="1"/>
  <c r="X33" i="33"/>
  <c r="AL33" i="33" s="1"/>
  <c r="W33" i="33"/>
  <c r="AK33" i="33" s="1"/>
  <c r="V33" i="33"/>
  <c r="AJ33" i="33" s="1"/>
  <c r="U33" i="33"/>
  <c r="AI33" i="33" s="1"/>
  <c r="T33" i="33"/>
  <c r="AH33" i="33" s="1"/>
  <c r="S33" i="33"/>
  <c r="AG33" i="33" s="1"/>
  <c r="AC33" i="33"/>
  <c r="AB33" i="33"/>
  <c r="AA33" i="33"/>
  <c r="Z33" i="33"/>
  <c r="AD32" i="33"/>
  <c r="Y32" i="33"/>
  <c r="AM32" i="33" s="1"/>
  <c r="X32" i="33"/>
  <c r="AL32" i="33" s="1"/>
  <c r="W32" i="33"/>
  <c r="AK32" i="33" s="1"/>
  <c r="V32" i="33"/>
  <c r="AJ32" i="33" s="1"/>
  <c r="U32" i="33"/>
  <c r="AI32" i="33" s="1"/>
  <c r="T32" i="33"/>
  <c r="S32" i="33"/>
  <c r="AG32" i="33" s="1"/>
  <c r="AC32" i="33"/>
  <c r="AB32" i="33"/>
  <c r="AP32" i="33" s="1"/>
  <c r="AA32" i="33"/>
  <c r="Z32" i="33"/>
  <c r="AN32" i="33" s="1"/>
  <c r="AH31" i="33"/>
  <c r="AD31" i="33"/>
  <c r="Y31" i="33"/>
  <c r="AM31" i="33" s="1"/>
  <c r="X31" i="33"/>
  <c r="AL31" i="33" s="1"/>
  <c r="W31" i="33"/>
  <c r="AK31" i="33" s="1"/>
  <c r="V31" i="33"/>
  <c r="AJ31" i="33" s="1"/>
  <c r="U31" i="33"/>
  <c r="AI31" i="33" s="1"/>
  <c r="T31" i="33"/>
  <c r="S31" i="33"/>
  <c r="AG31" i="33" s="1"/>
  <c r="AC31" i="33"/>
  <c r="AQ31" i="33" s="1"/>
  <c r="AB31" i="33"/>
  <c r="AA31" i="33"/>
  <c r="AO31" i="33" s="1"/>
  <c r="Z31" i="33"/>
  <c r="AD30" i="33"/>
  <c r="Y30" i="33"/>
  <c r="AM30" i="33" s="1"/>
  <c r="X30" i="33"/>
  <c r="AL30" i="33" s="1"/>
  <c r="W30" i="33"/>
  <c r="AK30" i="33" s="1"/>
  <c r="V30" i="33"/>
  <c r="AJ30" i="33" s="1"/>
  <c r="U30" i="33"/>
  <c r="AI30" i="33" s="1"/>
  <c r="T30" i="33"/>
  <c r="AH30" i="33" s="1"/>
  <c r="S30" i="33"/>
  <c r="AC30" i="33"/>
  <c r="AQ30" i="33" s="1"/>
  <c r="AB30" i="33"/>
  <c r="AA30" i="33"/>
  <c r="Z30" i="33"/>
  <c r="AJ29" i="33"/>
  <c r="AD29" i="33"/>
  <c r="Y29" i="33"/>
  <c r="AM29" i="33" s="1"/>
  <c r="X29" i="33"/>
  <c r="AL29" i="33" s="1"/>
  <c r="W29" i="33"/>
  <c r="AK29" i="33" s="1"/>
  <c r="V29" i="33"/>
  <c r="U29" i="33"/>
  <c r="AI29" i="33" s="1"/>
  <c r="T29" i="33"/>
  <c r="AH29" i="33" s="1"/>
  <c r="S29" i="33"/>
  <c r="AG29" i="33" s="1"/>
  <c r="AC29" i="33"/>
  <c r="AB29" i="33"/>
  <c r="AA29" i="33"/>
  <c r="Z29" i="33"/>
  <c r="AD28" i="33"/>
  <c r="Y28" i="33"/>
  <c r="AM28" i="33" s="1"/>
  <c r="X28" i="33"/>
  <c r="AL28" i="33" s="1"/>
  <c r="W28" i="33"/>
  <c r="AK28" i="33" s="1"/>
  <c r="V28" i="33"/>
  <c r="AJ28" i="33" s="1"/>
  <c r="U28" i="33"/>
  <c r="AI28" i="33" s="1"/>
  <c r="T28" i="33"/>
  <c r="AH28" i="33" s="1"/>
  <c r="S28" i="33"/>
  <c r="AG28" i="33" s="1"/>
  <c r="AC28" i="33"/>
  <c r="AB28" i="33"/>
  <c r="AA28" i="33"/>
  <c r="Z28" i="33"/>
  <c r="AH27" i="33"/>
  <c r="AG27" i="33"/>
  <c r="AD27" i="33"/>
  <c r="Y27" i="33"/>
  <c r="AM27" i="33" s="1"/>
  <c r="X27" i="33"/>
  <c r="AL27" i="33" s="1"/>
  <c r="W27" i="33"/>
  <c r="AK27" i="33" s="1"/>
  <c r="V27" i="33"/>
  <c r="AJ27" i="33" s="1"/>
  <c r="U27" i="33"/>
  <c r="AI27" i="33" s="1"/>
  <c r="T27" i="33"/>
  <c r="S27" i="33"/>
  <c r="AC27" i="33"/>
  <c r="AA27" i="33"/>
  <c r="AO27" i="33" s="1"/>
  <c r="Z27" i="33"/>
  <c r="AG26" i="33"/>
  <c r="AD26" i="33"/>
  <c r="Y26" i="33"/>
  <c r="AM26" i="33" s="1"/>
  <c r="X26" i="33"/>
  <c r="AL26" i="33" s="1"/>
  <c r="W26" i="33"/>
  <c r="AK26" i="33" s="1"/>
  <c r="V26" i="33"/>
  <c r="AJ26" i="33" s="1"/>
  <c r="U26" i="33"/>
  <c r="AI26" i="33" s="1"/>
  <c r="T26" i="33"/>
  <c r="AH26" i="33" s="1"/>
  <c r="S26" i="33"/>
  <c r="AC26" i="33"/>
  <c r="AQ26" i="33" s="1"/>
  <c r="AB26" i="33"/>
  <c r="AA26" i="33"/>
  <c r="AO26" i="33" s="1"/>
  <c r="Z26" i="33"/>
  <c r="AN26" i="33" s="1"/>
  <c r="AM25" i="33"/>
  <c r="AD25" i="33"/>
  <c r="Y25" i="33"/>
  <c r="X25" i="33"/>
  <c r="AL25" i="33" s="1"/>
  <c r="W25" i="33"/>
  <c r="AK25" i="33" s="1"/>
  <c r="V25" i="33"/>
  <c r="AJ25" i="33" s="1"/>
  <c r="U25" i="33"/>
  <c r="AI25" i="33" s="1"/>
  <c r="T25" i="33"/>
  <c r="AH25" i="33" s="1"/>
  <c r="S25" i="33"/>
  <c r="AG25" i="33" s="1"/>
  <c r="AC25" i="33"/>
  <c r="AQ25" i="33" s="1"/>
  <c r="AB25" i="33"/>
  <c r="AP25" i="33" s="1"/>
  <c r="AA25" i="33"/>
  <c r="Z25" i="33"/>
  <c r="AD24" i="33"/>
  <c r="Y24" i="33"/>
  <c r="AM24" i="33" s="1"/>
  <c r="X24" i="33"/>
  <c r="AL24" i="33" s="1"/>
  <c r="W24" i="33"/>
  <c r="AK24" i="33" s="1"/>
  <c r="V24" i="33"/>
  <c r="AJ24" i="33" s="1"/>
  <c r="U24" i="33"/>
  <c r="AI24" i="33" s="1"/>
  <c r="T24" i="33"/>
  <c r="AH24" i="33" s="1"/>
  <c r="S24" i="33"/>
  <c r="AG24" i="33" s="1"/>
  <c r="AC24" i="33"/>
  <c r="AQ24" i="33" s="1"/>
  <c r="AB24" i="33"/>
  <c r="AP24" i="33" s="1"/>
  <c r="AA24" i="33"/>
  <c r="Z24" i="33"/>
  <c r="AD23" i="33"/>
  <c r="Y23" i="33"/>
  <c r="AM23" i="33" s="1"/>
  <c r="X23" i="33"/>
  <c r="AL23" i="33" s="1"/>
  <c r="W23" i="33"/>
  <c r="AK23" i="33" s="1"/>
  <c r="V23" i="33"/>
  <c r="AJ23" i="33" s="1"/>
  <c r="U23" i="33"/>
  <c r="AI23" i="33" s="1"/>
  <c r="T23" i="33"/>
  <c r="AH23" i="33" s="1"/>
  <c r="S23" i="33"/>
  <c r="AG23" i="33" s="1"/>
  <c r="AC23" i="33"/>
  <c r="AQ23" i="33" s="1"/>
  <c r="AB23" i="33"/>
  <c r="AA23" i="33"/>
  <c r="Z23" i="33"/>
  <c r="AD22" i="33"/>
  <c r="Y22" i="33"/>
  <c r="AM22" i="33" s="1"/>
  <c r="X22" i="33"/>
  <c r="AL22" i="33" s="1"/>
  <c r="W22" i="33"/>
  <c r="AK22" i="33" s="1"/>
  <c r="V22" i="33"/>
  <c r="AJ22" i="33" s="1"/>
  <c r="U22" i="33"/>
  <c r="AI22" i="33" s="1"/>
  <c r="T22" i="33"/>
  <c r="AH22" i="33" s="1"/>
  <c r="S22" i="33"/>
  <c r="AG22" i="33" s="1"/>
  <c r="AC22" i="33"/>
  <c r="AB22" i="33"/>
  <c r="AA22" i="33"/>
  <c r="Z22" i="33"/>
  <c r="AD21" i="33"/>
  <c r="Y21" i="33"/>
  <c r="AM21" i="33" s="1"/>
  <c r="X21" i="33"/>
  <c r="AL21" i="33" s="1"/>
  <c r="W21" i="33"/>
  <c r="AK21" i="33" s="1"/>
  <c r="V21" i="33"/>
  <c r="AJ21" i="33" s="1"/>
  <c r="U21" i="33"/>
  <c r="AI21" i="33" s="1"/>
  <c r="T21" i="33"/>
  <c r="AH21" i="33" s="1"/>
  <c r="S21" i="33"/>
  <c r="AG21" i="33" s="1"/>
  <c r="AC21" i="33"/>
  <c r="AB21" i="33"/>
  <c r="AA21" i="33"/>
  <c r="Z21" i="33"/>
  <c r="AD20" i="33"/>
  <c r="Y20" i="33"/>
  <c r="AM20" i="33" s="1"/>
  <c r="X20" i="33"/>
  <c r="AL20" i="33" s="1"/>
  <c r="W20" i="33"/>
  <c r="AK20" i="33" s="1"/>
  <c r="V20" i="33"/>
  <c r="AJ20" i="33" s="1"/>
  <c r="U20" i="33"/>
  <c r="AI20" i="33" s="1"/>
  <c r="T20" i="33"/>
  <c r="AH20" i="33" s="1"/>
  <c r="S20" i="33"/>
  <c r="AG20" i="33" s="1"/>
  <c r="AC20" i="33"/>
  <c r="AB20" i="33"/>
  <c r="AA20" i="33"/>
  <c r="Z20" i="33"/>
  <c r="AD19" i="33"/>
  <c r="AR19" i="33" s="1"/>
  <c r="Y19" i="33"/>
  <c r="X19" i="33"/>
  <c r="AL19" i="33" s="1"/>
  <c r="W19" i="33"/>
  <c r="AK19" i="33" s="1"/>
  <c r="V19" i="33"/>
  <c r="AJ19" i="33" s="1"/>
  <c r="U19" i="33"/>
  <c r="AI19" i="33" s="1"/>
  <c r="T19" i="33"/>
  <c r="AH19" i="33" s="1"/>
  <c r="S19" i="33"/>
  <c r="AC19" i="33"/>
  <c r="AB19" i="33"/>
  <c r="AA19" i="33"/>
  <c r="AO19" i="33" s="1"/>
  <c r="Z19" i="33"/>
  <c r="AN19" i="33" s="1"/>
  <c r="AD18" i="33"/>
  <c r="Y18" i="33"/>
  <c r="X18" i="33"/>
  <c r="W18" i="33"/>
  <c r="V18" i="33"/>
  <c r="AJ18" i="33" s="1"/>
  <c r="U18" i="33"/>
  <c r="AI18" i="33" s="1"/>
  <c r="T18" i="33"/>
  <c r="AH18" i="33" s="1"/>
  <c r="S18" i="33"/>
  <c r="AB18" i="33"/>
  <c r="AA18" i="33"/>
  <c r="AD17" i="33"/>
  <c r="AA17" i="33"/>
  <c r="AO17" i="33" s="1"/>
  <c r="Y17" i="33"/>
  <c r="X17" i="33"/>
  <c r="AL17" i="33" s="1"/>
  <c r="W17" i="33"/>
  <c r="AK17" i="33" s="1"/>
  <c r="V17" i="33"/>
  <c r="AJ17" i="33" s="1"/>
  <c r="U17" i="33"/>
  <c r="AI17" i="33" s="1"/>
  <c r="T17" i="33"/>
  <c r="S17" i="33"/>
  <c r="AG17" i="33" s="1"/>
  <c r="AC17" i="33"/>
  <c r="AQ17" i="33" s="1"/>
  <c r="AB17" i="33"/>
  <c r="Z17" i="33"/>
  <c r="AN17" i="33" s="1"/>
  <c r="AD16" i="33"/>
  <c r="Y16" i="33"/>
  <c r="X16" i="33"/>
  <c r="AL16" i="33" s="1"/>
  <c r="W16" i="33"/>
  <c r="V16" i="33"/>
  <c r="U16" i="33"/>
  <c r="T16" i="33"/>
  <c r="AH16" i="33" s="1"/>
  <c r="S16" i="33"/>
  <c r="AG16" i="33" s="1"/>
  <c r="AB16" i="33"/>
  <c r="AA16" i="33"/>
  <c r="Z16" i="33"/>
  <c r="AD15" i="33"/>
  <c r="Y15" i="33"/>
  <c r="AM15" i="33" s="1"/>
  <c r="X15" i="33"/>
  <c r="AL15" i="33" s="1"/>
  <c r="W15" i="33"/>
  <c r="AK15" i="33" s="1"/>
  <c r="V15" i="33"/>
  <c r="AJ15" i="33" s="1"/>
  <c r="U15" i="33"/>
  <c r="AI15" i="33" s="1"/>
  <c r="T15" i="33"/>
  <c r="AH15" i="33" s="1"/>
  <c r="S15" i="33"/>
  <c r="AG15" i="33" s="1"/>
  <c r="Q80" i="33"/>
  <c r="AC15" i="33"/>
  <c r="AB15" i="33"/>
  <c r="AD14" i="33"/>
  <c r="Y14" i="33"/>
  <c r="X14" i="33"/>
  <c r="AL14" i="33" s="1"/>
  <c r="W14" i="33"/>
  <c r="AK14" i="33" s="1"/>
  <c r="V14" i="33"/>
  <c r="AJ14" i="33" s="1"/>
  <c r="U14" i="33"/>
  <c r="AI14" i="33" s="1"/>
  <c r="T14" i="33"/>
  <c r="AH14" i="33" s="1"/>
  <c r="S14" i="33"/>
  <c r="AG14" i="33" s="1"/>
  <c r="AC14" i="33"/>
  <c r="AB14" i="33"/>
  <c r="AA14" i="33"/>
  <c r="Z14" i="33"/>
  <c r="AD13" i="33"/>
  <c r="Y13" i="33"/>
  <c r="AM13" i="33" s="1"/>
  <c r="X13" i="33"/>
  <c r="AL13" i="33" s="1"/>
  <c r="W13" i="33"/>
  <c r="AK13" i="33" s="1"/>
  <c r="V13" i="33"/>
  <c r="AJ13" i="33" s="1"/>
  <c r="U13" i="33"/>
  <c r="AI13" i="33" s="1"/>
  <c r="T13" i="33"/>
  <c r="AH13" i="33" s="1"/>
  <c r="S13" i="33"/>
  <c r="AG13" i="33" s="1"/>
  <c r="AC13" i="33"/>
  <c r="AB13" i="33"/>
  <c r="AA13" i="33"/>
  <c r="AO13" i="33" s="1"/>
  <c r="Z13" i="33"/>
  <c r="AD12" i="33"/>
  <c r="Y12" i="33"/>
  <c r="AM12" i="33" s="1"/>
  <c r="X12" i="33"/>
  <c r="AL12" i="33" s="1"/>
  <c r="W12" i="33"/>
  <c r="AK12" i="33" s="1"/>
  <c r="V12" i="33"/>
  <c r="AJ12" i="33" s="1"/>
  <c r="U12" i="33"/>
  <c r="AI12" i="33" s="1"/>
  <c r="T12" i="33"/>
  <c r="AH12" i="33" s="1"/>
  <c r="S12" i="33"/>
  <c r="AG12" i="33" s="1"/>
  <c r="AC12" i="33"/>
  <c r="AB12" i="33"/>
  <c r="AA12" i="33"/>
  <c r="Z12" i="33"/>
  <c r="AN12" i="33" s="1"/>
  <c r="AD11" i="33"/>
  <c r="Y11" i="33"/>
  <c r="AM11" i="33" s="1"/>
  <c r="X11" i="33"/>
  <c r="AL11" i="33" s="1"/>
  <c r="W11" i="33"/>
  <c r="AK11" i="33" s="1"/>
  <c r="V11" i="33"/>
  <c r="AJ11" i="33" s="1"/>
  <c r="U11" i="33"/>
  <c r="AI11" i="33" s="1"/>
  <c r="T11" i="33"/>
  <c r="AH11" i="33" s="1"/>
  <c r="S11" i="33"/>
  <c r="AG11" i="33" s="1"/>
  <c r="AC11" i="33"/>
  <c r="AQ11" i="33" s="1"/>
  <c r="AB11" i="33"/>
  <c r="AA11" i="33"/>
  <c r="Z11" i="33"/>
  <c r="AD10" i="33"/>
  <c r="AA10" i="33"/>
  <c r="Y10" i="33"/>
  <c r="AM10" i="33" s="1"/>
  <c r="X10" i="33"/>
  <c r="AL10" i="33" s="1"/>
  <c r="W10" i="33"/>
  <c r="AK10" i="33" s="1"/>
  <c r="V10" i="33"/>
  <c r="AJ10" i="33" s="1"/>
  <c r="U10" i="33"/>
  <c r="AI10" i="33" s="1"/>
  <c r="T10" i="33"/>
  <c r="AH10" i="33" s="1"/>
  <c r="S10" i="33"/>
  <c r="AG10" i="33" s="1"/>
  <c r="AC10" i="33"/>
  <c r="AQ10" i="33" s="1"/>
  <c r="AB10" i="33"/>
  <c r="Z10" i="33"/>
  <c r="AN10" i="33" s="1"/>
  <c r="AD9" i="33"/>
  <c r="AC9" i="33"/>
  <c r="AD8" i="33"/>
  <c r="Y8" i="33"/>
  <c r="AM8" i="33" s="1"/>
  <c r="X8" i="33"/>
  <c r="AL8" i="33" s="1"/>
  <c r="W8" i="33"/>
  <c r="AK8" i="33" s="1"/>
  <c r="V8" i="33"/>
  <c r="AJ8" i="33" s="1"/>
  <c r="U8" i="33"/>
  <c r="AI8" i="33" s="1"/>
  <c r="T8" i="33"/>
  <c r="AH8" i="33" s="1"/>
  <c r="S8" i="33"/>
  <c r="AG8" i="33" s="1"/>
  <c r="AC8" i="33"/>
  <c r="AB8" i="33"/>
  <c r="AA8" i="33"/>
  <c r="AD7" i="33"/>
  <c r="AC7" i="33"/>
  <c r="AB7" i="33"/>
  <c r="Y7" i="33"/>
  <c r="AM7" i="33" s="1"/>
  <c r="X7" i="33"/>
  <c r="AL7" i="33" s="1"/>
  <c r="W7" i="33"/>
  <c r="AK7" i="33" s="1"/>
  <c r="V7" i="33"/>
  <c r="AJ7" i="33" s="1"/>
  <c r="U7" i="33"/>
  <c r="T7" i="33"/>
  <c r="AH7" i="33" s="1"/>
  <c r="S7" i="33"/>
  <c r="M73" i="33"/>
  <c r="Z7" i="33"/>
  <c r="AN7" i="33" s="1"/>
  <c r="AG6" i="33"/>
  <c r="AD6" i="33"/>
  <c r="Y6" i="33"/>
  <c r="AM6" i="33" s="1"/>
  <c r="X6" i="33"/>
  <c r="AL6" i="33" s="1"/>
  <c r="W6" i="33"/>
  <c r="AK6" i="33" s="1"/>
  <c r="V6" i="33"/>
  <c r="AJ6" i="33" s="1"/>
  <c r="U6" i="33"/>
  <c r="AI6" i="33" s="1"/>
  <c r="T6" i="33"/>
  <c r="S6" i="33"/>
  <c r="AC6" i="33"/>
  <c r="AQ6" i="33" s="1"/>
  <c r="AB6" i="33"/>
  <c r="AA6" i="33"/>
  <c r="AO6" i="33" s="1"/>
  <c r="Z6" i="33"/>
  <c r="AN6" i="33" s="1"/>
  <c r="AD5" i="33"/>
  <c r="AD78" i="33" s="1"/>
  <c r="Y5" i="33"/>
  <c r="AM5" i="33" s="1"/>
  <c r="AM78" i="33" s="1"/>
  <c r="X5" i="33"/>
  <c r="AL5" i="33" s="1"/>
  <c r="AL78" i="33" s="1"/>
  <c r="W5" i="33"/>
  <c r="AK5" i="33" s="1"/>
  <c r="AK78" i="33" s="1"/>
  <c r="V5" i="33"/>
  <c r="V78" i="33" s="1"/>
  <c r="U5" i="33"/>
  <c r="T5" i="33"/>
  <c r="T78" i="33" s="1"/>
  <c r="S5" i="33"/>
  <c r="AG5" i="33" s="1"/>
  <c r="AG78" i="33" s="1"/>
  <c r="O78" i="33"/>
  <c r="L78" i="33"/>
  <c r="AR50" i="33"/>
  <c r="AT1" i="31"/>
  <c r="AN34" i="33"/>
  <c r="AC2" i="33"/>
  <c r="AB2" i="33"/>
  <c r="AA2" i="33"/>
  <c r="Z2" i="33"/>
  <c r="Y2" i="33"/>
  <c r="X2" i="33"/>
  <c r="W2" i="33"/>
  <c r="V2" i="33"/>
  <c r="U2" i="33"/>
  <c r="T2" i="33"/>
  <c r="S2" i="33"/>
  <c r="F179" i="31" l="1"/>
  <c r="J179" i="31"/>
  <c r="AL69" i="33"/>
  <c r="AA179" i="31" s="1"/>
  <c r="N179" i="31"/>
  <c r="E76" i="33"/>
  <c r="R179" i="31"/>
  <c r="AV49" i="33"/>
  <c r="F76" i="33"/>
  <c r="V179" i="31"/>
  <c r="T82" i="33"/>
  <c r="AO198" i="27"/>
  <c r="AP198" i="27" s="1"/>
  <c r="I84" i="27"/>
  <c r="I198" i="27"/>
  <c r="I215" i="27" s="1"/>
  <c r="I222" i="27" s="1"/>
  <c r="K253" i="27"/>
  <c r="N33" i="31"/>
  <c r="N125" i="31"/>
  <c r="O125" i="31" s="1"/>
  <c r="N131" i="31"/>
  <c r="O131" i="31" s="1"/>
  <c r="N137" i="31"/>
  <c r="O137" i="31" s="1"/>
  <c r="N143" i="31"/>
  <c r="O143" i="31" s="1"/>
  <c r="N149" i="31"/>
  <c r="O149" i="31" s="1"/>
  <c r="N155" i="31"/>
  <c r="O155" i="31" s="1"/>
  <c r="N161" i="31"/>
  <c r="O161" i="31" s="1"/>
  <c r="N126" i="31"/>
  <c r="O126" i="31" s="1"/>
  <c r="N132" i="31"/>
  <c r="O132" i="31" s="1"/>
  <c r="N138" i="31"/>
  <c r="O138" i="31" s="1"/>
  <c r="N144" i="31"/>
  <c r="O144" i="31" s="1"/>
  <c r="N150" i="31"/>
  <c r="O150" i="31" s="1"/>
  <c r="N156" i="31"/>
  <c r="O156" i="31" s="1"/>
  <c r="N162" i="31"/>
  <c r="O162" i="31" s="1"/>
  <c r="N122" i="31"/>
  <c r="O122" i="31" s="1"/>
  <c r="N130" i="31"/>
  <c r="O130" i="31" s="1"/>
  <c r="N140" i="31"/>
  <c r="O140" i="31" s="1"/>
  <c r="N148" i="31"/>
  <c r="O148" i="31" s="1"/>
  <c r="N158" i="31"/>
  <c r="O158" i="31" s="1"/>
  <c r="N165" i="31"/>
  <c r="O165" i="31" s="1"/>
  <c r="N135" i="31"/>
  <c r="O135" i="31" s="1"/>
  <c r="N123" i="31"/>
  <c r="O123" i="31" s="1"/>
  <c r="N133" i="31"/>
  <c r="O133" i="31" s="1"/>
  <c r="N141" i="31"/>
  <c r="O141" i="31" s="1"/>
  <c r="N151" i="31"/>
  <c r="O151" i="31" s="1"/>
  <c r="N159" i="31"/>
  <c r="O159" i="31" s="1"/>
  <c r="N124" i="31"/>
  <c r="O124" i="31" s="1"/>
  <c r="N134" i="31"/>
  <c r="O134" i="31" s="1"/>
  <c r="N142" i="31"/>
  <c r="O142" i="31" s="1"/>
  <c r="N152" i="31"/>
  <c r="O152" i="31" s="1"/>
  <c r="N160" i="31"/>
  <c r="O160" i="31" s="1"/>
  <c r="N127" i="31"/>
  <c r="O127" i="31" s="1"/>
  <c r="N145" i="31"/>
  <c r="O145" i="31" s="1"/>
  <c r="N153" i="31"/>
  <c r="O153" i="31" s="1"/>
  <c r="N163" i="31"/>
  <c r="O163" i="31" s="1"/>
  <c r="N146" i="31"/>
  <c r="O146" i="31" s="1"/>
  <c r="N128" i="31"/>
  <c r="O128" i="31" s="1"/>
  <c r="N129" i="31"/>
  <c r="O129" i="31" s="1"/>
  <c r="N157" i="31"/>
  <c r="O157" i="31" s="1"/>
  <c r="N147" i="31"/>
  <c r="O147" i="31" s="1"/>
  <c r="N136" i="31"/>
  <c r="O136" i="31" s="1"/>
  <c r="N164" i="31"/>
  <c r="O164" i="31" s="1"/>
  <c r="N139" i="31"/>
  <c r="O139" i="31" s="1"/>
  <c r="N120" i="31"/>
  <c r="O120" i="31" s="1"/>
  <c r="N121" i="31"/>
  <c r="O121" i="31" s="1"/>
  <c r="N154" i="31"/>
  <c r="O154" i="31" s="1"/>
  <c r="N166" i="31"/>
  <c r="AP164" i="31"/>
  <c r="AQ164" i="31" s="1"/>
  <c r="AP154" i="31"/>
  <c r="AQ154" i="31" s="1"/>
  <c r="AP135" i="31"/>
  <c r="AQ135" i="31" s="1"/>
  <c r="AP125" i="31"/>
  <c r="AQ125" i="31" s="1"/>
  <c r="AP163" i="31"/>
  <c r="AQ163" i="31" s="1"/>
  <c r="AP153" i="31"/>
  <c r="AQ153" i="31" s="1"/>
  <c r="AP144" i="31"/>
  <c r="AQ144" i="31" s="1"/>
  <c r="AP134" i="31"/>
  <c r="AQ134" i="31" s="1"/>
  <c r="AP162" i="31"/>
  <c r="AQ162" i="31" s="1"/>
  <c r="AP143" i="31"/>
  <c r="AQ143" i="31" s="1"/>
  <c r="AP133" i="31"/>
  <c r="AQ133" i="31" s="1"/>
  <c r="AP124" i="31"/>
  <c r="AQ124" i="31" s="1"/>
  <c r="AP161" i="31"/>
  <c r="AQ161" i="31" s="1"/>
  <c r="AP152" i="31"/>
  <c r="AQ152" i="31" s="1"/>
  <c r="AP142" i="31"/>
  <c r="AQ142" i="31" s="1"/>
  <c r="AP123" i="31"/>
  <c r="AQ123" i="31" s="1"/>
  <c r="AP151" i="31"/>
  <c r="AQ151" i="31" s="1"/>
  <c r="AP132" i="31"/>
  <c r="AQ132" i="31" s="1"/>
  <c r="AP122" i="31"/>
  <c r="AQ122" i="31" s="1"/>
  <c r="AP141" i="31"/>
  <c r="AQ141" i="31" s="1"/>
  <c r="AP150" i="31"/>
  <c r="AQ150" i="31" s="1"/>
  <c r="AP128" i="31"/>
  <c r="AQ128" i="31" s="1"/>
  <c r="AP165" i="31"/>
  <c r="AQ165" i="31" s="1"/>
  <c r="AP127" i="31"/>
  <c r="AQ127" i="31" s="1"/>
  <c r="AP149" i="31"/>
  <c r="AQ149" i="31" s="1"/>
  <c r="AP136" i="31"/>
  <c r="AQ136" i="31" s="1"/>
  <c r="AP158" i="31"/>
  <c r="AQ158" i="31" s="1"/>
  <c r="AP131" i="31"/>
  <c r="AQ131" i="31" s="1"/>
  <c r="AP148" i="31"/>
  <c r="AQ148" i="31" s="1"/>
  <c r="AP130" i="31"/>
  <c r="AQ130" i="31" s="1"/>
  <c r="AP129" i="31"/>
  <c r="AQ129" i="31" s="1"/>
  <c r="AP160" i="31"/>
  <c r="AQ160" i="31" s="1"/>
  <c r="AP146" i="31"/>
  <c r="AQ146" i="31" s="1"/>
  <c r="AP159" i="31"/>
  <c r="AQ159" i="31" s="1"/>
  <c r="AP145" i="31"/>
  <c r="AQ145" i="31" s="1"/>
  <c r="AP147" i="31"/>
  <c r="AQ147" i="31" s="1"/>
  <c r="AP121" i="31"/>
  <c r="AQ121" i="31" s="1"/>
  <c r="AP120" i="31"/>
  <c r="AQ120" i="31" s="1"/>
  <c r="AP137" i="31"/>
  <c r="AQ137" i="31" s="1"/>
  <c r="AP126" i="31"/>
  <c r="AQ126" i="31" s="1"/>
  <c r="AP157" i="31"/>
  <c r="AQ157" i="31" s="1"/>
  <c r="AP156" i="31"/>
  <c r="AQ156" i="31" s="1"/>
  <c r="AP155" i="31"/>
  <c r="AQ155" i="31" s="1"/>
  <c r="AP140" i="31"/>
  <c r="AQ140" i="31" s="1"/>
  <c r="AP139" i="31"/>
  <c r="AQ139" i="31" s="1"/>
  <c r="AP138" i="31"/>
  <c r="AQ138" i="31" s="1"/>
  <c r="AP166" i="31"/>
  <c r="R16" i="31"/>
  <c r="S16" i="31" s="1"/>
  <c r="G80" i="31"/>
  <c r="G163" i="31"/>
  <c r="G156" i="31"/>
  <c r="G151" i="31"/>
  <c r="G150" i="31"/>
  <c r="G158" i="31"/>
  <c r="G126" i="31"/>
  <c r="G159" i="31"/>
  <c r="G143" i="31"/>
  <c r="G160" i="31"/>
  <c r="G146" i="31"/>
  <c r="G122" i="31"/>
  <c r="G152" i="31"/>
  <c r="G144" i="31"/>
  <c r="G136" i="31"/>
  <c r="G138" i="31"/>
  <c r="G130" i="31"/>
  <c r="G139" i="31"/>
  <c r="G162" i="31"/>
  <c r="G165" i="31"/>
  <c r="G166" i="31"/>
  <c r="G190" i="31" s="1"/>
  <c r="G161" i="31"/>
  <c r="G142" i="31"/>
  <c r="G133" i="31"/>
  <c r="G125" i="31"/>
  <c r="G132" i="31"/>
  <c r="G149" i="31"/>
  <c r="G148" i="31"/>
  <c r="G127" i="31"/>
  <c r="G147" i="31"/>
  <c r="G128" i="31"/>
  <c r="G131" i="31"/>
  <c r="G157" i="31"/>
  <c r="G154" i="31"/>
  <c r="G124" i="31"/>
  <c r="G137" i="31"/>
  <c r="G140" i="31"/>
  <c r="G121" i="31"/>
  <c r="G155" i="31"/>
  <c r="G135" i="31"/>
  <c r="G141" i="31"/>
  <c r="G145" i="31"/>
  <c r="G134" i="31"/>
  <c r="G120" i="31"/>
  <c r="G164" i="31"/>
  <c r="G153" i="31"/>
  <c r="G129" i="31"/>
  <c r="G123" i="31"/>
  <c r="V156" i="31"/>
  <c r="W156" i="31" s="1"/>
  <c r="V147" i="31"/>
  <c r="W147" i="31" s="1"/>
  <c r="V137" i="31"/>
  <c r="W137" i="31" s="1"/>
  <c r="V146" i="31"/>
  <c r="W146" i="31" s="1"/>
  <c r="V136" i="31"/>
  <c r="W136" i="31" s="1"/>
  <c r="V127" i="31"/>
  <c r="W127" i="31" s="1"/>
  <c r="V165" i="31"/>
  <c r="W165" i="31" s="1"/>
  <c r="V164" i="31"/>
  <c r="W164" i="31" s="1"/>
  <c r="V155" i="31"/>
  <c r="W155" i="31" s="1"/>
  <c r="V145" i="31"/>
  <c r="W145" i="31" s="1"/>
  <c r="V126" i="31"/>
  <c r="W126" i="31" s="1"/>
  <c r="V154" i="31"/>
  <c r="W154" i="31" s="1"/>
  <c r="V144" i="31"/>
  <c r="W144" i="31" s="1"/>
  <c r="V135" i="31"/>
  <c r="W135" i="31" s="1"/>
  <c r="V125" i="31"/>
  <c r="W125" i="31" s="1"/>
  <c r="V151" i="31"/>
  <c r="W151" i="31" s="1"/>
  <c r="V138" i="31"/>
  <c r="W138" i="31" s="1"/>
  <c r="V122" i="31"/>
  <c r="W122" i="31" s="1"/>
  <c r="V163" i="31"/>
  <c r="W163" i="31" s="1"/>
  <c r="V150" i="31"/>
  <c r="W150" i="31" s="1"/>
  <c r="V134" i="31"/>
  <c r="W134" i="31" s="1"/>
  <c r="V121" i="31"/>
  <c r="W121" i="31" s="1"/>
  <c r="V142" i="31"/>
  <c r="W142" i="31" s="1"/>
  <c r="V162" i="31"/>
  <c r="W162" i="31" s="1"/>
  <c r="V149" i="31"/>
  <c r="W149" i="31" s="1"/>
  <c r="V133" i="31"/>
  <c r="W133" i="31" s="1"/>
  <c r="V120" i="31"/>
  <c r="W120" i="31" s="1"/>
  <c r="V161" i="31"/>
  <c r="W161" i="31" s="1"/>
  <c r="V148" i="31"/>
  <c r="W148" i="31" s="1"/>
  <c r="V132" i="31"/>
  <c r="W132" i="31" s="1"/>
  <c r="V160" i="31"/>
  <c r="W160" i="31" s="1"/>
  <c r="V131" i="31"/>
  <c r="W131" i="31" s="1"/>
  <c r="V159" i="31"/>
  <c r="W159" i="31" s="1"/>
  <c r="V143" i="31"/>
  <c r="W143" i="31" s="1"/>
  <c r="V130" i="31"/>
  <c r="W130" i="31" s="1"/>
  <c r="V158" i="31"/>
  <c r="W158" i="31" s="1"/>
  <c r="V129" i="31"/>
  <c r="W129" i="31" s="1"/>
  <c r="V140" i="31"/>
  <c r="W140" i="31" s="1"/>
  <c r="V153" i="31"/>
  <c r="W153" i="31" s="1"/>
  <c r="V139" i="31"/>
  <c r="W139" i="31" s="1"/>
  <c r="V123" i="31"/>
  <c r="W123" i="31" s="1"/>
  <c r="V157" i="31"/>
  <c r="W157" i="31" s="1"/>
  <c r="V128" i="31"/>
  <c r="W128" i="31" s="1"/>
  <c r="V124" i="31"/>
  <c r="W124" i="31" s="1"/>
  <c r="V152" i="31"/>
  <c r="W152" i="31" s="1"/>
  <c r="V141" i="31"/>
  <c r="W141" i="31" s="1"/>
  <c r="V166" i="31"/>
  <c r="Z165" i="31"/>
  <c r="AA165" i="31" s="1"/>
  <c r="Z157" i="31"/>
  <c r="AA157" i="31" s="1"/>
  <c r="Z145" i="31"/>
  <c r="AA145" i="31" s="1"/>
  <c r="Z133" i="31"/>
  <c r="AA133" i="31" s="1"/>
  <c r="Z121" i="31"/>
  <c r="AA121" i="31" s="1"/>
  <c r="Z156" i="31"/>
  <c r="AA156" i="31" s="1"/>
  <c r="Z144" i="31"/>
  <c r="AA144" i="31" s="1"/>
  <c r="Z132" i="31"/>
  <c r="AA132" i="31" s="1"/>
  <c r="Z120" i="31"/>
  <c r="AA120" i="31" s="1"/>
  <c r="Z155" i="31"/>
  <c r="AA155" i="31" s="1"/>
  <c r="Z143" i="31"/>
  <c r="AA143" i="31" s="1"/>
  <c r="Z131" i="31"/>
  <c r="AA131" i="31" s="1"/>
  <c r="Z154" i="31"/>
  <c r="AA154" i="31" s="1"/>
  <c r="Z142" i="31"/>
  <c r="AA142" i="31" s="1"/>
  <c r="Z130" i="31"/>
  <c r="AA130" i="31" s="1"/>
  <c r="Z158" i="31"/>
  <c r="AA158" i="31" s="1"/>
  <c r="Z138" i="31"/>
  <c r="AA138" i="31" s="1"/>
  <c r="Z122" i="31"/>
  <c r="AA122" i="31" s="1"/>
  <c r="Z147" i="31"/>
  <c r="AA147" i="31" s="1"/>
  <c r="Z153" i="31"/>
  <c r="AA153" i="31" s="1"/>
  <c r="Z137" i="31"/>
  <c r="AA137" i="31" s="1"/>
  <c r="Z152" i="31"/>
  <c r="AA152" i="31" s="1"/>
  <c r="Z136" i="31"/>
  <c r="AA136" i="31" s="1"/>
  <c r="Z127" i="31"/>
  <c r="AA127" i="31" s="1"/>
  <c r="Z151" i="31"/>
  <c r="AA151" i="31" s="1"/>
  <c r="Z135" i="31"/>
  <c r="AA135" i="31" s="1"/>
  <c r="Z150" i="31"/>
  <c r="AA150" i="31" s="1"/>
  <c r="Z134" i="31"/>
  <c r="AA134" i="31" s="1"/>
  <c r="Z149" i="31"/>
  <c r="AA149" i="31" s="1"/>
  <c r="Z129" i="31"/>
  <c r="AA129" i="31" s="1"/>
  <c r="Z164" i="31"/>
  <c r="AA164" i="31" s="1"/>
  <c r="Z148" i="31"/>
  <c r="AA148" i="31" s="1"/>
  <c r="Z128" i="31"/>
  <c r="AA128" i="31" s="1"/>
  <c r="Z163" i="31"/>
  <c r="AA163" i="31" s="1"/>
  <c r="Z141" i="31"/>
  <c r="AA141" i="31" s="1"/>
  <c r="Z140" i="31"/>
  <c r="AA140" i="31" s="1"/>
  <c r="Z123" i="31"/>
  <c r="AA123" i="31" s="1"/>
  <c r="Z139" i="31"/>
  <c r="AA139" i="31" s="1"/>
  <c r="Z160" i="31"/>
  <c r="AA160" i="31" s="1"/>
  <c r="Z126" i="31"/>
  <c r="AA126" i="31" s="1"/>
  <c r="Z125" i="31"/>
  <c r="AA125" i="31" s="1"/>
  <c r="Z124" i="31"/>
  <c r="AA124" i="31" s="1"/>
  <c r="Z161" i="31"/>
  <c r="AA161" i="31" s="1"/>
  <c r="Z159" i="31"/>
  <c r="AA159" i="31" s="1"/>
  <c r="Z146" i="31"/>
  <c r="AA146" i="31" s="1"/>
  <c r="Z162" i="31"/>
  <c r="AA162" i="31" s="1"/>
  <c r="Z166" i="31"/>
  <c r="AD121" i="31"/>
  <c r="AE121" i="31" s="1"/>
  <c r="AD122" i="31"/>
  <c r="AE122" i="31" s="1"/>
  <c r="AD128" i="31"/>
  <c r="AE128" i="31" s="1"/>
  <c r="AD134" i="31"/>
  <c r="AE134" i="31" s="1"/>
  <c r="AD140" i="31"/>
  <c r="AE140" i="31" s="1"/>
  <c r="AD146" i="31"/>
  <c r="AE146" i="31" s="1"/>
  <c r="AD152" i="31"/>
  <c r="AE152" i="31" s="1"/>
  <c r="AD158" i="31"/>
  <c r="AE158" i="31" s="1"/>
  <c r="AD164" i="31"/>
  <c r="AE164" i="31" s="1"/>
  <c r="AD123" i="31"/>
  <c r="AE123" i="31" s="1"/>
  <c r="AD129" i="31"/>
  <c r="AE129" i="31" s="1"/>
  <c r="AD135" i="31"/>
  <c r="AE135" i="31" s="1"/>
  <c r="AD141" i="31"/>
  <c r="AE141" i="31" s="1"/>
  <c r="AD147" i="31"/>
  <c r="AE147" i="31" s="1"/>
  <c r="AD153" i="31"/>
  <c r="AE153" i="31" s="1"/>
  <c r="AD159" i="31"/>
  <c r="AE159" i="31" s="1"/>
  <c r="AD125" i="31"/>
  <c r="AE125" i="31" s="1"/>
  <c r="AD133" i="31"/>
  <c r="AE133" i="31" s="1"/>
  <c r="AD143" i="31"/>
  <c r="AE143" i="31" s="1"/>
  <c r="AD151" i="31"/>
  <c r="AE151" i="31" s="1"/>
  <c r="AD161" i="31"/>
  <c r="AE161" i="31" s="1"/>
  <c r="AD138" i="31"/>
  <c r="AE138" i="31" s="1"/>
  <c r="AD130" i="31"/>
  <c r="AE130" i="31" s="1"/>
  <c r="AD126" i="31"/>
  <c r="AE126" i="31" s="1"/>
  <c r="AD136" i="31"/>
  <c r="AE136" i="31" s="1"/>
  <c r="AD144" i="31"/>
  <c r="AE144" i="31" s="1"/>
  <c r="AD154" i="31"/>
  <c r="AE154" i="31" s="1"/>
  <c r="AD162" i="31"/>
  <c r="AE162" i="31" s="1"/>
  <c r="AD127" i="31"/>
  <c r="AE127" i="31" s="1"/>
  <c r="AD137" i="31"/>
  <c r="AE137" i="31" s="1"/>
  <c r="AD145" i="31"/>
  <c r="AE145" i="31" s="1"/>
  <c r="AD155" i="31"/>
  <c r="AE155" i="31" s="1"/>
  <c r="AD156" i="31"/>
  <c r="AE156" i="31" s="1"/>
  <c r="AD163" i="31"/>
  <c r="AE163" i="31" s="1"/>
  <c r="AD120" i="31"/>
  <c r="AE120" i="31" s="1"/>
  <c r="AD148" i="31"/>
  <c r="AE148" i="31" s="1"/>
  <c r="AD142" i="31"/>
  <c r="AE142" i="31" s="1"/>
  <c r="AD124" i="31"/>
  <c r="AE124" i="31" s="1"/>
  <c r="AD150" i="31"/>
  <c r="AE150" i="31" s="1"/>
  <c r="AD165" i="31"/>
  <c r="AE165" i="31" s="1"/>
  <c r="AD131" i="31"/>
  <c r="AE131" i="31" s="1"/>
  <c r="AD157" i="31"/>
  <c r="AE157" i="31" s="1"/>
  <c r="AD132" i="31"/>
  <c r="AE132" i="31" s="1"/>
  <c r="AD160" i="31"/>
  <c r="AE160" i="31" s="1"/>
  <c r="AD139" i="31"/>
  <c r="AE139" i="31" s="1"/>
  <c r="AD149" i="31"/>
  <c r="AE149" i="31" s="1"/>
  <c r="AD166" i="31"/>
  <c r="AH158" i="31"/>
  <c r="AI158" i="31" s="1"/>
  <c r="AH148" i="31"/>
  <c r="AI148" i="31" s="1"/>
  <c r="AH139" i="31"/>
  <c r="AI139" i="31" s="1"/>
  <c r="AH129" i="31"/>
  <c r="AI129" i="31" s="1"/>
  <c r="AH157" i="31"/>
  <c r="AI157" i="31" s="1"/>
  <c r="AH138" i="31"/>
  <c r="AI138" i="31" s="1"/>
  <c r="AH128" i="31"/>
  <c r="AI128" i="31" s="1"/>
  <c r="AH156" i="31"/>
  <c r="AI156" i="31" s="1"/>
  <c r="AH147" i="31"/>
  <c r="AI147" i="31" s="1"/>
  <c r="AH137" i="31"/>
  <c r="AI137" i="31" s="1"/>
  <c r="AH146" i="31"/>
  <c r="AI146" i="31" s="1"/>
  <c r="AH136" i="31"/>
  <c r="AI136" i="31" s="1"/>
  <c r="AH127" i="31"/>
  <c r="AI127" i="31" s="1"/>
  <c r="AH164" i="31"/>
  <c r="AI164" i="31" s="1"/>
  <c r="AH155" i="31"/>
  <c r="AI155" i="31" s="1"/>
  <c r="AH145" i="31"/>
  <c r="AI145" i="31" s="1"/>
  <c r="AH160" i="31"/>
  <c r="AI160" i="31" s="1"/>
  <c r="AH143" i="31"/>
  <c r="AI143" i="31" s="1"/>
  <c r="AH130" i="31"/>
  <c r="AI130" i="31" s="1"/>
  <c r="AH134" i="31"/>
  <c r="AI134" i="31" s="1"/>
  <c r="AH142" i="31"/>
  <c r="AI142" i="31" s="1"/>
  <c r="AH126" i="31"/>
  <c r="AI126" i="31" s="1"/>
  <c r="AH121" i="31"/>
  <c r="AI121" i="31" s="1"/>
  <c r="AH159" i="31"/>
  <c r="AI159" i="31" s="1"/>
  <c r="AH141" i="31"/>
  <c r="AI141" i="31" s="1"/>
  <c r="AH125" i="31"/>
  <c r="AI125" i="31" s="1"/>
  <c r="AH135" i="31"/>
  <c r="AI135" i="31" s="1"/>
  <c r="AH154" i="31"/>
  <c r="AI154" i="31" s="1"/>
  <c r="AH140" i="31"/>
  <c r="AI140" i="31" s="1"/>
  <c r="AH124" i="31"/>
  <c r="AI124" i="31" s="1"/>
  <c r="AH123" i="31"/>
  <c r="AI123" i="31" s="1"/>
  <c r="AH122" i="31"/>
  <c r="AI122" i="31" s="1"/>
  <c r="AH151" i="31"/>
  <c r="AI151" i="31" s="1"/>
  <c r="AH153" i="31"/>
  <c r="AI153" i="31" s="1"/>
  <c r="AH152" i="31"/>
  <c r="AI152" i="31" s="1"/>
  <c r="AH163" i="31"/>
  <c r="AI163" i="31" s="1"/>
  <c r="AH133" i="31"/>
  <c r="AI133" i="31" s="1"/>
  <c r="AH162" i="31"/>
  <c r="AI162" i="31" s="1"/>
  <c r="AH120" i="31"/>
  <c r="AI120" i="31" s="1"/>
  <c r="AH161" i="31"/>
  <c r="AI161" i="31" s="1"/>
  <c r="AH150" i="31"/>
  <c r="AI150" i="31" s="1"/>
  <c r="AH149" i="31"/>
  <c r="AI149" i="31" s="1"/>
  <c r="AH144" i="31"/>
  <c r="AI144" i="31" s="1"/>
  <c r="AH165" i="31"/>
  <c r="AI165" i="31" s="1"/>
  <c r="AH132" i="31"/>
  <c r="AI132" i="31" s="1"/>
  <c r="AH131" i="31"/>
  <c r="AI131" i="31" s="1"/>
  <c r="AH166" i="31"/>
  <c r="AL161" i="31"/>
  <c r="AM161" i="31" s="1"/>
  <c r="AL142" i="31"/>
  <c r="AM142" i="31" s="1"/>
  <c r="AL132" i="31"/>
  <c r="AM132" i="31" s="1"/>
  <c r="AL123" i="31"/>
  <c r="AM123" i="31" s="1"/>
  <c r="AL160" i="31"/>
  <c r="AM160" i="31" s="1"/>
  <c r="AL151" i="31"/>
  <c r="AM151" i="31" s="1"/>
  <c r="AL141" i="31"/>
  <c r="AM141" i="31" s="1"/>
  <c r="AL122" i="31"/>
  <c r="AM122" i="31" s="1"/>
  <c r="AL150" i="31"/>
  <c r="AM150" i="31" s="1"/>
  <c r="AL140" i="31"/>
  <c r="AM140" i="31" s="1"/>
  <c r="AL131" i="31"/>
  <c r="AM131" i="31" s="1"/>
  <c r="AL121" i="31"/>
  <c r="AM121" i="31" s="1"/>
  <c r="AL159" i="31"/>
  <c r="AM159" i="31" s="1"/>
  <c r="AL149" i="31"/>
  <c r="AM149" i="31" s="1"/>
  <c r="AL130" i="31"/>
  <c r="AM130" i="31" s="1"/>
  <c r="AL120" i="31"/>
  <c r="AM120" i="31" s="1"/>
  <c r="AL158" i="31"/>
  <c r="AM158" i="31" s="1"/>
  <c r="AL148" i="31"/>
  <c r="AM148" i="31" s="1"/>
  <c r="AL139" i="31"/>
  <c r="AM139" i="31" s="1"/>
  <c r="AL129" i="31"/>
  <c r="AM129" i="31" s="1"/>
  <c r="AL164" i="31"/>
  <c r="AM164" i="31" s="1"/>
  <c r="AL147" i="31"/>
  <c r="AM147" i="31" s="1"/>
  <c r="AL133" i="31"/>
  <c r="AM133" i="31" s="1"/>
  <c r="AL146" i="31"/>
  <c r="AM146" i="31" s="1"/>
  <c r="AL128" i="31"/>
  <c r="AM128" i="31" s="1"/>
  <c r="AL163" i="31"/>
  <c r="AM163" i="31" s="1"/>
  <c r="AL145" i="31"/>
  <c r="AM145" i="31" s="1"/>
  <c r="AL162" i="31"/>
  <c r="AM162" i="31" s="1"/>
  <c r="AL144" i="31"/>
  <c r="AM144" i="31" s="1"/>
  <c r="AL127" i="31"/>
  <c r="AM127" i="31" s="1"/>
  <c r="AL126" i="31"/>
  <c r="AM126" i="31" s="1"/>
  <c r="AL156" i="31"/>
  <c r="AM156" i="31" s="1"/>
  <c r="AL143" i="31"/>
  <c r="AM143" i="31" s="1"/>
  <c r="AL125" i="31"/>
  <c r="AM125" i="31" s="1"/>
  <c r="AL138" i="31"/>
  <c r="AM138" i="31" s="1"/>
  <c r="AL124" i="31"/>
  <c r="AM124" i="31" s="1"/>
  <c r="AL155" i="31"/>
  <c r="AM155" i="31" s="1"/>
  <c r="AL157" i="31"/>
  <c r="AM157" i="31" s="1"/>
  <c r="AL137" i="31"/>
  <c r="AM137" i="31" s="1"/>
  <c r="AL135" i="31"/>
  <c r="AM135" i="31" s="1"/>
  <c r="AL134" i="31"/>
  <c r="AM134" i="31" s="1"/>
  <c r="AL154" i="31"/>
  <c r="AM154" i="31" s="1"/>
  <c r="AL153" i="31"/>
  <c r="AM153" i="31" s="1"/>
  <c r="AL165" i="31"/>
  <c r="AM165" i="31" s="1"/>
  <c r="AL152" i="31"/>
  <c r="AM152" i="31" s="1"/>
  <c r="AL136" i="31"/>
  <c r="AM136" i="31" s="1"/>
  <c r="AL166" i="31"/>
  <c r="R123" i="31"/>
  <c r="S123" i="31" s="1"/>
  <c r="R131" i="31"/>
  <c r="S131" i="31" s="1"/>
  <c r="R139" i="31"/>
  <c r="S139" i="31" s="1"/>
  <c r="R147" i="31"/>
  <c r="S147" i="31" s="1"/>
  <c r="R155" i="31"/>
  <c r="S155" i="31" s="1"/>
  <c r="R163" i="31"/>
  <c r="S163" i="31" s="1"/>
  <c r="R124" i="31"/>
  <c r="S124" i="31" s="1"/>
  <c r="R132" i="31"/>
  <c r="S132" i="31" s="1"/>
  <c r="R140" i="31"/>
  <c r="S140" i="31" s="1"/>
  <c r="R148" i="31"/>
  <c r="S148" i="31" s="1"/>
  <c r="R156" i="31"/>
  <c r="S156" i="31" s="1"/>
  <c r="R164" i="31"/>
  <c r="S164" i="31" s="1"/>
  <c r="R165" i="31"/>
  <c r="S165" i="31" s="1"/>
  <c r="R130" i="31"/>
  <c r="S130" i="31" s="1"/>
  <c r="R154" i="31"/>
  <c r="S154" i="31" s="1"/>
  <c r="R126" i="31"/>
  <c r="S126" i="31" s="1"/>
  <c r="R161" i="31"/>
  <c r="S161" i="31" s="1"/>
  <c r="R133" i="31"/>
  <c r="S133" i="31" s="1"/>
  <c r="R144" i="31"/>
  <c r="S144" i="31" s="1"/>
  <c r="R157" i="31"/>
  <c r="S157" i="31" s="1"/>
  <c r="R134" i="31"/>
  <c r="S134" i="31" s="1"/>
  <c r="R158" i="31"/>
  <c r="S158" i="31" s="1"/>
  <c r="R150" i="31"/>
  <c r="S150" i="31" s="1"/>
  <c r="R121" i="31"/>
  <c r="S121" i="31" s="1"/>
  <c r="R135" i="31"/>
  <c r="S135" i="31" s="1"/>
  <c r="R145" i="31"/>
  <c r="S145" i="31" s="1"/>
  <c r="R159" i="31"/>
  <c r="S159" i="31" s="1"/>
  <c r="R122" i="31"/>
  <c r="S122" i="31" s="1"/>
  <c r="R146" i="31"/>
  <c r="S146" i="31" s="1"/>
  <c r="R125" i="31"/>
  <c r="S125" i="31" s="1"/>
  <c r="R149" i="31"/>
  <c r="S149" i="31" s="1"/>
  <c r="R160" i="31"/>
  <c r="S160" i="31" s="1"/>
  <c r="R127" i="31"/>
  <c r="S127" i="31" s="1"/>
  <c r="R137" i="31"/>
  <c r="S137" i="31" s="1"/>
  <c r="R151" i="31"/>
  <c r="S151" i="31" s="1"/>
  <c r="R136" i="31"/>
  <c r="S136" i="31" s="1"/>
  <c r="R141" i="31"/>
  <c r="S141" i="31" s="1"/>
  <c r="R129" i="31"/>
  <c r="S129" i="31" s="1"/>
  <c r="R142" i="31"/>
  <c r="S142" i="31" s="1"/>
  <c r="R162" i="31"/>
  <c r="S162" i="31" s="1"/>
  <c r="R143" i="31"/>
  <c r="S143" i="31" s="1"/>
  <c r="R138" i="31"/>
  <c r="S138" i="31" s="1"/>
  <c r="R152" i="31"/>
  <c r="S152" i="31" s="1"/>
  <c r="R153" i="31"/>
  <c r="S153" i="31" s="1"/>
  <c r="R128" i="31"/>
  <c r="S128" i="31" s="1"/>
  <c r="R120" i="31"/>
  <c r="S120" i="31" s="1"/>
  <c r="R166" i="31"/>
  <c r="J84" i="31"/>
  <c r="K84" i="31" s="1"/>
  <c r="J122" i="31"/>
  <c r="K122" i="31" s="1"/>
  <c r="J129" i="31"/>
  <c r="K129" i="31" s="1"/>
  <c r="J135" i="31"/>
  <c r="K135" i="31" s="1"/>
  <c r="J141" i="31"/>
  <c r="K141" i="31" s="1"/>
  <c r="J147" i="31"/>
  <c r="K147" i="31" s="1"/>
  <c r="J153" i="31"/>
  <c r="K153" i="31" s="1"/>
  <c r="J159" i="31"/>
  <c r="K159" i="31" s="1"/>
  <c r="J120" i="31"/>
  <c r="K120" i="31" s="1"/>
  <c r="J123" i="31"/>
  <c r="K123" i="31" s="1"/>
  <c r="J160" i="31"/>
  <c r="K160" i="31" s="1"/>
  <c r="J124" i="31"/>
  <c r="K124" i="31" s="1"/>
  <c r="J130" i="31"/>
  <c r="K130" i="31" s="1"/>
  <c r="J136" i="31"/>
  <c r="K136" i="31" s="1"/>
  <c r="J142" i="31"/>
  <c r="K142" i="31" s="1"/>
  <c r="J148" i="31"/>
  <c r="K148" i="31" s="1"/>
  <c r="J154" i="31"/>
  <c r="K154" i="31" s="1"/>
  <c r="J132" i="31"/>
  <c r="K132" i="31" s="1"/>
  <c r="J140" i="31"/>
  <c r="K140" i="31" s="1"/>
  <c r="J150" i="31"/>
  <c r="K150" i="31" s="1"/>
  <c r="J158" i="31"/>
  <c r="K158" i="31" s="1"/>
  <c r="J155" i="31"/>
  <c r="K155" i="31" s="1"/>
  <c r="J161" i="31"/>
  <c r="K161" i="31" s="1"/>
  <c r="J125" i="31"/>
  <c r="K125" i="31" s="1"/>
  <c r="J133" i="31"/>
  <c r="K133" i="31" s="1"/>
  <c r="J143" i="31"/>
  <c r="K143" i="31" s="1"/>
  <c r="J151" i="31"/>
  <c r="K151" i="31" s="1"/>
  <c r="J162" i="31"/>
  <c r="K162" i="31" s="1"/>
  <c r="J126" i="31"/>
  <c r="K126" i="31" s="1"/>
  <c r="J144" i="31"/>
  <c r="K144" i="31" s="1"/>
  <c r="J152" i="31"/>
  <c r="K152" i="31" s="1"/>
  <c r="J163" i="31"/>
  <c r="K163" i="31" s="1"/>
  <c r="J127" i="31"/>
  <c r="K127" i="31" s="1"/>
  <c r="J137" i="31"/>
  <c r="K137" i="31" s="1"/>
  <c r="J145" i="31"/>
  <c r="K145" i="31" s="1"/>
  <c r="J164" i="31"/>
  <c r="K164" i="31" s="1"/>
  <c r="J134" i="31"/>
  <c r="K134" i="31" s="1"/>
  <c r="J157" i="31"/>
  <c r="K157" i="31" s="1"/>
  <c r="J139" i="31"/>
  <c r="K139" i="31" s="1"/>
  <c r="J165" i="31"/>
  <c r="K165" i="31" s="1"/>
  <c r="J146" i="31"/>
  <c r="K146" i="31" s="1"/>
  <c r="J149" i="31"/>
  <c r="K149" i="31" s="1"/>
  <c r="J121" i="31"/>
  <c r="K121" i="31" s="1"/>
  <c r="J128" i="31"/>
  <c r="K128" i="31" s="1"/>
  <c r="J131" i="31"/>
  <c r="K131" i="31" s="1"/>
  <c r="J138" i="31"/>
  <c r="K138" i="31" s="1"/>
  <c r="J156" i="31"/>
  <c r="K156" i="31" s="1"/>
  <c r="J166" i="31"/>
  <c r="AX150" i="31"/>
  <c r="AX140" i="31"/>
  <c r="AX131" i="31"/>
  <c r="AX121" i="31"/>
  <c r="AX159" i="31"/>
  <c r="AX149" i="31"/>
  <c r="AX130" i="31"/>
  <c r="AX158" i="31"/>
  <c r="AX148" i="31"/>
  <c r="AX139" i="31"/>
  <c r="AX129" i="31"/>
  <c r="AX120" i="31"/>
  <c r="AX157" i="31"/>
  <c r="AX138" i="31"/>
  <c r="AX128" i="31"/>
  <c r="AX156" i="31"/>
  <c r="AX147" i="31"/>
  <c r="AX137" i="31"/>
  <c r="AX161" i="31"/>
  <c r="AX126" i="31"/>
  <c r="AX152" i="31"/>
  <c r="AX134" i="31"/>
  <c r="AX160" i="31"/>
  <c r="AX143" i="31"/>
  <c r="AX125" i="31"/>
  <c r="AX153" i="31"/>
  <c r="AX142" i="31"/>
  <c r="AX124" i="31"/>
  <c r="AX155" i="31"/>
  <c r="AX141" i="31"/>
  <c r="AX122" i="31"/>
  <c r="AX135" i="31"/>
  <c r="AX164" i="31"/>
  <c r="AX151" i="31"/>
  <c r="AX133" i="31"/>
  <c r="AX154" i="31"/>
  <c r="AX136" i="31"/>
  <c r="AX123" i="31"/>
  <c r="AX144" i="31"/>
  <c r="AX132" i="31"/>
  <c r="AX127" i="31"/>
  <c r="AX163" i="31"/>
  <c r="AX162" i="31"/>
  <c r="AX146" i="31"/>
  <c r="AX145" i="31"/>
  <c r="AX166" i="31"/>
  <c r="R47" i="31"/>
  <c r="R109" i="31"/>
  <c r="R7" i="31"/>
  <c r="R38" i="31"/>
  <c r="S38" i="31" s="1"/>
  <c r="R64" i="31"/>
  <c r="S64" i="31" s="1"/>
  <c r="AT157" i="31"/>
  <c r="AU157" i="31" s="1"/>
  <c r="AT138" i="31"/>
  <c r="AU138" i="31" s="1"/>
  <c r="AT128" i="31"/>
  <c r="AU128" i="31" s="1"/>
  <c r="AT156" i="31"/>
  <c r="AU156" i="31" s="1"/>
  <c r="AT147" i="31"/>
  <c r="AU147" i="31" s="1"/>
  <c r="AT137" i="31"/>
  <c r="AU137" i="31" s="1"/>
  <c r="AT146" i="31"/>
  <c r="AU146" i="31" s="1"/>
  <c r="AT136" i="31"/>
  <c r="AU136" i="31" s="1"/>
  <c r="AT127" i="31"/>
  <c r="AU127" i="31" s="1"/>
  <c r="AT164" i="31"/>
  <c r="AU164" i="31" s="1"/>
  <c r="AT155" i="31"/>
  <c r="AU155" i="31" s="1"/>
  <c r="AT145" i="31"/>
  <c r="AU145" i="31" s="1"/>
  <c r="AT126" i="31"/>
  <c r="AU126" i="31" s="1"/>
  <c r="AT144" i="31"/>
  <c r="AU144" i="31" s="1"/>
  <c r="AT125" i="31"/>
  <c r="AU125" i="31" s="1"/>
  <c r="AT154" i="31"/>
  <c r="AU154" i="31" s="1"/>
  <c r="AT135" i="31"/>
  <c r="AU135" i="31" s="1"/>
  <c r="AT158" i="31"/>
  <c r="AU158" i="31" s="1"/>
  <c r="AT140" i="31"/>
  <c r="AU140" i="31" s="1"/>
  <c r="AT123" i="31"/>
  <c r="AU123" i="31" s="1"/>
  <c r="AT153" i="31"/>
  <c r="AU153" i="31" s="1"/>
  <c r="AT122" i="31"/>
  <c r="AU122" i="31" s="1"/>
  <c r="AT152" i="31"/>
  <c r="AU152" i="31" s="1"/>
  <c r="AT139" i="31"/>
  <c r="AU139" i="31" s="1"/>
  <c r="AT121" i="31"/>
  <c r="AU121" i="31" s="1"/>
  <c r="AT131" i="31"/>
  <c r="AU131" i="31" s="1"/>
  <c r="AT134" i="31"/>
  <c r="AU134" i="31" s="1"/>
  <c r="AT120" i="31"/>
  <c r="AU120" i="31" s="1"/>
  <c r="AT151" i="31"/>
  <c r="AU151" i="31" s="1"/>
  <c r="AT150" i="31"/>
  <c r="AU150" i="31" s="1"/>
  <c r="AT163" i="31"/>
  <c r="AU163" i="31" s="1"/>
  <c r="AT148" i="31"/>
  <c r="AU148" i="31" s="1"/>
  <c r="AT161" i="31"/>
  <c r="AU161" i="31" s="1"/>
  <c r="AT133" i="31"/>
  <c r="AU133" i="31" s="1"/>
  <c r="AT165" i="31"/>
  <c r="AT132" i="31"/>
  <c r="AU132" i="31" s="1"/>
  <c r="AT149" i="31"/>
  <c r="AU149" i="31" s="1"/>
  <c r="AT162" i="31"/>
  <c r="AU162" i="31" s="1"/>
  <c r="AT129" i="31"/>
  <c r="AU129" i="31" s="1"/>
  <c r="AT124" i="31"/>
  <c r="AU124" i="31" s="1"/>
  <c r="AT143" i="31"/>
  <c r="AU143" i="31" s="1"/>
  <c r="AT160" i="31"/>
  <c r="AU160" i="31" s="1"/>
  <c r="AT142" i="31"/>
  <c r="AU142" i="31" s="1"/>
  <c r="AT141" i="31"/>
  <c r="AU141" i="31" s="1"/>
  <c r="AT130" i="31"/>
  <c r="AU130" i="31" s="1"/>
  <c r="AT159" i="31"/>
  <c r="AU159" i="31" s="1"/>
  <c r="AT166" i="31"/>
  <c r="AP134" i="27"/>
  <c r="R98" i="31"/>
  <c r="S98" i="31" s="1"/>
  <c r="BA40" i="31"/>
  <c r="AD8" i="31"/>
  <c r="AE8" i="31" s="1"/>
  <c r="R11" i="31"/>
  <c r="S11" i="31" s="1"/>
  <c r="R21" i="31"/>
  <c r="S21" i="31" s="1"/>
  <c r="R32" i="31"/>
  <c r="S32" i="31" s="1"/>
  <c r="R43" i="31"/>
  <c r="S43" i="31" s="1"/>
  <c r="R51" i="31"/>
  <c r="S51" i="31" s="1"/>
  <c r="R59" i="31"/>
  <c r="S59" i="31" s="1"/>
  <c r="R68" i="31"/>
  <c r="S68" i="31" s="1"/>
  <c r="R83" i="31"/>
  <c r="S83" i="31" s="1"/>
  <c r="V10" i="31"/>
  <c r="W10" i="31" s="1"/>
  <c r="AD10" i="31"/>
  <c r="AE10" i="31" s="1"/>
  <c r="AL11" i="31"/>
  <c r="AM11" i="31" s="1"/>
  <c r="AP12" i="31"/>
  <c r="AQ12" i="31" s="1"/>
  <c r="V78" i="31"/>
  <c r="W78" i="31" s="1"/>
  <c r="AD17" i="31"/>
  <c r="AE17" i="31" s="1"/>
  <c r="AD28" i="31"/>
  <c r="AE28" i="31" s="1"/>
  <c r="AD39" i="31"/>
  <c r="AE39" i="31" s="1"/>
  <c r="AD48" i="31"/>
  <c r="AE48" i="31" s="1"/>
  <c r="AD56" i="31"/>
  <c r="AE56" i="31" s="1"/>
  <c r="AD65" i="31"/>
  <c r="AE65" i="31" s="1"/>
  <c r="AD90" i="31"/>
  <c r="AE90" i="31" s="1"/>
  <c r="AD100" i="31"/>
  <c r="AE100" i="31" s="1"/>
  <c r="AD110" i="31"/>
  <c r="AE110" i="31" s="1"/>
  <c r="AD172" i="31"/>
  <c r="AE172" i="31" s="1"/>
  <c r="AH8" i="31"/>
  <c r="AI8" i="31" s="1"/>
  <c r="AH17" i="31"/>
  <c r="AI17" i="31" s="1"/>
  <c r="AH28" i="31"/>
  <c r="AI28" i="31" s="1"/>
  <c r="AH39" i="31"/>
  <c r="AI39" i="31" s="1"/>
  <c r="AH48" i="31"/>
  <c r="AI48" i="31" s="1"/>
  <c r="AH56" i="31"/>
  <c r="AI56" i="31" s="1"/>
  <c r="AH65" i="31"/>
  <c r="AI65" i="31" s="1"/>
  <c r="AH90" i="31"/>
  <c r="AI90" i="31" s="1"/>
  <c r="AH100" i="31"/>
  <c r="AI100" i="31" s="1"/>
  <c r="AH110" i="31"/>
  <c r="AI110" i="31" s="1"/>
  <c r="AH172" i="31"/>
  <c r="AI172" i="31" s="1"/>
  <c r="AL9" i="31"/>
  <c r="AM9" i="31" s="1"/>
  <c r="AL18" i="31"/>
  <c r="AM18" i="31" s="1"/>
  <c r="AL30" i="31"/>
  <c r="AM30" i="31" s="1"/>
  <c r="AL41" i="31"/>
  <c r="AM41" i="31" s="1"/>
  <c r="AL49" i="31"/>
  <c r="AM49" i="31" s="1"/>
  <c r="AL57" i="31"/>
  <c r="AM57" i="31" s="1"/>
  <c r="AL66" i="31"/>
  <c r="AM66" i="31" s="1"/>
  <c r="AL79" i="31"/>
  <c r="AM79" i="31" s="1"/>
  <c r="AL91" i="31"/>
  <c r="AM91" i="31" s="1"/>
  <c r="AL102" i="31"/>
  <c r="AM102" i="31" s="1"/>
  <c r="AL111" i="31"/>
  <c r="AM111" i="31" s="1"/>
  <c r="AL172" i="31"/>
  <c r="AM172" i="31" s="1"/>
  <c r="AP10" i="31"/>
  <c r="AQ10" i="31" s="1"/>
  <c r="AP19" i="31"/>
  <c r="AP31" i="31"/>
  <c r="AQ31" i="31" s="1"/>
  <c r="AP42" i="31"/>
  <c r="AQ42" i="31" s="1"/>
  <c r="AP50" i="31"/>
  <c r="AQ50" i="31" s="1"/>
  <c r="AP58" i="31"/>
  <c r="AQ58" i="31" s="1"/>
  <c r="AP67" i="31"/>
  <c r="AQ67" i="31" s="1"/>
  <c r="AP82" i="31"/>
  <c r="AQ82" i="31" s="1"/>
  <c r="AP92" i="31"/>
  <c r="AQ92" i="31" s="1"/>
  <c r="AP103" i="31"/>
  <c r="AQ103" i="31" s="1"/>
  <c r="AP112" i="31"/>
  <c r="AQ112" i="31" s="1"/>
  <c r="N29" i="31"/>
  <c r="O29" i="31" s="1"/>
  <c r="AX73" i="31"/>
  <c r="AY73" i="31" s="1"/>
  <c r="AX25" i="31"/>
  <c r="AY25" i="31" s="1"/>
  <c r="AX109" i="31"/>
  <c r="AY109" i="31" s="1"/>
  <c r="R84" i="31"/>
  <c r="S84" i="31" s="1"/>
  <c r="AX84" i="31"/>
  <c r="AY84" i="31" s="1"/>
  <c r="R10" i="31"/>
  <c r="S10" i="31" s="1"/>
  <c r="R19" i="31"/>
  <c r="S19" i="31" s="1"/>
  <c r="R31" i="31"/>
  <c r="S31" i="31" s="1"/>
  <c r="R42" i="31"/>
  <c r="S42" i="31" s="1"/>
  <c r="R50" i="31"/>
  <c r="S50" i="31" s="1"/>
  <c r="R58" i="31"/>
  <c r="S58" i="31" s="1"/>
  <c r="R67" i="31"/>
  <c r="S67" i="31" s="1"/>
  <c r="AX108" i="31"/>
  <c r="AY108" i="31" s="1"/>
  <c r="R12" i="31"/>
  <c r="S12" i="31" s="1"/>
  <c r="R23" i="31"/>
  <c r="S23" i="31" s="1"/>
  <c r="R33" i="31"/>
  <c r="S33" i="31" s="1"/>
  <c r="R44" i="31"/>
  <c r="S44" i="31" s="1"/>
  <c r="R5" i="31"/>
  <c r="S5" i="31" s="1"/>
  <c r="R14" i="31"/>
  <c r="S14" i="31" s="1"/>
  <c r="R24" i="31"/>
  <c r="S24" i="31" s="1"/>
  <c r="R36" i="31"/>
  <c r="S36" i="31" s="1"/>
  <c r="R45" i="31"/>
  <c r="S45" i="31" s="1"/>
  <c r="R53" i="31"/>
  <c r="S53" i="31" s="1"/>
  <c r="R61" i="31"/>
  <c r="S61" i="31" s="1"/>
  <c r="R72" i="31"/>
  <c r="S72" i="31" s="1"/>
  <c r="R87" i="31"/>
  <c r="S87" i="31" s="1"/>
  <c r="R96" i="31"/>
  <c r="S96" i="31" s="1"/>
  <c r="R107" i="31"/>
  <c r="S107" i="31" s="1"/>
  <c r="R115" i="31"/>
  <c r="S115" i="31" s="1"/>
  <c r="V11" i="31"/>
  <c r="W11" i="31" s="1"/>
  <c r="AD11" i="31"/>
  <c r="AE11" i="31" s="1"/>
  <c r="AL12" i="31"/>
  <c r="AM12" i="31" s="1"/>
  <c r="R6" i="31"/>
  <c r="S6" i="31" s="1"/>
  <c r="R15" i="31"/>
  <c r="S15" i="31" s="1"/>
  <c r="R25" i="31"/>
  <c r="S25" i="31" s="1"/>
  <c r="R37" i="31"/>
  <c r="S37" i="31" s="1"/>
  <c r="R46" i="31"/>
  <c r="R54" i="31"/>
  <c r="S54" i="31" s="1"/>
  <c r="R62" i="31"/>
  <c r="S62" i="31" s="1"/>
  <c r="R73" i="31"/>
  <c r="S73" i="31" s="1"/>
  <c r="R88" i="31"/>
  <c r="S88" i="31" s="1"/>
  <c r="R97" i="31"/>
  <c r="S97" i="31" s="1"/>
  <c r="R108" i="31"/>
  <c r="S108" i="31" s="1"/>
  <c r="J72" i="31"/>
  <c r="K72" i="31" s="1"/>
  <c r="V19" i="31"/>
  <c r="W19" i="31" s="1"/>
  <c r="V31" i="31"/>
  <c r="W31" i="31" s="1"/>
  <c r="V42" i="31"/>
  <c r="W42" i="31" s="1"/>
  <c r="AD19" i="31"/>
  <c r="AE19" i="31" s="1"/>
  <c r="AD31" i="31"/>
  <c r="AE31" i="31" s="1"/>
  <c r="AD42" i="31"/>
  <c r="AE42" i="31" s="1"/>
  <c r="AD50" i="31"/>
  <c r="AE50" i="31" s="1"/>
  <c r="AD58" i="31"/>
  <c r="AE58" i="31" s="1"/>
  <c r="AD67" i="31"/>
  <c r="AE67" i="31" s="1"/>
  <c r="AD82" i="31"/>
  <c r="AE82" i="31" s="1"/>
  <c r="AD92" i="31"/>
  <c r="AE92" i="31" s="1"/>
  <c r="AD103" i="31"/>
  <c r="AE103" i="31" s="1"/>
  <c r="AD112" i="31"/>
  <c r="AE112" i="31" s="1"/>
  <c r="AH10" i="31"/>
  <c r="AI10" i="31" s="1"/>
  <c r="AH19" i="31"/>
  <c r="AI19" i="31" s="1"/>
  <c r="AH31" i="31"/>
  <c r="AI31" i="31" s="1"/>
  <c r="AH42" i="31"/>
  <c r="AI42" i="31" s="1"/>
  <c r="AH50" i="31"/>
  <c r="AI50" i="31" s="1"/>
  <c r="AH58" i="31"/>
  <c r="AI58" i="31" s="1"/>
  <c r="AH67" i="31"/>
  <c r="AI67" i="31" s="1"/>
  <c r="AH82" i="31"/>
  <c r="AI82" i="31" s="1"/>
  <c r="AH92" i="31"/>
  <c r="AI92" i="31" s="1"/>
  <c r="AH103" i="31"/>
  <c r="AI103" i="31" s="1"/>
  <c r="AH112" i="31"/>
  <c r="AI112" i="31" s="1"/>
  <c r="AL21" i="31"/>
  <c r="AM21" i="31" s="1"/>
  <c r="AL32" i="31"/>
  <c r="AM32" i="31" s="1"/>
  <c r="AL43" i="31"/>
  <c r="AM43" i="31" s="1"/>
  <c r="AL51" i="31"/>
  <c r="AM51" i="31" s="1"/>
  <c r="AL59" i="31"/>
  <c r="AM59" i="31" s="1"/>
  <c r="AL68" i="31"/>
  <c r="AM68" i="31" s="1"/>
  <c r="AL83" i="31"/>
  <c r="AM83" i="31" s="1"/>
  <c r="AL94" i="31"/>
  <c r="AM94" i="31" s="1"/>
  <c r="AL104" i="31"/>
  <c r="AM104" i="31" s="1"/>
  <c r="AL113" i="31"/>
  <c r="AM113" i="31" s="1"/>
  <c r="AX16" i="31"/>
  <c r="AY16" i="31" s="1"/>
  <c r="J15" i="31"/>
  <c r="K15" i="31" s="1"/>
  <c r="N60" i="31"/>
  <c r="O60" i="31" s="1"/>
  <c r="V21" i="31"/>
  <c r="W21" i="31" s="1"/>
  <c r="V32" i="31"/>
  <c r="W32" i="31" s="1"/>
  <c r="V43" i="31"/>
  <c r="W43" i="31" s="1"/>
  <c r="V51" i="31"/>
  <c r="W51" i="31" s="1"/>
  <c r="V59" i="31"/>
  <c r="W59" i="31" s="1"/>
  <c r="V68" i="31"/>
  <c r="W68" i="31" s="1"/>
  <c r="V83" i="31"/>
  <c r="W83" i="31" s="1"/>
  <c r="V94" i="31"/>
  <c r="W94" i="31" s="1"/>
  <c r="V104" i="31"/>
  <c r="W104" i="31" s="1"/>
  <c r="V113" i="31"/>
  <c r="W113" i="31" s="1"/>
  <c r="Z11" i="31"/>
  <c r="AA11" i="31" s="1"/>
  <c r="Z21" i="31"/>
  <c r="AA21" i="31" s="1"/>
  <c r="Z32" i="31"/>
  <c r="AA32" i="31" s="1"/>
  <c r="Z43" i="31"/>
  <c r="AA43" i="31" s="1"/>
  <c r="Z51" i="31"/>
  <c r="AA51" i="31" s="1"/>
  <c r="Z59" i="31"/>
  <c r="AA59" i="31" s="1"/>
  <c r="Z68" i="31"/>
  <c r="AA68" i="31" s="1"/>
  <c r="Z83" i="31"/>
  <c r="AA83" i="31" s="1"/>
  <c r="Z94" i="31"/>
  <c r="AA94" i="31" s="1"/>
  <c r="Z104" i="31"/>
  <c r="AA104" i="31" s="1"/>
  <c r="Z113" i="31"/>
  <c r="AA113" i="31" s="1"/>
  <c r="AD21" i="31"/>
  <c r="AE21" i="31" s="1"/>
  <c r="AD32" i="31"/>
  <c r="AE32" i="31" s="1"/>
  <c r="AD43" i="31"/>
  <c r="AE43" i="31" s="1"/>
  <c r="AD51" i="31"/>
  <c r="AE51" i="31" s="1"/>
  <c r="AD59" i="31"/>
  <c r="AE59" i="31" s="1"/>
  <c r="AD68" i="31"/>
  <c r="AE68" i="31" s="1"/>
  <c r="AD83" i="31"/>
  <c r="AE83" i="31" s="1"/>
  <c r="AD94" i="31"/>
  <c r="AE94" i="31" s="1"/>
  <c r="AD104" i="31"/>
  <c r="AE104" i="31" s="1"/>
  <c r="AD113" i="31"/>
  <c r="AE113" i="31" s="1"/>
  <c r="AH11" i="31"/>
  <c r="AI11" i="31" s="1"/>
  <c r="AH21" i="31"/>
  <c r="AI21" i="31" s="1"/>
  <c r="AH32" i="31"/>
  <c r="AI32" i="31" s="1"/>
  <c r="AH43" i="31"/>
  <c r="AI43" i="31" s="1"/>
  <c r="AH51" i="31"/>
  <c r="AI51" i="31" s="1"/>
  <c r="AH59" i="31"/>
  <c r="AI59" i="31" s="1"/>
  <c r="AH68" i="31"/>
  <c r="AI68" i="31" s="1"/>
  <c r="AH83" i="31"/>
  <c r="AI83" i="31" s="1"/>
  <c r="AH94" i="31"/>
  <c r="AI94" i="31" s="1"/>
  <c r="AH104" i="31"/>
  <c r="AI104" i="31" s="1"/>
  <c r="AH113" i="31"/>
  <c r="AI113" i="31" s="1"/>
  <c r="AL23" i="31"/>
  <c r="AM23" i="31" s="1"/>
  <c r="AL33" i="31"/>
  <c r="AM33" i="31" s="1"/>
  <c r="AL44" i="31"/>
  <c r="AM44" i="31" s="1"/>
  <c r="AL52" i="31"/>
  <c r="AM52" i="31" s="1"/>
  <c r="AL60" i="31"/>
  <c r="AM60" i="31" s="1"/>
  <c r="AL70" i="31"/>
  <c r="AM70" i="31" s="1"/>
  <c r="AL86" i="31"/>
  <c r="AM86" i="31" s="1"/>
  <c r="AL95" i="31"/>
  <c r="AM95" i="31" s="1"/>
  <c r="AL105" i="31"/>
  <c r="AM105" i="31" s="1"/>
  <c r="AL114" i="31"/>
  <c r="AM114" i="31" s="1"/>
  <c r="AX17" i="31"/>
  <c r="AY17" i="31" s="1"/>
  <c r="AX48" i="31"/>
  <c r="AY48" i="31" s="1"/>
  <c r="AX102" i="31"/>
  <c r="AY102" i="31" s="1"/>
  <c r="AH29" i="31"/>
  <c r="AI29" i="31" s="1"/>
  <c r="J95" i="31"/>
  <c r="K95" i="31" s="1"/>
  <c r="J26" i="31"/>
  <c r="K26" i="31" s="1"/>
  <c r="J55" i="31"/>
  <c r="K55" i="31" s="1"/>
  <c r="N17" i="31"/>
  <c r="O17" i="31" s="1"/>
  <c r="AX9" i="31"/>
  <c r="AY9" i="31" s="1"/>
  <c r="AX18" i="31"/>
  <c r="AY18" i="31" s="1"/>
  <c r="AX41" i="31"/>
  <c r="AY41" i="31" s="1"/>
  <c r="AX49" i="31"/>
  <c r="AY49" i="31" s="1"/>
  <c r="AX57" i="31"/>
  <c r="AY57" i="31" s="1"/>
  <c r="AX66" i="31"/>
  <c r="AY66" i="31" s="1"/>
  <c r="AX91" i="31"/>
  <c r="AY91" i="31" s="1"/>
  <c r="J28" i="31"/>
  <c r="K28" i="31" s="1"/>
  <c r="J44" i="31"/>
  <c r="K44" i="31" s="1"/>
  <c r="J56" i="31"/>
  <c r="K56" i="31" s="1"/>
  <c r="J68" i="31"/>
  <c r="K68" i="31" s="1"/>
  <c r="J83" i="31"/>
  <c r="K83" i="31" s="1"/>
  <c r="N48" i="31"/>
  <c r="O48" i="31" s="1"/>
  <c r="N79" i="31"/>
  <c r="O79" i="31" s="1"/>
  <c r="F5" i="31"/>
  <c r="G5" i="31" s="1"/>
  <c r="J43" i="31"/>
  <c r="K43" i="31" s="1"/>
  <c r="O33" i="31"/>
  <c r="R82" i="31"/>
  <c r="S82" i="31" s="1"/>
  <c r="R92" i="31"/>
  <c r="S92" i="31" s="1"/>
  <c r="R103" i="31"/>
  <c r="S103" i="31" s="1"/>
  <c r="R112" i="31"/>
  <c r="S112" i="31" s="1"/>
  <c r="V7" i="31"/>
  <c r="W7" i="31" s="1"/>
  <c r="V16" i="31"/>
  <c r="W16" i="31" s="1"/>
  <c r="V26" i="31"/>
  <c r="W26" i="31" s="1"/>
  <c r="V38" i="31"/>
  <c r="W38" i="31" s="1"/>
  <c r="V47" i="31"/>
  <c r="W47" i="31" s="1"/>
  <c r="V55" i="31"/>
  <c r="W55" i="31" s="1"/>
  <c r="V64" i="31"/>
  <c r="W64" i="31" s="1"/>
  <c r="U76" i="31"/>
  <c r="V76" i="31" s="1"/>
  <c r="W76" i="31" s="1"/>
  <c r="V75" i="31"/>
  <c r="W75" i="31" s="1"/>
  <c r="V89" i="31"/>
  <c r="W89" i="31" s="1"/>
  <c r="V98" i="31"/>
  <c r="W98" i="31" s="1"/>
  <c r="V109" i="31"/>
  <c r="W109" i="31" s="1"/>
  <c r="V170" i="31"/>
  <c r="W170" i="31" s="1"/>
  <c r="Z7" i="31"/>
  <c r="AA7" i="31" s="1"/>
  <c r="Z16" i="31"/>
  <c r="AA16" i="31" s="1"/>
  <c r="AT71" i="31"/>
  <c r="AU71" i="31" s="1"/>
  <c r="AT63" i="31"/>
  <c r="AU63" i="31" s="1"/>
  <c r="AT106" i="31"/>
  <c r="AU106" i="31" s="1"/>
  <c r="AT80" i="31"/>
  <c r="AU80" i="31" s="1"/>
  <c r="AT34" i="31"/>
  <c r="AU34" i="31" s="1"/>
  <c r="AT99" i="31"/>
  <c r="AU99" i="31" s="1"/>
  <c r="AT35" i="31"/>
  <c r="AU35" i="31" s="1"/>
  <c r="AT20" i="31"/>
  <c r="AU20" i="31" s="1"/>
  <c r="AT40" i="31"/>
  <c r="AU40" i="31" s="1"/>
  <c r="AT12" i="31"/>
  <c r="AT23" i="31"/>
  <c r="AU23" i="31" s="1"/>
  <c r="AT33" i="31"/>
  <c r="AU33" i="31" s="1"/>
  <c r="AT44" i="31"/>
  <c r="AU44" i="31" s="1"/>
  <c r="AT52" i="31"/>
  <c r="AU52" i="31" s="1"/>
  <c r="AT60" i="31"/>
  <c r="AU60" i="31" s="1"/>
  <c r="AS74" i="31"/>
  <c r="AT74" i="31" s="1"/>
  <c r="AU74" i="31" s="1"/>
  <c r="AT70" i="31"/>
  <c r="AU70" i="31" s="1"/>
  <c r="AT86" i="31"/>
  <c r="AU86" i="31" s="1"/>
  <c r="AT95" i="31"/>
  <c r="AU95" i="31" s="1"/>
  <c r="AT105" i="31"/>
  <c r="AU105" i="31" s="1"/>
  <c r="AT114" i="31"/>
  <c r="AU114" i="31" s="1"/>
  <c r="AX5" i="31"/>
  <c r="AY5" i="31" s="1"/>
  <c r="BA5" i="31"/>
  <c r="AX14" i="31"/>
  <c r="AY14" i="31" s="1"/>
  <c r="AX24" i="31"/>
  <c r="AX36" i="31"/>
  <c r="AX45" i="31"/>
  <c r="AY45" i="31" s="1"/>
  <c r="AX53" i="31"/>
  <c r="AY53" i="31" s="1"/>
  <c r="AX61" i="31"/>
  <c r="AY61" i="31" s="1"/>
  <c r="AX72" i="31"/>
  <c r="AY72" i="31" s="1"/>
  <c r="AX87" i="31"/>
  <c r="AY87" i="31" s="1"/>
  <c r="AX96" i="31"/>
  <c r="AY96" i="31" s="1"/>
  <c r="AX169" i="31"/>
  <c r="AY169" i="31" s="1"/>
  <c r="BA169" i="31"/>
  <c r="AT29" i="31"/>
  <c r="AU29" i="31" s="1"/>
  <c r="G172" i="31"/>
  <c r="J96" i="31"/>
  <c r="K96" i="31" s="1"/>
  <c r="R52" i="31"/>
  <c r="S52" i="31" s="1"/>
  <c r="R60" i="31"/>
  <c r="S60" i="31" s="1"/>
  <c r="Q74" i="31"/>
  <c r="R74" i="31" s="1"/>
  <c r="S74" i="31" s="1"/>
  <c r="R70" i="31"/>
  <c r="S70" i="31" s="1"/>
  <c r="R86" i="31"/>
  <c r="S86" i="31" s="1"/>
  <c r="R95" i="31"/>
  <c r="S95" i="31" s="1"/>
  <c r="R105" i="31"/>
  <c r="S105" i="31" s="1"/>
  <c r="R114" i="31"/>
  <c r="S114" i="31" s="1"/>
  <c r="V9" i="31"/>
  <c r="W9" i="31" s="1"/>
  <c r="V18" i="31"/>
  <c r="W18" i="31" s="1"/>
  <c r="V30" i="31"/>
  <c r="W30" i="31" s="1"/>
  <c r="V41" i="31"/>
  <c r="W41" i="31" s="1"/>
  <c r="V49" i="31"/>
  <c r="W49" i="31" s="1"/>
  <c r="V57" i="31"/>
  <c r="W57" i="31" s="1"/>
  <c r="V66" i="31"/>
  <c r="W66" i="31" s="1"/>
  <c r="V79" i="31"/>
  <c r="W79" i="31" s="1"/>
  <c r="V91" i="31"/>
  <c r="W91" i="31" s="1"/>
  <c r="V102" i="31"/>
  <c r="W102" i="31" s="1"/>
  <c r="V111" i="31"/>
  <c r="W111" i="31" s="1"/>
  <c r="Z9" i="31"/>
  <c r="AA9" i="31" s="1"/>
  <c r="Z18" i="31"/>
  <c r="AA18" i="31" s="1"/>
  <c r="Z30" i="31"/>
  <c r="AA30" i="31" s="1"/>
  <c r="Z41" i="31"/>
  <c r="AA41" i="31" s="1"/>
  <c r="Z49" i="31"/>
  <c r="AA49" i="31" s="1"/>
  <c r="Z57" i="31"/>
  <c r="AA57" i="31" s="1"/>
  <c r="Z66" i="31"/>
  <c r="AA66" i="31" s="1"/>
  <c r="Z79" i="31"/>
  <c r="AA79" i="31" s="1"/>
  <c r="Z91" i="31"/>
  <c r="AA91" i="31" s="1"/>
  <c r="Z102" i="31"/>
  <c r="AA102" i="31" s="1"/>
  <c r="Z111" i="31"/>
  <c r="AA111" i="31" s="1"/>
  <c r="Z170" i="31"/>
  <c r="AA170" i="31" s="1"/>
  <c r="AD84" i="31"/>
  <c r="AE84" i="31" s="1"/>
  <c r="AP23" i="31"/>
  <c r="AQ23" i="31" s="1"/>
  <c r="AP33" i="31"/>
  <c r="AQ33" i="31" s="1"/>
  <c r="AP44" i="31"/>
  <c r="AQ44" i="31" s="1"/>
  <c r="AP52" i="31"/>
  <c r="AQ52" i="31" s="1"/>
  <c r="AP60" i="31"/>
  <c r="AQ60" i="31" s="1"/>
  <c r="AP70" i="31"/>
  <c r="AQ70" i="31" s="1"/>
  <c r="AP86" i="31"/>
  <c r="AQ86" i="31" s="1"/>
  <c r="AP95" i="31"/>
  <c r="AQ95" i="31" s="1"/>
  <c r="AP105" i="31"/>
  <c r="AQ105" i="31" s="1"/>
  <c r="AP114" i="31"/>
  <c r="AQ114" i="31" s="1"/>
  <c r="AT6" i="31"/>
  <c r="AU6" i="31" s="1"/>
  <c r="AT15" i="31"/>
  <c r="AU15" i="31" s="1"/>
  <c r="AT25" i="31"/>
  <c r="AU25" i="31" s="1"/>
  <c r="AT37" i="31"/>
  <c r="AU37" i="31" s="1"/>
  <c r="AT46" i="31"/>
  <c r="AU46" i="31" s="1"/>
  <c r="AT54" i="31"/>
  <c r="AU54" i="31" s="1"/>
  <c r="AT62" i="31"/>
  <c r="AU62" i="31" s="1"/>
  <c r="AT73" i="31"/>
  <c r="AU73" i="31" s="1"/>
  <c r="AT88" i="31"/>
  <c r="AU88" i="31" s="1"/>
  <c r="AT97" i="31"/>
  <c r="AU97" i="31" s="1"/>
  <c r="AT108" i="31"/>
  <c r="AU108" i="31" s="1"/>
  <c r="AX7" i="31"/>
  <c r="AY7" i="31" s="1"/>
  <c r="AX26" i="31"/>
  <c r="AY26" i="31" s="1"/>
  <c r="AX38" i="31"/>
  <c r="AY38" i="31" s="1"/>
  <c r="AX47" i="31"/>
  <c r="AY47" i="31" s="1"/>
  <c r="AX55" i="31"/>
  <c r="AY55" i="31" s="1"/>
  <c r="AX64" i="31"/>
  <c r="AY64" i="31" s="1"/>
  <c r="AW76" i="31"/>
  <c r="AX75" i="31"/>
  <c r="AY75" i="31" s="1"/>
  <c r="AX89" i="31"/>
  <c r="AY89" i="31" s="1"/>
  <c r="AX98" i="31"/>
  <c r="AY98" i="31" s="1"/>
  <c r="AX110" i="31"/>
  <c r="AY110" i="31" s="1"/>
  <c r="AX171" i="31"/>
  <c r="AY171" i="31" s="1"/>
  <c r="BA171" i="31"/>
  <c r="J29" i="31"/>
  <c r="K29" i="31" s="1"/>
  <c r="AC78" i="31"/>
  <c r="AD78" i="31" s="1"/>
  <c r="AE78" i="31" s="1"/>
  <c r="AD77" i="31"/>
  <c r="AE77" i="31" s="1"/>
  <c r="G170" i="31"/>
  <c r="AP20" i="31"/>
  <c r="AQ20" i="31" s="1"/>
  <c r="AP99" i="31"/>
  <c r="AQ99" i="31" s="1"/>
  <c r="AP35" i="31"/>
  <c r="AQ35" i="31" s="1"/>
  <c r="AP106" i="31"/>
  <c r="AQ106" i="31" s="1"/>
  <c r="AP34" i="31"/>
  <c r="AQ34" i="31" s="1"/>
  <c r="AP71" i="31"/>
  <c r="AQ71" i="31" s="1"/>
  <c r="AP80" i="31"/>
  <c r="AQ80" i="31" s="1"/>
  <c r="AP40" i="31"/>
  <c r="AQ40" i="31" s="1"/>
  <c r="AP63" i="31"/>
  <c r="AQ63" i="31" s="1"/>
  <c r="AP14" i="31"/>
  <c r="AQ14" i="31" s="1"/>
  <c r="AP24" i="31"/>
  <c r="AQ24" i="31" s="1"/>
  <c r="AP36" i="31"/>
  <c r="AQ36" i="31" s="1"/>
  <c r="AP45" i="31"/>
  <c r="AQ45" i="31" s="1"/>
  <c r="AP53" i="31"/>
  <c r="AQ53" i="31" s="1"/>
  <c r="AP61" i="31"/>
  <c r="AQ61" i="31" s="1"/>
  <c r="AP72" i="31"/>
  <c r="AQ72" i="31" s="1"/>
  <c r="AP87" i="31"/>
  <c r="AQ87" i="31" s="1"/>
  <c r="AP96" i="31"/>
  <c r="AQ96" i="31" s="1"/>
  <c r="AP107" i="31"/>
  <c r="AQ107" i="31" s="1"/>
  <c r="AP115" i="31"/>
  <c r="AQ115" i="31" s="1"/>
  <c r="AT7" i="31"/>
  <c r="AU7" i="31" s="1"/>
  <c r="AT16" i="31"/>
  <c r="AU16" i="31" s="1"/>
  <c r="AT26" i="31"/>
  <c r="AU26" i="31" s="1"/>
  <c r="AT38" i="31"/>
  <c r="AU38" i="31" s="1"/>
  <c r="AT47" i="31"/>
  <c r="AU47" i="31" s="1"/>
  <c r="AT55" i="31"/>
  <c r="AU55" i="31" s="1"/>
  <c r="AT64" i="31"/>
  <c r="AU64" i="31" s="1"/>
  <c r="AS76" i="31"/>
  <c r="AT76" i="31" s="1"/>
  <c r="AU76" i="31" s="1"/>
  <c r="AT75" i="31"/>
  <c r="AU75" i="31" s="1"/>
  <c r="AT89" i="31"/>
  <c r="AU89" i="31" s="1"/>
  <c r="AT98" i="31"/>
  <c r="AU98" i="31" s="1"/>
  <c r="AT109" i="31"/>
  <c r="AU109" i="31" s="1"/>
  <c r="AT170" i="31"/>
  <c r="AX8" i="31"/>
  <c r="AY8" i="31" s="1"/>
  <c r="AX28" i="31"/>
  <c r="AY28" i="31" s="1"/>
  <c r="AX39" i="31"/>
  <c r="AY39" i="31" s="1"/>
  <c r="AX56" i="31"/>
  <c r="AY56" i="31" s="1"/>
  <c r="AX65" i="31"/>
  <c r="AY65" i="31" s="1"/>
  <c r="AX77" i="31"/>
  <c r="AY77" i="31" s="1"/>
  <c r="AX90" i="31"/>
  <c r="AY90" i="31" s="1"/>
  <c r="AX111" i="31"/>
  <c r="AY111" i="31" s="1"/>
  <c r="AX172" i="31"/>
  <c r="AY172" i="31" s="1"/>
  <c r="BA172" i="31"/>
  <c r="G29" i="31"/>
  <c r="G169" i="31"/>
  <c r="G171" i="31"/>
  <c r="S7" i="31"/>
  <c r="S26" i="31"/>
  <c r="S47" i="31"/>
  <c r="S55" i="31"/>
  <c r="Q76" i="31"/>
  <c r="R76" i="31" s="1"/>
  <c r="S76" i="31" s="1"/>
  <c r="R75" i="31"/>
  <c r="S75" i="31" s="1"/>
  <c r="S89" i="31"/>
  <c r="R106" i="31"/>
  <c r="S106" i="31" s="1"/>
  <c r="R99" i="31"/>
  <c r="S99" i="31" s="1"/>
  <c r="R71" i="31"/>
  <c r="S71" i="31" s="1"/>
  <c r="R34" i="31"/>
  <c r="S34" i="31" s="1"/>
  <c r="R63" i="31"/>
  <c r="S63" i="31" s="1"/>
  <c r="R40" i="31"/>
  <c r="S40" i="31" s="1"/>
  <c r="R80" i="31"/>
  <c r="S80" i="31" s="1"/>
  <c r="R35" i="31"/>
  <c r="S35" i="31" s="1"/>
  <c r="R20" i="31"/>
  <c r="S20" i="31" s="1"/>
  <c r="V106" i="31"/>
  <c r="W106" i="31" s="1"/>
  <c r="V71" i="31"/>
  <c r="W71" i="31" s="1"/>
  <c r="V35" i="31"/>
  <c r="W35" i="31" s="1"/>
  <c r="V40" i="31"/>
  <c r="W40" i="31" s="1"/>
  <c r="V34" i="31"/>
  <c r="W34" i="31" s="1"/>
  <c r="V80" i="31"/>
  <c r="W80" i="31" s="1"/>
  <c r="V20" i="31"/>
  <c r="W20" i="31" s="1"/>
  <c r="V63" i="31"/>
  <c r="W63" i="31" s="1"/>
  <c r="V99" i="31"/>
  <c r="W99" i="31" s="1"/>
  <c r="V12" i="31"/>
  <c r="W12" i="31" s="1"/>
  <c r="V23" i="31"/>
  <c r="W23" i="31" s="1"/>
  <c r="V33" i="31"/>
  <c r="W33" i="31" s="1"/>
  <c r="V44" i="31"/>
  <c r="W44" i="31" s="1"/>
  <c r="V52" i="31"/>
  <c r="W52" i="31" s="1"/>
  <c r="V60" i="31"/>
  <c r="W60" i="31" s="1"/>
  <c r="U74" i="31"/>
  <c r="V74" i="31" s="1"/>
  <c r="W74" i="31" s="1"/>
  <c r="V70" i="31"/>
  <c r="W70" i="31" s="1"/>
  <c r="V86" i="31"/>
  <c r="W86" i="31" s="1"/>
  <c r="V95" i="31"/>
  <c r="W95" i="31" s="1"/>
  <c r="V105" i="31"/>
  <c r="W105" i="31" s="1"/>
  <c r="V114" i="31"/>
  <c r="W114" i="31" s="1"/>
  <c r="Z99" i="31"/>
  <c r="AA99" i="31" s="1"/>
  <c r="Z80" i="31"/>
  <c r="AA80" i="31" s="1"/>
  <c r="Z63" i="31"/>
  <c r="AA63" i="31" s="1"/>
  <c r="Z35" i="31"/>
  <c r="AA35" i="31" s="1"/>
  <c r="Z40" i="31"/>
  <c r="AA40" i="31" s="1"/>
  <c r="Z71" i="31"/>
  <c r="AA71" i="31" s="1"/>
  <c r="Z34" i="31"/>
  <c r="AA34" i="31" s="1"/>
  <c r="Z106" i="31"/>
  <c r="AA106" i="31" s="1"/>
  <c r="Z20" i="31"/>
  <c r="AA20" i="31" s="1"/>
  <c r="Z12" i="31"/>
  <c r="AA12" i="31" s="1"/>
  <c r="Z23" i="31"/>
  <c r="AA23" i="31" s="1"/>
  <c r="Z33" i="31"/>
  <c r="AA33" i="31" s="1"/>
  <c r="Z44" i="31"/>
  <c r="AA44" i="31" s="1"/>
  <c r="Z52" i="31"/>
  <c r="AA52" i="31" s="1"/>
  <c r="Z60" i="31"/>
  <c r="AA60" i="31" s="1"/>
  <c r="Z70" i="31"/>
  <c r="AA70" i="31" s="1"/>
  <c r="Z86" i="31"/>
  <c r="AA86" i="31" s="1"/>
  <c r="Z95" i="31"/>
  <c r="AA95" i="31" s="1"/>
  <c r="Z105" i="31"/>
  <c r="AA105" i="31" s="1"/>
  <c r="Z114" i="31"/>
  <c r="AA114" i="31" s="1"/>
  <c r="AD40" i="31"/>
  <c r="AE40" i="31" s="1"/>
  <c r="AD80" i="31"/>
  <c r="AE80" i="31" s="1"/>
  <c r="AD106" i="31"/>
  <c r="AE106" i="31" s="1"/>
  <c r="AD63" i="31"/>
  <c r="AE63" i="31" s="1"/>
  <c r="AD20" i="31"/>
  <c r="AE20" i="31" s="1"/>
  <c r="AD71" i="31"/>
  <c r="AE71" i="31" s="1"/>
  <c r="AD35" i="31"/>
  <c r="AE35" i="31" s="1"/>
  <c r="AD34" i="31"/>
  <c r="AE34" i="31" s="1"/>
  <c r="AD99" i="31"/>
  <c r="AE99" i="31" s="1"/>
  <c r="AG78" i="31"/>
  <c r="AH78" i="31" s="1"/>
  <c r="AI78" i="31" s="1"/>
  <c r="AH77" i="31"/>
  <c r="AI77" i="31" s="1"/>
  <c r="J111" i="31"/>
  <c r="K111" i="31" s="1"/>
  <c r="M173" i="31"/>
  <c r="M197" i="31" s="1"/>
  <c r="R8" i="31"/>
  <c r="S8" i="31" s="1"/>
  <c r="R17" i="31"/>
  <c r="S17" i="31" s="1"/>
  <c r="R28" i="31"/>
  <c r="S28" i="31" s="1"/>
  <c r="R39" i="31"/>
  <c r="S39" i="31" s="1"/>
  <c r="R48" i="31"/>
  <c r="S48" i="31" s="1"/>
  <c r="R56" i="31"/>
  <c r="S56" i="31" s="1"/>
  <c r="R65" i="31"/>
  <c r="S65" i="31" s="1"/>
  <c r="Q78" i="31"/>
  <c r="R78" i="31" s="1"/>
  <c r="S78" i="31" s="1"/>
  <c r="R77" i="31"/>
  <c r="S77" i="31" s="1"/>
  <c r="R90" i="31"/>
  <c r="S90" i="31" s="1"/>
  <c r="R100" i="31"/>
  <c r="S100" i="31" s="1"/>
  <c r="R110" i="31"/>
  <c r="S110" i="31" s="1"/>
  <c r="R169" i="31"/>
  <c r="S169" i="31" s="1"/>
  <c r="V5" i="31"/>
  <c r="W5" i="31" s="1"/>
  <c r="V14" i="31"/>
  <c r="W14" i="31" s="1"/>
  <c r="V24" i="31"/>
  <c r="W24" i="31" s="1"/>
  <c r="V36" i="31"/>
  <c r="W36" i="31" s="1"/>
  <c r="V45" i="31"/>
  <c r="W45" i="31" s="1"/>
  <c r="V53" i="31"/>
  <c r="W53" i="31" s="1"/>
  <c r="V61" i="31"/>
  <c r="W61" i="31" s="1"/>
  <c r="V72" i="31"/>
  <c r="W72" i="31" s="1"/>
  <c r="V87" i="31"/>
  <c r="W87" i="31" s="1"/>
  <c r="V96" i="31"/>
  <c r="W96" i="31" s="1"/>
  <c r="AD5" i="31"/>
  <c r="AE5" i="31" s="1"/>
  <c r="V50" i="31"/>
  <c r="W50" i="31" s="1"/>
  <c r="V58" i="31"/>
  <c r="W58" i="31" s="1"/>
  <c r="V67" i="31"/>
  <c r="W67" i="31" s="1"/>
  <c r="V82" i="31"/>
  <c r="W82" i="31" s="1"/>
  <c r="V92" i="31"/>
  <c r="W92" i="31" s="1"/>
  <c r="V103" i="31"/>
  <c r="W103" i="31" s="1"/>
  <c r="V112" i="31"/>
  <c r="W112" i="31" s="1"/>
  <c r="Z10" i="31"/>
  <c r="AA10" i="31" s="1"/>
  <c r="Z19" i="31"/>
  <c r="AA19" i="31" s="1"/>
  <c r="Z31" i="31"/>
  <c r="AA31" i="31" s="1"/>
  <c r="Z42" i="31"/>
  <c r="AA42" i="31" s="1"/>
  <c r="Z50" i="31"/>
  <c r="AA50" i="31" s="1"/>
  <c r="Z58" i="31"/>
  <c r="AA58" i="31" s="1"/>
  <c r="Z67" i="31"/>
  <c r="AA67" i="31" s="1"/>
  <c r="Z82" i="31"/>
  <c r="AA82" i="31" s="1"/>
  <c r="Z92" i="31"/>
  <c r="AA92" i="31" s="1"/>
  <c r="Z103" i="31"/>
  <c r="AA103" i="31" s="1"/>
  <c r="Z112" i="31"/>
  <c r="AA112" i="31" s="1"/>
  <c r="AD9" i="31"/>
  <c r="AE9" i="31" s="1"/>
  <c r="AD18" i="31"/>
  <c r="AE18" i="31" s="1"/>
  <c r="AD30" i="31"/>
  <c r="AE30" i="31" s="1"/>
  <c r="AD41" i="31"/>
  <c r="AE41" i="31" s="1"/>
  <c r="AD49" i="31"/>
  <c r="AE49" i="31" s="1"/>
  <c r="AD57" i="31"/>
  <c r="AE57" i="31" s="1"/>
  <c r="AD66" i="31"/>
  <c r="AE66" i="31" s="1"/>
  <c r="AD79" i="31"/>
  <c r="AE79" i="31" s="1"/>
  <c r="AD91" i="31"/>
  <c r="AE91" i="31" s="1"/>
  <c r="AD102" i="31"/>
  <c r="AE102" i="31" s="1"/>
  <c r="AD111" i="31"/>
  <c r="AE111" i="31" s="1"/>
  <c r="AD169" i="31"/>
  <c r="AE169" i="31" s="1"/>
  <c r="AH9" i="31"/>
  <c r="AI9" i="31" s="1"/>
  <c r="AH18" i="31"/>
  <c r="AH30" i="31"/>
  <c r="AH41" i="31"/>
  <c r="AI41" i="31" s="1"/>
  <c r="AH49" i="31"/>
  <c r="AI49" i="31" s="1"/>
  <c r="AH57" i="31"/>
  <c r="AI57" i="31" s="1"/>
  <c r="AH66" i="31"/>
  <c r="AI66" i="31" s="1"/>
  <c r="AG81" i="31"/>
  <c r="AH81" i="31" s="1"/>
  <c r="AI81" i="31" s="1"/>
  <c r="AH79" i="31"/>
  <c r="AI79" i="31" s="1"/>
  <c r="AH91" i="31"/>
  <c r="AH102" i="31"/>
  <c r="AI102" i="31" s="1"/>
  <c r="AH111" i="31"/>
  <c r="AI111" i="31" s="1"/>
  <c r="AH169" i="31"/>
  <c r="AI169" i="31" s="1"/>
  <c r="AL10" i="31"/>
  <c r="AM10" i="31" s="1"/>
  <c r="AL19" i="31"/>
  <c r="AM19" i="31" s="1"/>
  <c r="AL31" i="31"/>
  <c r="AM31" i="31" s="1"/>
  <c r="AL42" i="31"/>
  <c r="AM42" i="31" s="1"/>
  <c r="AL50" i="31"/>
  <c r="AM50" i="31" s="1"/>
  <c r="AL58" i="31"/>
  <c r="AM58" i="31" s="1"/>
  <c r="AL67" i="31"/>
  <c r="AM67" i="31" s="1"/>
  <c r="AL82" i="31"/>
  <c r="AM82" i="31" s="1"/>
  <c r="AL92" i="31"/>
  <c r="AM92" i="31" s="1"/>
  <c r="AL103" i="31"/>
  <c r="AM103" i="31" s="1"/>
  <c r="AL112" i="31"/>
  <c r="AM112" i="31" s="1"/>
  <c r="AP11" i="31"/>
  <c r="AQ11" i="31" s="1"/>
  <c r="AP21" i="31"/>
  <c r="AQ21" i="31" s="1"/>
  <c r="AP32" i="31"/>
  <c r="AQ32" i="31" s="1"/>
  <c r="AP43" i="31"/>
  <c r="AQ43" i="31" s="1"/>
  <c r="AP51" i="31"/>
  <c r="AQ51" i="31" s="1"/>
  <c r="AP59" i="31"/>
  <c r="AQ59" i="31" s="1"/>
  <c r="AP68" i="31"/>
  <c r="AQ68" i="31" s="1"/>
  <c r="AP83" i="31"/>
  <c r="AQ83" i="31" s="1"/>
  <c r="AP94" i="31"/>
  <c r="AQ94" i="31" s="1"/>
  <c r="AP104" i="31"/>
  <c r="AQ104" i="31" s="1"/>
  <c r="AP113" i="31"/>
  <c r="AQ113" i="31" s="1"/>
  <c r="AT5" i="31"/>
  <c r="AU5" i="31" s="1"/>
  <c r="AT14" i="31"/>
  <c r="AU14" i="31" s="1"/>
  <c r="AT24" i="31"/>
  <c r="AU24" i="31" s="1"/>
  <c r="AT36" i="31"/>
  <c r="AU36" i="31" s="1"/>
  <c r="AT45" i="31"/>
  <c r="AU45" i="31" s="1"/>
  <c r="AT53" i="31"/>
  <c r="AU53" i="31" s="1"/>
  <c r="AT61" i="31"/>
  <c r="AU61" i="31" s="1"/>
  <c r="AT72" i="31"/>
  <c r="AU72" i="31" s="1"/>
  <c r="AT87" i="31"/>
  <c r="AU87" i="31" s="1"/>
  <c r="AT96" i="31"/>
  <c r="AU96" i="31" s="1"/>
  <c r="AT107" i="31"/>
  <c r="AU107" i="31" s="1"/>
  <c r="AT115" i="31"/>
  <c r="AU115" i="31" s="1"/>
  <c r="AX6" i="31"/>
  <c r="AY6" i="31" s="1"/>
  <c r="AX15" i="31"/>
  <c r="AY15" i="31" s="1"/>
  <c r="AX37" i="31"/>
  <c r="AX46" i="31"/>
  <c r="AY46" i="31" s="1"/>
  <c r="AX54" i="31"/>
  <c r="AY54" i="31" s="1"/>
  <c r="AX62" i="31"/>
  <c r="AY62" i="31" s="1"/>
  <c r="AX88" i="31"/>
  <c r="AX97" i="31"/>
  <c r="AY97" i="31" s="1"/>
  <c r="AX170" i="31"/>
  <c r="AY170" i="31" s="1"/>
  <c r="BA170" i="31"/>
  <c r="AP29" i="31"/>
  <c r="AQ29" i="31" s="1"/>
  <c r="V84" i="31"/>
  <c r="W84" i="31" s="1"/>
  <c r="V107" i="31"/>
  <c r="W107" i="31" s="1"/>
  <c r="V115" i="31"/>
  <c r="W115" i="31" s="1"/>
  <c r="Z14" i="31"/>
  <c r="AA14" i="31" s="1"/>
  <c r="Z24" i="31"/>
  <c r="AA24" i="31" s="1"/>
  <c r="Z36" i="31"/>
  <c r="AA36" i="31" s="1"/>
  <c r="Z45" i="31"/>
  <c r="AA45" i="31" s="1"/>
  <c r="Z53" i="31"/>
  <c r="AA53" i="31" s="1"/>
  <c r="Z61" i="31"/>
  <c r="AA61" i="31" s="1"/>
  <c r="Z72" i="31"/>
  <c r="AA72" i="31" s="1"/>
  <c r="Z87" i="31"/>
  <c r="AA87" i="31" s="1"/>
  <c r="Z96" i="31"/>
  <c r="AA96" i="31" s="1"/>
  <c r="Z107" i="31"/>
  <c r="AA107" i="31" s="1"/>
  <c r="Z115" i="31"/>
  <c r="AA115" i="31" s="1"/>
  <c r="AD12" i="31"/>
  <c r="AE12" i="31" s="1"/>
  <c r="AD23" i="31"/>
  <c r="AE23" i="31" s="1"/>
  <c r="AD33" i="31"/>
  <c r="AE33" i="31" s="1"/>
  <c r="AD44" i="31"/>
  <c r="AE44" i="31" s="1"/>
  <c r="AD52" i="31"/>
  <c r="AE52" i="31" s="1"/>
  <c r="AD60" i="31"/>
  <c r="AE60" i="31" s="1"/>
  <c r="AD70" i="31"/>
  <c r="AE70" i="31" s="1"/>
  <c r="AD86" i="31"/>
  <c r="AE86" i="31" s="1"/>
  <c r="AD95" i="31"/>
  <c r="AE95" i="31" s="1"/>
  <c r="AD105" i="31"/>
  <c r="AE105" i="31" s="1"/>
  <c r="AD114" i="31"/>
  <c r="AE114" i="31" s="1"/>
  <c r="AH71" i="31"/>
  <c r="AI71" i="31" s="1"/>
  <c r="AH34" i="31"/>
  <c r="AI34" i="31" s="1"/>
  <c r="AH99" i="31"/>
  <c r="AI99" i="31" s="1"/>
  <c r="AH40" i="31"/>
  <c r="AI40" i="31" s="1"/>
  <c r="AH20" i="31"/>
  <c r="AI20" i="31" s="1"/>
  <c r="AH106" i="31"/>
  <c r="AI106" i="31" s="1"/>
  <c r="AH80" i="31"/>
  <c r="AI80" i="31" s="1"/>
  <c r="AH63" i="31"/>
  <c r="AI63" i="31" s="1"/>
  <c r="AH35" i="31"/>
  <c r="AI35" i="31" s="1"/>
  <c r="AH12" i="31"/>
  <c r="AI12" i="31" s="1"/>
  <c r="AG27" i="31"/>
  <c r="AH27" i="31" s="1"/>
  <c r="AI27" i="31" s="1"/>
  <c r="AH23" i="31"/>
  <c r="AI23" i="31" s="1"/>
  <c r="AH33" i="31"/>
  <c r="AI33" i="31" s="1"/>
  <c r="AH44" i="31"/>
  <c r="AI44" i="31" s="1"/>
  <c r="AH52" i="31"/>
  <c r="AI52" i="31" s="1"/>
  <c r="AH60" i="31"/>
  <c r="AI60" i="31" s="1"/>
  <c r="AH70" i="31"/>
  <c r="AI70" i="31" s="1"/>
  <c r="AH86" i="31"/>
  <c r="AI86" i="31" s="1"/>
  <c r="AH95" i="31"/>
  <c r="AI95" i="31" s="1"/>
  <c r="AH105" i="31"/>
  <c r="AI105" i="31" s="1"/>
  <c r="AH114" i="31"/>
  <c r="AI114" i="31" s="1"/>
  <c r="AL80" i="31"/>
  <c r="AM80" i="31" s="1"/>
  <c r="AL40" i="31"/>
  <c r="AM40" i="31" s="1"/>
  <c r="AL71" i="31"/>
  <c r="AM71" i="31" s="1"/>
  <c r="AL63" i="31"/>
  <c r="AM63" i="31" s="1"/>
  <c r="AL99" i="31"/>
  <c r="AM99" i="31" s="1"/>
  <c r="AL35" i="31"/>
  <c r="AM35" i="31" s="1"/>
  <c r="AL34" i="31"/>
  <c r="AM34" i="31" s="1"/>
  <c r="AL20" i="31"/>
  <c r="AM20" i="31" s="1"/>
  <c r="AL106" i="31"/>
  <c r="AM106" i="31" s="1"/>
  <c r="AK22" i="31"/>
  <c r="AL14" i="31"/>
  <c r="AM14" i="31" s="1"/>
  <c r="AL24" i="31"/>
  <c r="AM24" i="31" s="1"/>
  <c r="AL36" i="31"/>
  <c r="AM36" i="31" s="1"/>
  <c r="AL45" i="31"/>
  <c r="AM45" i="31" s="1"/>
  <c r="AL53" i="31"/>
  <c r="AM53" i="31" s="1"/>
  <c r="AL61" i="31"/>
  <c r="AM61" i="31" s="1"/>
  <c r="AL72" i="31"/>
  <c r="AM72" i="31" s="1"/>
  <c r="AL87" i="31"/>
  <c r="AM87" i="31" s="1"/>
  <c r="AL96" i="31"/>
  <c r="AM96" i="31" s="1"/>
  <c r="AL107" i="31"/>
  <c r="AM107" i="31" s="1"/>
  <c r="AL115" i="31"/>
  <c r="AM115" i="31" s="1"/>
  <c r="AP6" i="31"/>
  <c r="AQ6" i="31" s="1"/>
  <c r="AP15" i="31"/>
  <c r="AQ15" i="31" s="1"/>
  <c r="AP25" i="31"/>
  <c r="AQ25" i="31" s="1"/>
  <c r="AP37" i="31"/>
  <c r="AQ37" i="31" s="1"/>
  <c r="AP46" i="31"/>
  <c r="AQ46" i="31" s="1"/>
  <c r="AP54" i="31"/>
  <c r="AP62" i="31"/>
  <c r="AQ62" i="31" s="1"/>
  <c r="AP73" i="31"/>
  <c r="AQ73" i="31" s="1"/>
  <c r="AP88" i="31"/>
  <c r="AQ88" i="31" s="1"/>
  <c r="AP97" i="31"/>
  <c r="AQ97" i="31" s="1"/>
  <c r="AP108" i="31"/>
  <c r="AQ108" i="31" s="1"/>
  <c r="AT8" i="31"/>
  <c r="AU8" i="31" s="1"/>
  <c r="AT17" i="31"/>
  <c r="AU17" i="31" s="1"/>
  <c r="AT28" i="31"/>
  <c r="AT39" i="31"/>
  <c r="AU39" i="31" s="1"/>
  <c r="AT48" i="31"/>
  <c r="AU48" i="31" s="1"/>
  <c r="AT56" i="31"/>
  <c r="AU56" i="31" s="1"/>
  <c r="AT65" i="31"/>
  <c r="AU65" i="31" s="1"/>
  <c r="AS78" i="31"/>
  <c r="AT78" i="31" s="1"/>
  <c r="AU78" i="31" s="1"/>
  <c r="AT77" i="31"/>
  <c r="AU77" i="31" s="1"/>
  <c r="AT90" i="31"/>
  <c r="AU90" i="31" s="1"/>
  <c r="AT100" i="31"/>
  <c r="AU100" i="31" s="1"/>
  <c r="AT110" i="31"/>
  <c r="AU110" i="31" s="1"/>
  <c r="AT171" i="31"/>
  <c r="AU171" i="31" s="1"/>
  <c r="AX30" i="31"/>
  <c r="AY30" i="31" s="1"/>
  <c r="AX79" i="31"/>
  <c r="AY79" i="31" s="1"/>
  <c r="AX103" i="31"/>
  <c r="AY103" i="31" s="1"/>
  <c r="AX112" i="31"/>
  <c r="AY112" i="31" s="1"/>
  <c r="AD29" i="31"/>
  <c r="AE29" i="31" s="1"/>
  <c r="AX100" i="31"/>
  <c r="AY100" i="31" s="1"/>
  <c r="R9" i="31"/>
  <c r="S9" i="31" s="1"/>
  <c r="R18" i="31"/>
  <c r="S18" i="31" s="1"/>
  <c r="R30" i="31"/>
  <c r="S30" i="31" s="1"/>
  <c r="R41" i="31"/>
  <c r="S41" i="31" s="1"/>
  <c r="R49" i="31"/>
  <c r="S49" i="31" s="1"/>
  <c r="R57" i="31"/>
  <c r="S57" i="31" s="1"/>
  <c r="R66" i="31"/>
  <c r="S66" i="31" s="1"/>
  <c r="R79" i="31"/>
  <c r="S79" i="31" s="1"/>
  <c r="R91" i="31"/>
  <c r="S91" i="31" s="1"/>
  <c r="R102" i="31"/>
  <c r="S102" i="31" s="1"/>
  <c r="R111" i="31"/>
  <c r="S111" i="31" s="1"/>
  <c r="Q173" i="31"/>
  <c r="Q197" i="31" s="1"/>
  <c r="V6" i="31"/>
  <c r="W6" i="31" s="1"/>
  <c r="V15" i="31"/>
  <c r="W15" i="31" s="1"/>
  <c r="V25" i="31"/>
  <c r="W25" i="31" s="1"/>
  <c r="V37" i="31"/>
  <c r="W37" i="31" s="1"/>
  <c r="V46" i="31"/>
  <c r="W46" i="31" s="1"/>
  <c r="V54" i="31"/>
  <c r="W54" i="31" s="1"/>
  <c r="V62" i="31"/>
  <c r="W62" i="31" s="1"/>
  <c r="V73" i="31"/>
  <c r="W73" i="31" s="1"/>
  <c r="V88" i="31"/>
  <c r="W88" i="31" s="1"/>
  <c r="V97" i="31"/>
  <c r="W97" i="31" s="1"/>
  <c r="V108" i="31"/>
  <c r="W108" i="31" s="1"/>
  <c r="Z6" i="31"/>
  <c r="AA6" i="31" s="1"/>
  <c r="Z15" i="31"/>
  <c r="AA15" i="31" s="1"/>
  <c r="Z25" i="31"/>
  <c r="AA25" i="31" s="1"/>
  <c r="Z37" i="31"/>
  <c r="AA37" i="31" s="1"/>
  <c r="Z46" i="31"/>
  <c r="AA46" i="31" s="1"/>
  <c r="Z54" i="31"/>
  <c r="AA54" i="31" s="1"/>
  <c r="Z62" i="31"/>
  <c r="AA62" i="31" s="1"/>
  <c r="Z73" i="31"/>
  <c r="AA73" i="31" s="1"/>
  <c r="Z88" i="31"/>
  <c r="AA88" i="31" s="1"/>
  <c r="Z97" i="31"/>
  <c r="AA97" i="31" s="1"/>
  <c r="Z108" i="31"/>
  <c r="AA108" i="31" s="1"/>
  <c r="Z169" i="31"/>
  <c r="AA169" i="31" s="1"/>
  <c r="AD14" i="31"/>
  <c r="AE14" i="31" s="1"/>
  <c r="AD24" i="31"/>
  <c r="AE24" i="31" s="1"/>
  <c r="AD36" i="31"/>
  <c r="AE36" i="31" s="1"/>
  <c r="AD45" i="31"/>
  <c r="AE45" i="31" s="1"/>
  <c r="AD53" i="31"/>
  <c r="AE53" i="31" s="1"/>
  <c r="AD61" i="31"/>
  <c r="AE61" i="31" s="1"/>
  <c r="AD72" i="31"/>
  <c r="AE72" i="31" s="1"/>
  <c r="AD87" i="31"/>
  <c r="AE87" i="31" s="1"/>
  <c r="AD96" i="31"/>
  <c r="AE96" i="31" s="1"/>
  <c r="AD107" i="31"/>
  <c r="AE107" i="31" s="1"/>
  <c r="AD115" i="31"/>
  <c r="AE115" i="31" s="1"/>
  <c r="AH14" i="31"/>
  <c r="AI14" i="31" s="1"/>
  <c r="AH24" i="31"/>
  <c r="AI24" i="31" s="1"/>
  <c r="AH36" i="31"/>
  <c r="AI36" i="31" s="1"/>
  <c r="AH45" i="31"/>
  <c r="AI45" i="31" s="1"/>
  <c r="AH53" i="31"/>
  <c r="AI53" i="31" s="1"/>
  <c r="AH61" i="31"/>
  <c r="AI61" i="31" s="1"/>
  <c r="AH72" i="31"/>
  <c r="AI72" i="31" s="1"/>
  <c r="AH87" i="31"/>
  <c r="AI87" i="31" s="1"/>
  <c r="AH96" i="31"/>
  <c r="AI96" i="31" s="1"/>
  <c r="AH107" i="31"/>
  <c r="AI107" i="31" s="1"/>
  <c r="AH115" i="31"/>
  <c r="AI115" i="31" s="1"/>
  <c r="AL6" i="31"/>
  <c r="AM6" i="31" s="1"/>
  <c r="AL15" i="31"/>
  <c r="AM15" i="31" s="1"/>
  <c r="AL25" i="31"/>
  <c r="AM25" i="31" s="1"/>
  <c r="AL37" i="31"/>
  <c r="AM37" i="31" s="1"/>
  <c r="AL46" i="31"/>
  <c r="AM46" i="31" s="1"/>
  <c r="AL54" i="31"/>
  <c r="AM54" i="31" s="1"/>
  <c r="AL62" i="31"/>
  <c r="AM62" i="31" s="1"/>
  <c r="AL73" i="31"/>
  <c r="AM73" i="31" s="1"/>
  <c r="AL88" i="31"/>
  <c r="AM88" i="31" s="1"/>
  <c r="AL97" i="31"/>
  <c r="AM97" i="31" s="1"/>
  <c r="AL108" i="31"/>
  <c r="AM108" i="31" s="1"/>
  <c r="AL169" i="31"/>
  <c r="AM169" i="31" s="1"/>
  <c r="AP7" i="31"/>
  <c r="AQ7" i="31" s="1"/>
  <c r="AP16" i="31"/>
  <c r="AQ16" i="31" s="1"/>
  <c r="AP26" i="31"/>
  <c r="AQ26" i="31" s="1"/>
  <c r="AP38" i="31"/>
  <c r="AQ38" i="31" s="1"/>
  <c r="AP47" i="31"/>
  <c r="AQ47" i="31" s="1"/>
  <c r="AP55" i="31"/>
  <c r="AQ55" i="31" s="1"/>
  <c r="AP64" i="31"/>
  <c r="AQ64" i="31" s="1"/>
  <c r="AO76" i="31"/>
  <c r="AP76" i="31" s="1"/>
  <c r="AQ76" i="31" s="1"/>
  <c r="AP75" i="31"/>
  <c r="AQ75" i="31" s="1"/>
  <c r="AP89" i="31"/>
  <c r="AQ89" i="31" s="1"/>
  <c r="AP98" i="31"/>
  <c r="AQ98" i="31" s="1"/>
  <c r="AP109" i="31"/>
  <c r="AQ109" i="31" s="1"/>
  <c r="AP170" i="31"/>
  <c r="AQ170" i="31" s="1"/>
  <c r="AT9" i="31"/>
  <c r="AU9" i="31" s="1"/>
  <c r="AT18" i="31"/>
  <c r="AU18" i="31" s="1"/>
  <c r="AT30" i="31"/>
  <c r="AU30" i="31" s="1"/>
  <c r="AT41" i="31"/>
  <c r="AU41" i="31" s="1"/>
  <c r="AT49" i="31"/>
  <c r="AU49" i="31" s="1"/>
  <c r="AT57" i="31"/>
  <c r="AU57" i="31" s="1"/>
  <c r="AT66" i="31"/>
  <c r="AU66" i="31" s="1"/>
  <c r="AT79" i="31"/>
  <c r="AU79" i="31" s="1"/>
  <c r="AT91" i="31"/>
  <c r="AU91" i="31" s="1"/>
  <c r="AT102" i="31"/>
  <c r="AU102" i="31" s="1"/>
  <c r="AT111" i="31"/>
  <c r="AU111" i="31" s="1"/>
  <c r="AT172" i="31"/>
  <c r="AU172" i="31" s="1"/>
  <c r="AX10" i="31"/>
  <c r="AY10" i="31" s="1"/>
  <c r="AX19" i="31"/>
  <c r="AX31" i="31"/>
  <c r="AX42" i="31"/>
  <c r="AY42" i="31" s="1"/>
  <c r="AX50" i="31"/>
  <c r="AY50" i="31" s="1"/>
  <c r="AX58" i="31"/>
  <c r="AY58" i="31" s="1"/>
  <c r="AX67" i="31"/>
  <c r="AY67" i="31" s="1"/>
  <c r="AW85" i="31"/>
  <c r="AX85" i="31" s="1"/>
  <c r="AY85" i="31" s="1"/>
  <c r="AX82" i="31"/>
  <c r="AY82" i="31" s="1"/>
  <c r="AX92" i="31"/>
  <c r="AY92" i="31" s="1"/>
  <c r="AX104" i="31"/>
  <c r="AY104" i="31" s="1"/>
  <c r="AX113" i="31"/>
  <c r="AY113" i="31" s="1"/>
  <c r="Z29" i="31"/>
  <c r="AA29" i="31" s="1"/>
  <c r="Z26" i="31"/>
  <c r="AA26" i="31" s="1"/>
  <c r="Z38" i="31"/>
  <c r="AA38" i="31" s="1"/>
  <c r="Z47" i="31"/>
  <c r="AA47" i="31" s="1"/>
  <c r="Z55" i="31"/>
  <c r="AA55" i="31" s="1"/>
  <c r="Z64" i="31"/>
  <c r="AA64" i="31" s="1"/>
  <c r="Y76" i="31"/>
  <c r="Z76" i="31" s="1"/>
  <c r="AA76" i="31" s="1"/>
  <c r="Z75" i="31"/>
  <c r="AA75" i="31" s="1"/>
  <c r="Z89" i="31"/>
  <c r="AA89" i="31" s="1"/>
  <c r="Z98" i="31"/>
  <c r="AA98" i="31" s="1"/>
  <c r="Z109" i="31"/>
  <c r="AA109" i="31" s="1"/>
  <c r="Z172" i="31"/>
  <c r="AD6" i="31"/>
  <c r="AE6" i="31" s="1"/>
  <c r="AD15" i="31"/>
  <c r="AE15" i="31" s="1"/>
  <c r="AD25" i="31"/>
  <c r="AE25" i="31" s="1"/>
  <c r="AD37" i="31"/>
  <c r="AE37" i="31" s="1"/>
  <c r="AD46" i="31"/>
  <c r="AE46" i="31" s="1"/>
  <c r="AD54" i="31"/>
  <c r="AE54" i="31" s="1"/>
  <c r="AD62" i="31"/>
  <c r="AE62" i="31" s="1"/>
  <c r="AD73" i="31"/>
  <c r="AE73" i="31" s="1"/>
  <c r="AD88" i="31"/>
  <c r="AE88" i="31" s="1"/>
  <c r="AD97" i="31"/>
  <c r="AE97" i="31" s="1"/>
  <c r="AD108" i="31"/>
  <c r="AE108" i="31" s="1"/>
  <c r="AD170" i="31"/>
  <c r="AE170" i="31" s="1"/>
  <c r="AH6" i="31"/>
  <c r="AI6" i="31" s="1"/>
  <c r="AH15" i="31"/>
  <c r="AI15" i="31" s="1"/>
  <c r="AH25" i="31"/>
  <c r="AI25" i="31" s="1"/>
  <c r="AH37" i="31"/>
  <c r="AI37" i="31" s="1"/>
  <c r="AH46" i="31"/>
  <c r="AI46" i="31" s="1"/>
  <c r="AH54" i="31"/>
  <c r="AI54" i="31" s="1"/>
  <c r="AH62" i="31"/>
  <c r="AI62" i="31" s="1"/>
  <c r="AH73" i="31"/>
  <c r="AI73" i="31" s="1"/>
  <c r="AH88" i="31"/>
  <c r="AI88" i="31" s="1"/>
  <c r="AH97" i="31"/>
  <c r="AI97" i="31" s="1"/>
  <c r="AH108" i="31"/>
  <c r="AI108" i="31" s="1"/>
  <c r="AH170" i="31"/>
  <c r="AI170" i="31" s="1"/>
  <c r="AL7" i="31"/>
  <c r="AM7" i="31" s="1"/>
  <c r="AL16" i="31"/>
  <c r="AM16" i="31" s="1"/>
  <c r="AL26" i="31"/>
  <c r="AM26" i="31" s="1"/>
  <c r="AL38" i="31"/>
  <c r="AM38" i="31" s="1"/>
  <c r="AL47" i="31"/>
  <c r="AM47" i="31" s="1"/>
  <c r="AL55" i="31"/>
  <c r="AM55" i="31" s="1"/>
  <c r="AL64" i="31"/>
  <c r="AM64" i="31" s="1"/>
  <c r="AK76" i="31"/>
  <c r="AL76" i="31" s="1"/>
  <c r="AM76" i="31" s="1"/>
  <c r="AL75" i="31"/>
  <c r="AM75" i="31" s="1"/>
  <c r="AL89" i="31"/>
  <c r="AM89" i="31" s="1"/>
  <c r="AL98" i="31"/>
  <c r="AM98" i="31" s="1"/>
  <c r="AL109" i="31"/>
  <c r="AM109" i="31" s="1"/>
  <c r="AL170" i="31"/>
  <c r="AM170" i="31" s="1"/>
  <c r="AP8" i="31"/>
  <c r="AQ8" i="31" s="1"/>
  <c r="AP17" i="31"/>
  <c r="AQ17" i="31" s="1"/>
  <c r="AP28" i="31"/>
  <c r="AQ28" i="31" s="1"/>
  <c r="AP39" i="31"/>
  <c r="AQ39" i="31" s="1"/>
  <c r="AP48" i="31"/>
  <c r="AQ48" i="31" s="1"/>
  <c r="AP56" i="31"/>
  <c r="AQ56" i="31" s="1"/>
  <c r="AP65" i="31"/>
  <c r="AQ65" i="31" s="1"/>
  <c r="AP77" i="31"/>
  <c r="AP90" i="31"/>
  <c r="AQ90" i="31" s="1"/>
  <c r="AP100" i="31"/>
  <c r="AQ100" i="31" s="1"/>
  <c r="AP110" i="31"/>
  <c r="AQ110" i="31" s="1"/>
  <c r="AP171" i="31"/>
  <c r="AQ171" i="31" s="1"/>
  <c r="AT10" i="31"/>
  <c r="AU10" i="31" s="1"/>
  <c r="AT19" i="31"/>
  <c r="AU19" i="31" s="1"/>
  <c r="AT31" i="31"/>
  <c r="AU31" i="31" s="1"/>
  <c r="AT42" i="31"/>
  <c r="AU42" i="31" s="1"/>
  <c r="AT50" i="31"/>
  <c r="AU50" i="31" s="1"/>
  <c r="AT58" i="31"/>
  <c r="AU58" i="31" s="1"/>
  <c r="AT67" i="31"/>
  <c r="AU67" i="31" s="1"/>
  <c r="AT82" i="31"/>
  <c r="AU82" i="31" s="1"/>
  <c r="AT92" i="31"/>
  <c r="AU92" i="31" s="1"/>
  <c r="AT103" i="31"/>
  <c r="AU103" i="31" s="1"/>
  <c r="AT112" i="31"/>
  <c r="AX11" i="31"/>
  <c r="AY11" i="31" s="1"/>
  <c r="AX21" i="31"/>
  <c r="AY21" i="31" s="1"/>
  <c r="AX32" i="31"/>
  <c r="AY32" i="31" s="1"/>
  <c r="AX43" i="31"/>
  <c r="AY43" i="31" s="1"/>
  <c r="AX51" i="31"/>
  <c r="AY51" i="31" s="1"/>
  <c r="AX59" i="31"/>
  <c r="AY59" i="31" s="1"/>
  <c r="AX68" i="31"/>
  <c r="AX83" i="31"/>
  <c r="AY83" i="31" s="1"/>
  <c r="AX94" i="31"/>
  <c r="AY94" i="31" s="1"/>
  <c r="AX105" i="31"/>
  <c r="AY105" i="31" s="1"/>
  <c r="AX114" i="31"/>
  <c r="AY114" i="31" s="1"/>
  <c r="V29" i="31"/>
  <c r="W29" i="31" s="1"/>
  <c r="R94" i="31"/>
  <c r="S94" i="31" s="1"/>
  <c r="R104" i="31"/>
  <c r="S104" i="31" s="1"/>
  <c r="R113" i="31"/>
  <c r="S113" i="31" s="1"/>
  <c r="V8" i="31"/>
  <c r="W8" i="31" s="1"/>
  <c r="V17" i="31"/>
  <c r="W17" i="31" s="1"/>
  <c r="V28" i="31"/>
  <c r="W28" i="31" s="1"/>
  <c r="V39" i="31"/>
  <c r="W39" i="31" s="1"/>
  <c r="V48" i="31"/>
  <c r="W48" i="31" s="1"/>
  <c r="V56" i="31"/>
  <c r="W56" i="31" s="1"/>
  <c r="V65" i="31"/>
  <c r="W65" i="31" s="1"/>
  <c r="V77" i="31"/>
  <c r="W77" i="31" s="1"/>
  <c r="V90" i="31"/>
  <c r="W90" i="31" s="1"/>
  <c r="V100" i="31"/>
  <c r="W100" i="31" s="1"/>
  <c r="V110" i="31"/>
  <c r="W110" i="31" s="1"/>
  <c r="Z8" i="31"/>
  <c r="AA8" i="31" s="1"/>
  <c r="Z17" i="31"/>
  <c r="AA17" i="31" s="1"/>
  <c r="Z28" i="31"/>
  <c r="AA28" i="31" s="1"/>
  <c r="Z39" i="31"/>
  <c r="AA39" i="31" s="1"/>
  <c r="Z48" i="31"/>
  <c r="AA48" i="31" s="1"/>
  <c r="Z56" i="31"/>
  <c r="AA56" i="31" s="1"/>
  <c r="Z65" i="31"/>
  <c r="AA65" i="31" s="1"/>
  <c r="Z77" i="31"/>
  <c r="AA77" i="31" s="1"/>
  <c r="Z90" i="31"/>
  <c r="AA90" i="31" s="1"/>
  <c r="Z100" i="31"/>
  <c r="AA100" i="31" s="1"/>
  <c r="Z110" i="31"/>
  <c r="AA110" i="31" s="1"/>
  <c r="Z171" i="31"/>
  <c r="AA171" i="31" s="1"/>
  <c r="AD7" i="31"/>
  <c r="AE7" i="31" s="1"/>
  <c r="AD16" i="31"/>
  <c r="AE16" i="31" s="1"/>
  <c r="AD26" i="31"/>
  <c r="AE26" i="31" s="1"/>
  <c r="AD38" i="31"/>
  <c r="AE38" i="31" s="1"/>
  <c r="AD47" i="31"/>
  <c r="AE47" i="31" s="1"/>
  <c r="AD55" i="31"/>
  <c r="AE55" i="31" s="1"/>
  <c r="AD64" i="31"/>
  <c r="AE64" i="31" s="1"/>
  <c r="AD75" i="31"/>
  <c r="AE75" i="31" s="1"/>
  <c r="AD89" i="31"/>
  <c r="AE89" i="31" s="1"/>
  <c r="AD98" i="31"/>
  <c r="AE98" i="31" s="1"/>
  <c r="AD109" i="31"/>
  <c r="AE109" i="31" s="1"/>
  <c r="AD171" i="31"/>
  <c r="AE171" i="31" s="1"/>
  <c r="AH7" i="31"/>
  <c r="AI7" i="31" s="1"/>
  <c r="AH16" i="31"/>
  <c r="AI16" i="31" s="1"/>
  <c r="AH26" i="31"/>
  <c r="AI26" i="31" s="1"/>
  <c r="AH38" i="31"/>
  <c r="AI38" i="31" s="1"/>
  <c r="AH47" i="31"/>
  <c r="AI47" i="31" s="1"/>
  <c r="AH55" i="31"/>
  <c r="AI55" i="31" s="1"/>
  <c r="AH64" i="31"/>
  <c r="AI64" i="31" s="1"/>
  <c r="AG76" i="31"/>
  <c r="AH76" i="31" s="1"/>
  <c r="AI76" i="31" s="1"/>
  <c r="AH75" i="31"/>
  <c r="AI75" i="31" s="1"/>
  <c r="AH89" i="31"/>
  <c r="AI89" i="31" s="1"/>
  <c r="AH98" i="31"/>
  <c r="AI98" i="31" s="1"/>
  <c r="AH109" i="31"/>
  <c r="AI109" i="31" s="1"/>
  <c r="AH171" i="31"/>
  <c r="AI171" i="31" s="1"/>
  <c r="AL8" i="31"/>
  <c r="AM8" i="31" s="1"/>
  <c r="AL17" i="31"/>
  <c r="AM17" i="31" s="1"/>
  <c r="AL28" i="31"/>
  <c r="AM28" i="31" s="1"/>
  <c r="AL39" i="31"/>
  <c r="AM39" i="31" s="1"/>
  <c r="AL48" i="31"/>
  <c r="AM48" i="31" s="1"/>
  <c r="AL56" i="31"/>
  <c r="AM56" i="31" s="1"/>
  <c r="AL65" i="31"/>
  <c r="AM65" i="31" s="1"/>
  <c r="AL77" i="31"/>
  <c r="AM77" i="31" s="1"/>
  <c r="AL90" i="31"/>
  <c r="AM90" i="31" s="1"/>
  <c r="AL100" i="31"/>
  <c r="AM100" i="31" s="1"/>
  <c r="AL110" i="31"/>
  <c r="AM110" i="31" s="1"/>
  <c r="AL171" i="31"/>
  <c r="AM171" i="31" s="1"/>
  <c r="AP9" i="31"/>
  <c r="AQ9" i="31" s="1"/>
  <c r="AP18" i="31"/>
  <c r="AQ18" i="31" s="1"/>
  <c r="AP30" i="31"/>
  <c r="AQ30" i="31" s="1"/>
  <c r="AP41" i="31"/>
  <c r="AQ41" i="31" s="1"/>
  <c r="AP49" i="31"/>
  <c r="AQ49" i="31" s="1"/>
  <c r="AP57" i="31"/>
  <c r="AQ57" i="31" s="1"/>
  <c r="AP66" i="31"/>
  <c r="AQ66" i="31" s="1"/>
  <c r="AO81" i="31"/>
  <c r="AP81" i="31" s="1"/>
  <c r="AQ81" i="31" s="1"/>
  <c r="AP79" i="31"/>
  <c r="AQ79" i="31" s="1"/>
  <c r="AP91" i="31"/>
  <c r="AQ91" i="31" s="1"/>
  <c r="AP102" i="31"/>
  <c r="AQ102" i="31" s="1"/>
  <c r="AP111" i="31"/>
  <c r="AQ111" i="31" s="1"/>
  <c r="AP172" i="31"/>
  <c r="AQ172" i="31" s="1"/>
  <c r="AT11" i="31"/>
  <c r="AU11" i="31" s="1"/>
  <c r="AT21" i="31"/>
  <c r="AU21" i="31" s="1"/>
  <c r="AT32" i="31"/>
  <c r="AU32" i="31" s="1"/>
  <c r="AT43" i="31"/>
  <c r="AU43" i="31" s="1"/>
  <c r="AT51" i="31"/>
  <c r="AU51" i="31" s="1"/>
  <c r="AT59" i="31"/>
  <c r="AU59" i="31" s="1"/>
  <c r="AT68" i="31"/>
  <c r="AU68" i="31" s="1"/>
  <c r="AT83" i="31"/>
  <c r="AU83" i="31" s="1"/>
  <c r="AT94" i="31"/>
  <c r="AU94" i="31" s="1"/>
  <c r="AT104" i="31"/>
  <c r="AU104" i="31" s="1"/>
  <c r="AT113" i="31"/>
  <c r="AU113" i="31" s="1"/>
  <c r="AX80" i="31"/>
  <c r="AY80" i="31" s="1"/>
  <c r="AX40" i="31"/>
  <c r="AY40" i="31" s="1"/>
  <c r="AX71" i="31"/>
  <c r="AY71" i="31" s="1"/>
  <c r="AX63" i="31"/>
  <c r="AY63" i="31" s="1"/>
  <c r="AX106" i="31"/>
  <c r="AY106" i="31" s="1"/>
  <c r="AX99" i="31"/>
  <c r="AY99" i="31" s="1"/>
  <c r="AX20" i="31"/>
  <c r="AY20" i="31" s="1"/>
  <c r="AX35" i="31"/>
  <c r="AY35" i="31" s="1"/>
  <c r="AX34" i="31"/>
  <c r="AY34" i="31" s="1"/>
  <c r="AX12" i="31"/>
  <c r="AY12" i="31" s="1"/>
  <c r="AW27" i="31"/>
  <c r="AX23" i="31"/>
  <c r="AY23" i="31" s="1"/>
  <c r="AX33" i="31"/>
  <c r="AX44" i="31"/>
  <c r="AY44" i="31" s="1"/>
  <c r="AX52" i="31"/>
  <c r="AY52" i="31" s="1"/>
  <c r="AX60" i="31"/>
  <c r="AY60" i="31" s="1"/>
  <c r="AX70" i="31"/>
  <c r="AY70" i="31" s="1"/>
  <c r="AX86" i="31"/>
  <c r="AY86" i="31" s="1"/>
  <c r="AX95" i="31"/>
  <c r="AY95" i="31" s="1"/>
  <c r="AX107" i="31"/>
  <c r="AY107" i="31" s="1"/>
  <c r="AX115" i="31"/>
  <c r="AY115" i="31" s="1"/>
  <c r="AX29" i="31"/>
  <c r="AY29" i="31" s="1"/>
  <c r="BA29" i="31"/>
  <c r="R29" i="31"/>
  <c r="S29" i="31" s="1"/>
  <c r="AL29" i="31"/>
  <c r="AM29" i="31" s="1"/>
  <c r="Z84" i="31"/>
  <c r="AA84" i="31" s="1"/>
  <c r="AH84" i="31"/>
  <c r="AI84" i="31" s="1"/>
  <c r="G40" i="31"/>
  <c r="G84" i="31"/>
  <c r="AL84" i="31"/>
  <c r="AM84" i="31" s="1"/>
  <c r="AP84" i="31"/>
  <c r="AQ84" i="31" s="1"/>
  <c r="AT84" i="31"/>
  <c r="AU84" i="31" s="1"/>
  <c r="G20" i="31"/>
  <c r="G34" i="31"/>
  <c r="G99" i="31"/>
  <c r="G106" i="31"/>
  <c r="G35" i="31"/>
  <c r="G71" i="31"/>
  <c r="H215" i="27"/>
  <c r="H222" i="27" s="1"/>
  <c r="AO89" i="27"/>
  <c r="AP89" i="27" s="1"/>
  <c r="AP41" i="27"/>
  <c r="AP61" i="27"/>
  <c r="AP28" i="27"/>
  <c r="AP43" i="27"/>
  <c r="H110" i="27"/>
  <c r="H13" i="27"/>
  <c r="H27" i="27"/>
  <c r="AP44" i="27"/>
  <c r="H82" i="27"/>
  <c r="H89" i="27"/>
  <c r="AP124" i="27"/>
  <c r="AP69" i="27"/>
  <c r="AP97" i="27"/>
  <c r="AP100" i="27"/>
  <c r="H22" i="27"/>
  <c r="AP106" i="27"/>
  <c r="AP7" i="27"/>
  <c r="AP107" i="27"/>
  <c r="I94" i="27"/>
  <c r="H102" i="27"/>
  <c r="AP21" i="27"/>
  <c r="AP101" i="27"/>
  <c r="AP109" i="27"/>
  <c r="AP14" i="27"/>
  <c r="H77" i="27"/>
  <c r="H86" i="27"/>
  <c r="H125" i="27"/>
  <c r="AP111" i="27"/>
  <c r="AP36" i="27"/>
  <c r="Z69" i="33"/>
  <c r="AH179" i="31" s="1"/>
  <c r="AG179" i="31"/>
  <c r="N83" i="33"/>
  <c r="AA69" i="33"/>
  <c r="AL179" i="31" s="1"/>
  <c r="AK179" i="31"/>
  <c r="AB69" i="33"/>
  <c r="AP179" i="31" s="1"/>
  <c r="AO179" i="31"/>
  <c r="AC69" i="33"/>
  <c r="AS179" i="31"/>
  <c r="Q81" i="33"/>
  <c r="L82" i="33"/>
  <c r="AR65" i="33"/>
  <c r="AV36" i="33"/>
  <c r="AC61" i="33"/>
  <c r="AW61" i="33" s="1"/>
  <c r="AR78" i="33"/>
  <c r="AR11" i="33"/>
  <c r="AR18" i="33"/>
  <c r="AA5" i="33"/>
  <c r="AA78" i="33" s="1"/>
  <c r="M78" i="33"/>
  <c r="AR12" i="33"/>
  <c r="BB1" i="31"/>
  <c r="AB5" i="33"/>
  <c r="AB73" i="33" s="1"/>
  <c r="AP73" i="33" s="1"/>
  <c r="N78" i="33"/>
  <c r="AR13" i="33"/>
  <c r="AR27" i="33"/>
  <c r="N73" i="33"/>
  <c r="AQ12" i="33"/>
  <c r="AP13" i="33"/>
  <c r="AN20" i="33"/>
  <c r="N81" i="33"/>
  <c r="AQ33" i="33"/>
  <c r="AP36" i="33"/>
  <c r="AR43" i="33"/>
  <c r="AN49" i="33"/>
  <c r="AR49" i="33"/>
  <c r="AR53" i="33"/>
  <c r="AN63" i="33"/>
  <c r="L79" i="33"/>
  <c r="Z8" i="33"/>
  <c r="AN8" i="33" s="1"/>
  <c r="AQ13" i="33"/>
  <c r="AN14" i="33"/>
  <c r="AQ19" i="33"/>
  <c r="AQ27" i="33"/>
  <c r="AN28" i="33"/>
  <c r="AR28" i="33"/>
  <c r="AN44" i="33"/>
  <c r="AO49" i="33"/>
  <c r="N82" i="33"/>
  <c r="AO63" i="33"/>
  <c r="Q73" i="33"/>
  <c r="AO8" i="33"/>
  <c r="AR8" i="33"/>
  <c r="AR15" i="33"/>
  <c r="AO21" i="33"/>
  <c r="AN22" i="33"/>
  <c r="AN29" i="33"/>
  <c r="AR37" i="33"/>
  <c r="AO50" i="33"/>
  <c r="AP67" i="33"/>
  <c r="AR67" i="33"/>
  <c r="AP8" i="33"/>
  <c r="AR34" i="33"/>
  <c r="L83" i="33"/>
  <c r="AQ49" i="33"/>
  <c r="AP50" i="33"/>
  <c r="AN51" i="33"/>
  <c r="AN67" i="33"/>
  <c r="AQ19" i="31"/>
  <c r="AQ21" i="33"/>
  <c r="AN24" i="33"/>
  <c r="AQ28" i="33"/>
  <c r="AN30" i="33"/>
  <c r="AO45" i="33"/>
  <c r="AN46" i="33"/>
  <c r="AN68" i="33"/>
  <c r="AR9" i="33"/>
  <c r="AN16" i="33"/>
  <c r="AQ22" i="33"/>
  <c r="AN31" i="33"/>
  <c r="AO38" i="33"/>
  <c r="AW40" i="33"/>
  <c r="AN65" i="33"/>
  <c r="AO68" i="33"/>
  <c r="G63" i="31"/>
  <c r="S46" i="31"/>
  <c r="S109" i="31"/>
  <c r="BA84" i="31"/>
  <c r="J86" i="31"/>
  <c r="K86" i="31" s="1"/>
  <c r="I93" i="31"/>
  <c r="I186" i="31" s="1"/>
  <c r="O106" i="31"/>
  <c r="AH5" i="31"/>
  <c r="AI5" i="31" s="1"/>
  <c r="N5" i="31"/>
  <c r="O5" i="31" s="1"/>
  <c r="I74" i="31"/>
  <c r="N14" i="31"/>
  <c r="O14" i="31" s="1"/>
  <c r="N30" i="31"/>
  <c r="O30" i="31" s="1"/>
  <c r="N45" i="31"/>
  <c r="O45" i="31" s="1"/>
  <c r="N57" i="31"/>
  <c r="O57" i="31" s="1"/>
  <c r="Q13" i="31"/>
  <c r="R13" i="31" s="1"/>
  <c r="S13" i="31" s="1"/>
  <c r="U85" i="31"/>
  <c r="V85" i="31" s="1"/>
  <c r="W85" i="31" s="1"/>
  <c r="N77" i="31"/>
  <c r="O77" i="31" s="1"/>
  <c r="N92" i="31"/>
  <c r="O92" i="31" s="1"/>
  <c r="N108" i="31"/>
  <c r="O108" i="31" s="1"/>
  <c r="N172" i="31"/>
  <c r="O172" i="31" s="1"/>
  <c r="Z5" i="31"/>
  <c r="AA5" i="31" s="1"/>
  <c r="I22" i="31"/>
  <c r="I184" i="31" s="1"/>
  <c r="J94" i="31"/>
  <c r="K94" i="31" s="1"/>
  <c r="J16" i="31"/>
  <c r="K16" i="31" s="1"/>
  <c r="V172" i="31"/>
  <c r="W172" i="31" s="1"/>
  <c r="AL5" i="31"/>
  <c r="AM5" i="31" s="1"/>
  <c r="V169" i="31"/>
  <c r="W169" i="31" s="1"/>
  <c r="V171" i="31"/>
  <c r="W171" i="31" s="1"/>
  <c r="N70" i="31"/>
  <c r="O70" i="31" s="1"/>
  <c r="N88" i="31"/>
  <c r="O88" i="31" s="1"/>
  <c r="N103" i="31"/>
  <c r="O103" i="31" s="1"/>
  <c r="AK101" i="31"/>
  <c r="N12" i="31"/>
  <c r="O12" i="31" s="1"/>
  <c r="N44" i="31"/>
  <c r="O44" i="31" s="1"/>
  <c r="N56" i="31"/>
  <c r="O56" i="31" s="1"/>
  <c r="N72" i="31"/>
  <c r="O72" i="31" s="1"/>
  <c r="N89" i="31"/>
  <c r="O89" i="31" s="1"/>
  <c r="N104" i="31"/>
  <c r="O104" i="31" s="1"/>
  <c r="N169" i="31"/>
  <c r="O169" i="31" s="1"/>
  <c r="AO93" i="31"/>
  <c r="K40" i="31"/>
  <c r="K35" i="31"/>
  <c r="K71" i="31"/>
  <c r="K20" i="31"/>
  <c r="K34" i="31"/>
  <c r="I101" i="31"/>
  <c r="I187" i="31" s="1"/>
  <c r="U93" i="31"/>
  <c r="Y173" i="31"/>
  <c r="Y197" i="31" s="1"/>
  <c r="J30" i="31"/>
  <c r="K30" i="31" s="1"/>
  <c r="J57" i="31"/>
  <c r="K57" i="31" s="1"/>
  <c r="J58" i="31"/>
  <c r="K58" i="31" s="1"/>
  <c r="J114" i="31"/>
  <c r="K114" i="31" s="1"/>
  <c r="M69" i="31"/>
  <c r="J169" i="31"/>
  <c r="K169" i="31" s="1"/>
  <c r="I173" i="31"/>
  <c r="I197" i="31" s="1"/>
  <c r="J89" i="31"/>
  <c r="K89" i="31" s="1"/>
  <c r="K63" i="31"/>
  <c r="J75" i="31"/>
  <c r="K75" i="31" s="1"/>
  <c r="Q93" i="31"/>
  <c r="J19" i="31"/>
  <c r="K19" i="31" s="1"/>
  <c r="J49" i="31"/>
  <c r="K49" i="31" s="1"/>
  <c r="J61" i="31"/>
  <c r="K61" i="31" s="1"/>
  <c r="AO78" i="31"/>
  <c r="AP78" i="31" s="1"/>
  <c r="AQ78" i="31" s="1"/>
  <c r="J21" i="31"/>
  <c r="K21" i="31" s="1"/>
  <c r="J50" i="31"/>
  <c r="K50" i="31" s="1"/>
  <c r="K99" i="31"/>
  <c r="Q85" i="31"/>
  <c r="R85" i="31" s="1"/>
  <c r="S85" i="31" s="1"/>
  <c r="U13" i="31"/>
  <c r="J107" i="31"/>
  <c r="K107" i="31" s="1"/>
  <c r="N18" i="31"/>
  <c r="O18" i="31" s="1"/>
  <c r="N49" i="31"/>
  <c r="O49" i="31" s="1"/>
  <c r="N61" i="31"/>
  <c r="O61" i="31" s="1"/>
  <c r="N94" i="31"/>
  <c r="O94" i="31" s="1"/>
  <c r="N109" i="31"/>
  <c r="O109" i="31" s="1"/>
  <c r="AK85" i="31"/>
  <c r="AL85" i="31" s="1"/>
  <c r="AM85" i="31" s="1"/>
  <c r="J82" i="31"/>
  <c r="K82" i="31" s="1"/>
  <c r="J108" i="31"/>
  <c r="K108" i="31" s="1"/>
  <c r="AG101" i="31"/>
  <c r="AG93" i="31"/>
  <c r="AG116" i="31"/>
  <c r="AH116" i="31" s="1"/>
  <c r="AI116" i="31" s="1"/>
  <c r="AS173" i="31"/>
  <c r="AT173" i="31" s="1"/>
  <c r="AU173" i="31" s="1"/>
  <c r="AT169" i="31"/>
  <c r="AU169" i="31" s="1"/>
  <c r="J45" i="31"/>
  <c r="K45" i="31" s="1"/>
  <c r="J31" i="31"/>
  <c r="K31" i="31" s="1"/>
  <c r="J100" i="31"/>
  <c r="K100" i="31" s="1"/>
  <c r="M74" i="31"/>
  <c r="J36" i="31"/>
  <c r="K36" i="31" s="1"/>
  <c r="J8" i="31"/>
  <c r="K8" i="31" s="1"/>
  <c r="J37" i="31"/>
  <c r="K37" i="31" s="1"/>
  <c r="O63" i="31"/>
  <c r="O99" i="31"/>
  <c r="O40" i="31"/>
  <c r="O71" i="31"/>
  <c r="O20" i="31"/>
  <c r="O35" i="31"/>
  <c r="N7" i="31"/>
  <c r="O7" i="31" s="1"/>
  <c r="M13" i="31"/>
  <c r="M189" i="31" s="1"/>
  <c r="N38" i="31"/>
  <c r="O38" i="31" s="1"/>
  <c r="N64" i="31"/>
  <c r="O64" i="31" s="1"/>
  <c r="N111" i="31"/>
  <c r="O111" i="31" s="1"/>
  <c r="J172" i="31"/>
  <c r="K172" i="31" s="1"/>
  <c r="J5" i="31"/>
  <c r="J80" i="31"/>
  <c r="J171" i="31"/>
  <c r="K171" i="31" s="1"/>
  <c r="J98" i="31"/>
  <c r="K98" i="31" s="1"/>
  <c r="J73" i="31"/>
  <c r="K73" i="31" s="1"/>
  <c r="J46" i="31"/>
  <c r="K46" i="31" s="1"/>
  <c r="AG85" i="31"/>
  <c r="Q116" i="31"/>
  <c r="R116" i="31" s="1"/>
  <c r="S116" i="31" s="1"/>
  <c r="J7" i="31"/>
  <c r="K7" i="31" s="1"/>
  <c r="J77" i="31"/>
  <c r="K77" i="31" s="1"/>
  <c r="I78" i="31"/>
  <c r="J62" i="31"/>
  <c r="K62" i="31" s="1"/>
  <c r="AK81" i="31"/>
  <c r="AL81" i="31" s="1"/>
  <c r="AM81" i="31" s="1"/>
  <c r="K106" i="31"/>
  <c r="N36" i="31"/>
  <c r="O36" i="31" s="1"/>
  <c r="J109" i="31"/>
  <c r="K109" i="31" s="1"/>
  <c r="N21" i="31"/>
  <c r="O21" i="31" s="1"/>
  <c r="N51" i="31"/>
  <c r="O51" i="31" s="1"/>
  <c r="N82" i="31"/>
  <c r="O82" i="31" s="1"/>
  <c r="N96" i="31"/>
  <c r="O96" i="31" s="1"/>
  <c r="J12" i="31"/>
  <c r="K12" i="31" s="1"/>
  <c r="J25" i="31"/>
  <c r="K25" i="31" s="1"/>
  <c r="J42" i="31"/>
  <c r="K42" i="31" s="1"/>
  <c r="J54" i="31"/>
  <c r="K54" i="31" s="1"/>
  <c r="J67" i="31"/>
  <c r="K67" i="31" s="1"/>
  <c r="J110" i="31"/>
  <c r="K110" i="31" s="1"/>
  <c r="J170" i="31"/>
  <c r="K170" i="31" s="1"/>
  <c r="Q101" i="31"/>
  <c r="AP5" i="31"/>
  <c r="AQ5" i="31" s="1"/>
  <c r="AW116" i="31"/>
  <c r="J6" i="31"/>
  <c r="K6" i="31" s="1"/>
  <c r="J18" i="31"/>
  <c r="K18" i="31" s="1"/>
  <c r="J33" i="31"/>
  <c r="K33" i="31" s="1"/>
  <c r="J48" i="31"/>
  <c r="K48" i="31" s="1"/>
  <c r="J60" i="31"/>
  <c r="K60" i="31" s="1"/>
  <c r="J88" i="31"/>
  <c r="K88" i="31" s="1"/>
  <c r="J113" i="31"/>
  <c r="K113" i="31" s="1"/>
  <c r="N6" i="31"/>
  <c r="O6" i="31" s="1"/>
  <c r="N19" i="31"/>
  <c r="O19" i="31" s="1"/>
  <c r="N37" i="31"/>
  <c r="O37" i="31" s="1"/>
  <c r="N50" i="31"/>
  <c r="O50" i="31" s="1"/>
  <c r="N62" i="31"/>
  <c r="O62" i="31" s="1"/>
  <c r="N80" i="31"/>
  <c r="O80" i="31" s="1"/>
  <c r="N95" i="31"/>
  <c r="O95" i="31" s="1"/>
  <c r="N110" i="31"/>
  <c r="O110" i="31" s="1"/>
  <c r="Y93" i="31"/>
  <c r="AC81" i="31"/>
  <c r="AD81" i="31" s="1"/>
  <c r="AE81" i="31" s="1"/>
  <c r="AK74" i="31"/>
  <c r="AL74" i="31" s="1"/>
  <c r="AM74" i="31" s="1"/>
  <c r="AK173" i="31"/>
  <c r="AO69" i="31"/>
  <c r="J90" i="31"/>
  <c r="K90" i="31" s="1"/>
  <c r="J115" i="31"/>
  <c r="K115" i="31" s="1"/>
  <c r="N23" i="31"/>
  <c r="O23" i="31" s="1"/>
  <c r="N52" i="31"/>
  <c r="O52" i="31" s="1"/>
  <c r="N65" i="31"/>
  <c r="O65" i="31" s="1"/>
  <c r="N112" i="31"/>
  <c r="O112" i="31" s="1"/>
  <c r="U101" i="31"/>
  <c r="AO13" i="31"/>
  <c r="AP13" i="31" s="1"/>
  <c r="AQ13" i="31" s="1"/>
  <c r="N9" i="31"/>
  <c r="O9" i="31" s="1"/>
  <c r="N24" i="31"/>
  <c r="O24" i="31" s="1"/>
  <c r="N41" i="31"/>
  <c r="O41" i="31" s="1"/>
  <c r="N53" i="31"/>
  <c r="O53" i="31" s="1"/>
  <c r="N66" i="31"/>
  <c r="O66" i="31" s="1"/>
  <c r="N84" i="31"/>
  <c r="O84" i="31" s="1"/>
  <c r="N98" i="31"/>
  <c r="O98" i="31" s="1"/>
  <c r="N113" i="31"/>
  <c r="O113" i="31" s="1"/>
  <c r="R171" i="31"/>
  <c r="S171" i="31" s="1"/>
  <c r="AS13" i="31"/>
  <c r="AS81" i="31"/>
  <c r="AT81" i="31" s="1"/>
  <c r="AU81" i="31" s="1"/>
  <c r="Q69" i="31"/>
  <c r="R69" i="31" s="1"/>
  <c r="S69" i="31" s="1"/>
  <c r="R172" i="31"/>
  <c r="S172" i="31" s="1"/>
  <c r="Y22" i="31"/>
  <c r="J102" i="31"/>
  <c r="N8" i="31"/>
  <c r="O8" i="31" s="1"/>
  <c r="N39" i="31"/>
  <c r="O39" i="31" s="1"/>
  <c r="N83" i="31"/>
  <c r="O83" i="31" s="1"/>
  <c r="N97" i="31"/>
  <c r="O97" i="31" s="1"/>
  <c r="J11" i="31"/>
  <c r="K11" i="31" s="1"/>
  <c r="J41" i="31"/>
  <c r="K41" i="31" s="1"/>
  <c r="J53" i="31"/>
  <c r="K53" i="31" s="1"/>
  <c r="J66" i="31"/>
  <c r="K66" i="31" s="1"/>
  <c r="J105" i="31"/>
  <c r="K105" i="31" s="1"/>
  <c r="N11" i="31"/>
  <c r="O11" i="31" s="1"/>
  <c r="N26" i="31"/>
  <c r="O26" i="31" s="1"/>
  <c r="N43" i="31"/>
  <c r="O43" i="31" s="1"/>
  <c r="N55" i="31"/>
  <c r="O55" i="31" s="1"/>
  <c r="N68" i="31"/>
  <c r="O68" i="31" s="1"/>
  <c r="N87" i="31"/>
  <c r="O87" i="31" s="1"/>
  <c r="N102" i="31"/>
  <c r="O102" i="31" s="1"/>
  <c r="N115" i="31"/>
  <c r="O115" i="31" s="1"/>
  <c r="Y69" i="31"/>
  <c r="Z69" i="31" s="1"/>
  <c r="AA69" i="31" s="1"/>
  <c r="Y116" i="31"/>
  <c r="Z116" i="31" s="1"/>
  <c r="AA116" i="31" s="1"/>
  <c r="AG74" i="31"/>
  <c r="AH74" i="31" s="1"/>
  <c r="AI74" i="31" s="1"/>
  <c r="AO101" i="31"/>
  <c r="AO173" i="31"/>
  <c r="AP169" i="31"/>
  <c r="AQ169" i="31" s="1"/>
  <c r="J17" i="31"/>
  <c r="K17" i="31" s="1"/>
  <c r="J32" i="31"/>
  <c r="K32" i="31" s="1"/>
  <c r="J47" i="31"/>
  <c r="K47" i="31" s="1"/>
  <c r="J59" i="31"/>
  <c r="K59" i="31" s="1"/>
  <c r="J87" i="31"/>
  <c r="K87" i="31" s="1"/>
  <c r="J112" i="31"/>
  <c r="K112" i="31" s="1"/>
  <c r="N10" i="31"/>
  <c r="O10" i="31" s="1"/>
  <c r="N25" i="31"/>
  <c r="O25" i="31" s="1"/>
  <c r="N42" i="31"/>
  <c r="O42" i="31" s="1"/>
  <c r="N54" i="31"/>
  <c r="O54" i="31" s="1"/>
  <c r="N67" i="31"/>
  <c r="O67" i="31" s="1"/>
  <c r="M93" i="31"/>
  <c r="M186" i="31" s="1"/>
  <c r="N100" i="31"/>
  <c r="O100" i="31" s="1"/>
  <c r="N114" i="31"/>
  <c r="O114" i="31" s="1"/>
  <c r="Y85" i="31"/>
  <c r="Z85" i="31" s="1"/>
  <c r="AA85" i="31" s="1"/>
  <c r="I13" i="31"/>
  <c r="I189" i="31" s="1"/>
  <c r="J23" i="31"/>
  <c r="K23" i="31" s="1"/>
  <c r="J38" i="31"/>
  <c r="K38" i="31" s="1"/>
  <c r="J51" i="31"/>
  <c r="K51" i="31" s="1"/>
  <c r="J64" i="31"/>
  <c r="K64" i="31" s="1"/>
  <c r="J79" i="31"/>
  <c r="K79" i="31" s="1"/>
  <c r="J91" i="31"/>
  <c r="K91" i="31" s="1"/>
  <c r="J103" i="31"/>
  <c r="K103" i="31" s="1"/>
  <c r="N15" i="31"/>
  <c r="O15" i="31" s="1"/>
  <c r="N31" i="31"/>
  <c r="O31" i="31" s="1"/>
  <c r="N46" i="31"/>
  <c r="O46" i="31" s="1"/>
  <c r="N58" i="31"/>
  <c r="O58" i="31" s="1"/>
  <c r="N73" i="31"/>
  <c r="O73" i="31" s="1"/>
  <c r="N90" i="31"/>
  <c r="O90" i="31" s="1"/>
  <c r="N105" i="31"/>
  <c r="O105" i="31" s="1"/>
  <c r="N170" i="31"/>
  <c r="O170" i="31" s="1"/>
  <c r="AO22" i="31"/>
  <c r="AS69" i="31"/>
  <c r="AT69" i="31" s="1"/>
  <c r="AU69" i="31" s="1"/>
  <c r="J10" i="31"/>
  <c r="K10" i="31" s="1"/>
  <c r="J24" i="31"/>
  <c r="K24" i="31" s="1"/>
  <c r="J39" i="31"/>
  <c r="K39" i="31" s="1"/>
  <c r="J52" i="31"/>
  <c r="K52" i="31" s="1"/>
  <c r="J65" i="31"/>
  <c r="K65" i="31" s="1"/>
  <c r="J92" i="31"/>
  <c r="K92" i="31" s="1"/>
  <c r="I116" i="31"/>
  <c r="N16" i="31"/>
  <c r="O16" i="31" s="1"/>
  <c r="N32" i="31"/>
  <c r="O32" i="31" s="1"/>
  <c r="N47" i="31"/>
  <c r="O47" i="31" s="1"/>
  <c r="N59" i="31"/>
  <c r="O59" i="31" s="1"/>
  <c r="N75" i="31"/>
  <c r="O75" i="31" s="1"/>
  <c r="N91" i="31"/>
  <c r="O91" i="31" s="1"/>
  <c r="N107" i="31"/>
  <c r="O107" i="31" s="1"/>
  <c r="N171" i="31"/>
  <c r="O171" i="31" s="1"/>
  <c r="AO85" i="31"/>
  <c r="AP85" i="31" s="1"/>
  <c r="AQ85" i="31" s="1"/>
  <c r="Y27" i="31"/>
  <c r="Z27" i="31" s="1"/>
  <c r="AA27" i="31" s="1"/>
  <c r="AW101" i="31"/>
  <c r="Y101" i="31"/>
  <c r="AK93" i="31"/>
  <c r="AW22" i="31"/>
  <c r="Y74" i="31"/>
  <c r="Z74" i="31" s="1"/>
  <c r="AA74" i="31" s="1"/>
  <c r="AS27" i="31"/>
  <c r="AT27" i="31" s="1"/>
  <c r="AU27" i="31" s="1"/>
  <c r="AW93" i="31"/>
  <c r="AW69" i="31"/>
  <c r="AW78" i="31"/>
  <c r="AW81" i="31"/>
  <c r="AX81" i="31" s="1"/>
  <c r="AY81" i="31" s="1"/>
  <c r="AW13" i="31"/>
  <c r="AW173" i="31"/>
  <c r="AW74" i="31"/>
  <c r="AS93" i="31"/>
  <c r="AS22" i="31"/>
  <c r="AS101" i="31"/>
  <c r="AS85" i="31"/>
  <c r="AT85" i="31" s="1"/>
  <c r="AU85" i="31" s="1"/>
  <c r="AS116" i="31"/>
  <c r="AT116" i="31" s="1"/>
  <c r="AU116" i="31" s="1"/>
  <c r="AO116" i="31"/>
  <c r="AP116" i="31" s="1"/>
  <c r="AQ116" i="31" s="1"/>
  <c r="AO27" i="31"/>
  <c r="AP27" i="31" s="1"/>
  <c r="AQ27" i="31" s="1"/>
  <c r="AO74" i="31"/>
  <c r="AP74" i="31" s="1"/>
  <c r="AQ74" i="31" s="1"/>
  <c r="AK116" i="31"/>
  <c r="AL116" i="31" s="1"/>
  <c r="AM116" i="31" s="1"/>
  <c r="AK27" i="31"/>
  <c r="AL27" i="31" s="1"/>
  <c r="AM27" i="31" s="1"/>
  <c r="AK69" i="31"/>
  <c r="AL69" i="31" s="1"/>
  <c r="AM69" i="31" s="1"/>
  <c r="AK78" i="31"/>
  <c r="AL78" i="31" s="1"/>
  <c r="AM78" i="31" s="1"/>
  <c r="AK13" i="31"/>
  <c r="AL13" i="31" s="1"/>
  <c r="AM13" i="31" s="1"/>
  <c r="AG22" i="31"/>
  <c r="AG173" i="31"/>
  <c r="AG13" i="31"/>
  <c r="AH13" i="31" s="1"/>
  <c r="AI13" i="31" s="1"/>
  <c r="AG69" i="31"/>
  <c r="AH69" i="31" s="1"/>
  <c r="AI69" i="31" s="1"/>
  <c r="AC116" i="31"/>
  <c r="AD116" i="31" s="1"/>
  <c r="AE116" i="31" s="1"/>
  <c r="AC101" i="31"/>
  <c r="AC85" i="31"/>
  <c r="AD85" i="31" s="1"/>
  <c r="AE85" i="31" s="1"/>
  <c r="AC76" i="31"/>
  <c r="AD76" i="31" s="1"/>
  <c r="AE76" i="31" s="1"/>
  <c r="AC93" i="31"/>
  <c r="AC22" i="31"/>
  <c r="AC69" i="31"/>
  <c r="AD69" i="31" s="1"/>
  <c r="AE69" i="31" s="1"/>
  <c r="AC27" i="31"/>
  <c r="AD27" i="31" s="1"/>
  <c r="AE27" i="31" s="1"/>
  <c r="AC173" i="31"/>
  <c r="AC13" i="31"/>
  <c r="AD13" i="31" s="1"/>
  <c r="AE13" i="31" s="1"/>
  <c r="AC74" i="31"/>
  <c r="AD74" i="31" s="1"/>
  <c r="AE74" i="31" s="1"/>
  <c r="Y78" i="31"/>
  <c r="Z78" i="31" s="1"/>
  <c r="AA78" i="31" s="1"/>
  <c r="Y81" i="31"/>
  <c r="Y13" i="31"/>
  <c r="Z13" i="31" s="1"/>
  <c r="AA13" i="31" s="1"/>
  <c r="U22" i="31"/>
  <c r="U69" i="31"/>
  <c r="V69" i="31" s="1"/>
  <c r="W69" i="31" s="1"/>
  <c r="U27" i="31"/>
  <c r="U81" i="31"/>
  <c r="V81" i="31" s="1"/>
  <c r="W81" i="31" s="1"/>
  <c r="U173" i="31"/>
  <c r="U197" i="31" s="1"/>
  <c r="U116" i="31"/>
  <c r="V116" i="31" s="1"/>
  <c r="W116" i="31" s="1"/>
  <c r="R170" i="31"/>
  <c r="S170" i="31" s="1"/>
  <c r="Q81" i="31"/>
  <c r="Q22" i="31"/>
  <c r="Q27" i="31"/>
  <c r="R27" i="31" s="1"/>
  <c r="S27" i="31" s="1"/>
  <c r="M22" i="31"/>
  <c r="M184" i="31" s="1"/>
  <c r="N28" i="31"/>
  <c r="O28" i="31" s="1"/>
  <c r="N86" i="31"/>
  <c r="O86" i="31" s="1"/>
  <c r="M78" i="31"/>
  <c r="M81" i="31"/>
  <c r="M116" i="31"/>
  <c r="M85" i="31"/>
  <c r="M101" i="31"/>
  <c r="M187" i="31" s="1"/>
  <c r="M76" i="31"/>
  <c r="M27" i="31"/>
  <c r="J104" i="31"/>
  <c r="K104" i="31" s="1"/>
  <c r="J97" i="31"/>
  <c r="K97" i="31" s="1"/>
  <c r="I85" i="31"/>
  <c r="I76" i="31"/>
  <c r="J70" i="31"/>
  <c r="K70" i="31" s="1"/>
  <c r="I69" i="31"/>
  <c r="J14" i="31"/>
  <c r="K14" i="31" s="1"/>
  <c r="J9" i="31"/>
  <c r="K9" i="31" s="1"/>
  <c r="AM36" i="33"/>
  <c r="AU15" i="33"/>
  <c r="AG45" i="33"/>
  <c r="AG83" i="33" s="1"/>
  <c r="AQ44" i="33"/>
  <c r="AX51" i="33"/>
  <c r="AV14" i="33"/>
  <c r="I27" i="31"/>
  <c r="AW45" i="33"/>
  <c r="U80" i="33"/>
  <c r="AC82" i="33"/>
  <c r="AH5" i="33"/>
  <c r="AH78" i="33" s="1"/>
  <c r="AU37" i="33"/>
  <c r="Y83" i="33"/>
  <c r="AU65" i="33"/>
  <c r="S80" i="33"/>
  <c r="AX14" i="33"/>
  <c r="AJ5" i="33"/>
  <c r="AJ78" i="33" s="1"/>
  <c r="AW7" i="33"/>
  <c r="AW22" i="33"/>
  <c r="AR56" i="33"/>
  <c r="V80" i="33"/>
  <c r="AU30" i="33"/>
  <c r="AU43" i="33"/>
  <c r="V82" i="33"/>
  <c r="AW44" i="33"/>
  <c r="AG80" i="33"/>
  <c r="AU27" i="33"/>
  <c r="W82" i="33"/>
  <c r="AU48" i="33"/>
  <c r="Y75" i="33"/>
  <c r="AM75" i="33" s="1"/>
  <c r="AU69" i="33"/>
  <c r="H76" i="33"/>
  <c r="V75" i="33"/>
  <c r="AJ75" i="33" s="1"/>
  <c r="P84" i="33"/>
  <c r="AD80" i="33"/>
  <c r="AR80" i="33" s="1"/>
  <c r="W74" i="33"/>
  <c r="AK74" i="33" s="1"/>
  <c r="AU64" i="33"/>
  <c r="AL83" i="33"/>
  <c r="AK79" i="33"/>
  <c r="U83" i="33"/>
  <c r="AX55" i="33"/>
  <c r="U82" i="33"/>
  <c r="AO67" i="33"/>
  <c r="AG30" i="33"/>
  <c r="AI65" i="33"/>
  <c r="AI83" i="33" s="1"/>
  <c r="J76" i="33"/>
  <c r="W83" i="33"/>
  <c r="AV11" i="33"/>
  <c r="X75" i="33"/>
  <c r="AL75" i="33" s="1"/>
  <c r="AE12" i="33"/>
  <c r="AW10" i="33"/>
  <c r="AX12" i="33"/>
  <c r="AX24" i="33"/>
  <c r="AU29" i="33"/>
  <c r="AM82" i="33"/>
  <c r="AW30" i="33"/>
  <c r="AI16" i="33"/>
  <c r="AI80" i="33" s="1"/>
  <c r="AW34" i="33"/>
  <c r="AE36" i="33"/>
  <c r="AU38" i="33"/>
  <c r="K76" i="33"/>
  <c r="AV55" i="33"/>
  <c r="AE10" i="33"/>
  <c r="AJ62" i="33"/>
  <c r="AJ82" i="33" s="1"/>
  <c r="W81" i="33"/>
  <c r="AE24" i="33"/>
  <c r="AU26" i="33"/>
  <c r="AK62" i="33"/>
  <c r="AK82" i="33" s="1"/>
  <c r="I76" i="33"/>
  <c r="J84" i="33"/>
  <c r="AU54" i="33"/>
  <c r="V81" i="33"/>
  <c r="AE68" i="33"/>
  <c r="AW13" i="33"/>
  <c r="AU12" i="33"/>
  <c r="AG37" i="33"/>
  <c r="AE60" i="33"/>
  <c r="AV13" i="33"/>
  <c r="AU32" i="33"/>
  <c r="K84" i="33"/>
  <c r="E173" i="31"/>
  <c r="F173" i="31" s="1"/>
  <c r="G173" i="31" s="1"/>
  <c r="AN13" i="33"/>
  <c r="AX13" i="33"/>
  <c r="AE13" i="33"/>
  <c r="AV27" i="33"/>
  <c r="AN27" i="33"/>
  <c r="AW33" i="33"/>
  <c r="AP33" i="33"/>
  <c r="AW11" i="33"/>
  <c r="AP11" i="33"/>
  <c r="AE11" i="33"/>
  <c r="AO29" i="33"/>
  <c r="AV29" i="33"/>
  <c r="AE29" i="33"/>
  <c r="AX29" i="33"/>
  <c r="AB80" i="33"/>
  <c r="AP15" i="33"/>
  <c r="AW15" i="33"/>
  <c r="AX21" i="33"/>
  <c r="AV21" i="33"/>
  <c r="AN21" i="33"/>
  <c r="AW23" i="33"/>
  <c r="AP23" i="33"/>
  <c r="AE23" i="33"/>
  <c r="AX38" i="33"/>
  <c r="AN38" i="33"/>
  <c r="AV38" i="33"/>
  <c r="AE38" i="33"/>
  <c r="AV48" i="33"/>
  <c r="AN48" i="33"/>
  <c r="AX48" i="33"/>
  <c r="AO33" i="33"/>
  <c r="AX33" i="33"/>
  <c r="AN69" i="33"/>
  <c r="AI179" i="31" s="1"/>
  <c r="AW17" i="33"/>
  <c r="AP17" i="33"/>
  <c r="AW64" i="33"/>
  <c r="AP64" i="33"/>
  <c r="AN66" i="33"/>
  <c r="AV66" i="33"/>
  <c r="AN25" i="33"/>
  <c r="AE25" i="33"/>
  <c r="AW59" i="33"/>
  <c r="AP59" i="33"/>
  <c r="AE59" i="33"/>
  <c r="AX59" i="33"/>
  <c r="AX9" i="33"/>
  <c r="AW9" i="33"/>
  <c r="AQ9" i="33"/>
  <c r="AE9" i="33"/>
  <c r="AQ29" i="33"/>
  <c r="AW29" i="33"/>
  <c r="AO53" i="33"/>
  <c r="AV53" i="33"/>
  <c r="AW21" i="33"/>
  <c r="AP21" i="33"/>
  <c r="AP53" i="33"/>
  <c r="AW53" i="33"/>
  <c r="AW19" i="33"/>
  <c r="AP19" i="33"/>
  <c r="AW6" i="33"/>
  <c r="AP6" i="33"/>
  <c r="AV17" i="33"/>
  <c r="AQ32" i="33"/>
  <c r="AW32" i="33"/>
  <c r="AP58" i="33"/>
  <c r="AX58" i="33"/>
  <c r="AW58" i="33"/>
  <c r="AB79" i="33"/>
  <c r="AU50" i="33"/>
  <c r="AE50" i="33"/>
  <c r="AP63" i="33"/>
  <c r="AW63" i="33"/>
  <c r="M79" i="33"/>
  <c r="AC79" i="33"/>
  <c r="L74" i="33"/>
  <c r="L80" i="33"/>
  <c r="Z15" i="33"/>
  <c r="AB27" i="33"/>
  <c r="AX27" i="33" s="1"/>
  <c r="AE64" i="33"/>
  <c r="M81" i="33"/>
  <c r="O79" i="33"/>
  <c r="M74" i="33"/>
  <c r="M80" i="33"/>
  <c r="AA15" i="33"/>
  <c r="AV19" i="33"/>
  <c r="O73" i="33"/>
  <c r="T79" i="33"/>
  <c r="X81" i="33"/>
  <c r="AW28" i="33"/>
  <c r="AV37" i="33"/>
  <c r="AN37" i="33"/>
  <c r="Q83" i="33"/>
  <c r="Q75" i="33"/>
  <c r="AO47" i="33"/>
  <c r="AJ49" i="33"/>
  <c r="AE49" i="33"/>
  <c r="AU61" i="33"/>
  <c r="AO65" i="33"/>
  <c r="AW66" i="33"/>
  <c r="AP66" i="33"/>
  <c r="Y79" i="33"/>
  <c r="AU5" i="33"/>
  <c r="AW8" i="33"/>
  <c r="AX17" i="33"/>
  <c r="AU20" i="33"/>
  <c r="AL34" i="33"/>
  <c r="AE34" i="33"/>
  <c r="AO37" i="33"/>
  <c r="AW42" i="33"/>
  <c r="AW54" i="33"/>
  <c r="W73" i="33"/>
  <c r="W78" i="33"/>
  <c r="AJ79" i="33"/>
  <c r="AQ8" i="33"/>
  <c r="AO11" i="33"/>
  <c r="AO16" i="33"/>
  <c r="AM34" i="33"/>
  <c r="AX34" i="33"/>
  <c r="AG38" i="33"/>
  <c r="T75" i="33"/>
  <c r="AH75" i="33" s="1"/>
  <c r="T83" i="33"/>
  <c r="AX42" i="33"/>
  <c r="AM43" i="33"/>
  <c r="AV43" i="33"/>
  <c r="AW47" i="33"/>
  <c r="AQ55" i="33"/>
  <c r="AO60" i="33"/>
  <c r="AN62" i="33"/>
  <c r="AQ65" i="33"/>
  <c r="AR17" i="33"/>
  <c r="AX20" i="33"/>
  <c r="AV20" i="33"/>
  <c r="AR25" i="33"/>
  <c r="AO36" i="33"/>
  <c r="AO61" i="33"/>
  <c r="V73" i="33"/>
  <c r="AX6" i="33"/>
  <c r="AV6" i="33"/>
  <c r="AU10" i="33"/>
  <c r="AE14" i="33"/>
  <c r="AU14" i="33"/>
  <c r="O74" i="33"/>
  <c r="AJ16" i="33"/>
  <c r="AJ80" i="33" s="1"/>
  <c r="AE17" i="33"/>
  <c r="AP18" i="33"/>
  <c r="AR20" i="33"/>
  <c r="AV22" i="33"/>
  <c r="AR23" i="33"/>
  <c r="AV24" i="33"/>
  <c r="AO28" i="33"/>
  <c r="AR31" i="33"/>
  <c r="AQ36" i="33"/>
  <c r="AE39" i="33"/>
  <c r="AJ41" i="33"/>
  <c r="AJ83" i="33" s="1"/>
  <c r="V83" i="33"/>
  <c r="AG46" i="33"/>
  <c r="AE46" i="33"/>
  <c r="AR46" i="33"/>
  <c r="AN50" i="33"/>
  <c r="AX50" i="33"/>
  <c r="AQ51" i="33"/>
  <c r="AW55" i="33"/>
  <c r="AP55" i="33"/>
  <c r="AE55" i="33"/>
  <c r="AX57" i="33"/>
  <c r="AM58" i="33"/>
  <c r="AV58" i="33"/>
  <c r="AQ61" i="33"/>
  <c r="AX68" i="33"/>
  <c r="AM69" i="33"/>
  <c r="AE179" i="31" s="1"/>
  <c r="U74" i="33"/>
  <c r="AI74" i="33" s="1"/>
  <c r="S78" i="33"/>
  <c r="AD81" i="33"/>
  <c r="AR81" i="33" s="1"/>
  <c r="AP7" i="33"/>
  <c r="AV10" i="33"/>
  <c r="AP12" i="33"/>
  <c r="AK16" i="33"/>
  <c r="AU19" i="33"/>
  <c r="AG19" i="33"/>
  <c r="AE19" i="33"/>
  <c r="AO20" i="33"/>
  <c r="AE20" i="33"/>
  <c r="AU21" i="33"/>
  <c r="AW24" i="33"/>
  <c r="AU25" i="33"/>
  <c r="AV26" i="33"/>
  <c r="AP28" i="33"/>
  <c r="AV30" i="33"/>
  <c r="AX30" i="33"/>
  <c r="AX31" i="33"/>
  <c r="AV31" i="33"/>
  <c r="AR33" i="33"/>
  <c r="AW36" i="33"/>
  <c r="AR36" i="33"/>
  <c r="AH45" i="33"/>
  <c r="AH83" i="33" s="1"/>
  <c r="AQ45" i="33"/>
  <c r="AW48" i="33"/>
  <c r="AG50" i="33"/>
  <c r="AR52" i="33"/>
  <c r="AQ56" i="33"/>
  <c r="AO58" i="33"/>
  <c r="AP61" i="33"/>
  <c r="AN64" i="33"/>
  <c r="AX64" i="33"/>
  <c r="G76" i="33"/>
  <c r="E84" i="33"/>
  <c r="AQ7" i="33"/>
  <c r="AV12" i="33"/>
  <c r="AM14" i="33"/>
  <c r="AM17" i="33"/>
  <c r="AK18" i="33"/>
  <c r="AK81" i="33" s="1"/>
  <c r="AW20" i="33"/>
  <c r="AP20" i="33"/>
  <c r="AR22" i="33"/>
  <c r="AN23" i="33"/>
  <c r="AX23" i="33"/>
  <c r="AV23" i="33"/>
  <c r="AU23" i="33"/>
  <c r="AX25" i="33"/>
  <c r="AV25" i="33"/>
  <c r="AW26" i="33"/>
  <c r="AO32" i="33"/>
  <c r="AV32" i="33"/>
  <c r="AR32" i="33"/>
  <c r="AP40" i="33"/>
  <c r="AR45" i="33"/>
  <c r="AU46" i="33"/>
  <c r="AP49" i="33"/>
  <c r="AW49" i="33"/>
  <c r="AU52" i="33"/>
  <c r="AV54" i="33"/>
  <c r="AX54" i="33"/>
  <c r="AN54" i="33"/>
  <c r="AO54" i="33"/>
  <c r="AO64" i="33"/>
  <c r="AQ66" i="33"/>
  <c r="AW67" i="33"/>
  <c r="X74" i="33"/>
  <c r="AL74" i="33" s="1"/>
  <c r="Y74" i="33"/>
  <c r="Y80" i="33"/>
  <c r="AX52" i="33"/>
  <c r="AV52" i="33"/>
  <c r="AE57" i="33"/>
  <c r="AE35" i="33"/>
  <c r="AU35" i="33"/>
  <c r="AX56" i="33"/>
  <c r="AV56" i="33"/>
  <c r="AM56" i="33"/>
  <c r="AD79" i="33"/>
  <c r="AD73" i="33"/>
  <c r="AJ36" i="33"/>
  <c r="AU36" i="33"/>
  <c r="O83" i="33"/>
  <c r="AC41" i="33"/>
  <c r="O75" i="33"/>
  <c r="Q79" i="33"/>
  <c r="N80" i="33"/>
  <c r="N74" i="33"/>
  <c r="AV16" i="33"/>
  <c r="AU42" i="33"/>
  <c r="AP42" i="33"/>
  <c r="AP56" i="33"/>
  <c r="AP60" i="33"/>
  <c r="S79" i="33"/>
  <c r="AG7" i="33"/>
  <c r="AO23" i="33"/>
  <c r="AO35" i="33"/>
  <c r="AX43" i="33"/>
  <c r="AH47" i="33"/>
  <c r="AU47" i="33"/>
  <c r="AI54" i="33"/>
  <c r="AI81" i="33" s="1"/>
  <c r="AE54" i="33"/>
  <c r="AW65" i="33"/>
  <c r="AP65" i="33"/>
  <c r="AV33" i="33"/>
  <c r="AN33" i="33"/>
  <c r="AR47" i="33"/>
  <c r="AR66" i="33"/>
  <c r="AR63" i="33"/>
  <c r="AR57" i="33"/>
  <c r="AR30" i="33"/>
  <c r="AR16" i="33"/>
  <c r="AR62" i="33"/>
  <c r="AR68" i="33"/>
  <c r="AR38" i="33"/>
  <c r="AR5" i="33"/>
  <c r="AR58" i="33"/>
  <c r="AR26" i="33"/>
  <c r="AR59" i="33"/>
  <c r="AR14" i="33"/>
  <c r="AO10" i="33"/>
  <c r="AH80" i="33"/>
  <c r="AP16" i="33"/>
  <c r="AA81" i="33"/>
  <c r="AO18" i="33"/>
  <c r="AX19" i="33"/>
  <c r="AR21" i="33"/>
  <c r="AP31" i="33"/>
  <c r="AV34" i="33"/>
  <c r="AR39" i="33"/>
  <c r="AR55" i="33"/>
  <c r="AV68" i="33"/>
  <c r="Q3" i="33"/>
  <c r="AP5" i="33"/>
  <c r="AP78" i="33" s="1"/>
  <c r="AM79" i="33"/>
  <c r="AR7" i="33"/>
  <c r="AR10" i="33"/>
  <c r="AN11" i="33"/>
  <c r="AX11" i="33"/>
  <c r="AU11" i="33"/>
  <c r="AW12" i="33"/>
  <c r="AU13" i="33"/>
  <c r="AK80" i="33"/>
  <c r="AM16" i="33"/>
  <c r="AM80" i="33" s="1"/>
  <c r="S81" i="33"/>
  <c r="AU18" i="33"/>
  <c r="AG18" i="33"/>
  <c r="AL18" i="33"/>
  <c r="AQ20" i="33"/>
  <c r="AE21" i="33"/>
  <c r="AO22" i="33"/>
  <c r="AE22" i="33"/>
  <c r="AR24" i="33"/>
  <c r="AW25" i="33"/>
  <c r="AX26" i="33"/>
  <c r="AG35" i="33"/>
  <c r="AW39" i="33"/>
  <c r="AR40" i="33"/>
  <c r="AQ42" i="33"/>
  <c r="AE42" i="33"/>
  <c r="AN47" i="33"/>
  <c r="AV47" i="33"/>
  <c r="AQ47" i="33"/>
  <c r="AU51" i="33"/>
  <c r="AO51" i="33"/>
  <c r="AN53" i="33"/>
  <c r="AE53" i="33"/>
  <c r="AN60" i="33"/>
  <c r="AX60" i="33"/>
  <c r="AW60" i="33"/>
  <c r="AX67" i="33"/>
  <c r="AR69" i="33"/>
  <c r="AA82" i="33"/>
  <c r="AE26" i="33"/>
  <c r="N79" i="33"/>
  <c r="AE32" i="33"/>
  <c r="Z45" i="33"/>
  <c r="AW52" i="33"/>
  <c r="AP52" i="33"/>
  <c r="U73" i="33"/>
  <c r="U78" i="33"/>
  <c r="AO14" i="33"/>
  <c r="AH79" i="33"/>
  <c r="AQ15" i="33"/>
  <c r="Y81" i="33"/>
  <c r="AE37" i="33"/>
  <c r="AX44" i="33"/>
  <c r="AV44" i="33"/>
  <c r="AP47" i="33"/>
  <c r="AQ62" i="33"/>
  <c r="AQ59" i="33"/>
  <c r="Q74" i="33"/>
  <c r="AO30" i="33"/>
  <c r="AP37" i="33"/>
  <c r="S73" i="33"/>
  <c r="U81" i="33"/>
  <c r="X73" i="33"/>
  <c r="X78" i="33"/>
  <c r="U79" i="33"/>
  <c r="AI7" i="33"/>
  <c r="AI79" i="33" s="1"/>
  <c r="S74" i="33"/>
  <c r="AU22" i="33"/>
  <c r="AU24" i="33"/>
  <c r="AQ37" i="33"/>
  <c r="AM49" i="33"/>
  <c r="AX49" i="33"/>
  <c r="AO55" i="33"/>
  <c r="AW57" i="33"/>
  <c r="AO62" i="33"/>
  <c r="Y78" i="33"/>
  <c r="Y73" i="33"/>
  <c r="AI5" i="33"/>
  <c r="AI78" i="33" s="1"/>
  <c r="AA7" i="33"/>
  <c r="AV7" i="33" s="1"/>
  <c r="AU7" i="33"/>
  <c r="AP10" i="33"/>
  <c r="AW14" i="33"/>
  <c r="AL80" i="33"/>
  <c r="AU16" i="33"/>
  <c r="AM18" i="33"/>
  <c r="AM19" i="33"/>
  <c r="AP22" i="33"/>
  <c r="AO24" i="33"/>
  <c r="AO25" i="33"/>
  <c r="AP29" i="33"/>
  <c r="AR29" i="33"/>
  <c r="AP30" i="33"/>
  <c r="AE30" i="33"/>
  <c r="AW31" i="33"/>
  <c r="AH32" i="33"/>
  <c r="AQ35" i="33"/>
  <c r="AW35" i="33"/>
  <c r="AW37" i="33"/>
  <c r="AW38" i="33"/>
  <c r="AX39" i="33"/>
  <c r="AV40" i="33"/>
  <c r="AX40" i="33"/>
  <c r="AD83" i="33"/>
  <c r="AR83" i="33" s="1"/>
  <c r="AD75" i="33"/>
  <c r="AR75" i="33" s="1"/>
  <c r="AR41" i="33"/>
  <c r="AE43" i="33"/>
  <c r="AG43" i="33"/>
  <c r="AR44" i="33"/>
  <c r="AP51" i="33"/>
  <c r="AP54" i="33"/>
  <c r="AR54" i="33"/>
  <c r="AU55" i="33"/>
  <c r="AV57" i="33"/>
  <c r="AN57" i="33"/>
  <c r="AI61" i="33"/>
  <c r="AI82" i="33" s="1"/>
  <c r="AQ64" i="33"/>
  <c r="AH64" i="33"/>
  <c r="AW68" i="33"/>
  <c r="AP68" i="33"/>
  <c r="AD74" i="33"/>
  <c r="AR74" i="33" s="1"/>
  <c r="U75" i="33"/>
  <c r="AI75" i="33" s="1"/>
  <c r="X80" i="33"/>
  <c r="X83" i="33"/>
  <c r="AW56" i="33"/>
  <c r="AE58" i="33"/>
  <c r="AU62" i="33"/>
  <c r="AG62" i="33"/>
  <c r="AG82" i="33" s="1"/>
  <c r="S82" i="33"/>
  <c r="AU66" i="33"/>
  <c r="AE66" i="33"/>
  <c r="AU67" i="33"/>
  <c r="AE67" i="33"/>
  <c r="Z5" i="33"/>
  <c r="AR6" i="33"/>
  <c r="W79" i="33"/>
  <c r="AL79" i="33"/>
  <c r="T80" i="33"/>
  <c r="T74" i="33"/>
  <c r="AH74" i="33" s="1"/>
  <c r="AU17" i="33"/>
  <c r="L81" i="33"/>
  <c r="Z18" i="33"/>
  <c r="AV18" i="33" s="1"/>
  <c r="AV28" i="33"/>
  <c r="AU33" i="33"/>
  <c r="AV35" i="33"/>
  <c r="AK83" i="33"/>
  <c r="AW43" i="33"/>
  <c r="AP43" i="33"/>
  <c r="AP45" i="33"/>
  <c r="AO46" i="33"/>
  <c r="AW51" i="33"/>
  <c r="AQ52" i="33"/>
  <c r="AU57" i="33"/>
  <c r="AU68" i="33"/>
  <c r="AE6" i="33"/>
  <c r="X79" i="33"/>
  <c r="AU31" i="33"/>
  <c r="AU34" i="33"/>
  <c r="AG34" i="33"/>
  <c r="AP35" i="33"/>
  <c r="AO39" i="33"/>
  <c r="AU40" i="33"/>
  <c r="AO42" i="33"/>
  <c r="AO43" i="33"/>
  <c r="AO44" i="33"/>
  <c r="AE48" i="33"/>
  <c r="AU53" i="33"/>
  <c r="AG53" i="33"/>
  <c r="AU56" i="33"/>
  <c r="AE56" i="33"/>
  <c r="AV60" i="33"/>
  <c r="AM60" i="33"/>
  <c r="X82" i="33"/>
  <c r="AL61" i="33"/>
  <c r="AL82" i="33" s="1"/>
  <c r="AU6" i="33"/>
  <c r="AH6" i="33"/>
  <c r="AP14" i="33"/>
  <c r="V74" i="33"/>
  <c r="AJ74" i="33" s="1"/>
  <c r="AX28" i="33"/>
  <c r="AR35" i="33"/>
  <c r="AX35" i="33"/>
  <c r="AX36" i="33"/>
  <c r="AP44" i="33"/>
  <c r="AR51" i="33"/>
  <c r="Y82" i="33"/>
  <c r="AX65" i="33"/>
  <c r="AM65" i="33"/>
  <c r="AV65" i="33"/>
  <c r="L73" i="33"/>
  <c r="AC5" i="33"/>
  <c r="AU8" i="33"/>
  <c r="AO12" i="33"/>
  <c r="AQ14" i="33"/>
  <c r="W80" i="33"/>
  <c r="AC16" i="33"/>
  <c r="AC80" i="33" s="1"/>
  <c r="O81" i="33"/>
  <c r="AC18" i="33"/>
  <c r="AP26" i="33"/>
  <c r="AE31" i="33"/>
  <c r="AE40" i="33"/>
  <c r="AR42" i="33"/>
  <c r="AW50" i="33"/>
  <c r="AU58" i="33"/>
  <c r="Z61" i="33"/>
  <c r="AX10" i="33"/>
  <c r="T81" i="33"/>
  <c r="AX22" i="33"/>
  <c r="AE28" i="33"/>
  <c r="AU28" i="33"/>
  <c r="AX37" i="33"/>
  <c r="L75" i="33"/>
  <c r="Z41" i="33"/>
  <c r="AV46" i="33"/>
  <c r="AX46" i="33"/>
  <c r="AM47" i="33"/>
  <c r="AX47" i="33"/>
  <c r="AV51" i="33"/>
  <c r="AM51" i="33"/>
  <c r="AO56" i="33"/>
  <c r="AU60" i="33"/>
  <c r="AR61" i="33"/>
  <c r="AD82" i="33"/>
  <c r="AR82" i="33" s="1"/>
  <c r="AV62" i="33"/>
  <c r="P76" i="33"/>
  <c r="G84" i="33"/>
  <c r="AX32" i="33"/>
  <c r="AV39" i="33"/>
  <c r="M83" i="33"/>
  <c r="AA41" i="33"/>
  <c r="AE44" i="33"/>
  <c r="AU44" i="33"/>
  <c r="AP46" i="33"/>
  <c r="AW46" i="33"/>
  <c r="AV63" i="33"/>
  <c r="AM63" i="33"/>
  <c r="AX63" i="33"/>
  <c r="AV67" i="33"/>
  <c r="H84" i="33"/>
  <c r="T73" i="33"/>
  <c r="V79" i="33"/>
  <c r="AH17" i="33"/>
  <c r="AE33" i="33"/>
  <c r="N75" i="33"/>
  <c r="AB41" i="33"/>
  <c r="AQ50" i="33"/>
  <c r="AH82" i="33"/>
  <c r="M75" i="33"/>
  <c r="I84" i="33"/>
  <c r="S75" i="33"/>
  <c r="AU41" i="33"/>
  <c r="AE47" i="33"/>
  <c r="AU49" i="33"/>
  <c r="AG49" i="33"/>
  <c r="AV50" i="33"/>
  <c r="AE51" i="33"/>
  <c r="AQ58" i="33"/>
  <c r="AU63" i="33"/>
  <c r="AE63" i="33"/>
  <c r="AV64" i="33"/>
  <c r="AE65" i="33"/>
  <c r="AX66" i="33"/>
  <c r="W75" i="33"/>
  <c r="AK75" i="33" s="1"/>
  <c r="AQ46" i="33"/>
  <c r="AR48" i="33"/>
  <c r="AX53" i="33"/>
  <c r="AQ60" i="33"/>
  <c r="AB62" i="33"/>
  <c r="AB82" i="33" s="1"/>
  <c r="F84" i="33"/>
  <c r="AE52" i="33"/>
  <c r="AN55" i="33"/>
  <c r="AP57" i="33"/>
  <c r="AR60" i="33"/>
  <c r="AR64" i="33"/>
  <c r="S83" i="33"/>
  <c r="AV42" i="33"/>
  <c r="AO69" i="33" l="1"/>
  <c r="AM179" i="31" s="1"/>
  <c r="AX61" i="33"/>
  <c r="I89" i="27"/>
  <c r="I125" i="27"/>
  <c r="I86" i="27"/>
  <c r="I77" i="27"/>
  <c r="I82" i="27"/>
  <c r="I27" i="27"/>
  <c r="BB127" i="31"/>
  <c r="BC127" i="31" s="1"/>
  <c r="AY127" i="31"/>
  <c r="BB155" i="31"/>
  <c r="BC155" i="31" s="1"/>
  <c r="AY155" i="31"/>
  <c r="BB147" i="31"/>
  <c r="BC147" i="31" s="1"/>
  <c r="AY147" i="31"/>
  <c r="AY159" i="31"/>
  <c r="BB159" i="31"/>
  <c r="BC159" i="31" s="1"/>
  <c r="W166" i="31"/>
  <c r="W190" i="31" s="1"/>
  <c r="V190" i="31"/>
  <c r="AQ166" i="31"/>
  <c r="AQ190" i="31" s="1"/>
  <c r="AP190" i="31"/>
  <c r="AY132" i="31"/>
  <c r="BB132" i="31"/>
  <c r="BC132" i="31" s="1"/>
  <c r="AY124" i="31"/>
  <c r="BB124" i="31"/>
  <c r="BC124" i="31" s="1"/>
  <c r="AY156" i="31"/>
  <c r="BB156" i="31"/>
  <c r="BC156" i="31" s="1"/>
  <c r="AY121" i="31"/>
  <c r="BB121" i="31"/>
  <c r="BC121" i="31" s="1"/>
  <c r="AA166" i="31"/>
  <c r="AA190" i="31" s="1"/>
  <c r="Z190" i="31"/>
  <c r="AY136" i="31"/>
  <c r="BB136" i="31"/>
  <c r="BC136" i="31" s="1"/>
  <c r="AY125" i="31"/>
  <c r="BB125" i="31"/>
  <c r="BC125" i="31" s="1"/>
  <c r="AY157" i="31"/>
  <c r="BB157" i="31"/>
  <c r="BC157" i="31" s="1"/>
  <c r="AY150" i="31"/>
  <c r="BB150" i="31"/>
  <c r="BC150" i="31" s="1"/>
  <c r="AM166" i="31"/>
  <c r="AM190" i="31" s="1"/>
  <c r="AL190" i="31"/>
  <c r="AY154" i="31"/>
  <c r="BB154" i="31"/>
  <c r="BC154" i="31" s="1"/>
  <c r="BB143" i="31"/>
  <c r="BC143" i="31" s="1"/>
  <c r="AY143" i="31"/>
  <c r="AY120" i="31"/>
  <c r="BB120" i="31"/>
  <c r="BC120" i="31" s="1"/>
  <c r="K166" i="31"/>
  <c r="K190" i="31" s="1"/>
  <c r="J190" i="31"/>
  <c r="S166" i="31"/>
  <c r="S190" i="31" s="1"/>
  <c r="R190" i="31"/>
  <c r="AY160" i="31"/>
  <c r="BB160" i="31"/>
  <c r="BC160" i="31" s="1"/>
  <c r="AY166" i="31"/>
  <c r="AY190" i="31" s="1"/>
  <c r="AX190" i="31"/>
  <c r="BB166" i="31"/>
  <c r="BC166" i="31" s="1"/>
  <c r="BB151" i="31"/>
  <c r="BC151" i="31" s="1"/>
  <c r="AY151" i="31"/>
  <c r="AY134" i="31"/>
  <c r="BB134" i="31"/>
  <c r="BC134" i="31" s="1"/>
  <c r="AY139" i="31"/>
  <c r="BB139" i="31"/>
  <c r="BC139" i="31" s="1"/>
  <c r="AY129" i="31"/>
  <c r="BB129" i="31"/>
  <c r="BC129" i="31" s="1"/>
  <c r="AY145" i="31"/>
  <c r="BB145" i="31"/>
  <c r="BC145" i="31" s="1"/>
  <c r="AY164" i="31"/>
  <c r="BB164" i="31"/>
  <c r="BC164" i="31" s="1"/>
  <c r="AY152" i="31"/>
  <c r="BB152" i="31"/>
  <c r="BC152" i="31" s="1"/>
  <c r="AY148" i="31"/>
  <c r="BB148" i="31"/>
  <c r="BC148" i="31" s="1"/>
  <c r="O166" i="31"/>
  <c r="O190" i="31" s="1"/>
  <c r="N190" i="31"/>
  <c r="AY133" i="31"/>
  <c r="BB133" i="31"/>
  <c r="BC133" i="31" s="1"/>
  <c r="AY146" i="31"/>
  <c r="BB146" i="31"/>
  <c r="BC146" i="31" s="1"/>
  <c r="BB135" i="31"/>
  <c r="BC135" i="31" s="1"/>
  <c r="AY135" i="31"/>
  <c r="AY126" i="31"/>
  <c r="BB126" i="31"/>
  <c r="BC126" i="31" s="1"/>
  <c r="AY158" i="31"/>
  <c r="BB158" i="31"/>
  <c r="BC158" i="31" s="1"/>
  <c r="BB163" i="31"/>
  <c r="BC163" i="31" s="1"/>
  <c r="AY163" i="31"/>
  <c r="AY141" i="31"/>
  <c r="BB141" i="31"/>
  <c r="BC141" i="31" s="1"/>
  <c r="AY137" i="31"/>
  <c r="BB137" i="31"/>
  <c r="BC137" i="31" s="1"/>
  <c r="AY149" i="31"/>
  <c r="BB149" i="31"/>
  <c r="BC149" i="31" s="1"/>
  <c r="AY144" i="31"/>
  <c r="BB144" i="31"/>
  <c r="BC144" i="31" s="1"/>
  <c r="AY142" i="31"/>
  <c r="BB142" i="31"/>
  <c r="BC142" i="31" s="1"/>
  <c r="AY128" i="31"/>
  <c r="BB128" i="31"/>
  <c r="BC128" i="31" s="1"/>
  <c r="BB131" i="31"/>
  <c r="BC131" i="31" s="1"/>
  <c r="AY131" i="31"/>
  <c r="AE166" i="31"/>
  <c r="AE190" i="31" s="1"/>
  <c r="AD190" i="31"/>
  <c r="AU166" i="31"/>
  <c r="AU190" i="31" s="1"/>
  <c r="AU197" i="31" s="1"/>
  <c r="AT190" i="31"/>
  <c r="AT197" i="31" s="1"/>
  <c r="AU165" i="31"/>
  <c r="BB165" i="31"/>
  <c r="BC165" i="31" s="1"/>
  <c r="BB123" i="31"/>
  <c r="BC123" i="31" s="1"/>
  <c r="AY123" i="31"/>
  <c r="AY153" i="31"/>
  <c r="BB153" i="31"/>
  <c r="BC153" i="31" s="1"/>
  <c r="AY138" i="31"/>
  <c r="BB138" i="31"/>
  <c r="BC138" i="31" s="1"/>
  <c r="AY140" i="31"/>
  <c r="BB140" i="31"/>
  <c r="BC140" i="31" s="1"/>
  <c r="AI166" i="31"/>
  <c r="AI190" i="31" s="1"/>
  <c r="AH190" i="31"/>
  <c r="AY162" i="31"/>
  <c r="BB162" i="31"/>
  <c r="BC162" i="31" s="1"/>
  <c r="AY122" i="31"/>
  <c r="BB122" i="31"/>
  <c r="BC122" i="31" s="1"/>
  <c r="AY161" i="31"/>
  <c r="BB161" i="31"/>
  <c r="BC161" i="31" s="1"/>
  <c r="AY130" i="31"/>
  <c r="BB130" i="31"/>
  <c r="BC130" i="31" s="1"/>
  <c r="AO215" i="27"/>
  <c r="AO222" i="27" s="1"/>
  <c r="BB63" i="31"/>
  <c r="BC63" i="31" s="1"/>
  <c r="BB40" i="31"/>
  <c r="BC40" i="31" s="1"/>
  <c r="BB170" i="31"/>
  <c r="BC170" i="31" s="1"/>
  <c r="BB172" i="31"/>
  <c r="BC172" i="31" s="1"/>
  <c r="V173" i="31"/>
  <c r="BB71" i="31"/>
  <c r="BC71" i="31" s="1"/>
  <c r="AY33" i="31"/>
  <c r="AY36" i="31"/>
  <c r="Q189" i="31"/>
  <c r="U185" i="31"/>
  <c r="V27" i="31"/>
  <c r="W27" i="31" s="1"/>
  <c r="AC197" i="31"/>
  <c r="AD173" i="31"/>
  <c r="AE173" i="31" s="1"/>
  <c r="AE197" i="31" s="1"/>
  <c r="AS187" i="31"/>
  <c r="AT101" i="31"/>
  <c r="AU101" i="31" s="1"/>
  <c r="AX69" i="31"/>
  <c r="AO188" i="31"/>
  <c r="AP69" i="31"/>
  <c r="AQ69" i="31" s="1"/>
  <c r="BB106" i="31"/>
  <c r="BC106" i="31" s="1"/>
  <c r="AY68" i="31"/>
  <c r="AI30" i="31"/>
  <c r="AY31" i="31"/>
  <c r="AQ54" i="31"/>
  <c r="AI91" i="31"/>
  <c r="AQ77" i="31"/>
  <c r="AY37" i="31"/>
  <c r="AY24" i="31"/>
  <c r="AX27" i="31"/>
  <c r="U186" i="31"/>
  <c r="V93" i="31"/>
  <c r="W93" i="31" s="1"/>
  <c r="W186" i="31" s="1"/>
  <c r="AX76" i="31"/>
  <c r="AC187" i="31"/>
  <c r="AD101" i="31"/>
  <c r="AE101" i="31" s="1"/>
  <c r="BB29" i="31"/>
  <c r="BC29" i="31" s="1"/>
  <c r="BB169" i="31"/>
  <c r="BC169" i="31" s="1"/>
  <c r="Q184" i="31"/>
  <c r="R22" i="31"/>
  <c r="S22" i="31" s="1"/>
  <c r="S184" i="31" s="1"/>
  <c r="AS184" i="31"/>
  <c r="AT22" i="31"/>
  <c r="AU22" i="31" s="1"/>
  <c r="AW186" i="31"/>
  <c r="AX93" i="31"/>
  <c r="AY93" i="31" s="1"/>
  <c r="U187" i="31"/>
  <c r="V101" i="31"/>
  <c r="W101" i="31" s="1"/>
  <c r="W187" i="31" s="1"/>
  <c r="AK197" i="31"/>
  <c r="AL173" i="31"/>
  <c r="AM173" i="31" s="1"/>
  <c r="Q186" i="31"/>
  <c r="R93" i="31"/>
  <c r="S93" i="31" s="1"/>
  <c r="BB35" i="31"/>
  <c r="BC35" i="31" s="1"/>
  <c r="AY19" i="31"/>
  <c r="AU28" i="31"/>
  <c r="AU170" i="31"/>
  <c r="AK186" i="31"/>
  <c r="AL93" i="31"/>
  <c r="AM93" i="31" s="1"/>
  <c r="AM186" i="31" s="1"/>
  <c r="AS189" i="31"/>
  <c r="AT13" i="31"/>
  <c r="AU13" i="31" s="1"/>
  <c r="Q187" i="31"/>
  <c r="R101" i="31"/>
  <c r="S101" i="31" s="1"/>
  <c r="AK184" i="31"/>
  <c r="AL22" i="31"/>
  <c r="AM22" i="31" s="1"/>
  <c r="AW187" i="31"/>
  <c r="AX101" i="31"/>
  <c r="Q196" i="31"/>
  <c r="R81" i="31"/>
  <c r="S81" i="31" s="1"/>
  <c r="U184" i="31"/>
  <c r="V22" i="31"/>
  <c r="W22" i="31" s="1"/>
  <c r="AS186" i="31"/>
  <c r="AT93" i="31"/>
  <c r="AU93" i="31" s="1"/>
  <c r="AU186" i="31" s="1"/>
  <c r="AO184" i="31"/>
  <c r="AP22" i="31"/>
  <c r="AQ22" i="31" s="1"/>
  <c r="Y184" i="31"/>
  <c r="Z22" i="31"/>
  <c r="AA22" i="31" s="1"/>
  <c r="BB171" i="31"/>
  <c r="BC171" i="31" s="1"/>
  <c r="BB20" i="31"/>
  <c r="BC20" i="31" s="1"/>
  <c r="AK187" i="31"/>
  <c r="AL101" i="31"/>
  <c r="AM101" i="31" s="1"/>
  <c r="AM187" i="31" s="1"/>
  <c r="U189" i="31"/>
  <c r="V13" i="31"/>
  <c r="W13" i="31" s="1"/>
  <c r="N76" i="31"/>
  <c r="O76" i="31" s="1"/>
  <c r="AC184" i="31"/>
  <c r="AD22" i="31"/>
  <c r="AE22" i="31" s="1"/>
  <c r="AG197" i="31"/>
  <c r="AH173" i="31"/>
  <c r="AI173" i="31" s="1"/>
  <c r="AW185" i="31"/>
  <c r="AX74" i="31"/>
  <c r="AG186" i="31"/>
  <c r="AH93" i="31"/>
  <c r="AI93" i="31" s="1"/>
  <c r="BB34" i="31"/>
  <c r="BC34" i="31" s="1"/>
  <c r="BB99" i="31"/>
  <c r="BC99" i="31" s="1"/>
  <c r="AU12" i="31"/>
  <c r="AU112" i="31"/>
  <c r="AI18" i="31"/>
  <c r="AY88" i="31"/>
  <c r="Z173" i="31"/>
  <c r="AA173" i="31" s="1"/>
  <c r="AA172" i="31"/>
  <c r="BB5" i="31"/>
  <c r="BC5" i="31" s="1"/>
  <c r="AX13" i="31"/>
  <c r="AX189" i="31" s="1"/>
  <c r="Y187" i="31"/>
  <c r="Z101" i="31"/>
  <c r="AA101" i="31" s="1"/>
  <c r="AX78" i="31"/>
  <c r="AO197" i="31"/>
  <c r="AP173" i="31"/>
  <c r="AQ173" i="31" s="1"/>
  <c r="Y188" i="31"/>
  <c r="Z81" i="31"/>
  <c r="AA81" i="31" s="1"/>
  <c r="AC186" i="31"/>
  <c r="AD93" i="31"/>
  <c r="AE93" i="31" s="1"/>
  <c r="AE186" i="31" s="1"/>
  <c r="AG184" i="31"/>
  <c r="AH22" i="31"/>
  <c r="AI22" i="31" s="1"/>
  <c r="AO189" i="31"/>
  <c r="AX173" i="31"/>
  <c r="BA173" i="31"/>
  <c r="BA190" i="31" s="1"/>
  <c r="BA197" i="31" s="1"/>
  <c r="AW184" i="31"/>
  <c r="AX22" i="31"/>
  <c r="AO187" i="31"/>
  <c r="AP101" i="31"/>
  <c r="AQ101" i="31" s="1"/>
  <c r="Y186" i="31"/>
  <c r="Z93" i="31"/>
  <c r="AA93" i="31" s="1"/>
  <c r="AX116" i="31"/>
  <c r="AG185" i="31"/>
  <c r="AH85" i="31"/>
  <c r="AI85" i="31" s="1"/>
  <c r="AG187" i="31"/>
  <c r="AH101" i="31"/>
  <c r="AI101" i="31" s="1"/>
  <c r="AI187" i="31" s="1"/>
  <c r="AO186" i="31"/>
  <c r="AP93" i="31"/>
  <c r="AQ93" i="31" s="1"/>
  <c r="AQ186" i="31" s="1"/>
  <c r="AP90" i="27"/>
  <c r="AO94" i="27"/>
  <c r="AO86" i="27"/>
  <c r="AP86" i="27" s="1"/>
  <c r="AP85" i="27"/>
  <c r="I110" i="27"/>
  <c r="I212" i="27" s="1"/>
  <c r="AO84" i="27"/>
  <c r="AP84" i="27" s="1"/>
  <c r="AP83" i="27"/>
  <c r="AP27" i="27"/>
  <c r="AP25" i="27"/>
  <c r="AO82" i="27"/>
  <c r="AP82" i="27" s="1"/>
  <c r="AP78" i="27"/>
  <c r="H211" i="27"/>
  <c r="I102" i="27"/>
  <c r="I211" i="27" s="1"/>
  <c r="H209" i="27"/>
  <c r="I22" i="27"/>
  <c r="I209" i="27" s="1"/>
  <c r="I13" i="27"/>
  <c r="I214" i="27" s="1"/>
  <c r="H212" i="27"/>
  <c r="AO125" i="27"/>
  <c r="H214" i="27"/>
  <c r="H220" i="27"/>
  <c r="H210" i="27"/>
  <c r="AO102" i="27"/>
  <c r="AO110" i="27"/>
  <c r="H213" i="27"/>
  <c r="H126" i="27"/>
  <c r="I126" i="27" s="1"/>
  <c r="AO22" i="27"/>
  <c r="AP77" i="27"/>
  <c r="H221" i="27"/>
  <c r="AS60" i="33"/>
  <c r="AX8" i="33"/>
  <c r="AB78" i="33"/>
  <c r="AV8" i="33"/>
  <c r="AV69" i="33"/>
  <c r="Z79" i="33"/>
  <c r="AQ69" i="33"/>
  <c r="AU179" i="31" s="1"/>
  <c r="AT179" i="31"/>
  <c r="AO5" i="33"/>
  <c r="AO78" i="33" s="1"/>
  <c r="AE8" i="33"/>
  <c r="AP69" i="33"/>
  <c r="AQ179" i="31" s="1"/>
  <c r="AW69" i="33"/>
  <c r="AE69" i="33"/>
  <c r="BB179" i="31" s="1"/>
  <c r="AX69" i="33"/>
  <c r="AS19" i="33"/>
  <c r="AS46" i="33"/>
  <c r="BB84" i="31"/>
  <c r="BC84" i="31" s="1"/>
  <c r="K80" i="31"/>
  <c r="BB80" i="31"/>
  <c r="BC80" i="31" s="1"/>
  <c r="AS188" i="31"/>
  <c r="AO196" i="31"/>
  <c r="M185" i="31"/>
  <c r="N81" i="31"/>
  <c r="O81" i="31" s="1"/>
  <c r="I188" i="31"/>
  <c r="Q188" i="31"/>
  <c r="AG195" i="31"/>
  <c r="M117" i="31"/>
  <c r="Y185" i="31"/>
  <c r="AS197" i="31"/>
  <c r="J27" i="31"/>
  <c r="K27" i="31" s="1"/>
  <c r="J22" i="31"/>
  <c r="K22" i="31" s="1"/>
  <c r="J69" i="31"/>
  <c r="K69" i="31" s="1"/>
  <c r="R173" i="31"/>
  <c r="N69" i="31"/>
  <c r="O69" i="31" s="1"/>
  <c r="Q117" i="31"/>
  <c r="Q177" i="31" s="1"/>
  <c r="N85" i="31"/>
  <c r="O85" i="31" s="1"/>
  <c r="AC117" i="31"/>
  <c r="AC177" i="31" s="1"/>
  <c r="I117" i="31"/>
  <c r="U117" i="31"/>
  <c r="U177" i="31" s="1"/>
  <c r="AS117" i="31"/>
  <c r="AS177" i="31" s="1"/>
  <c r="K5" i="31"/>
  <c r="J13" i="31"/>
  <c r="K13" i="31" s="1"/>
  <c r="I196" i="31"/>
  <c r="J81" i="31"/>
  <c r="K81" i="31" s="1"/>
  <c r="N22" i="31"/>
  <c r="O22" i="31" s="1"/>
  <c r="AG188" i="31"/>
  <c r="AS185" i="31"/>
  <c r="N74" i="31"/>
  <c r="O74" i="31" s="1"/>
  <c r="J93" i="31"/>
  <c r="N173" i="31"/>
  <c r="N197" i="31" s="1"/>
  <c r="AW195" i="31"/>
  <c r="N13" i="31"/>
  <c r="O13" i="31" s="1"/>
  <c r="J101" i="31"/>
  <c r="Y195" i="31"/>
  <c r="AL185" i="31"/>
  <c r="Y117" i="31"/>
  <c r="Y177" i="31" s="1"/>
  <c r="J173" i="31"/>
  <c r="K173" i="31" s="1"/>
  <c r="AT185" i="31"/>
  <c r="AK195" i="31"/>
  <c r="K102" i="31"/>
  <c r="J116" i="31"/>
  <c r="K116" i="31" s="1"/>
  <c r="J85" i="31"/>
  <c r="K85" i="31" s="1"/>
  <c r="AC188" i="31"/>
  <c r="N27" i="31"/>
  <c r="O27" i="31" s="1"/>
  <c r="Q185" i="31"/>
  <c r="AW117" i="31"/>
  <c r="AW177" i="31" s="1"/>
  <c r="AW188" i="31"/>
  <c r="AW196" i="31"/>
  <c r="AW189" i="31"/>
  <c r="AW197" i="31"/>
  <c r="AS196" i="31"/>
  <c r="AS195" i="31"/>
  <c r="AO117" i="31"/>
  <c r="AO177" i="31" s="1"/>
  <c r="AO195" i="31"/>
  <c r="AO185" i="31"/>
  <c r="AK117" i="31"/>
  <c r="AK177" i="31" s="1"/>
  <c r="AK188" i="31"/>
  <c r="AK185" i="31"/>
  <c r="AL189" i="31"/>
  <c r="AK189" i="31"/>
  <c r="AK196" i="31"/>
  <c r="AG117" i="31"/>
  <c r="AG177" i="31" s="1"/>
  <c r="AG189" i="31"/>
  <c r="AG196" i="31"/>
  <c r="AH189" i="31"/>
  <c r="AC185" i="31"/>
  <c r="AD189" i="31"/>
  <c r="AC196" i="31"/>
  <c r="AC189" i="31"/>
  <c r="AC195" i="31"/>
  <c r="Z185" i="31"/>
  <c r="Y189" i="31"/>
  <c r="Y196" i="31"/>
  <c r="U196" i="31"/>
  <c r="U188" i="31"/>
  <c r="U195" i="31"/>
  <c r="Q195" i="31"/>
  <c r="M188" i="31"/>
  <c r="M196" i="31"/>
  <c r="N93" i="31"/>
  <c r="O93" i="31" s="1"/>
  <c r="N78" i="31"/>
  <c r="O78" i="31" s="1"/>
  <c r="M195" i="31"/>
  <c r="N101" i="31"/>
  <c r="O101" i="31" s="1"/>
  <c r="N116" i="31"/>
  <c r="O116" i="31" s="1"/>
  <c r="J74" i="31"/>
  <c r="K74" i="31" s="1"/>
  <c r="AS28" i="33"/>
  <c r="M76" i="33"/>
  <c r="AV41" i="33"/>
  <c r="V84" i="33"/>
  <c r="J78" i="31"/>
  <c r="K78" i="31" s="1"/>
  <c r="J76" i="31"/>
  <c r="K76" i="31" s="1"/>
  <c r="I185" i="31"/>
  <c r="I195" i="31"/>
  <c r="AS50" i="33"/>
  <c r="AJ81" i="33"/>
  <c r="AJ84" i="33" s="1"/>
  <c r="AS44" i="33"/>
  <c r="AS47" i="33"/>
  <c r="AL81" i="33"/>
  <c r="AL84" i="33" s="1"/>
  <c r="AS54" i="33"/>
  <c r="AS38" i="33"/>
  <c r="N84" i="33"/>
  <c r="Q84" i="33"/>
  <c r="AH81" i="33"/>
  <c r="AH84" i="33" s="1"/>
  <c r="AS42" i="33"/>
  <c r="AN79" i="33"/>
  <c r="Q76" i="33"/>
  <c r="AB74" i="33"/>
  <c r="AP74" i="33" s="1"/>
  <c r="AS33" i="33"/>
  <c r="AS8" i="33"/>
  <c r="AA73" i="33"/>
  <c r="AO73" i="33" s="1"/>
  <c r="AS30" i="33"/>
  <c r="N76" i="33"/>
  <c r="L84" i="33"/>
  <c r="AE5" i="33"/>
  <c r="AE78" i="33" s="1"/>
  <c r="AS67" i="33"/>
  <c r="M84" i="33"/>
  <c r="O84" i="33"/>
  <c r="AU83" i="33"/>
  <c r="AQ82" i="33"/>
  <c r="AB81" i="33"/>
  <c r="AS36" i="33"/>
  <c r="AK84" i="33"/>
  <c r="AS37" i="33"/>
  <c r="AS32" i="33"/>
  <c r="AS17" i="33"/>
  <c r="T84" i="33"/>
  <c r="AS57" i="33"/>
  <c r="AS6" i="33"/>
  <c r="AS26" i="33"/>
  <c r="AU79" i="33"/>
  <c r="AS48" i="33"/>
  <c r="AS55" i="33"/>
  <c r="AX15" i="33"/>
  <c r="AS52" i="33"/>
  <c r="AS63" i="33"/>
  <c r="AM83" i="33"/>
  <c r="AE27" i="33"/>
  <c r="AS27" i="33" s="1"/>
  <c r="AS66" i="33"/>
  <c r="AS21" i="33"/>
  <c r="AP80" i="33"/>
  <c r="AB75" i="33"/>
  <c r="AW41" i="33"/>
  <c r="AP41" i="33"/>
  <c r="AP83" i="33" s="1"/>
  <c r="AB83" i="33"/>
  <c r="AD76" i="33"/>
  <c r="AR76" i="33" s="1"/>
  <c r="AR73" i="33"/>
  <c r="AJ73" i="33"/>
  <c r="AJ76" i="33" s="1"/>
  <c r="V76" i="33"/>
  <c r="AM81" i="33"/>
  <c r="AG81" i="33"/>
  <c r="AN45" i="33"/>
  <c r="AX45" i="33"/>
  <c r="AV45" i="33"/>
  <c r="Z81" i="33"/>
  <c r="AV81" i="33" s="1"/>
  <c r="AX18" i="33"/>
  <c r="AN18" i="33"/>
  <c r="AN81" i="33" s="1"/>
  <c r="AU73" i="33"/>
  <c r="AG73" i="33"/>
  <c r="S76" i="33"/>
  <c r="AU81" i="33"/>
  <c r="AO81" i="33"/>
  <c r="AM74" i="33"/>
  <c r="W76" i="33"/>
  <c r="AK73" i="33"/>
  <c r="AK76" i="33" s="1"/>
  <c r="AS68" i="33"/>
  <c r="AW80" i="33"/>
  <c r="AS65" i="33"/>
  <c r="AU75" i="33"/>
  <c r="AG75" i="33"/>
  <c r="AH73" i="33"/>
  <c r="AH76" i="33" s="1"/>
  <c r="T76" i="33"/>
  <c r="Z82" i="33"/>
  <c r="AV82" i="33" s="1"/>
  <c r="AN61" i="33"/>
  <c r="AN82" i="33" s="1"/>
  <c r="AV61" i="33"/>
  <c r="AU82" i="33"/>
  <c r="AS43" i="33"/>
  <c r="AS12" i="33"/>
  <c r="AS53" i="33"/>
  <c r="AS64" i="33"/>
  <c r="AS24" i="33"/>
  <c r="AM73" i="33"/>
  <c r="Y76" i="33"/>
  <c r="X76" i="33"/>
  <c r="AL73" i="33"/>
  <c r="AL76" i="33" s="1"/>
  <c r="W84" i="33"/>
  <c r="AP79" i="33"/>
  <c r="AE18" i="33"/>
  <c r="AS29" i="33"/>
  <c r="AU80" i="33"/>
  <c r="Z83" i="33"/>
  <c r="AN41" i="33"/>
  <c r="Z75" i="33"/>
  <c r="U84" i="33"/>
  <c r="S84" i="33"/>
  <c r="AU78" i="33"/>
  <c r="AS49" i="33"/>
  <c r="AS10" i="33"/>
  <c r="AW82" i="33"/>
  <c r="AA80" i="33"/>
  <c r="AA74" i="33"/>
  <c r="AO74" i="33" s="1"/>
  <c r="AO15" i="33"/>
  <c r="AO80" i="33" s="1"/>
  <c r="AC81" i="33"/>
  <c r="AQ18" i="33"/>
  <c r="AQ81" i="33" s="1"/>
  <c r="AW18" i="33"/>
  <c r="Z78" i="33"/>
  <c r="Z73" i="33"/>
  <c r="AN5" i="33"/>
  <c r="AN78" i="33" s="1"/>
  <c r="AV5" i="33"/>
  <c r="Y84" i="33"/>
  <c r="X84" i="33"/>
  <c r="AQ16" i="33"/>
  <c r="AQ80" i="33" s="1"/>
  <c r="AX16" i="33"/>
  <c r="AW16" i="33"/>
  <c r="AD84" i="33"/>
  <c r="AR84" i="33" s="1"/>
  <c r="AR79" i="33"/>
  <c r="AO82" i="33"/>
  <c r="AE41" i="33"/>
  <c r="AE15" i="33"/>
  <c r="AA75" i="33"/>
  <c r="AO75" i="33" s="1"/>
  <c r="AA83" i="33"/>
  <c r="AO41" i="33"/>
  <c r="AO83" i="33" s="1"/>
  <c r="AQ79" i="33"/>
  <c r="AP27" i="33"/>
  <c r="AP81" i="33" s="1"/>
  <c r="AW27" i="33"/>
  <c r="AC74" i="33"/>
  <c r="AQ74" i="33" s="1"/>
  <c r="AX5" i="33"/>
  <c r="AE16" i="33"/>
  <c r="AS16" i="33" s="1"/>
  <c r="AX41" i="33"/>
  <c r="AV15" i="33"/>
  <c r="AS9" i="33"/>
  <c r="AS23" i="33"/>
  <c r="AC78" i="33"/>
  <c r="AW78" i="33" s="1"/>
  <c r="AC73" i="33"/>
  <c r="AQ5" i="33"/>
  <c r="AQ78" i="33" s="1"/>
  <c r="AW5" i="33"/>
  <c r="AS58" i="33"/>
  <c r="AO7" i="33"/>
  <c r="AO79" i="33" s="1"/>
  <c r="AA79" i="33"/>
  <c r="AX79" i="33" s="1"/>
  <c r="AE7" i="33"/>
  <c r="AX7" i="33"/>
  <c r="AS35" i="33"/>
  <c r="AE45" i="33"/>
  <c r="AS45" i="33" s="1"/>
  <c r="AS14" i="33"/>
  <c r="AS34" i="33"/>
  <c r="Z74" i="33"/>
  <c r="AN74" i="33" s="1"/>
  <c r="Z80" i="33"/>
  <c r="AX80" i="33" s="1"/>
  <c r="AN15" i="33"/>
  <c r="AN80" i="33" s="1"/>
  <c r="AW79" i="33"/>
  <c r="AS25" i="33"/>
  <c r="AS13" i="33"/>
  <c r="AP62" i="33"/>
  <c r="AP82" i="33" s="1"/>
  <c r="AW62" i="33"/>
  <c r="AE61" i="33"/>
  <c r="AS40" i="33"/>
  <c r="AS22" i="33"/>
  <c r="AE62" i="33"/>
  <c r="AS62" i="33" s="1"/>
  <c r="AC83" i="33"/>
  <c r="AC75" i="33"/>
  <c r="AQ75" i="33" s="1"/>
  <c r="AQ41" i="33"/>
  <c r="AQ83" i="33" s="1"/>
  <c r="O76" i="33"/>
  <c r="AS51" i="33"/>
  <c r="AS31" i="33"/>
  <c r="L76" i="33"/>
  <c r="AS56" i="33"/>
  <c r="AI84" i="33"/>
  <c r="AU74" i="33"/>
  <c r="AG74" i="33"/>
  <c r="AI73" i="33"/>
  <c r="AI76" i="33" s="1"/>
  <c r="U76" i="33"/>
  <c r="AG79" i="33"/>
  <c r="AS20" i="33"/>
  <c r="AX62" i="33"/>
  <c r="AS11" i="33"/>
  <c r="AW81" i="33" l="1"/>
  <c r="AS69" i="33"/>
  <c r="I213" i="27"/>
  <c r="I216" i="27" s="1"/>
  <c r="I217" i="27" s="1"/>
  <c r="I210" i="27"/>
  <c r="AO209" i="27"/>
  <c r="AO220" i="27"/>
  <c r="I177" i="31"/>
  <c r="I180" i="31" s="1"/>
  <c r="R197" i="31"/>
  <c r="AQ197" i="31"/>
  <c r="V197" i="31"/>
  <c r="M177" i="31"/>
  <c r="M180" i="31" s="1"/>
  <c r="AI197" i="31"/>
  <c r="K197" i="31"/>
  <c r="AP125" i="27"/>
  <c r="AO126" i="27"/>
  <c r="W173" i="31"/>
  <c r="W197" i="31" s="1"/>
  <c r="AL186" i="31"/>
  <c r="R184" i="31"/>
  <c r="S173" i="31"/>
  <c r="S197" i="31" s="1"/>
  <c r="V187" i="31"/>
  <c r="AP197" i="31"/>
  <c r="AH197" i="31"/>
  <c r="AL184" i="31"/>
  <c r="AT184" i="31"/>
  <c r="J184" i="31"/>
  <c r="AD184" i="31"/>
  <c r="AH186" i="31"/>
  <c r="Q199" i="31"/>
  <c r="AO180" i="31"/>
  <c r="AP117" i="31"/>
  <c r="J197" i="31"/>
  <c r="Y180" i="31"/>
  <c r="Z117" i="31"/>
  <c r="Q180" i="31"/>
  <c r="R117" i="31"/>
  <c r="AY116" i="31"/>
  <c r="AW180" i="31"/>
  <c r="AX117" i="31"/>
  <c r="U180" i="31"/>
  <c r="V117" i="31"/>
  <c r="AY22" i="31"/>
  <c r="AY184" i="31" s="1"/>
  <c r="AX184" i="31"/>
  <c r="AY101" i="31"/>
  <c r="AY187" i="31" s="1"/>
  <c r="AY27" i="31"/>
  <c r="V186" i="31"/>
  <c r="AD186" i="31"/>
  <c r="AG180" i="31"/>
  <c r="AH117" i="31"/>
  <c r="AP184" i="31"/>
  <c r="AL187" i="31"/>
  <c r="BB173" i="31"/>
  <c r="BB190" i="31" s="1"/>
  <c r="AY173" i="31"/>
  <c r="AY197" i="31" s="1"/>
  <c r="AY13" i="31"/>
  <c r="AY189" i="31" s="1"/>
  <c r="AK180" i="31"/>
  <c r="AL117" i="31"/>
  <c r="AY76" i="31"/>
  <c r="AY74" i="31"/>
  <c r="AY69" i="31"/>
  <c r="AO191" i="31"/>
  <c r="AO192" i="31" s="1"/>
  <c r="AY78" i="31"/>
  <c r="AC180" i="31"/>
  <c r="AD117" i="31"/>
  <c r="U191" i="31"/>
  <c r="U192" i="31" s="1"/>
  <c r="Y191" i="31"/>
  <c r="Y192" i="31" s="1"/>
  <c r="AT186" i="31"/>
  <c r="AD187" i="31"/>
  <c r="M191" i="31"/>
  <c r="M192" i="31" s="1"/>
  <c r="V189" i="31"/>
  <c r="AS191" i="31"/>
  <c r="AS192" i="31" s="1"/>
  <c r="AS180" i="31"/>
  <c r="AT117" i="31"/>
  <c r="Z197" i="31"/>
  <c r="AO211" i="27"/>
  <c r="AP102" i="27"/>
  <c r="AO210" i="27"/>
  <c r="AP94" i="27"/>
  <c r="AP22" i="27"/>
  <c r="AO212" i="27"/>
  <c r="AP110" i="27"/>
  <c r="AO214" i="27"/>
  <c r="I220" i="27"/>
  <c r="I221" i="27"/>
  <c r="H224" i="27"/>
  <c r="H216" i="27"/>
  <c r="H217" i="27" s="1"/>
  <c r="AO221" i="27"/>
  <c r="AO213" i="27"/>
  <c r="H202" i="27"/>
  <c r="AX73" i="33"/>
  <c r="BC179" i="31"/>
  <c r="AY179" i="31"/>
  <c r="AP185" i="31"/>
  <c r="AG199" i="31"/>
  <c r="Y199" i="31"/>
  <c r="I199" i="31"/>
  <c r="AK199" i="31"/>
  <c r="AC191" i="31"/>
  <c r="AC192" i="31" s="1"/>
  <c r="AX188" i="31"/>
  <c r="AH188" i="31"/>
  <c r="AW191" i="31"/>
  <c r="AW192" i="31" s="1"/>
  <c r="Z188" i="31"/>
  <c r="I191" i="31"/>
  <c r="I192" i="31" s="1"/>
  <c r="AC199" i="31"/>
  <c r="AH195" i="31"/>
  <c r="V196" i="31"/>
  <c r="AD197" i="31"/>
  <c r="AG191" i="31"/>
  <c r="AG192" i="31" s="1"/>
  <c r="Z189" i="31"/>
  <c r="AH196" i="31"/>
  <c r="AE187" i="31"/>
  <c r="AH184" i="31"/>
  <c r="AO199" i="31"/>
  <c r="AU185" i="31"/>
  <c r="Q191" i="31"/>
  <c r="Q192" i="31" s="1"/>
  <c r="AL196" i="31"/>
  <c r="AX196" i="31"/>
  <c r="AK191" i="31"/>
  <c r="AK192" i="31" s="1"/>
  <c r="AT195" i="31"/>
  <c r="K101" i="31"/>
  <c r="K187" i="31" s="1"/>
  <c r="J187" i="31"/>
  <c r="AA197" i="31"/>
  <c r="AH187" i="31"/>
  <c r="AU184" i="31"/>
  <c r="AW199" i="31"/>
  <c r="N184" i="31"/>
  <c r="Z195" i="31"/>
  <c r="AI189" i="31"/>
  <c r="AM185" i="31"/>
  <c r="N185" i="31"/>
  <c r="AP186" i="31"/>
  <c r="AI186" i="31"/>
  <c r="O173" i="31"/>
  <c r="O197" i="31" s="1"/>
  <c r="AD196" i="31"/>
  <c r="AA185" i="31"/>
  <c r="AL195" i="31"/>
  <c r="AQ195" i="31"/>
  <c r="J117" i="31"/>
  <c r="J177" i="31" s="1"/>
  <c r="J186" i="31"/>
  <c r="K93" i="31"/>
  <c r="K186" i="31" s="1"/>
  <c r="AT187" i="31"/>
  <c r="AU187" i="31"/>
  <c r="N195" i="31"/>
  <c r="M199" i="31"/>
  <c r="AY186" i="31"/>
  <c r="AX186" i="31"/>
  <c r="AX187" i="31"/>
  <c r="AX197" i="31"/>
  <c r="AX185" i="31"/>
  <c r="AX195" i="31"/>
  <c r="AS199" i="31"/>
  <c r="AT189" i="31"/>
  <c r="AT196" i="31"/>
  <c r="AT188" i="31"/>
  <c r="AU188" i="31"/>
  <c r="AP187" i="31"/>
  <c r="AQ187" i="31"/>
  <c r="AP196" i="31"/>
  <c r="AP189" i="31"/>
  <c r="AP195" i="31"/>
  <c r="AQ188" i="31"/>
  <c r="AQ185" i="31"/>
  <c r="AP188" i="31"/>
  <c r="AM184" i="31"/>
  <c r="AM189" i="31"/>
  <c r="AM196" i="31"/>
  <c r="AL188" i="31"/>
  <c r="AM188" i="31"/>
  <c r="AL197" i="31"/>
  <c r="AM197" i="31"/>
  <c r="AI185" i="31"/>
  <c r="AH185" i="31"/>
  <c r="AI184" i="31"/>
  <c r="AI188" i="31"/>
  <c r="AE184" i="31"/>
  <c r="AD195" i="31"/>
  <c r="AE189" i="31"/>
  <c r="AE185" i="31"/>
  <c r="AD185" i="31"/>
  <c r="AD188" i="31"/>
  <c r="Z196" i="31"/>
  <c r="AA188" i="31"/>
  <c r="Z187" i="31"/>
  <c r="AA187" i="31"/>
  <c r="Z184" i="31"/>
  <c r="AA186" i="31"/>
  <c r="Z186" i="31"/>
  <c r="AA189" i="31"/>
  <c r="U199" i="31"/>
  <c r="V184" i="31"/>
  <c r="W184" i="31"/>
  <c r="W189" i="31"/>
  <c r="V188" i="31"/>
  <c r="W188" i="31"/>
  <c r="V185" i="31"/>
  <c r="V195" i="31"/>
  <c r="S188" i="31"/>
  <c r="R188" i="31"/>
  <c r="R185" i="31"/>
  <c r="S185" i="31"/>
  <c r="R187" i="31"/>
  <c r="S187" i="31"/>
  <c r="R189" i="31"/>
  <c r="R196" i="31"/>
  <c r="S186" i="31"/>
  <c r="R186" i="31"/>
  <c r="R195" i="31"/>
  <c r="S195" i="31"/>
  <c r="O185" i="31"/>
  <c r="O186" i="31"/>
  <c r="N186" i="31"/>
  <c r="N187" i="31"/>
  <c r="O187" i="31"/>
  <c r="O184" i="31"/>
  <c r="O195" i="31"/>
  <c r="O188" i="31"/>
  <c r="N117" i="31"/>
  <c r="N177" i="31" s="1"/>
  <c r="N188" i="31"/>
  <c r="N196" i="31"/>
  <c r="N189" i="31"/>
  <c r="K185" i="31"/>
  <c r="J185" i="31"/>
  <c r="AS5" i="33"/>
  <c r="AS78" i="33" s="1"/>
  <c r="J195" i="31"/>
  <c r="K188" i="31"/>
  <c r="J188" i="31"/>
  <c r="K184" i="31"/>
  <c r="K195" i="31"/>
  <c r="J196" i="31"/>
  <c r="J189" i="31"/>
  <c r="AG84" i="33"/>
  <c r="AP84" i="33"/>
  <c r="AX82" i="33"/>
  <c r="Z84" i="33"/>
  <c r="AO84" i="33"/>
  <c r="AM84" i="33"/>
  <c r="AN83" i="33"/>
  <c r="AN84" i="33" s="1"/>
  <c r="AV73" i="33"/>
  <c r="AM76" i="33"/>
  <c r="AU76" i="33"/>
  <c r="AW83" i="33"/>
  <c r="AA84" i="33"/>
  <c r="AS7" i="33"/>
  <c r="AS79" i="33" s="1"/>
  <c r="AE79" i="33"/>
  <c r="AN75" i="33"/>
  <c r="AX75" i="33"/>
  <c r="AV75" i="33"/>
  <c r="AV83" i="33"/>
  <c r="AX83" i="33"/>
  <c r="AW74" i="33"/>
  <c r="AX74" i="33"/>
  <c r="AE81" i="33"/>
  <c r="AS18" i="33"/>
  <c r="AS81" i="33" s="1"/>
  <c r="AV74" i="33"/>
  <c r="AC84" i="33"/>
  <c r="AA76" i="33"/>
  <c r="AX78" i="33"/>
  <c r="AV79" i="33"/>
  <c r="AE80" i="33"/>
  <c r="AS15" i="33"/>
  <c r="AS80" i="33" s="1"/>
  <c r="AE74" i="33"/>
  <c r="AS74" i="33" s="1"/>
  <c r="AE83" i="33"/>
  <c r="AE75" i="33"/>
  <c r="AS75" i="33" s="1"/>
  <c r="AS41" i="33"/>
  <c r="AS83" i="33" s="1"/>
  <c r="AV78" i="33"/>
  <c r="AB84" i="33"/>
  <c r="AX81" i="33"/>
  <c r="AQ84" i="33"/>
  <c r="AW75" i="33"/>
  <c r="AP75" i="33"/>
  <c r="AB76" i="33"/>
  <c r="AC76" i="33"/>
  <c r="AQ76" i="33" s="1"/>
  <c r="AQ73" i="33"/>
  <c r="AW73" i="33"/>
  <c r="AO76" i="33"/>
  <c r="AV80" i="33"/>
  <c r="AE73" i="33"/>
  <c r="AU84" i="33"/>
  <c r="AS61" i="33"/>
  <c r="AS82" i="33" s="1"/>
  <c r="AE82" i="33"/>
  <c r="AN73" i="33"/>
  <c r="Z76" i="33"/>
  <c r="AG76" i="33"/>
  <c r="AO224" i="27" l="1"/>
  <c r="H226" i="27"/>
  <c r="H229" i="27" s="1"/>
  <c r="H252" i="27"/>
  <c r="AM117" i="31"/>
  <c r="AL177" i="31"/>
  <c r="AI117" i="31"/>
  <c r="AH177" i="31"/>
  <c r="AU117" i="31"/>
  <c r="AT177" i="31"/>
  <c r="S117" i="31"/>
  <c r="R177" i="31"/>
  <c r="AY117" i="31"/>
  <c r="AX177" i="31"/>
  <c r="AA117" i="31"/>
  <c r="Z177" i="31"/>
  <c r="W117" i="31"/>
  <c r="V177" i="31"/>
  <c r="W177" i="31" s="1"/>
  <c r="W180" i="31" s="1"/>
  <c r="AE117" i="31"/>
  <c r="AD177" i="31"/>
  <c r="AQ117" i="31"/>
  <c r="AP177" i="31"/>
  <c r="AY185" i="31"/>
  <c r="AY188" i="31"/>
  <c r="AA177" i="31"/>
  <c r="AA180" i="31" s="1"/>
  <c r="BB197" i="31"/>
  <c r="BC173" i="31"/>
  <c r="AO216" i="27"/>
  <c r="AO217" i="27" s="1"/>
  <c r="AP126" i="27"/>
  <c r="I202" i="27"/>
  <c r="I224" i="27"/>
  <c r="I252" i="27" s="1"/>
  <c r="I253" i="27" s="1"/>
  <c r="AV76" i="33"/>
  <c r="AL191" i="31"/>
  <c r="AL192" i="31" s="1"/>
  <c r="AH199" i="31"/>
  <c r="Z199" i="31"/>
  <c r="AX191" i="31"/>
  <c r="AX192" i="31" s="1"/>
  <c r="AT191" i="31"/>
  <c r="AT192" i="31" s="1"/>
  <c r="AH191" i="31"/>
  <c r="AH192" i="31" s="1"/>
  <c r="AP191" i="31"/>
  <c r="AP192" i="31" s="1"/>
  <c r="V199" i="31"/>
  <c r="AP199" i="31"/>
  <c r="AQ184" i="31"/>
  <c r="AX199" i="31"/>
  <c r="R191" i="31"/>
  <c r="R192" i="31" s="1"/>
  <c r="AU195" i="31"/>
  <c r="AD199" i="31"/>
  <c r="AY196" i="31"/>
  <c r="Z191" i="31"/>
  <c r="Z192" i="31" s="1"/>
  <c r="AI191" i="31"/>
  <c r="AI192" i="31" s="1"/>
  <c r="AT199" i="31"/>
  <c r="N199" i="31"/>
  <c r="AE196" i="31"/>
  <c r="AI196" i="31"/>
  <c r="AM195" i="31"/>
  <c r="AM199" i="31" s="1"/>
  <c r="AL199" i="31"/>
  <c r="AA196" i="31"/>
  <c r="AM191" i="31"/>
  <c r="AM192" i="31" s="1"/>
  <c r="N191" i="31"/>
  <c r="N192" i="31" s="1"/>
  <c r="O117" i="31"/>
  <c r="J191" i="31"/>
  <c r="J192" i="31" s="1"/>
  <c r="AY195" i="31"/>
  <c r="AU196" i="31"/>
  <c r="AU189" i="31"/>
  <c r="AU191" i="31" s="1"/>
  <c r="AU192" i="31" s="1"/>
  <c r="AQ189" i="31"/>
  <c r="AQ196" i="31"/>
  <c r="AQ199" i="31" s="1"/>
  <c r="AI195" i="31"/>
  <c r="AD191" i="31"/>
  <c r="AD192" i="31" s="1"/>
  <c r="AE188" i="31"/>
  <c r="AE191" i="31" s="1"/>
  <c r="AE192" i="31" s="1"/>
  <c r="AE195" i="31"/>
  <c r="AA184" i="31"/>
  <c r="AA191" i="31" s="1"/>
  <c r="AA192" i="31" s="1"/>
  <c r="AA195" i="31"/>
  <c r="V191" i="31"/>
  <c r="V192" i="31" s="1"/>
  <c r="W196" i="31"/>
  <c r="W185" i="31"/>
  <c r="W191" i="31" s="1"/>
  <c r="W192" i="31" s="1"/>
  <c r="W195" i="31"/>
  <c r="R199" i="31"/>
  <c r="S196" i="31"/>
  <c r="S199" i="31" s="1"/>
  <c r="S189" i="31"/>
  <c r="O196" i="31"/>
  <c r="O199" i="31" s="1"/>
  <c r="O189" i="31"/>
  <c r="O191" i="31" s="1"/>
  <c r="O192" i="31" s="1"/>
  <c r="J199" i="31"/>
  <c r="K117" i="31"/>
  <c r="K196" i="31"/>
  <c r="K199" i="31" s="1"/>
  <c r="K189" i="31"/>
  <c r="K191" i="31" s="1"/>
  <c r="K192" i="31" s="1"/>
  <c r="AX84" i="33"/>
  <c r="AE84" i="33"/>
  <c r="AS84" i="33"/>
  <c r="AX76" i="33"/>
  <c r="AW84" i="33"/>
  <c r="AN76" i="33"/>
  <c r="AW76" i="33"/>
  <c r="AP76" i="33"/>
  <c r="AS73" i="33"/>
  <c r="AS76" i="33" s="1"/>
  <c r="AE76" i="33"/>
  <c r="AV84" i="33"/>
  <c r="AO226" i="27" l="1"/>
  <c r="AO229" i="27" s="1"/>
  <c r="AO2" i="27" s="1"/>
  <c r="H253" i="27"/>
  <c r="AO252" i="27"/>
  <c r="BC190" i="31"/>
  <c r="BC197" i="31" s="1"/>
  <c r="Z180" i="31"/>
  <c r="AY191" i="31"/>
  <c r="AY192" i="31" s="1"/>
  <c r="V180" i="31"/>
  <c r="AQ191" i="31"/>
  <c r="AQ192" i="31" s="1"/>
  <c r="S191" i="31"/>
  <c r="S192" i="31" s="1"/>
  <c r="AY177" i="31"/>
  <c r="AY180" i="31" s="1"/>
  <c r="AX180" i="31"/>
  <c r="AU177" i="31"/>
  <c r="AU180" i="31" s="1"/>
  <c r="AT180" i="31"/>
  <c r="AQ177" i="31"/>
  <c r="AQ180" i="31" s="1"/>
  <c r="AP180" i="31"/>
  <c r="AL180" i="31"/>
  <c r="AM177" i="31"/>
  <c r="AM180" i="31" s="1"/>
  <c r="AH180" i="31"/>
  <c r="AI177" i="31"/>
  <c r="AI180" i="31" s="1"/>
  <c r="AE199" i="31"/>
  <c r="AE177" i="31"/>
  <c r="AE180" i="31" s="1"/>
  <c r="AD180" i="31"/>
  <c r="S177" i="31"/>
  <c r="S180" i="31" s="1"/>
  <c r="R180" i="31"/>
  <c r="O177" i="31"/>
  <c r="O180" i="31" s="1"/>
  <c r="N180" i="31"/>
  <c r="K177" i="31"/>
  <c r="K180" i="31" s="1"/>
  <c r="J180" i="31"/>
  <c r="AY199" i="31"/>
  <c r="AA199" i="31"/>
  <c r="AU199" i="31"/>
  <c r="AI199" i="31"/>
  <c r="W199" i="31"/>
  <c r="AO253" i="27" l="1"/>
  <c r="E115" i="31"/>
  <c r="E114" i="31"/>
  <c r="E113" i="31"/>
  <c r="E112" i="31"/>
  <c r="E111" i="31"/>
  <c r="E110" i="31"/>
  <c r="E109" i="31"/>
  <c r="E108" i="31"/>
  <c r="E107" i="31"/>
  <c r="E105" i="31"/>
  <c r="E104" i="31"/>
  <c r="E103" i="31"/>
  <c r="E102" i="31"/>
  <c r="E100" i="31"/>
  <c r="E98" i="31"/>
  <c r="E97" i="31"/>
  <c r="E96" i="31"/>
  <c r="E95" i="31"/>
  <c r="E94" i="31"/>
  <c r="E92" i="31"/>
  <c r="E91" i="31"/>
  <c r="E90" i="31"/>
  <c r="E89" i="31"/>
  <c r="E88" i="31"/>
  <c r="E87" i="31"/>
  <c r="E86" i="31"/>
  <c r="E83" i="31"/>
  <c r="E82" i="31"/>
  <c r="E79" i="31"/>
  <c r="E77" i="31"/>
  <c r="E75" i="31"/>
  <c r="E73" i="31"/>
  <c r="E72" i="31"/>
  <c r="E70" i="31"/>
  <c r="E68" i="31"/>
  <c r="E67" i="31"/>
  <c r="E66" i="31"/>
  <c r="E65" i="31"/>
  <c r="E64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39" i="31"/>
  <c r="E38" i="31"/>
  <c r="E37" i="31"/>
  <c r="E36" i="31"/>
  <c r="E33" i="31"/>
  <c r="E32" i="31"/>
  <c r="E31" i="31"/>
  <c r="E30" i="31"/>
  <c r="E28" i="31"/>
  <c r="E26" i="31"/>
  <c r="E25" i="31"/>
  <c r="E24" i="31"/>
  <c r="E23" i="31"/>
  <c r="E21" i="31"/>
  <c r="E19" i="31"/>
  <c r="E18" i="31"/>
  <c r="E17" i="31"/>
  <c r="E16" i="31"/>
  <c r="E15" i="31"/>
  <c r="E14" i="31"/>
  <c r="E12" i="31"/>
  <c r="E11" i="31"/>
  <c r="E10" i="31"/>
  <c r="E9" i="31"/>
  <c r="E8" i="31"/>
  <c r="E7" i="31"/>
  <c r="E6" i="31"/>
  <c r="B109" i="32"/>
  <c r="C109" i="32"/>
  <c r="D109" i="32"/>
  <c r="E109" i="32"/>
  <c r="F109" i="32"/>
  <c r="G109" i="32"/>
  <c r="H109" i="32"/>
  <c r="I109" i="32"/>
  <c r="J109" i="32"/>
  <c r="K109" i="32"/>
  <c r="L109" i="32"/>
  <c r="M109" i="32"/>
  <c r="F197" i="31"/>
  <c r="E197" i="31"/>
  <c r="G197" i="31"/>
  <c r="E202" i="27"/>
  <c r="AO202" i="27" s="1"/>
  <c r="AP202" i="27" l="1"/>
  <c r="F6" i="31"/>
  <c r="E13" i="31"/>
  <c r="BA6" i="31"/>
  <c r="F15" i="31"/>
  <c r="BA15" i="31"/>
  <c r="F37" i="31"/>
  <c r="BA37" i="31"/>
  <c r="F54" i="31"/>
  <c r="BA54" i="31"/>
  <c r="F73" i="31"/>
  <c r="BA73" i="31"/>
  <c r="F97" i="31"/>
  <c r="BA97" i="31"/>
  <c r="F7" i="31"/>
  <c r="BA7" i="31"/>
  <c r="F26" i="31"/>
  <c r="BA26" i="31"/>
  <c r="F47" i="31"/>
  <c r="BA47" i="31"/>
  <c r="F64" i="31"/>
  <c r="BA64" i="31"/>
  <c r="F89" i="31"/>
  <c r="BA89" i="31"/>
  <c r="F109" i="31"/>
  <c r="BA109" i="31"/>
  <c r="F17" i="31"/>
  <c r="BA17" i="31"/>
  <c r="F48" i="31"/>
  <c r="BA48" i="31"/>
  <c r="F56" i="31"/>
  <c r="BA56" i="31"/>
  <c r="F77" i="31"/>
  <c r="BA77" i="31"/>
  <c r="F110" i="31"/>
  <c r="BA110" i="31"/>
  <c r="F18" i="31"/>
  <c r="BA18" i="31"/>
  <c r="F30" i="31"/>
  <c r="BA30" i="31"/>
  <c r="F49" i="31"/>
  <c r="BA49" i="31"/>
  <c r="F66" i="31"/>
  <c r="BA66" i="31"/>
  <c r="F102" i="31"/>
  <c r="BA102" i="31"/>
  <c r="F10" i="31"/>
  <c r="BA10" i="31"/>
  <c r="F42" i="31"/>
  <c r="BA42" i="31"/>
  <c r="F58" i="31"/>
  <c r="BA58" i="31"/>
  <c r="F82" i="31"/>
  <c r="BA82" i="31"/>
  <c r="F103" i="31"/>
  <c r="BA103" i="31"/>
  <c r="F59" i="31"/>
  <c r="BA59" i="31"/>
  <c r="F25" i="31"/>
  <c r="BA25" i="31"/>
  <c r="F46" i="31"/>
  <c r="BA46" i="31"/>
  <c r="F62" i="31"/>
  <c r="BA62" i="31"/>
  <c r="F88" i="31"/>
  <c r="BA88" i="31"/>
  <c r="F108" i="31"/>
  <c r="BA108" i="31"/>
  <c r="F16" i="31"/>
  <c r="BA16" i="31"/>
  <c r="F38" i="31"/>
  <c r="BA38" i="31"/>
  <c r="F55" i="31"/>
  <c r="BA55" i="31"/>
  <c r="F75" i="31"/>
  <c r="BA75" i="31"/>
  <c r="F98" i="31"/>
  <c r="BA98" i="31"/>
  <c r="F8" i="31"/>
  <c r="BA8" i="31"/>
  <c r="F28" i="31"/>
  <c r="BA28" i="31"/>
  <c r="F39" i="31"/>
  <c r="BA39" i="31"/>
  <c r="F65" i="31"/>
  <c r="BA65" i="31"/>
  <c r="F90" i="31"/>
  <c r="BA90" i="31"/>
  <c r="F100" i="31"/>
  <c r="BA100" i="31"/>
  <c r="F9" i="31"/>
  <c r="BA9" i="31"/>
  <c r="F41" i="31"/>
  <c r="BA41" i="31"/>
  <c r="F57" i="31"/>
  <c r="BA57" i="31"/>
  <c r="F79" i="31"/>
  <c r="BA79" i="31"/>
  <c r="F91" i="31"/>
  <c r="BA91" i="31"/>
  <c r="F111" i="31"/>
  <c r="BA111" i="31"/>
  <c r="F19" i="31"/>
  <c r="BA19" i="31"/>
  <c r="F31" i="31"/>
  <c r="BA31" i="31"/>
  <c r="F50" i="31"/>
  <c r="BA50" i="31"/>
  <c r="F67" i="31"/>
  <c r="BA67" i="31"/>
  <c r="F92" i="31"/>
  <c r="BA92" i="31"/>
  <c r="F112" i="31"/>
  <c r="BA112" i="31"/>
  <c r="F11" i="31"/>
  <c r="BA11" i="31"/>
  <c r="F21" i="31"/>
  <c r="BA21" i="31"/>
  <c r="F32" i="31"/>
  <c r="BA32" i="31"/>
  <c r="F43" i="31"/>
  <c r="BA43" i="31"/>
  <c r="F51" i="31"/>
  <c r="BA51" i="31"/>
  <c r="F68" i="31"/>
  <c r="BA68" i="31"/>
  <c r="F83" i="31"/>
  <c r="BA83" i="31"/>
  <c r="F94" i="31"/>
  <c r="BA94" i="31"/>
  <c r="F104" i="31"/>
  <c r="BA104" i="31"/>
  <c r="F113" i="31"/>
  <c r="BA113" i="31"/>
  <c r="F12" i="31"/>
  <c r="BA12" i="31"/>
  <c r="F23" i="31"/>
  <c r="BA23" i="31"/>
  <c r="F33" i="31"/>
  <c r="BA33" i="31"/>
  <c r="F44" i="31"/>
  <c r="BA44" i="31"/>
  <c r="F52" i="31"/>
  <c r="BA52" i="31"/>
  <c r="F60" i="31"/>
  <c r="BA60" i="31"/>
  <c r="F70" i="31"/>
  <c r="BA70" i="31"/>
  <c r="F86" i="31"/>
  <c r="BA86" i="31"/>
  <c r="F95" i="31"/>
  <c r="BA95" i="31"/>
  <c r="F105" i="31"/>
  <c r="BA105" i="31"/>
  <c r="F114" i="31"/>
  <c r="BA114" i="31"/>
  <c r="F14" i="31"/>
  <c r="BA14" i="31"/>
  <c r="F24" i="31"/>
  <c r="BA24" i="31"/>
  <c r="F36" i="31"/>
  <c r="BA36" i="31"/>
  <c r="F45" i="31"/>
  <c r="BA45" i="31"/>
  <c r="F53" i="31"/>
  <c r="BA53" i="31"/>
  <c r="F61" i="31"/>
  <c r="BA61" i="31"/>
  <c r="F72" i="31"/>
  <c r="BA72" i="31"/>
  <c r="F87" i="31"/>
  <c r="BA87" i="31"/>
  <c r="F96" i="31"/>
  <c r="BA96" i="31"/>
  <c r="F107" i="31"/>
  <c r="BA107" i="31"/>
  <c r="F115" i="31"/>
  <c r="BA115" i="31"/>
  <c r="E69" i="31"/>
  <c r="E101" i="31"/>
  <c r="E22" i="31"/>
  <c r="E27" i="31"/>
  <c r="E93" i="31"/>
  <c r="E74" i="31"/>
  <c r="E76" i="31"/>
  <c r="E78" i="31"/>
  <c r="E85" i="31"/>
  <c r="F85" i="31" s="1"/>
  <c r="G85" i="31" s="1"/>
  <c r="E81" i="31"/>
  <c r="F81" i="31" s="1"/>
  <c r="G81" i="31" s="1"/>
  <c r="E116" i="31"/>
  <c r="E210" i="27"/>
  <c r="E213" i="27"/>
  <c r="E212" i="27"/>
  <c r="E211" i="27"/>
  <c r="E215" i="27"/>
  <c r="F156" i="27"/>
  <c r="F88" i="27"/>
  <c r="F192" i="27"/>
  <c r="F191" i="27"/>
  <c r="F188" i="27"/>
  <c r="F187" i="27"/>
  <c r="F186" i="27"/>
  <c r="F185" i="27"/>
  <c r="F182" i="27"/>
  <c r="F183" i="27"/>
  <c r="F180" i="27"/>
  <c r="F177" i="27"/>
  <c r="F173" i="27"/>
  <c r="F171" i="27"/>
  <c r="F166" i="27"/>
  <c r="F162" i="27"/>
  <c r="F160" i="27"/>
  <c r="F158" i="27"/>
  <c r="F154" i="27"/>
  <c r="F151" i="27"/>
  <c r="F150" i="27"/>
  <c r="F148" i="27"/>
  <c r="F146" i="27"/>
  <c r="F145" i="27"/>
  <c r="F143" i="27"/>
  <c r="F141" i="27"/>
  <c r="F140" i="27"/>
  <c r="F133" i="27"/>
  <c r="F132" i="27"/>
  <c r="F131" i="27"/>
  <c r="D17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2" i="28"/>
  <c r="F74" i="31" l="1"/>
  <c r="BA74" i="31"/>
  <c r="G115" i="31"/>
  <c r="BB115" i="31"/>
  <c r="BC115" i="31" s="1"/>
  <c r="G72" i="31"/>
  <c r="BB72" i="31"/>
  <c r="BC72" i="31" s="1"/>
  <c r="G36" i="31"/>
  <c r="BB36" i="31"/>
  <c r="BC36" i="31" s="1"/>
  <c r="BB105" i="31"/>
  <c r="BC105" i="31" s="1"/>
  <c r="G105" i="31"/>
  <c r="G60" i="31"/>
  <c r="BB60" i="31"/>
  <c r="BC60" i="31" s="1"/>
  <c r="G23" i="31"/>
  <c r="BB23" i="31"/>
  <c r="BC23" i="31" s="1"/>
  <c r="G94" i="31"/>
  <c r="BB94" i="31"/>
  <c r="BC94" i="31" s="1"/>
  <c r="G43" i="31"/>
  <c r="BB43" i="31"/>
  <c r="BC43" i="31" s="1"/>
  <c r="G112" i="31"/>
  <c r="BB112" i="31"/>
  <c r="BC112" i="31" s="1"/>
  <c r="G31" i="31"/>
  <c r="BB31" i="31"/>
  <c r="BC31" i="31" s="1"/>
  <c r="G79" i="31"/>
  <c r="BB79" i="31"/>
  <c r="BC79" i="31" s="1"/>
  <c r="G100" i="31"/>
  <c r="BB100" i="31"/>
  <c r="BC100" i="31" s="1"/>
  <c r="G28" i="31"/>
  <c r="BB28" i="31"/>
  <c r="BC28" i="31" s="1"/>
  <c r="G55" i="31"/>
  <c r="BB55" i="31"/>
  <c r="BC55" i="31" s="1"/>
  <c r="G88" i="31"/>
  <c r="BB88" i="31"/>
  <c r="BC88" i="31" s="1"/>
  <c r="G59" i="31"/>
  <c r="BB59" i="31"/>
  <c r="BC59" i="31" s="1"/>
  <c r="G42" i="31"/>
  <c r="BB42" i="31"/>
  <c r="BC42" i="31" s="1"/>
  <c r="BB49" i="31"/>
  <c r="BC49" i="31" s="1"/>
  <c r="G49" i="31"/>
  <c r="G77" i="31"/>
  <c r="BB77" i="31"/>
  <c r="BC77" i="31" s="1"/>
  <c r="G109" i="31"/>
  <c r="BB109" i="31"/>
  <c r="BC109" i="31" s="1"/>
  <c r="G26" i="31"/>
  <c r="BB26" i="31"/>
  <c r="BC26" i="31" s="1"/>
  <c r="G54" i="31"/>
  <c r="BB54" i="31"/>
  <c r="BC54" i="31" s="1"/>
  <c r="E186" i="31"/>
  <c r="F93" i="31"/>
  <c r="BA93" i="31"/>
  <c r="BA186" i="31" s="1"/>
  <c r="F27" i="31"/>
  <c r="BA27" i="31"/>
  <c r="G107" i="31"/>
  <c r="BB107" i="31"/>
  <c r="BC107" i="31" s="1"/>
  <c r="G61" i="31"/>
  <c r="BB61" i="31"/>
  <c r="BC61" i="31" s="1"/>
  <c r="G24" i="31"/>
  <c r="BB24" i="31"/>
  <c r="BC24" i="31" s="1"/>
  <c r="G95" i="31"/>
  <c r="BB95" i="31"/>
  <c r="BC95" i="31" s="1"/>
  <c r="G52" i="31"/>
  <c r="BB52" i="31"/>
  <c r="BC52" i="31" s="1"/>
  <c r="G12" i="31"/>
  <c r="BB12" i="31"/>
  <c r="BC12" i="31" s="1"/>
  <c r="G83" i="31"/>
  <c r="BB83" i="31"/>
  <c r="BC83" i="31" s="1"/>
  <c r="G92" i="31"/>
  <c r="BB92" i="31"/>
  <c r="BC92" i="31" s="1"/>
  <c r="BB57" i="31"/>
  <c r="BC57" i="31" s="1"/>
  <c r="G57" i="31"/>
  <c r="G8" i="31"/>
  <c r="BB8" i="31"/>
  <c r="BC8" i="31" s="1"/>
  <c r="G62" i="31"/>
  <c r="BB62" i="31"/>
  <c r="BC62" i="31" s="1"/>
  <c r="G103" i="31"/>
  <c r="BB103" i="31"/>
  <c r="BC103" i="31" s="1"/>
  <c r="G30" i="31"/>
  <c r="BB30" i="31"/>
  <c r="BC30" i="31" s="1"/>
  <c r="G89" i="31"/>
  <c r="BB89" i="31"/>
  <c r="BC89" i="31" s="1"/>
  <c r="G7" i="31"/>
  <c r="BB7" i="31"/>
  <c r="BC7" i="31" s="1"/>
  <c r="F116" i="31"/>
  <c r="BA116" i="31"/>
  <c r="F22" i="31"/>
  <c r="BA22" i="31"/>
  <c r="BA184" i="31" s="1"/>
  <c r="E187" i="31"/>
  <c r="F101" i="31"/>
  <c r="BA101" i="31"/>
  <c r="BA187" i="31" s="1"/>
  <c r="G96" i="31"/>
  <c r="BB96" i="31"/>
  <c r="BC96" i="31" s="1"/>
  <c r="G53" i="31"/>
  <c r="BB53" i="31"/>
  <c r="BC53" i="31" s="1"/>
  <c r="G14" i="31"/>
  <c r="BB14" i="31"/>
  <c r="BC14" i="31" s="1"/>
  <c r="G86" i="31"/>
  <c r="BB86" i="31"/>
  <c r="BC86" i="31" s="1"/>
  <c r="G44" i="31"/>
  <c r="BB44" i="31"/>
  <c r="BC44" i="31" s="1"/>
  <c r="G113" i="31"/>
  <c r="BB113" i="31"/>
  <c r="BC113" i="31" s="1"/>
  <c r="G68" i="31"/>
  <c r="BB68" i="31"/>
  <c r="BC68" i="31" s="1"/>
  <c r="BB21" i="31"/>
  <c r="BC21" i="31" s="1"/>
  <c r="G21" i="31"/>
  <c r="G67" i="31"/>
  <c r="BB67" i="31"/>
  <c r="BC67" i="31" s="1"/>
  <c r="BB111" i="31"/>
  <c r="BC111" i="31" s="1"/>
  <c r="G111" i="31"/>
  <c r="G41" i="31"/>
  <c r="BB41" i="31"/>
  <c r="BC41" i="31" s="1"/>
  <c r="G65" i="31"/>
  <c r="BB65" i="31"/>
  <c r="BC65" i="31" s="1"/>
  <c r="G98" i="31"/>
  <c r="BB98" i="31"/>
  <c r="BC98" i="31" s="1"/>
  <c r="G16" i="31"/>
  <c r="BB16" i="31"/>
  <c r="BC16" i="31" s="1"/>
  <c r="G46" i="31"/>
  <c r="BB46" i="31"/>
  <c r="BC46" i="31" s="1"/>
  <c r="G82" i="31"/>
  <c r="BB82" i="31"/>
  <c r="BC82" i="31" s="1"/>
  <c r="G102" i="31"/>
  <c r="BB102" i="31"/>
  <c r="BC102" i="31" s="1"/>
  <c r="G18" i="31"/>
  <c r="BB18" i="31"/>
  <c r="BC18" i="31" s="1"/>
  <c r="G48" i="31"/>
  <c r="BB48" i="31"/>
  <c r="BC48" i="31" s="1"/>
  <c r="G64" i="31"/>
  <c r="BB64" i="31"/>
  <c r="BC64" i="31" s="1"/>
  <c r="G97" i="31"/>
  <c r="BB97" i="31"/>
  <c r="BC97" i="31" s="1"/>
  <c r="BB15" i="31"/>
  <c r="BC15" i="31" s="1"/>
  <c r="G15" i="31"/>
  <c r="G32" i="31"/>
  <c r="BB32" i="31"/>
  <c r="BC32" i="31" s="1"/>
  <c r="G19" i="31"/>
  <c r="BB19" i="31"/>
  <c r="BC19" i="31" s="1"/>
  <c r="G90" i="31"/>
  <c r="BB90" i="31"/>
  <c r="BC90" i="31" s="1"/>
  <c r="G38" i="31"/>
  <c r="BB38" i="31"/>
  <c r="BC38" i="31" s="1"/>
  <c r="G10" i="31"/>
  <c r="BB10" i="31"/>
  <c r="BC10" i="31" s="1"/>
  <c r="G56" i="31"/>
  <c r="BB56" i="31"/>
  <c r="BC56" i="31" s="1"/>
  <c r="G37" i="31"/>
  <c r="BB37" i="31"/>
  <c r="BC37" i="31" s="1"/>
  <c r="F69" i="31"/>
  <c r="BA69" i="31"/>
  <c r="F78" i="31"/>
  <c r="BA78" i="31"/>
  <c r="BB87" i="31"/>
  <c r="BC87" i="31" s="1"/>
  <c r="G87" i="31"/>
  <c r="BB45" i="31"/>
  <c r="BC45" i="31" s="1"/>
  <c r="G45" i="31"/>
  <c r="G114" i="31"/>
  <c r="BB114" i="31"/>
  <c r="BC114" i="31" s="1"/>
  <c r="G70" i="31"/>
  <c r="BB70" i="31"/>
  <c r="BC70" i="31" s="1"/>
  <c r="G33" i="31"/>
  <c r="BB33" i="31"/>
  <c r="BC33" i="31" s="1"/>
  <c r="G104" i="31"/>
  <c r="BB104" i="31"/>
  <c r="BC104" i="31" s="1"/>
  <c r="BB51" i="31"/>
  <c r="BC51" i="31" s="1"/>
  <c r="G51" i="31"/>
  <c r="G11" i="31"/>
  <c r="BB11" i="31"/>
  <c r="BC11" i="31" s="1"/>
  <c r="G50" i="31"/>
  <c r="BB50" i="31"/>
  <c r="BC50" i="31" s="1"/>
  <c r="G91" i="31"/>
  <c r="BB91" i="31"/>
  <c r="BC91" i="31" s="1"/>
  <c r="BB9" i="31"/>
  <c r="BC9" i="31" s="1"/>
  <c r="G9" i="31"/>
  <c r="BB39" i="31"/>
  <c r="BC39" i="31" s="1"/>
  <c r="G39" i="31"/>
  <c r="G75" i="31"/>
  <c r="BB75" i="31"/>
  <c r="BC75" i="31" s="1"/>
  <c r="G108" i="31"/>
  <c r="BB108" i="31"/>
  <c r="BC108" i="31" s="1"/>
  <c r="G25" i="31"/>
  <c r="BB25" i="31"/>
  <c r="BC25" i="31" s="1"/>
  <c r="G58" i="31"/>
  <c r="BB58" i="31"/>
  <c r="BC58" i="31" s="1"/>
  <c r="G66" i="31"/>
  <c r="BB66" i="31"/>
  <c r="BC66" i="31" s="1"/>
  <c r="G110" i="31"/>
  <c r="BB110" i="31"/>
  <c r="BC110" i="31" s="1"/>
  <c r="G17" i="31"/>
  <c r="BB17" i="31"/>
  <c r="BC17" i="31" s="1"/>
  <c r="G47" i="31"/>
  <c r="BB47" i="31"/>
  <c r="BC47" i="31" s="1"/>
  <c r="G73" i="31"/>
  <c r="BB73" i="31"/>
  <c r="BC73" i="31" s="1"/>
  <c r="F13" i="31"/>
  <c r="BA13" i="31"/>
  <c r="BA189" i="31" s="1"/>
  <c r="F76" i="31"/>
  <c r="BA76" i="31"/>
  <c r="G6" i="31"/>
  <c r="BB6" i="31"/>
  <c r="BC6" i="31" s="1"/>
  <c r="AP215" i="27"/>
  <c r="AP222" i="27" s="1"/>
  <c r="AP212" i="27"/>
  <c r="AP211" i="27"/>
  <c r="BA85" i="31"/>
  <c r="BA81" i="31"/>
  <c r="E196" i="31"/>
  <c r="E184" i="31"/>
  <c r="E189" i="31"/>
  <c r="E195" i="31"/>
  <c r="E188" i="31"/>
  <c r="E117" i="31"/>
  <c r="E177" i="31" s="1"/>
  <c r="BA177" i="31" s="1"/>
  <c r="E185" i="31"/>
  <c r="F139" i="27"/>
  <c r="F165" i="27"/>
  <c r="F189" i="27"/>
  <c r="F190" i="27"/>
  <c r="F184" i="27"/>
  <c r="F181" i="27"/>
  <c r="F178" i="27"/>
  <c r="F136" i="27"/>
  <c r="F137" i="27"/>
  <c r="F134" i="27"/>
  <c r="F138" i="27"/>
  <c r="F130" i="27"/>
  <c r="F176" i="27"/>
  <c r="F117" i="31" l="1"/>
  <c r="G22" i="31"/>
  <c r="BB22" i="31"/>
  <c r="BB93" i="31"/>
  <c r="G93" i="31"/>
  <c r="G186" i="31" s="1"/>
  <c r="G101" i="31"/>
  <c r="G187" i="31" s="1"/>
  <c r="BB101" i="31"/>
  <c r="G76" i="31"/>
  <c r="BB76" i="31"/>
  <c r="BC76" i="31" s="1"/>
  <c r="G69" i="31"/>
  <c r="BB69" i="31"/>
  <c r="BC69" i="31" s="1"/>
  <c r="G78" i="31"/>
  <c r="BB78" i="31"/>
  <c r="BC78" i="31" s="1"/>
  <c r="G116" i="31"/>
  <c r="BB116" i="31"/>
  <c r="BC116" i="31" s="1"/>
  <c r="G27" i="31"/>
  <c r="BB27" i="31"/>
  <c r="BC27" i="31" s="1"/>
  <c r="G13" i="31"/>
  <c r="BB13" i="31"/>
  <c r="G74" i="31"/>
  <c r="BB74" i="31"/>
  <c r="BC74" i="31" s="1"/>
  <c r="AP213" i="27"/>
  <c r="AP221" i="27"/>
  <c r="AP214" i="27"/>
  <c r="AP220" i="27"/>
  <c r="AP209" i="27"/>
  <c r="AP210" i="27"/>
  <c r="BA195" i="31"/>
  <c r="BA185" i="31"/>
  <c r="BB85" i="31"/>
  <c r="BA117" i="31"/>
  <c r="BA188" i="31"/>
  <c r="BA196" i="31"/>
  <c r="BB81" i="31"/>
  <c r="E191" i="31"/>
  <c r="E192" i="31" s="1"/>
  <c r="E199" i="31"/>
  <c r="F185" i="31"/>
  <c r="F196" i="31"/>
  <c r="F189" i="31"/>
  <c r="F188" i="31"/>
  <c r="F184" i="31"/>
  <c r="F195" i="31"/>
  <c r="F186" i="31"/>
  <c r="F187" i="31"/>
  <c r="F108" i="27"/>
  <c r="F30" i="27"/>
  <c r="F68" i="27"/>
  <c r="F8" i="27"/>
  <c r="F73" i="27"/>
  <c r="F16" i="27"/>
  <c r="F67" i="27"/>
  <c r="F74" i="27"/>
  <c r="F57" i="27"/>
  <c r="F41" i="27"/>
  <c r="F51" i="27"/>
  <c r="F45" i="27"/>
  <c r="F104" i="27"/>
  <c r="F11" i="27"/>
  <c r="F96" i="27"/>
  <c r="F32" i="27"/>
  <c r="F14" i="27"/>
  <c r="F37" i="27"/>
  <c r="F78" i="27"/>
  <c r="F33" i="27"/>
  <c r="F18" i="27"/>
  <c r="F17" i="27"/>
  <c r="F55" i="27"/>
  <c r="F115" i="27"/>
  <c r="F99" i="27"/>
  <c r="F124" i="27"/>
  <c r="F111" i="27"/>
  <c r="F62" i="27"/>
  <c r="F19" i="27"/>
  <c r="F5" i="27"/>
  <c r="F118" i="27"/>
  <c r="F42" i="27"/>
  <c r="F101" i="27"/>
  <c r="F65" i="27"/>
  <c r="F98" i="27"/>
  <c r="F97" i="27"/>
  <c r="F47" i="27"/>
  <c r="F6" i="27"/>
  <c r="F81" i="27"/>
  <c r="F105" i="27"/>
  <c r="F29" i="27"/>
  <c r="F24" i="27"/>
  <c r="F123" i="27"/>
  <c r="F21" i="27"/>
  <c r="F91" i="27"/>
  <c r="F50" i="27"/>
  <c r="F72" i="27"/>
  <c r="F23" i="27"/>
  <c r="F58" i="27"/>
  <c r="F38" i="27"/>
  <c r="F61" i="27"/>
  <c r="F28" i="27"/>
  <c r="F46" i="27"/>
  <c r="F69" i="27"/>
  <c r="F79" i="27"/>
  <c r="F52" i="27"/>
  <c r="F90" i="27"/>
  <c r="F53" i="27"/>
  <c r="F20" i="27"/>
  <c r="F9" i="27"/>
  <c r="F116" i="27"/>
  <c r="F40" i="27"/>
  <c r="F48" i="27"/>
  <c r="F7" i="27"/>
  <c r="F120" i="27"/>
  <c r="F119" i="27"/>
  <c r="F56" i="27"/>
  <c r="F103" i="27"/>
  <c r="F26" i="27"/>
  <c r="F80" i="27"/>
  <c r="F92" i="27"/>
  <c r="F100" i="27"/>
  <c r="F95" i="27"/>
  <c r="F54" i="27"/>
  <c r="F122" i="27"/>
  <c r="F117" i="27"/>
  <c r="F109" i="27"/>
  <c r="F44" i="27"/>
  <c r="F114" i="27"/>
  <c r="F31" i="27"/>
  <c r="F113" i="27"/>
  <c r="F34" i="27"/>
  <c r="F36" i="27"/>
  <c r="F15" i="27"/>
  <c r="F10" i="27"/>
  <c r="F63" i="27"/>
  <c r="F25" i="27"/>
  <c r="F70" i="27"/>
  <c r="F112" i="27"/>
  <c r="F35" i="27"/>
  <c r="F121" i="27"/>
  <c r="F107" i="27"/>
  <c r="F106" i="27"/>
  <c r="F43" i="27"/>
  <c r="F87" i="27"/>
  <c r="F12" i="27"/>
  <c r="F64" i="27"/>
  <c r="F175" i="27"/>
  <c r="F197" i="27"/>
  <c r="F85" i="27"/>
  <c r="F83" i="27"/>
  <c r="G117" i="31" l="1"/>
  <c r="F177" i="31"/>
  <c r="G185" i="31"/>
  <c r="G188" i="31"/>
  <c r="BB187" i="31"/>
  <c r="BC101" i="31"/>
  <c r="BC187" i="31" s="1"/>
  <c r="BB186" i="31"/>
  <c r="BC93" i="31"/>
  <c r="BC186" i="31" s="1"/>
  <c r="BA191" i="31"/>
  <c r="BA192" i="31" s="1"/>
  <c r="BC13" i="31"/>
  <c r="BC189" i="31" s="1"/>
  <c r="BB189" i="31"/>
  <c r="BC22" i="31"/>
  <c r="BC184" i="31" s="1"/>
  <c r="BB184" i="31"/>
  <c r="AP224" i="27"/>
  <c r="AP252" i="27" s="1"/>
  <c r="AP253" i="27" s="1"/>
  <c r="AP216" i="27"/>
  <c r="AP217" i="27" s="1"/>
  <c r="BA199" i="31"/>
  <c r="BB185" i="31"/>
  <c r="BC85" i="31"/>
  <c r="BB195" i="31"/>
  <c r="BC81" i="31"/>
  <c r="BB188" i="31"/>
  <c r="BB196" i="31"/>
  <c r="BB117" i="31"/>
  <c r="BC117" i="31" s="1"/>
  <c r="E180" i="31"/>
  <c r="BA180" i="31"/>
  <c r="G184" i="31"/>
  <c r="G195" i="31"/>
  <c r="G189" i="31"/>
  <c r="G196" i="31"/>
  <c r="F199" i="31"/>
  <c r="F191" i="31"/>
  <c r="F192" i="31" s="1"/>
  <c r="F94" i="27"/>
  <c r="F84" i="27"/>
  <c r="F86" i="27"/>
  <c r="F89" i="27"/>
  <c r="F125" i="27"/>
  <c r="F27" i="27"/>
  <c r="F82" i="27"/>
  <c r="F77" i="27"/>
  <c r="F102" i="27"/>
  <c r="F211" i="27" s="1"/>
  <c r="E214" i="27"/>
  <c r="F13" i="27"/>
  <c r="E222" i="27"/>
  <c r="F198" i="27"/>
  <c r="F215" i="27" s="1"/>
  <c r="F222" i="27" s="1"/>
  <c r="F110" i="27"/>
  <c r="F212" i="27" s="1"/>
  <c r="E209" i="27"/>
  <c r="F22" i="27"/>
  <c r="F209" i="27" s="1"/>
  <c r="F202" i="27"/>
  <c r="E221" i="27"/>
  <c r="E220" i="27"/>
  <c r="BB191" i="31" l="1"/>
  <c r="BB192" i="31" s="1"/>
  <c r="BB199" i="31"/>
  <c r="F213" i="27"/>
  <c r="F210" i="27"/>
  <c r="BC185" i="31"/>
  <c r="BC195" i="31"/>
  <c r="G177" i="31"/>
  <c r="G180" i="31" s="1"/>
  <c r="F180" i="31"/>
  <c r="BB177" i="31"/>
  <c r="BC188" i="31"/>
  <c r="BC196" i="31"/>
  <c r="G199" i="31"/>
  <c r="G191" i="31"/>
  <c r="G192" i="31" s="1"/>
  <c r="F126" i="27"/>
  <c r="E216" i="27"/>
  <c r="E217" i="27" s="1"/>
  <c r="F214" i="27"/>
  <c r="F221" i="27"/>
  <c r="F220" i="27"/>
  <c r="E224" i="27"/>
  <c r="E226" i="27" l="1"/>
  <c r="E229" i="27" s="1"/>
  <c r="E252" i="27"/>
  <c r="BB2" i="31"/>
  <c r="BC199" i="31"/>
  <c r="BC191" i="31"/>
  <c r="BC192" i="31" s="1"/>
  <c r="BC177" i="31"/>
  <c r="BC180" i="31" s="1"/>
  <c r="BB180" i="31"/>
  <c r="F224" i="27"/>
  <c r="F252" i="27" s="1"/>
  <c r="F253" i="27" s="1"/>
  <c r="F216" i="27"/>
  <c r="F217" i="27" s="1"/>
  <c r="E253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tc={E484DB60-08CB-4888-819D-65AC30E7E0EB}</author>
  </authors>
  <commentList>
    <comment ref="D243" authorId="0" shapeId="0" xr:uid="{E484DB60-08CB-4888-819D-65AC30E7E0EB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tc={859D1D25-FEA7-4D45-9916-054477FD1FD7}</author>
  </authors>
  <commentList>
    <comment ref="D237" authorId="0" shapeId="0" xr:uid="{859D1D25-FEA7-4D45-9916-054477FD1FD7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tc={41A3A539-7F89-4437-9BAF-1ADC252DD0C4}</author>
    <author>tc={3E890676-41F4-42C6-9929-69D8A437AFE4}</author>
  </authors>
  <commentList>
    <comment ref="D227" authorId="0" shapeId="0" xr:uid="{41A3A539-7F89-4437-9BAF-1ADC252DD0C4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  <comment ref="AF237" authorId="1" shapeId="0" xr:uid="{3E890676-41F4-42C6-9929-69D8A437AF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187 K€ amount asset write off in October. FC impact of these written-off assets(145 K) are also deleted from related accounts. (9 months impact seen in 1 month)
</t>
      </text>
    </comment>
  </commentList>
</comments>
</file>

<file path=xl/sharedStrings.xml><?xml version="1.0" encoding="utf-8"?>
<sst xmlns="http://schemas.openxmlformats.org/spreadsheetml/2006/main" count="2963" uniqueCount="574">
  <si>
    <t>TOTAL</t>
  </si>
  <si>
    <t xml:space="preserve">VAR </t>
  </si>
  <si>
    <t>Direct Labour</t>
  </si>
  <si>
    <t>Direct Expences</t>
  </si>
  <si>
    <t xml:space="preserve">FIX </t>
  </si>
  <si>
    <t>Indirect Labour</t>
  </si>
  <si>
    <t>Fixed Labour</t>
  </si>
  <si>
    <t>Fixed Expences</t>
  </si>
  <si>
    <t xml:space="preserve">G&amp;A &amp; Out of Perimeter </t>
  </si>
  <si>
    <t>Shares</t>
  </si>
  <si>
    <t>Depreciation</t>
  </si>
  <si>
    <t xml:space="preserve">Total Cost </t>
  </si>
  <si>
    <t>Row Labels</t>
  </si>
  <si>
    <t>Grand Total</t>
  </si>
  <si>
    <t>Cost Elements</t>
  </si>
  <si>
    <t xml:space="preserve">    6666110101  Depreciation of buildings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</si>
  <si>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</si>
  <si>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</si>
  <si>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</si>
  <si>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</si>
  <si>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</si>
  <si>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</si>
  <si>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</si>
  <si>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>*   CS_Depreciation</t>
  </si>
  <si>
    <t xml:space="preserve">    5001010205  Unemployment Insurance -blue collar-Dire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</si>
  <si>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</si>
  <si>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</si>
  <si>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</si>
  <si>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</si>
  <si>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</si>
  <si>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</si>
  <si>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</si>
  <si>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>*   CS_Direct Labour</t>
  </si>
  <si>
    <t xml:space="preserve">    8701530201  Scrap-Raw Material - Managerial</t>
  </si>
  <si>
    <t xml:space="preserve">    6666050309  SFG scrap</t>
  </si>
  <si>
    <t xml:space="preserve">    6666050308  Raw material scrap</t>
  </si>
  <si>
    <t xml:space="preserve">    6666050306  Finished goods scrap</t>
  </si>
  <si>
    <t>*   CS_SCRAP_VARIABLE</t>
  </si>
  <si>
    <t xml:space="preserve">    6666029700  Service fee recharge</t>
  </si>
  <si>
    <t xml:space="preserve">    6666010322  fuel allowance</t>
  </si>
  <si>
    <t xml:space="preserve">    6666020495  Non-deductible expense-travel.</t>
  </si>
  <si>
    <t xml:space="preserve">    5102010151  Other Rev.-Interco-Epidemic problem comp</t>
  </si>
  <si>
    <t xml:space="preserve">    5001010200  Cost of Manufacture - Raw Material</t>
  </si>
  <si>
    <t xml:space="preserve">    5001010201  Cost of Manufacture - Raw Material-Freig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</si>
  <si>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</si>
  <si>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</si>
  <si>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</si>
  <si>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</si>
  <si>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</si>
  <si>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</si>
  <si>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</si>
  <si>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5801000041  Previous year Sundry cost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</si>
  <si>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</si>
  <si>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</si>
  <si>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</si>
  <si>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</si>
  <si>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</si>
  <si>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</si>
  <si>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</si>
  <si>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 xml:space="preserve">    6666020405  Company car expense - maintenance fees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</si>
  <si>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</si>
  <si>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</si>
  <si>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</si>
  <si>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</si>
  <si>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</si>
  <si>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</si>
  <si>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</si>
  <si>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</si>
  <si>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</si>
  <si>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</si>
  <si>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6666029900  Sundry Expenses</t>
  </si>
  <si>
    <t xml:space="preserve">    6666029997  restructure cost</t>
  </si>
  <si>
    <t xml:space="preserve">    6666030300  Design and development fees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</si>
  <si>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</si>
  <si>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</si>
  <si>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</si>
  <si>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6666050312  Inventory count different- Semifinished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</si>
  <si>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</si>
  <si>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</si>
  <si>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</si>
  <si>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>*   CS_Fix Cost</t>
  </si>
  <si>
    <t xml:space="preserve">    6666110203  Low value consumables</t>
  </si>
  <si>
    <t xml:space="preserve">    5102040000  Other Revenue - Other</t>
  </si>
  <si>
    <t xml:space="preserve">    6666050307  Inventory count different-raw material</t>
  </si>
  <si>
    <t>*   CS_Variable Cost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</si>
  <si>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</si>
  <si>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</si>
  <si>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</si>
  <si>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</si>
  <si>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</si>
  <si>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</si>
  <si>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6666021600  Energy and power cost</t>
  </si>
  <si>
    <t xml:space="preserve">    6666021603  Water</t>
  </si>
  <si>
    <t xml:space="preserve">    6666021604  Oil &amp; Gas</t>
  </si>
  <si>
    <t>*   CS_Variable Utilities</t>
  </si>
  <si>
    <t xml:space="preserve">    5001010206  Unemployment Insurance -blue collar-Indi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</si>
  <si>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</si>
  <si>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</si>
  <si>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</si>
  <si>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</si>
  <si>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</si>
  <si>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</si>
  <si>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*   CS_Indirect Labour</t>
  </si>
  <si>
    <t xml:space="preserve">    6666010196  Payroll Taxes-White Collar Employee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</si>
  <si>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</si>
  <si>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</si>
  <si>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</si>
  <si>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</si>
  <si>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</si>
  <si>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>*   CS_Fixed Labour</t>
  </si>
  <si>
    <t xml:space="preserve">    6666020903  Other materials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</si>
  <si>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</si>
  <si>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</si>
  <si>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</si>
  <si>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</si>
  <si>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</si>
  <si>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</si>
  <si>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</si>
  <si>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</si>
  <si>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</si>
  <si>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</si>
  <si>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</si>
  <si>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</si>
  <si>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>*   CS_Semifix</t>
  </si>
  <si>
    <t>**  Debit</t>
  </si>
  <si>
    <t xml:space="preserve">    5207000011  Gain of tangible asset disposal</t>
  </si>
  <si>
    <t>**  Credit</t>
  </si>
  <si>
    <t>*   CS_OVH_ADM</t>
  </si>
  <si>
    <t xml:space="preserve">Volume </t>
  </si>
  <si>
    <t>CPU € / pcs</t>
  </si>
  <si>
    <t xml:space="preserve">FX Rates </t>
  </si>
  <si>
    <t>CS_Depreci</t>
  </si>
  <si>
    <t xml:space="preserve">CS_Direct </t>
  </si>
  <si>
    <t>CS_Fix Cos</t>
  </si>
  <si>
    <t>CS_Variabl</t>
  </si>
  <si>
    <t>CS_Indirec</t>
  </si>
  <si>
    <t>CS_Fixed L</t>
  </si>
  <si>
    <t>CS_Semifix</t>
  </si>
  <si>
    <t>Jan CPU € / pcs</t>
  </si>
  <si>
    <t>Manufacturing cost without Shares &amp; Out of Perimeter</t>
  </si>
  <si>
    <t xml:space="preserve">Total Manufacturing Cost </t>
  </si>
  <si>
    <t xml:space="preserve">Jan K€ </t>
  </si>
  <si>
    <t>FIX</t>
  </si>
  <si>
    <t xml:space="preserve">    6666020301  Staff communication expense</t>
  </si>
  <si>
    <t xml:space="preserve">    6666020801  Housing rental cost</t>
  </si>
  <si>
    <t xml:space="preserve">    6666050202  Custom clearance charge</t>
  </si>
  <si>
    <t xml:space="preserve">    6666021604  Oil &amp; Gas man. Adj in Reporting </t>
  </si>
  <si>
    <t xml:space="preserve"> YTD DEC  CPU € / pcs</t>
  </si>
  <si>
    <t xml:space="preserve"> YTD K€ </t>
  </si>
  <si>
    <t xml:space="preserve">  Act. Costs</t>
  </si>
  <si>
    <t xml:space="preserve">    5001010205  Cost of Manufacture</t>
  </si>
  <si>
    <t xml:space="preserve">    6666010229  Staff Leaving Indemn</t>
  </si>
  <si>
    <t xml:space="preserve">    6666010115  Salary-Blue collar d</t>
  </si>
  <si>
    <t xml:space="preserve">    8701530201  Scrap-Raw&amp;#160;Material - Managerial</t>
  </si>
  <si>
    <t xml:space="preserve">    5102010151  Other Rev.-Interco-E</t>
  </si>
  <si>
    <t xml:space="preserve">    5001010201  Cost of Manufacture</t>
  </si>
  <si>
    <t xml:space="preserve">    6666100203  Provision for invent</t>
  </si>
  <si>
    <t xml:space="preserve">    5001010206  Cost of Manufacture</t>
  </si>
  <si>
    <t xml:space="preserve">    6666010184  Salary&amp;Additional In</t>
  </si>
  <si>
    <t xml:space="preserve">    6666010226  Staff Leaving Indemn</t>
  </si>
  <si>
    <t xml:space="preserve">    6666010102  Salary-Blue collar i</t>
  </si>
  <si>
    <t xml:space="preserve">    6666010185  Salary&amp;Additional In</t>
  </si>
  <si>
    <t xml:space="preserve">    6666010227  Staff Leaving Indemn</t>
  </si>
  <si>
    <t xml:space="preserve">    6666021503  Repair &amp; Maintain -</t>
  </si>
  <si>
    <t xml:space="preserve">    6666021506  Repairs &amp; Maintenanc</t>
  </si>
  <si>
    <t xml:space="preserve">    600006      OVH Administrative</t>
  </si>
  <si>
    <t>*** Over/Underabsorption</t>
  </si>
  <si>
    <t xml:space="preserve">    6666021300  Legal fees</t>
  </si>
  <si>
    <t xml:space="preserve">    5102040406  Other revenue-Servic</t>
  </si>
  <si>
    <t xml:space="preserve">    6666029996  Non-deductible expense-travel.</t>
  </si>
  <si>
    <t xml:space="preserve">    5601080000  Non-operating expens</t>
  </si>
  <si>
    <t xml:space="preserve">    6666021102  Consulting expense-tax</t>
  </si>
  <si>
    <t xml:space="preserve">    6666079999  IT Expense-Internal Charge Out</t>
  </si>
  <si>
    <t xml:space="preserve">    6666093800  Other Taxes-CIT Deductible</t>
  </si>
  <si>
    <t xml:space="preserve">G&amp;A _ Out of Perimeter </t>
  </si>
  <si>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</si>
  <si>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</si>
  <si>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</si>
  <si>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</si>
  <si>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</si>
  <si>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</si>
  <si>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</si>
  <si>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</si>
  <si>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</si>
  <si>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</si>
  <si>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</si>
  <si>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</si>
  <si>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</si>
  <si>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</si>
  <si>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>Cost in EUR</t>
  </si>
  <si>
    <t xml:space="preserve">Renta DW Cost Evolution </t>
  </si>
  <si>
    <t xml:space="preserve">ACT Cost K€ </t>
  </si>
  <si>
    <t xml:space="preserve">JAN K€ </t>
  </si>
  <si>
    <t>Jan KLC</t>
  </si>
  <si>
    <t xml:space="preserve">DL lab </t>
  </si>
  <si>
    <t xml:space="preserve">Ind lab </t>
  </si>
  <si>
    <t xml:space="preserve">FİXED LAB </t>
  </si>
  <si>
    <t xml:space="preserve">Sum of DEC </t>
  </si>
  <si>
    <t>Sum of NOV</t>
  </si>
  <si>
    <t>Sum of OCT</t>
  </si>
  <si>
    <t>Sum of SEPT</t>
  </si>
  <si>
    <t>Sum of AUG</t>
  </si>
  <si>
    <t>Sum of JULY</t>
  </si>
  <si>
    <t>Sum of JUNE</t>
  </si>
  <si>
    <t>Sum of MAY</t>
  </si>
  <si>
    <t>Sum of APR</t>
  </si>
  <si>
    <t>Sum of MAR</t>
  </si>
  <si>
    <t xml:space="preserve">Sum of FEB </t>
  </si>
  <si>
    <t xml:space="preserve">Sum of Jan </t>
  </si>
  <si>
    <t>Account Type</t>
  </si>
  <si>
    <t>Expense Type</t>
  </si>
  <si>
    <t xml:space="preserve">Reporting Cost Line </t>
  </si>
  <si>
    <t>DW (K TL)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</si>
  <si>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</si>
  <si>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</si>
  <si>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</si>
  <si>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</si>
  <si>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</si>
  <si>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</si>
  <si>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</si>
  <si>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</si>
  <si>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>Sep</t>
  </si>
  <si>
    <t>Oct</t>
  </si>
  <si>
    <t xml:space="preserve">NOV </t>
  </si>
  <si>
    <t xml:space="preserve">DEC </t>
  </si>
  <si>
    <t>TOTAL (KTL)</t>
  </si>
  <si>
    <t>TOTAL (K €)</t>
  </si>
  <si>
    <t>Jan CPU</t>
  </si>
  <si>
    <t>Feb CPU</t>
  </si>
  <si>
    <t>Mar CPU</t>
  </si>
  <si>
    <t>Apr CPU</t>
  </si>
  <si>
    <t>May CPU</t>
  </si>
  <si>
    <t>Jun CPU</t>
  </si>
  <si>
    <t>Jul CPU</t>
  </si>
  <si>
    <t xml:space="preserve">Aug CPU </t>
  </si>
  <si>
    <t xml:space="preserve">Sep CPU </t>
  </si>
  <si>
    <t xml:space="preserve">Oct CPU </t>
  </si>
  <si>
    <t>NOV CPU</t>
  </si>
  <si>
    <t xml:space="preserve">DEC CPU </t>
  </si>
  <si>
    <t>TOTAL (CPU €)</t>
  </si>
  <si>
    <t xml:space="preserve">H1 CPU </t>
  </si>
  <si>
    <t xml:space="preserve">Q3 CPU </t>
  </si>
  <si>
    <t xml:space="preserve">Q4 CPU </t>
  </si>
  <si>
    <t xml:space="preserve">H2 CPU </t>
  </si>
  <si>
    <t>FX RATES (€)</t>
  </si>
  <si>
    <t>VOLUME</t>
  </si>
  <si>
    <t>COSTS ELEMENTS</t>
  </si>
  <si>
    <t>Direct Labor</t>
  </si>
  <si>
    <t>4000 Direct Labour STD</t>
  </si>
  <si>
    <t>TOT. LABOUR VARIAB. COSTS (Sal. &amp; Wages)</t>
  </si>
  <si>
    <t>Direct Expenses</t>
  </si>
  <si>
    <t>Variable Utilities</t>
  </si>
  <si>
    <t>4106 Electricy Factory direct Dept.</t>
  </si>
  <si>
    <t>4110 Gas</t>
  </si>
  <si>
    <t>Other Variable (Production Consumable, Inventory ADJ)</t>
  </si>
  <si>
    <t>4211 Direct material expenses</t>
  </si>
  <si>
    <t>Scrap</t>
  </si>
  <si>
    <t>4326 Scraps costs</t>
  </si>
  <si>
    <t>4820 Variance on raw mat.consumption</t>
  </si>
  <si>
    <t>Scrap Reselling</t>
  </si>
  <si>
    <t>4821 Scraps variables recovery costs</t>
  </si>
  <si>
    <t>Total Variable Expenses</t>
  </si>
  <si>
    <t>TOTAL VARIABLE COSTS</t>
  </si>
  <si>
    <t>4015 Indirect Labour STD</t>
  </si>
  <si>
    <t>4030 Salaries and Wages</t>
  </si>
  <si>
    <t>TOT. LABOUR FIXED COSTS  (Sal. &amp; Wages)</t>
  </si>
  <si>
    <t>Fixed Expenses</t>
  </si>
  <si>
    <t>Fixed Cost</t>
  </si>
  <si>
    <t>4050 Travel</t>
  </si>
  <si>
    <t>4051 Travel Airline Expenses</t>
  </si>
  <si>
    <t>4086 Training costs</t>
  </si>
  <si>
    <t>Semifixed</t>
  </si>
  <si>
    <t>4165 Canteen exp./tickets restaurant</t>
  </si>
  <si>
    <t>4170 Medical service</t>
  </si>
  <si>
    <t>4175 Publications/Periodicals</t>
  </si>
  <si>
    <t>4300 Staff commuting costs</t>
  </si>
  <si>
    <t>4305 Uniforms for factory workers</t>
  </si>
  <si>
    <t>4420 Redundancy costs</t>
  </si>
  <si>
    <t>4072 Car maintenance/repairing costs</t>
  </si>
  <si>
    <t>4074 Car renting costs</t>
  </si>
  <si>
    <t>4075 Car petrol</t>
  </si>
  <si>
    <t>4065 Maintenance Material</t>
  </si>
  <si>
    <t>4070 Maintenace services</t>
  </si>
  <si>
    <t>4100 Office cleaning</t>
  </si>
  <si>
    <t xml:space="preserve">Fixed Utilities </t>
  </si>
  <si>
    <t>4105 Electricity Indirect Dept</t>
  </si>
  <si>
    <t>4115 Heating</t>
  </si>
  <si>
    <t>4120 Water</t>
  </si>
  <si>
    <t>4145 Office &amp; Building security costs</t>
  </si>
  <si>
    <t>4220 Consulting fees</t>
  </si>
  <si>
    <t>4067 PC Maintenance</t>
  </si>
  <si>
    <t>4773 Mobile telephone exp.</t>
  </si>
  <si>
    <t>4127 Software Maintenace</t>
  </si>
  <si>
    <t>4141 Group insurances</t>
  </si>
  <si>
    <t>4066 Tooling maintenance</t>
  </si>
  <si>
    <t>4150 Entertainments</t>
  </si>
  <si>
    <t>4180 Express couriers costs</t>
  </si>
  <si>
    <t>4190 Associations</t>
  </si>
  <si>
    <t>4195 Other expenses</t>
  </si>
  <si>
    <t>4210 Indirect material expenses</t>
  </si>
  <si>
    <t>4270 Experimentals/tests expenses</t>
  </si>
  <si>
    <t>4295 Waste disposal expenses</t>
  </si>
  <si>
    <t>4310 Small equipments for office &amp; factory</t>
  </si>
  <si>
    <t>Obsolete</t>
  </si>
  <si>
    <t>4322 Consumption R.M./S.P. obsolete</t>
  </si>
  <si>
    <t>4324 Factory inventory Adj</t>
  </si>
  <si>
    <t>4410 Test expenses recharged</t>
  </si>
  <si>
    <t>4060 Lease &amp; Rent</t>
  </si>
  <si>
    <t>4155 Stationery &amp; Printing supplies</t>
  </si>
  <si>
    <t>4730 Contingent liabilities</t>
  </si>
  <si>
    <t>4745 Profit on assets sale - Thirds</t>
  </si>
  <si>
    <t>4750 Loss on assets sale - Thirds</t>
  </si>
  <si>
    <t>4775 Other expenses recovery</t>
  </si>
  <si>
    <t>Total Expenses</t>
  </si>
  <si>
    <t>4785 Depreciation tangible assets</t>
  </si>
  <si>
    <t>4786 Depreciation intangible assets</t>
  </si>
  <si>
    <t>TOT. FIXED ASSETS DEPRECIATIONS</t>
  </si>
  <si>
    <t>Total Fixed Refab</t>
  </si>
  <si>
    <t>4330 Share of G &amp; A</t>
  </si>
  <si>
    <t>TOT. SHARES</t>
  </si>
  <si>
    <t>TOTAL SHARE &amp; ALLOCATION</t>
  </si>
  <si>
    <t>TOTAL FIXED COSTS</t>
  </si>
  <si>
    <t>TOTAL COST CENTER</t>
  </si>
  <si>
    <t>FEB  KLC</t>
  </si>
  <si>
    <t>March   KLC</t>
  </si>
  <si>
    <t>Apr  KLC</t>
  </si>
  <si>
    <t xml:space="preserve">March K€ </t>
  </si>
  <si>
    <t xml:space="preserve">Apr K€ </t>
  </si>
  <si>
    <t xml:space="preserve"> CPU € / pcs</t>
  </si>
  <si>
    <t>MAY   KLC</t>
  </si>
  <si>
    <t xml:space="preserve">May K€ </t>
  </si>
  <si>
    <t>June   KLC</t>
  </si>
  <si>
    <t xml:space="preserve">June  K€ </t>
  </si>
  <si>
    <t>July   KLC</t>
  </si>
  <si>
    <t xml:space="preserve">July K€ </t>
  </si>
  <si>
    <t>Aug KLC</t>
  </si>
  <si>
    <t xml:space="preserve">Aug  K€ </t>
  </si>
  <si>
    <t>Sept KLC</t>
  </si>
  <si>
    <t xml:space="preserve">Sept K€ </t>
  </si>
  <si>
    <t>Oct  KLC</t>
  </si>
  <si>
    <t xml:space="preserve">Oct  K€ </t>
  </si>
  <si>
    <t>Nov  KLC</t>
  </si>
  <si>
    <t xml:space="preserve">Nov K€ </t>
  </si>
  <si>
    <t>Dec KLC</t>
  </si>
  <si>
    <t xml:space="preserve">Dec K€ </t>
  </si>
  <si>
    <t xml:space="preserve">    5102040893  Other revenue-Charge out-Test Expense</t>
  </si>
  <si>
    <t>FY KLC</t>
  </si>
  <si>
    <t xml:space="preserve">FY K€ </t>
  </si>
  <si>
    <t xml:space="preserve">reported </t>
  </si>
  <si>
    <t xml:space="preserve">FEB K€ </t>
  </si>
  <si>
    <t xml:space="preserve">Feb K€ </t>
  </si>
  <si>
    <t>SEASONALITY</t>
  </si>
  <si>
    <t>5102020000 Other revenue-Lease</t>
  </si>
  <si>
    <t>5102040406 Other revenue-Service/Secondment agreeme</t>
  </si>
  <si>
    <t>5102040800 Other revenue-Recharge from Intercompany</t>
  </si>
  <si>
    <t>5102040898 Other revenue-Internal Charge out -Renta</t>
  </si>
  <si>
    <t>5301060000 Other Income-Subsidy income</t>
  </si>
  <si>
    <t>5801000041 Previous year Sundry cost</t>
  </si>
  <si>
    <t>6666010012 Payroll Taxes- Blue Collar Indirect</t>
  </si>
  <si>
    <t>6666010101 Salary - White collar employees</t>
  </si>
  <si>
    <t>6666010102 Salary-Blue collar indirect employees- A</t>
  </si>
  <si>
    <t>6666010196 Payroll Taxes-White Collar Employee</t>
  </si>
  <si>
    <t>6666010199 Salary-White collar employees -Accrued</t>
  </si>
  <si>
    <t>6666010207 Unemployment insurance companies to pay</t>
  </si>
  <si>
    <t>6666010226 Staff Leaving Indemnity - Blue Collar In</t>
  </si>
  <si>
    <t>6666010227 Staff Leaving Indemnity - White collar E</t>
  </si>
  <si>
    <t>6666010302 Medical expenses</t>
  </si>
  <si>
    <t>6666010314 Work uniforms</t>
  </si>
  <si>
    <t>6666010321 car allowance</t>
  </si>
  <si>
    <t>6666010322 fuel allowance</t>
  </si>
  <si>
    <t>6666020101 Entertainment</t>
  </si>
  <si>
    <t>6666020201 Domestic business travel</t>
  </si>
  <si>
    <t>6666020202 Overseas business travel</t>
  </si>
  <si>
    <t>6666020204 Travel expense pay to agency</t>
  </si>
  <si>
    <t>6666020301 Staff communication expense</t>
  </si>
  <si>
    <t>6666020401 local transportation - bus and taxi</t>
  </si>
  <si>
    <t>6666020403 Company car expense</t>
  </si>
  <si>
    <t>6666020405 Company car expense - maintenance fees</t>
  </si>
  <si>
    <t>6666020495 Non-deductible expense-travel.</t>
  </si>
  <si>
    <t>6666020502 Working meals</t>
  </si>
  <si>
    <t>6666020503 Office supplies</t>
  </si>
  <si>
    <t>6666020504 Newspaper and Periodicals expenditure</t>
  </si>
  <si>
    <t>6666020602 Training costs Outside the group</t>
  </si>
  <si>
    <t>6666020801 Housing rental cost</t>
  </si>
  <si>
    <t>6666020803 Car rental cost</t>
  </si>
  <si>
    <t>6666021100 Consulting fees</t>
  </si>
  <si>
    <t>6666021103 Consulting expense-finance</t>
  </si>
  <si>
    <t>6666021400 Recruitment expense</t>
  </si>
  <si>
    <t>6666021602 Electricity</t>
  </si>
  <si>
    <t>6666021902 Cleaning fees</t>
  </si>
  <si>
    <t>6666022100 Security</t>
  </si>
  <si>
    <t>6666022300 Association dues</t>
  </si>
  <si>
    <t>6666029700 Service fee recharge</t>
  </si>
  <si>
    <t>6666029996 Non-deductible expense-travel.</t>
  </si>
  <si>
    <t>6666020701  Enterprise Property Insurance</t>
  </si>
  <si>
    <t>6666029900  Sundry Expenses</t>
  </si>
  <si>
    <t>6666079999  IT Expense-Internal Charge Out</t>
  </si>
  <si>
    <t>Feb CPU € / pcs</t>
  </si>
  <si>
    <t xml:space="preserve">Mar K€ </t>
  </si>
  <si>
    <t>Mar CPU € / pcs</t>
  </si>
  <si>
    <t>Apr CPU € / pcs</t>
  </si>
  <si>
    <t xml:space="preserve">    6666020403  Company car expense</t>
  </si>
  <si>
    <t>COST CENTER TOTAL IN LOCAL CURRENCY</t>
  </si>
  <si>
    <t>AVG FX MONTHLY BASİS</t>
  </si>
  <si>
    <t>COST CENTER TOTAL IN €</t>
  </si>
  <si>
    <t>FUNCTIONAL CURRENCY IMPACT</t>
  </si>
  <si>
    <t>May CPU € / pcs</t>
  </si>
  <si>
    <t xml:space="preserve">    6666021104  Consulting expense-Technical</t>
  </si>
  <si>
    <t xml:space="preserve">June K€ </t>
  </si>
  <si>
    <t>June CPU € / pcs</t>
  </si>
  <si>
    <t>July CPU € / pcs</t>
  </si>
  <si>
    <t>Cycle</t>
  </si>
  <si>
    <t>SAP</t>
  </si>
  <si>
    <t>k€</t>
  </si>
  <si>
    <t>SAP - k€</t>
  </si>
  <si>
    <t>Jan'25</t>
  </si>
  <si>
    <t>Account number</t>
  </si>
  <si>
    <t>January - TRY</t>
  </si>
  <si>
    <t>January - EUR</t>
  </si>
  <si>
    <t>Service Fee Recharge</t>
  </si>
  <si>
    <t>February - TRY</t>
  </si>
  <si>
    <t>February - EUR</t>
  </si>
  <si>
    <t>March - TRY</t>
  </si>
  <si>
    <t>March - EUR</t>
  </si>
  <si>
    <t>April - TRY</t>
  </si>
  <si>
    <t>April - EUR</t>
  </si>
  <si>
    <t>May - TRY</t>
  </si>
  <si>
    <t>May - EUR</t>
  </si>
  <si>
    <t>June - TRY</t>
  </si>
  <si>
    <t>June - EUR</t>
  </si>
  <si>
    <t>July- EUR</t>
  </si>
  <si>
    <t>Feb'25</t>
  </si>
  <si>
    <t>Mar'25</t>
  </si>
  <si>
    <t>Apr'25</t>
  </si>
  <si>
    <t>May'25</t>
  </si>
  <si>
    <t>Jun'25</t>
  </si>
  <si>
    <t>REPORT DECLARED</t>
  </si>
  <si>
    <t>DIFF</t>
  </si>
  <si>
    <t xml:space="preserve">Aug K€ </t>
  </si>
  <si>
    <t>Aug CPU € / pcs</t>
  </si>
  <si>
    <t>Aug- EUR</t>
  </si>
  <si>
    <t>SAP ile Fark</t>
  </si>
  <si>
    <t>July - EUR</t>
  </si>
  <si>
    <t>Aug - EUR</t>
  </si>
  <si>
    <t>HQD PERIMETER</t>
  </si>
  <si>
    <t>YES</t>
  </si>
  <si>
    <t>NO</t>
  </si>
  <si>
    <t>MFG PERIMETER (INCLUDING FC)</t>
  </si>
  <si>
    <t>OUT OF MFG PERIMETER</t>
  </si>
  <si>
    <t xml:space="preserve">Sep K€ </t>
  </si>
  <si>
    <t>Sep CPU € / pcs</t>
  </si>
  <si>
    <t xml:space="preserve">    6666031100  Technical Documentation</t>
  </si>
  <si>
    <t xml:space="preserve">    6666090100  Stamp Duty</t>
  </si>
  <si>
    <t xml:space="preserve">    5401050201  COGS-Freight out-Special and sporadic fr</t>
  </si>
  <si>
    <t xml:space="preserve">    5401050201  COGS-Special a</t>
  </si>
  <si>
    <t xml:space="preserve">    5401020212  Local Transpor</t>
  </si>
  <si>
    <t>Sept- EUR</t>
  </si>
  <si>
    <t>Sept - EUR</t>
  </si>
  <si>
    <t xml:space="preserve">Oct K€ </t>
  </si>
  <si>
    <t>Oct CPU € / pcs</t>
  </si>
  <si>
    <t>Oct- EUR</t>
  </si>
  <si>
    <t>Nov CPU € / pcs</t>
  </si>
  <si>
    <t>Nov- EUR</t>
  </si>
  <si>
    <t xml:space="preserve">DEC K€ </t>
  </si>
  <si>
    <t>Dec CPU € / pcs</t>
  </si>
  <si>
    <t xml:space="preserve">    6666021200  Audit fee</t>
  </si>
  <si>
    <t>Dec- EUR</t>
  </si>
  <si>
    <t>Dec - EUR</t>
  </si>
  <si>
    <t xml:space="preserve">    6666010315  Social Aids</t>
  </si>
  <si>
    <t>CS_Fix Ut</t>
  </si>
  <si>
    <t xml:space="preserve">    6666010315  Other labor supplies</t>
  </si>
  <si>
    <t>FX Rates_weighted average (Act TL/Act EUR)</t>
  </si>
  <si>
    <t>FX Rates_HQE</t>
  </si>
  <si>
    <t>Account</t>
  </si>
  <si>
    <t>Account Explanation</t>
  </si>
  <si>
    <t>January - k EUR</t>
  </si>
  <si>
    <t>February - k EUR</t>
  </si>
  <si>
    <t>March - k EUR</t>
  </si>
  <si>
    <t>April - k EUR</t>
  </si>
  <si>
    <t>May - k EUR</t>
  </si>
  <si>
    <t>June - k EUR</t>
  </si>
  <si>
    <t>July - k EUR</t>
  </si>
  <si>
    <t>Aug - k EUR</t>
  </si>
  <si>
    <t>Sept - k EUR</t>
  </si>
  <si>
    <t>Oct- k EUR</t>
  </si>
  <si>
    <t>Nov- k EUR</t>
  </si>
  <si>
    <t>Dec- k EUR</t>
  </si>
  <si>
    <t>Other revenue-Lease</t>
  </si>
  <si>
    <t>Other Revenue - Other</t>
  </si>
  <si>
    <t>Other revenue-Service/Secondment agreeme</t>
  </si>
  <si>
    <t>Other revenue-Internal Charge out -Trans</t>
  </si>
  <si>
    <t>Other revenue-Internal Charge out -Renta</t>
  </si>
  <si>
    <t>Other Income-Subsidy income</t>
  </si>
  <si>
    <t>Non-Operating Expense - Penalty</t>
  </si>
  <si>
    <t>Non-deductible expense-travel.</t>
  </si>
  <si>
    <t>Non-operation Expense-Others</t>
  </si>
  <si>
    <t>Non-operating expense-VAT non-deductible</t>
  </si>
  <si>
    <t>Previous year Sundry cost</t>
  </si>
  <si>
    <t>Payroll Taxes- Blue Collar Indirect</t>
  </si>
  <si>
    <t>Salary - White collar employees</t>
  </si>
  <si>
    <t>Salary-Blue collar indirect employees- A</t>
  </si>
  <si>
    <t>Salary&amp;Additional Incentive-White Collar</t>
  </si>
  <si>
    <t>Payroll Taxes-White Collar Employee</t>
  </si>
  <si>
    <t>Salary-White collar employees -Accrued</t>
  </si>
  <si>
    <t>Unemployment insurance companies to pay</t>
  </si>
  <si>
    <t>Staff Leaving Indemnity - White collar E</t>
  </si>
  <si>
    <t>Medical expenses</t>
  </si>
  <si>
    <t>Work uniforms</t>
  </si>
  <si>
    <t>car allowance</t>
  </si>
  <si>
    <t>fuel allowance</t>
  </si>
  <si>
    <t>Entertainment</t>
  </si>
  <si>
    <t>Domestic business travel</t>
  </si>
  <si>
    <t>Overseas business travel</t>
  </si>
  <si>
    <t>Travel expense pay to agency</t>
  </si>
  <si>
    <t>Staff communication expense</t>
  </si>
  <si>
    <t>local transportation - bus and taxi</t>
  </si>
  <si>
    <t>Company car expense</t>
  </si>
  <si>
    <t>Company car expense - maintenance fees</t>
  </si>
  <si>
    <t>Working meals</t>
  </si>
  <si>
    <t>Operating Expenses-Office expenses-Offic</t>
  </si>
  <si>
    <t>Newspaper and Periodicals expenditure</t>
  </si>
  <si>
    <t>Postage</t>
  </si>
  <si>
    <t>Training costs Outside the group</t>
  </si>
  <si>
    <t>Enterprise Property Insurance</t>
  </si>
  <si>
    <t>Housing rental cost</t>
  </si>
  <si>
    <t>Car rental cost</t>
  </si>
  <si>
    <t>Other Lease Expense (NOT IFRS16)</t>
  </si>
  <si>
    <t>Consulting fees</t>
  </si>
  <si>
    <t>Consulting expense-tax</t>
  </si>
  <si>
    <t>Consulting expense-Technical</t>
  </si>
  <si>
    <t>Audit fee</t>
  </si>
  <si>
    <t>Legal fees</t>
  </si>
  <si>
    <t>Recruitment expense</t>
  </si>
  <si>
    <t>Repair &amp; Maintain - Building&amp;office</t>
  </si>
  <si>
    <t>Repairs &amp; Maintenance - Vehicles</t>
  </si>
  <si>
    <t>Energy and power cost</t>
  </si>
  <si>
    <t>Oil &amp; Gas</t>
  </si>
  <si>
    <t>Cleaning fees</t>
  </si>
  <si>
    <t>Security</t>
  </si>
  <si>
    <t>Association dues</t>
  </si>
  <si>
    <t>Service fee recharge</t>
  </si>
  <si>
    <t>Sundry Expenses</t>
  </si>
  <si>
    <t>restructure cost</t>
  </si>
  <si>
    <t>Special distribution costs</t>
  </si>
  <si>
    <t>IT Expense-Internal Charge Out</t>
  </si>
  <si>
    <t>Garbage disposal charge</t>
  </si>
  <si>
    <t>Other Taxes-CIT Deductible</t>
  </si>
  <si>
    <t>Depreciation-Plant &amp; Machinery</t>
  </si>
  <si>
    <t>Depreciation of Furniture &amp; Fixture</t>
  </si>
  <si>
    <t>Incentive</t>
  </si>
  <si>
    <t>Technical Documentation</t>
  </si>
  <si>
    <t>Stamp Duty</t>
  </si>
  <si>
    <t>Amortization of Software</t>
  </si>
  <si>
    <t>Unemployment Insurance -blue collar-Indi</t>
  </si>
  <si>
    <t>IT maint. &amp; repairs hardware</t>
  </si>
  <si>
    <t>Amortization-Leasehold Improvement</t>
  </si>
  <si>
    <t>February-  k EUR</t>
  </si>
  <si>
    <t>Other cost-others</t>
  </si>
  <si>
    <t>Credit Insurance</t>
  </si>
  <si>
    <t>Car rental cost-short-term</t>
  </si>
  <si>
    <t>Repair &amp; Maintain - Tooling &amp; Equipments</t>
  </si>
  <si>
    <t>Electricity</t>
  </si>
  <si>
    <t>Depreciation of buildings</t>
  </si>
  <si>
    <t>Depreciation-Right of use asset-Vehicle</t>
  </si>
  <si>
    <t>Total</t>
  </si>
  <si>
    <t xml:space="preserve">    5001010204  Cost of Manufacture - Finished Good</t>
  </si>
  <si>
    <t xml:space="preserve">    6666021103 Consulting expense-finance</t>
  </si>
  <si>
    <t>March-  k EUR</t>
  </si>
  <si>
    <t>Non-operation revenue-Other</t>
  </si>
  <si>
    <t>Other labor supplies</t>
  </si>
  <si>
    <t xml:space="preserve">    6666020406  Company car expense - fuel costs</t>
  </si>
  <si>
    <t xml:space="preserve">    6666020302 Communication Expenses</t>
  </si>
  <si>
    <t xml:space="preserve">    5601040000 Loss from asset sale</t>
  </si>
  <si>
    <t xml:space="preserve">    6666021400 Recruitment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</si>
</sst>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-[$€]\ * #,##0.0000_-;\-[$€]\ * #,##0.0000_-;_-[$€]\ * &quot;-&quot;??_-;_-@_-"/>
    <numFmt numFmtId="167" formatCode="#,##0.0"/>
    <numFmt numFmtId="168" formatCode="_-* #,##0.00\ _€_-;\-* #,##0.00\ _€_-;_-* &quot;-&quot;??\ _€_-;_-@_-"/>
    <numFmt numFmtId="169" formatCode="_-[$€-2]\ * #,##0_-;\-[$€-2]\ * #,##0_-;_-[$€-2]\ * &quot;-&quot;??_-;_-@_-"/>
    <numFmt numFmtId="170" formatCode="_-[$₺-41F]* #,##0.00_-;\-[$₺-41F]* #,##0.00_-;_-[$₺-41F]* &quot;-&quot;??_-;_-@_-"/>
    <numFmt numFmtId="171" formatCode="_-[$₺-41F]* #,##0_-;\-[$₺-41F]* #,##0_-;_-[$₺-41F]* &quot;-&quot;??_-;_-@_-"/>
    <numFmt numFmtId="172" formatCode="_-[$€-2]\ * #,##0.00_-;\-[$€-2]\ * #,##0.00_-;_-[$€-2]\ * &quot;-&quot;??_-;_-@_-"/>
    <numFmt numFmtId="173" formatCode="_-[$€-2]\ * #,##0.0_-;\-[$€-2]\ * #,##0.0_-;_-[$€-2]\ * &quot;-&quot;??_-;_-@_-"/>
    <numFmt numFmtId="174" formatCode="0.0"/>
    <numFmt numFmtId="175" formatCode="_-* #,##0_-;\-* #,##0_-;_-* &quot;-&quot;??_-;_-@_-"/>
    <numFmt numFmtId="176" formatCode="#,##0.0000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</font>
    <font>
      <sz val="11"/>
      <name val="Calibri"/>
      <family val="3"/>
      <charset val="134"/>
      <scheme val="minor"/>
    </font>
    <font>
      <b/>
      <sz val="11"/>
      <name val="Calibri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1"/>
      <color indexed="8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Segoe U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rgb="FF003366"/>
      <name val="Calibri"/>
      <family val="2"/>
    </font>
    <font>
      <b/>
      <u/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Aptos Narrow"/>
      <family val="2"/>
      <charset val="162"/>
    </font>
    <font>
      <sz val="8"/>
      <color theme="1"/>
      <name val="Calibri"/>
      <family val="2"/>
      <scheme val="minor"/>
    </font>
    <font>
      <b/>
      <sz val="8"/>
      <color theme="1"/>
      <name val="Aptos Narrow"/>
      <family val="2"/>
      <charset val="16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FFFF8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3">
    <xf numFmtId="0" fontId="0" fillId="0" borderId="0">
      <alignment vertical="center"/>
    </xf>
    <xf numFmtId="166" fontId="19" fillId="0" borderId="0"/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0" fillId="0" borderId="0"/>
    <xf numFmtId="0" fontId="15" fillId="0" borderId="0">
      <alignment vertical="center"/>
    </xf>
    <xf numFmtId="0" fontId="2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/>
    <xf numFmtId="0" fontId="15" fillId="0" borderId="0">
      <alignment vertical="center"/>
    </xf>
    <xf numFmtId="43" fontId="15" fillId="0" borderId="0" applyFont="0" applyFill="0" applyBorder="0" applyAlignment="0" applyProtection="0"/>
    <xf numFmtId="165" fontId="20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0" fontId="15" fillId="0" borderId="0"/>
    <xf numFmtId="0" fontId="23" fillId="0" borderId="0"/>
    <xf numFmtId="0" fontId="14" fillId="0" borderId="0">
      <alignment vertical="center"/>
    </xf>
    <xf numFmtId="165" fontId="24" fillId="0" borderId="0" applyFont="0" applyFill="0" applyBorder="0" applyAlignment="0" applyProtection="0">
      <alignment vertical="center"/>
    </xf>
    <xf numFmtId="0" fontId="13" fillId="0" borderId="0"/>
    <xf numFmtId="164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/>
    <xf numFmtId="0" fontId="34" fillId="0" borderId="0">
      <alignment vertical="center"/>
    </xf>
    <xf numFmtId="164" fontId="23" fillId="0" borderId="0" applyFont="0" applyFill="0" applyBorder="0" applyAlignment="0" applyProtection="0"/>
    <xf numFmtId="0" fontId="11" fillId="0" borderId="0">
      <alignment vertical="center"/>
    </xf>
    <xf numFmtId="0" fontId="10" fillId="0" borderId="0"/>
    <xf numFmtId="168" fontId="10" fillId="0" borderId="0" applyFont="0" applyFill="0" applyBorder="0" applyAlignment="0" applyProtection="0"/>
    <xf numFmtId="0" fontId="19" fillId="0" borderId="0"/>
    <xf numFmtId="9" fontId="10" fillId="0" borderId="0" applyFont="0" applyFill="0" applyBorder="0" applyAlignment="0" applyProtection="0"/>
    <xf numFmtId="0" fontId="38" fillId="0" borderId="0"/>
    <xf numFmtId="43" fontId="23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8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6" fillId="0" borderId="0"/>
    <xf numFmtId="164" fontId="4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9">
    <xf numFmtId="0" fontId="0" fillId="0" borderId="0" xfId="0">
      <alignment vertical="center"/>
    </xf>
    <xf numFmtId="0" fontId="0" fillId="0" borderId="0" xfId="0" applyAlignment="1"/>
    <xf numFmtId="0" fontId="13" fillId="0" borderId="0" xfId="32"/>
    <xf numFmtId="0" fontId="13" fillId="8" borderId="0" xfId="32" applyFill="1"/>
    <xf numFmtId="0" fontId="13" fillId="0" borderId="0" xfId="32" applyAlignment="1">
      <alignment horizontal="center"/>
    </xf>
    <xf numFmtId="0" fontId="26" fillId="0" borderId="0" xfId="32" applyFont="1"/>
    <xf numFmtId="0" fontId="32" fillId="10" borderId="14" xfId="32" applyFont="1" applyFill="1" applyBorder="1" applyAlignment="1">
      <alignment horizontal="center"/>
    </xf>
    <xf numFmtId="0" fontId="32" fillId="10" borderId="7" xfId="32" applyFont="1" applyFill="1" applyBorder="1" applyAlignment="1">
      <alignment horizontal="center"/>
    </xf>
    <xf numFmtId="0" fontId="33" fillId="8" borderId="0" xfId="32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5" fillId="9" borderId="0" xfId="0" applyFont="1" applyFill="1">
      <alignment vertical="center"/>
    </xf>
    <xf numFmtId="0" fontId="25" fillId="9" borderId="0" xfId="0" applyFont="1" applyFill="1" applyAlignment="1">
      <alignment horizontal="left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25" fillId="9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8" borderId="0" xfId="0" applyNumberFormat="1" applyFill="1">
      <alignment vertical="center"/>
    </xf>
    <xf numFmtId="3" fontId="25" fillId="9" borderId="0" xfId="0" applyNumberFormat="1" applyFont="1" applyFill="1" applyAlignment="1">
      <alignment horizontal="center" vertical="center"/>
    </xf>
    <xf numFmtId="3" fontId="25" fillId="8" borderId="0" xfId="0" applyNumberFormat="1" applyFont="1" applyFill="1">
      <alignment vertical="center"/>
    </xf>
    <xf numFmtId="3" fontId="29" fillId="8" borderId="1" xfId="0" applyNumberFormat="1" applyFont="1" applyFill="1" applyBorder="1" applyAlignment="1">
      <alignment horizontal="center" vertical="center"/>
    </xf>
    <xf numFmtId="167" fontId="29" fillId="8" borderId="1" xfId="0" applyNumberFormat="1" applyFont="1" applyFill="1" applyBorder="1" applyAlignment="1">
      <alignment horizontal="center" vertical="center"/>
    </xf>
    <xf numFmtId="0" fontId="29" fillId="8" borderId="0" xfId="0" applyFont="1" applyFill="1">
      <alignment vertical="center"/>
    </xf>
    <xf numFmtId="3" fontId="0" fillId="0" borderId="8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3" fontId="25" fillId="9" borderId="9" xfId="0" applyNumberFormat="1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26" fillId="8" borderId="0" xfId="0" applyFont="1" applyFill="1">
      <alignment vertical="center"/>
    </xf>
    <xf numFmtId="167" fontId="25" fillId="9" borderId="9" xfId="0" applyNumberFormat="1" applyFont="1" applyFill="1" applyBorder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4" fontId="26" fillId="8" borderId="0" xfId="0" applyNumberFormat="1" applyFont="1" applyFill="1">
      <alignment vertical="center"/>
    </xf>
    <xf numFmtId="0" fontId="30" fillId="8" borderId="0" xfId="0" applyFont="1" applyFill="1">
      <alignment vertical="center"/>
    </xf>
    <xf numFmtId="0" fontId="25" fillId="8" borderId="0" xfId="0" applyFont="1" applyFill="1">
      <alignment vertical="center"/>
    </xf>
    <xf numFmtId="0" fontId="13" fillId="8" borderId="0" xfId="32" applyFill="1" applyAlignment="1">
      <alignment horizontal="center"/>
    </xf>
    <xf numFmtId="0" fontId="29" fillId="8" borderId="2" xfId="0" applyFont="1" applyFill="1" applyBorder="1">
      <alignment vertical="center"/>
    </xf>
    <xf numFmtId="0" fontId="29" fillId="8" borderId="3" xfId="0" applyFont="1" applyFill="1" applyBorder="1">
      <alignment vertical="center"/>
    </xf>
    <xf numFmtId="0" fontId="29" fillId="8" borderId="4" xfId="0" applyFont="1" applyFill="1" applyBorder="1">
      <alignment vertical="center"/>
    </xf>
    <xf numFmtId="0" fontId="17" fillId="0" borderId="6" xfId="18" applyFont="1" applyBorder="1"/>
    <xf numFmtId="0" fontId="16" fillId="2" borderId="8" xfId="18" applyFont="1" applyFill="1" applyBorder="1"/>
    <xf numFmtId="0" fontId="16" fillId="3" borderId="8" xfId="18" applyFont="1" applyFill="1" applyBorder="1"/>
    <xf numFmtId="0" fontId="17" fillId="4" borderId="8" xfId="18" applyFont="1" applyFill="1" applyBorder="1"/>
    <xf numFmtId="0" fontId="17" fillId="0" borderId="8" xfId="18" applyFont="1" applyBorder="1"/>
    <xf numFmtId="0" fontId="18" fillId="5" borderId="9" xfId="18" applyFont="1" applyFill="1" applyBorder="1"/>
    <xf numFmtId="0" fontId="29" fillId="0" borderId="0" xfId="0" applyFont="1">
      <alignment vertical="center"/>
    </xf>
    <xf numFmtId="167" fontId="0" fillId="0" borderId="12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4" fontId="25" fillId="9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/>
    <xf numFmtId="0" fontId="0" fillId="13" borderId="0" xfId="0" applyFill="1" applyAlignment="1"/>
    <xf numFmtId="0" fontId="0" fillId="13" borderId="0" xfId="0" applyFill="1">
      <alignment vertical="center"/>
    </xf>
    <xf numFmtId="0" fontId="0" fillId="0" borderId="6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25" fillId="9" borderId="9" xfId="0" applyFont="1" applyFill="1" applyBorder="1">
      <alignment vertical="center"/>
    </xf>
    <xf numFmtId="0" fontId="25" fillId="9" borderId="15" xfId="0" applyFont="1" applyFill="1" applyBorder="1">
      <alignment vertical="center"/>
    </xf>
    <xf numFmtId="3" fontId="25" fillId="9" borderId="15" xfId="0" applyNumberFormat="1" applyFont="1" applyFill="1" applyBorder="1" applyAlignment="1">
      <alignment horizontal="center" vertical="center"/>
    </xf>
    <xf numFmtId="167" fontId="25" fillId="9" borderId="10" xfId="0" applyNumberFormat="1" applyFont="1" applyFill="1" applyBorder="1" applyAlignment="1">
      <alignment horizontal="center" vertical="center"/>
    </xf>
    <xf numFmtId="3" fontId="0" fillId="8" borderId="14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3" fontId="0" fillId="8" borderId="6" xfId="0" applyNumberFormat="1" applyFill="1" applyBorder="1" applyAlignment="1">
      <alignment horizontal="center" vertical="center"/>
    </xf>
    <xf numFmtId="3" fontId="0" fillId="8" borderId="8" xfId="0" applyNumberFormat="1" applyFill="1" applyBorder="1" applyAlignment="1">
      <alignment horizontal="center" vertical="center"/>
    </xf>
    <xf numFmtId="0" fontId="25" fillId="9" borderId="6" xfId="32" applyFont="1" applyFill="1" applyBorder="1"/>
    <xf numFmtId="0" fontId="18" fillId="2" borderId="8" xfId="18" applyFont="1" applyFill="1" applyBorder="1"/>
    <xf numFmtId="3" fontId="13" fillId="6" borderId="0" xfId="32" applyNumberFormat="1" applyFill="1" applyAlignment="1">
      <alignment horizontal="center"/>
    </xf>
    <xf numFmtId="4" fontId="13" fillId="6" borderId="5" xfId="32" applyNumberFormat="1" applyFill="1" applyBorder="1" applyAlignment="1">
      <alignment horizontal="center"/>
    </xf>
    <xf numFmtId="0" fontId="18" fillId="3" borderId="8" xfId="18" applyFont="1" applyFill="1" applyBorder="1"/>
    <xf numFmtId="3" fontId="13" fillId="11" borderId="0" xfId="32" applyNumberFormat="1" applyFill="1" applyAlignment="1">
      <alignment horizontal="center"/>
    </xf>
    <xf numFmtId="4" fontId="13" fillId="11" borderId="5" xfId="32" applyNumberFormat="1" applyFill="1" applyBorder="1" applyAlignment="1">
      <alignment horizontal="center"/>
    </xf>
    <xf numFmtId="0" fontId="18" fillId="4" borderId="8" xfId="18" applyFont="1" applyFill="1" applyBorder="1"/>
    <xf numFmtId="3" fontId="13" fillId="12" borderId="0" xfId="32" applyNumberFormat="1" applyFill="1" applyAlignment="1">
      <alignment horizontal="center"/>
    </xf>
    <xf numFmtId="4" fontId="13" fillId="12" borderId="5" xfId="32" applyNumberFormat="1" applyFill="1" applyBorder="1" applyAlignment="1">
      <alignment horizontal="center"/>
    </xf>
    <xf numFmtId="0" fontId="31" fillId="9" borderId="9" xfId="18" applyFont="1" applyFill="1" applyBorder="1" applyAlignment="1">
      <alignment horizontal="left"/>
    </xf>
    <xf numFmtId="4" fontId="27" fillId="9" borderId="15" xfId="32" applyNumberFormat="1" applyFont="1" applyFill="1" applyBorder="1" applyAlignment="1">
      <alignment horizontal="center"/>
    </xf>
    <xf numFmtId="4" fontId="27" fillId="9" borderId="10" xfId="32" applyNumberFormat="1" applyFont="1" applyFill="1" applyBorder="1" applyAlignment="1">
      <alignment horizontal="center"/>
    </xf>
    <xf numFmtId="0" fontId="17" fillId="0" borderId="14" xfId="18" applyFont="1" applyBorder="1"/>
    <xf numFmtId="0" fontId="0" fillId="0" borderId="7" xfId="0" applyBorder="1" applyAlignment="1">
      <alignment horizontal="center" vertical="center"/>
    </xf>
    <xf numFmtId="3" fontId="16" fillId="2" borderId="0" xfId="18" applyNumberFormat="1" applyFont="1" applyFill="1" applyAlignment="1">
      <alignment horizontal="center"/>
    </xf>
    <xf numFmtId="3" fontId="16" fillId="2" borderId="5" xfId="18" applyNumberFormat="1" applyFont="1" applyFill="1" applyBorder="1" applyAlignment="1">
      <alignment horizontal="center"/>
    </xf>
    <xf numFmtId="3" fontId="16" fillId="3" borderId="0" xfId="18" applyNumberFormat="1" applyFont="1" applyFill="1" applyAlignment="1">
      <alignment horizontal="center"/>
    </xf>
    <xf numFmtId="3" fontId="16" fillId="3" borderId="5" xfId="18" applyNumberFormat="1" applyFont="1" applyFill="1" applyBorder="1" applyAlignment="1">
      <alignment horizontal="center"/>
    </xf>
    <xf numFmtId="3" fontId="17" fillId="4" borderId="0" xfId="18" applyNumberFormat="1" applyFont="1" applyFill="1" applyAlignment="1">
      <alignment horizontal="center"/>
    </xf>
    <xf numFmtId="3" fontId="17" fillId="4" borderId="5" xfId="18" applyNumberFormat="1" applyFont="1" applyFill="1" applyBorder="1" applyAlignment="1">
      <alignment horizontal="center"/>
    </xf>
    <xf numFmtId="0" fontId="17" fillId="0" borderId="0" xfId="18" applyFont="1" applyAlignment="1">
      <alignment horizontal="center"/>
    </xf>
    <xf numFmtId="0" fontId="17" fillId="0" borderId="5" xfId="18" applyFont="1" applyBorder="1" applyAlignment="1">
      <alignment horizontal="center"/>
    </xf>
    <xf numFmtId="1" fontId="18" fillId="5" borderId="15" xfId="18" applyNumberFormat="1" applyFont="1" applyFill="1" applyBorder="1" applyAlignment="1">
      <alignment horizontal="center"/>
    </xf>
    <xf numFmtId="2" fontId="18" fillId="5" borderId="10" xfId="18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8" fillId="0" borderId="0" xfId="0" applyFont="1" applyAlignment="1"/>
    <xf numFmtId="3" fontId="29" fillId="8" borderId="0" xfId="0" applyNumberFormat="1" applyFont="1" applyFill="1">
      <alignment vertical="center"/>
    </xf>
    <xf numFmtId="3" fontId="36" fillId="7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3" fontId="2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0" fontId="9" fillId="8" borderId="0" xfId="0" applyFont="1" applyFill="1">
      <alignment vertical="center"/>
    </xf>
    <xf numFmtId="167" fontId="9" fillId="0" borderId="1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0" fontId="9" fillId="0" borderId="0" xfId="0" applyFont="1">
      <alignment vertical="center"/>
    </xf>
    <xf numFmtId="4" fontId="0" fillId="0" borderId="0" xfId="0" applyNumberFormat="1">
      <alignment vertical="center"/>
    </xf>
    <xf numFmtId="0" fontId="0" fillId="14" borderId="0" xfId="0" applyFill="1" applyAlignment="1"/>
    <xf numFmtId="0" fontId="39" fillId="15" borderId="1" xfId="51" applyFont="1" applyFill="1" applyBorder="1" applyAlignment="1">
      <alignment horizontal="center" vertical="center" wrapText="1"/>
    </xf>
    <xf numFmtId="0" fontId="39" fillId="15" borderId="16" xfId="51" applyFont="1" applyFill="1" applyBorder="1" applyAlignment="1">
      <alignment horizontal="center" vertical="center" wrapText="1"/>
    </xf>
    <xf numFmtId="0" fontId="39" fillId="16" borderId="17" xfId="51" applyFont="1" applyFill="1" applyBorder="1" applyAlignment="1">
      <alignment horizontal="center" vertical="center" wrapText="1"/>
    </xf>
    <xf numFmtId="0" fontId="40" fillId="17" borderId="0" xfId="51" applyFont="1" applyFill="1"/>
    <xf numFmtId="169" fontId="39" fillId="16" borderId="18" xfId="51" applyNumberFormat="1" applyFont="1" applyFill="1" applyBorder="1" applyAlignment="1">
      <alignment horizontal="center" vertical="center" wrapText="1"/>
    </xf>
    <xf numFmtId="169" fontId="40" fillId="17" borderId="0" xfId="51" applyNumberFormat="1" applyFont="1" applyFill="1"/>
    <xf numFmtId="169" fontId="40" fillId="0" borderId="0" xfId="51" applyNumberFormat="1" applyFont="1"/>
    <xf numFmtId="0" fontId="40" fillId="0" borderId="0" xfId="51" applyFont="1"/>
    <xf numFmtId="0" fontId="40" fillId="0" borderId="1" xfId="51" applyFont="1" applyBorder="1"/>
    <xf numFmtId="0" fontId="40" fillId="0" borderId="4" xfId="51" applyFont="1" applyBorder="1" applyAlignment="1">
      <alignment vertical="center"/>
    </xf>
    <xf numFmtId="170" fontId="40" fillId="0" borderId="1" xfId="52" applyNumberFormat="1" applyFont="1" applyFill="1" applyBorder="1" applyAlignment="1">
      <alignment horizontal="center" vertical="center" wrapText="1"/>
    </xf>
    <xf numFmtId="170" fontId="41" fillId="0" borderId="0" xfId="51" applyNumberFormat="1" applyFont="1" applyAlignment="1">
      <alignment horizontal="center" vertical="center"/>
    </xf>
    <xf numFmtId="0" fontId="40" fillId="0" borderId="1" xfId="51" applyFont="1" applyBorder="1" applyAlignment="1">
      <alignment horizontal="center" vertical="center" wrapText="1"/>
    </xf>
    <xf numFmtId="169" fontId="40" fillId="0" borderId="1" xfId="51" applyNumberFormat="1" applyFont="1" applyBorder="1" applyAlignment="1">
      <alignment horizontal="center" vertical="center" wrapText="1"/>
    </xf>
    <xf numFmtId="0" fontId="42" fillId="18" borderId="16" xfId="51" applyFont="1" applyFill="1" applyBorder="1" applyAlignment="1">
      <alignment horizontal="left" wrapText="1"/>
    </xf>
    <xf numFmtId="3" fontId="42" fillId="18" borderId="19" xfId="51" applyNumberFormat="1" applyFont="1" applyFill="1" applyBorder="1" applyAlignment="1">
      <alignment horizontal="right" wrapText="1"/>
    </xf>
    <xf numFmtId="169" fontId="40" fillId="19" borderId="19" xfId="51" applyNumberFormat="1" applyFont="1" applyFill="1" applyBorder="1" applyAlignment="1">
      <alignment horizontal="right" wrapText="1"/>
    </xf>
    <xf numFmtId="0" fontId="42" fillId="19" borderId="20" xfId="51" applyFont="1" applyFill="1" applyBorder="1" applyAlignment="1">
      <alignment horizontal="left" wrapText="1"/>
    </xf>
    <xf numFmtId="0" fontId="40" fillId="19" borderId="17" xfId="51" applyFont="1" applyFill="1" applyBorder="1" applyAlignment="1">
      <alignment horizontal="right" wrapText="1"/>
    </xf>
    <xf numFmtId="169" fontId="40" fillId="19" borderId="17" xfId="51" applyNumberFormat="1" applyFont="1" applyFill="1" applyBorder="1" applyAlignment="1">
      <alignment horizontal="right" wrapText="1"/>
    </xf>
    <xf numFmtId="0" fontId="43" fillId="0" borderId="1" xfId="51" applyFont="1" applyBorder="1"/>
    <xf numFmtId="0" fontId="40" fillId="19" borderId="16" xfId="51" applyFont="1" applyFill="1" applyBorder="1" applyAlignment="1">
      <alignment horizontal="left" wrapText="1"/>
    </xf>
    <xf numFmtId="171" fontId="40" fillId="19" borderId="19" xfId="51" applyNumberFormat="1" applyFont="1" applyFill="1" applyBorder="1" applyAlignment="1">
      <alignment horizontal="right" wrapText="1"/>
    </xf>
    <xf numFmtId="172" fontId="40" fillId="19" borderId="19" xfId="51" applyNumberFormat="1" applyFont="1" applyFill="1" applyBorder="1" applyAlignment="1">
      <alignment horizontal="right" wrapText="1"/>
    </xf>
    <xf numFmtId="0" fontId="39" fillId="20" borderId="21" xfId="51" applyFont="1" applyFill="1" applyBorder="1" applyAlignment="1">
      <alignment horizontal="left" wrapText="1"/>
    </xf>
    <xf numFmtId="171" fontId="39" fillId="20" borderId="22" xfId="51" applyNumberFormat="1" applyFont="1" applyFill="1" applyBorder="1" applyAlignment="1">
      <alignment horizontal="right" wrapText="1"/>
    </xf>
    <xf numFmtId="169" fontId="39" fillId="20" borderId="22" xfId="51" applyNumberFormat="1" applyFont="1" applyFill="1" applyBorder="1" applyAlignment="1">
      <alignment horizontal="right" wrapText="1"/>
    </xf>
    <xf numFmtId="172" fontId="39" fillId="20" borderId="22" xfId="51" applyNumberFormat="1" applyFont="1" applyFill="1" applyBorder="1" applyAlignment="1">
      <alignment horizontal="right" wrapText="1"/>
    </xf>
    <xf numFmtId="0" fontId="39" fillId="20" borderId="23" xfId="51" applyFont="1" applyFill="1" applyBorder="1" applyAlignment="1">
      <alignment horizontal="left" wrapText="1"/>
    </xf>
    <xf numFmtId="171" fontId="39" fillId="20" borderId="24" xfId="51" applyNumberFormat="1" applyFont="1" applyFill="1" applyBorder="1" applyAlignment="1">
      <alignment horizontal="right" wrapText="1"/>
    </xf>
    <xf numFmtId="169" fontId="39" fillId="20" borderId="24" xfId="51" applyNumberFormat="1" applyFont="1" applyFill="1" applyBorder="1" applyAlignment="1">
      <alignment horizontal="right" wrapText="1"/>
    </xf>
    <xf numFmtId="172" fontId="39" fillId="20" borderId="24" xfId="51" applyNumberFormat="1" applyFont="1" applyFill="1" applyBorder="1" applyAlignment="1">
      <alignment horizontal="right" wrapText="1"/>
    </xf>
    <xf numFmtId="0" fontId="39" fillId="16" borderId="25" xfId="51" applyFont="1" applyFill="1" applyBorder="1" applyAlignment="1">
      <alignment horizontal="left" wrapText="1"/>
    </xf>
    <xf numFmtId="171" fontId="39" fillId="16" borderId="18" xfId="51" applyNumberFormat="1" applyFont="1" applyFill="1" applyBorder="1" applyAlignment="1">
      <alignment horizontal="right" wrapText="1"/>
    </xf>
    <xf numFmtId="169" fontId="39" fillId="16" borderId="18" xfId="51" applyNumberFormat="1" applyFont="1" applyFill="1" applyBorder="1" applyAlignment="1">
      <alignment horizontal="right" wrapText="1"/>
    </xf>
    <xf numFmtId="172" fontId="39" fillId="16" borderId="18" xfId="51" applyNumberFormat="1" applyFont="1" applyFill="1" applyBorder="1" applyAlignment="1">
      <alignment horizontal="right" wrapText="1"/>
    </xf>
    <xf numFmtId="0" fontId="39" fillId="16" borderId="21" xfId="51" applyFont="1" applyFill="1" applyBorder="1" applyAlignment="1">
      <alignment horizontal="left" wrapText="1"/>
    </xf>
    <xf numFmtId="171" fontId="39" fillId="16" borderId="22" xfId="51" applyNumberFormat="1" applyFont="1" applyFill="1" applyBorder="1" applyAlignment="1">
      <alignment horizontal="right" wrapText="1"/>
    </xf>
    <xf numFmtId="169" fontId="39" fillId="16" borderId="22" xfId="51" applyNumberFormat="1" applyFont="1" applyFill="1" applyBorder="1" applyAlignment="1">
      <alignment horizontal="right" wrapText="1"/>
    </xf>
    <xf numFmtId="172" fontId="39" fillId="16" borderId="22" xfId="51" applyNumberFormat="1" applyFont="1" applyFill="1" applyBorder="1" applyAlignment="1">
      <alignment horizontal="right" wrapText="1"/>
    </xf>
    <xf numFmtId="172" fontId="40" fillId="0" borderId="0" xfId="51" applyNumberFormat="1" applyFont="1"/>
    <xf numFmtId="0" fontId="39" fillId="21" borderId="0" xfId="51" applyFont="1" applyFill="1"/>
    <xf numFmtId="171" fontId="40" fillId="21" borderId="0" xfId="51" applyNumberFormat="1" applyFont="1" applyFill="1"/>
    <xf numFmtId="169" fontId="40" fillId="21" borderId="0" xfId="51" applyNumberFormat="1" applyFont="1" applyFill="1"/>
    <xf numFmtId="173" fontId="40" fillId="21" borderId="0" xfId="51" applyNumberFormat="1" applyFont="1" applyFill="1"/>
    <xf numFmtId="0" fontId="39" fillId="22" borderId="0" xfId="51" applyFont="1" applyFill="1"/>
    <xf numFmtId="171" fontId="40" fillId="22" borderId="0" xfId="51" applyNumberFormat="1" applyFont="1" applyFill="1"/>
    <xf numFmtId="169" fontId="40" fillId="22" borderId="0" xfId="51" applyNumberFormat="1" applyFont="1" applyFill="1"/>
    <xf numFmtId="173" fontId="40" fillId="22" borderId="0" xfId="51" applyNumberFormat="1" applyFont="1" applyFill="1"/>
    <xf numFmtId="0" fontId="39" fillId="23" borderId="0" xfId="51" applyFont="1" applyFill="1"/>
    <xf numFmtId="171" fontId="40" fillId="23" borderId="0" xfId="51" applyNumberFormat="1" applyFont="1" applyFill="1"/>
    <xf numFmtId="169" fontId="40" fillId="23" borderId="0" xfId="51" applyNumberFormat="1" applyFont="1" applyFill="1"/>
    <xf numFmtId="173" fontId="40" fillId="23" borderId="0" xfId="51" applyNumberFormat="1" applyFont="1" applyFill="1"/>
    <xf numFmtId="171" fontId="40" fillId="0" borderId="0" xfId="51" applyNumberFormat="1" applyFont="1"/>
    <xf numFmtId="173" fontId="40" fillId="0" borderId="0" xfId="51" applyNumberFormat="1" applyFont="1"/>
    <xf numFmtId="0" fontId="43" fillId="21" borderId="1" xfId="51" applyFont="1" applyFill="1" applyBorder="1"/>
    <xf numFmtId="171" fontId="43" fillId="21" borderId="0" xfId="51" applyNumberFormat="1" applyFont="1" applyFill="1"/>
    <xf numFmtId="173" fontId="43" fillId="21" borderId="0" xfId="51" applyNumberFormat="1" applyFont="1" applyFill="1"/>
    <xf numFmtId="0" fontId="40" fillId="22" borderId="1" xfId="51" applyFont="1" applyFill="1" applyBorder="1"/>
    <xf numFmtId="0" fontId="40" fillId="23" borderId="1" xfId="51" applyFont="1" applyFill="1" applyBorder="1"/>
    <xf numFmtId="0" fontId="8" fillId="0" borderId="0" xfId="0" applyFont="1">
      <alignment vertical="center"/>
    </xf>
    <xf numFmtId="2" fontId="26" fillId="8" borderId="0" xfId="0" applyNumberFormat="1" applyFont="1" applyFill="1" applyAlignment="1">
      <alignment horizontal="center" vertical="center"/>
    </xf>
    <xf numFmtId="167" fontId="25" fillId="9" borderId="13" xfId="0" applyNumberFormat="1" applyFont="1" applyFill="1" applyBorder="1" applyAlignment="1">
      <alignment horizontal="center" vertical="center"/>
    </xf>
    <xf numFmtId="0" fontId="25" fillId="8" borderId="12" xfId="0" applyFont="1" applyFill="1" applyBorder="1">
      <alignment vertical="center"/>
    </xf>
    <xf numFmtId="167" fontId="29" fillId="0" borderId="1" xfId="0" applyNumberFormat="1" applyFont="1" applyBorder="1" applyAlignment="1">
      <alignment horizontal="center" vertical="center"/>
    </xf>
    <xf numFmtId="0" fontId="29" fillId="0" borderId="12" xfId="0" applyFont="1" applyBorder="1">
      <alignment vertical="center"/>
    </xf>
    <xf numFmtId="3" fontId="29" fillId="0" borderId="4" xfId="0" applyNumberFormat="1" applyFont="1" applyBorder="1" applyAlignment="1">
      <alignment horizontal="center" vertical="center"/>
    </xf>
    <xf numFmtId="0" fontId="30" fillId="0" borderId="12" xfId="0" applyFont="1" applyBorder="1">
      <alignment vertical="center"/>
    </xf>
    <xf numFmtId="0" fontId="26" fillId="0" borderId="12" xfId="0" applyFont="1" applyBorder="1">
      <alignment vertical="center"/>
    </xf>
    <xf numFmtId="3" fontId="26" fillId="24" borderId="0" xfId="0" applyNumberFormat="1" applyFont="1" applyFill="1" applyAlignment="1">
      <alignment horizontal="center" vertical="center"/>
    </xf>
    <xf numFmtId="0" fontId="0" fillId="22" borderId="0" xfId="0" applyFill="1" applyAlignment="1"/>
    <xf numFmtId="3" fontId="29" fillId="0" borderId="2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43" fontId="0" fillId="0" borderId="0" xfId="53" applyFont="1" applyAlignment="1">
      <alignment horizontal="center" vertical="center"/>
    </xf>
    <xf numFmtId="4" fontId="33" fillId="8" borderId="0" xfId="32" applyNumberFormat="1" applyFont="1" applyFill="1" applyAlignment="1">
      <alignment horizontal="center"/>
    </xf>
    <xf numFmtId="43" fontId="33" fillId="8" borderId="0" xfId="53" applyFont="1" applyFill="1" applyAlignment="1">
      <alignment horizontal="center"/>
    </xf>
    <xf numFmtId="170" fontId="0" fillId="0" borderId="0" xfId="53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0" fillId="8" borderId="0" xfId="53" applyFont="1" applyFill="1" applyAlignment="1">
      <alignment vertical="center"/>
    </xf>
    <xf numFmtId="0" fontId="8" fillId="8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67" fontId="8" fillId="0" borderId="5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3" fontId="8" fillId="8" borderId="0" xfId="0" applyNumberFormat="1" applyFont="1" applyFill="1">
      <alignment vertical="center"/>
    </xf>
    <xf numFmtId="175" fontId="8" fillId="0" borderId="14" xfId="53" applyNumberFormat="1" applyFont="1" applyBorder="1" applyAlignment="1">
      <alignment horizontal="center" vertical="center"/>
    </xf>
    <xf numFmtId="175" fontId="8" fillId="0" borderId="7" xfId="53" applyNumberFormat="1" applyFont="1" applyBorder="1" applyAlignment="1">
      <alignment horizontal="center" vertical="center"/>
    </xf>
    <xf numFmtId="174" fontId="8" fillId="8" borderId="0" xfId="0" applyNumberFormat="1" applyFont="1" applyFill="1">
      <alignment vertical="center"/>
    </xf>
    <xf numFmtId="175" fontId="8" fillId="8" borderId="0" xfId="0" applyNumberFormat="1" applyFont="1" applyFill="1">
      <alignment vertical="center"/>
    </xf>
    <xf numFmtId="175" fontId="8" fillId="0" borderId="0" xfId="53" applyNumberFormat="1" applyFont="1" applyBorder="1" applyAlignment="1">
      <alignment horizontal="center" vertical="center"/>
    </xf>
    <xf numFmtId="175" fontId="8" fillId="0" borderId="5" xfId="53" applyNumberFormat="1" applyFont="1" applyBorder="1" applyAlignment="1">
      <alignment horizontal="center" vertical="center"/>
    </xf>
    <xf numFmtId="175" fontId="8" fillId="0" borderId="15" xfId="53" applyNumberFormat="1" applyFont="1" applyBorder="1" applyAlignment="1">
      <alignment horizontal="center" vertical="center"/>
    </xf>
    <xf numFmtId="175" fontId="8" fillId="0" borderId="10" xfId="53" applyNumberFormat="1" applyFont="1" applyBorder="1" applyAlignment="1">
      <alignment horizontal="center" vertical="center"/>
    </xf>
    <xf numFmtId="0" fontId="8" fillId="0" borderId="9" xfId="54" applyBorder="1"/>
    <xf numFmtId="3" fontId="8" fillId="0" borderId="15" xfId="0" applyNumberFormat="1" applyFont="1" applyBorder="1" applyAlignment="1">
      <alignment horizontal="center" vertical="center"/>
    </xf>
    <xf numFmtId="167" fontId="8" fillId="0" borderId="10" xfId="0" applyNumberFormat="1" applyFont="1" applyBorder="1" applyAlignment="1">
      <alignment horizontal="center" vertical="center"/>
    </xf>
    <xf numFmtId="0" fontId="8" fillId="0" borderId="0" xfId="54"/>
    <xf numFmtId="0" fontId="8" fillId="0" borderId="15" xfId="54" applyBorder="1"/>
    <xf numFmtId="0" fontId="8" fillId="0" borderId="10" xfId="54" applyBorder="1"/>
    <xf numFmtId="3" fontId="8" fillId="0" borderId="9" xfId="0" applyNumberFormat="1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3" fontId="8" fillId="8" borderId="6" xfId="0" applyNumberFormat="1" applyFont="1" applyFill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8" fillId="8" borderId="8" xfId="0" applyNumberFormat="1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10" borderId="14" xfId="32" applyFont="1" applyFill="1" applyBorder="1" applyAlignment="1">
      <alignment horizontal="center"/>
    </xf>
    <xf numFmtId="0" fontId="25" fillId="10" borderId="7" xfId="32" applyFont="1" applyFill="1" applyBorder="1" applyAlignment="1">
      <alignment horizontal="center"/>
    </xf>
    <xf numFmtId="0" fontId="8" fillId="0" borderId="0" xfId="32" applyFont="1"/>
    <xf numFmtId="0" fontId="8" fillId="8" borderId="0" xfId="32" applyFont="1" applyFill="1"/>
    <xf numFmtId="0" fontId="29" fillId="2" borderId="8" xfId="18" applyFont="1" applyFill="1" applyBorder="1"/>
    <xf numFmtId="3" fontId="8" fillId="6" borderId="0" xfId="32" applyNumberFormat="1" applyFont="1" applyFill="1" applyAlignment="1">
      <alignment horizontal="center"/>
    </xf>
    <xf numFmtId="4" fontId="8" fillId="6" borderId="5" xfId="32" applyNumberFormat="1" applyFont="1" applyFill="1" applyBorder="1" applyAlignment="1">
      <alignment horizontal="center"/>
    </xf>
    <xf numFmtId="0" fontId="8" fillId="0" borderId="0" xfId="32" applyFont="1" applyAlignment="1">
      <alignment horizontal="center"/>
    </xf>
    <xf numFmtId="0" fontId="29" fillId="3" borderId="8" xfId="18" applyFont="1" applyFill="1" applyBorder="1"/>
    <xf numFmtId="3" fontId="8" fillId="11" borderId="0" xfId="32" applyNumberFormat="1" applyFont="1" applyFill="1" applyAlignment="1">
      <alignment horizontal="center"/>
    </xf>
    <xf numFmtId="4" fontId="8" fillId="11" borderId="5" xfId="32" applyNumberFormat="1" applyFont="1" applyFill="1" applyBorder="1" applyAlignment="1">
      <alignment horizontal="center"/>
    </xf>
    <xf numFmtId="0" fontId="29" fillId="4" borderId="8" xfId="18" applyFont="1" applyFill="1" applyBorder="1"/>
    <xf numFmtId="3" fontId="8" fillId="12" borderId="0" xfId="32" applyNumberFormat="1" applyFont="1" applyFill="1" applyAlignment="1">
      <alignment horizontal="center"/>
    </xf>
    <xf numFmtId="4" fontId="8" fillId="12" borderId="5" xfId="32" applyNumberFormat="1" applyFont="1" applyFill="1" applyBorder="1" applyAlignment="1">
      <alignment horizontal="center"/>
    </xf>
    <xf numFmtId="0" fontId="25" fillId="9" borderId="9" xfId="18" applyFont="1" applyFill="1" applyBorder="1" applyAlignment="1">
      <alignment horizontal="left"/>
    </xf>
    <xf numFmtId="0" fontId="8" fillId="8" borderId="0" xfId="32" applyFont="1" applyFill="1" applyAlignment="1">
      <alignment horizontal="center"/>
    </xf>
    <xf numFmtId="0" fontId="30" fillId="0" borderId="6" xfId="18" applyFont="1" applyBorder="1"/>
    <xf numFmtId="0" fontId="30" fillId="0" borderId="14" xfId="18" applyFont="1" applyBorder="1"/>
    <xf numFmtId="0" fontId="8" fillId="0" borderId="7" xfId="0" applyFont="1" applyBorder="1" applyAlignment="1">
      <alignment horizontal="center" vertical="center"/>
    </xf>
    <xf numFmtId="0" fontId="30" fillId="2" borderId="8" xfId="18" applyFont="1" applyFill="1" applyBorder="1"/>
    <xf numFmtId="3" fontId="30" fillId="2" borderId="0" xfId="18" applyNumberFormat="1" applyFont="1" applyFill="1" applyAlignment="1">
      <alignment horizontal="center"/>
    </xf>
    <xf numFmtId="3" fontId="30" fillId="2" borderId="5" xfId="18" applyNumberFormat="1" applyFont="1" applyFill="1" applyBorder="1" applyAlignment="1">
      <alignment horizontal="center"/>
    </xf>
    <xf numFmtId="0" fontId="30" fillId="3" borderId="8" xfId="18" applyFont="1" applyFill="1" applyBorder="1"/>
    <xf numFmtId="3" fontId="30" fillId="3" borderId="0" xfId="18" applyNumberFormat="1" applyFont="1" applyFill="1" applyAlignment="1">
      <alignment horizontal="center"/>
    </xf>
    <xf numFmtId="3" fontId="30" fillId="3" borderId="5" xfId="18" applyNumberFormat="1" applyFont="1" applyFill="1" applyBorder="1" applyAlignment="1">
      <alignment horizontal="center"/>
    </xf>
    <xf numFmtId="0" fontId="30" fillId="4" borderId="8" xfId="18" applyFont="1" applyFill="1" applyBorder="1"/>
    <xf numFmtId="3" fontId="30" fillId="4" borderId="0" xfId="18" applyNumberFormat="1" applyFont="1" applyFill="1" applyAlignment="1">
      <alignment horizontal="center"/>
    </xf>
    <xf numFmtId="3" fontId="30" fillId="4" borderId="5" xfId="18" applyNumberFormat="1" applyFont="1" applyFill="1" applyBorder="1" applyAlignment="1">
      <alignment horizontal="center"/>
    </xf>
    <xf numFmtId="0" fontId="30" fillId="0" borderId="8" xfId="18" applyFont="1" applyBorder="1"/>
    <xf numFmtId="0" fontId="30" fillId="0" borderId="0" xfId="18" applyFont="1" applyAlignment="1">
      <alignment horizontal="center"/>
    </xf>
    <xf numFmtId="0" fontId="30" fillId="0" borderId="5" xfId="18" applyFont="1" applyBorder="1" applyAlignment="1">
      <alignment horizontal="center"/>
    </xf>
    <xf numFmtId="0" fontId="29" fillId="5" borderId="9" xfId="18" applyFont="1" applyFill="1" applyBorder="1"/>
    <xf numFmtId="1" fontId="29" fillId="5" borderId="15" xfId="18" applyNumberFormat="1" applyFont="1" applyFill="1" applyBorder="1" applyAlignment="1">
      <alignment horizontal="center"/>
    </xf>
    <xf numFmtId="2" fontId="29" fillId="5" borderId="10" xfId="18" applyNumberFormat="1" applyFont="1" applyFill="1" applyBorder="1" applyAlignment="1">
      <alignment horizontal="center"/>
    </xf>
    <xf numFmtId="3" fontId="29" fillId="7" borderId="0" xfId="0" applyNumberFormat="1" applyFont="1" applyFill="1" applyAlignment="1">
      <alignment horizontal="center" vertical="center"/>
    </xf>
    <xf numFmtId="174" fontId="8" fillId="0" borderId="6" xfId="53" applyNumberFormat="1" applyFont="1" applyBorder="1"/>
    <xf numFmtId="174" fontId="8" fillId="0" borderId="6" xfId="54" applyNumberFormat="1" applyBorder="1"/>
    <xf numFmtId="175" fontId="8" fillId="0" borderId="6" xfId="54" applyNumberFormat="1" applyBorder="1"/>
    <xf numFmtId="174" fontId="8" fillId="0" borderId="8" xfId="53" applyNumberFormat="1" applyFont="1" applyBorder="1"/>
    <xf numFmtId="174" fontId="8" fillId="0" borderId="8" xfId="54" applyNumberFormat="1" applyBorder="1"/>
    <xf numFmtId="175" fontId="8" fillId="0" borderId="8" xfId="54" applyNumberFormat="1" applyBorder="1"/>
    <xf numFmtId="174" fontId="8" fillId="0" borderId="8" xfId="59" applyNumberFormat="1" applyFont="1" applyBorder="1"/>
    <xf numFmtId="175" fontId="8" fillId="0" borderId="8" xfId="59" applyNumberFormat="1" applyFont="1" applyBorder="1"/>
    <xf numFmtId="175" fontId="8" fillId="0" borderId="9" xfId="59" applyNumberFormat="1" applyFont="1" applyBorder="1"/>
    <xf numFmtId="174" fontId="8" fillId="0" borderId="9" xfId="53" applyNumberFormat="1" applyFont="1" applyBorder="1"/>
    <xf numFmtId="174" fontId="8" fillId="0" borderId="9" xfId="54" applyNumberFormat="1" applyBorder="1"/>
    <xf numFmtId="3" fontId="27" fillId="9" borderId="15" xfId="32" applyNumberFormat="1" applyFont="1" applyFill="1" applyBorder="1" applyAlignment="1">
      <alignment horizontal="center"/>
    </xf>
    <xf numFmtId="4" fontId="0" fillId="8" borderId="0" xfId="0" applyNumberFormat="1" applyFill="1">
      <alignment vertical="center"/>
    </xf>
    <xf numFmtId="3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2" xfId="0" applyNumberFormat="1" applyBorder="1" applyAlignment="1">
      <alignment horizontal="left"/>
    </xf>
    <xf numFmtId="49" fontId="23" fillId="0" borderId="12" xfId="29" applyNumberFormat="1" applyBorder="1" applyAlignment="1">
      <alignment horizontal="left"/>
    </xf>
    <xf numFmtId="4" fontId="18" fillId="5" borderId="10" xfId="18" applyNumberFormat="1" applyFont="1" applyFill="1" applyBorder="1" applyAlignment="1">
      <alignment horizontal="center"/>
    </xf>
    <xf numFmtId="4" fontId="29" fillId="8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5" fillId="9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6" fillId="0" borderId="0" xfId="0" applyNumberFormat="1" applyFont="1">
      <alignment vertical="center"/>
    </xf>
    <xf numFmtId="3" fontId="29" fillId="8" borderId="0" xfId="0" applyNumberFormat="1" applyFont="1" applyFill="1" applyAlignment="1">
      <alignment horizontal="center" vertical="center"/>
    </xf>
    <xf numFmtId="167" fontId="29" fillId="8" borderId="5" xfId="0" applyNumberFormat="1" applyFont="1" applyFill="1" applyBorder="1" applyAlignment="1">
      <alignment horizontal="center" vertical="center"/>
    </xf>
    <xf numFmtId="3" fontId="29" fillId="8" borderId="8" xfId="0" applyNumberFormat="1" applyFont="1" applyFill="1" applyBorder="1" applyAlignment="1">
      <alignment horizontal="center" vertical="center"/>
    </xf>
    <xf numFmtId="0" fontId="30" fillId="8" borderId="8" xfId="0" applyFont="1" applyFill="1" applyBorder="1">
      <alignment vertical="center"/>
    </xf>
    <xf numFmtId="0" fontId="5" fillId="0" borderId="0" xfId="0" applyFont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0" fontId="47" fillId="0" borderId="0" xfId="0" applyFont="1" applyAlignment="1"/>
    <xf numFmtId="4" fontId="25" fillId="9" borderId="9" xfId="0" applyNumberFormat="1" applyFont="1" applyFill="1" applyBorder="1" applyAlignment="1">
      <alignment horizontal="center" vertical="center"/>
    </xf>
    <xf numFmtId="43" fontId="26" fillId="8" borderId="0" xfId="53" applyFont="1" applyFill="1" applyAlignment="1">
      <alignment horizontal="center" vertical="center"/>
    </xf>
    <xf numFmtId="43" fontId="26" fillId="8" borderId="0" xfId="53" applyFont="1" applyFill="1" applyAlignment="1">
      <alignment vertical="center"/>
    </xf>
    <xf numFmtId="43" fontId="25" fillId="8" borderId="0" xfId="53" applyFont="1" applyFill="1" applyAlignment="1">
      <alignment vertical="center"/>
    </xf>
    <xf numFmtId="43" fontId="13" fillId="0" borderId="0" xfId="53" applyFont="1"/>
    <xf numFmtId="43" fontId="13" fillId="0" borderId="0" xfId="53" applyFont="1" applyAlignment="1">
      <alignment horizont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2" fillId="0" borderId="0" xfId="0" applyFont="1" applyAlignment="1"/>
    <xf numFmtId="4" fontId="52" fillId="0" borderId="0" xfId="0" applyNumberFormat="1" applyFont="1" applyAlignment="1">
      <alignment horizontal="left"/>
    </xf>
    <xf numFmtId="43" fontId="52" fillId="0" borderId="0" xfId="53" applyFont="1" applyAlignment="1">
      <alignment horizontal="right"/>
    </xf>
    <xf numFmtId="164" fontId="0" fillId="0" borderId="0" xfId="0" applyNumberFormat="1" applyAlignment="1">
      <alignment horizontal="center" vertical="center"/>
    </xf>
    <xf numFmtId="4" fontId="0" fillId="0" borderId="0" xfId="53" applyNumberFormat="1" applyFont="1" applyAlignment="1">
      <alignment horizontal="center" vertical="center"/>
    </xf>
    <xf numFmtId="43" fontId="26" fillId="0" borderId="0" xfId="53" applyFont="1" applyFill="1" applyAlignment="1">
      <alignment horizontal="center" vertical="center"/>
    </xf>
    <xf numFmtId="43" fontId="26" fillId="0" borderId="0" xfId="53" applyFont="1" applyFill="1" applyAlignment="1">
      <alignment vertical="center"/>
    </xf>
    <xf numFmtId="43" fontId="0" fillId="0" borderId="0" xfId="53" applyFont="1" applyFill="1" applyAlignment="1">
      <alignment vertical="center"/>
    </xf>
    <xf numFmtId="43" fontId="25" fillId="0" borderId="0" xfId="53" applyFont="1" applyFill="1" applyAlignment="1">
      <alignment vertical="center"/>
    </xf>
    <xf numFmtId="43" fontId="13" fillId="0" borderId="0" xfId="53" applyFont="1" applyFill="1"/>
    <xf numFmtId="43" fontId="13" fillId="0" borderId="0" xfId="53" applyFont="1" applyFill="1" applyAlignment="1">
      <alignment horizontal="center"/>
    </xf>
    <xf numFmtId="43" fontId="29" fillId="8" borderId="1" xfId="53" applyFont="1" applyFill="1" applyBorder="1" applyAlignment="1">
      <alignment horizontal="center" vertical="center"/>
    </xf>
    <xf numFmtId="43" fontId="9" fillId="0" borderId="0" xfId="53" applyFont="1" applyFill="1" applyAlignment="1">
      <alignment vertical="center"/>
    </xf>
    <xf numFmtId="3" fontId="0" fillId="30" borderId="8" xfId="0" applyNumberForma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43" fontId="9" fillId="8" borderId="0" xfId="53" applyFont="1" applyFill="1" applyAlignment="1">
      <alignment vertical="center"/>
    </xf>
    <xf numFmtId="43" fontId="5" fillId="8" borderId="0" xfId="53" applyFont="1" applyFill="1" applyAlignment="1">
      <alignment vertical="center"/>
    </xf>
    <xf numFmtId="3" fontId="4" fillId="0" borderId="8" xfId="0" applyNumberFormat="1" applyFont="1" applyBorder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4" fontId="0" fillId="8" borderId="0" xfId="53" applyNumberFormat="1" applyFont="1" applyFill="1" applyAlignment="1">
      <alignment vertical="center"/>
    </xf>
    <xf numFmtId="49" fontId="3" fillId="0" borderId="0" xfId="0" applyNumberFormat="1" applyFont="1" applyAlignment="1">
      <alignment horizontal="left"/>
    </xf>
    <xf numFmtId="0" fontId="3" fillId="8" borderId="0" xfId="0" applyFont="1" applyFill="1" applyAlignment="1">
      <alignment horizontal="center" vertical="center"/>
    </xf>
    <xf numFmtId="0" fontId="50" fillId="0" borderId="0" xfId="60" applyFont="1"/>
    <xf numFmtId="4" fontId="50" fillId="0" borderId="0" xfId="60" applyNumberFormat="1" applyFont="1" applyAlignment="1">
      <alignment horizontal="left"/>
    </xf>
    <xf numFmtId="0" fontId="47" fillId="27" borderId="0" xfId="60" applyFont="1" applyFill="1" applyAlignment="1">
      <alignment horizontal="center"/>
    </xf>
    <xf numFmtId="0" fontId="47" fillId="11" borderId="0" xfId="60" applyFont="1" applyFill="1" applyAlignment="1">
      <alignment horizontal="center"/>
    </xf>
    <xf numFmtId="0" fontId="47" fillId="28" borderId="0" xfId="60" applyFont="1" applyFill="1" applyAlignment="1">
      <alignment horizontal="center"/>
    </xf>
    <xf numFmtId="0" fontId="47" fillId="0" borderId="0" xfId="60" applyFont="1"/>
    <xf numFmtId="0" fontId="50" fillId="0" borderId="0" xfId="60" applyFont="1" applyAlignment="1">
      <alignment horizontal="left"/>
    </xf>
    <xf numFmtId="2" fontId="50" fillId="0" borderId="0" xfId="60" applyNumberFormat="1" applyFont="1" applyAlignment="1">
      <alignment horizontal="left"/>
    </xf>
    <xf numFmtId="0" fontId="50" fillId="12" borderId="0" xfId="60" applyFont="1" applyFill="1" applyAlignment="1">
      <alignment horizontal="left"/>
    </xf>
    <xf numFmtId="4" fontId="50" fillId="12" borderId="0" xfId="60" applyNumberFormat="1" applyFont="1" applyFill="1" applyAlignment="1">
      <alignment horizontal="left"/>
    </xf>
    <xf numFmtId="0" fontId="50" fillId="31" borderId="0" xfId="60" applyFont="1" applyFill="1" applyAlignment="1">
      <alignment horizontal="left"/>
    </xf>
    <xf numFmtId="4" fontId="50" fillId="31" borderId="0" xfId="60" applyNumberFormat="1" applyFont="1" applyFill="1" applyAlignment="1">
      <alignment horizontal="left"/>
    </xf>
    <xf numFmtId="2" fontId="50" fillId="31" borderId="0" xfId="60" applyNumberFormat="1" applyFont="1" applyFill="1" applyAlignment="1">
      <alignment horizontal="left"/>
    </xf>
    <xf numFmtId="4" fontId="47" fillId="0" borderId="0" xfId="60" applyNumberFormat="1" applyFont="1" applyAlignment="1">
      <alignment horizontal="left"/>
    </xf>
    <xf numFmtId="4" fontId="47" fillId="23" borderId="0" xfId="60" applyNumberFormat="1" applyFont="1" applyFill="1" applyAlignment="1">
      <alignment horizontal="left"/>
    </xf>
    <xf numFmtId="4" fontId="47" fillId="28" borderId="0" xfId="60" applyNumberFormat="1" applyFont="1" applyFill="1" applyAlignment="1">
      <alignment horizontal="left"/>
    </xf>
    <xf numFmtId="4" fontId="50" fillId="29" borderId="0" xfId="60" applyNumberFormat="1" applyFont="1" applyFill="1" applyAlignment="1">
      <alignment horizontal="left"/>
    </xf>
    <xf numFmtId="3" fontId="50" fillId="29" borderId="0" xfId="60" applyNumberFormat="1" applyFont="1" applyFill="1" applyAlignment="1">
      <alignment horizontal="left"/>
    </xf>
    <xf numFmtId="3" fontId="50" fillId="29" borderId="0" xfId="60" applyNumberFormat="1" applyFont="1" applyFill="1"/>
    <xf numFmtId="0" fontId="50" fillId="29" borderId="0" xfId="60" applyFont="1" applyFill="1"/>
    <xf numFmtId="4" fontId="50" fillId="0" borderId="0" xfId="60" applyNumberFormat="1" applyFont="1"/>
    <xf numFmtId="0" fontId="50" fillId="0" borderId="0" xfId="0" applyFont="1" applyAlignment="1">
      <alignment horizontal="center"/>
    </xf>
    <xf numFmtId="4" fontId="50" fillId="0" borderId="0" xfId="0" applyNumberFormat="1" applyFont="1" applyAlignment="1">
      <alignment horizontal="center"/>
    </xf>
    <xf numFmtId="0" fontId="48" fillId="26" borderId="0" xfId="60" applyFont="1" applyFill="1" applyAlignment="1">
      <alignment horizontal="center"/>
    </xf>
    <xf numFmtId="0" fontId="47" fillId="0" borderId="0" xfId="60" applyFont="1" applyAlignment="1">
      <alignment horizontal="center"/>
    </xf>
    <xf numFmtId="0" fontId="49" fillId="0" borderId="0" xfId="0" applyFont="1" applyAlignment="1">
      <alignment horizontal="center"/>
    </xf>
    <xf numFmtId="43" fontId="50" fillId="0" borderId="0" xfId="53" applyFont="1" applyAlignment="1">
      <alignment horizontal="center"/>
    </xf>
    <xf numFmtId="43" fontId="51" fillId="0" borderId="0" xfId="53" applyFont="1" applyAlignment="1">
      <alignment horizontal="center"/>
    </xf>
    <xf numFmtId="175" fontId="29" fillId="8" borderId="1" xfId="53" applyNumberFormat="1" applyFont="1" applyFill="1" applyBorder="1" applyAlignment="1">
      <alignment horizontal="center" vertical="center"/>
    </xf>
    <xf numFmtId="4" fontId="26" fillId="32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3" fontId="53" fillId="0" borderId="0" xfId="62" applyFont="1" applyAlignment="1">
      <alignment horizontal="center" vertical="center"/>
    </xf>
    <xf numFmtId="0" fontId="52" fillId="0" borderId="0" xfId="0" applyFont="1">
      <alignment vertical="center"/>
    </xf>
    <xf numFmtId="43" fontId="52" fillId="0" borderId="0" xfId="62" applyFont="1" applyAlignment="1">
      <alignment vertical="center"/>
    </xf>
    <xf numFmtId="0" fontId="52" fillId="0" borderId="0" xfId="0" applyFont="1" applyAlignment="1">
      <alignment horizontal="left" vertical="center"/>
    </xf>
    <xf numFmtId="0" fontId="53" fillId="0" borderId="0" xfId="0" applyFont="1">
      <alignment vertical="center"/>
    </xf>
    <xf numFmtId="43" fontId="53" fillId="0" borderId="0" xfId="62" applyFont="1" applyAlignment="1">
      <alignment vertical="center"/>
    </xf>
    <xf numFmtId="0" fontId="1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43" fontId="47" fillId="0" borderId="0" xfId="62" applyFont="1" applyAlignment="1">
      <alignment horizontal="center" vertical="center"/>
    </xf>
    <xf numFmtId="43" fontId="47" fillId="0" borderId="0" xfId="62" applyFont="1" applyAlignment="1">
      <alignment horizontal="right" vertical="center"/>
    </xf>
    <xf numFmtId="4" fontId="47" fillId="0" borderId="0" xfId="62" applyNumberFormat="1" applyFont="1" applyAlignment="1">
      <alignment horizontal="right" vertical="center"/>
    </xf>
    <xf numFmtId="0" fontId="50" fillId="0" borderId="0" xfId="0" applyFont="1">
      <alignment vertical="center"/>
    </xf>
    <xf numFmtId="43" fontId="50" fillId="0" borderId="0" xfId="62" applyFont="1" applyAlignment="1">
      <alignment vertical="center"/>
    </xf>
    <xf numFmtId="43" fontId="50" fillId="0" borderId="0" xfId="62" applyFont="1" applyAlignment="1">
      <alignment horizontal="right" vertical="center"/>
    </xf>
    <xf numFmtId="4" fontId="50" fillId="0" borderId="0" xfId="0" applyNumberFormat="1" applyFont="1">
      <alignment vertical="center"/>
    </xf>
    <xf numFmtId="0" fontId="50" fillId="0" borderId="0" xfId="0" applyFont="1" applyAlignment="1">
      <alignment vertical="top"/>
    </xf>
    <xf numFmtId="0" fontId="50" fillId="0" borderId="0" xfId="0" applyFont="1" applyAlignment="1">
      <alignment horizontal="left" vertical="top"/>
    </xf>
    <xf numFmtId="43" fontId="50" fillId="0" borderId="0" xfId="62" applyFont="1" applyAlignment="1">
      <alignment horizontal="right" vertical="top"/>
    </xf>
    <xf numFmtId="0" fontId="47" fillId="0" borderId="0" xfId="0" applyFont="1">
      <alignment vertical="center"/>
    </xf>
    <xf numFmtId="43" fontId="47" fillId="0" borderId="0" xfId="0" applyNumberFormat="1" applyFont="1">
      <alignment vertical="center"/>
    </xf>
    <xf numFmtId="43" fontId="36" fillId="7" borderId="0" xfId="53" applyFont="1" applyFill="1" applyAlignment="1">
      <alignment horizontal="center" vertical="center"/>
    </xf>
    <xf numFmtId="3" fontId="26" fillId="32" borderId="0" xfId="0" applyNumberFormat="1" applyFont="1" applyFill="1" applyAlignment="1">
      <alignment horizontal="center" vertical="center"/>
    </xf>
    <xf numFmtId="3" fontId="36" fillId="7" borderId="0" xfId="53" applyNumberFormat="1" applyFont="1" applyFill="1" applyAlignment="1">
      <alignment horizontal="center" vertical="center"/>
    </xf>
    <xf numFmtId="3" fontId="29" fillId="15" borderId="2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7" fillId="11" borderId="0" xfId="60" applyFont="1" applyFill="1" applyAlignment="1">
      <alignment horizontal="center"/>
    </xf>
    <xf numFmtId="0" fontId="47" fillId="27" borderId="0" xfId="60" applyFont="1" applyFill="1" applyAlignment="1">
      <alignment horizontal="center"/>
    </xf>
  </cellXfs>
  <cellStyles count="63">
    <cellStyle name="Comma" xfId="53" builtinId="3"/>
    <cellStyle name="Comma 2" xfId="31" xr:uid="{C8BFA525-FBDD-4695-A0EB-97383057E7A7}"/>
    <cellStyle name="Comma 2 2" xfId="56" xr:uid="{D7767045-12D0-4D11-B8CD-52A9CB98D113}"/>
    <cellStyle name="Comma 3" xfId="33" xr:uid="{08FF7D4F-F764-4291-9D74-9EF3F664AE19}"/>
    <cellStyle name="Comma 4" xfId="45" xr:uid="{CAA1AF1F-C19A-4539-B666-8C0B38B62FCA}"/>
    <cellStyle name="Comma 5" xfId="48" xr:uid="{1A83002F-884F-4B5A-BBD3-6EA8C2410C01}"/>
    <cellStyle name="Comma 6" xfId="52" xr:uid="{DF23E40C-CA82-4332-8AAC-4F4D9E720C57}"/>
    <cellStyle name="Comma 7" xfId="59" xr:uid="{63087445-6445-402B-8DE4-70D9DC92A50A}"/>
    <cellStyle name="Comma 8" xfId="61" xr:uid="{0057A405-1230-4813-9C8A-428A55915CEC}"/>
    <cellStyle name="Comma 9" xfId="62" xr:uid="{1A45D171-9D78-4137-9896-D40605BF354B}"/>
    <cellStyle name="Normal" xfId="0" builtinId="0"/>
    <cellStyle name="Normal 10" xfId="40" xr:uid="{AB2C07B8-D023-447C-8A3C-11303A378115}"/>
    <cellStyle name="Normal 11" xfId="41" xr:uid="{EB5062EE-37B8-4FC2-B737-7073CE49C249}"/>
    <cellStyle name="Normal 12" xfId="32" xr:uid="{76DE544F-9A2B-45FC-8020-11B35E6C79ED}"/>
    <cellStyle name="Normal 13" xfId="43" xr:uid="{11322BF3-B555-4A4E-933E-1131BA80C2E4}"/>
    <cellStyle name="Normal 13 2" xfId="46" xr:uid="{A100D19A-BED3-4CB2-ABC3-C44367D4369D}"/>
    <cellStyle name="Normal 14" xfId="44" xr:uid="{A13CEEF6-3C9A-4FD8-94D4-93A47C45E22F}"/>
    <cellStyle name="Normal 15" xfId="47" xr:uid="{66799B30-FA3D-4358-A640-94DC6E747B0D}"/>
    <cellStyle name="Normal 16" xfId="51" xr:uid="{F3E2831D-92E3-4294-8C62-D3FDEB6ECCCE}"/>
    <cellStyle name="Normal 17" xfId="54" xr:uid="{9BBE61A7-A415-4069-8B29-2AACC7243412}"/>
    <cellStyle name="Normal 18" xfId="60" xr:uid="{77B6285B-08AF-44EF-8DBE-CB80BDA6EF0D}"/>
    <cellStyle name="Normal 2" xfId="29" xr:uid="{F25D0EE1-C8C0-428E-BB8B-216A3FE0912A}"/>
    <cellStyle name="Normal 2 2" xfId="49" xr:uid="{799047BA-56CA-4400-9ECB-CA343A34F52B}"/>
    <cellStyle name="Normal 3" xfId="30" xr:uid="{677DEB64-2D1D-465E-B1C4-A60E540E8714}"/>
    <cellStyle name="Normal 3 2" xfId="34" xr:uid="{D51CBAE2-8477-466A-B262-05B73927F2A3}"/>
    <cellStyle name="Normal 3 3" xfId="57" xr:uid="{579C3666-D0E7-4EB6-A6CA-2B50E859B9B8}"/>
    <cellStyle name="Normal 4" xfId="35" xr:uid="{F0CEB373-679E-41C4-B415-E257793B0CF1}"/>
    <cellStyle name="Normal 5" xfId="38" xr:uid="{3C3E2106-0AE9-4861-A922-035061BA9D2B}"/>
    <cellStyle name="Normal 6" xfId="39" xr:uid="{BF60CF73-4097-4359-8DF5-8DD3109598C4}"/>
    <cellStyle name="Normal 7" xfId="42" xr:uid="{7B1D40CB-6E60-4AB8-B7D5-036E275AA6E4}"/>
    <cellStyle name="Normal 8" xfId="36" xr:uid="{88CF5696-4B78-42B4-B99F-159BE978CFDC}"/>
    <cellStyle name="Normal 9" xfId="37" xr:uid="{C3D87C16-A28C-4801-8FCC-2314579E296E}"/>
    <cellStyle name="Normale 2" xfId="1" xr:uid="{00000000-0005-0000-0000-000031000000}"/>
    <cellStyle name="Percent 2" xfId="50" xr:uid="{2019A1A4-1BD2-4553-8A8E-8C5F3E6DFDC6}"/>
    <cellStyle name="Percent 2 2" xfId="55" xr:uid="{7A8A648D-B4AD-4E69-9A9E-779CADBAA286}"/>
    <cellStyle name="Percent 3" xfId="58" xr:uid="{99C41616-1BA4-41C8-836B-54DD31C331C4}"/>
    <cellStyle name="RowLevel_8 2" xfId="2" xr:uid="{00000000-0005-0000-0000-000032000000}"/>
    <cellStyle name="千位分隔 2" xfId="20" xr:uid="{00000000-0005-0000-0000-000044000000}"/>
    <cellStyle name="千位分隔 2 10" xfId="21" xr:uid="{00000000-0005-0000-0000-000045000000}"/>
    <cellStyle name="千位分隔 2 2" xfId="22" xr:uid="{00000000-0005-0000-0000-000046000000}"/>
    <cellStyle name="千位分隔 3" xfId="23" xr:uid="{00000000-0005-0000-0000-000047000000}"/>
    <cellStyle name="千位分隔 4" xfId="24" xr:uid="{00000000-0005-0000-0000-000048000000}"/>
    <cellStyle name="千位分隔 5" xfId="25" xr:uid="{00000000-0005-0000-0000-000049000000}"/>
    <cellStyle name="千位分隔 6" xfId="26" xr:uid="{00000000-0005-0000-0000-00004A000000}"/>
    <cellStyle name="千位分隔 8" xfId="27" xr:uid="{00000000-0005-0000-0000-00004B000000}"/>
    <cellStyle name="常规 2" xfId="8" xr:uid="{00000000-0005-0000-0000-000038000000}"/>
    <cellStyle name="常规 2 2" xfId="9" xr:uid="{00000000-0005-0000-0000-000039000000}"/>
    <cellStyle name="常规 2 2 10" xfId="10" xr:uid="{00000000-0005-0000-0000-00003A000000}"/>
    <cellStyle name="常规 2 2 2" xfId="11" xr:uid="{00000000-0005-0000-0000-00003B000000}"/>
    <cellStyle name="常规 2 3" xfId="12" xr:uid="{00000000-0005-0000-0000-00003C000000}"/>
    <cellStyle name="常规 2 4" xfId="13" xr:uid="{00000000-0005-0000-0000-00003D000000}"/>
    <cellStyle name="常规 3" xfId="14" xr:uid="{00000000-0005-0000-0000-00003E000000}"/>
    <cellStyle name="常规 4" xfId="15" xr:uid="{00000000-0005-0000-0000-00003F000000}"/>
    <cellStyle name="常规 5" xfId="16" xr:uid="{00000000-0005-0000-0000-000040000000}"/>
    <cellStyle name="常规 6" xfId="17" xr:uid="{00000000-0005-0000-0000-000041000000}"/>
    <cellStyle name="常规 7" xfId="18" xr:uid="{00000000-0005-0000-0000-000042000000}"/>
    <cellStyle name="常规 9" xfId="19" xr:uid="{00000000-0005-0000-0000-000043000000}"/>
    <cellStyle name="样式 1" xfId="28" xr:uid="{00000000-0005-0000-0000-00004C000000}"/>
    <cellStyle name="百分比 2" xfId="3" xr:uid="{00000000-0005-0000-0000-000033000000}"/>
    <cellStyle name="百分比 2 10" xfId="4" xr:uid="{00000000-0005-0000-0000-000034000000}"/>
    <cellStyle name="百分比 2 2" xfId="5" xr:uid="{00000000-0005-0000-0000-000035000000}"/>
    <cellStyle name="百分比 2 36" xfId="6" xr:uid="{00000000-0005-0000-0000-000036000000}"/>
    <cellStyle name="百分比 3" xfId="7" xr:uid="{00000000-0005-0000-0000-00003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f Uzun" id="{97A770F7-78C2-44CC-BFE0-BC301E931D69}" userId="S::elif.uzun@haier-europe.com::4a15808d-e0d9-4d32-a45d-d30bb0e99dee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3" dT="2025-07-07T13:56:45.45" personId="{97A770F7-78C2-44CC-BFE0-BC301E931D69}" id="{E484DB60-08CB-4888-819D-65AC30E7E0EB}">
    <text>CS_NEW İLE TÜM MASRAF MRKZ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37" dT="2025-07-07T13:56:45.45" personId="{97A770F7-78C2-44CC-BFE0-BC301E931D69}" id="{859D1D25-FEA7-4D45-9916-054477FD1FD7}">
    <text>CS_NEW İLE TÜM MASRAF MRKZ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27" dT="2025-07-07T13:56:45.45" personId="{97A770F7-78C2-44CC-BFE0-BC301E931D69}" id="{41A3A539-7F89-4437-9BAF-1ADC252DD0C4}">
    <text>CS_NEW İLE TÜM MASRAF MRKZ</text>
  </threadedComment>
  <threadedComment ref="AF237" dT="2025-11-13T12:29:44.03" personId="{97A770F7-78C2-44CC-BFE0-BC301E931D69}" id="{3E890676-41F4-42C6-9929-69D8A437AFE4}">
    <text xml:space="preserve">187 K€ amount asset write off in October. FC impact of these written-off assets(145 K) are also deleted from related accounts. (9 months impact seen in 1 month)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5A00-BD6B-48DC-A070-805CAE5FB0E5}">
  <dimension ref="B2:G25"/>
  <sheetViews>
    <sheetView workbookViewId="0">
      <selection activeCell="C2" sqref="C2:C12"/>
    </sheetView>
  </sheetViews>
  <sheetFormatPr defaultRowHeight="14.4"/>
  <cols>
    <col min="3" max="3" width="12.88671875" bestFit="1" customWidth="1"/>
    <col min="7" max="7" width="12.33203125" bestFit="1" customWidth="1"/>
  </cols>
  <sheetData>
    <row r="2" spans="2:3">
      <c r="B2" s="386" t="s">
        <v>175</v>
      </c>
      <c r="C2" s="92" t="s">
        <v>176</v>
      </c>
    </row>
    <row r="3" spans="2:3">
      <c r="B3" s="386"/>
      <c r="C3" s="92" t="s">
        <v>177</v>
      </c>
    </row>
    <row r="4" spans="2:3">
      <c r="B4" s="386"/>
      <c r="C4" s="92" t="s">
        <v>178</v>
      </c>
    </row>
    <row r="5" spans="2:3">
      <c r="B5" s="386"/>
      <c r="C5" s="92" t="s">
        <v>179</v>
      </c>
    </row>
    <row r="6" spans="2:3">
      <c r="B6" s="386"/>
      <c r="C6" s="92" t="s">
        <v>180</v>
      </c>
    </row>
    <row r="7" spans="2:3">
      <c r="B7" s="386"/>
      <c r="C7" s="92" t="s">
        <v>181</v>
      </c>
    </row>
    <row r="8" spans="2:3">
      <c r="B8" s="386"/>
      <c r="C8" s="92" t="s">
        <v>182</v>
      </c>
    </row>
    <row r="9" spans="2:3">
      <c r="B9" s="386"/>
      <c r="C9" s="92" t="s">
        <v>183</v>
      </c>
    </row>
    <row r="10" spans="2:3">
      <c r="B10" s="386"/>
      <c r="C10" s="92" t="s">
        <v>184</v>
      </c>
    </row>
    <row r="11" spans="2:3">
      <c r="B11" s="386"/>
      <c r="C11" s="92" t="s">
        <v>185</v>
      </c>
    </row>
    <row r="12" spans="2:3">
      <c r="B12" s="386"/>
      <c r="C12" s="92" t="s">
        <v>186</v>
      </c>
    </row>
    <row r="13" spans="2:3">
      <c r="B13" s="92" t="s">
        <v>187</v>
      </c>
      <c r="C13" s="92" t="s">
        <v>188</v>
      </c>
    </row>
    <row r="23" spans="7:7">
      <c r="G23" s="105"/>
    </row>
    <row r="24" spans="7:7">
      <c r="G24" s="105"/>
    </row>
    <row r="25" spans="7:7">
      <c r="G25" s="105"/>
    </row>
  </sheetData>
  <mergeCells count="1">
    <mergeCell ref="B2:B12"/>
  </mergeCells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CF3C-F4BC-4C38-9ACB-3C734BA250A2}">
  <sheetPr>
    <tabColor rgb="FF002060"/>
  </sheetPr>
  <dimension ref="A1:S280"/>
  <sheetViews>
    <sheetView showGridLines="0" tabSelected="1" zoomScale="55" zoomScaleNormal="55" workbookViewId="0">
      <pane xSplit="4" ySplit="5" topLeftCell="E6" activePane="bottomRight" state="frozen"/>
      <selection pane="topRight" activeCell="D1" sqref="D1"/>
      <selection pane="bottomLeft" activeCell="A4" sqref="A4"/>
      <selection pane="bottomRight" activeCell="G30" sqref="G30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7" width="13.88671875" style="10" bestFit="1" customWidth="1"/>
    <col min="8" max="8" width="21.77734375" style="10" customWidth="1"/>
    <col min="9" max="9" width="16.109375" style="10" customWidth="1"/>
    <col min="10" max="17" width="13.88671875" style="10" customWidth="1"/>
    <col min="18" max="18" width="19.6640625" style="10" bestFit="1" customWidth="1"/>
    <col min="19" max="16384" width="8.77734375" style="16"/>
  </cols>
  <sheetData>
    <row r="1" spans="1:19" s="29" customFormat="1" ht="15">
      <c r="A1" s="95"/>
      <c r="B1" s="96" t="s">
        <v>190</v>
      </c>
      <c r="C1" s="14"/>
      <c r="D1" s="5" t="s">
        <v>128</v>
      </c>
      <c r="E1" s="94">
        <v>47357</v>
      </c>
      <c r="F1" s="94">
        <v>42593</v>
      </c>
      <c r="G1" s="94">
        <v>23002</v>
      </c>
      <c r="H1" s="94">
        <v>44096</v>
      </c>
      <c r="I1" s="94">
        <v>33043</v>
      </c>
      <c r="J1" s="94">
        <v>53186</v>
      </c>
      <c r="K1" s="94">
        <v>40831</v>
      </c>
      <c r="L1" s="94">
        <v>39000.000999999997</v>
      </c>
      <c r="M1" s="94">
        <v>54085</v>
      </c>
      <c r="N1" s="94">
        <v>49968</v>
      </c>
      <c r="O1" s="94">
        <v>51936</v>
      </c>
      <c r="P1" s="94">
        <v>42190</v>
      </c>
      <c r="Q1" s="94">
        <f>+E1+F1+G1+H1+I1+J1+K1+L1+M1+N1+O1+P1</f>
        <v>521287.00099999999</v>
      </c>
      <c r="R1" s="15"/>
    </row>
    <row r="2" spans="1:19" s="29" customFormat="1" ht="15">
      <c r="A2" s="95"/>
      <c r="B2" s="96"/>
      <c r="C2" s="14"/>
      <c r="D2" s="5" t="s">
        <v>472</v>
      </c>
      <c r="E2" s="358">
        <v>50.745776190476192</v>
      </c>
      <c r="F2" s="358">
        <v>51.632775056689397</v>
      </c>
      <c r="G2" s="358">
        <v>51.093809090909083</v>
      </c>
      <c r="H2" s="380">
        <v>52.45</v>
      </c>
      <c r="I2" s="380">
        <v>53.158395000000006</v>
      </c>
      <c r="J2" s="380">
        <v>53.3</v>
      </c>
      <c r="K2" s="380">
        <v>53.76</v>
      </c>
      <c r="L2" s="380">
        <v>55.623333333333335</v>
      </c>
      <c r="M2" s="380">
        <v>56.524999999999999</v>
      </c>
      <c r="N2" s="380">
        <v>57.283333333333331</v>
      </c>
      <c r="O2" s="380">
        <v>58.041666666666664</v>
      </c>
      <c r="P2" s="380">
        <v>58.8</v>
      </c>
      <c r="Q2" s="94"/>
      <c r="R2" s="15"/>
    </row>
    <row r="3" spans="1:19" s="29" customFormat="1">
      <c r="A3" s="95"/>
      <c r="B3" s="14"/>
      <c r="C3" s="14"/>
      <c r="D3" s="5" t="s">
        <v>471</v>
      </c>
      <c r="E3" s="31">
        <f t="shared" ref="E3:Q3" si="0">+E245</f>
        <v>55.41519642125018</v>
      </c>
      <c r="F3" s="31">
        <f t="shared" si="0"/>
        <v>52.908683391223988</v>
      </c>
      <c r="G3" s="31">
        <f t="shared" si="0"/>
        <v>52.478114978383864</v>
      </c>
      <c r="H3" s="31">
        <f t="shared" si="0"/>
        <v>0</v>
      </c>
      <c r="I3" s="31">
        <f t="shared" si="0"/>
        <v>0</v>
      </c>
      <c r="J3" s="31">
        <f t="shared" si="0"/>
        <v>0</v>
      </c>
      <c r="K3" s="31">
        <f t="shared" si="0"/>
        <v>0</v>
      </c>
      <c r="L3" s="31">
        <f t="shared" si="0"/>
        <v>0</v>
      </c>
      <c r="M3" s="31">
        <f t="shared" si="0"/>
        <v>0</v>
      </c>
      <c r="N3" s="31">
        <f t="shared" si="0"/>
        <v>0</v>
      </c>
      <c r="O3" s="31">
        <f t="shared" si="0"/>
        <v>0</v>
      </c>
      <c r="P3" s="31">
        <f t="shared" si="0"/>
        <v>0</v>
      </c>
      <c r="Q3" s="31">
        <f t="shared" si="0"/>
        <v>0</v>
      </c>
      <c r="R3" s="31"/>
    </row>
    <row r="5" spans="1:19" ht="28.8">
      <c r="A5" s="276" t="s">
        <v>444</v>
      </c>
      <c r="E5" s="17" t="s">
        <v>141</v>
      </c>
      <c r="F5" s="17" t="s">
        <v>350</v>
      </c>
      <c r="G5" s="17" t="s">
        <v>398</v>
      </c>
      <c r="H5" s="17" t="s">
        <v>327</v>
      </c>
      <c r="I5" s="17" t="s">
        <v>330</v>
      </c>
      <c r="J5" s="17" t="s">
        <v>408</v>
      </c>
      <c r="K5" s="17" t="s">
        <v>334</v>
      </c>
      <c r="L5" s="17" t="s">
        <v>438</v>
      </c>
      <c r="M5" s="17" t="s">
        <v>449</v>
      </c>
      <c r="N5" s="17" t="s">
        <v>458</v>
      </c>
      <c r="O5" s="17" t="s">
        <v>342</v>
      </c>
      <c r="P5" s="17" t="s">
        <v>463</v>
      </c>
      <c r="Q5" s="17" t="s">
        <v>148</v>
      </c>
      <c r="R5" s="17"/>
    </row>
    <row r="6" spans="1:19" outlineLevel="1">
      <c r="A6" s="277" t="s">
        <v>445</v>
      </c>
      <c r="B6" s="9">
        <v>6666110101</v>
      </c>
      <c r="C6" s="9" t="s">
        <v>15</v>
      </c>
      <c r="D6" s="9" t="s">
        <v>23</v>
      </c>
      <c r="E6" s="11">
        <f>32.52614-E251</f>
        <v>9.5887601074768796</v>
      </c>
      <c r="F6" s="25">
        <v>8.6135783336335372</v>
      </c>
      <c r="G6" s="25">
        <f>32.53747-G251</f>
        <v>9.5496437877298277</v>
      </c>
      <c r="H6" s="25">
        <v>7.5771285937018327</v>
      </c>
      <c r="I6" s="25">
        <v>13.807533703999898</v>
      </c>
      <c r="J6" s="25">
        <v>8.7067802561121503</v>
      </c>
      <c r="K6" s="25">
        <v>8.7355412999309614</v>
      </c>
      <c r="L6" s="25">
        <v>451.07175365270041</v>
      </c>
      <c r="M6" s="25">
        <v>441.19345343200945</v>
      </c>
      <c r="N6" s="25">
        <v>453.16817739900745</v>
      </c>
      <c r="O6" s="25">
        <v>446.7767349997917</v>
      </c>
      <c r="P6" s="25">
        <v>459.37042725937442</v>
      </c>
      <c r="Q6" s="25">
        <f t="shared" ref="Q6:Q13" si="1">F6+E6+G6+H6+I6+J6+K6+L6+M6+N6+O6+P6</f>
        <v>2318.1595128254685</v>
      </c>
      <c r="R6" s="46"/>
      <c r="S6" s="93"/>
    </row>
    <row r="7" spans="1:19" outlineLevel="1">
      <c r="A7" s="277" t="s">
        <v>445</v>
      </c>
      <c r="B7" s="9">
        <v>6666110106</v>
      </c>
      <c r="C7" s="9" t="s">
        <v>16</v>
      </c>
      <c r="D7" s="9" t="s">
        <v>23</v>
      </c>
      <c r="E7" s="11">
        <f>0-E252</f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1"/>
        <v>0</v>
      </c>
      <c r="R7" s="46"/>
      <c r="S7" s="93"/>
    </row>
    <row r="8" spans="1:19" outlineLevel="1">
      <c r="A8" s="277" t="s">
        <v>445</v>
      </c>
      <c r="B8" s="9">
        <v>6666110107</v>
      </c>
      <c r="C8" s="9" t="s">
        <v>17</v>
      </c>
      <c r="D8" s="9" t="s">
        <v>23</v>
      </c>
      <c r="E8" s="11">
        <f>224.42191-E253</f>
        <v>92.46241600290071</v>
      </c>
      <c r="F8" s="25">
        <v>87.582815734989822</v>
      </c>
      <c r="G8" s="25">
        <f>224.82728-G253</f>
        <v>92.230815510649904</v>
      </c>
      <c r="H8" s="25">
        <v>-28.532337160548277</v>
      </c>
      <c r="I8" s="25">
        <v>57.979578193977787</v>
      </c>
      <c r="J8" s="25">
        <v>62.165871394660414</v>
      </c>
      <c r="K8" s="25">
        <v>62.303587204050871</v>
      </c>
      <c r="L8" s="25">
        <v>-106.94686384617867</v>
      </c>
      <c r="M8" s="25">
        <v>-107.16718950377638</v>
      </c>
      <c r="N8" s="25">
        <v>-109.1117134015291</v>
      </c>
      <c r="O8" s="25">
        <v>-108.98444681504597</v>
      </c>
      <c r="P8" s="25">
        <v>-144.1293632547297</v>
      </c>
      <c r="Q8" s="25">
        <f t="shared" si="1"/>
        <v>-150.14682994057864</v>
      </c>
      <c r="R8" s="46"/>
      <c r="S8" s="93"/>
    </row>
    <row r="9" spans="1:19" outlineLevel="1">
      <c r="A9" s="277" t="s">
        <v>445</v>
      </c>
      <c r="B9" s="9">
        <v>6666110110</v>
      </c>
      <c r="C9" s="9" t="s">
        <v>18</v>
      </c>
      <c r="D9" s="9" t="s">
        <v>23</v>
      </c>
      <c r="E9" s="11">
        <f>295.75794-E254</f>
        <v>63.749081377729709</v>
      </c>
      <c r="F9" s="25">
        <v>57.049972083447216</v>
      </c>
      <c r="G9" s="25">
        <f>296.41246-G254</f>
        <v>63.876727103924338</v>
      </c>
      <c r="H9" s="25">
        <v>17.589212625081089</v>
      </c>
      <c r="I9" s="25">
        <v>50.464631012529026</v>
      </c>
      <c r="J9" s="25">
        <v>59.732843093284515</v>
      </c>
      <c r="K9" s="25">
        <v>48.22007551815679</v>
      </c>
      <c r="L9" s="25">
        <v>-179.72569773576313</v>
      </c>
      <c r="M9" s="25">
        <v>-174.32048439379327</v>
      </c>
      <c r="N9" s="25">
        <v>-180.83946792702025</v>
      </c>
      <c r="O9" s="25">
        <v>-175.04577280195889</v>
      </c>
      <c r="P9" s="25">
        <v>-237.55234443174052</v>
      </c>
      <c r="Q9" s="25">
        <f t="shared" si="1"/>
        <v>-586.80122447612337</v>
      </c>
      <c r="R9" s="46"/>
      <c r="S9" s="93"/>
    </row>
    <row r="10" spans="1:19" outlineLevel="1">
      <c r="A10" s="277" t="s">
        <v>445</v>
      </c>
      <c r="B10" s="9">
        <v>6666110112</v>
      </c>
      <c r="C10" s="9" t="s">
        <v>19</v>
      </c>
      <c r="D10" s="9" t="s">
        <v>23</v>
      </c>
      <c r="E10" s="11">
        <f>8.94279-E255</f>
        <v>4.247387755952218</v>
      </c>
      <c r="F10" s="25">
        <v>3.512062529094937</v>
      </c>
      <c r="G10" s="25">
        <f>8.80315-G255</f>
        <v>4.0802572598352533</v>
      </c>
      <c r="H10" s="25">
        <v>-1.8538328990254498</v>
      </c>
      <c r="I10" s="25">
        <v>1.41990622266901</v>
      </c>
      <c r="J10" s="25">
        <v>0.95259662118493282</v>
      </c>
      <c r="K10" s="25">
        <v>2.3047451316621141</v>
      </c>
      <c r="L10" s="25">
        <v>-0.46773117522170171</v>
      </c>
      <c r="M10" s="25">
        <v>-0.46734558087441291</v>
      </c>
      <c r="N10" s="25">
        <v>-0.62049231507343316</v>
      </c>
      <c r="O10" s="25">
        <v>-0.52596366059015676</v>
      </c>
      <c r="P10" s="25">
        <v>-1.3658422519993141</v>
      </c>
      <c r="Q10" s="25">
        <f t="shared" si="1"/>
        <v>11.215747637613994</v>
      </c>
      <c r="R10" s="46"/>
      <c r="S10" s="93"/>
    </row>
    <row r="11" spans="1:19" outlineLevel="1">
      <c r="A11" s="277" t="s">
        <v>445</v>
      </c>
      <c r="B11" s="9">
        <v>6666110204</v>
      </c>
      <c r="C11" s="9" t="s">
        <v>20</v>
      </c>
      <c r="D11" s="9" t="s">
        <v>23</v>
      </c>
      <c r="E11" s="11">
        <f>0.25252-E256</f>
        <v>0.17412081393928164</v>
      </c>
      <c r="F11" s="25">
        <v>0.17112992347872569</v>
      </c>
      <c r="G11" s="25">
        <f>0.25252-G256</f>
        <v>0.17293484586906899</v>
      </c>
      <c r="H11" s="25">
        <v>-0.30079261362024523</v>
      </c>
      <c r="I11" s="25">
        <v>9.0222243685140618E-3</v>
      </c>
      <c r="J11" s="25">
        <v>4.9860056203234505E-2</v>
      </c>
      <c r="K11" s="25">
        <v>4.856411073797838E-2</v>
      </c>
      <c r="L11" s="25">
        <v>1.6232068750320903</v>
      </c>
      <c r="M11" s="25">
        <v>1.6769446973625339</v>
      </c>
      <c r="N11" s="25">
        <v>1.6753435759346746</v>
      </c>
      <c r="O11" s="25">
        <v>1.6162508530458806</v>
      </c>
      <c r="P11" s="25">
        <v>1.6492860547770007</v>
      </c>
      <c r="Q11" s="25">
        <f t="shared" si="1"/>
        <v>8.5658714171287382</v>
      </c>
      <c r="R11" s="46"/>
      <c r="S11" s="93"/>
    </row>
    <row r="12" spans="1:19" outlineLevel="1">
      <c r="A12" s="277" t="s">
        <v>445</v>
      </c>
      <c r="B12" s="9">
        <v>6666110207</v>
      </c>
      <c r="C12" s="9" t="s">
        <v>21</v>
      </c>
      <c r="D12" s="9" t="s">
        <v>23</v>
      </c>
      <c r="E12" s="11">
        <f>2.34991-E257</f>
        <v>1.126463864989812</v>
      </c>
      <c r="F12" s="25">
        <v>1.106688590757408</v>
      </c>
      <c r="G12" s="25">
        <f>2.34993-G257</f>
        <v>1.1187913177170192</v>
      </c>
      <c r="H12" s="25">
        <v>-1.5773001586740223</v>
      </c>
      <c r="I12" s="25">
        <v>-6.4177210477279534E-2</v>
      </c>
      <c r="J12" s="25">
        <v>0.43481722662995032</v>
      </c>
      <c r="K12" s="25">
        <v>0.42483048720386796</v>
      </c>
      <c r="L12" s="25">
        <v>-1.1428264153151153</v>
      </c>
      <c r="M12" s="25">
        <v>-0.75593496246245739</v>
      </c>
      <c r="N12" s="25">
        <v>-0.92121231133891901</v>
      </c>
      <c r="O12" s="25">
        <v>-0.97125697239864228</v>
      </c>
      <c r="P12" s="25">
        <v>-1.2746759978683717</v>
      </c>
      <c r="Q12" s="25">
        <f t="shared" si="1"/>
        <v>-2.4957925412367499</v>
      </c>
      <c r="R12" s="46"/>
      <c r="S12" s="93"/>
    </row>
    <row r="13" spans="1:19" outlineLevel="1">
      <c r="A13" s="277" t="s">
        <v>445</v>
      </c>
      <c r="B13" s="9">
        <v>6666110506</v>
      </c>
      <c r="C13" s="9" t="s">
        <v>22</v>
      </c>
      <c r="D13" s="9" t="s">
        <v>23</v>
      </c>
      <c r="E13" s="11">
        <f>0-E258</f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1"/>
        <v>0</v>
      </c>
      <c r="R13" s="46"/>
      <c r="S13" s="93"/>
    </row>
    <row r="14" spans="1:19" s="24" customFormat="1">
      <c r="A14" s="277"/>
      <c r="B14" s="37" t="s">
        <v>4</v>
      </c>
      <c r="C14" s="36" t="s">
        <v>23</v>
      </c>
      <c r="D14" s="38"/>
      <c r="E14" s="97">
        <f>SUM(E6:E13)</f>
        <v>171.34822992298859</v>
      </c>
      <c r="F14" s="178">
        <f>SUM(F6:F13)</f>
        <v>158.03624719540167</v>
      </c>
      <c r="G14" s="178">
        <f>SUM(G6:G13)</f>
        <v>171.0291698257254</v>
      </c>
      <c r="H14" s="178">
        <f>SUM(H6:H13)</f>
        <v>-7.0979216130850737</v>
      </c>
      <c r="I14" s="178">
        <f>SUM(I6:I13)</f>
        <v>123.61649414706694</v>
      </c>
      <c r="J14" s="178">
        <f t="shared" ref="J14:P14" si="2">SUM(J6:J13)</f>
        <v>132.0427686480752</v>
      </c>
      <c r="K14" s="178">
        <f t="shared" si="2"/>
        <v>122.03734375174258</v>
      </c>
      <c r="L14" s="178">
        <f t="shared" si="2"/>
        <v>164.4118413552539</v>
      </c>
      <c r="M14" s="178">
        <f t="shared" si="2"/>
        <v>160.15944368846544</v>
      </c>
      <c r="N14" s="178">
        <f t="shared" si="2"/>
        <v>163.35063501998042</v>
      </c>
      <c r="O14" s="178">
        <f t="shared" si="2"/>
        <v>162.86554560284395</v>
      </c>
      <c r="P14" s="178">
        <f t="shared" si="2"/>
        <v>76.69748737781353</v>
      </c>
      <c r="Q14" s="178">
        <f>SUM(Q6:Q13)</f>
        <v>1598.4972849222722</v>
      </c>
      <c r="R14" s="171"/>
      <c r="S14" s="93"/>
    </row>
    <row r="15" spans="1:19" outlineLevel="1">
      <c r="A15" s="277" t="s">
        <v>445</v>
      </c>
      <c r="B15" s="9">
        <v>5001010205</v>
      </c>
      <c r="C15" s="9" t="s">
        <v>24</v>
      </c>
      <c r="D15" s="9" t="s">
        <v>32</v>
      </c>
      <c r="E15" s="11">
        <v>7.6160699999999997</v>
      </c>
      <c r="F15" s="25">
        <v>6.3086000000000002</v>
      </c>
      <c r="G15" s="25">
        <v>6.0542199999999999</v>
      </c>
      <c r="H15" s="25">
        <v>5.8402798673525416</v>
      </c>
      <c r="I15" s="25">
        <v>7.1399793834615899</v>
      </c>
      <c r="J15" s="25">
        <v>6.5764399999999998</v>
      </c>
      <c r="K15" s="25">
        <v>5.7648299999999999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ref="Q15:Q22" si="3">F15+E15+G15+H15+I15+J15+K15+L15+M15+N15+O15+P15</f>
        <v>45.30041925081413</v>
      </c>
      <c r="R15" s="46"/>
      <c r="S15" s="93"/>
    </row>
    <row r="16" spans="1:19" outlineLevel="1">
      <c r="A16" s="277" t="s">
        <v>445</v>
      </c>
      <c r="B16" s="9">
        <v>6666010380</v>
      </c>
      <c r="C16" s="9" t="s">
        <v>25</v>
      </c>
      <c r="D16" s="9" t="s">
        <v>32</v>
      </c>
      <c r="E16" s="11">
        <v>-1.8209000000000002</v>
      </c>
      <c r="F16" s="25">
        <v>-1.5847599999999999</v>
      </c>
      <c r="G16" s="25">
        <v>0.192</v>
      </c>
      <c r="H16" s="25">
        <v>-0.63534999999999997</v>
      </c>
      <c r="I16" s="25">
        <v>-3.8397700000000001</v>
      </c>
      <c r="J16" s="25">
        <v>-1.4838199999999999</v>
      </c>
      <c r="K16" s="25">
        <v>-2.2576199999999997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3"/>
        <v>-11.430219999999998</v>
      </c>
      <c r="R16" s="46"/>
      <c r="S16" s="93"/>
    </row>
    <row r="17" spans="1:19" outlineLevel="1">
      <c r="A17" s="277" t="s">
        <v>445</v>
      </c>
      <c r="B17" s="9">
        <v>6666010019</v>
      </c>
      <c r="C17" s="9" t="s">
        <v>26</v>
      </c>
      <c r="D17" s="9" t="s">
        <v>32</v>
      </c>
      <c r="E17" s="11">
        <v>64.673050000000003</v>
      </c>
      <c r="F17" s="25">
        <v>53.759980000000006</v>
      </c>
      <c r="G17" s="25">
        <v>50.639859999999999</v>
      </c>
      <c r="H17" s="25">
        <v>49.665934569204438</v>
      </c>
      <c r="I17" s="25">
        <v>61.079733636432088</v>
      </c>
      <c r="J17" s="25">
        <v>56.412939999999999</v>
      </c>
      <c r="K17" s="25">
        <v>49.35098</v>
      </c>
      <c r="L17" s="25">
        <v>355.48085755082604</v>
      </c>
      <c r="M17" s="25">
        <v>485.59337260514707</v>
      </c>
      <c r="N17" s="25">
        <v>492.4737820462725</v>
      </c>
      <c r="O17" s="25">
        <v>476.6685772215763</v>
      </c>
      <c r="P17" s="25">
        <v>480.28353181860513</v>
      </c>
      <c r="Q17" s="25">
        <f t="shared" si="3"/>
        <v>2676.0825994480638</v>
      </c>
      <c r="R17" s="46"/>
      <c r="S17" s="93"/>
    </row>
    <row r="18" spans="1:19" outlineLevel="1">
      <c r="A18" s="277" t="s">
        <v>445</v>
      </c>
      <c r="B18" s="9">
        <v>6666010183</v>
      </c>
      <c r="C18" s="9" t="s">
        <v>27</v>
      </c>
      <c r="D18" s="9" t="s">
        <v>32</v>
      </c>
      <c r="E18" s="11">
        <v>10.50135</v>
      </c>
      <c r="F18" s="25">
        <v>13.3775</v>
      </c>
      <c r="G18" s="25">
        <v>-9.4351500000000001</v>
      </c>
      <c r="H18" s="25">
        <v>21.249928638516202</v>
      </c>
      <c r="I18" s="25">
        <v>16.55455241540292</v>
      </c>
      <c r="J18" s="25">
        <v>8.8612199999999994</v>
      </c>
      <c r="K18" s="25">
        <v>9.7550799999999995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f t="shared" si="3"/>
        <v>70.864481053919121</v>
      </c>
      <c r="R18" s="46"/>
      <c r="S18" s="93"/>
    </row>
    <row r="19" spans="1:19" outlineLevel="1">
      <c r="A19" s="277" t="s">
        <v>445</v>
      </c>
      <c r="B19" s="9">
        <v>6666010229</v>
      </c>
      <c r="C19" s="9" t="s">
        <v>28</v>
      </c>
      <c r="D19" s="9" t="s">
        <v>32</v>
      </c>
      <c r="E19" s="11">
        <v>16.691009999999999</v>
      </c>
      <c r="F19" s="25">
        <v>107.23839</v>
      </c>
      <c r="G19" s="25">
        <v>-345.16487999999998</v>
      </c>
      <c r="H19" s="25">
        <v>9.9706600000000005</v>
      </c>
      <c r="I19" s="25">
        <v>10.4602</v>
      </c>
      <c r="J19" s="25">
        <v>10.57159</v>
      </c>
      <c r="K19" s="25">
        <v>1.1677299999999999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f t="shared" si="3"/>
        <v>-189.06529999999998</v>
      </c>
      <c r="R19" s="46"/>
      <c r="S19" s="93"/>
    </row>
    <row r="20" spans="1:19" outlineLevel="1">
      <c r="A20" s="277" t="s">
        <v>445</v>
      </c>
      <c r="B20" s="9">
        <v>6666010188</v>
      </c>
      <c r="C20" s="9" t="s">
        <v>29</v>
      </c>
      <c r="D20" s="9" t="s">
        <v>32</v>
      </c>
      <c r="E20" s="11">
        <v>357.71935999999999</v>
      </c>
      <c r="F20" s="25">
        <v>277.99859000000004</v>
      </c>
      <c r="G20" s="25">
        <v>573.04631000000006</v>
      </c>
      <c r="H20" s="25">
        <v>277.01290955274459</v>
      </c>
      <c r="I20" s="25">
        <v>381.56737955137567</v>
      </c>
      <c r="J20" s="25">
        <v>312.00390000000004</v>
      </c>
      <c r="K20" s="25">
        <v>277.45603000000006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f t="shared" si="3"/>
        <v>2456.8044791041202</v>
      </c>
      <c r="R20" s="46"/>
      <c r="S20" s="93"/>
    </row>
    <row r="21" spans="1:19" s="104" customFormat="1" outlineLevel="1">
      <c r="A21" s="277" t="s">
        <v>445</v>
      </c>
      <c r="B21" s="98">
        <v>5102040406</v>
      </c>
      <c r="C21" s="98" t="s">
        <v>30</v>
      </c>
      <c r="D21" s="98" t="s">
        <v>32</v>
      </c>
      <c r="E21" s="11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f t="shared" si="3"/>
        <v>0</v>
      </c>
      <c r="R21" s="102"/>
      <c r="S21" s="93"/>
    </row>
    <row r="22" spans="1:19" outlineLevel="1">
      <c r="A22" s="277" t="s">
        <v>445</v>
      </c>
      <c r="B22" s="9">
        <v>6666010115</v>
      </c>
      <c r="C22" s="9" t="s">
        <v>31</v>
      </c>
      <c r="D22" s="9" t="s">
        <v>32</v>
      </c>
      <c r="E22" s="11">
        <v>-4.2656999999999998</v>
      </c>
      <c r="F22" s="25">
        <v>0.68852999999999998</v>
      </c>
      <c r="G22" s="25">
        <v>0.63223000000000007</v>
      </c>
      <c r="H22" s="25">
        <v>0.63007000000000002</v>
      </c>
      <c r="I22" s="25">
        <v>5.6858000000000004</v>
      </c>
      <c r="J22" s="25">
        <v>-1.3086600000000002</v>
      </c>
      <c r="K22" s="25">
        <v>7.8171999999999997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f t="shared" si="3"/>
        <v>9.8794699999999995</v>
      </c>
      <c r="R22" s="46"/>
      <c r="S22" s="93"/>
    </row>
    <row r="23" spans="1:19" s="33" customFormat="1">
      <c r="A23" s="277"/>
      <c r="B23" s="37" t="s">
        <v>1</v>
      </c>
      <c r="C23" s="36" t="s">
        <v>32</v>
      </c>
      <c r="D23" s="38"/>
      <c r="E23" s="97">
        <f>SUM(E15:E22)</f>
        <v>451.11424000000005</v>
      </c>
      <c r="F23" s="178">
        <f>SUM(F15:F22)</f>
        <v>457.78683000000007</v>
      </c>
      <c r="G23" s="178">
        <f>SUM(G15:G22)</f>
        <v>275.9645900000001</v>
      </c>
      <c r="H23" s="178">
        <f>SUM(H15:H22)</f>
        <v>363.73443262781774</v>
      </c>
      <c r="I23" s="178">
        <f>SUM(I15:I22)</f>
        <v>478.64787498667226</v>
      </c>
      <c r="J23" s="178">
        <f t="shared" ref="J23:P23" si="4">SUM(J15:J22)</f>
        <v>391.63361000000009</v>
      </c>
      <c r="K23" s="383">
        <f t="shared" si="4"/>
        <v>349.05423000000008</v>
      </c>
      <c r="L23" s="383">
        <f t="shared" si="4"/>
        <v>355.48085755082604</v>
      </c>
      <c r="M23" s="383">
        <f t="shared" si="4"/>
        <v>485.59337260514707</v>
      </c>
      <c r="N23" s="383">
        <f t="shared" si="4"/>
        <v>492.4737820462725</v>
      </c>
      <c r="O23" s="383">
        <f t="shared" si="4"/>
        <v>476.6685772215763</v>
      </c>
      <c r="P23" s="383">
        <f t="shared" si="4"/>
        <v>480.28353181860513</v>
      </c>
      <c r="Q23" s="178">
        <f>SUM(Q15:Q22)</f>
        <v>5058.4359288569167</v>
      </c>
      <c r="R23" s="171"/>
      <c r="S23" s="93"/>
    </row>
    <row r="24" spans="1:19" outlineLevel="2">
      <c r="A24" s="277" t="s">
        <v>446</v>
      </c>
      <c r="B24" s="9">
        <v>8701530201</v>
      </c>
      <c r="C24" s="9" t="s">
        <v>33</v>
      </c>
      <c r="D24" s="9" t="s">
        <v>37</v>
      </c>
      <c r="E24" s="11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f>F24+E24+G24+H24+I24+J24+K24+L24+M24+N24+O24+P24</f>
        <v>0</v>
      </c>
      <c r="R24" s="46"/>
      <c r="S24" s="93"/>
    </row>
    <row r="25" spans="1:19" outlineLevel="2">
      <c r="A25" s="277" t="s">
        <v>446</v>
      </c>
      <c r="B25" s="9">
        <v>6666050309</v>
      </c>
      <c r="C25" s="9" t="s">
        <v>34</v>
      </c>
      <c r="D25" s="9" t="s">
        <v>37</v>
      </c>
      <c r="E25" s="11">
        <v>6.0635000000000012</v>
      </c>
      <c r="F25" s="25">
        <v>6.0567099999999998</v>
      </c>
      <c r="G25" s="25">
        <v>5.5243100000000007</v>
      </c>
      <c r="H25" s="25">
        <v>4.2828299999999997</v>
      </c>
      <c r="I25" s="25">
        <v>3.7330199999999993</v>
      </c>
      <c r="J25" s="25">
        <v>4.8659900000000009</v>
      </c>
      <c r="K25" s="25">
        <v>4.0419700000000001</v>
      </c>
      <c r="L25" s="25">
        <v>17.5076</v>
      </c>
      <c r="M25" s="25">
        <v>24.159080000000003</v>
      </c>
      <c r="N25" s="25">
        <v>21.98592</v>
      </c>
      <c r="O25" s="25">
        <v>22.851839999999999</v>
      </c>
      <c r="P25" s="25">
        <v>18.563599999999997</v>
      </c>
      <c r="Q25" s="25">
        <f>F25+E25+G25+H25+I25+J25+K25+L25+M25+N25+O25+P25</f>
        <v>139.63637</v>
      </c>
      <c r="R25" s="46"/>
      <c r="S25" s="93"/>
    </row>
    <row r="26" spans="1:19" outlineLevel="2">
      <c r="A26" s="277" t="s">
        <v>446</v>
      </c>
      <c r="B26" s="9">
        <v>6666050308</v>
      </c>
      <c r="C26" s="9" t="s">
        <v>35</v>
      </c>
      <c r="D26" s="9" t="s">
        <v>37</v>
      </c>
      <c r="E26" s="11">
        <v>11.57396</v>
      </c>
      <c r="F26" s="25">
        <v>7.7235100000000019</v>
      </c>
      <c r="G26" s="25">
        <v>2.5195500000000002</v>
      </c>
      <c r="H26" s="25">
        <v>44.860479999999995</v>
      </c>
      <c r="I26" s="25">
        <v>11.786460000000002</v>
      </c>
      <c r="J26" s="25">
        <v>22.054309999999997</v>
      </c>
      <c r="K26" s="25">
        <v>23.366110000000003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f>F26+E26+G26+H26+I26+J26+K26+L26+M26+N26+O26+P26</f>
        <v>123.88438000000001</v>
      </c>
      <c r="R26" s="46"/>
      <c r="S26" s="93"/>
    </row>
    <row r="27" spans="1:19" outlineLevel="2">
      <c r="A27" s="277" t="s">
        <v>446</v>
      </c>
      <c r="B27" s="9">
        <v>6666050306</v>
      </c>
      <c r="C27" s="9" t="s">
        <v>36</v>
      </c>
      <c r="D27" s="9" t="s">
        <v>37</v>
      </c>
      <c r="E27" s="11">
        <v>0.5881900000000001</v>
      </c>
      <c r="F27" s="25">
        <v>0.55746999999999991</v>
      </c>
      <c r="G27" s="25">
        <v>1.5109399999999997</v>
      </c>
      <c r="H27" s="25">
        <v>1.3141</v>
      </c>
      <c r="I27" s="25">
        <v>0.56571999999999989</v>
      </c>
      <c r="J27" s="25">
        <v>1.0500799999999999</v>
      </c>
      <c r="K27" s="25">
        <v>3.5373399999999995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f>F27+E27+G27+H27+I27+J27+K27+L27+M27+N27+O27+P27</f>
        <v>9.1238399999999977</v>
      </c>
      <c r="R27" s="46"/>
      <c r="S27" s="93"/>
    </row>
    <row r="28" spans="1:19" s="24" customFormat="1">
      <c r="A28" s="277"/>
      <c r="B28" s="37" t="s">
        <v>1</v>
      </c>
      <c r="C28" s="36" t="s">
        <v>37</v>
      </c>
      <c r="D28" s="38"/>
      <c r="E28" s="97">
        <f>SUM(E24:E27)</f>
        <v>18.225650000000002</v>
      </c>
      <c r="F28" s="178">
        <f>SUM(F24:F27)</f>
        <v>14.337690000000002</v>
      </c>
      <c r="G28" s="178">
        <f>SUM(G24:G27)</f>
        <v>9.5548000000000002</v>
      </c>
      <c r="H28" s="178">
        <f>SUM(H24:H27)</f>
        <v>50.457409999999996</v>
      </c>
      <c r="I28" s="178">
        <f>SUM(I24:I27)</f>
        <v>16.0852</v>
      </c>
      <c r="J28" s="178">
        <f t="shared" ref="J28:P28" si="5">SUM(J24:J27)</f>
        <v>27.970379999999999</v>
      </c>
      <c r="K28" s="383">
        <f t="shared" si="5"/>
        <v>30.945420000000002</v>
      </c>
      <c r="L28" s="383">
        <f t="shared" si="5"/>
        <v>17.5076</v>
      </c>
      <c r="M28" s="383">
        <f t="shared" si="5"/>
        <v>24.159080000000003</v>
      </c>
      <c r="N28" s="383">
        <f t="shared" si="5"/>
        <v>21.98592</v>
      </c>
      <c r="O28" s="383">
        <f t="shared" si="5"/>
        <v>22.851839999999999</v>
      </c>
      <c r="P28" s="383">
        <f t="shared" si="5"/>
        <v>18.563599999999997</v>
      </c>
      <c r="Q28" s="178">
        <f>SUM(Q24:Q27)</f>
        <v>272.64458999999999</v>
      </c>
      <c r="R28" s="171"/>
      <c r="S28" s="93"/>
    </row>
    <row r="29" spans="1:19" outlineLevel="2">
      <c r="A29" s="277" t="s">
        <v>445</v>
      </c>
      <c r="B29" s="9">
        <v>5102010151</v>
      </c>
      <c r="C29" s="9" t="s">
        <v>41</v>
      </c>
      <c r="D29" s="9" t="s">
        <v>80</v>
      </c>
      <c r="E29" s="11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f>F29+E29+G29+H29+I29+J29+K29+L29+M29+N29+O29+P29</f>
        <v>0</v>
      </c>
      <c r="R29" s="46"/>
      <c r="S29" s="93"/>
    </row>
    <row r="30" spans="1:19" outlineLevel="2">
      <c r="A30" s="277" t="s">
        <v>445</v>
      </c>
      <c r="B30" s="9">
        <v>5001010200</v>
      </c>
      <c r="C30" s="9" t="s">
        <v>42</v>
      </c>
      <c r="D30" s="9" t="s">
        <v>80</v>
      </c>
      <c r="E30" s="11">
        <v>0</v>
      </c>
      <c r="F30" s="25">
        <v>4.5999999999999996E-4</v>
      </c>
      <c r="G30" s="25">
        <v>-1.3819299999999999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f>F30+E30+G30+H30+I30+J30+K30+L30+M30+N30+O30+P30</f>
        <v>-1.38147</v>
      </c>
      <c r="R30" s="46"/>
      <c r="S30" s="93"/>
    </row>
    <row r="31" spans="1:19" outlineLevel="2">
      <c r="A31" s="277" t="s">
        <v>445</v>
      </c>
      <c r="B31" s="9">
        <v>5001010201</v>
      </c>
      <c r="C31" s="9" t="s">
        <v>43</v>
      </c>
      <c r="D31" s="9" t="s">
        <v>80</v>
      </c>
      <c r="E31" s="11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f>F31+E31+G31+H31+I31+J31+K31+L31+M31+N31+O31+P31</f>
        <v>0</v>
      </c>
      <c r="R31" s="46"/>
      <c r="S31" s="93"/>
    </row>
    <row r="32" spans="1:19" outlineLevel="2">
      <c r="A32" s="277" t="s">
        <v>445</v>
      </c>
      <c r="B32" s="9">
        <v>5001010204</v>
      </c>
      <c r="C32" s="271" t="s">
        <v>565</v>
      </c>
      <c r="D32" s="9" t="s">
        <v>80</v>
      </c>
      <c r="E32" s="11">
        <v>0</v>
      </c>
      <c r="F32" s="25">
        <v>0</v>
      </c>
      <c r="G32" s="25">
        <v>0.51622000000000001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/>
      <c r="R32" s="46"/>
      <c r="S32" s="93"/>
    </row>
    <row r="33" spans="1:19" outlineLevel="2">
      <c r="A33" s="277" t="s">
        <v>445</v>
      </c>
      <c r="B33" s="9">
        <v>5207000011</v>
      </c>
      <c r="C33" s="9" t="s">
        <v>125</v>
      </c>
      <c r="D33" s="9" t="s">
        <v>80</v>
      </c>
      <c r="E33" s="11">
        <v>0</v>
      </c>
      <c r="F33" s="25">
        <v>0</v>
      </c>
      <c r="G33" s="25">
        <v>0</v>
      </c>
      <c r="H33" s="25">
        <v>-1.6250000000000001E-2</v>
      </c>
      <c r="I33" s="25">
        <v>0</v>
      </c>
      <c r="J33" s="25">
        <v>0</v>
      </c>
      <c r="K33" s="25">
        <v>0</v>
      </c>
      <c r="L33" s="25">
        <v>1.5</v>
      </c>
      <c r="M33" s="25">
        <v>1.5</v>
      </c>
      <c r="N33" s="25">
        <v>1.5</v>
      </c>
      <c r="O33" s="25">
        <v>1.5</v>
      </c>
      <c r="P33" s="25">
        <v>1.5</v>
      </c>
      <c r="Q33" s="25">
        <f t="shared" ref="Q33:Q80" si="6">F33+E33+G33+H33+I33+J33+K33+L33+M33+N33+O33+P33</f>
        <v>7.4837499999999997</v>
      </c>
      <c r="R33" s="46"/>
      <c r="S33" s="93"/>
    </row>
    <row r="34" spans="1:19" outlineLevel="2">
      <c r="A34" s="277" t="s">
        <v>445</v>
      </c>
      <c r="B34" s="9">
        <v>5207000012</v>
      </c>
      <c r="C34" s="9" t="s">
        <v>44</v>
      </c>
      <c r="D34" s="9" t="s">
        <v>80</v>
      </c>
      <c r="E34" s="11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f t="shared" si="6"/>
        <v>0</v>
      </c>
      <c r="R34" s="46"/>
      <c r="S34" s="93"/>
    </row>
    <row r="35" spans="1:19" outlineLevel="2">
      <c r="A35" s="277" t="s">
        <v>445</v>
      </c>
      <c r="B35" s="9">
        <v>5207000022</v>
      </c>
      <c r="C35" s="9" t="s">
        <v>45</v>
      </c>
      <c r="D35" s="9" t="s">
        <v>80</v>
      </c>
      <c r="E35" s="11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f t="shared" si="6"/>
        <v>0</v>
      </c>
      <c r="R35" s="46"/>
      <c r="S35" s="93"/>
    </row>
    <row r="36" spans="1:19" outlineLevel="2">
      <c r="A36" s="277" t="s">
        <v>445</v>
      </c>
      <c r="B36" s="9">
        <v>5301060000</v>
      </c>
      <c r="C36" s="9" t="s">
        <v>46</v>
      </c>
      <c r="D36" s="9" t="s">
        <v>80</v>
      </c>
      <c r="E36" s="11">
        <v>0</v>
      </c>
      <c r="F36" s="25">
        <v>0</v>
      </c>
      <c r="G36" s="25">
        <v>0</v>
      </c>
      <c r="H36" s="25">
        <v>-0.14585000000000004</v>
      </c>
      <c r="I36" s="25">
        <v>-2.8500000000000001E-2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f t="shared" si="6"/>
        <v>-0.17435000000000003</v>
      </c>
      <c r="R36" s="46"/>
      <c r="S36" s="93"/>
    </row>
    <row r="37" spans="1:19" outlineLevel="2">
      <c r="A37" s="277" t="s">
        <v>445</v>
      </c>
      <c r="B37" s="9">
        <v>5301999999</v>
      </c>
      <c r="C37" s="9" t="s">
        <v>47</v>
      </c>
      <c r="D37" s="9" t="s">
        <v>80</v>
      </c>
      <c r="E37" s="11">
        <v>0</v>
      </c>
      <c r="F37" s="25">
        <v>-5.45E-3</v>
      </c>
      <c r="G37" s="25">
        <v>-9.9659999999999999E-2</v>
      </c>
      <c r="H37" s="25">
        <v>-0.41552000000000006</v>
      </c>
      <c r="I37" s="25">
        <v>-0.39233000000000007</v>
      </c>
      <c r="J37" s="25">
        <v>-0.28005999999999992</v>
      </c>
      <c r="K37" s="25">
        <v>-0.96984999999999988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f t="shared" si="6"/>
        <v>-2.1628699999999998</v>
      </c>
      <c r="R37" s="46"/>
      <c r="S37" s="93"/>
    </row>
    <row r="38" spans="1:19" outlineLevel="2">
      <c r="A38" s="277" t="s">
        <v>445</v>
      </c>
      <c r="B38" s="9">
        <v>5405030000</v>
      </c>
      <c r="C38" s="9" t="s">
        <v>48</v>
      </c>
      <c r="D38" s="9" t="s">
        <v>80</v>
      </c>
      <c r="E38" s="11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f t="shared" si="6"/>
        <v>0</v>
      </c>
      <c r="R38" s="46"/>
      <c r="S38" s="93"/>
    </row>
    <row r="39" spans="1:19" outlineLevel="2">
      <c r="A39" s="277" t="s">
        <v>445</v>
      </c>
      <c r="B39" s="9">
        <v>5601050000</v>
      </c>
      <c r="C39" s="9" t="s">
        <v>49</v>
      </c>
      <c r="D39" s="9" t="s">
        <v>80</v>
      </c>
      <c r="E39" s="11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f t="shared" si="6"/>
        <v>0</v>
      </c>
      <c r="R39" s="46"/>
      <c r="S39" s="93"/>
    </row>
    <row r="40" spans="1:19" outlineLevel="2">
      <c r="A40" s="277" t="s">
        <v>445</v>
      </c>
      <c r="B40" s="9">
        <v>5601050100</v>
      </c>
      <c r="C40" s="9" t="s">
        <v>50</v>
      </c>
      <c r="D40" s="9" t="s">
        <v>80</v>
      </c>
      <c r="E40" s="11">
        <v>0</v>
      </c>
      <c r="F40" s="25">
        <v>0</v>
      </c>
      <c r="G40" s="25">
        <v>0</v>
      </c>
      <c r="H40" s="25">
        <v>0.128</v>
      </c>
      <c r="I40" s="25">
        <v>0.26419999999999999</v>
      </c>
      <c r="J40" s="25">
        <v>0</v>
      </c>
      <c r="K40" s="25">
        <v>0.68962000000000001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f t="shared" si="6"/>
        <v>1.08182</v>
      </c>
      <c r="R40" s="46"/>
      <c r="S40" s="93"/>
    </row>
    <row r="41" spans="1:19" outlineLevel="2">
      <c r="A41" s="277" t="s">
        <v>445</v>
      </c>
      <c r="B41" s="9">
        <v>5102040893</v>
      </c>
      <c r="C41" s="272" t="s">
        <v>345</v>
      </c>
      <c r="D41" s="9" t="s">
        <v>80</v>
      </c>
      <c r="E41" s="11">
        <v>0</v>
      </c>
      <c r="F41" s="25">
        <v>0</v>
      </c>
      <c r="G41" s="25">
        <v>-0.25952999999999998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f t="shared" si="6"/>
        <v>-0.25952999999999998</v>
      </c>
      <c r="R41" s="46"/>
      <c r="S41" s="93"/>
    </row>
    <row r="42" spans="1:19" outlineLevel="2">
      <c r="A42" s="277" t="s">
        <v>445</v>
      </c>
      <c r="B42" s="9">
        <v>5801000041</v>
      </c>
      <c r="C42" s="9" t="s">
        <v>51</v>
      </c>
      <c r="D42" s="9" t="s">
        <v>80</v>
      </c>
      <c r="E42" s="11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f t="shared" si="6"/>
        <v>0</v>
      </c>
      <c r="R42" s="46"/>
      <c r="S42" s="93"/>
    </row>
    <row r="43" spans="1:19" outlineLevel="2">
      <c r="A43" s="277" t="s">
        <v>445</v>
      </c>
      <c r="B43" s="9">
        <v>6666010322</v>
      </c>
      <c r="C43" s="9" t="s">
        <v>39</v>
      </c>
      <c r="D43" s="9" t="s">
        <v>80</v>
      </c>
      <c r="E43" s="11">
        <v>1.4601199999999999</v>
      </c>
      <c r="F43" s="25">
        <v>0.36786000000000002</v>
      </c>
      <c r="G43" s="25">
        <v>1.18031</v>
      </c>
      <c r="H43" s="25">
        <v>-1.5320400000000003</v>
      </c>
      <c r="I43" s="25">
        <v>-0.58440999999999999</v>
      </c>
      <c r="J43" s="25">
        <v>-7.3999999999999999E-4</v>
      </c>
      <c r="K43" s="25">
        <v>7.3999999999999999E-4</v>
      </c>
      <c r="L43" s="25">
        <v>1.8376929847079648</v>
      </c>
      <c r="M43" s="25">
        <v>1.8231081197499652</v>
      </c>
      <c r="N43" s="25">
        <v>1.7917524518427175</v>
      </c>
      <c r="O43" s="25">
        <v>1.7609360706070931</v>
      </c>
      <c r="P43" s="25">
        <v>1.7306497008423518</v>
      </c>
      <c r="Q43" s="25">
        <f t="shared" si="6"/>
        <v>9.835979327750092</v>
      </c>
      <c r="R43" s="46"/>
      <c r="S43" s="93"/>
    </row>
    <row r="44" spans="1:19" outlineLevel="2">
      <c r="A44" s="277" t="s">
        <v>445</v>
      </c>
      <c r="B44" s="9">
        <v>6666020101</v>
      </c>
      <c r="C44" s="9" t="s">
        <v>52</v>
      </c>
      <c r="D44" s="9" t="s">
        <v>80</v>
      </c>
      <c r="E44" s="11">
        <v>4.7055200000000008</v>
      </c>
      <c r="F44" s="25">
        <v>4.6177799999999998</v>
      </c>
      <c r="G44" s="25">
        <v>4.5544699999999994</v>
      </c>
      <c r="H44" s="25">
        <v>-13.31884</v>
      </c>
      <c r="I44" s="25">
        <v>1.2578199999999999</v>
      </c>
      <c r="J44" s="25">
        <v>1.0400000000000001E-3</v>
      </c>
      <c r="K44" s="25">
        <v>0.11231999999999999</v>
      </c>
      <c r="L44" s="25">
        <v>0</v>
      </c>
      <c r="M44" s="25">
        <v>0</v>
      </c>
      <c r="N44" s="25">
        <v>7.8310000000000004</v>
      </c>
      <c r="O44" s="25">
        <v>7.8310000000000004</v>
      </c>
      <c r="P44" s="25">
        <v>7.8310000000000004</v>
      </c>
      <c r="Q44" s="25">
        <f t="shared" si="6"/>
        <v>25.423109999999998</v>
      </c>
      <c r="R44" s="46"/>
      <c r="S44" s="93"/>
    </row>
    <row r="45" spans="1:19" outlineLevel="2">
      <c r="A45" s="277" t="s">
        <v>445</v>
      </c>
      <c r="B45" s="9">
        <v>6666020201</v>
      </c>
      <c r="C45" s="9" t="s">
        <v>53</v>
      </c>
      <c r="D45" s="9" t="s">
        <v>80</v>
      </c>
      <c r="E45" s="11">
        <v>0</v>
      </c>
      <c r="F45" s="25">
        <v>0</v>
      </c>
      <c r="G45" s="25">
        <v>0</v>
      </c>
      <c r="H45" s="25">
        <v>8.1849999999999992E-2</v>
      </c>
      <c r="I45" s="25">
        <v>0.18603</v>
      </c>
      <c r="J45" s="25">
        <v>3.1420000000000003E-2</v>
      </c>
      <c r="K45" s="25">
        <v>0.15486000000000003</v>
      </c>
      <c r="L45" s="25">
        <v>2.3169215932621423</v>
      </c>
      <c r="M45" s="25">
        <v>2.2985333266489509</v>
      </c>
      <c r="N45" s="25">
        <v>2.2590008124314012</v>
      </c>
      <c r="O45" s="25">
        <v>2.2201482186057993</v>
      </c>
      <c r="P45" s="25">
        <v>2.1819638512096309</v>
      </c>
      <c r="Q45" s="25">
        <f t="shared" si="6"/>
        <v>11.730727802157922</v>
      </c>
      <c r="R45" s="46"/>
      <c r="S45" s="93"/>
    </row>
    <row r="46" spans="1:19" outlineLevel="2">
      <c r="A46" s="277" t="s">
        <v>445</v>
      </c>
      <c r="B46" s="9">
        <v>6666020202</v>
      </c>
      <c r="C46" s="9" t="s">
        <v>54</v>
      </c>
      <c r="D46" s="9" t="s">
        <v>80</v>
      </c>
      <c r="E46" s="11">
        <v>0</v>
      </c>
      <c r="F46" s="25">
        <v>0</v>
      </c>
      <c r="G46" s="25">
        <v>0</v>
      </c>
      <c r="H46" s="25">
        <v>0.26429000000000002</v>
      </c>
      <c r="I46" s="25">
        <v>3.4390000000000004E-2</v>
      </c>
      <c r="J46" s="25">
        <v>0.25368000000000002</v>
      </c>
      <c r="K46" s="25">
        <v>0.26966999999999997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f t="shared" si="6"/>
        <v>0.82203000000000004</v>
      </c>
      <c r="R46" s="46"/>
      <c r="S46" s="93"/>
    </row>
    <row r="47" spans="1:19" outlineLevel="2">
      <c r="A47" s="277" t="s">
        <v>445</v>
      </c>
      <c r="B47" s="9">
        <v>6666020204</v>
      </c>
      <c r="C47" s="9" t="s">
        <v>55</v>
      </c>
      <c r="D47" s="9" t="s">
        <v>80</v>
      </c>
      <c r="E47" s="11">
        <v>2.5561100000000003</v>
      </c>
      <c r="F47" s="25">
        <v>2.5084400000000002</v>
      </c>
      <c r="G47" s="25">
        <v>4.2864700000000004</v>
      </c>
      <c r="H47" s="25">
        <v>-2.5453299999999994</v>
      </c>
      <c r="I47" s="25">
        <v>1.8079700000000001</v>
      </c>
      <c r="J47" s="25">
        <v>2.6752899999999999</v>
      </c>
      <c r="K47" s="25">
        <v>0.50322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f t="shared" si="6"/>
        <v>11.792170000000004</v>
      </c>
      <c r="R47" s="46"/>
      <c r="S47" s="93"/>
    </row>
    <row r="48" spans="1:19" outlineLevel="2">
      <c r="A48" s="277" t="s">
        <v>445</v>
      </c>
      <c r="B48" s="9">
        <v>6666020205</v>
      </c>
      <c r="C48" s="9" t="s">
        <v>56</v>
      </c>
      <c r="D48" s="9" t="s">
        <v>80</v>
      </c>
      <c r="E48" s="11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f t="shared" si="6"/>
        <v>0</v>
      </c>
      <c r="R48" s="46"/>
      <c r="S48" s="93"/>
    </row>
    <row r="49" spans="1:19" outlineLevel="2">
      <c r="A49" s="277" t="s">
        <v>445</v>
      </c>
      <c r="B49" s="9">
        <v>6666020301</v>
      </c>
      <c r="C49" s="9" t="s">
        <v>57</v>
      </c>
      <c r="D49" s="9" t="s">
        <v>80</v>
      </c>
      <c r="E49" s="11">
        <v>0.27914999999999995</v>
      </c>
      <c r="F49" s="25">
        <v>2.6280000000000001E-2</v>
      </c>
      <c r="G49" s="25">
        <v>0.39430999999999994</v>
      </c>
      <c r="H49" s="25">
        <v>0.37125999999999998</v>
      </c>
      <c r="I49" s="25">
        <v>0.20423999999999998</v>
      </c>
      <c r="J49" s="25">
        <v>7.3330000000000006E-2</v>
      </c>
      <c r="K49" s="25">
        <v>-0.34318000000000004</v>
      </c>
      <c r="L49" s="25">
        <v>0.34342996572138001</v>
      </c>
      <c r="M49" s="25">
        <v>0.34070433107279768</v>
      </c>
      <c r="N49" s="25">
        <v>0.33484455142289693</v>
      </c>
      <c r="O49" s="25">
        <v>0.32908555422397728</v>
      </c>
      <c r="P49" s="25">
        <v>0.323425606116931</v>
      </c>
      <c r="Q49" s="25">
        <f t="shared" si="6"/>
        <v>2.6768800085579834</v>
      </c>
      <c r="R49" s="46"/>
      <c r="S49" s="93"/>
    </row>
    <row r="50" spans="1:19" outlineLevel="2">
      <c r="A50" s="277" t="s">
        <v>445</v>
      </c>
      <c r="B50" s="9">
        <v>6666020302</v>
      </c>
      <c r="C50" s="9" t="s">
        <v>58</v>
      </c>
      <c r="D50" s="9" t="s">
        <v>80</v>
      </c>
      <c r="E50" s="11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3.916570311865844E-2</v>
      </c>
      <c r="M50" s="25">
        <v>3.8854864205018297E-2</v>
      </c>
      <c r="N50" s="25">
        <v>3.8186598727290709E-2</v>
      </c>
      <c r="O50" s="25">
        <v>3.752982675900806E-2</v>
      </c>
      <c r="P50" s="25">
        <v>3.6884350623103745E-2</v>
      </c>
      <c r="Q50" s="25">
        <f t="shared" si="6"/>
        <v>0.19062134343307927</v>
      </c>
      <c r="R50" s="46"/>
      <c r="S50" s="93"/>
    </row>
    <row r="51" spans="1:19" outlineLevel="2">
      <c r="A51" s="277" t="s">
        <v>445</v>
      </c>
      <c r="B51" s="9">
        <v>6666020403</v>
      </c>
      <c r="C51" s="271" t="s">
        <v>401</v>
      </c>
      <c r="D51" s="9" t="s">
        <v>80</v>
      </c>
      <c r="E51" s="11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f t="shared" si="6"/>
        <v>0</v>
      </c>
      <c r="R51" s="46"/>
      <c r="S51" s="93"/>
    </row>
    <row r="52" spans="1:19" outlineLevel="2">
      <c r="A52" s="277" t="s">
        <v>445</v>
      </c>
      <c r="B52" s="9">
        <v>6666020405</v>
      </c>
      <c r="C52" s="9" t="s">
        <v>59</v>
      </c>
      <c r="D52" s="9" t="s">
        <v>80</v>
      </c>
      <c r="E52" s="11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f t="shared" si="6"/>
        <v>0</v>
      </c>
      <c r="R52" s="46"/>
      <c r="S52" s="93"/>
    </row>
    <row r="53" spans="1:19" outlineLevel="2">
      <c r="A53" s="277" t="s">
        <v>445</v>
      </c>
      <c r="B53" s="9">
        <v>6666020495</v>
      </c>
      <c r="C53" s="9" t="s">
        <v>40</v>
      </c>
      <c r="D53" s="9" t="s">
        <v>80</v>
      </c>
      <c r="E53" s="11">
        <v>0.16316</v>
      </c>
      <c r="F53" s="25">
        <v>0.36005000000000009</v>
      </c>
      <c r="G53" s="25">
        <v>0.74238999999999988</v>
      </c>
      <c r="H53" s="25">
        <v>0.22248000000000001</v>
      </c>
      <c r="I53" s="25">
        <v>1.0554600000000001</v>
      </c>
      <c r="J53" s="25">
        <v>0.62973999999999997</v>
      </c>
      <c r="K53" s="25">
        <v>0.69757999999999998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f t="shared" si="6"/>
        <v>3.87086</v>
      </c>
      <c r="R53" s="46"/>
      <c r="S53" s="93"/>
    </row>
    <row r="54" spans="1:19" outlineLevel="2">
      <c r="A54" s="277" t="s">
        <v>445</v>
      </c>
      <c r="B54" s="9">
        <v>6666020504</v>
      </c>
      <c r="C54" s="9" t="s">
        <v>60</v>
      </c>
      <c r="D54" s="9" t="s">
        <v>80</v>
      </c>
      <c r="E54" s="11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4.8621506256099088E-2</v>
      </c>
      <c r="M54" s="25">
        <v>4.8235621285812581E-2</v>
      </c>
      <c r="N54" s="25">
        <v>4.7406016005712606E-2</v>
      </c>
      <c r="O54" s="25">
        <v>4.6590679121093471E-2</v>
      </c>
      <c r="P54" s="25">
        <v>4.5789365229575892E-2</v>
      </c>
      <c r="Q54" s="25">
        <f t="shared" si="6"/>
        <v>0.23664318789829361</v>
      </c>
      <c r="R54" s="46"/>
      <c r="S54" s="93"/>
    </row>
    <row r="55" spans="1:19" outlineLevel="2">
      <c r="A55" s="277" t="s">
        <v>445</v>
      </c>
      <c r="B55" s="9">
        <v>6666020508</v>
      </c>
      <c r="C55" s="9" t="s">
        <v>61</v>
      </c>
      <c r="D55" s="9" t="s">
        <v>80</v>
      </c>
      <c r="E55" s="11">
        <v>0</v>
      </c>
      <c r="F55" s="25">
        <v>0</v>
      </c>
      <c r="G55" s="25">
        <v>0.37173</v>
      </c>
      <c r="H55" s="25">
        <v>1.6109999999999999E-2</v>
      </c>
      <c r="I55" s="25">
        <v>6.2200000000000005E-2</v>
      </c>
      <c r="J55" s="25">
        <v>4.5649999999999996E-2</v>
      </c>
      <c r="K55" s="25">
        <v>1.4959999999999999E-2</v>
      </c>
      <c r="L55" s="25">
        <v>0.39822356114314039</v>
      </c>
      <c r="M55" s="25">
        <v>0.39506305668962338</v>
      </c>
      <c r="N55" s="25">
        <v>0.38826836038292223</v>
      </c>
      <c r="O55" s="25">
        <v>0.38159052617486211</v>
      </c>
      <c r="P55" s="25">
        <v>0.37502754415219863</v>
      </c>
      <c r="Q55" s="25">
        <f t="shared" si="6"/>
        <v>2.4488230485427467</v>
      </c>
      <c r="R55" s="46"/>
      <c r="S55" s="93"/>
    </row>
    <row r="56" spans="1:19" outlineLevel="2">
      <c r="A56" s="277" t="s">
        <v>445</v>
      </c>
      <c r="B56" s="9">
        <v>6666020602</v>
      </c>
      <c r="C56" s="9" t="s">
        <v>62</v>
      </c>
      <c r="D56" s="9" t="s">
        <v>80</v>
      </c>
      <c r="E56" s="11">
        <v>0</v>
      </c>
      <c r="F56" s="25">
        <v>0.54442999999999997</v>
      </c>
      <c r="G56" s="25">
        <v>-0.74346000000000001</v>
      </c>
      <c r="H56" s="25">
        <v>0</v>
      </c>
      <c r="I56" s="25">
        <v>2.5000000000000001E-3</v>
      </c>
      <c r="J56" s="25">
        <v>8.4627199999999991</v>
      </c>
      <c r="K56" s="25">
        <v>0.32459999999999994</v>
      </c>
      <c r="L56" s="25">
        <v>1.8139708148039948</v>
      </c>
      <c r="M56" s="25">
        <v>1.7995742210357091</v>
      </c>
      <c r="N56" s="25">
        <v>1.7686233130572078</v>
      </c>
      <c r="O56" s="25">
        <v>1.7382047302773538</v>
      </c>
      <c r="P56" s="25">
        <v>1.7083093172259005</v>
      </c>
      <c r="Q56" s="25">
        <f t="shared" si="6"/>
        <v>17.419472396400167</v>
      </c>
      <c r="R56" s="46"/>
      <c r="S56" s="93"/>
    </row>
    <row r="57" spans="1:19" outlineLevel="2">
      <c r="A57" s="277" t="s">
        <v>445</v>
      </c>
      <c r="B57" s="9">
        <v>6666020701</v>
      </c>
      <c r="C57" s="9" t="s">
        <v>63</v>
      </c>
      <c r="D57" s="9" t="s">
        <v>80</v>
      </c>
      <c r="E57" s="11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f t="shared" si="6"/>
        <v>0</v>
      </c>
      <c r="R57" s="46"/>
      <c r="S57" s="93"/>
    </row>
    <row r="58" spans="1:19" outlineLevel="2">
      <c r="A58" s="277" t="s">
        <v>445</v>
      </c>
      <c r="B58" s="9">
        <v>6666020801</v>
      </c>
      <c r="C58" s="9" t="s">
        <v>144</v>
      </c>
      <c r="D58" s="9" t="s">
        <v>80</v>
      </c>
      <c r="E58" s="11"/>
      <c r="F58" s="25">
        <v>1.56887</v>
      </c>
      <c r="G58" s="25">
        <v>0.95001000000000002</v>
      </c>
      <c r="H58" s="25">
        <v>-2.55362</v>
      </c>
      <c r="I58" s="25">
        <v>0.29748000000000002</v>
      </c>
      <c r="J58" s="25">
        <v>5.1823199999999998</v>
      </c>
      <c r="K58" s="25">
        <v>-0.61585999999999996</v>
      </c>
      <c r="L58" s="25">
        <v>1.1656562053057984</v>
      </c>
      <c r="M58" s="25">
        <v>1.1564049655811492</v>
      </c>
      <c r="N58" s="25">
        <v>1.13651593668909</v>
      </c>
      <c r="O58" s="25">
        <v>1.1169689795470172</v>
      </c>
      <c r="P58" s="25">
        <v>1.0977582108570194</v>
      </c>
      <c r="Q58" s="25">
        <f t="shared" si="6"/>
        <v>10.502504297980074</v>
      </c>
      <c r="R58" s="46"/>
      <c r="S58" s="93"/>
    </row>
    <row r="59" spans="1:19" outlineLevel="2">
      <c r="A59" s="277" t="s">
        <v>445</v>
      </c>
      <c r="B59" s="9">
        <v>6666020802</v>
      </c>
      <c r="C59" s="9" t="s">
        <v>64</v>
      </c>
      <c r="D59" s="9" t="s">
        <v>80</v>
      </c>
      <c r="E59" s="11">
        <v>10.7325</v>
      </c>
      <c r="F59" s="25">
        <v>10.757999999999999</v>
      </c>
      <c r="G59" s="25">
        <v>11.30733</v>
      </c>
      <c r="H59" s="25">
        <v>12.41071</v>
      </c>
      <c r="I59" s="25">
        <v>14.82192</v>
      </c>
      <c r="J59" s="25">
        <v>12.91982</v>
      </c>
      <c r="K59" s="25">
        <v>12.41264</v>
      </c>
      <c r="L59" s="25">
        <v>12.782999999999999</v>
      </c>
      <c r="M59" s="25">
        <v>12.782999999999999</v>
      </c>
      <c r="N59" s="25">
        <v>12.782999999999998</v>
      </c>
      <c r="O59" s="25">
        <v>12.782999999999999</v>
      </c>
      <c r="P59" s="25">
        <v>14.282999999999998</v>
      </c>
      <c r="Q59" s="25">
        <f t="shared" si="6"/>
        <v>150.77791999999997</v>
      </c>
      <c r="R59" s="46"/>
      <c r="S59" s="93"/>
    </row>
    <row r="60" spans="1:19" outlineLevel="2">
      <c r="A60" s="277" t="s">
        <v>445</v>
      </c>
      <c r="B60" s="9">
        <v>6666020803</v>
      </c>
      <c r="C60" s="9" t="s">
        <v>65</v>
      </c>
      <c r="D60" s="9" t="s">
        <v>80</v>
      </c>
      <c r="E60" s="11">
        <v>5.3999499999999996</v>
      </c>
      <c r="F60" s="25">
        <v>3.14635</v>
      </c>
      <c r="G60" s="25">
        <v>2.7387899999999998</v>
      </c>
      <c r="H60" s="25">
        <v>3.5575099999999997</v>
      </c>
      <c r="I60" s="25">
        <v>2.8418600000000005</v>
      </c>
      <c r="J60" s="25">
        <v>2.8213699999999999</v>
      </c>
      <c r="K60" s="25">
        <v>2.7833299999999999</v>
      </c>
      <c r="L60" s="25">
        <v>3.537326224092205</v>
      </c>
      <c r="M60" s="25">
        <v>3.5092522064406797</v>
      </c>
      <c r="N60" s="25">
        <v>3.4488965173864172</v>
      </c>
      <c r="O60" s="25">
        <v>3.3895788868662571</v>
      </c>
      <c r="P60" s="25">
        <v>3.3312814612936186</v>
      </c>
      <c r="Q60" s="25">
        <f t="shared" si="6"/>
        <v>40.505495296079168</v>
      </c>
      <c r="R60" s="46"/>
      <c r="S60" s="93"/>
    </row>
    <row r="61" spans="1:19" outlineLevel="2">
      <c r="A61" s="277" t="s">
        <v>445</v>
      </c>
      <c r="B61" s="9">
        <v>6666021100</v>
      </c>
      <c r="C61" s="9" t="s">
        <v>66</v>
      </c>
      <c r="D61" s="9" t="s">
        <v>80</v>
      </c>
      <c r="E61" s="11">
        <v>7.2832400000000002</v>
      </c>
      <c r="F61" s="25">
        <v>5.8830800000000005</v>
      </c>
      <c r="G61" s="25">
        <v>5.8170300000000008</v>
      </c>
      <c r="H61" s="25">
        <v>-4.4473899999999995</v>
      </c>
      <c r="I61" s="25">
        <v>7.32294</v>
      </c>
      <c r="J61" s="25">
        <v>7.3220100000000006</v>
      </c>
      <c r="K61" s="25">
        <v>3.1808100000000001</v>
      </c>
      <c r="L61" s="25">
        <v>5.3509666744250675</v>
      </c>
      <c r="M61" s="25">
        <v>5.3084986849455031</v>
      </c>
      <c r="N61" s="25">
        <v>5.2171977247621655</v>
      </c>
      <c r="O61" s="25">
        <v>5.1274670513633067</v>
      </c>
      <c r="P61" s="25">
        <v>5.0392796573595149</v>
      </c>
      <c r="Q61" s="25">
        <f t="shared" si="6"/>
        <v>58.405129792855561</v>
      </c>
      <c r="R61" s="46"/>
      <c r="S61" s="93"/>
    </row>
    <row r="62" spans="1:19" outlineLevel="2">
      <c r="A62" s="277" t="s">
        <v>445</v>
      </c>
      <c r="B62" s="9">
        <v>6666021104</v>
      </c>
      <c r="C62" s="271" t="s">
        <v>407</v>
      </c>
      <c r="D62" s="9" t="s">
        <v>80</v>
      </c>
      <c r="E62" s="11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f t="shared" si="6"/>
        <v>0</v>
      </c>
      <c r="R62" s="46"/>
      <c r="S62" s="93"/>
    </row>
    <row r="63" spans="1:19" outlineLevel="2">
      <c r="A63" s="328" t="s">
        <v>445</v>
      </c>
      <c r="B63" s="9">
        <v>6666021200</v>
      </c>
      <c r="C63" s="327" t="s">
        <v>465</v>
      </c>
      <c r="D63" s="9" t="s">
        <v>80</v>
      </c>
      <c r="E63" s="11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f t="shared" si="6"/>
        <v>0</v>
      </c>
      <c r="R63" s="46"/>
      <c r="S63" s="93"/>
    </row>
    <row r="64" spans="1:19" outlineLevel="2">
      <c r="A64" s="277" t="s">
        <v>445</v>
      </c>
      <c r="B64" s="9">
        <v>6666021902</v>
      </c>
      <c r="C64" s="9" t="s">
        <v>67</v>
      </c>
      <c r="D64" s="9" t="s">
        <v>80</v>
      </c>
      <c r="E64" s="11">
        <v>6.5724399999999994</v>
      </c>
      <c r="F64" s="25">
        <v>9.0082999999999984</v>
      </c>
      <c r="G64" s="25">
        <v>4.9277299999999995</v>
      </c>
      <c r="H64" s="25">
        <v>6.95777</v>
      </c>
      <c r="I64" s="25">
        <v>6.1241000000000003</v>
      </c>
      <c r="J64" s="25">
        <v>9.3495799999999996</v>
      </c>
      <c r="K64" s="25">
        <v>5.7720200000000004</v>
      </c>
      <c r="L64" s="25">
        <v>7.4043458652429974</v>
      </c>
      <c r="M64" s="25">
        <v>7.3455812155188465</v>
      </c>
      <c r="N64" s="25">
        <v>7.2192444378563598</v>
      </c>
      <c r="O64" s="25">
        <v>7.0950805286057577</v>
      </c>
      <c r="P64" s="25">
        <v>6.9730521165658548</v>
      </c>
      <c r="Q64" s="25">
        <f t="shared" si="6"/>
        <v>84.749244163789811</v>
      </c>
      <c r="R64" s="46"/>
      <c r="S64" s="93"/>
    </row>
    <row r="65" spans="1:19" outlineLevel="2">
      <c r="A65" s="281" t="s">
        <v>445</v>
      </c>
      <c r="B65" s="9">
        <v>6666022100</v>
      </c>
      <c r="C65" s="9" t="s">
        <v>68</v>
      </c>
      <c r="D65" s="9" t="s">
        <v>80</v>
      </c>
      <c r="E65" s="11">
        <v>1.4245999999999999</v>
      </c>
      <c r="F65" s="25">
        <v>1.2397199999999999</v>
      </c>
      <c r="G65" s="25">
        <v>1.19478</v>
      </c>
      <c r="H65" s="25">
        <v>1.3868800000000001</v>
      </c>
      <c r="I65" s="25">
        <v>1.68529</v>
      </c>
      <c r="J65" s="25">
        <v>1.4778900000000001</v>
      </c>
      <c r="K65" s="25">
        <v>1.2687899999999999</v>
      </c>
      <c r="L65" s="25">
        <v>1.371246076893214</v>
      </c>
      <c r="M65" s="25">
        <v>1.3603631715210456</v>
      </c>
      <c r="N65" s="25">
        <v>1.3369662619371454</v>
      </c>
      <c r="O65" s="25">
        <v>1.3139717562035826</v>
      </c>
      <c r="P65" s="25">
        <v>1.2913727333696143</v>
      </c>
      <c r="Q65" s="25">
        <f t="shared" si="6"/>
        <v>16.351869999924602</v>
      </c>
      <c r="R65" s="46"/>
      <c r="S65" s="93"/>
    </row>
    <row r="66" spans="1:19" outlineLevel="2">
      <c r="A66" s="277" t="s">
        <v>445</v>
      </c>
      <c r="B66" s="9">
        <v>6666022300</v>
      </c>
      <c r="C66" s="9" t="s">
        <v>69</v>
      </c>
      <c r="D66" s="9" t="s">
        <v>80</v>
      </c>
      <c r="E66" s="11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f t="shared" si="6"/>
        <v>0</v>
      </c>
      <c r="R66" s="46"/>
      <c r="S66" s="93"/>
    </row>
    <row r="67" spans="1:19" outlineLevel="2">
      <c r="A67" s="277" t="s">
        <v>445</v>
      </c>
      <c r="B67" s="9">
        <v>6666029700</v>
      </c>
      <c r="C67" s="9" t="s">
        <v>38</v>
      </c>
      <c r="D67" s="9" t="s">
        <v>80</v>
      </c>
      <c r="E67" s="11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f t="shared" si="6"/>
        <v>0</v>
      </c>
      <c r="R67" s="46"/>
      <c r="S67" s="93"/>
    </row>
    <row r="68" spans="1:19" outlineLevel="2">
      <c r="A68" s="277" t="s">
        <v>445</v>
      </c>
      <c r="B68" s="9">
        <v>6666029900</v>
      </c>
      <c r="C68" s="9" t="s">
        <v>70</v>
      </c>
      <c r="D68" s="9" t="s">
        <v>80</v>
      </c>
      <c r="E68" s="11">
        <v>0</v>
      </c>
      <c r="F68" s="25">
        <v>7.7800000000000005E-3</v>
      </c>
      <c r="G68" s="25">
        <v>0</v>
      </c>
      <c r="H68" s="25">
        <v>-1.67E-2</v>
      </c>
      <c r="I68" s="25">
        <v>0</v>
      </c>
      <c r="J68" s="25">
        <v>0</v>
      </c>
      <c r="K68" s="25">
        <v>5.0000000000000002E-5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f t="shared" si="6"/>
        <v>-8.8699999999999994E-3</v>
      </c>
      <c r="R68" s="46"/>
      <c r="S68" s="93"/>
    </row>
    <row r="69" spans="1:19" outlineLevel="2">
      <c r="A69" s="277" t="s">
        <v>445</v>
      </c>
      <c r="B69" s="9">
        <v>6666029996</v>
      </c>
      <c r="C69" s="9" t="s">
        <v>169</v>
      </c>
      <c r="D69" s="9" t="s">
        <v>80</v>
      </c>
      <c r="E69" s="11">
        <v>2.7899999999999998E-2</v>
      </c>
      <c r="F69" s="25">
        <v>-2.7359999999999999E-2</v>
      </c>
      <c r="G69" s="25">
        <v>3.7010000000000008E-2</v>
      </c>
      <c r="H69" s="25">
        <v>7.1900000000000002E-3</v>
      </c>
      <c r="I69" s="25">
        <v>1.9270000000000002E-2</v>
      </c>
      <c r="J69" s="25">
        <v>3.5260000000000007E-2</v>
      </c>
      <c r="K69" s="25">
        <v>-5.3929999999999999E-2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f t="shared" si="6"/>
        <v>4.5340000000000026E-2</v>
      </c>
      <c r="R69" s="46"/>
      <c r="S69" s="93"/>
    </row>
    <row r="70" spans="1:19" outlineLevel="2">
      <c r="A70" s="277" t="s">
        <v>445</v>
      </c>
      <c r="B70" s="9">
        <v>6666029997</v>
      </c>
      <c r="C70" s="9" t="s">
        <v>71</v>
      </c>
      <c r="D70" s="9" t="s">
        <v>80</v>
      </c>
      <c r="E70" s="11">
        <v>7.8940299999999999</v>
      </c>
      <c r="F70" s="25">
        <v>-2.1212599999999999</v>
      </c>
      <c r="G70" s="25">
        <v>0</v>
      </c>
      <c r="H70" s="25">
        <v>0</v>
      </c>
      <c r="I70" s="25">
        <v>0</v>
      </c>
      <c r="J70" s="25">
        <v>0.26268000000000002</v>
      </c>
      <c r="K70" s="25">
        <v>0</v>
      </c>
      <c r="L70" s="25">
        <v>0.55414216688936446</v>
      </c>
      <c r="M70" s="25">
        <v>0.54974421318389344</v>
      </c>
      <c r="N70" s="25">
        <v>0.54028915300628344</v>
      </c>
      <c r="O70" s="25">
        <v>0.53099671057128583</v>
      </c>
      <c r="P70" s="25">
        <v>2.0035525216827685</v>
      </c>
      <c r="Q70" s="25">
        <f t="shared" si="6"/>
        <v>10.214174765333595</v>
      </c>
      <c r="R70" s="46"/>
      <c r="S70" s="93"/>
    </row>
    <row r="71" spans="1:19" outlineLevel="2">
      <c r="A71" s="277" t="s">
        <v>445</v>
      </c>
      <c r="B71" s="9">
        <v>6666030702</v>
      </c>
      <c r="C71" s="9" t="s">
        <v>73</v>
      </c>
      <c r="D71" s="9" t="s">
        <v>80</v>
      </c>
      <c r="E71" s="11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f t="shared" si="6"/>
        <v>0</v>
      </c>
      <c r="R71" s="46"/>
      <c r="S71" s="93"/>
    </row>
    <row r="72" spans="1:19" outlineLevel="2">
      <c r="A72" s="277" t="s">
        <v>445</v>
      </c>
      <c r="B72" s="9">
        <v>6666031200</v>
      </c>
      <c r="C72" s="9" t="s">
        <v>74</v>
      </c>
      <c r="D72" s="9" t="s">
        <v>80</v>
      </c>
      <c r="E72" s="11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f t="shared" si="6"/>
        <v>0</v>
      </c>
      <c r="R72" s="46"/>
      <c r="S72" s="93"/>
    </row>
    <row r="73" spans="1:19" outlineLevel="2">
      <c r="A73" s="277" t="s">
        <v>445</v>
      </c>
      <c r="B73" s="9">
        <v>6666050107</v>
      </c>
      <c r="C73" s="9" t="s">
        <v>75</v>
      </c>
      <c r="D73" s="9" t="s">
        <v>80</v>
      </c>
      <c r="E73" s="11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f t="shared" si="6"/>
        <v>0</v>
      </c>
      <c r="R73" s="46"/>
      <c r="S73" s="93"/>
    </row>
    <row r="74" spans="1:19" outlineLevel="2">
      <c r="A74" s="277" t="s">
        <v>445</v>
      </c>
      <c r="B74" s="9">
        <v>6666050202</v>
      </c>
      <c r="C74" s="9" t="s">
        <v>145</v>
      </c>
      <c r="D74" s="9" t="s">
        <v>80</v>
      </c>
      <c r="E74" s="11">
        <v>0</v>
      </c>
      <c r="F74" s="25">
        <v>4.0079999999999998E-2</v>
      </c>
      <c r="G74" s="25">
        <v>0</v>
      </c>
      <c r="H74" s="25">
        <v>-1.7238499999999999</v>
      </c>
      <c r="I74" s="25">
        <v>-8.2430000000000003E-2</v>
      </c>
      <c r="J74" s="25">
        <v>-1.367E-2</v>
      </c>
      <c r="K74" s="25">
        <v>6.8929999999999991E-2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f t="shared" si="6"/>
        <v>-1.7109400000000001</v>
      </c>
      <c r="R74" s="46"/>
      <c r="S74" s="93"/>
    </row>
    <row r="75" spans="1:19" outlineLevel="2">
      <c r="A75" s="277" t="s">
        <v>445</v>
      </c>
      <c r="B75" s="9">
        <v>6666070100</v>
      </c>
      <c r="C75" s="9" t="s">
        <v>77</v>
      </c>
      <c r="D75" s="9" t="s">
        <v>80</v>
      </c>
      <c r="E75" s="11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f t="shared" si="6"/>
        <v>0</v>
      </c>
      <c r="R75" s="46"/>
      <c r="S75" s="93"/>
    </row>
    <row r="76" spans="1:19" outlineLevel="2">
      <c r="A76" s="277" t="s">
        <v>445</v>
      </c>
      <c r="B76" s="9">
        <v>6666070300</v>
      </c>
      <c r="C76" s="9" t="s">
        <v>78</v>
      </c>
      <c r="D76" s="9" t="s">
        <v>80</v>
      </c>
      <c r="E76" s="11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f t="shared" si="6"/>
        <v>0</v>
      </c>
      <c r="R76" s="46"/>
      <c r="S76" s="93"/>
    </row>
    <row r="77" spans="1:19" outlineLevel="2">
      <c r="A77" s="281" t="s">
        <v>445</v>
      </c>
      <c r="B77" s="9">
        <v>6666070400</v>
      </c>
      <c r="C77" s="9" t="s">
        <v>79</v>
      </c>
      <c r="D77" s="9" t="s">
        <v>80</v>
      </c>
      <c r="E77" s="11">
        <v>11.192729999999999</v>
      </c>
      <c r="F77" s="25">
        <v>11.39457</v>
      </c>
      <c r="G77" s="25">
        <v>27.28304</v>
      </c>
      <c r="H77" s="25">
        <v>1.27406</v>
      </c>
      <c r="I77" s="25">
        <v>2.4430200000000002</v>
      </c>
      <c r="J77" s="25">
        <v>2.41852</v>
      </c>
      <c r="K77" s="25">
        <v>0.97931999999999997</v>
      </c>
      <c r="L77" s="25">
        <v>11.869402241656415</v>
      </c>
      <c r="M77" s="25">
        <v>11.775200636563902</v>
      </c>
      <c r="N77" s="25">
        <v>11.572678758293762</v>
      </c>
      <c r="O77" s="25">
        <v>11.373640057291164</v>
      </c>
      <c r="P77" s="25">
        <v>11.178024626330382</v>
      </c>
      <c r="Q77" s="25">
        <f t="shared" si="6"/>
        <v>114.75420632013562</v>
      </c>
      <c r="R77" s="46"/>
      <c r="S77" s="93"/>
    </row>
    <row r="78" spans="1:19" outlineLevel="2">
      <c r="A78" s="295" t="s">
        <v>445</v>
      </c>
      <c r="B78" s="9">
        <v>5401050201</v>
      </c>
      <c r="C78" s="1" t="s">
        <v>454</v>
      </c>
      <c r="D78" s="9" t="s">
        <v>80</v>
      </c>
      <c r="E78" s="11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f t="shared" si="6"/>
        <v>0</v>
      </c>
      <c r="R78" s="46"/>
      <c r="S78" s="93"/>
    </row>
    <row r="79" spans="1:19" outlineLevel="2">
      <c r="A79" s="295" t="s">
        <v>445</v>
      </c>
      <c r="B79" s="9">
        <v>5401020212</v>
      </c>
      <c r="C79" s="1" t="s">
        <v>455</v>
      </c>
      <c r="D79" s="9" t="s">
        <v>80</v>
      </c>
      <c r="E79" s="11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f t="shared" si="6"/>
        <v>0</v>
      </c>
      <c r="R79" s="46"/>
      <c r="S79" s="93"/>
    </row>
    <row r="80" spans="1:19" outlineLevel="2">
      <c r="A80" s="295" t="s">
        <v>445</v>
      </c>
      <c r="B80" s="9">
        <v>6666020406</v>
      </c>
      <c r="C80" s="1" t="s">
        <v>570</v>
      </c>
      <c r="D80" s="9" t="s">
        <v>80</v>
      </c>
      <c r="E80" s="11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0.79224000000000006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f t="shared" si="6"/>
        <v>0.79224000000000006</v>
      </c>
      <c r="R80" s="46"/>
      <c r="S80" s="93"/>
    </row>
    <row r="81" spans="1:19" outlineLevel="2">
      <c r="A81" s="295" t="s">
        <v>445</v>
      </c>
      <c r="B81" s="9">
        <v>6666021300</v>
      </c>
      <c r="C81" s="1" t="s">
        <v>167</v>
      </c>
      <c r="D81" s="9" t="s">
        <v>80</v>
      </c>
      <c r="E81" s="11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4.0809999999999999E-2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f t="shared" ref="Q81" si="7">F81+E81+G81+H81+I81+J81+K81+L81+M81+N81+O81+P81</f>
        <v>4.0809999999999999E-2</v>
      </c>
      <c r="R81" s="46"/>
      <c r="S81" s="93"/>
    </row>
    <row r="82" spans="1:19" s="29" customFormat="1">
      <c r="A82" s="277"/>
      <c r="B82" s="37" t="s">
        <v>4</v>
      </c>
      <c r="C82" s="36" t="s">
        <v>80</v>
      </c>
      <c r="D82" s="38"/>
      <c r="E82" s="97">
        <f>SUM(E29:E79)</f>
        <v>59.691450000000003</v>
      </c>
      <c r="F82" s="178">
        <f>SUM(F29:F79)</f>
        <v>49.317979999999999</v>
      </c>
      <c r="G82" s="178">
        <f>SUM(G29:G79)</f>
        <v>63.817040000000006</v>
      </c>
      <c r="H82" s="178">
        <f>SUM(H29:H77)</f>
        <v>-3.7279999999994207E-2</v>
      </c>
      <c r="I82" s="178">
        <f>SUM(I29:I77)</f>
        <v>39.343019999999996</v>
      </c>
      <c r="J82" s="178">
        <f>SUM(J29:J77)</f>
        <v>53.667850000000001</v>
      </c>
      <c r="K82" s="178">
        <f>SUM(K29:K81)</f>
        <v>28.083690000000004</v>
      </c>
      <c r="L82" s="178">
        <f>SUM(L29:L77)</f>
        <v>52.334111583518435</v>
      </c>
      <c r="M82" s="178">
        <f>SUM(M29:M77)</f>
        <v>52.032118634442895</v>
      </c>
      <c r="N82" s="178">
        <f>SUM(N29:N77)</f>
        <v>59.213870893801371</v>
      </c>
      <c r="O82" s="178">
        <f>SUM(O29:O77)</f>
        <v>58.575789576217552</v>
      </c>
      <c r="P82" s="178">
        <f>SUM(P29:P77)</f>
        <v>60.930371062858462</v>
      </c>
      <c r="Q82" s="178">
        <f>SUM(Q29:Q79)</f>
        <v>575.62074175083876</v>
      </c>
      <c r="R82" s="171"/>
      <c r="S82" s="93"/>
    </row>
    <row r="83" spans="1:19" ht="20.55" customHeight="1" outlineLevel="1">
      <c r="A83" s="277" t="s">
        <v>445</v>
      </c>
      <c r="B83" s="9">
        <v>6666110203</v>
      </c>
      <c r="C83" s="9" t="s">
        <v>81</v>
      </c>
      <c r="D83" s="9" t="s">
        <v>84</v>
      </c>
      <c r="E83" s="11">
        <v>12.326379999999999</v>
      </c>
      <c r="F83" s="25">
        <v>10.970190000000001</v>
      </c>
      <c r="G83" s="25">
        <v>8.7221700000000002</v>
      </c>
      <c r="H83" s="25">
        <v>38.196779999999997</v>
      </c>
      <c r="I83" s="25">
        <v>14.04682</v>
      </c>
      <c r="J83" s="25">
        <v>28.885670000000001</v>
      </c>
      <c r="K83" s="25">
        <v>20.684049999999999</v>
      </c>
      <c r="L83" s="25">
        <v>12.732800000000001</v>
      </c>
      <c r="M83" s="25">
        <v>17.570240000000002</v>
      </c>
      <c r="N83" s="25">
        <v>15.98976</v>
      </c>
      <c r="O83" s="25">
        <v>16.619520000000001</v>
      </c>
      <c r="P83" s="25">
        <v>13.500800000000002</v>
      </c>
      <c r="Q83" s="25">
        <f>F83+E83+G83+H83+I83+J83+K83+L83+M83+N83+O83+P83</f>
        <v>210.24518</v>
      </c>
      <c r="R83" s="46"/>
      <c r="S83" s="93"/>
    </row>
    <row r="84" spans="1:19" outlineLevel="1">
      <c r="A84" s="277" t="s">
        <v>445</v>
      </c>
      <c r="B84" s="9">
        <v>5102040000</v>
      </c>
      <c r="C84" s="9" t="s">
        <v>82</v>
      </c>
      <c r="D84" s="9" t="s">
        <v>84</v>
      </c>
      <c r="E84" s="11">
        <v>-2.0000000000000001E-4</v>
      </c>
      <c r="F84" s="25">
        <v>-8.0000000000000004E-4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f>F84+E84+G84+H84+I84+J84+K84+L84+M84+N84+O84+P84</f>
        <v>-1E-3</v>
      </c>
      <c r="R84" s="46"/>
      <c r="S84" s="93"/>
    </row>
    <row r="85" spans="1:19" outlineLevel="1">
      <c r="A85" s="277" t="s">
        <v>446</v>
      </c>
      <c r="B85" s="9">
        <v>6666050307</v>
      </c>
      <c r="C85" s="9" t="s">
        <v>83</v>
      </c>
      <c r="D85" s="9" t="s">
        <v>84</v>
      </c>
      <c r="E85" s="11">
        <v>-2.7322800000000003</v>
      </c>
      <c r="F85" s="25">
        <v>-0.22594999999999998</v>
      </c>
      <c r="G85" s="25">
        <v>-0.55567000000000011</v>
      </c>
      <c r="H85" s="25">
        <v>65.577179999999998</v>
      </c>
      <c r="I85" s="25">
        <v>9.6951800000000006</v>
      </c>
      <c r="J85" s="25">
        <v>-8.2803400000000007</v>
      </c>
      <c r="K85" s="25">
        <v>-386.60404999999997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f>F85+E85+G85+H85+I85+J85+K85+L85+M85+N85+O85+P85</f>
        <v>-323.12592999999998</v>
      </c>
      <c r="R85" s="46"/>
      <c r="S85" s="93"/>
    </row>
    <row r="86" spans="1:19" outlineLevel="2">
      <c r="A86" s="277" t="s">
        <v>446</v>
      </c>
      <c r="B86" s="9">
        <v>6666050312</v>
      </c>
      <c r="C86" s="9" t="s">
        <v>76</v>
      </c>
      <c r="D86" s="9" t="s">
        <v>80</v>
      </c>
      <c r="E86" s="11">
        <v>0</v>
      </c>
      <c r="F86" s="25">
        <v>7.1930000000000008E-2</v>
      </c>
      <c r="G86" s="25">
        <v>0</v>
      </c>
      <c r="H86" s="25">
        <v>0</v>
      </c>
      <c r="I86" s="25">
        <v>0.36687000000000003</v>
      </c>
      <c r="J86" s="25">
        <v>-0.6340800000000002</v>
      </c>
      <c r="K86" s="25">
        <v>-4.5345599999999999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f>F86+E86+G86+H86+I86+J86+K86+L86+M86+N86+O86+P86</f>
        <v>-4.7298400000000003</v>
      </c>
      <c r="R86" s="46"/>
      <c r="S86" s="93"/>
    </row>
    <row r="87" spans="1:19" s="24" customFormat="1">
      <c r="A87" s="278"/>
      <c r="B87" s="37" t="s">
        <v>1</v>
      </c>
      <c r="C87" s="36" t="s">
        <v>84</v>
      </c>
      <c r="D87" s="38"/>
      <c r="E87" s="97">
        <f>SUM(E83:E86)</f>
        <v>9.5938999999999979</v>
      </c>
      <c r="F87" s="178">
        <f>SUM(F83:F86)</f>
        <v>10.815370000000001</v>
      </c>
      <c r="G87" s="178">
        <f>SUM(G83:G86)</f>
        <v>8.1664999999999992</v>
      </c>
      <c r="H87" s="178">
        <f>SUM(H83:H86)</f>
        <v>103.77395999999999</v>
      </c>
      <c r="I87" s="178">
        <f>SUM(I83:I86)</f>
        <v>24.10887</v>
      </c>
      <c r="J87" s="178">
        <f t="shared" ref="J87:P87" si="8">SUM(J83:J86)</f>
        <v>19.971250000000001</v>
      </c>
      <c r="K87" s="383">
        <f t="shared" si="8"/>
        <v>-370.45455999999996</v>
      </c>
      <c r="L87" s="383">
        <f t="shared" si="8"/>
        <v>12.732800000000001</v>
      </c>
      <c r="M87" s="383">
        <f t="shared" si="8"/>
        <v>17.570240000000002</v>
      </c>
      <c r="N87" s="383">
        <f t="shared" si="8"/>
        <v>15.98976</v>
      </c>
      <c r="O87" s="383">
        <f t="shared" si="8"/>
        <v>16.619520000000001</v>
      </c>
      <c r="P87" s="383">
        <f t="shared" si="8"/>
        <v>13.500800000000002</v>
      </c>
      <c r="Q87" s="178">
        <f>SUM(Q83:Q86)</f>
        <v>-117.61158999999998</v>
      </c>
      <c r="R87" s="171"/>
      <c r="S87" s="93"/>
    </row>
    <row r="88" spans="1:19" ht="22.95" customHeight="1" outlineLevel="1">
      <c r="A88" s="281" t="s">
        <v>446</v>
      </c>
      <c r="B88" s="9">
        <v>6666100203</v>
      </c>
      <c r="C88" s="9" t="s">
        <v>85</v>
      </c>
      <c r="D88" s="9" t="s">
        <v>86</v>
      </c>
      <c r="E88" s="11">
        <v>-26.068060000000003</v>
      </c>
      <c r="F88" s="25">
        <v>5.0938100000000004</v>
      </c>
      <c r="G88" s="25">
        <v>200.17382999999998</v>
      </c>
      <c r="H88" s="25">
        <v>-177.1679</v>
      </c>
      <c r="I88" s="25">
        <v>46.021999999999998</v>
      </c>
      <c r="J88" s="25">
        <v>-30.71528</v>
      </c>
      <c r="K88" s="25">
        <v>195.82189</v>
      </c>
      <c r="L88" s="25">
        <v>8.1849932297623766</v>
      </c>
      <c r="M88" s="25">
        <v>8.1200329660341026</v>
      </c>
      <c r="N88" s="25">
        <v>7.9803763793946958</v>
      </c>
      <c r="O88" s="25">
        <v>7.8431217487908542</v>
      </c>
      <c r="P88" s="25">
        <v>7.7082277629394138</v>
      </c>
      <c r="Q88" s="25">
        <f>F88+E88+G88+H88+I88+J88+K88+L88+M88+N88+O88+P88</f>
        <v>252.9970420869214</v>
      </c>
      <c r="R88" s="46"/>
      <c r="S88" s="93"/>
    </row>
    <row r="89" spans="1:19" s="24" customFormat="1">
      <c r="A89" s="278"/>
      <c r="B89" s="37" t="s">
        <v>4</v>
      </c>
      <c r="C89" s="36" t="s">
        <v>86</v>
      </c>
      <c r="D89" s="38"/>
      <c r="E89" s="97">
        <f>+E88</f>
        <v>-26.068060000000003</v>
      </c>
      <c r="F89" s="178">
        <f>+F88</f>
        <v>5.0938100000000004</v>
      </c>
      <c r="G89" s="178">
        <f>+G88</f>
        <v>200.17382999999998</v>
      </c>
      <c r="H89" s="178">
        <f>+H88</f>
        <v>-177.1679</v>
      </c>
      <c r="I89" s="178">
        <f>+I88</f>
        <v>46.021999999999998</v>
      </c>
      <c r="J89" s="178">
        <f t="shared" ref="J89:P89" si="9">+J88</f>
        <v>-30.71528</v>
      </c>
      <c r="K89" s="383">
        <f t="shared" si="9"/>
        <v>195.82189</v>
      </c>
      <c r="L89" s="383">
        <f t="shared" si="9"/>
        <v>8.1849932297623766</v>
      </c>
      <c r="M89" s="383">
        <f t="shared" si="9"/>
        <v>8.1200329660341026</v>
      </c>
      <c r="N89" s="383">
        <f t="shared" si="9"/>
        <v>7.9803763793946958</v>
      </c>
      <c r="O89" s="383">
        <f t="shared" si="9"/>
        <v>7.8431217487908542</v>
      </c>
      <c r="P89" s="383">
        <f t="shared" si="9"/>
        <v>7.7082277629394138</v>
      </c>
      <c r="Q89" s="178">
        <f>+Q88</f>
        <v>252.9970420869214</v>
      </c>
      <c r="R89" s="171"/>
      <c r="S89" s="93"/>
    </row>
    <row r="90" spans="1:19" outlineLevel="2">
      <c r="A90" s="281" t="s">
        <v>446</v>
      </c>
      <c r="B90" s="9">
        <v>5301070000</v>
      </c>
      <c r="C90" s="9" t="s">
        <v>87</v>
      </c>
      <c r="D90" s="9" t="s">
        <v>88</v>
      </c>
      <c r="E90" s="11">
        <v>-56.35548</v>
      </c>
      <c r="F90" s="25">
        <v>-55.948819999999998</v>
      </c>
      <c r="G90" s="25">
        <v>-30.366419999999998</v>
      </c>
      <c r="H90" s="25">
        <v>-53.893480000000004</v>
      </c>
      <c r="I90" s="25">
        <v>-36.104849999999999</v>
      </c>
      <c r="J90" s="25">
        <v>-74.14161</v>
      </c>
      <c r="K90" s="25">
        <v>-57.116930000000004</v>
      </c>
      <c r="L90" s="25">
        <v>-38.658510144472473</v>
      </c>
      <c r="M90" s="25">
        <v>-53.347192542572024</v>
      </c>
      <c r="N90" s="25">
        <v>-48.635137103373353</v>
      </c>
      <c r="O90" s="25">
        <v>-50.750043862884446</v>
      </c>
      <c r="P90" s="25">
        <v>-41.118432317492008</v>
      </c>
      <c r="Q90" s="25">
        <f>F90+E90+G90+H90+I90+J90+K90+L90+M90+N90+O90+P90</f>
        <v>-596.43690597079433</v>
      </c>
      <c r="R90" s="46"/>
      <c r="S90" s="93"/>
    </row>
    <row r="91" spans="1:19" s="24" customFormat="1">
      <c r="A91" s="278"/>
      <c r="B91" s="37" t="s">
        <v>1</v>
      </c>
      <c r="C91" s="36" t="s">
        <v>88</v>
      </c>
      <c r="D91" s="38"/>
      <c r="E91" s="97">
        <f>+E90</f>
        <v>-56.35548</v>
      </c>
      <c r="F91" s="178">
        <f>+F90</f>
        <v>-55.948819999999998</v>
      </c>
      <c r="G91" s="178">
        <f>+G90</f>
        <v>-30.366419999999998</v>
      </c>
      <c r="H91" s="178">
        <f>+H90</f>
        <v>-53.893480000000004</v>
      </c>
      <c r="I91" s="178">
        <f>+I90</f>
        <v>-36.104849999999999</v>
      </c>
      <c r="J91" s="178">
        <f t="shared" ref="J91:P91" si="10">+J90</f>
        <v>-74.14161</v>
      </c>
      <c r="K91" s="383">
        <f t="shared" si="10"/>
        <v>-57.116930000000004</v>
      </c>
      <c r="L91" s="383">
        <f t="shared" si="10"/>
        <v>-38.658510144472473</v>
      </c>
      <c r="M91" s="383">
        <f t="shared" si="10"/>
        <v>-53.347192542572024</v>
      </c>
      <c r="N91" s="383">
        <f t="shared" si="10"/>
        <v>-48.635137103373353</v>
      </c>
      <c r="O91" s="383">
        <f t="shared" si="10"/>
        <v>-50.750043862884446</v>
      </c>
      <c r="P91" s="383">
        <f t="shared" si="10"/>
        <v>-41.118432317492008</v>
      </c>
      <c r="Q91" s="178">
        <f>+Q90</f>
        <v>-596.43690597079433</v>
      </c>
      <c r="R91" s="97"/>
      <c r="S91" s="93"/>
    </row>
    <row r="92" spans="1:19" outlineLevel="1">
      <c r="A92" s="281" t="s">
        <v>445</v>
      </c>
      <c r="B92" s="9">
        <v>6666021602</v>
      </c>
      <c r="C92" s="9" t="s">
        <v>89</v>
      </c>
      <c r="D92" s="9" t="s">
        <v>90</v>
      </c>
      <c r="E92" s="11">
        <v>4.2840400000000001</v>
      </c>
      <c r="F92" s="25">
        <v>4.0777099999999997</v>
      </c>
      <c r="G92" s="25">
        <v>3.5422699999999998</v>
      </c>
      <c r="H92" s="25">
        <v>3.8053300000000001</v>
      </c>
      <c r="I92" s="25">
        <v>1.46038</v>
      </c>
      <c r="J92" s="25">
        <v>2.0075799999999999</v>
      </c>
      <c r="K92" s="25">
        <v>0.55367</v>
      </c>
      <c r="L92" s="25">
        <v>5.0557236146813311</v>
      </c>
      <c r="M92" s="25">
        <v>6.9785246868534969</v>
      </c>
      <c r="N92" s="25">
        <v>6.3638679339231627</v>
      </c>
      <c r="O92" s="25">
        <v>6.6425977453822442</v>
      </c>
      <c r="P92" s="25">
        <v>5.4254564639467144</v>
      </c>
      <c r="Q92" s="25">
        <f>F92+E92+G92+H92+I92+J92+K92+L92+M92+N92+O92+P92</f>
        <v>50.197150444786956</v>
      </c>
      <c r="R92" s="47"/>
      <c r="S92" s="93">
        <v>1000</v>
      </c>
    </row>
    <row r="93" spans="1:19" outlineLevel="1">
      <c r="A93" s="281" t="s">
        <v>445</v>
      </c>
      <c r="B93" s="9">
        <v>6666021604</v>
      </c>
      <c r="C93" s="90" t="s">
        <v>146</v>
      </c>
      <c r="D93" s="9" t="s">
        <v>90</v>
      </c>
      <c r="E93" s="11"/>
      <c r="F93" s="25"/>
      <c r="G93" s="25"/>
      <c r="H93" s="25"/>
      <c r="I93" s="25"/>
      <c r="J93" s="25">
        <v>0.11666098937342495</v>
      </c>
      <c r="K93" s="25"/>
      <c r="L93" s="25">
        <v>0.11933300462913472</v>
      </c>
      <c r="M93" s="25">
        <v>0.12094673040917329</v>
      </c>
      <c r="N93" s="25">
        <v>0.5462176333537726</v>
      </c>
      <c r="O93" s="25">
        <v>0.57014131303115179</v>
      </c>
      <c r="P93" s="25">
        <v>0.47080133809616231</v>
      </c>
      <c r="Q93" s="25">
        <f>F93+E93+G93+H93+I93+J93+K93+L93+M93+N93+O93+P93</f>
        <v>1.9441010088928197</v>
      </c>
      <c r="R93" s="48"/>
      <c r="S93" s="93"/>
    </row>
    <row r="94" spans="1:19" s="24" customFormat="1">
      <c r="A94" s="278"/>
      <c r="B94" s="37" t="s">
        <v>4</v>
      </c>
      <c r="C94" s="36" t="s">
        <v>90</v>
      </c>
      <c r="D94" s="38"/>
      <c r="E94" s="97">
        <f>SUM(E92:E93)</f>
        <v>4.2840400000000001</v>
      </c>
      <c r="F94" s="178">
        <f>+SUM(F92:F93)</f>
        <v>4.0777099999999997</v>
      </c>
      <c r="G94" s="178">
        <f>+SUM(G92:G93)</f>
        <v>3.5422699999999998</v>
      </c>
      <c r="H94" s="178">
        <f>+SUM(H92:H93)</f>
        <v>3.8053300000000001</v>
      </c>
      <c r="I94" s="178">
        <f>+SUM(I92:I93)</f>
        <v>1.46038</v>
      </c>
      <c r="J94" s="178">
        <f t="shared" ref="J94:P94" si="11">+SUM(J92:J93)</f>
        <v>2.1242409893734249</v>
      </c>
      <c r="K94" s="383">
        <f t="shared" si="11"/>
        <v>0.55367</v>
      </c>
      <c r="L94" s="383">
        <f t="shared" si="11"/>
        <v>5.1750566193104657</v>
      </c>
      <c r="M94" s="383">
        <f t="shared" si="11"/>
        <v>7.0994714172626701</v>
      </c>
      <c r="N94" s="383">
        <f t="shared" si="11"/>
        <v>6.9100855672769352</v>
      </c>
      <c r="O94" s="383">
        <f t="shared" si="11"/>
        <v>7.2127390584133959</v>
      </c>
      <c r="P94" s="383">
        <f t="shared" si="11"/>
        <v>5.8962578020428769</v>
      </c>
      <c r="Q94" s="178">
        <f>SUM(Q92:Q93)</f>
        <v>52.141251453679779</v>
      </c>
      <c r="R94" s="97"/>
      <c r="S94" s="93"/>
    </row>
    <row r="95" spans="1:19" outlineLevel="2">
      <c r="A95" s="278" t="s">
        <v>445</v>
      </c>
      <c r="B95" s="9">
        <v>6666021600</v>
      </c>
      <c r="C95" s="9" t="s">
        <v>91</v>
      </c>
      <c r="D95" s="9" t="s">
        <v>94</v>
      </c>
      <c r="E95" s="11">
        <v>21.923759999999998</v>
      </c>
      <c r="F95" s="25">
        <v>11.029129999999999</v>
      </c>
      <c r="G95" s="25">
        <v>17.90784</v>
      </c>
      <c r="H95" s="25">
        <v>24.976009999999999</v>
      </c>
      <c r="I95" s="25">
        <v>26.934300000000004</v>
      </c>
      <c r="J95" s="25">
        <v>25.310790000000001</v>
      </c>
      <c r="K95" s="25">
        <v>38.038839999999993</v>
      </c>
      <c r="L95" s="25">
        <v>31.521011048988857</v>
      </c>
      <c r="M95" s="25">
        <v>30.869231116585819</v>
      </c>
      <c r="N95" s="25">
        <v>27.558774629880169</v>
      </c>
      <c r="O95" s="25">
        <v>31.636832075614699</v>
      </c>
      <c r="P95" s="25">
        <v>26.153177491447511</v>
      </c>
      <c r="Q95" s="25">
        <f>F95+E95+G95+H95+I95+J95+K95+L95+M95+N95+O95+P95</f>
        <v>313.85969636251707</v>
      </c>
      <c r="R95" s="46"/>
      <c r="S95" s="93"/>
    </row>
    <row r="96" spans="1:19" outlineLevel="2">
      <c r="A96" s="278" t="s">
        <v>445</v>
      </c>
      <c r="B96" s="9">
        <v>6666021603</v>
      </c>
      <c r="C96" s="9" t="s">
        <v>92</v>
      </c>
      <c r="D96" s="9" t="s">
        <v>94</v>
      </c>
      <c r="E96" s="11">
        <v>0.34576000000000001</v>
      </c>
      <c r="F96" s="25">
        <v>3.0030000000000001E-2</v>
      </c>
      <c r="G96" s="25">
        <v>0.47697000000000001</v>
      </c>
      <c r="H96" s="25">
        <v>0.84538000000000002</v>
      </c>
      <c r="I96" s="25">
        <v>0.25700000000000001</v>
      </c>
      <c r="J96" s="25">
        <v>0.57311000000000001</v>
      </c>
      <c r="K96" s="25">
        <v>0.61327999999999994</v>
      </c>
      <c r="L96" s="25">
        <v>0.96997018106534794</v>
      </c>
      <c r="M96" s="25">
        <v>1.3388708264074962</v>
      </c>
      <c r="N96" s="25">
        <v>1.2209453290164656</v>
      </c>
      <c r="O96" s="25">
        <v>1.274421275546489</v>
      </c>
      <c r="P96" s="25">
        <v>1.0409055932991822</v>
      </c>
      <c r="Q96" s="25">
        <f>F96+E96+G96+H96+I96+J96+K96+L96+M96+N96+O96+P96</f>
        <v>8.9866432053349818</v>
      </c>
      <c r="R96" s="46"/>
      <c r="S96" s="93"/>
    </row>
    <row r="97" spans="1:19" outlineLevel="2">
      <c r="A97" s="278" t="s">
        <v>445</v>
      </c>
      <c r="B97" s="9">
        <v>6666021604</v>
      </c>
      <c r="C97" s="91" t="s">
        <v>93</v>
      </c>
      <c r="D97" s="9" t="s">
        <v>94</v>
      </c>
      <c r="E97" s="11">
        <v>3.0726499999999999</v>
      </c>
      <c r="F97" s="25">
        <v>5.086380000000001</v>
      </c>
      <c r="G97" s="25">
        <v>3.3681400000000004</v>
      </c>
      <c r="H97" s="25">
        <v>2.2470299999999996</v>
      </c>
      <c r="I97" s="25">
        <v>4.4463200000000009</v>
      </c>
      <c r="J97" s="25">
        <v>2.7767499999999998</v>
      </c>
      <c r="K97" s="25">
        <v>2.6759900000000001</v>
      </c>
      <c r="L97" s="25">
        <v>2.5122737816659941</v>
      </c>
      <c r="M97" s="25">
        <v>5.0089662340440704</v>
      </c>
      <c r="N97" s="25">
        <v>4.9191529553497668</v>
      </c>
      <c r="O97" s="25">
        <v>5.5013635467918158</v>
      </c>
      <c r="P97" s="25">
        <v>4.4933337166489729</v>
      </c>
      <c r="Q97" s="25">
        <f>F97+E97+G97+H97+I97+J97+K97+L97+M97+N97+O97+P97</f>
        <v>46.10835023450062</v>
      </c>
      <c r="R97" s="46"/>
      <c r="S97" s="93"/>
    </row>
    <row r="98" spans="1:19" outlineLevel="2">
      <c r="A98" s="278" t="s">
        <v>445</v>
      </c>
      <c r="B98" s="9">
        <v>6666021604</v>
      </c>
      <c r="C98" s="90" t="s">
        <v>146</v>
      </c>
      <c r="D98" s="9" t="s">
        <v>94</v>
      </c>
      <c r="E98" s="11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>
        <f>F98+E98+G98+H98+I98+J98+K98+L98+M98+N98+O98+P98</f>
        <v>0</v>
      </c>
      <c r="R98" s="46"/>
      <c r="S98" s="93"/>
    </row>
    <row r="99" spans="1:19" s="24" customFormat="1">
      <c r="A99" s="278"/>
      <c r="B99" s="37" t="s">
        <v>1</v>
      </c>
      <c r="C99" s="36" t="s">
        <v>94</v>
      </c>
      <c r="D99" s="38"/>
      <c r="E99" s="97">
        <f>SUM(E95:E98)</f>
        <v>25.342169999999996</v>
      </c>
      <c r="F99" s="178">
        <f>SUM(F95:F98)</f>
        <v>16.14554</v>
      </c>
      <c r="G99" s="178">
        <f>SUM(G95:G98)</f>
        <v>21.752950000000002</v>
      </c>
      <c r="H99" s="178">
        <f>SUM(H95:H98)</f>
        <v>28.068419999999996</v>
      </c>
      <c r="I99" s="178">
        <f>SUM(I95:I98)</f>
        <v>31.637620000000005</v>
      </c>
      <c r="J99" s="178">
        <f t="shared" ref="J99:P99" si="12">SUM(J95:J98)</f>
        <v>28.66065</v>
      </c>
      <c r="K99" s="383">
        <f t="shared" si="12"/>
        <v>41.328109999999995</v>
      </c>
      <c r="L99" s="383">
        <f t="shared" si="12"/>
        <v>35.003255011720199</v>
      </c>
      <c r="M99" s="383">
        <f t="shared" si="12"/>
        <v>37.21706817703739</v>
      </c>
      <c r="N99" s="383">
        <f t="shared" si="12"/>
        <v>33.698872914246401</v>
      </c>
      <c r="O99" s="383">
        <f t="shared" si="12"/>
        <v>38.412616897953001</v>
      </c>
      <c r="P99" s="383">
        <f t="shared" si="12"/>
        <v>31.687416801395667</v>
      </c>
      <c r="Q99" s="178">
        <f>SUM(Q95:Q98)</f>
        <v>368.95468980235268</v>
      </c>
      <c r="R99" s="171"/>
      <c r="S99" s="93"/>
    </row>
    <row r="100" spans="1:19" outlineLevel="1">
      <c r="A100" s="278" t="s">
        <v>445</v>
      </c>
      <c r="B100" s="9">
        <v>5001010206</v>
      </c>
      <c r="C100" s="9" t="s">
        <v>95</v>
      </c>
      <c r="D100" s="9" t="s">
        <v>102</v>
      </c>
      <c r="E100" s="11">
        <v>3.0570899999999996</v>
      </c>
      <c r="F100" s="25">
        <v>2.6822399999999997</v>
      </c>
      <c r="G100" s="25">
        <v>3.3096200000000002</v>
      </c>
      <c r="H100" s="25">
        <v>3.2495801326474592</v>
      </c>
      <c r="I100" s="25">
        <v>3.7782806165384097</v>
      </c>
      <c r="J100" s="25">
        <v>3.5677300000000001</v>
      </c>
      <c r="K100" s="25">
        <v>3.2856299999999998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f t="shared" ref="Q100:Q106" si="13">F100+E100+G100+H100+I100+J100+K100+L100+M100+N100+O100+P100</f>
        <v>22.930170749185869</v>
      </c>
      <c r="R100" s="46"/>
      <c r="S100" s="93"/>
    </row>
    <row r="101" spans="1:19" outlineLevel="1">
      <c r="A101" s="278" t="s">
        <v>445</v>
      </c>
      <c r="B101" s="9">
        <v>6666010184</v>
      </c>
      <c r="C101" s="9" t="s">
        <v>96</v>
      </c>
      <c r="D101" s="9" t="s">
        <v>102</v>
      </c>
      <c r="E101" s="11">
        <v>-0.14232</v>
      </c>
      <c r="F101" s="25">
        <v>-0.13591</v>
      </c>
      <c r="G101" s="25">
        <v>1.208E-2</v>
      </c>
      <c r="H101" s="25">
        <v>-0.10463</v>
      </c>
      <c r="I101" s="25">
        <v>-1.5649200000000001</v>
      </c>
      <c r="J101" s="25">
        <v>-0.69547000000000003</v>
      </c>
      <c r="K101" s="25">
        <v>-0.89861000000000013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f t="shared" si="13"/>
        <v>-3.5297800000000001</v>
      </c>
      <c r="R101" s="46"/>
      <c r="S101" s="93"/>
    </row>
    <row r="102" spans="1:19" outlineLevel="1">
      <c r="A102" s="278" t="s">
        <v>445</v>
      </c>
      <c r="B102" s="9">
        <v>6666010186</v>
      </c>
      <c r="C102" s="9" t="s">
        <v>97</v>
      </c>
      <c r="D102" s="9" t="s">
        <v>102</v>
      </c>
      <c r="E102" s="11">
        <v>8.7663700000000002</v>
      </c>
      <c r="F102" s="25">
        <v>8.3700700000000001</v>
      </c>
      <c r="G102" s="25">
        <v>-6.1262800000000004</v>
      </c>
      <c r="H102" s="25">
        <v>17.1437713614838</v>
      </c>
      <c r="I102" s="25">
        <v>18.064007584597078</v>
      </c>
      <c r="J102" s="25">
        <v>12.830359999999999</v>
      </c>
      <c r="K102" s="25">
        <v>14.782489999999999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f t="shared" si="13"/>
        <v>73.830788946080872</v>
      </c>
      <c r="R102" s="46"/>
      <c r="S102" s="93"/>
    </row>
    <row r="103" spans="1:19" outlineLevel="1">
      <c r="A103" s="278" t="s">
        <v>445</v>
      </c>
      <c r="B103" s="9">
        <v>6666010189</v>
      </c>
      <c r="C103" s="9" t="s">
        <v>98</v>
      </c>
      <c r="D103" s="9" t="s">
        <v>102</v>
      </c>
      <c r="E103" s="11">
        <v>27.213549999999998</v>
      </c>
      <c r="F103" s="25">
        <v>-104.27378</v>
      </c>
      <c r="G103" s="25">
        <v>109.07513</v>
      </c>
      <c r="H103" s="25">
        <v>1.0420799999999999</v>
      </c>
      <c r="I103" s="25">
        <v>2.1358999999999999</v>
      </c>
      <c r="J103" s="25">
        <v>0</v>
      </c>
      <c r="K103" s="25">
        <v>8.91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f t="shared" si="13"/>
        <v>44.102879999999999</v>
      </c>
      <c r="R103" s="46"/>
      <c r="S103" s="93"/>
    </row>
    <row r="104" spans="1:19" outlineLevel="1">
      <c r="A104" s="278" t="s">
        <v>445</v>
      </c>
      <c r="B104" s="9">
        <v>6666010012</v>
      </c>
      <c r="C104" s="9" t="s">
        <v>99</v>
      </c>
      <c r="D104" s="9" t="s">
        <v>102</v>
      </c>
      <c r="E104" s="11">
        <v>28.9222</v>
      </c>
      <c r="F104" s="25">
        <v>25.556739999999998</v>
      </c>
      <c r="G104" s="25">
        <v>29.55152</v>
      </c>
      <c r="H104" s="25">
        <v>29.028355430795564</v>
      </c>
      <c r="I104" s="25">
        <v>34.040846363567915</v>
      </c>
      <c r="J104" s="25">
        <v>31.746789999999997</v>
      </c>
      <c r="K104" s="25">
        <v>29.393890000000003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f t="shared" si="13"/>
        <v>208.24034179436347</v>
      </c>
      <c r="R104" s="46"/>
      <c r="S104" s="93"/>
    </row>
    <row r="105" spans="1:19" outlineLevel="1">
      <c r="A105" s="278" t="s">
        <v>445</v>
      </c>
      <c r="B105" s="9">
        <v>6666010226</v>
      </c>
      <c r="C105" s="9" t="s">
        <v>100</v>
      </c>
      <c r="D105" s="9" t="s">
        <v>102</v>
      </c>
      <c r="E105" s="11">
        <v>6.0301</v>
      </c>
      <c r="F105" s="25">
        <v>33.019520000000007</v>
      </c>
      <c r="G105" s="25">
        <v>-105.66898</v>
      </c>
      <c r="H105" s="25">
        <v>4.8646900000000004</v>
      </c>
      <c r="I105" s="25">
        <v>5.0691000000000006</v>
      </c>
      <c r="J105" s="25">
        <v>5.0917500000000002</v>
      </c>
      <c r="K105" s="25">
        <v>5.7595800000000006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f t="shared" si="13"/>
        <v>-45.834240000000001</v>
      </c>
      <c r="R105" s="46"/>
      <c r="S105" s="93"/>
    </row>
    <row r="106" spans="1:19" outlineLevel="1">
      <c r="A106" s="278" t="s">
        <v>445</v>
      </c>
      <c r="B106" s="9">
        <v>6666010102</v>
      </c>
      <c r="C106" s="9" t="s">
        <v>101</v>
      </c>
      <c r="D106" s="9" t="s">
        <v>102</v>
      </c>
      <c r="E106" s="11">
        <v>162.67013</v>
      </c>
      <c r="F106" s="25">
        <v>245.11158</v>
      </c>
      <c r="G106" s="25">
        <v>159.33491000000004</v>
      </c>
      <c r="H106" s="25">
        <v>156.69616044725538</v>
      </c>
      <c r="I106" s="25">
        <v>186.25740044862434</v>
      </c>
      <c r="J106" s="25">
        <v>176.69946000000002</v>
      </c>
      <c r="K106" s="25">
        <v>164.56025999999997</v>
      </c>
      <c r="L106" s="25">
        <v>248.29040373098536</v>
      </c>
      <c r="M106" s="25">
        <v>233.83450010482071</v>
      </c>
      <c r="N106" s="25">
        <v>218.04243940693019</v>
      </c>
      <c r="O106" s="25">
        <v>213.64209148995394</v>
      </c>
      <c r="P106" s="25">
        <v>280.51506871696927</v>
      </c>
      <c r="Q106" s="25">
        <f t="shared" si="13"/>
        <v>2445.6544043455397</v>
      </c>
      <c r="R106" s="46"/>
      <c r="S106" s="93"/>
    </row>
    <row r="107" spans="1:19" s="24" customFormat="1">
      <c r="A107" s="278"/>
      <c r="B107" s="37" t="s">
        <v>142</v>
      </c>
      <c r="C107" s="36" t="s">
        <v>102</v>
      </c>
      <c r="D107" s="38"/>
      <c r="E107" s="97">
        <f>SUM(E100:E106)</f>
        <v>236.51712000000001</v>
      </c>
      <c r="F107" s="178">
        <f>SUM(F100:F106)</f>
        <v>210.33045999999999</v>
      </c>
      <c r="G107" s="178">
        <f>SUM(G100:G106)</f>
        <v>189.48800000000003</v>
      </c>
      <c r="H107" s="178">
        <f>SUM(H100:H106)</f>
        <v>211.9200073721822</v>
      </c>
      <c r="I107" s="178">
        <f>SUM(I100:I106)</f>
        <v>247.78061501332775</v>
      </c>
      <c r="J107" s="178">
        <f t="shared" ref="J107:P107" si="14">SUM(J100:J106)</f>
        <v>229.24062000000001</v>
      </c>
      <c r="K107" s="383">
        <f t="shared" si="14"/>
        <v>225.79323999999997</v>
      </c>
      <c r="L107" s="383">
        <f t="shared" si="14"/>
        <v>248.29040373098536</v>
      </c>
      <c r="M107" s="383">
        <f t="shared" si="14"/>
        <v>233.83450010482071</v>
      </c>
      <c r="N107" s="383">
        <f t="shared" si="14"/>
        <v>218.04243940693019</v>
      </c>
      <c r="O107" s="383">
        <f t="shared" si="14"/>
        <v>213.64209148995394</v>
      </c>
      <c r="P107" s="383">
        <f t="shared" si="14"/>
        <v>280.51506871696927</v>
      </c>
      <c r="Q107" s="178">
        <f>SUM(Q100:Q106)</f>
        <v>2745.3945658351699</v>
      </c>
      <c r="R107" s="171"/>
      <c r="S107" s="93"/>
    </row>
    <row r="108" spans="1:19" outlineLevel="1">
      <c r="A108" s="278" t="s">
        <v>445</v>
      </c>
      <c r="B108" s="9">
        <v>6666010196</v>
      </c>
      <c r="C108" s="9" t="s">
        <v>103</v>
      </c>
      <c r="D108" s="9" t="s">
        <v>109</v>
      </c>
      <c r="E108" s="11">
        <v>15.820699999999999</v>
      </c>
      <c r="F108" s="25">
        <v>13.141879999999999</v>
      </c>
      <c r="G108" s="25">
        <v>15.49907</v>
      </c>
      <c r="H108" s="25">
        <v>14.482310000000002</v>
      </c>
      <c r="I108" s="25">
        <v>15.515370000000001</v>
      </c>
      <c r="J108" s="25">
        <v>15.137049999999997</v>
      </c>
      <c r="K108" s="25">
        <v>13.985250000000002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f t="shared" ref="Q108:Q114" si="15">F108+E108+G108+H108+I108+J108+K108+L108+M108+N108+O108+P108</f>
        <v>103.58163</v>
      </c>
      <c r="R108" s="46"/>
      <c r="S108" s="93"/>
    </row>
    <row r="109" spans="1:19" outlineLevel="1">
      <c r="A109" s="278" t="s">
        <v>445</v>
      </c>
      <c r="B109" s="9">
        <v>6666010101</v>
      </c>
      <c r="C109" s="9" t="s">
        <v>104</v>
      </c>
      <c r="D109" s="9" t="s">
        <v>109</v>
      </c>
      <c r="E109" s="11">
        <v>83.51397</v>
      </c>
      <c r="F109" s="25">
        <v>89.321239999999989</v>
      </c>
      <c r="G109" s="25">
        <v>80.791509999999988</v>
      </c>
      <c r="H109" s="25">
        <v>106.71126999999998</v>
      </c>
      <c r="I109" s="25">
        <v>102.21271999999999</v>
      </c>
      <c r="J109" s="25">
        <v>87.004530000000003</v>
      </c>
      <c r="K109" s="25">
        <v>80.029920000000004</v>
      </c>
      <c r="L109" s="25">
        <v>102.13246854517206</v>
      </c>
      <c r="M109" s="25">
        <v>107.52925904504205</v>
      </c>
      <c r="N109" s="25">
        <v>101.02732109817424</v>
      </c>
      <c r="O109" s="25">
        <v>99.707366149152875</v>
      </c>
      <c r="P109" s="25">
        <v>98.421457657149915</v>
      </c>
      <c r="Q109" s="25">
        <f t="shared" si="15"/>
        <v>1138.4030324946912</v>
      </c>
      <c r="R109" s="46"/>
      <c r="S109" s="93"/>
    </row>
    <row r="110" spans="1:19" outlineLevel="1">
      <c r="A110" s="278" t="s">
        <v>445</v>
      </c>
      <c r="B110" s="9">
        <v>6666010199</v>
      </c>
      <c r="C110" s="9" t="s">
        <v>105</v>
      </c>
      <c r="D110" s="9" t="s">
        <v>109</v>
      </c>
      <c r="E110" s="11">
        <v>13.118970000000001</v>
      </c>
      <c r="F110" s="25">
        <v>6.1372100000000014</v>
      </c>
      <c r="G110" s="25">
        <v>5.3484799999999995</v>
      </c>
      <c r="H110" s="25">
        <v>-37.713930000000005</v>
      </c>
      <c r="I110" s="25">
        <v>-12.534949999999998</v>
      </c>
      <c r="J110" s="25">
        <v>6.6131499999999992</v>
      </c>
      <c r="K110" s="25">
        <v>6.5377099999999997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f t="shared" si="15"/>
        <v>-12.493360000000006</v>
      </c>
      <c r="R110" s="46"/>
      <c r="S110" s="93"/>
    </row>
    <row r="111" spans="1:19" outlineLevel="1">
      <c r="A111" s="278" t="s">
        <v>445</v>
      </c>
      <c r="B111" s="9">
        <v>6666010185</v>
      </c>
      <c r="C111" s="9" t="s">
        <v>106</v>
      </c>
      <c r="D111" s="9" t="s">
        <v>109</v>
      </c>
      <c r="E111" s="11">
        <v>-0.18543999999999999</v>
      </c>
      <c r="F111" s="25">
        <v>-4.7390000000000002E-2</v>
      </c>
      <c r="G111" s="25">
        <v>0</v>
      </c>
      <c r="H111" s="25">
        <v>0</v>
      </c>
      <c r="I111" s="25">
        <v>-0.62645999999999991</v>
      </c>
      <c r="J111" s="25">
        <v>-0.13696</v>
      </c>
      <c r="K111" s="25">
        <v>-0.30537999999999998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f t="shared" si="15"/>
        <v>-1.3016299999999998</v>
      </c>
      <c r="R111" s="46"/>
      <c r="S111" s="93"/>
    </row>
    <row r="112" spans="1:19" outlineLevel="1">
      <c r="A112" s="278" t="s">
        <v>445</v>
      </c>
      <c r="B112" s="9">
        <v>6666010207</v>
      </c>
      <c r="C112" s="9" t="s">
        <v>107</v>
      </c>
      <c r="D112" s="9" t="s">
        <v>109</v>
      </c>
      <c r="E112" s="11">
        <v>1.1587000000000003</v>
      </c>
      <c r="F112" s="25">
        <v>1.0573600000000001</v>
      </c>
      <c r="G112" s="25">
        <v>1.2063899999999999</v>
      </c>
      <c r="H112" s="25">
        <v>1.1199499999999998</v>
      </c>
      <c r="I112" s="25">
        <v>1.2157500000000001</v>
      </c>
      <c r="J112" s="25">
        <v>1.1869700000000001</v>
      </c>
      <c r="K112" s="25">
        <v>1.0785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f t="shared" si="15"/>
        <v>8.0236200000000011</v>
      </c>
      <c r="R112" s="46"/>
      <c r="S112" s="93"/>
    </row>
    <row r="113" spans="1:19" customFormat="1" outlineLevel="1">
      <c r="A113" s="278" t="s">
        <v>445</v>
      </c>
      <c r="B113" s="9">
        <v>5102040406</v>
      </c>
      <c r="C113" s="9" t="s">
        <v>30</v>
      </c>
      <c r="D113" s="9" t="s">
        <v>32</v>
      </c>
      <c r="E113" s="11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f t="shared" si="15"/>
        <v>0</v>
      </c>
      <c r="R113" s="46"/>
      <c r="S113" s="93"/>
    </row>
    <row r="114" spans="1:19" outlineLevel="1">
      <c r="A114" s="278" t="s">
        <v>445</v>
      </c>
      <c r="B114" s="9">
        <v>6666010227</v>
      </c>
      <c r="C114" s="9" t="s">
        <v>108</v>
      </c>
      <c r="D114" s="9" t="s">
        <v>109</v>
      </c>
      <c r="E114" s="11">
        <v>1.7429899999999998</v>
      </c>
      <c r="F114" s="25">
        <v>1.4422300000000003</v>
      </c>
      <c r="G114" s="25">
        <v>1.5928799999999999</v>
      </c>
      <c r="H114" s="25">
        <v>1.6646399999999999</v>
      </c>
      <c r="I114" s="25">
        <v>1.7888000000000002</v>
      </c>
      <c r="J114" s="25">
        <v>1.7958899999999998</v>
      </c>
      <c r="K114" s="25">
        <v>1.8276999999999999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f t="shared" si="15"/>
        <v>11.855130000000001</v>
      </c>
      <c r="R114" s="46"/>
      <c r="S114" s="93"/>
    </row>
    <row r="115" spans="1:19" s="24" customFormat="1">
      <c r="A115" s="278"/>
      <c r="B115" s="37" t="s">
        <v>142</v>
      </c>
      <c r="C115" s="36" t="s">
        <v>109</v>
      </c>
      <c r="D115" s="38"/>
      <c r="E115" s="97">
        <f>SUM(E108:E114)</f>
        <v>115.16989000000001</v>
      </c>
      <c r="F115" s="178">
        <f>SUM(F108:F114)</f>
        <v>111.05252999999999</v>
      </c>
      <c r="G115" s="178">
        <f>SUM(G108:G114)</f>
        <v>104.43832999999998</v>
      </c>
      <c r="H115" s="178">
        <f>SUM(H108:H114)</f>
        <v>86.264239999999987</v>
      </c>
      <c r="I115" s="178">
        <f>SUM(I108:I114)</f>
        <v>107.57123</v>
      </c>
      <c r="J115" s="178">
        <f t="shared" ref="J115:P115" si="16">SUM(J108:J114)</f>
        <v>111.60063000000001</v>
      </c>
      <c r="K115" s="383">
        <f t="shared" si="16"/>
        <v>103.15370000000001</v>
      </c>
      <c r="L115" s="383">
        <f t="shared" si="16"/>
        <v>102.13246854517206</v>
      </c>
      <c r="M115" s="383">
        <f t="shared" si="16"/>
        <v>107.52925904504205</v>
      </c>
      <c r="N115" s="383">
        <f t="shared" si="16"/>
        <v>101.02732109817424</v>
      </c>
      <c r="O115" s="383">
        <f t="shared" si="16"/>
        <v>99.707366149152875</v>
      </c>
      <c r="P115" s="383">
        <f t="shared" si="16"/>
        <v>98.421457657149915</v>
      </c>
      <c r="Q115" s="178">
        <f>SUM(Q108:Q114)</f>
        <v>1248.068422494691</v>
      </c>
      <c r="R115" s="171"/>
      <c r="S115" s="93"/>
    </row>
    <row r="116" spans="1:19" outlineLevel="1">
      <c r="A116" s="278" t="s">
        <v>445</v>
      </c>
      <c r="B116" s="9">
        <v>6666020903</v>
      </c>
      <c r="C116" s="9" t="s">
        <v>110</v>
      </c>
      <c r="D116" s="9" t="s">
        <v>123</v>
      </c>
      <c r="E116" s="11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f t="shared" ref="Q116:Q130" si="17">F116+E116+G116+H116+I116+J116+K116+L116+M116+N116+O116+P116</f>
        <v>0</v>
      </c>
      <c r="R116" s="46"/>
      <c r="S116" s="93"/>
    </row>
    <row r="117" spans="1:19" outlineLevel="1">
      <c r="A117" s="278" t="s">
        <v>445</v>
      </c>
      <c r="B117" s="9">
        <v>6666010302</v>
      </c>
      <c r="C117" s="9" t="s">
        <v>111</v>
      </c>
      <c r="D117" s="9" t="s">
        <v>123</v>
      </c>
      <c r="E117" s="11">
        <v>4.8017799999999999</v>
      </c>
      <c r="F117" s="25">
        <v>4.7122399999999995</v>
      </c>
      <c r="G117" s="25">
        <v>4.6239999999999997</v>
      </c>
      <c r="H117" s="25">
        <v>-9.4415800000000001</v>
      </c>
      <c r="I117" s="25">
        <v>-1.00414</v>
      </c>
      <c r="J117" s="25">
        <v>3.06121</v>
      </c>
      <c r="K117" s="25">
        <v>1.78803</v>
      </c>
      <c r="L117" s="25">
        <v>4.352455595763927</v>
      </c>
      <c r="M117" s="25">
        <v>4.3179122973848481</v>
      </c>
      <c r="N117" s="25">
        <v>4.243648449518278</v>
      </c>
      <c r="O117" s="25">
        <v>4.1706618668484294</v>
      </c>
      <c r="P117" s="25">
        <v>4.0989305816692179</v>
      </c>
      <c r="Q117" s="25">
        <f t="shared" si="17"/>
        <v>29.725148791184701</v>
      </c>
      <c r="R117" s="46"/>
      <c r="S117" s="93"/>
    </row>
    <row r="118" spans="1:19" outlineLevel="1">
      <c r="A118" s="278" t="s">
        <v>445</v>
      </c>
      <c r="B118" s="9">
        <v>6666010314</v>
      </c>
      <c r="C118" s="9" t="s">
        <v>112</v>
      </c>
      <c r="D118" s="9" t="s">
        <v>123</v>
      </c>
      <c r="E118" s="11">
        <v>5.2773500000000002</v>
      </c>
      <c r="F118" s="25">
        <v>50.445410000000003</v>
      </c>
      <c r="G118" s="25">
        <v>0.11913</v>
      </c>
      <c r="H118" s="25">
        <v>0.35102999999999995</v>
      </c>
      <c r="I118" s="25">
        <v>6.2596300000000005</v>
      </c>
      <c r="J118" s="25">
        <v>0</v>
      </c>
      <c r="K118" s="25">
        <v>-0.96969000000000005</v>
      </c>
      <c r="L118" s="25">
        <v>1.5285849107415368</v>
      </c>
      <c r="M118" s="25">
        <v>1.5045799193002094</v>
      </c>
      <c r="N118" s="25">
        <v>1.4813172225411906</v>
      </c>
      <c r="O118" s="25">
        <v>1.4595548050879421</v>
      </c>
      <c r="P118" s="25">
        <v>1.4384225642411856</v>
      </c>
      <c r="Q118" s="25">
        <f t="shared" si="17"/>
        <v>68.895319421912063</v>
      </c>
      <c r="R118" s="46"/>
      <c r="S118" s="93"/>
    </row>
    <row r="119" spans="1:19" outlineLevel="1">
      <c r="A119" s="278" t="s">
        <v>445</v>
      </c>
      <c r="B119" s="9">
        <v>6666010315</v>
      </c>
      <c r="C119" s="9" t="s">
        <v>468</v>
      </c>
      <c r="D119" s="9" t="s">
        <v>123</v>
      </c>
      <c r="E119" s="11">
        <v>11.72316</v>
      </c>
      <c r="F119" s="25">
        <v>69.532640000000001</v>
      </c>
      <c r="G119" s="25">
        <v>2.1007499999999997</v>
      </c>
      <c r="H119" s="25">
        <v>0.62073999999999996</v>
      </c>
      <c r="I119" s="25">
        <v>4.7363600000000003</v>
      </c>
      <c r="J119" s="25">
        <v>3.5049999999999998E-2</v>
      </c>
      <c r="K119" s="25">
        <v>0</v>
      </c>
      <c r="L119" s="25">
        <v>10.711191699819715</v>
      </c>
      <c r="M119" s="25">
        <v>10.626182241884637</v>
      </c>
      <c r="N119" s="25">
        <v>10.541847462187141</v>
      </c>
      <c r="O119" s="25">
        <v>10.360538046375567</v>
      </c>
      <c r="P119" s="25">
        <v>10.182346974324881</v>
      </c>
      <c r="Q119" s="25">
        <f t="shared" si="17"/>
        <v>141.17080642459192</v>
      </c>
      <c r="R119" s="46"/>
      <c r="S119" s="93"/>
    </row>
    <row r="120" spans="1:19" outlineLevel="1">
      <c r="A120" s="278" t="s">
        <v>445</v>
      </c>
      <c r="B120" s="9">
        <v>6666020401</v>
      </c>
      <c r="C120" s="9" t="s">
        <v>113</v>
      </c>
      <c r="D120" s="9" t="s">
        <v>123</v>
      </c>
      <c r="E120" s="11">
        <v>31.345740000000003</v>
      </c>
      <c r="F120" s="25">
        <v>36.947710000000001</v>
      </c>
      <c r="G120" s="25">
        <v>25.87161</v>
      </c>
      <c r="H120" s="25">
        <v>40.551190000000005</v>
      </c>
      <c r="I120" s="25">
        <v>35.946370000000002</v>
      </c>
      <c r="J120" s="25">
        <v>38.192610000000002</v>
      </c>
      <c r="K120" s="25">
        <v>37.509550000000004</v>
      </c>
      <c r="L120" s="25">
        <v>35.527149811224575</v>
      </c>
      <c r="M120" s="25">
        <v>80.694738984298752</v>
      </c>
      <c r="N120" s="25">
        <v>37.832307484663083</v>
      </c>
      <c r="O120" s="25">
        <v>39.559616951940264</v>
      </c>
      <c r="P120" s="25">
        <v>31.44027664576247</v>
      </c>
      <c r="Q120" s="25">
        <f t="shared" si="17"/>
        <v>471.41886987788916</v>
      </c>
      <c r="R120" s="46"/>
      <c r="S120" s="93"/>
    </row>
    <row r="121" spans="1:19" outlineLevel="1">
      <c r="A121" s="278" t="s">
        <v>445</v>
      </c>
      <c r="B121" s="9">
        <v>6666020402</v>
      </c>
      <c r="C121" s="9" t="s">
        <v>114</v>
      </c>
      <c r="D121" s="9" t="s">
        <v>123</v>
      </c>
      <c r="E121" s="11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f t="shared" si="17"/>
        <v>0</v>
      </c>
      <c r="R121" s="46"/>
      <c r="S121" s="93"/>
    </row>
    <row r="122" spans="1:19" outlineLevel="1">
      <c r="A122" s="278" t="s">
        <v>445</v>
      </c>
      <c r="B122" s="9">
        <v>6666020502</v>
      </c>
      <c r="C122" s="9" t="s">
        <v>115</v>
      </c>
      <c r="D122" s="9" t="s">
        <v>123</v>
      </c>
      <c r="E122" s="11">
        <v>22.043470000000003</v>
      </c>
      <c r="F122" s="25">
        <v>33.456169999999993</v>
      </c>
      <c r="G122" s="25">
        <v>17.301109999999998</v>
      </c>
      <c r="H122" s="25">
        <v>42.388100000000009</v>
      </c>
      <c r="I122" s="25">
        <v>35.374749999999999</v>
      </c>
      <c r="J122" s="25">
        <v>37.671399999999991</v>
      </c>
      <c r="K122" s="25">
        <v>34.572570000000006</v>
      </c>
      <c r="L122" s="25">
        <v>33.80438640002356</v>
      </c>
      <c r="M122" s="25">
        <v>34.83286163044928</v>
      </c>
      <c r="N122" s="25">
        <v>31.271857790196684</v>
      </c>
      <c r="O122" s="25">
        <v>32.317985601414634</v>
      </c>
      <c r="P122" s="25">
        <v>26.235266855404571</v>
      </c>
      <c r="Q122" s="25">
        <f t="shared" si="17"/>
        <v>381.26992827748876</v>
      </c>
      <c r="R122" s="46"/>
      <c r="S122" s="93"/>
    </row>
    <row r="123" spans="1:19" outlineLevel="1">
      <c r="A123" s="278" t="s">
        <v>445</v>
      </c>
      <c r="B123" s="9">
        <v>6666020503</v>
      </c>
      <c r="C123" s="9" t="s">
        <v>116</v>
      </c>
      <c r="D123" s="9" t="s">
        <v>123</v>
      </c>
      <c r="E123" s="11">
        <v>0.4098</v>
      </c>
      <c r="F123" s="25">
        <v>0.40442000000000006</v>
      </c>
      <c r="G123" s="25">
        <v>0</v>
      </c>
      <c r="H123" s="25">
        <v>0.87887999999999999</v>
      </c>
      <c r="I123" s="25">
        <v>0.37705</v>
      </c>
      <c r="J123" s="25">
        <v>0.42841999999999997</v>
      </c>
      <c r="K123" s="25">
        <v>0.24865000000000001</v>
      </c>
      <c r="L123" s="25">
        <v>1.6121533969359687</v>
      </c>
      <c r="M123" s="25">
        <v>1.5993585287063181</v>
      </c>
      <c r="N123" s="25">
        <v>1.5718511338637031</v>
      </c>
      <c r="O123" s="25">
        <v>1.5448168391780863</v>
      </c>
      <c r="P123" s="25">
        <v>1.518247507791731</v>
      </c>
      <c r="Q123" s="25">
        <f t="shared" si="17"/>
        <v>10.593647406475807</v>
      </c>
      <c r="R123" s="46"/>
      <c r="S123" s="93"/>
    </row>
    <row r="124" spans="1:19" outlineLevel="1">
      <c r="A124" s="278" t="s">
        <v>445</v>
      </c>
      <c r="B124" s="9">
        <v>6666021500</v>
      </c>
      <c r="C124" s="9" t="s">
        <v>117</v>
      </c>
      <c r="D124" s="9" t="s">
        <v>123</v>
      </c>
      <c r="E124" s="11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5">
        <v>11</v>
      </c>
      <c r="M124" s="25">
        <v>11</v>
      </c>
      <c r="N124" s="25">
        <v>11</v>
      </c>
      <c r="O124" s="25">
        <v>11</v>
      </c>
      <c r="P124" s="25">
        <v>11</v>
      </c>
      <c r="Q124" s="25">
        <f t="shared" si="17"/>
        <v>55</v>
      </c>
      <c r="R124" s="46"/>
      <c r="S124" s="93"/>
    </row>
    <row r="125" spans="1:19" outlineLevel="1">
      <c r="A125" s="278" t="s">
        <v>445</v>
      </c>
      <c r="B125" s="9">
        <v>6666021502</v>
      </c>
      <c r="C125" s="9" t="s">
        <v>118</v>
      </c>
      <c r="D125" s="9" t="s">
        <v>123</v>
      </c>
      <c r="E125" s="11">
        <v>19</v>
      </c>
      <c r="F125" s="25">
        <v>10.365620000000002</v>
      </c>
      <c r="G125" s="25">
        <v>35.322600000000001</v>
      </c>
      <c r="H125" s="25">
        <v>21.027660000000001</v>
      </c>
      <c r="I125" s="25">
        <v>35.261199999999995</v>
      </c>
      <c r="J125" s="25">
        <v>0.69722000000000006</v>
      </c>
      <c r="K125" s="25">
        <v>-1.98475</v>
      </c>
      <c r="L125" s="25">
        <v>30.407653151223446</v>
      </c>
      <c r="M125" s="25">
        <v>30.166322570658181</v>
      </c>
      <c r="N125" s="25">
        <v>29.647491469934327</v>
      </c>
      <c r="O125" s="25">
        <v>29.137583754235209</v>
      </c>
      <c r="P125" s="25">
        <v>28.63644595010831</v>
      </c>
      <c r="Q125" s="25">
        <f t="shared" si="17"/>
        <v>267.68504689615952</v>
      </c>
      <c r="R125" s="46"/>
      <c r="S125" s="93"/>
    </row>
    <row r="126" spans="1:19" outlineLevel="1">
      <c r="A126" s="278" t="s">
        <v>445</v>
      </c>
      <c r="B126" s="9">
        <v>6666021503</v>
      </c>
      <c r="C126" s="9" t="s">
        <v>119</v>
      </c>
      <c r="D126" s="9" t="s">
        <v>123</v>
      </c>
      <c r="E126" s="11">
        <v>8.9554500000000008</v>
      </c>
      <c r="F126" s="25">
        <v>11.842760000000002</v>
      </c>
      <c r="G126" s="25">
        <v>6.5140599999999997</v>
      </c>
      <c r="H126" s="25">
        <v>1.3446500000000001</v>
      </c>
      <c r="I126" s="25">
        <v>8.2596699999999998</v>
      </c>
      <c r="J126" s="25">
        <v>6.5968500000000008</v>
      </c>
      <c r="K126" s="25">
        <v>3.2855599999999998</v>
      </c>
      <c r="L126" s="25">
        <v>7.5</v>
      </c>
      <c r="M126" s="25">
        <v>7.5000000000000009</v>
      </c>
      <c r="N126" s="25">
        <v>7.5</v>
      </c>
      <c r="O126" s="25">
        <v>7.5</v>
      </c>
      <c r="P126" s="25">
        <v>7.4999999999999991</v>
      </c>
      <c r="Q126" s="25">
        <f t="shared" si="17"/>
        <v>84.299000000000007</v>
      </c>
      <c r="R126" s="46"/>
      <c r="S126" s="93"/>
    </row>
    <row r="127" spans="1:19" outlineLevel="1">
      <c r="A127" s="278" t="s">
        <v>445</v>
      </c>
      <c r="B127" s="9">
        <v>6666021505</v>
      </c>
      <c r="C127" s="9" t="s">
        <v>120</v>
      </c>
      <c r="D127" s="9" t="s">
        <v>123</v>
      </c>
      <c r="E127" s="11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1.6799999999999999E-3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f t="shared" si="17"/>
        <v>1.6799999999999999E-3</v>
      </c>
      <c r="R127" s="46"/>
      <c r="S127" s="93"/>
    </row>
    <row r="128" spans="1:19" outlineLevel="1">
      <c r="A128" s="278" t="s">
        <v>445</v>
      </c>
      <c r="B128" s="9">
        <v>6666021506</v>
      </c>
      <c r="C128" s="9" t="s">
        <v>121</v>
      </c>
      <c r="D128" s="9" t="s">
        <v>123</v>
      </c>
      <c r="E128" s="11">
        <v>52.065870000000004</v>
      </c>
      <c r="F128" s="25">
        <v>25.056000000000001</v>
      </c>
      <c r="G128" s="25">
        <v>35.961980000000004</v>
      </c>
      <c r="H128" s="25">
        <v>-7.6593500000000008</v>
      </c>
      <c r="I128" s="25">
        <v>40.185580000000002</v>
      </c>
      <c r="J128" s="25">
        <v>23.210330000000003</v>
      </c>
      <c r="K128" s="25">
        <v>6.4398</v>
      </c>
      <c r="L128" s="25">
        <v>41.918658505096239</v>
      </c>
      <c r="M128" s="25">
        <v>41.585970739182777</v>
      </c>
      <c r="N128" s="25">
        <v>40.870732913201742</v>
      </c>
      <c r="O128" s="25">
        <v>40.167796474891148</v>
      </c>
      <c r="P128" s="25">
        <v>40.078430286897827</v>
      </c>
      <c r="Q128" s="25">
        <f t="shared" si="17"/>
        <v>379.88179891926973</v>
      </c>
      <c r="R128" s="46"/>
      <c r="S128" s="93"/>
    </row>
    <row r="129" spans="1:19" outlineLevel="2">
      <c r="A129" s="278" t="s">
        <v>445</v>
      </c>
      <c r="B129" s="9">
        <v>6666030300</v>
      </c>
      <c r="C129" s="9" t="s">
        <v>72</v>
      </c>
      <c r="D129" s="9" t="s">
        <v>80</v>
      </c>
      <c r="E129" s="11">
        <v>7.7004999999999999</v>
      </c>
      <c r="F129" s="25">
        <v>3.7899400000000001</v>
      </c>
      <c r="G129" s="25">
        <v>1.5252999999999999</v>
      </c>
      <c r="H129" s="25">
        <v>-3.7583699999999998</v>
      </c>
      <c r="I129" s="25">
        <v>1.80253</v>
      </c>
      <c r="J129" s="25">
        <v>1.4559900000000001</v>
      </c>
      <c r="K129" s="25">
        <v>-1.176E-2</v>
      </c>
      <c r="L129" s="25">
        <v>6.54772</v>
      </c>
      <c r="M129" s="25">
        <v>6.5290900000000001</v>
      </c>
      <c r="N129" s="25">
        <v>6.4890400000000001</v>
      </c>
      <c r="O129" s="25">
        <v>6.4496799999999999</v>
      </c>
      <c r="P129" s="25">
        <v>6.41099</v>
      </c>
      <c r="Q129" s="25">
        <f t="shared" si="17"/>
        <v>44.93065</v>
      </c>
      <c r="R129" s="46"/>
      <c r="S129" s="93"/>
    </row>
    <row r="130" spans="1:19" outlineLevel="1">
      <c r="A130" s="278" t="s">
        <v>445</v>
      </c>
      <c r="B130" s="9">
        <v>6666091600</v>
      </c>
      <c r="C130" s="9" t="s">
        <v>122</v>
      </c>
      <c r="D130" s="9" t="s">
        <v>123</v>
      </c>
      <c r="E130" s="11">
        <v>0.77779999999999994</v>
      </c>
      <c r="F130" s="25">
        <v>0.79333000000000009</v>
      </c>
      <c r="G130" s="25">
        <v>0.64</v>
      </c>
      <c r="H130" s="25">
        <v>-0.20116999999999999</v>
      </c>
      <c r="I130" s="25">
        <v>7.2999999999999996E-4</v>
      </c>
      <c r="J130" s="25">
        <v>0</v>
      </c>
      <c r="K130" s="25">
        <v>1.20899</v>
      </c>
      <c r="L130" s="25">
        <v>0.60650870655918876</v>
      </c>
      <c r="M130" s="25">
        <v>0.60169514539602065</v>
      </c>
      <c r="N130" s="25">
        <v>0.59134658024178932</v>
      </c>
      <c r="O130" s="25">
        <v>0.58117600023763061</v>
      </c>
      <c r="P130" s="25">
        <v>0.57118034421388753</v>
      </c>
      <c r="Q130" s="25">
        <f t="shared" si="17"/>
        <v>6.1715867766485175</v>
      </c>
      <c r="R130" s="46"/>
      <c r="S130" s="93"/>
    </row>
    <row r="131" spans="1:19" s="24" customFormat="1">
      <c r="A131" s="278"/>
      <c r="B131" s="37" t="s">
        <v>142</v>
      </c>
      <c r="C131" s="36" t="s">
        <v>123</v>
      </c>
      <c r="D131" s="38"/>
      <c r="E131" s="97">
        <f>SUM(E116:E130)</f>
        <v>164.10092000000003</v>
      </c>
      <c r="F131" s="178">
        <f>SUM(F116:F130)</f>
        <v>247.34623999999999</v>
      </c>
      <c r="G131" s="178">
        <f>SUM(G116:G130)</f>
        <v>129.98053999999999</v>
      </c>
      <c r="H131" s="178">
        <f>SUM(H116:H130)</f>
        <v>86.101779999999991</v>
      </c>
      <c r="I131" s="178">
        <f>SUM(I116:I130)</f>
        <v>167.19973000000002</v>
      </c>
      <c r="J131" s="178">
        <f t="shared" ref="J131:P131" si="18">SUM(J116:J130)</f>
        <v>111.35075999999999</v>
      </c>
      <c r="K131" s="383">
        <f t="shared" si="18"/>
        <v>82.086950000000016</v>
      </c>
      <c r="L131" s="383">
        <f t="shared" si="18"/>
        <v>185.51646217738815</v>
      </c>
      <c r="M131" s="383">
        <f t="shared" si="18"/>
        <v>230.95871205726104</v>
      </c>
      <c r="N131" s="383">
        <f t="shared" si="18"/>
        <v>183.04144050634793</v>
      </c>
      <c r="O131" s="383">
        <f t="shared" si="18"/>
        <v>184.2494103402089</v>
      </c>
      <c r="P131" s="383">
        <f t="shared" si="18"/>
        <v>169.11053771041409</v>
      </c>
      <c r="Q131" s="178">
        <f>SUM(Q116:Q130)</f>
        <v>1941.0434827916206</v>
      </c>
      <c r="R131" s="171"/>
      <c r="S131" s="93"/>
    </row>
    <row r="132" spans="1:19" s="34" customFormat="1">
      <c r="A132" s="279"/>
      <c r="B132" s="13"/>
      <c r="C132" s="13"/>
      <c r="D132" s="13" t="s">
        <v>139</v>
      </c>
      <c r="E132" s="27">
        <f t="shared" ref="E132:J132" si="19">+E131+E115+E107+E99+E94+E91+E89+E87+E82+E28+E14+E23</f>
        <v>1172.9640699229888</v>
      </c>
      <c r="F132" s="27">
        <f t="shared" si="19"/>
        <v>1228.3915871954018</v>
      </c>
      <c r="G132" s="27">
        <f t="shared" si="19"/>
        <v>1147.5415998257256</v>
      </c>
      <c r="H132" s="27">
        <f t="shared" si="19"/>
        <v>695.92899838691483</v>
      </c>
      <c r="I132" s="27">
        <f t="shared" si="19"/>
        <v>1247.368184147067</v>
      </c>
      <c r="J132" s="27">
        <f t="shared" si="19"/>
        <v>1003.4058696374486</v>
      </c>
      <c r="K132" s="27">
        <f t="shared" ref="K132:P132" si="20">+K131+K115+K107+K99+K94+K91+K89+K87+K82+K28+K14+K23</f>
        <v>751.28675375174259</v>
      </c>
      <c r="L132" s="27">
        <f t="shared" si="20"/>
        <v>1148.1113396594646</v>
      </c>
      <c r="M132" s="27">
        <f t="shared" si="20"/>
        <v>1310.9261061529414</v>
      </c>
      <c r="N132" s="27">
        <f t="shared" si="20"/>
        <v>1255.0793667290513</v>
      </c>
      <c r="O132" s="27">
        <f t="shared" si="20"/>
        <v>1237.8985742222262</v>
      </c>
      <c r="P132" s="27">
        <f t="shared" si="20"/>
        <v>1202.1963243926964</v>
      </c>
      <c r="Q132" s="27">
        <f>+Q131+Q115+Q107+Q99+Q94+Q91+Q89+Q87+Q82+Q28+Q14+Q23</f>
        <v>13399.749504023668</v>
      </c>
      <c r="R132" s="30"/>
      <c r="S132" s="93"/>
    </row>
    <row r="133" spans="1:19"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8"/>
    </row>
    <row r="134" spans="1:19">
      <c r="E134" s="11"/>
      <c r="F134" s="11"/>
      <c r="G134" s="1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18"/>
    </row>
    <row r="135" spans="1:19"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8"/>
    </row>
    <row r="136" spans="1:19" outlineLevel="1">
      <c r="A136" s="281" t="s">
        <v>446</v>
      </c>
      <c r="B136" s="54">
        <v>6666110110</v>
      </c>
      <c r="C136" s="55" t="s">
        <v>18</v>
      </c>
      <c r="D136" s="55"/>
      <c r="E136" s="61">
        <v>7.0999999999999995E-3</v>
      </c>
      <c r="F136" s="63">
        <v>9.3269999999999992E-2</v>
      </c>
      <c r="G136" s="63">
        <v>0.10324999999999999</v>
      </c>
      <c r="H136" s="63">
        <v>9.9930000000000005E-2</v>
      </c>
      <c r="I136" s="63">
        <v>0.10326</v>
      </c>
      <c r="J136" s="63">
        <v>9.9930000000000005E-2</v>
      </c>
      <c r="K136" s="63">
        <v>0.10326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f>F136+E136+G136+H136+I136+J136+K136+L136+M136+N136+O136+P136</f>
        <v>0.61</v>
      </c>
      <c r="R136" s="28"/>
    </row>
    <row r="137" spans="1:19" outlineLevel="1">
      <c r="A137" s="281" t="s">
        <v>446</v>
      </c>
      <c r="B137" s="56">
        <v>6666110112</v>
      </c>
      <c r="C137" t="s">
        <v>19</v>
      </c>
      <c r="E137" s="62">
        <v>3.9500000000000004E-3</v>
      </c>
      <c r="F137" s="64">
        <v>5.2770000000000004E-2</v>
      </c>
      <c r="G137" s="64">
        <v>5.6280000000000004E-2</v>
      </c>
      <c r="H137" s="64">
        <v>5.0650000000000001E-2</v>
      </c>
      <c r="I137" s="64">
        <v>5.0779999999999999E-2</v>
      </c>
      <c r="J137" s="64">
        <v>4.9390000000000003E-2</v>
      </c>
      <c r="K137" s="64">
        <v>4.6719999999999998E-2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f>F137+E137+G137+H137+I137+J137+K137+L137+M137+N137+O137+P137</f>
        <v>0.31053999999999998</v>
      </c>
      <c r="R137" s="26"/>
    </row>
    <row r="138" spans="1:19" outlineLevel="1">
      <c r="A138" s="281" t="s">
        <v>446</v>
      </c>
      <c r="B138" s="56">
        <v>6666110207</v>
      </c>
      <c r="C138" t="s">
        <v>21</v>
      </c>
      <c r="E138" s="62">
        <v>1.3000000000000002E-4</v>
      </c>
      <c r="F138" s="64">
        <v>1.81E-3</v>
      </c>
      <c r="G138" s="64">
        <v>2E-3</v>
      </c>
      <c r="H138" s="64">
        <v>1.9399999999999999E-3</v>
      </c>
      <c r="I138" s="64">
        <v>4.0000000000000003E-5</v>
      </c>
      <c r="J138" s="64">
        <v>-7.79E-3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25">
        <f>F138+E138+G138+H138+I138+J138+K138+L138+M138+N138+O138+P138</f>
        <v>-1.8700000000000001E-3</v>
      </c>
      <c r="R138" s="26"/>
    </row>
    <row r="139" spans="1:19" outlineLevel="1">
      <c r="A139" s="281" t="s">
        <v>446</v>
      </c>
      <c r="B139" s="56">
        <v>6666110506</v>
      </c>
      <c r="C139" t="s">
        <v>22</v>
      </c>
      <c r="E139" s="62">
        <v>7.2699999999999996E-3</v>
      </c>
      <c r="F139" s="64">
        <v>9.2069999999999999E-2</v>
      </c>
      <c r="G139" s="64">
        <v>0.10195</v>
      </c>
      <c r="H139" s="64">
        <v>9.8640000000000005E-2</v>
      </c>
      <c r="I139" s="64">
        <v>0.10194</v>
      </c>
      <c r="J139" s="64">
        <v>9.8650000000000002E-2</v>
      </c>
      <c r="K139" s="64">
        <v>0.10188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25">
        <f>F139+E139+G139+H139+I139+J139+K139+L139+M139+N139+O139+P139</f>
        <v>0.60240000000000005</v>
      </c>
      <c r="R139" s="321"/>
    </row>
    <row r="140" spans="1:19">
      <c r="A140" s="281"/>
      <c r="B140" s="36" t="s">
        <v>131</v>
      </c>
      <c r="C140" s="36" t="s">
        <v>23</v>
      </c>
      <c r="D140" s="38"/>
      <c r="E140" s="22">
        <f>SUM(E136:E139)</f>
        <v>1.8450000000000001E-2</v>
      </c>
      <c r="F140" s="22">
        <f>SUM(F136:F139)</f>
        <v>0.23992000000000002</v>
      </c>
      <c r="G140" s="22">
        <f>SUM(G136:G139)</f>
        <v>0.26347999999999999</v>
      </c>
      <c r="H140" s="22">
        <f>SUM(H136:H139)</f>
        <v>0.25115999999999999</v>
      </c>
      <c r="I140" s="22">
        <f>SUM(I136:I139)</f>
        <v>0.25602000000000003</v>
      </c>
      <c r="J140" s="22">
        <f t="shared" ref="J140:P140" si="21">SUM(J136:J139)</f>
        <v>0.24018</v>
      </c>
      <c r="K140" s="22">
        <f t="shared" si="21"/>
        <v>0.25185999999999997</v>
      </c>
      <c r="L140" s="22">
        <f t="shared" si="21"/>
        <v>0</v>
      </c>
      <c r="M140" s="22">
        <f t="shared" si="21"/>
        <v>0</v>
      </c>
      <c r="N140" s="22">
        <f t="shared" si="21"/>
        <v>0</v>
      </c>
      <c r="O140" s="22">
        <f t="shared" si="21"/>
        <v>0</v>
      </c>
      <c r="P140" s="22">
        <f t="shared" si="21"/>
        <v>0</v>
      </c>
      <c r="Q140" s="22">
        <f>SUM(Q136:Q139)</f>
        <v>1.5210699999999999</v>
      </c>
      <c r="R140" s="23"/>
    </row>
    <row r="141" spans="1:19">
      <c r="A141" s="281" t="s">
        <v>446</v>
      </c>
      <c r="B141" s="293">
        <v>6666010380</v>
      </c>
      <c r="C141" s="1" t="s">
        <v>25</v>
      </c>
      <c r="D141" s="24"/>
      <c r="E141" s="290">
        <v>0</v>
      </c>
      <c r="F141" s="292">
        <v>0</v>
      </c>
      <c r="G141" s="292"/>
      <c r="H141" s="292">
        <v>0</v>
      </c>
      <c r="I141" s="292">
        <v>0</v>
      </c>
      <c r="J141" s="292">
        <v>0</v>
      </c>
      <c r="K141" s="292">
        <v>0</v>
      </c>
      <c r="L141" s="292">
        <v>0</v>
      </c>
      <c r="M141" s="292">
        <v>0</v>
      </c>
      <c r="N141" s="292">
        <v>0</v>
      </c>
      <c r="O141" s="292">
        <v>0</v>
      </c>
      <c r="P141" s="292">
        <v>0</v>
      </c>
      <c r="Q141" s="25">
        <f>F141+E141+G141+H141+I141+J141+K141+L141+M141+N141+O141+P141</f>
        <v>0</v>
      </c>
      <c r="R141" s="26"/>
    </row>
    <row r="142" spans="1:19" outlineLevel="1">
      <c r="A142" s="281" t="s">
        <v>446</v>
      </c>
      <c r="B142" s="56">
        <v>5102040406</v>
      </c>
      <c r="C142" t="s">
        <v>168</v>
      </c>
      <c r="E142" s="62">
        <v>0</v>
      </c>
      <c r="F142" s="64">
        <v>-2.1465999999999998</v>
      </c>
      <c r="G142" s="64">
        <v>-3.21366</v>
      </c>
      <c r="H142" s="64">
        <v>-5.4745100000000004</v>
      </c>
      <c r="I142" s="64">
        <v>-3.21366</v>
      </c>
      <c r="J142" s="64">
        <v>-3.2136499999999999</v>
      </c>
      <c r="K142" s="64">
        <v>-5.7048999999999994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25">
        <f>F142+E142+G142+H142+I142+J142+K142+L142+M142+N142+O142+P142</f>
        <v>-22.96698</v>
      </c>
      <c r="R142" s="26"/>
    </row>
    <row r="143" spans="1:19">
      <c r="A143" s="281"/>
      <c r="B143" s="36" t="s">
        <v>132</v>
      </c>
      <c r="C143" s="36" t="s">
        <v>32</v>
      </c>
      <c r="D143" s="38"/>
      <c r="E143" s="22">
        <f>+E142+E141</f>
        <v>0</v>
      </c>
      <c r="F143" s="22">
        <f>+F142+F141</f>
        <v>-2.1465999999999998</v>
      </c>
      <c r="G143" s="22">
        <f>SUM(G141:G142)</f>
        <v>-3.21366</v>
      </c>
      <c r="H143" s="22">
        <f>+H142</f>
        <v>-5.4745100000000004</v>
      </c>
      <c r="I143" s="22">
        <f>+I142</f>
        <v>-3.21366</v>
      </c>
      <c r="J143" s="22">
        <f t="shared" ref="J143:P143" si="22">+J142</f>
        <v>-3.2136499999999999</v>
      </c>
      <c r="K143" s="22">
        <f t="shared" si="22"/>
        <v>-5.7048999999999994</v>
      </c>
      <c r="L143" s="22">
        <f t="shared" si="22"/>
        <v>0</v>
      </c>
      <c r="M143" s="22">
        <f t="shared" si="22"/>
        <v>0</v>
      </c>
      <c r="N143" s="22">
        <f t="shared" si="22"/>
        <v>0</v>
      </c>
      <c r="O143" s="22">
        <f t="shared" si="22"/>
        <v>0</v>
      </c>
      <c r="P143" s="22">
        <f t="shared" si="22"/>
        <v>0</v>
      </c>
      <c r="Q143" s="22">
        <f>+Q142+Q141</f>
        <v>-22.96698</v>
      </c>
      <c r="R143" s="23"/>
    </row>
    <row r="144" spans="1:19" outlineLevel="2">
      <c r="A144" s="281" t="s">
        <v>446</v>
      </c>
      <c r="B144" s="56">
        <v>6666029996</v>
      </c>
      <c r="C144" t="s">
        <v>169</v>
      </c>
      <c r="E144" s="62">
        <v>7.8269999999999992E-2</v>
      </c>
      <c r="F144" s="64">
        <v>-6.3780000000000003E-2</v>
      </c>
      <c r="G144" s="64">
        <v>1.2919999999999999E-2</v>
      </c>
      <c r="H144" s="64">
        <v>4.15E-3</v>
      </c>
      <c r="I144" s="64">
        <v>1.9769999999999999E-2</v>
      </c>
      <c r="J144" s="64">
        <v>9.9900000000000006E-3</v>
      </c>
      <c r="K144" s="64">
        <v>1.2099999999999997E-3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f t="shared" ref="Q144:Q166" si="23">F144+E144+G144+H144+I144+J144+K144+L144+M144+N144+O144+P144</f>
        <v>6.2529999999999988E-2</v>
      </c>
      <c r="R144" s="26"/>
    </row>
    <row r="145" spans="1:18">
      <c r="A145" s="281" t="s">
        <v>446</v>
      </c>
      <c r="B145" s="56">
        <v>6666029700</v>
      </c>
      <c r="C145" s="275" t="s">
        <v>38</v>
      </c>
      <c r="E145" s="62">
        <v>71.700729999999993</v>
      </c>
      <c r="F145" s="64">
        <v>14.318899999999999</v>
      </c>
      <c r="G145" s="64">
        <v>18.897729999999999</v>
      </c>
      <c r="H145" s="64">
        <v>-19.546730000000004</v>
      </c>
      <c r="I145" s="64">
        <v>75.300089999999997</v>
      </c>
      <c r="J145" s="64">
        <v>59.337960000000002</v>
      </c>
      <c r="K145" s="64">
        <v>41.591430000000003</v>
      </c>
      <c r="L145" s="64">
        <v>75.374697300623509</v>
      </c>
      <c r="M145" s="64">
        <v>81.983190993220063</v>
      </c>
      <c r="N145" s="64">
        <v>75.859097711241787</v>
      </c>
      <c r="O145" s="64">
        <v>75.539572596504087</v>
      </c>
      <c r="P145" s="64">
        <v>63.656601169989031</v>
      </c>
      <c r="Q145" s="64">
        <f t="shared" si="23"/>
        <v>634.01326977157839</v>
      </c>
      <c r="R145" s="26"/>
    </row>
    <row r="146" spans="1:18" outlineLevel="3">
      <c r="A146" s="281" t="s">
        <v>446</v>
      </c>
      <c r="B146" s="56">
        <v>6666010322</v>
      </c>
      <c r="C146" t="s">
        <v>39</v>
      </c>
      <c r="E146" s="62">
        <v>0.26835000000000003</v>
      </c>
      <c r="F146" s="64">
        <v>0.34917000000000004</v>
      </c>
      <c r="G146" s="64">
        <v>0.1343</v>
      </c>
      <c r="H146" s="64">
        <v>-6.1459999999999994E-2</v>
      </c>
      <c r="I146" s="64">
        <v>-0.30698999999999999</v>
      </c>
      <c r="J146" s="64">
        <v>-2.1000000000000001E-4</v>
      </c>
      <c r="K146" s="64">
        <v>2.1000000000000001E-4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f t="shared" si="23"/>
        <v>0.3833700000000001</v>
      </c>
      <c r="R146" s="26"/>
    </row>
    <row r="147" spans="1:18" outlineLevel="3">
      <c r="A147" s="281" t="s">
        <v>446</v>
      </c>
      <c r="B147" s="56">
        <v>6666020495</v>
      </c>
      <c r="C147" t="s">
        <v>40</v>
      </c>
      <c r="E147" s="62">
        <v>1.8769999999999998E-2</v>
      </c>
      <c r="F147" s="64">
        <v>6.6200000000000009E-2</v>
      </c>
      <c r="G147" s="64">
        <v>5.951E-2</v>
      </c>
      <c r="H147" s="64">
        <v>6.0600000000000001E-2</v>
      </c>
      <c r="I147" s="64">
        <v>8.9000000000000006E-4</v>
      </c>
      <c r="J147" s="64">
        <v>2.7799999999999998E-2</v>
      </c>
      <c r="K147" s="64">
        <v>9.4370000000000009E-2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f t="shared" si="23"/>
        <v>0.32813999999999999</v>
      </c>
      <c r="R147" s="26"/>
    </row>
    <row r="148" spans="1:18" outlineLevel="3">
      <c r="A148" s="281" t="s">
        <v>446</v>
      </c>
      <c r="B148" s="56">
        <v>5301999999</v>
      </c>
      <c r="C148" s="1" t="s">
        <v>47</v>
      </c>
      <c r="E148" s="62">
        <v>-0.29908999999999997</v>
      </c>
      <c r="F148" s="64">
        <v>0.27618999999999999</v>
      </c>
      <c r="G148" s="64">
        <v>-9.3810000000000004E-2</v>
      </c>
      <c r="H148" s="64">
        <v>-5.5599999999999998E-3</v>
      </c>
      <c r="I148" s="64">
        <v>-5.5500000000000002E-3</v>
      </c>
      <c r="J148" s="64">
        <v>-4.5899999999999995E-3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f t="shared" si="23"/>
        <v>-0.13241</v>
      </c>
      <c r="R148" s="26"/>
    </row>
    <row r="149" spans="1:18" outlineLevel="3">
      <c r="A149" s="281" t="s">
        <v>446</v>
      </c>
      <c r="B149" s="56">
        <v>5301060000</v>
      </c>
      <c r="C149" t="s">
        <v>46</v>
      </c>
      <c r="E149" s="62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f t="shared" si="23"/>
        <v>0</v>
      </c>
      <c r="R149" s="26"/>
    </row>
    <row r="150" spans="1:18" outlineLevel="3">
      <c r="A150" s="281" t="s">
        <v>446</v>
      </c>
      <c r="B150" s="56">
        <v>5601050000</v>
      </c>
      <c r="C150" t="s">
        <v>49</v>
      </c>
      <c r="E150" s="62">
        <v>4.5199999999999997E-3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f t="shared" si="23"/>
        <v>4.5199999999999997E-3</v>
      </c>
      <c r="R150" s="26"/>
    </row>
    <row r="151" spans="1:18" outlineLevel="3">
      <c r="A151" s="281" t="s">
        <v>446</v>
      </c>
      <c r="B151" s="56">
        <v>5601050100</v>
      </c>
      <c r="C151" t="s">
        <v>50</v>
      </c>
      <c r="E151" s="62">
        <v>0</v>
      </c>
      <c r="F151" s="64">
        <v>-2.5161500000000001</v>
      </c>
      <c r="G151" s="64">
        <v>0.16444999999999999</v>
      </c>
      <c r="H151" s="64">
        <v>1.82877</v>
      </c>
      <c r="I151" s="64">
        <v>52.922780000000003</v>
      </c>
      <c r="J151" s="64">
        <v>0</v>
      </c>
      <c r="K151" s="64">
        <v>4.2349999999999999E-2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f t="shared" si="23"/>
        <v>52.4422</v>
      </c>
      <c r="R151" s="26"/>
    </row>
    <row r="152" spans="1:18">
      <c r="A152" s="281" t="s">
        <v>446</v>
      </c>
      <c r="B152" s="56">
        <v>5601080000</v>
      </c>
      <c r="C152" t="s">
        <v>170</v>
      </c>
      <c r="E152" s="62">
        <v>0.82921</v>
      </c>
      <c r="F152" s="64">
        <v>0</v>
      </c>
      <c r="G152" s="64">
        <v>0.59792000000000001</v>
      </c>
      <c r="H152" s="64">
        <v>0</v>
      </c>
      <c r="I152" s="64">
        <v>0</v>
      </c>
      <c r="J152" s="64">
        <v>1.0960000000000001E-2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f t="shared" si="23"/>
        <v>1.4380900000000001</v>
      </c>
      <c r="R152" s="26"/>
    </row>
    <row r="153" spans="1:18">
      <c r="A153" s="281" t="s">
        <v>446</v>
      </c>
      <c r="B153" s="56">
        <v>6666020101</v>
      </c>
      <c r="C153" t="s">
        <v>52</v>
      </c>
      <c r="E153" s="62">
        <v>0</v>
      </c>
      <c r="F153" s="64">
        <v>0.33135000000000003</v>
      </c>
      <c r="G153" s="64">
        <v>1.43258</v>
      </c>
      <c r="H153" s="64">
        <v>0.51529000000000003</v>
      </c>
      <c r="I153" s="64">
        <v>5.7519999999999995E-2</v>
      </c>
      <c r="J153" s="64">
        <v>0.82293999999999989</v>
      </c>
      <c r="K153" s="64">
        <v>7.757E-2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f t="shared" si="23"/>
        <v>3.23725</v>
      </c>
      <c r="R153" s="26"/>
    </row>
    <row r="154" spans="1:18" outlineLevel="1">
      <c r="A154" s="281" t="s">
        <v>446</v>
      </c>
      <c r="B154" s="56">
        <v>6666020201</v>
      </c>
      <c r="C154" t="s">
        <v>53</v>
      </c>
      <c r="E154" s="62">
        <v>1.091E-2</v>
      </c>
      <c r="F154" s="64">
        <v>8.3709999999999993E-2</v>
      </c>
      <c r="G154" s="64">
        <v>5.0499999999999998E-3</v>
      </c>
      <c r="H154" s="64">
        <v>5.9709999999999999E-2</v>
      </c>
      <c r="I154" s="64">
        <v>0.26205000000000001</v>
      </c>
      <c r="J154" s="64">
        <v>8.7290000000000006E-2</v>
      </c>
      <c r="K154" s="64">
        <v>0.67524000000000006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f t="shared" si="23"/>
        <v>1.1839599999999999</v>
      </c>
      <c r="R154" s="26"/>
    </row>
    <row r="155" spans="1:18" outlineLevel="1">
      <c r="A155" s="281" t="s">
        <v>446</v>
      </c>
      <c r="B155" s="56">
        <v>6666020202</v>
      </c>
      <c r="C155" t="s">
        <v>54</v>
      </c>
      <c r="E155" s="62">
        <v>0</v>
      </c>
      <c r="F155" s="64">
        <v>1.5799100000000001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f t="shared" si="23"/>
        <v>1.5799100000000001</v>
      </c>
      <c r="R155" s="26"/>
    </row>
    <row r="156" spans="1:18" outlineLevel="1">
      <c r="A156" s="281" t="s">
        <v>446</v>
      </c>
      <c r="B156" s="56">
        <v>6666020204</v>
      </c>
      <c r="C156" t="s">
        <v>55</v>
      </c>
      <c r="E156" s="62">
        <v>0.12303</v>
      </c>
      <c r="F156" s="64">
        <v>0</v>
      </c>
      <c r="G156" s="64">
        <v>-0.91313999999999995</v>
      </c>
      <c r="H156" s="64">
        <v>4.2680000000000003E-2</v>
      </c>
      <c r="I156" s="64">
        <v>1.2870000000000001E-2</v>
      </c>
      <c r="J156" s="64">
        <v>0.63237999999999994</v>
      </c>
      <c r="K156" s="64">
        <v>8.3260000000000001E-2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f t="shared" si="23"/>
        <v>-1.8919999999999937E-2</v>
      </c>
      <c r="R156" s="26"/>
    </row>
    <row r="157" spans="1:18" outlineLevel="1">
      <c r="A157" s="281" t="s">
        <v>446</v>
      </c>
      <c r="B157" s="56">
        <v>6666020301</v>
      </c>
      <c r="C157" t="s">
        <v>143</v>
      </c>
      <c r="E157" s="62">
        <v>1.5050000000000001E-2</v>
      </c>
      <c r="F157" s="64">
        <v>5.8709999999999998E-2</v>
      </c>
      <c r="G157" s="64">
        <v>0.1333</v>
      </c>
      <c r="H157" s="64">
        <v>0.12232</v>
      </c>
      <c r="I157" s="64">
        <v>-5.3429999999999998E-2</v>
      </c>
      <c r="J157" s="64">
        <v>2.8070000000000001E-2</v>
      </c>
      <c r="K157" s="64">
        <v>-1.2359999999999999E-2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f t="shared" si="23"/>
        <v>0.29166000000000003</v>
      </c>
      <c r="R157" s="26"/>
    </row>
    <row r="158" spans="1:18" outlineLevel="1">
      <c r="A158" s="281" t="s">
        <v>446</v>
      </c>
      <c r="B158" s="56">
        <v>6666020403</v>
      </c>
      <c r="C158" t="s">
        <v>401</v>
      </c>
      <c r="E158" s="62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f t="shared" si="23"/>
        <v>0</v>
      </c>
      <c r="R158" s="26"/>
    </row>
    <row r="159" spans="1:18" outlineLevel="1">
      <c r="A159" s="281" t="s">
        <v>446</v>
      </c>
      <c r="B159" s="56">
        <v>6666020504</v>
      </c>
      <c r="C159" s="1" t="s">
        <v>60</v>
      </c>
      <c r="E159" s="62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f t="shared" si="23"/>
        <v>0</v>
      </c>
      <c r="R159" s="26"/>
    </row>
    <row r="160" spans="1:18" outlineLevel="1">
      <c r="A160" s="281" t="s">
        <v>446</v>
      </c>
      <c r="B160" s="56">
        <v>6666020508</v>
      </c>
      <c r="C160" t="s">
        <v>61</v>
      </c>
      <c r="E160" s="62">
        <v>1.704E-2</v>
      </c>
      <c r="F160" s="64">
        <v>5.978E-2</v>
      </c>
      <c r="G160" s="64">
        <v>0</v>
      </c>
      <c r="H160" s="64">
        <v>8.897999999999999E-2</v>
      </c>
      <c r="I160" s="64">
        <v>-1.3200000000000002E-3</v>
      </c>
      <c r="J160" s="64">
        <v>-1.7340000000000001E-2</v>
      </c>
      <c r="K160" s="64">
        <v>2.9389999999999999E-2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f t="shared" si="23"/>
        <v>0.17653000000000002</v>
      </c>
      <c r="R160" s="26"/>
    </row>
    <row r="161" spans="1:18" outlineLevel="1">
      <c r="A161" s="281" t="s">
        <v>446</v>
      </c>
      <c r="B161" s="56">
        <v>6666020602</v>
      </c>
      <c r="C161" t="s">
        <v>62</v>
      </c>
      <c r="E161" s="62">
        <v>-2.2339999999999999E-2</v>
      </c>
      <c r="F161" s="64">
        <v>0</v>
      </c>
      <c r="G161" s="64">
        <v>-1.001E-2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f t="shared" si="23"/>
        <v>-3.2349999999999997E-2</v>
      </c>
      <c r="R161" s="26"/>
    </row>
    <row r="162" spans="1:18">
      <c r="A162" s="281" t="s">
        <v>446</v>
      </c>
      <c r="B162" s="56">
        <v>6666020701</v>
      </c>
      <c r="C162" t="s">
        <v>63</v>
      </c>
      <c r="E162" s="62">
        <v>19.231279999999998</v>
      </c>
      <c r="F162" s="64">
        <v>18.687560000000001</v>
      </c>
      <c r="G162" s="64">
        <v>18.959419999999998</v>
      </c>
      <c r="H162" s="64">
        <v>18.959419999999998</v>
      </c>
      <c r="I162" s="64">
        <v>18.959419999999998</v>
      </c>
      <c r="J162" s="64">
        <v>-28.080869999999997</v>
      </c>
      <c r="K162" s="64">
        <v>9.2145400000000013</v>
      </c>
      <c r="L162" s="64">
        <v>19.231276326557211</v>
      </c>
      <c r="M162" s="64">
        <v>19.231276326557211</v>
      </c>
      <c r="N162" s="64">
        <v>19.231276326557211</v>
      </c>
      <c r="O162" s="64">
        <v>19.231276326557211</v>
      </c>
      <c r="P162" s="64">
        <v>19.231276326557211</v>
      </c>
      <c r="Q162" s="64">
        <f t="shared" si="23"/>
        <v>172.08715163278603</v>
      </c>
      <c r="R162" s="26"/>
    </row>
    <row r="163" spans="1:18">
      <c r="A163" s="281" t="s">
        <v>446</v>
      </c>
      <c r="B163" s="56">
        <v>6666020801</v>
      </c>
      <c r="C163" t="s">
        <v>144</v>
      </c>
      <c r="E163" s="62">
        <v>2.777E-2</v>
      </c>
      <c r="F163" s="64">
        <v>0.41520000000000001</v>
      </c>
      <c r="G163" s="64">
        <v>-0.11728</v>
      </c>
      <c r="H163" s="64">
        <v>0</v>
      </c>
      <c r="I163" s="64">
        <v>0</v>
      </c>
      <c r="J163" s="64">
        <v>-0.40473000000000003</v>
      </c>
      <c r="K163" s="64">
        <v>0.19187000000000001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f t="shared" si="23"/>
        <v>0.11283000000000001</v>
      </c>
      <c r="R163" s="26"/>
    </row>
    <row r="164" spans="1:18" outlineLevel="3">
      <c r="A164" s="281" t="s">
        <v>446</v>
      </c>
      <c r="B164" s="56">
        <v>6666020803</v>
      </c>
      <c r="C164" t="s">
        <v>65</v>
      </c>
      <c r="E164" s="62">
        <v>0.64084000000000008</v>
      </c>
      <c r="F164" s="64">
        <v>0.33071</v>
      </c>
      <c r="G164" s="64">
        <v>0.26491000000000003</v>
      </c>
      <c r="H164" s="64">
        <v>0.33199000000000001</v>
      </c>
      <c r="I164" s="64">
        <v>0.30199999999999999</v>
      </c>
      <c r="J164" s="64">
        <v>0.28132000000000001</v>
      </c>
      <c r="K164" s="64">
        <v>0.27886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f t="shared" si="23"/>
        <v>2.4306299999999998</v>
      </c>
      <c r="R164" s="26"/>
    </row>
    <row r="165" spans="1:18" outlineLevel="3">
      <c r="A165" s="281" t="s">
        <v>446</v>
      </c>
      <c r="B165" s="56">
        <v>6666021100</v>
      </c>
      <c r="C165" t="s">
        <v>66</v>
      </c>
      <c r="E165" s="62">
        <v>1.4211800000000001</v>
      </c>
      <c r="F165" s="64">
        <v>0.69753999999999994</v>
      </c>
      <c r="G165" s="64">
        <v>7.7277800000000001</v>
      </c>
      <c r="H165" s="64">
        <v>2.8862899999999998</v>
      </c>
      <c r="I165" s="64">
        <v>2.2810199999999998</v>
      </c>
      <c r="J165" s="64">
        <v>0.43844</v>
      </c>
      <c r="K165" s="64">
        <v>9.7013100000000012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f t="shared" si="23"/>
        <v>25.153560000000002</v>
      </c>
      <c r="R165" s="26"/>
    </row>
    <row r="166" spans="1:18" outlineLevel="3">
      <c r="A166" s="281" t="s">
        <v>446</v>
      </c>
      <c r="B166" s="56">
        <v>6666021102</v>
      </c>
      <c r="C166" t="s">
        <v>171</v>
      </c>
      <c r="E166" s="62">
        <v>0.16222</v>
      </c>
      <c r="F166" s="64">
        <v>3.2731300000000001</v>
      </c>
      <c r="G166" s="64">
        <v>-2.08135</v>
      </c>
      <c r="H166" s="64">
        <v>1.77559</v>
      </c>
      <c r="I166" s="64">
        <v>2.17069</v>
      </c>
      <c r="J166" s="64">
        <v>1.26217</v>
      </c>
      <c r="K166" s="64">
        <v>1.4971400000000001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f t="shared" si="23"/>
        <v>8.0595900000000018</v>
      </c>
      <c r="R166" s="26"/>
    </row>
    <row r="167" spans="1:18" outlineLevel="3">
      <c r="A167" s="281" t="s">
        <v>446</v>
      </c>
      <c r="B167" s="56">
        <v>6666021103</v>
      </c>
      <c r="C167" s="366" t="s">
        <v>566</v>
      </c>
      <c r="E167" s="62"/>
      <c r="F167" s="64"/>
      <c r="G167" s="64">
        <v>6.4341299999999997</v>
      </c>
      <c r="H167" s="64">
        <v>0</v>
      </c>
      <c r="I167" s="64">
        <v>0</v>
      </c>
      <c r="J167" s="64">
        <v>-0.23413</v>
      </c>
      <c r="K167" s="64">
        <v>9.61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/>
      <c r="R167" s="26"/>
    </row>
    <row r="168" spans="1:18" outlineLevel="3">
      <c r="A168" s="281" t="s">
        <v>446</v>
      </c>
      <c r="B168" s="56">
        <v>6666021104</v>
      </c>
      <c r="C168" t="s">
        <v>407</v>
      </c>
      <c r="E168" s="62">
        <v>-1.5499999999999999E-3</v>
      </c>
      <c r="F168" s="64">
        <v>0.12025</v>
      </c>
      <c r="G168" s="64">
        <v>0.24158000000000002</v>
      </c>
      <c r="H168" s="64">
        <v>-1.0890000000000014E-2</v>
      </c>
      <c r="I168" s="64">
        <v>0.12672</v>
      </c>
      <c r="J168" s="64">
        <v>0.11706</v>
      </c>
      <c r="K168" s="64">
        <v>0.12190000000000001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f t="shared" ref="Q168:Q186" si="24">F168+E168+G168+H168+I168+J168+K168+L168+M168+N168+O168+P168</f>
        <v>0.71506999999999998</v>
      </c>
      <c r="R168" s="26"/>
    </row>
    <row r="169" spans="1:18" outlineLevel="3">
      <c r="A169" s="281" t="s">
        <v>446</v>
      </c>
      <c r="B169" s="56">
        <v>6666021200</v>
      </c>
      <c r="C169" s="271" t="s">
        <v>465</v>
      </c>
      <c r="E169" s="62"/>
      <c r="F169" s="64">
        <f>2299.17/1000</f>
        <v>2.2991700000000002</v>
      </c>
      <c r="G169" s="64">
        <v>2.2991599999999996</v>
      </c>
      <c r="H169" s="64">
        <v>2.1700100000000004</v>
      </c>
      <c r="I169" s="64">
        <v>-2.1267600000000004</v>
      </c>
      <c r="J169" s="64">
        <v>-0.14657999999999999</v>
      </c>
      <c r="K169" s="64">
        <v>0.93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f t="shared" si="24"/>
        <v>5.4249999999999989</v>
      </c>
      <c r="R169" s="26"/>
    </row>
    <row r="170" spans="1:18" outlineLevel="3">
      <c r="A170" s="281" t="s">
        <v>446</v>
      </c>
      <c r="B170" s="56">
        <v>6666021300</v>
      </c>
      <c r="C170" t="s">
        <v>167</v>
      </c>
      <c r="E170" s="62">
        <v>0.69095000000000006</v>
      </c>
      <c r="F170" s="64">
        <v>0.1032</v>
      </c>
      <c r="G170" s="64">
        <v>0.11222</v>
      </c>
      <c r="H170" s="64">
        <v>0.30616999999999994</v>
      </c>
      <c r="I170" s="64">
        <v>0.87178</v>
      </c>
      <c r="J170" s="64">
        <v>1.0846000000000002</v>
      </c>
      <c r="K170" s="64">
        <v>-1.4975000000000001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f t="shared" si="24"/>
        <v>1.6714199999999999</v>
      </c>
      <c r="R170" s="26"/>
    </row>
    <row r="171" spans="1:18" outlineLevel="3">
      <c r="A171" s="281" t="s">
        <v>446</v>
      </c>
      <c r="B171" s="56">
        <v>6666021902</v>
      </c>
      <c r="C171" t="s">
        <v>67</v>
      </c>
      <c r="E171" s="62">
        <v>7.7849999999999989E-2</v>
      </c>
      <c r="F171" s="64">
        <v>-7.7849999999999989E-2</v>
      </c>
      <c r="G171" s="64">
        <v>0</v>
      </c>
      <c r="H171" s="64">
        <v>-2.9999999999999997E-5</v>
      </c>
      <c r="I171" s="64">
        <v>9.980000000000001E-3</v>
      </c>
      <c r="J171" s="64">
        <v>2.1929999999999998E-2</v>
      </c>
      <c r="K171" s="64">
        <v>0.35814000000000001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f t="shared" si="24"/>
        <v>0.39002000000000003</v>
      </c>
      <c r="R171" s="26"/>
    </row>
    <row r="172" spans="1:18" outlineLevel="3">
      <c r="A172" s="281" t="s">
        <v>446</v>
      </c>
      <c r="B172" s="56">
        <v>6666022100</v>
      </c>
      <c r="C172" t="s">
        <v>68</v>
      </c>
      <c r="E172" s="62">
        <v>7.1160000000000001E-2</v>
      </c>
      <c r="F172" s="64">
        <v>-7.1160000000000001E-2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f t="shared" si="24"/>
        <v>0</v>
      </c>
      <c r="R172" s="26"/>
    </row>
    <row r="173" spans="1:18">
      <c r="A173" s="281" t="s">
        <v>445</v>
      </c>
      <c r="B173" s="56">
        <v>6666022300</v>
      </c>
      <c r="C173" t="s">
        <v>69</v>
      </c>
      <c r="E173" s="62">
        <v>4.66974</v>
      </c>
      <c r="F173" s="64">
        <v>2.2962399999999996</v>
      </c>
      <c r="G173" s="64">
        <v>6.7563199999999997</v>
      </c>
      <c r="H173" s="64">
        <v>10.38653</v>
      </c>
      <c r="I173" s="64">
        <v>12.735370000000001</v>
      </c>
      <c r="J173" s="64">
        <v>1.1752899999999999</v>
      </c>
      <c r="K173" s="64">
        <v>5.5579799999999997</v>
      </c>
      <c r="L173" s="64">
        <v>3.3957158555684339</v>
      </c>
      <c r="M173" s="64">
        <v>3.8320278203383196</v>
      </c>
      <c r="N173" s="64">
        <v>4.1863137332167479</v>
      </c>
      <c r="O173" s="64">
        <v>4.0614399212513801</v>
      </c>
      <c r="P173" s="64">
        <v>4.4699198352809528</v>
      </c>
      <c r="Q173" s="64">
        <f t="shared" si="24"/>
        <v>63.522887165655831</v>
      </c>
      <c r="R173" s="26"/>
    </row>
    <row r="174" spans="1:18">
      <c r="A174" s="281" t="s">
        <v>446</v>
      </c>
      <c r="B174" s="56">
        <v>6666029900</v>
      </c>
      <c r="C174" t="s">
        <v>70</v>
      </c>
      <c r="E174" s="62">
        <v>4.4800000000000005E-3</v>
      </c>
      <c r="F174" s="64">
        <v>1.6719999999999999E-2</v>
      </c>
      <c r="G174" s="64">
        <v>9.2709999999999987E-2</v>
      </c>
      <c r="H174" s="64">
        <v>0.18492</v>
      </c>
      <c r="I174" s="64">
        <v>1.342E-2</v>
      </c>
      <c r="J174" s="64">
        <v>1.222E-2</v>
      </c>
      <c r="K174" s="64">
        <v>3.8399999999999997E-3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f t="shared" si="24"/>
        <v>0.32830999999999999</v>
      </c>
      <c r="R174" s="26"/>
    </row>
    <row r="175" spans="1:18">
      <c r="A175" s="281" t="s">
        <v>446</v>
      </c>
      <c r="B175" s="56">
        <v>6666029997</v>
      </c>
      <c r="C175" t="s">
        <v>71</v>
      </c>
      <c r="E175" s="62">
        <v>0</v>
      </c>
      <c r="F175" s="64">
        <v>2.6049799999999999</v>
      </c>
      <c r="G175" s="64">
        <v>-1.3380000000000001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f t="shared" si="24"/>
        <v>1.2669799999999998</v>
      </c>
      <c r="R175" s="26"/>
    </row>
    <row r="176" spans="1:18">
      <c r="A176" s="281" t="s">
        <v>446</v>
      </c>
      <c r="B176" s="56">
        <v>6666031100</v>
      </c>
      <c r="C176" s="1" t="s">
        <v>451</v>
      </c>
      <c r="E176" s="62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f t="shared" si="24"/>
        <v>0</v>
      </c>
      <c r="R176" s="26"/>
    </row>
    <row r="177" spans="1:18">
      <c r="A177" s="281" t="s">
        <v>446</v>
      </c>
      <c r="B177" s="56">
        <v>6666050107</v>
      </c>
      <c r="C177" t="s">
        <v>75</v>
      </c>
      <c r="E177" s="62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f t="shared" si="24"/>
        <v>0</v>
      </c>
      <c r="R177" s="26"/>
    </row>
    <row r="178" spans="1:18">
      <c r="A178" s="281" t="s">
        <v>446</v>
      </c>
      <c r="B178" s="56">
        <v>6666070400</v>
      </c>
      <c r="C178" s="1" t="s">
        <v>79</v>
      </c>
      <c r="E178" s="62">
        <v>0</v>
      </c>
      <c r="F178" s="64">
        <v>5.3719999999999997E-2</v>
      </c>
      <c r="G178" s="64">
        <v>5.4740000000000004E-2</v>
      </c>
      <c r="H178" s="64">
        <v>5.4009999999999996E-2</v>
      </c>
      <c r="I178" s="64">
        <v>5.4909999999999994E-2</v>
      </c>
      <c r="J178" s="64">
        <v>5.441E-2</v>
      </c>
      <c r="K178" s="64">
        <v>5.8830000000000007E-2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f t="shared" si="24"/>
        <v>0.33061999999999997</v>
      </c>
      <c r="R178" s="26"/>
    </row>
    <row r="179" spans="1:18">
      <c r="A179" s="281" t="s">
        <v>446</v>
      </c>
      <c r="B179" s="56">
        <v>6666079999</v>
      </c>
      <c r="C179" t="s">
        <v>172</v>
      </c>
      <c r="E179" s="62">
        <v>88.890339999999995</v>
      </c>
      <c r="F179" s="64">
        <v>89.415120000000002</v>
      </c>
      <c r="G179" s="64">
        <v>89.415120000000002</v>
      </c>
      <c r="H179" s="64">
        <v>89.415120000000002</v>
      </c>
      <c r="I179" s="64">
        <v>89.415120000000002</v>
      </c>
      <c r="J179" s="64">
        <v>89.415120000000002</v>
      </c>
      <c r="K179" s="64">
        <v>107.91024</v>
      </c>
      <c r="L179" s="64">
        <v>90.697222368004915</v>
      </c>
      <c r="M179" s="64">
        <v>90.697222368004915</v>
      </c>
      <c r="N179" s="64">
        <v>90.697222368004915</v>
      </c>
      <c r="O179" s="64">
        <v>90.697222368004915</v>
      </c>
      <c r="P179" s="64">
        <v>90.697222368004915</v>
      </c>
      <c r="Q179" s="64">
        <f t="shared" si="24"/>
        <v>1097.3622918400245</v>
      </c>
      <c r="R179" s="26"/>
    </row>
    <row r="180" spans="1:18">
      <c r="A180" s="281" t="s">
        <v>446</v>
      </c>
      <c r="B180" s="56">
        <v>6666090100</v>
      </c>
      <c r="C180" t="s">
        <v>452</v>
      </c>
      <c r="E180" s="62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f t="shared" si="24"/>
        <v>0</v>
      </c>
      <c r="R180" s="26"/>
    </row>
    <row r="181" spans="1:18">
      <c r="A181" s="281" t="s">
        <v>446</v>
      </c>
      <c r="B181" s="56">
        <v>6666093800</v>
      </c>
      <c r="C181" t="s">
        <v>173</v>
      </c>
      <c r="E181" s="62">
        <v>0.13338999999999998</v>
      </c>
      <c r="F181" s="64">
        <v>7.5719999999999996E-2</v>
      </c>
      <c r="G181" s="64">
        <v>0.99460000000000004</v>
      </c>
      <c r="H181" s="64">
        <v>5.7200000000000001E-2</v>
      </c>
      <c r="I181" s="64">
        <v>2.9049999999999999E-2</v>
      </c>
      <c r="J181" s="64">
        <v>3.986E-2</v>
      </c>
      <c r="K181" s="64">
        <v>8.2150000000000001E-2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f t="shared" si="24"/>
        <v>1.4119699999999999</v>
      </c>
      <c r="R181" s="26"/>
    </row>
    <row r="182" spans="1:18">
      <c r="A182" s="281" t="s">
        <v>446</v>
      </c>
      <c r="B182" s="56">
        <v>5401050201</v>
      </c>
      <c r="C182" s="294" t="s">
        <v>453</v>
      </c>
      <c r="E182" s="62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f t="shared" ref="Q182:Q185" si="25">F182+E182+G182+H182+I182+J182+K182+L182+M182+N182+O182+P182</f>
        <v>0</v>
      </c>
      <c r="R182" s="26"/>
    </row>
    <row r="183" spans="1:18">
      <c r="A183" s="281" t="s">
        <v>446</v>
      </c>
      <c r="B183" s="56">
        <v>6666020406</v>
      </c>
      <c r="C183" s="294" t="s">
        <v>570</v>
      </c>
      <c r="E183" s="62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0.22909000000000002</v>
      </c>
      <c r="K183" s="64">
        <v>0.20488000000000001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f t="shared" si="25"/>
        <v>0.43397000000000002</v>
      </c>
      <c r="R183" s="26"/>
    </row>
    <row r="184" spans="1:18">
      <c r="A184" s="281" t="s">
        <v>446</v>
      </c>
      <c r="B184" s="56">
        <v>6666020302</v>
      </c>
      <c r="C184" s="294" t="s">
        <v>571</v>
      </c>
      <c r="E184" s="62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7.1719999999999992E-2</v>
      </c>
      <c r="K184" s="64">
        <v>7.2099999999999997E-2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f t="shared" si="25"/>
        <v>0.14382</v>
      </c>
      <c r="R184" s="26"/>
    </row>
    <row r="185" spans="1:18">
      <c r="A185" s="281" t="s">
        <v>446</v>
      </c>
      <c r="B185" s="56">
        <v>5601040000</v>
      </c>
      <c r="C185" s="294" t="s">
        <v>572</v>
      </c>
      <c r="E185" s="62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7.79E-3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f t="shared" si="25"/>
        <v>7.79E-3</v>
      </c>
      <c r="R185" s="26"/>
    </row>
    <row r="186" spans="1:18">
      <c r="A186" s="281" t="s">
        <v>446</v>
      </c>
      <c r="B186" s="56">
        <v>6666021400</v>
      </c>
      <c r="C186" s="294" t="s">
        <v>573</v>
      </c>
      <c r="E186" s="62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0.94499999999999995</v>
      </c>
      <c r="K186" s="64">
        <v>-8.5629999999999998E-2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f t="shared" si="24"/>
        <v>0.85936999999999997</v>
      </c>
      <c r="R186" s="26"/>
    </row>
    <row r="187" spans="1:18">
      <c r="A187" s="281"/>
      <c r="B187" s="36" t="s">
        <v>133</v>
      </c>
      <c r="C187" s="36" t="s">
        <v>80</v>
      </c>
      <c r="D187" s="38"/>
      <c r="E187" s="22">
        <f>SUM(E144:E186)</f>
        <v>188.76410000000001</v>
      </c>
      <c r="F187" s="22">
        <f>SUM(F144:F186)</f>
        <v>134.78423999999998</v>
      </c>
      <c r="G187" s="22">
        <f>SUM(G144:G186)</f>
        <v>150.23685999999998</v>
      </c>
      <c r="H187" s="22">
        <f>SUM(H144:H181)</f>
        <v>109.62508</v>
      </c>
      <c r="I187" s="22">
        <f>SUM(I144:I181)</f>
        <v>253.05140000000003</v>
      </c>
      <c r="J187" s="22">
        <f>SUM(J144:J186)</f>
        <v>127.22496</v>
      </c>
      <c r="K187" s="22">
        <f t="shared" ref="K187:P187" si="26">SUM(K144:K181)</f>
        <v>186.60197000000002</v>
      </c>
      <c r="L187" s="22">
        <f t="shared" si="26"/>
        <v>188.69891185075409</v>
      </c>
      <c r="M187" s="22">
        <f t="shared" si="26"/>
        <v>195.74371750812051</v>
      </c>
      <c r="N187" s="22">
        <f t="shared" si="26"/>
        <v>189.97391013902066</v>
      </c>
      <c r="O187" s="22">
        <f t="shared" si="26"/>
        <v>189.52951121231757</v>
      </c>
      <c r="P187" s="22">
        <f t="shared" si="26"/>
        <v>178.05501969983209</v>
      </c>
      <c r="Q187" s="22">
        <f>SUM(Q144:Q186)</f>
        <v>2076.6710304100443</v>
      </c>
      <c r="R187" s="23"/>
    </row>
    <row r="188" spans="1:18" outlineLevel="1">
      <c r="A188" s="281" t="s">
        <v>446</v>
      </c>
      <c r="B188" s="56">
        <v>5102040000</v>
      </c>
      <c r="C188" t="s">
        <v>82</v>
      </c>
      <c r="E188" s="62">
        <v>-5.7090000000000002E-2</v>
      </c>
      <c r="F188" s="64">
        <v>-2.08704</v>
      </c>
      <c r="G188" s="64">
        <v>-0.15418000000000001</v>
      </c>
      <c r="H188" s="64">
        <v>6.3699999999999998E-3</v>
      </c>
      <c r="I188" s="64">
        <v>-0.14437</v>
      </c>
      <c r="J188" s="64">
        <v>-17.20795</v>
      </c>
      <c r="K188" s="64">
        <v>0.36205999999999999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f>F188+E188+G188+H188+I188+J188+K188+L188+M188+N188+O188+P188</f>
        <v>-19.2822</v>
      </c>
      <c r="R188" s="26"/>
    </row>
    <row r="189" spans="1:18">
      <c r="A189" s="281"/>
      <c r="B189" s="36" t="s">
        <v>134</v>
      </c>
      <c r="C189" s="36" t="s">
        <v>84</v>
      </c>
      <c r="D189" s="38"/>
      <c r="E189" s="22">
        <f>+E188</f>
        <v>-5.7090000000000002E-2</v>
      </c>
      <c r="F189" s="22">
        <f>+F188</f>
        <v>-2.08704</v>
      </c>
      <c r="G189" s="22">
        <f>+G188</f>
        <v>-0.15418000000000001</v>
      </c>
      <c r="H189" s="22">
        <f>+H188</f>
        <v>6.3699999999999998E-3</v>
      </c>
      <c r="I189" s="22">
        <f>+I188</f>
        <v>-0.14437</v>
      </c>
      <c r="J189" s="22">
        <f t="shared" ref="J189:P189" si="27">+J188</f>
        <v>-17.20795</v>
      </c>
      <c r="K189" s="22">
        <f t="shared" si="27"/>
        <v>0.36205999999999999</v>
      </c>
      <c r="L189" s="22">
        <f t="shared" si="27"/>
        <v>0</v>
      </c>
      <c r="M189" s="22">
        <f t="shared" si="27"/>
        <v>0</v>
      </c>
      <c r="N189" s="22">
        <f t="shared" si="27"/>
        <v>0</v>
      </c>
      <c r="O189" s="22">
        <f t="shared" si="27"/>
        <v>0</v>
      </c>
      <c r="P189" s="22">
        <f t="shared" si="27"/>
        <v>0</v>
      </c>
      <c r="Q189" s="22">
        <f>+Q188</f>
        <v>-19.2822</v>
      </c>
      <c r="R189" s="23"/>
    </row>
    <row r="190" spans="1:18">
      <c r="A190" s="281" t="s">
        <v>446</v>
      </c>
      <c r="B190" s="56">
        <v>6666021602</v>
      </c>
      <c r="C190" s="272" t="s">
        <v>89</v>
      </c>
      <c r="D190" s="24"/>
      <c r="E190" s="290"/>
      <c r="F190" s="292">
        <f>4.7/1000</f>
        <v>4.7000000000000002E-3</v>
      </c>
      <c r="G190" s="292">
        <f>9.65/1000</f>
        <v>9.6500000000000006E-3</v>
      </c>
      <c r="H190" s="292">
        <v>3.6170000000000001E-2</v>
      </c>
      <c r="I190" s="292">
        <v>1.5030000000000002E-2</v>
      </c>
      <c r="J190" s="292">
        <v>2.2789999999999998E-2</v>
      </c>
      <c r="K190" s="292">
        <v>6.0499999999999998E-3</v>
      </c>
      <c r="L190" s="292">
        <v>0</v>
      </c>
      <c r="M190" s="292">
        <v>0</v>
      </c>
      <c r="N190" s="292">
        <v>0</v>
      </c>
      <c r="O190" s="292">
        <v>0</v>
      </c>
      <c r="P190" s="292">
        <v>0</v>
      </c>
      <c r="Q190" s="64">
        <f>F190+E190+G190+H190+I190+J190+K190+L190+M190+N190+O190+P190</f>
        <v>9.4390000000000002E-2</v>
      </c>
      <c r="R190" s="26"/>
    </row>
    <row r="191" spans="1:18">
      <c r="A191" s="281" t="s">
        <v>446</v>
      </c>
      <c r="B191" s="36" t="s">
        <v>469</v>
      </c>
      <c r="C191" s="36" t="s">
        <v>90</v>
      </c>
      <c r="D191" s="38"/>
      <c r="E191" s="22">
        <f>+E190</f>
        <v>0</v>
      </c>
      <c r="F191" s="22">
        <f>+F190</f>
        <v>4.7000000000000002E-3</v>
      </c>
      <c r="G191" s="22">
        <f>+G190</f>
        <v>9.6500000000000006E-3</v>
      </c>
      <c r="H191" s="22">
        <f>+H190</f>
        <v>3.6170000000000001E-2</v>
      </c>
      <c r="I191" s="22">
        <f>+I190</f>
        <v>1.5030000000000002E-2</v>
      </c>
      <c r="J191" s="22">
        <f t="shared" ref="J191:P191" si="28">+J190</f>
        <v>2.2789999999999998E-2</v>
      </c>
      <c r="K191" s="22">
        <f t="shared" si="28"/>
        <v>6.0499999999999998E-3</v>
      </c>
      <c r="L191" s="22">
        <f t="shared" si="28"/>
        <v>0</v>
      </c>
      <c r="M191" s="22">
        <f t="shared" si="28"/>
        <v>0</v>
      </c>
      <c r="N191" s="22">
        <f t="shared" si="28"/>
        <v>0</v>
      </c>
      <c r="O191" s="22">
        <f t="shared" si="28"/>
        <v>0</v>
      </c>
      <c r="P191" s="22">
        <f t="shared" si="28"/>
        <v>0</v>
      </c>
      <c r="Q191" s="22">
        <f>+Q190</f>
        <v>9.4390000000000002E-2</v>
      </c>
      <c r="R191" s="23"/>
    </row>
    <row r="192" spans="1:18" outlineLevel="1">
      <c r="A192" s="281" t="s">
        <v>446</v>
      </c>
      <c r="B192" s="56">
        <v>6666021600</v>
      </c>
      <c r="C192" t="s">
        <v>91</v>
      </c>
      <c r="E192" s="62">
        <v>-4.5999999999999999E-2</v>
      </c>
      <c r="F192" s="64">
        <v>1.92021</v>
      </c>
      <c r="G192" s="64">
        <v>1.62521</v>
      </c>
      <c r="H192" s="64">
        <v>1.59456</v>
      </c>
      <c r="I192" s="64">
        <v>0.36957999999999991</v>
      </c>
      <c r="J192" s="64">
        <v>0.42356999999999995</v>
      </c>
      <c r="K192" s="64">
        <v>3.3968799999999999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f>F192+E192+G192+H192+I192+J192+K192+L192+M192+N192+O192+P192</f>
        <v>9.2840100000000003</v>
      </c>
      <c r="R192" s="26"/>
    </row>
    <row r="193" spans="1:18" outlineLevel="1">
      <c r="A193" s="281" t="s">
        <v>446</v>
      </c>
      <c r="B193" s="56">
        <v>6666021604</v>
      </c>
      <c r="C193" t="s">
        <v>93</v>
      </c>
      <c r="E193" s="62">
        <v>1.33E-3</v>
      </c>
      <c r="F193" s="64">
        <v>0.39660000000000001</v>
      </c>
      <c r="G193" s="64">
        <v>0.25141999999999998</v>
      </c>
      <c r="H193" s="64">
        <v>0.13256999999999999</v>
      </c>
      <c r="I193" s="64">
        <v>-0.13319999999999999</v>
      </c>
      <c r="J193" s="64">
        <v>9.3839999999999993E-2</v>
      </c>
      <c r="K193" s="64">
        <v>9.2300000000000004E-3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f>F193+E193+G193+H193+I193+J193+K193+L193+M193+N193+O193+P193</f>
        <v>0.75178999999999996</v>
      </c>
      <c r="R193" s="26"/>
    </row>
    <row r="194" spans="1:18">
      <c r="A194" s="281"/>
      <c r="B194" s="36" t="s">
        <v>134</v>
      </c>
      <c r="C194" s="36" t="s">
        <v>94</v>
      </c>
      <c r="D194" s="38"/>
      <c r="E194" s="22">
        <f>SUM(E192:E193)</f>
        <v>-4.4670000000000001E-2</v>
      </c>
      <c r="F194" s="22">
        <f>+F192+F193</f>
        <v>2.3168099999999998</v>
      </c>
      <c r="G194" s="22">
        <f>SUM(G192:G193)</f>
        <v>1.87663</v>
      </c>
      <c r="H194" s="22">
        <f>+H192</f>
        <v>1.59456</v>
      </c>
      <c r="I194" s="22">
        <f>+I192</f>
        <v>0.36957999999999991</v>
      </c>
      <c r="J194" s="22">
        <f t="shared" ref="J194:P194" si="29">+J192</f>
        <v>0.42356999999999995</v>
      </c>
      <c r="K194" s="22">
        <f t="shared" si="29"/>
        <v>3.3968799999999999</v>
      </c>
      <c r="L194" s="22">
        <f t="shared" si="29"/>
        <v>0</v>
      </c>
      <c r="M194" s="22">
        <f t="shared" si="29"/>
        <v>0</v>
      </c>
      <c r="N194" s="22">
        <f t="shared" si="29"/>
        <v>0</v>
      </c>
      <c r="O194" s="22">
        <f t="shared" si="29"/>
        <v>0</v>
      </c>
      <c r="P194" s="22">
        <f t="shared" si="29"/>
        <v>0</v>
      </c>
      <c r="Q194" s="22">
        <f>+SUM(Q192:Q193)</f>
        <v>10.0358</v>
      </c>
      <c r="R194" s="23"/>
    </row>
    <row r="195" spans="1:18" outlineLevel="2">
      <c r="A195" s="281" t="s">
        <v>446</v>
      </c>
      <c r="B195" s="56">
        <v>6666010012</v>
      </c>
      <c r="C195" t="s">
        <v>99</v>
      </c>
      <c r="E195" s="62">
        <v>0</v>
      </c>
      <c r="F195" s="64">
        <v>-2.3000000000000001E-4</v>
      </c>
      <c r="G195" s="64">
        <v>-3.3500000000000001E-3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f>F195+E195+G195+H195+I195+J195+K195+L195+M195+N195+O195+P195</f>
        <v>-3.5800000000000003E-3</v>
      </c>
      <c r="R195" s="26"/>
    </row>
    <row r="196" spans="1:18" outlineLevel="2">
      <c r="A196" s="281" t="s">
        <v>446</v>
      </c>
      <c r="B196" s="56">
        <v>6666010102</v>
      </c>
      <c r="C196" t="s">
        <v>160</v>
      </c>
      <c r="E196" s="62">
        <v>5.0369999999999998E-2</v>
      </c>
      <c r="F196" s="64">
        <v>4.2750000000000003E-2</v>
      </c>
      <c r="G196" s="64">
        <v>8.0099999999999998E-3</v>
      </c>
      <c r="H196" s="64">
        <v>4.7780000000000003E-2</v>
      </c>
      <c r="I196" s="64">
        <v>4.8860000000000001E-2</v>
      </c>
      <c r="J196" s="64">
        <v>3.0100000000000002E-2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f>F196+E196+G196+H196+I196+J196+K196+L196+M196+N196+O196+P196</f>
        <v>0.22787000000000002</v>
      </c>
      <c r="R196" s="26"/>
    </row>
    <row r="197" spans="1:18">
      <c r="A197" s="281"/>
      <c r="B197" s="36" t="s">
        <v>135</v>
      </c>
      <c r="C197" s="36" t="s">
        <v>102</v>
      </c>
      <c r="D197" s="38"/>
      <c r="E197" s="22">
        <f>SUM(E195:E196)</f>
        <v>5.0369999999999998E-2</v>
      </c>
      <c r="F197" s="22">
        <f>SUM(F195:F196)</f>
        <v>4.2520000000000002E-2</v>
      </c>
      <c r="G197" s="22">
        <f>SUM(G195:G196)</f>
        <v>4.6599999999999992E-3</v>
      </c>
      <c r="H197" s="22">
        <f>SUM(H195:H196)</f>
        <v>4.7780000000000003E-2</v>
      </c>
      <c r="I197" s="22">
        <f>SUM(I195:I196)</f>
        <v>4.8860000000000001E-2</v>
      </c>
      <c r="J197" s="22">
        <f t="shared" ref="J197:P197" si="30">SUM(J195:J196)</f>
        <v>3.0100000000000002E-2</v>
      </c>
      <c r="K197" s="22">
        <f t="shared" si="30"/>
        <v>0</v>
      </c>
      <c r="L197" s="22">
        <f t="shared" si="30"/>
        <v>0</v>
      </c>
      <c r="M197" s="22">
        <f t="shared" si="30"/>
        <v>0</v>
      </c>
      <c r="N197" s="22">
        <f t="shared" si="30"/>
        <v>0</v>
      </c>
      <c r="O197" s="22">
        <f t="shared" si="30"/>
        <v>0</v>
      </c>
      <c r="P197" s="22">
        <f t="shared" si="30"/>
        <v>0</v>
      </c>
      <c r="Q197" s="22">
        <f>+SUM(Q195:Q196)</f>
        <v>0.22429000000000002</v>
      </c>
      <c r="R197" s="23"/>
    </row>
    <row r="198" spans="1:18" outlineLevel="2">
      <c r="A198" s="281" t="s">
        <v>446</v>
      </c>
      <c r="B198" s="56">
        <v>6666010196</v>
      </c>
      <c r="C198" t="s">
        <v>103</v>
      </c>
      <c r="E198" s="62">
        <v>2.8196099999999999</v>
      </c>
      <c r="F198" s="64">
        <v>2.0566399999999998</v>
      </c>
      <c r="G198" s="64">
        <v>2.8885300000000003</v>
      </c>
      <c r="H198" s="64">
        <v>2.8718000000000004</v>
      </c>
      <c r="I198" s="64">
        <v>2.7172100000000001</v>
      </c>
      <c r="J198" s="64">
        <v>2.7852799999999998</v>
      </c>
      <c r="K198" s="64">
        <v>2.6069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f t="shared" ref="Q198:Q203" si="31">F198+E198+G198+H198+I198+J198+K198+L198+M198+N198+O198+P198</f>
        <v>18.74597</v>
      </c>
      <c r="R198" s="26"/>
    </row>
    <row r="199" spans="1:18" outlineLevel="2">
      <c r="A199" s="281" t="s">
        <v>446</v>
      </c>
      <c r="B199" s="56">
        <v>6666010101</v>
      </c>
      <c r="C199" t="s">
        <v>104</v>
      </c>
      <c r="E199" s="62">
        <v>15.732700000000001</v>
      </c>
      <c r="F199" s="64">
        <v>43.36412</v>
      </c>
      <c r="G199" s="64">
        <v>16.514389999999999</v>
      </c>
      <c r="H199" s="64">
        <v>33.744600000000005</v>
      </c>
      <c r="I199" s="64">
        <v>16.380140000000001</v>
      </c>
      <c r="J199" s="64">
        <v>16.898139999999998</v>
      </c>
      <c r="K199" s="64">
        <v>16.27345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f t="shared" si="31"/>
        <v>158.90754000000001</v>
      </c>
      <c r="R199" s="26"/>
    </row>
    <row r="200" spans="1:18" outlineLevel="2">
      <c r="A200" s="281" t="s">
        <v>446</v>
      </c>
      <c r="B200" s="56">
        <v>6666010199</v>
      </c>
      <c r="C200" t="s">
        <v>105</v>
      </c>
      <c r="E200" s="62">
        <v>3.96245</v>
      </c>
      <c r="F200" s="64">
        <v>-26.06165</v>
      </c>
      <c r="G200" s="64">
        <v>2.86165</v>
      </c>
      <c r="H200" s="64">
        <v>24.229059999999997</v>
      </c>
      <c r="I200" s="64">
        <v>-1.1732999999999998</v>
      </c>
      <c r="J200" s="64">
        <v>4.4637300000000009</v>
      </c>
      <c r="K200" s="64">
        <v>1.1972799999999999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f t="shared" si="31"/>
        <v>9.479219999999998</v>
      </c>
      <c r="R200" s="26"/>
    </row>
    <row r="201" spans="1:18" outlineLevel="2">
      <c r="A201" s="281" t="s">
        <v>446</v>
      </c>
      <c r="B201" s="56">
        <v>6666010185</v>
      </c>
      <c r="C201" s="271" t="s">
        <v>106</v>
      </c>
      <c r="E201" s="62">
        <v>0</v>
      </c>
      <c r="F201" s="64">
        <f>-0.19/1000</f>
        <v>-1.9000000000000001E-4</v>
      </c>
      <c r="G201" s="64">
        <v>0</v>
      </c>
      <c r="H201" s="64">
        <v>0</v>
      </c>
      <c r="I201" s="64">
        <v>-7.7170000000000002E-2</v>
      </c>
      <c r="J201" s="64">
        <v>-2.0980000000000002E-2</v>
      </c>
      <c r="K201" s="64">
        <v>-5.0040000000000001E-2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f t="shared" si="31"/>
        <v>-0.14838000000000001</v>
      </c>
      <c r="R201" s="26"/>
    </row>
    <row r="202" spans="1:18" outlineLevel="2">
      <c r="A202" s="281" t="s">
        <v>446</v>
      </c>
      <c r="B202" s="56">
        <v>6666010207</v>
      </c>
      <c r="C202" t="s">
        <v>107</v>
      </c>
      <c r="E202" s="62">
        <v>0.25683</v>
      </c>
      <c r="F202" s="64">
        <v>0.19284999999999999</v>
      </c>
      <c r="G202" s="64">
        <v>0.26811000000000001</v>
      </c>
      <c r="H202" s="64">
        <v>0.27032999999999996</v>
      </c>
      <c r="I202" s="64">
        <v>0.25014999999999998</v>
      </c>
      <c r="J202" s="64">
        <v>0.25856000000000001</v>
      </c>
      <c r="K202" s="64">
        <v>0.24102000000000001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f t="shared" si="31"/>
        <v>1.7378500000000001</v>
      </c>
      <c r="R202" s="26"/>
    </row>
    <row r="203" spans="1:18" outlineLevel="2">
      <c r="A203" s="281" t="s">
        <v>446</v>
      </c>
      <c r="B203" s="56">
        <v>6666010227</v>
      </c>
      <c r="C203" t="s">
        <v>162</v>
      </c>
      <c r="E203" s="62">
        <v>0.25233</v>
      </c>
      <c r="F203" s="64">
        <v>0.20577999999999999</v>
      </c>
      <c r="G203" s="64">
        <v>0.22556999999999999</v>
      </c>
      <c r="H203" s="64">
        <v>0.23599999999999999</v>
      </c>
      <c r="I203" s="64">
        <v>0.27251999999999998</v>
      </c>
      <c r="J203" s="64">
        <v>0.23849999999999999</v>
      </c>
      <c r="K203" s="64">
        <v>0.24986000000000003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f t="shared" si="31"/>
        <v>1.6805600000000001</v>
      </c>
      <c r="R203" s="26"/>
    </row>
    <row r="204" spans="1:18">
      <c r="A204" s="281"/>
      <c r="B204" s="36" t="s">
        <v>136</v>
      </c>
      <c r="C204" s="36" t="s">
        <v>109</v>
      </c>
      <c r="D204" s="38"/>
      <c r="E204" s="22">
        <f>SUM(E198:E203)</f>
        <v>23.023920000000004</v>
      </c>
      <c r="F204" s="22">
        <f>SUM(F198:F203)</f>
        <v>19.757550000000002</v>
      </c>
      <c r="G204" s="22">
        <f>SUM(G198:G203)</f>
        <v>22.75825</v>
      </c>
      <c r="H204" s="22">
        <f>SUM(H198:H203)</f>
        <v>61.351790000000001</v>
      </c>
      <c r="I204" s="22">
        <f>SUM(I198:I203)</f>
        <v>18.369550000000004</v>
      </c>
      <c r="J204" s="22">
        <f t="shared" ref="J204:P204" si="32">SUM(J198:J203)</f>
        <v>24.623229999999996</v>
      </c>
      <c r="K204" s="22">
        <f t="shared" si="32"/>
        <v>20.518470000000001</v>
      </c>
      <c r="L204" s="22">
        <f t="shared" si="32"/>
        <v>0</v>
      </c>
      <c r="M204" s="22">
        <f t="shared" si="32"/>
        <v>0</v>
      </c>
      <c r="N204" s="22">
        <f t="shared" si="32"/>
        <v>0</v>
      </c>
      <c r="O204" s="22">
        <f t="shared" si="32"/>
        <v>0</v>
      </c>
      <c r="P204" s="22">
        <f t="shared" si="32"/>
        <v>0</v>
      </c>
      <c r="Q204" s="22">
        <f>SUM(Q198:Q203)</f>
        <v>190.40276000000003</v>
      </c>
      <c r="R204" s="23"/>
    </row>
    <row r="205" spans="1:18" outlineLevel="2">
      <c r="A205" s="281" t="s">
        <v>446</v>
      </c>
      <c r="B205" s="56">
        <v>6666010314</v>
      </c>
      <c r="C205" t="s">
        <v>112</v>
      </c>
      <c r="E205" s="62">
        <v>0.63149</v>
      </c>
      <c r="F205" s="64">
        <v>1.9291400000000001</v>
      </c>
      <c r="G205" s="64">
        <v>-5.6079999999999998E-2</v>
      </c>
      <c r="H205" s="64">
        <v>0</v>
      </c>
      <c r="I205" s="64">
        <v>0</v>
      </c>
      <c r="J205" s="64">
        <v>5.6259999999999998E-2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f>F205+E205+G205+H205+I205+J205+K205+L205+M205+N205+O205+P205</f>
        <v>2.56081</v>
      </c>
      <c r="R205" s="26"/>
    </row>
    <row r="206" spans="1:18" outlineLevel="2">
      <c r="A206" s="281" t="s">
        <v>446</v>
      </c>
      <c r="B206" s="56">
        <v>6666010315</v>
      </c>
      <c r="C206" s="271" t="s">
        <v>470</v>
      </c>
      <c r="E206" s="62"/>
      <c r="F206" s="64">
        <f>643.12/1000</f>
        <v>0.64312000000000002</v>
      </c>
      <c r="G206" s="64">
        <v>1.712E-2</v>
      </c>
      <c r="H206" s="64">
        <v>1.239E-2</v>
      </c>
      <c r="I206" s="64">
        <v>4.036E-2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/>
      <c r="R206" s="26"/>
    </row>
    <row r="207" spans="1:18" outlineLevel="2">
      <c r="A207" s="281" t="s">
        <v>446</v>
      </c>
      <c r="B207" s="56">
        <v>6666020401</v>
      </c>
      <c r="C207" t="s">
        <v>113</v>
      </c>
      <c r="E207" s="62">
        <v>0</v>
      </c>
      <c r="F207" s="64">
        <v>0.18181</v>
      </c>
      <c r="G207" s="64">
        <v>8.7680000000000008E-2</v>
      </c>
      <c r="H207" s="64">
        <v>0.11531</v>
      </c>
      <c r="I207" s="64">
        <v>9.1180000000000011E-2</v>
      </c>
      <c r="J207" s="64">
        <v>9.5539999999999986E-2</v>
      </c>
      <c r="K207" s="64">
        <v>0.10748999999999999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f t="shared" ref="Q207:Q212" si="33">F207+E207+G207+H207+I207+J207+K207+L207+M207+N207+O207+P207</f>
        <v>0.67901</v>
      </c>
      <c r="R207" s="26"/>
    </row>
    <row r="208" spans="1:18" outlineLevel="2">
      <c r="A208" s="281" t="s">
        <v>446</v>
      </c>
      <c r="B208" s="56">
        <v>6666020502</v>
      </c>
      <c r="C208" t="s">
        <v>115</v>
      </c>
      <c r="E208" s="62">
        <v>3.2329999999999998E-2</v>
      </c>
      <c r="F208" s="64">
        <v>0.7174299999999999</v>
      </c>
      <c r="G208" s="64">
        <v>-0.91203999999999996</v>
      </c>
      <c r="H208" s="64">
        <v>0.56559000000000004</v>
      </c>
      <c r="I208" s="64">
        <v>0.85004000000000002</v>
      </c>
      <c r="J208" s="64">
        <v>1.31263</v>
      </c>
      <c r="K208" s="64">
        <v>0.65266999999999997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f t="shared" si="33"/>
        <v>3.2186499999999998</v>
      </c>
      <c r="R208" s="26"/>
    </row>
    <row r="209" spans="1:18" outlineLevel="2">
      <c r="A209" s="281" t="s">
        <v>446</v>
      </c>
      <c r="B209" s="56">
        <v>6666020503</v>
      </c>
      <c r="C209" t="s">
        <v>116</v>
      </c>
      <c r="E209" s="62">
        <v>0.18759999999999999</v>
      </c>
      <c r="F209" s="64">
        <v>2.802E-2</v>
      </c>
      <c r="G209" s="64">
        <v>0</v>
      </c>
      <c r="H209" s="64">
        <v>7.1279999999999996E-2</v>
      </c>
      <c r="I209" s="64">
        <v>4.9699999999999996E-3</v>
      </c>
      <c r="J209" s="64">
        <v>1.652E-2</v>
      </c>
      <c r="K209" s="64">
        <v>-2.0000000000000002E-5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f t="shared" si="33"/>
        <v>0.30836999999999992</v>
      </c>
      <c r="R209" s="26"/>
    </row>
    <row r="210" spans="1:18" outlineLevel="2">
      <c r="A210" s="281" t="s">
        <v>446</v>
      </c>
      <c r="B210" s="56">
        <v>6666021502</v>
      </c>
      <c r="C210" t="s">
        <v>118</v>
      </c>
      <c r="E210" s="62">
        <v>-0.13535</v>
      </c>
      <c r="F210" s="64">
        <v>0</v>
      </c>
      <c r="G210" s="64">
        <v>1.482E-2</v>
      </c>
      <c r="H210" s="64">
        <v>5.4840000000000007E-2</v>
      </c>
      <c r="I210" s="64">
        <v>1.0000000000000001E-5</v>
      </c>
      <c r="J210" s="64">
        <v>1.0970000000000001E-2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f t="shared" si="33"/>
        <v>-5.4710000000000002E-2</v>
      </c>
      <c r="R210" s="26"/>
    </row>
    <row r="211" spans="1:18" outlineLevel="2">
      <c r="A211" s="281" t="s">
        <v>446</v>
      </c>
      <c r="B211" s="56">
        <v>6666021505</v>
      </c>
      <c r="C211" t="s">
        <v>120</v>
      </c>
      <c r="E211" s="62">
        <v>0</v>
      </c>
      <c r="F211" s="64">
        <v>9.3000000000000005E-4</v>
      </c>
      <c r="G211" s="64">
        <v>0</v>
      </c>
      <c r="H211" s="64">
        <v>0</v>
      </c>
      <c r="I211" s="64">
        <v>0</v>
      </c>
      <c r="J211" s="64">
        <v>1.874E-2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f t="shared" si="33"/>
        <v>1.967E-2</v>
      </c>
      <c r="R211" s="26"/>
    </row>
    <row r="212" spans="1:18" outlineLevel="2">
      <c r="A212" s="281" t="s">
        <v>446</v>
      </c>
      <c r="B212" s="56">
        <v>6666091600</v>
      </c>
      <c r="C212" t="s">
        <v>122</v>
      </c>
      <c r="E212" s="62">
        <v>1.7800000000000001E-3</v>
      </c>
      <c r="F212" s="64">
        <v>3.8149999999999996E-2</v>
      </c>
      <c r="G212" s="64">
        <v>0.25069999999999998</v>
      </c>
      <c r="H212" s="64">
        <v>5.47E-3</v>
      </c>
      <c r="I212" s="64">
        <v>0</v>
      </c>
      <c r="J212" s="64">
        <v>0</v>
      </c>
      <c r="K212" s="64">
        <v>1.9510000000000003E-2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f t="shared" si="33"/>
        <v>0.31560999999999995</v>
      </c>
      <c r="R212" s="26"/>
    </row>
    <row r="213" spans="1:18">
      <c r="A213" s="281"/>
      <c r="B213" s="36" t="s">
        <v>137</v>
      </c>
      <c r="C213" s="36" t="s">
        <v>123</v>
      </c>
      <c r="D213" s="38"/>
      <c r="E213" s="22">
        <f>SUM(E205:E212)</f>
        <v>0.71784999999999999</v>
      </c>
      <c r="F213" s="22">
        <f>SUM(F205:F212)</f>
        <v>3.5385999999999997</v>
      </c>
      <c r="G213" s="22">
        <f>SUM(G205:G212)</f>
        <v>-0.59780000000000011</v>
      </c>
      <c r="H213" s="22">
        <f>SUM(H205:H212)</f>
        <v>0.82488000000000006</v>
      </c>
      <c r="I213" s="22">
        <f>SUM(I205:I212)</f>
        <v>0.98655999999999999</v>
      </c>
      <c r="J213" s="22">
        <f t="shared" ref="J213:P213" si="34">SUM(J205:J212)</f>
        <v>1.5106599999999999</v>
      </c>
      <c r="K213" s="22">
        <f t="shared" si="34"/>
        <v>0.77964999999999995</v>
      </c>
      <c r="L213" s="22">
        <f t="shared" si="34"/>
        <v>0</v>
      </c>
      <c r="M213" s="22">
        <f t="shared" si="34"/>
        <v>0</v>
      </c>
      <c r="N213" s="22">
        <f t="shared" si="34"/>
        <v>0</v>
      </c>
      <c r="O213" s="22">
        <f t="shared" si="34"/>
        <v>0</v>
      </c>
      <c r="P213" s="22">
        <f t="shared" si="34"/>
        <v>0</v>
      </c>
      <c r="Q213" s="22">
        <f>SUM(Q205:Q212)</f>
        <v>7.0474099999999993</v>
      </c>
      <c r="R213" s="23"/>
    </row>
    <row r="214" spans="1:18" s="34" customFormat="1">
      <c r="A214" s="281"/>
      <c r="B214" s="57"/>
      <c r="C214" s="58"/>
      <c r="D214" s="58" t="s">
        <v>174</v>
      </c>
      <c r="E214" s="20">
        <f>+E140+E143+E187+E189+E194+E197+E204+E213</f>
        <v>212.47293000000002</v>
      </c>
      <c r="F214" s="20">
        <f>+F140+F143+F187+F189+F194+F197+F204+F213+F191</f>
        <v>156.45070000000001</v>
      </c>
      <c r="G214" s="20">
        <f>+G140+G143+G187+G189+G194+G197+G204+G213+G191</f>
        <v>171.18388999999999</v>
      </c>
      <c r="H214" s="20">
        <f>+H140+H143+H187+H189+H194+H197+H204+H213</f>
        <v>168.22711000000001</v>
      </c>
      <c r="I214" s="20">
        <f>+I140+I143+I187+I189+I194+I197+I204+I213</f>
        <v>269.72394000000003</v>
      </c>
      <c r="J214" s="20">
        <f t="shared" ref="J214:P214" si="35">+J140+J143+J187+J189+J194+J197+J204+J213</f>
        <v>133.6311</v>
      </c>
      <c r="K214" s="20">
        <f t="shared" si="35"/>
        <v>206.20599000000007</v>
      </c>
      <c r="L214" s="20">
        <f t="shared" si="35"/>
        <v>188.69891185075409</v>
      </c>
      <c r="M214" s="20">
        <f t="shared" si="35"/>
        <v>195.74371750812051</v>
      </c>
      <c r="N214" s="20">
        <f t="shared" si="35"/>
        <v>189.97391013902066</v>
      </c>
      <c r="O214" s="20">
        <f t="shared" si="35"/>
        <v>189.52951121231757</v>
      </c>
      <c r="P214" s="20">
        <f t="shared" si="35"/>
        <v>178.05501969983209</v>
      </c>
      <c r="Q214" s="20">
        <f>+Q140+Q143+Q187+Q189+Q194+Q197+Q204+Q213</f>
        <v>2243.6531804100446</v>
      </c>
      <c r="R214" s="49"/>
    </row>
    <row r="215" spans="1:18">
      <c r="E215" s="50"/>
      <c r="F215" s="11"/>
      <c r="G215" s="11"/>
      <c r="H215" s="50"/>
      <c r="I215" s="50"/>
      <c r="J215" s="50"/>
      <c r="K215" s="50"/>
      <c r="L215" s="50"/>
      <c r="M215" s="50"/>
      <c r="N215" s="50"/>
      <c r="O215" s="50"/>
      <c r="P215" s="50"/>
      <c r="Q215" s="11"/>
      <c r="R215" s="18"/>
    </row>
    <row r="216" spans="1:18">
      <c r="E216" s="11"/>
      <c r="F216" s="11"/>
      <c r="G216" s="5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8"/>
    </row>
    <row r="217" spans="1:18"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8"/>
    </row>
    <row r="218" spans="1:18" s="34" customFormat="1">
      <c r="A218" s="281"/>
      <c r="B218" s="12"/>
      <c r="C218" s="12"/>
      <c r="D218" s="12" t="s">
        <v>140</v>
      </c>
      <c r="E218" s="20">
        <f>E214+E132</f>
        <v>1385.4369999229889</v>
      </c>
      <c r="F218" s="20">
        <f>F214+F132</f>
        <v>1384.8422871954019</v>
      </c>
      <c r="G218" s="20">
        <f>G214+G132</f>
        <v>1318.7254898257256</v>
      </c>
      <c r="H218" s="20">
        <f>H214+H132</f>
        <v>864.15610838691487</v>
      </c>
      <c r="I218" s="20">
        <f>I214+I132</f>
        <v>1517.0921241470671</v>
      </c>
      <c r="J218" s="20">
        <f t="shared" ref="J218:P218" si="36">J214+J132</f>
        <v>1137.0369696374487</v>
      </c>
      <c r="K218" s="20">
        <f t="shared" si="36"/>
        <v>957.49274375174264</v>
      </c>
      <c r="L218" s="20">
        <f t="shared" si="36"/>
        <v>1336.8102515102187</v>
      </c>
      <c r="M218" s="20">
        <f t="shared" si="36"/>
        <v>1506.6698236610619</v>
      </c>
      <c r="N218" s="20">
        <f t="shared" si="36"/>
        <v>1445.0532768680721</v>
      </c>
      <c r="O218" s="20">
        <f t="shared" si="36"/>
        <v>1427.4280854345438</v>
      </c>
      <c r="P218" s="20">
        <f t="shared" si="36"/>
        <v>1380.2513440925286</v>
      </c>
      <c r="Q218" s="20">
        <f>+E218+F218+G218+H218+I218+J218+K218+L218+M218+N218+O218</f>
        <v>14280.744160341184</v>
      </c>
      <c r="R218" s="30"/>
    </row>
    <row r="219" spans="1:18"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8">
      <c r="C221" s="105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8">
      <c r="C222" s="105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</row>
    <row r="223" spans="1:18">
      <c r="E223" s="50"/>
    </row>
    <row r="224" spans="1:18" s="3" customFormat="1">
      <c r="A224" s="35"/>
      <c r="B224" s="8"/>
      <c r="C224" s="182"/>
      <c r="D224" s="65" t="s">
        <v>189</v>
      </c>
      <c r="E224" s="6" t="s">
        <v>191</v>
      </c>
      <c r="F224" s="6" t="s">
        <v>191</v>
      </c>
      <c r="G224" s="6" t="s">
        <v>191</v>
      </c>
      <c r="H224" s="6" t="s">
        <v>191</v>
      </c>
      <c r="I224" s="6" t="s">
        <v>191</v>
      </c>
      <c r="J224" s="6" t="s">
        <v>191</v>
      </c>
      <c r="K224" s="6" t="s">
        <v>191</v>
      </c>
      <c r="L224" s="6" t="s">
        <v>191</v>
      </c>
      <c r="M224" s="6" t="s">
        <v>191</v>
      </c>
      <c r="N224" s="6" t="s">
        <v>191</v>
      </c>
      <c r="O224" s="6" t="s">
        <v>191</v>
      </c>
      <c r="P224" s="6" t="s">
        <v>191</v>
      </c>
      <c r="Q224" s="6" t="s">
        <v>191</v>
      </c>
      <c r="R224" s="7"/>
    </row>
    <row r="225" spans="1:18" s="3" customFormat="1">
      <c r="A225" s="35"/>
      <c r="B225" s="8"/>
      <c r="C225" s="181"/>
      <c r="D225" s="66" t="s">
        <v>2</v>
      </c>
      <c r="E225" s="67">
        <f t="shared" ref="E225:Q225" si="37">E23</f>
        <v>451.11424000000005</v>
      </c>
      <c r="F225" s="67">
        <f t="shared" si="37"/>
        <v>457.78683000000007</v>
      </c>
      <c r="G225" s="67">
        <f t="shared" si="37"/>
        <v>275.9645900000001</v>
      </c>
      <c r="H225" s="67">
        <f t="shared" si="37"/>
        <v>363.73443262781774</v>
      </c>
      <c r="I225" s="67">
        <f t="shared" si="37"/>
        <v>478.64787498667226</v>
      </c>
      <c r="J225" s="67">
        <f t="shared" si="37"/>
        <v>391.63361000000009</v>
      </c>
      <c r="K225" s="67">
        <f t="shared" si="37"/>
        <v>349.05423000000008</v>
      </c>
      <c r="L225" s="67">
        <f t="shared" si="37"/>
        <v>355.48085755082604</v>
      </c>
      <c r="M225" s="67">
        <f t="shared" si="37"/>
        <v>485.59337260514707</v>
      </c>
      <c r="N225" s="67">
        <f t="shared" si="37"/>
        <v>492.4737820462725</v>
      </c>
      <c r="O225" s="67">
        <f t="shared" si="37"/>
        <v>476.6685772215763</v>
      </c>
      <c r="P225" s="67">
        <f t="shared" si="37"/>
        <v>480.28353181860513</v>
      </c>
      <c r="Q225" s="67">
        <f t="shared" si="37"/>
        <v>5058.4359288569167</v>
      </c>
      <c r="R225" s="68"/>
    </row>
    <row r="226" spans="1:18" s="3" customFormat="1">
      <c r="A226" s="35"/>
      <c r="B226" s="8"/>
      <c r="C226" s="8"/>
      <c r="D226" s="66" t="s">
        <v>3</v>
      </c>
      <c r="E226" s="67">
        <f t="shared" ref="E226:Q226" si="38">E28+E99+E87+E91</f>
        <v>-3.1937600000000046</v>
      </c>
      <c r="F226" s="67">
        <f t="shared" si="38"/>
        <v>-14.65021999999999</v>
      </c>
      <c r="G226" s="67">
        <f t="shared" si="38"/>
        <v>9.1078299999999999</v>
      </c>
      <c r="H226" s="67">
        <f t="shared" si="38"/>
        <v>128.40630999999996</v>
      </c>
      <c r="I226" s="67">
        <f t="shared" si="38"/>
        <v>35.72684000000001</v>
      </c>
      <c r="J226" s="67">
        <f t="shared" si="38"/>
        <v>2.4606699999999933</v>
      </c>
      <c r="K226" s="67">
        <f t="shared" si="38"/>
        <v>-355.29795999999999</v>
      </c>
      <c r="L226" s="67">
        <f t="shared" si="38"/>
        <v>26.58514486724772</v>
      </c>
      <c r="M226" s="67">
        <f t="shared" si="38"/>
        <v>25.599195634465367</v>
      </c>
      <c r="N226" s="67">
        <f t="shared" si="38"/>
        <v>23.039415810873052</v>
      </c>
      <c r="O226" s="67">
        <f t="shared" si="38"/>
        <v>27.133933035068559</v>
      </c>
      <c r="P226" s="67">
        <f t="shared" si="38"/>
        <v>22.633384483903654</v>
      </c>
      <c r="Q226" s="67">
        <f t="shared" si="38"/>
        <v>-72.449216168441694</v>
      </c>
      <c r="R226" s="68"/>
    </row>
    <row r="227" spans="1:18" s="3" customFormat="1">
      <c r="A227" s="35"/>
      <c r="B227" s="8"/>
      <c r="C227" s="8"/>
      <c r="D227" s="69" t="s">
        <v>5</v>
      </c>
      <c r="E227" s="70">
        <f t="shared" ref="E227:Q227" si="39">E107</f>
        <v>236.51712000000001</v>
      </c>
      <c r="F227" s="70">
        <f t="shared" si="39"/>
        <v>210.33045999999999</v>
      </c>
      <c r="G227" s="70">
        <f t="shared" si="39"/>
        <v>189.48800000000003</v>
      </c>
      <c r="H227" s="70">
        <f t="shared" si="39"/>
        <v>211.9200073721822</v>
      </c>
      <c r="I227" s="70">
        <f t="shared" si="39"/>
        <v>247.78061501332775</v>
      </c>
      <c r="J227" s="70">
        <f t="shared" si="39"/>
        <v>229.24062000000001</v>
      </c>
      <c r="K227" s="70">
        <f t="shared" si="39"/>
        <v>225.79323999999997</v>
      </c>
      <c r="L227" s="70">
        <f t="shared" si="39"/>
        <v>248.29040373098536</v>
      </c>
      <c r="M227" s="70">
        <f t="shared" si="39"/>
        <v>233.83450010482071</v>
      </c>
      <c r="N227" s="70">
        <f t="shared" si="39"/>
        <v>218.04243940693019</v>
      </c>
      <c r="O227" s="70">
        <f t="shared" si="39"/>
        <v>213.64209148995394</v>
      </c>
      <c r="P227" s="70">
        <f t="shared" si="39"/>
        <v>280.51506871696927</v>
      </c>
      <c r="Q227" s="70">
        <f t="shared" si="39"/>
        <v>2745.3945658351699</v>
      </c>
      <c r="R227" s="71"/>
    </row>
    <row r="228" spans="1:18" s="3" customFormat="1">
      <c r="A228" s="35"/>
      <c r="B228" s="8"/>
      <c r="C228" s="8"/>
      <c r="D228" s="69" t="s">
        <v>6</v>
      </c>
      <c r="E228" s="70">
        <f t="shared" ref="E228:Q228" si="40">E115</f>
        <v>115.16989000000001</v>
      </c>
      <c r="F228" s="70">
        <f t="shared" si="40"/>
        <v>111.05252999999999</v>
      </c>
      <c r="G228" s="70">
        <f t="shared" si="40"/>
        <v>104.43832999999998</v>
      </c>
      <c r="H228" s="70">
        <f t="shared" si="40"/>
        <v>86.264239999999987</v>
      </c>
      <c r="I228" s="70">
        <f t="shared" si="40"/>
        <v>107.57123</v>
      </c>
      <c r="J228" s="70">
        <f t="shared" si="40"/>
        <v>111.60063000000001</v>
      </c>
      <c r="K228" s="70">
        <f t="shared" si="40"/>
        <v>103.15370000000001</v>
      </c>
      <c r="L228" s="70">
        <f t="shared" si="40"/>
        <v>102.13246854517206</v>
      </c>
      <c r="M228" s="70">
        <f t="shared" si="40"/>
        <v>107.52925904504205</v>
      </c>
      <c r="N228" s="70">
        <f t="shared" si="40"/>
        <v>101.02732109817424</v>
      </c>
      <c r="O228" s="70">
        <f t="shared" si="40"/>
        <v>99.707366149152875</v>
      </c>
      <c r="P228" s="70">
        <f t="shared" si="40"/>
        <v>98.421457657149915</v>
      </c>
      <c r="Q228" s="70">
        <f t="shared" si="40"/>
        <v>1248.068422494691</v>
      </c>
      <c r="R228" s="71"/>
    </row>
    <row r="229" spans="1:18" s="3" customFormat="1">
      <c r="A229" s="35"/>
      <c r="B229" s="8"/>
      <c r="C229" s="8"/>
      <c r="D229" s="69" t="s">
        <v>7</v>
      </c>
      <c r="E229" s="70">
        <f t="shared" ref="E229:Q229" si="41">E82+E131+E89+E94</f>
        <v>202.00835000000004</v>
      </c>
      <c r="F229" s="70">
        <f t="shared" si="41"/>
        <v>305.83574000000004</v>
      </c>
      <c r="G229" s="70">
        <f t="shared" si="41"/>
        <v>397.51367999999997</v>
      </c>
      <c r="H229" s="70">
        <f t="shared" si="41"/>
        <v>-87.29807000000001</v>
      </c>
      <c r="I229" s="70">
        <f t="shared" si="41"/>
        <v>254.02512999999999</v>
      </c>
      <c r="J229" s="70">
        <f t="shared" si="41"/>
        <v>136.42757098937341</v>
      </c>
      <c r="K229" s="70">
        <f t="shared" si="41"/>
        <v>306.5462</v>
      </c>
      <c r="L229" s="70">
        <f t="shared" si="41"/>
        <v>251.21062360997939</v>
      </c>
      <c r="M229" s="70">
        <f t="shared" si="41"/>
        <v>298.21033507500073</v>
      </c>
      <c r="N229" s="70">
        <f t="shared" si="41"/>
        <v>257.14577334682093</v>
      </c>
      <c r="O229" s="70">
        <f t="shared" si="41"/>
        <v>257.8810607236307</v>
      </c>
      <c r="P229" s="70">
        <f t="shared" si="41"/>
        <v>243.64539433825482</v>
      </c>
      <c r="Q229" s="70">
        <f t="shared" si="41"/>
        <v>2821.80251808306</v>
      </c>
      <c r="R229" s="71"/>
    </row>
    <row r="230" spans="1:18" s="3" customFormat="1">
      <c r="A230" s="35"/>
      <c r="B230" s="8"/>
      <c r="C230" s="8"/>
      <c r="D230" s="69" t="s">
        <v>10</v>
      </c>
      <c r="E230" s="70">
        <f t="shared" ref="E230:Q230" si="42">E14</f>
        <v>171.34822992298859</v>
      </c>
      <c r="F230" s="70">
        <f t="shared" si="42"/>
        <v>158.03624719540167</v>
      </c>
      <c r="G230" s="70">
        <f t="shared" si="42"/>
        <v>171.0291698257254</v>
      </c>
      <c r="H230" s="70">
        <f t="shared" si="42"/>
        <v>-7.0979216130850737</v>
      </c>
      <c r="I230" s="70">
        <f t="shared" si="42"/>
        <v>123.61649414706694</v>
      </c>
      <c r="J230" s="70">
        <f t="shared" si="42"/>
        <v>132.0427686480752</v>
      </c>
      <c r="K230" s="70">
        <f t="shared" si="42"/>
        <v>122.03734375174258</v>
      </c>
      <c r="L230" s="70">
        <f t="shared" si="42"/>
        <v>164.4118413552539</v>
      </c>
      <c r="M230" s="70">
        <f t="shared" si="42"/>
        <v>160.15944368846544</v>
      </c>
      <c r="N230" s="70">
        <f t="shared" si="42"/>
        <v>163.35063501998042</v>
      </c>
      <c r="O230" s="70">
        <f t="shared" si="42"/>
        <v>162.86554560284395</v>
      </c>
      <c r="P230" s="70">
        <f t="shared" si="42"/>
        <v>76.69748737781353</v>
      </c>
      <c r="Q230" s="70">
        <f t="shared" si="42"/>
        <v>1598.4972849222722</v>
      </c>
      <c r="R230" s="71"/>
    </row>
    <row r="231" spans="1:18" s="3" customFormat="1">
      <c r="A231" s="35"/>
      <c r="B231" s="8"/>
      <c r="C231" s="8"/>
      <c r="D231" s="72" t="s">
        <v>9</v>
      </c>
      <c r="E231" s="73">
        <f t="shared" ref="E231:Q231" si="43">E214</f>
        <v>212.47293000000002</v>
      </c>
      <c r="F231" s="73">
        <f t="shared" si="43"/>
        <v>156.45070000000001</v>
      </c>
      <c r="G231" s="73">
        <f t="shared" si="43"/>
        <v>171.18388999999999</v>
      </c>
      <c r="H231" s="73">
        <f t="shared" si="43"/>
        <v>168.22711000000001</v>
      </c>
      <c r="I231" s="73">
        <f t="shared" si="43"/>
        <v>269.72394000000003</v>
      </c>
      <c r="J231" s="73">
        <f t="shared" si="43"/>
        <v>133.6311</v>
      </c>
      <c r="K231" s="73">
        <f t="shared" si="43"/>
        <v>206.20599000000007</v>
      </c>
      <c r="L231" s="73">
        <f t="shared" si="43"/>
        <v>188.69891185075409</v>
      </c>
      <c r="M231" s="73">
        <f t="shared" si="43"/>
        <v>195.74371750812051</v>
      </c>
      <c r="N231" s="73">
        <f t="shared" si="43"/>
        <v>189.97391013902066</v>
      </c>
      <c r="O231" s="73">
        <f t="shared" si="43"/>
        <v>189.52951121231757</v>
      </c>
      <c r="P231" s="73">
        <f t="shared" si="43"/>
        <v>178.05501969983209</v>
      </c>
      <c r="Q231" s="73">
        <f t="shared" si="43"/>
        <v>2243.6531804100446</v>
      </c>
      <c r="R231" s="74"/>
    </row>
    <row r="232" spans="1:18" s="35" customFormat="1">
      <c r="B232" s="8"/>
      <c r="C232" s="8"/>
      <c r="D232" s="75" t="s">
        <v>0</v>
      </c>
      <c r="E232" s="76">
        <f t="shared" ref="E232:Q232" si="44">SUM(E225:E231)</f>
        <v>1385.4369999229889</v>
      </c>
      <c r="F232" s="76">
        <f t="shared" si="44"/>
        <v>1384.8422871954019</v>
      </c>
      <c r="G232" s="76">
        <f t="shared" si="44"/>
        <v>1318.7254898257254</v>
      </c>
      <c r="H232" s="267">
        <f t="shared" si="44"/>
        <v>864.15610838691475</v>
      </c>
      <c r="I232" s="267">
        <f t="shared" si="44"/>
        <v>1517.0921241470671</v>
      </c>
      <c r="J232" s="267">
        <f t="shared" si="44"/>
        <v>1137.0369696374487</v>
      </c>
      <c r="K232" s="267">
        <f t="shared" si="44"/>
        <v>957.49274375174275</v>
      </c>
      <c r="L232" s="267">
        <f t="shared" si="44"/>
        <v>1336.8102515102184</v>
      </c>
      <c r="M232" s="267">
        <f t="shared" si="44"/>
        <v>1506.6698236610619</v>
      </c>
      <c r="N232" s="267">
        <f t="shared" si="44"/>
        <v>1445.0532768680721</v>
      </c>
      <c r="O232" s="267">
        <f t="shared" si="44"/>
        <v>1427.4280854345438</v>
      </c>
      <c r="P232" s="267">
        <f t="shared" si="44"/>
        <v>1380.2513440925286</v>
      </c>
      <c r="Q232" s="267">
        <f t="shared" si="44"/>
        <v>15643.402684433713</v>
      </c>
      <c r="R232" s="77"/>
    </row>
    <row r="233" spans="1:18">
      <c r="E233" s="11">
        <f t="shared" ref="E233" si="45">SUM(E225:E231)-E232</f>
        <v>0</v>
      </c>
      <c r="F233" s="11">
        <f t="shared" ref="F233" si="46">SUM(F225:F231)-F232</f>
        <v>0</v>
      </c>
      <c r="G233" s="11">
        <f t="shared" ref="G233" si="47">SUM(G225:G231)-G232</f>
        <v>0</v>
      </c>
      <c r="H233" s="11">
        <f t="shared" ref="H233" si="48">SUM(H225:H231)-H232</f>
        <v>0</v>
      </c>
      <c r="I233" s="11">
        <f t="shared" ref="I233" si="49">SUM(I225:I231)-I232</f>
        <v>0</v>
      </c>
      <c r="J233" s="11">
        <f t="shared" ref="J233" si="50">SUM(J225:J231)-J232</f>
        <v>0</v>
      </c>
      <c r="K233" s="11">
        <f t="shared" ref="K233" si="51">SUM(K225:K231)-K232</f>
        <v>0</v>
      </c>
      <c r="L233" s="11">
        <f t="shared" ref="L233" si="52">SUM(L225:L231)-L232</f>
        <v>0</v>
      </c>
      <c r="M233" s="11">
        <f t="shared" ref="M233" si="53">SUM(M225:M231)-M232</f>
        <v>0</v>
      </c>
      <c r="N233" s="11">
        <f t="shared" ref="N233" si="54">SUM(N225:N231)-N232</f>
        <v>0</v>
      </c>
      <c r="O233" s="11">
        <f t="shared" ref="O233" si="55">SUM(O225:O231)-O232</f>
        <v>0</v>
      </c>
      <c r="P233" s="11">
        <f t="shared" ref="P233" si="56">SUM(P225:P231)-P232</f>
        <v>0</v>
      </c>
      <c r="Q233" s="11">
        <f>SUM(Q225:Q231)-Q232</f>
        <v>0</v>
      </c>
      <c r="R233" s="11"/>
    </row>
    <row r="235" spans="1:18">
      <c r="D235" s="39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9"/>
    </row>
    <row r="236" spans="1:18">
      <c r="D236" s="40" t="s">
        <v>1</v>
      </c>
      <c r="E236" s="80">
        <f t="shared" ref="E236:Q236" si="57">E23+E28+E87+E91+E99</f>
        <v>447.92048000000011</v>
      </c>
      <c r="F236" s="80">
        <f t="shared" si="57"/>
        <v>443.13661000000008</v>
      </c>
      <c r="G236" s="80">
        <f t="shared" si="57"/>
        <v>285.07242000000008</v>
      </c>
      <c r="H236" s="80">
        <f t="shared" si="57"/>
        <v>492.14074262781776</v>
      </c>
      <c r="I236" s="80">
        <f t="shared" si="57"/>
        <v>514.3747149866723</v>
      </c>
      <c r="J236" s="80">
        <f t="shared" si="57"/>
        <v>394.09428000000003</v>
      </c>
      <c r="K236" s="80">
        <f t="shared" si="57"/>
        <v>-6.2437299999998785</v>
      </c>
      <c r="L236" s="80">
        <f t="shared" si="57"/>
        <v>382.06600241807382</v>
      </c>
      <c r="M236" s="80">
        <f t="shared" si="57"/>
        <v>511.1925682396124</v>
      </c>
      <c r="N236" s="80">
        <f t="shared" si="57"/>
        <v>515.51319785714554</v>
      </c>
      <c r="O236" s="80">
        <f t="shared" si="57"/>
        <v>503.80251025664478</v>
      </c>
      <c r="P236" s="80">
        <f t="shared" si="57"/>
        <v>502.91691630250881</v>
      </c>
      <c r="Q236" s="80">
        <f t="shared" si="57"/>
        <v>4985.9867126884756</v>
      </c>
      <c r="R236" s="81"/>
    </row>
    <row r="237" spans="1:18">
      <c r="D237" s="41" t="s">
        <v>4</v>
      </c>
      <c r="E237" s="82">
        <f t="shared" ref="E237:Q237" si="58">SUM(E14,E82,E89,E94,E107,E115,E131)</f>
        <v>725.04358992298876</v>
      </c>
      <c r="F237" s="82">
        <f t="shared" si="58"/>
        <v>785.25497719540169</v>
      </c>
      <c r="G237" s="82">
        <f t="shared" si="58"/>
        <v>862.46917982572529</v>
      </c>
      <c r="H237" s="82">
        <f t="shared" si="58"/>
        <v>203.78825575909713</v>
      </c>
      <c r="I237" s="82">
        <f t="shared" si="58"/>
        <v>732.99346916039474</v>
      </c>
      <c r="J237" s="82">
        <f t="shared" si="58"/>
        <v>609.31158963744861</v>
      </c>
      <c r="K237" s="82">
        <f t="shared" si="58"/>
        <v>757.53048375174251</v>
      </c>
      <c r="L237" s="82">
        <f t="shared" si="58"/>
        <v>766.04533724139071</v>
      </c>
      <c r="M237" s="82">
        <f t="shared" si="58"/>
        <v>799.73353791332897</v>
      </c>
      <c r="N237" s="82">
        <f t="shared" si="58"/>
        <v>739.5661688719058</v>
      </c>
      <c r="O237" s="82">
        <f t="shared" si="58"/>
        <v>734.09606396558149</v>
      </c>
      <c r="P237" s="82">
        <f t="shared" si="58"/>
        <v>699.27940809018742</v>
      </c>
      <c r="Q237" s="82">
        <f t="shared" si="58"/>
        <v>8413.7627913351935</v>
      </c>
      <c r="R237" s="83"/>
    </row>
    <row r="238" spans="1:18">
      <c r="D238" s="42" t="s">
        <v>8</v>
      </c>
      <c r="E238" s="84">
        <f t="shared" ref="E238:Q238" si="59">E231</f>
        <v>212.47293000000002</v>
      </c>
      <c r="F238" s="84">
        <f t="shared" si="59"/>
        <v>156.45070000000001</v>
      </c>
      <c r="G238" s="84">
        <f t="shared" si="59"/>
        <v>171.18388999999999</v>
      </c>
      <c r="H238" s="84">
        <f t="shared" si="59"/>
        <v>168.22711000000001</v>
      </c>
      <c r="I238" s="84">
        <f t="shared" si="59"/>
        <v>269.72394000000003</v>
      </c>
      <c r="J238" s="84">
        <f t="shared" si="59"/>
        <v>133.6311</v>
      </c>
      <c r="K238" s="84">
        <f t="shared" si="59"/>
        <v>206.20599000000007</v>
      </c>
      <c r="L238" s="84">
        <f t="shared" si="59"/>
        <v>188.69891185075409</v>
      </c>
      <c r="M238" s="84">
        <f t="shared" si="59"/>
        <v>195.74371750812051</v>
      </c>
      <c r="N238" s="84">
        <f t="shared" si="59"/>
        <v>189.97391013902066</v>
      </c>
      <c r="O238" s="84">
        <f t="shared" si="59"/>
        <v>189.52951121231757</v>
      </c>
      <c r="P238" s="84">
        <f t="shared" si="59"/>
        <v>178.05501969983209</v>
      </c>
      <c r="Q238" s="84">
        <f t="shared" si="59"/>
        <v>2243.6531804100446</v>
      </c>
      <c r="R238" s="85"/>
    </row>
    <row r="239" spans="1:18">
      <c r="D239" s="43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7"/>
    </row>
    <row r="240" spans="1:18">
      <c r="D240" s="44" t="s">
        <v>11</v>
      </c>
      <c r="E240" s="88">
        <f t="shared" ref="E240:Q240" si="60">SUM(E235:E239)</f>
        <v>1385.4369999229889</v>
      </c>
      <c r="F240" s="88">
        <f t="shared" si="60"/>
        <v>1384.8422871954019</v>
      </c>
      <c r="G240" s="88">
        <f t="shared" si="60"/>
        <v>1318.7254898257254</v>
      </c>
      <c r="H240" s="88">
        <f t="shared" si="60"/>
        <v>864.15610838691487</v>
      </c>
      <c r="I240" s="88">
        <f t="shared" si="60"/>
        <v>1517.0921241470671</v>
      </c>
      <c r="J240" s="88">
        <f t="shared" si="60"/>
        <v>1137.0369696374487</v>
      </c>
      <c r="K240" s="88">
        <f t="shared" si="60"/>
        <v>957.49274375174264</v>
      </c>
      <c r="L240" s="88">
        <f t="shared" si="60"/>
        <v>1336.8102515102187</v>
      </c>
      <c r="M240" s="88">
        <f t="shared" si="60"/>
        <v>1506.6698236610619</v>
      </c>
      <c r="N240" s="88">
        <f t="shared" si="60"/>
        <v>1445.0532768680721</v>
      </c>
      <c r="O240" s="88">
        <f t="shared" si="60"/>
        <v>1427.4280854345438</v>
      </c>
      <c r="P240" s="88">
        <f t="shared" si="60"/>
        <v>1380.2513440925281</v>
      </c>
      <c r="Q240" s="88">
        <f t="shared" si="60"/>
        <v>15643.402684433713</v>
      </c>
      <c r="R240" s="273"/>
    </row>
    <row r="241" spans="1:18">
      <c r="J241" s="50"/>
      <c r="K241" s="50"/>
      <c r="L241" s="50"/>
      <c r="M241" s="50"/>
      <c r="N241" s="50"/>
      <c r="O241" s="50"/>
      <c r="P241" s="50"/>
      <c r="Q241" s="50"/>
    </row>
    <row r="242" spans="1:18" s="268" customFormat="1">
      <c r="A242" s="280"/>
      <c r="B242" s="105"/>
      <c r="C242" s="105"/>
      <c r="D242" t="s">
        <v>404</v>
      </c>
      <c r="E242" s="50">
        <f t="shared" ref="E242:Q242" si="61">+E240*1000</f>
        <v>1385436.9999229889</v>
      </c>
      <c r="F242" s="50">
        <f t="shared" si="61"/>
        <v>1384842.287195402</v>
      </c>
      <c r="G242" s="50">
        <f t="shared" si="61"/>
        <v>1318725.4898257253</v>
      </c>
      <c r="H242" s="50">
        <f t="shared" si="61"/>
        <v>864156.10838691483</v>
      </c>
      <c r="I242" s="50">
        <f t="shared" si="61"/>
        <v>1517092.1241470671</v>
      </c>
      <c r="J242" s="50">
        <f t="shared" si="61"/>
        <v>1137036.9696374487</v>
      </c>
      <c r="K242" s="50">
        <f t="shared" si="61"/>
        <v>957492.74375174264</v>
      </c>
      <c r="L242" s="50">
        <f t="shared" si="61"/>
        <v>1336810.2515102187</v>
      </c>
      <c r="M242" s="50">
        <f t="shared" si="61"/>
        <v>1506669.8236610619</v>
      </c>
      <c r="N242" s="50">
        <f t="shared" si="61"/>
        <v>1445053.2768680721</v>
      </c>
      <c r="O242" s="50">
        <f t="shared" si="61"/>
        <v>1427428.0854345439</v>
      </c>
      <c r="P242" s="50">
        <f t="shared" si="61"/>
        <v>1380251.3440925281</v>
      </c>
      <c r="Q242" s="50">
        <f t="shared" si="61"/>
        <v>15643402.684433714</v>
      </c>
      <c r="R242" s="50"/>
    </row>
    <row r="243" spans="1:18">
      <c r="D243" t="s">
        <v>402</v>
      </c>
      <c r="E243" s="50">
        <v>76774263.480000004</v>
      </c>
      <c r="F243" s="50">
        <v>73270182.120000005</v>
      </c>
      <c r="G243" s="50">
        <v>69204227.879999995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8">
      <c r="E244" s="11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185"/>
    </row>
    <row r="245" spans="1:18">
      <c r="D245" t="s">
        <v>403</v>
      </c>
      <c r="E245" s="184">
        <f t="shared" ref="E245:Q245" si="62">+E243/E242</f>
        <v>55.41519642125018</v>
      </c>
      <c r="F245" s="184">
        <f t="shared" si="62"/>
        <v>52.908683391223988</v>
      </c>
      <c r="G245" s="184">
        <f t="shared" si="62"/>
        <v>52.478114978383864</v>
      </c>
      <c r="H245" s="184">
        <f t="shared" si="62"/>
        <v>0</v>
      </c>
      <c r="I245" s="184">
        <f t="shared" si="62"/>
        <v>0</v>
      </c>
      <c r="J245" s="184">
        <f t="shared" si="62"/>
        <v>0</v>
      </c>
      <c r="K245" s="184">
        <f t="shared" si="62"/>
        <v>0</v>
      </c>
      <c r="L245" s="184">
        <f t="shared" si="62"/>
        <v>0</v>
      </c>
      <c r="M245" s="184">
        <f t="shared" si="62"/>
        <v>0</v>
      </c>
      <c r="N245" s="184">
        <f t="shared" si="62"/>
        <v>0</v>
      </c>
      <c r="O245" s="184">
        <f t="shared" si="62"/>
        <v>0</v>
      </c>
      <c r="P245" s="184">
        <f t="shared" si="62"/>
        <v>0</v>
      </c>
      <c r="Q245" s="184">
        <f t="shared" si="62"/>
        <v>0</v>
      </c>
    </row>
    <row r="246" spans="1:18">
      <c r="E246" s="183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8">
      <c r="E247" s="50"/>
    </row>
    <row r="248" spans="1:18">
      <c r="E248" s="184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8">
      <c r="E249" s="50"/>
    </row>
    <row r="250" spans="1:18" ht="18">
      <c r="B250" s="385" t="s">
        <v>405</v>
      </c>
      <c r="C250" s="385"/>
      <c r="D250" s="385"/>
      <c r="E250" s="50"/>
    </row>
    <row r="251" spans="1:18">
      <c r="A251" s="281" t="s">
        <v>445</v>
      </c>
      <c r="B251" s="9">
        <v>6666110101</v>
      </c>
      <c r="C251" s="9" t="s">
        <v>15</v>
      </c>
      <c r="D251" s="9" t="s">
        <v>23</v>
      </c>
      <c r="E251" s="269">
        <v>22.937379892523118</v>
      </c>
      <c r="F251" s="269">
        <v>20.865191666366464</v>
      </c>
      <c r="G251" s="269">
        <v>22.987826212270171</v>
      </c>
      <c r="H251" s="269">
        <v>21.394351406298163</v>
      </c>
      <c r="I251" s="269">
        <v>18.075776296000107</v>
      </c>
      <c r="J251" s="269">
        <v>22.30343974388785</v>
      </c>
      <c r="K251" s="269">
        <v>23.130258700069042</v>
      </c>
      <c r="L251" s="269">
        <v>18.288097197579681</v>
      </c>
      <c r="M251" s="269">
        <v>17.74648468767672</v>
      </c>
      <c r="N251" s="269">
        <v>18.431405748989359</v>
      </c>
      <c r="O251" s="269">
        <v>17.841678349118752</v>
      </c>
      <c r="P251" s="269">
        <v>24.080594221955778</v>
      </c>
      <c r="Q251" s="269">
        <f t="shared" ref="Q251:Q258" si="63">+E251+F251+G251+H251+I251+J251+K251+L251+M251+N251+O251+P251</f>
        <v>248.0824841227352</v>
      </c>
      <c r="R251" s="79"/>
    </row>
    <row r="252" spans="1:18">
      <c r="A252" s="281" t="s">
        <v>445</v>
      </c>
      <c r="B252" s="9">
        <v>6666110106</v>
      </c>
      <c r="C252" s="9" t="s">
        <v>16</v>
      </c>
      <c r="D252" s="9" t="s">
        <v>23</v>
      </c>
      <c r="E252" s="25">
        <v>0</v>
      </c>
      <c r="F252" s="25">
        <v>0</v>
      </c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f t="shared" si="63"/>
        <v>0</v>
      </c>
      <c r="R252" s="270"/>
    </row>
    <row r="253" spans="1:18">
      <c r="A253" s="281" t="s">
        <v>445</v>
      </c>
      <c r="B253" s="9">
        <v>6666110107</v>
      </c>
      <c r="C253" s="9" t="s">
        <v>17</v>
      </c>
      <c r="D253" s="9" t="s">
        <v>23</v>
      </c>
      <c r="E253" s="25">
        <v>131.95949399709929</v>
      </c>
      <c r="F253" s="25">
        <v>128.50944426501019</v>
      </c>
      <c r="G253" s="25">
        <v>132.5964644893501</v>
      </c>
      <c r="H253" s="25">
        <v>-18.535822839451722</v>
      </c>
      <c r="I253" s="25">
        <v>105.4522518060222</v>
      </c>
      <c r="J253" s="25">
        <v>99.099178605339617</v>
      </c>
      <c r="K253" s="25">
        <v>102.72736279594912</v>
      </c>
      <c r="L253" s="25">
        <v>109.16781384617867</v>
      </c>
      <c r="M253" s="25">
        <v>109.31801950377638</v>
      </c>
      <c r="N253" s="25">
        <v>111.3326634015291</v>
      </c>
      <c r="O253" s="25">
        <v>111.13527014837931</v>
      </c>
      <c r="P253" s="25">
        <v>146.35031992139636</v>
      </c>
      <c r="Q253" s="25">
        <f t="shared" si="63"/>
        <v>1269.1124599405784</v>
      </c>
      <c r="R253" s="270"/>
    </row>
    <row r="254" spans="1:18">
      <c r="A254" s="281" t="s">
        <v>445</v>
      </c>
      <c r="B254" s="9">
        <v>6666110110</v>
      </c>
      <c r="C254" s="9" t="s">
        <v>18</v>
      </c>
      <c r="D254" s="9" t="s">
        <v>23</v>
      </c>
      <c r="E254" s="25">
        <v>232.00885862227031</v>
      </c>
      <c r="F254" s="25">
        <v>211.21630791655278</v>
      </c>
      <c r="G254" s="25">
        <v>232.53573289607567</v>
      </c>
      <c r="H254" s="25">
        <v>37.180737374918913</v>
      </c>
      <c r="I254" s="25">
        <v>182.52835898747097</v>
      </c>
      <c r="J254" s="25">
        <v>177.63920690671551</v>
      </c>
      <c r="K254" s="25">
        <v>184.3432944818432</v>
      </c>
      <c r="L254" s="25">
        <v>184.14113665334304</v>
      </c>
      <c r="M254" s="25">
        <v>178.59348979790286</v>
      </c>
      <c r="N254" s="25">
        <v>185.25490684460016</v>
      </c>
      <c r="O254" s="25">
        <v>179.31877820606849</v>
      </c>
      <c r="P254" s="25">
        <v>241.96778334932043</v>
      </c>
      <c r="Q254" s="25">
        <f t="shared" si="63"/>
        <v>2226.7285920370823</v>
      </c>
      <c r="R254" s="270"/>
    </row>
    <row r="255" spans="1:18">
      <c r="A255" s="281" t="s">
        <v>445</v>
      </c>
      <c r="B255" s="9">
        <v>6666110112</v>
      </c>
      <c r="C255" s="9" t="s">
        <v>19</v>
      </c>
      <c r="D255" s="9" t="s">
        <v>23</v>
      </c>
      <c r="E255" s="25">
        <v>4.6954022440477825</v>
      </c>
      <c r="F255" s="25">
        <v>4.4504974709050638</v>
      </c>
      <c r="G255" s="25">
        <v>4.7228927401647471</v>
      </c>
      <c r="H255" s="25">
        <v>-1.0522671009745497</v>
      </c>
      <c r="I255" s="25">
        <v>2.5789437773309905</v>
      </c>
      <c r="J255" s="25">
        <v>1.8441033788150676</v>
      </c>
      <c r="K255" s="25">
        <v>2.1579348683378856</v>
      </c>
      <c r="L255" s="25">
        <v>2.9210978437148531</v>
      </c>
      <c r="M255" s="25">
        <v>2.9207122493675644</v>
      </c>
      <c r="N255" s="25">
        <v>2.994718123292611</v>
      </c>
      <c r="O255" s="25">
        <v>2.9793303290833082</v>
      </c>
      <c r="P255" s="25">
        <v>3.7400680602184919</v>
      </c>
      <c r="Q255" s="25">
        <f t="shared" si="63"/>
        <v>34.953433984303814</v>
      </c>
      <c r="R255" s="270"/>
    </row>
    <row r="256" spans="1:18">
      <c r="A256" s="281" t="s">
        <v>445</v>
      </c>
      <c r="B256" s="9">
        <v>6666110204</v>
      </c>
      <c r="C256" s="9" t="s">
        <v>20</v>
      </c>
      <c r="D256" s="9" t="s">
        <v>23</v>
      </c>
      <c r="E256" s="25">
        <v>7.839918606071837E-2</v>
      </c>
      <c r="F256" s="25">
        <v>8.1380076521274311E-2</v>
      </c>
      <c r="G256" s="25">
        <v>7.9585154130931049E-2</v>
      </c>
      <c r="H256" s="25">
        <v>-0.15373738637975476</v>
      </c>
      <c r="I256" s="25">
        <v>6.6737775631485946E-2</v>
      </c>
      <c r="J256" s="25">
        <v>2.5889943796765492E-2</v>
      </c>
      <c r="K256" s="25">
        <v>2.7195889262021631E-2</v>
      </c>
      <c r="L256" s="25">
        <v>7.4850001680237838E-2</v>
      </c>
      <c r="M256" s="25">
        <v>7.7714075240206099E-2</v>
      </c>
      <c r="N256" s="25">
        <v>7.9315196668065441E-2</v>
      </c>
      <c r="O256" s="25">
        <v>8.1806023666447569E-2</v>
      </c>
      <c r="P256" s="25">
        <v>0.10537271782573941</v>
      </c>
      <c r="Q256" s="25">
        <f t="shared" si="63"/>
        <v>0.62450865410413836</v>
      </c>
      <c r="R256" s="270"/>
    </row>
    <row r="257" spans="1:18">
      <c r="A257" s="281" t="s">
        <v>445</v>
      </c>
      <c r="B257" s="9">
        <v>6666110207</v>
      </c>
      <c r="C257" s="9" t="s">
        <v>21</v>
      </c>
      <c r="D257" s="9" t="s">
        <v>23</v>
      </c>
      <c r="E257" s="25">
        <v>1.223446135010188</v>
      </c>
      <c r="F257" s="25">
        <v>1.2419814092425923</v>
      </c>
      <c r="G257" s="25">
        <v>1.2311386822829808</v>
      </c>
      <c r="H257" s="25">
        <v>-1.8380398413259778</v>
      </c>
      <c r="I257" s="25">
        <v>0.99645721047727953</v>
      </c>
      <c r="J257" s="25">
        <v>0.49527277337004977</v>
      </c>
      <c r="K257" s="25">
        <v>0.50741951279613207</v>
      </c>
      <c r="L257" s="25">
        <v>1.1428264153151153</v>
      </c>
      <c r="M257" s="25">
        <v>0.75593496246245739</v>
      </c>
      <c r="N257" s="25">
        <v>0.92121231133891901</v>
      </c>
      <c r="O257" s="25">
        <v>0.97125697239864228</v>
      </c>
      <c r="P257" s="25">
        <v>1.2746759978683717</v>
      </c>
      <c r="Q257" s="25">
        <f t="shared" si="63"/>
        <v>8.9235825412367493</v>
      </c>
      <c r="R257" s="270"/>
    </row>
    <row r="258" spans="1:18">
      <c r="A258" s="281" t="s">
        <v>445</v>
      </c>
      <c r="B258" s="9">
        <v>6666110506</v>
      </c>
      <c r="C258" s="9" t="s">
        <v>22</v>
      </c>
      <c r="D258" s="9" t="s">
        <v>23</v>
      </c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>
        <f t="shared" si="63"/>
        <v>0</v>
      </c>
      <c r="R258" s="270"/>
    </row>
    <row r="259" spans="1:18">
      <c r="E259" s="357">
        <f t="shared" ref="E259:Q259" si="64">SUM(E251:E258)</f>
        <v>392.90298007701142</v>
      </c>
      <c r="F259" s="22">
        <f t="shared" si="64"/>
        <v>366.36480280459841</v>
      </c>
      <c r="G259" s="22">
        <f t="shared" si="64"/>
        <v>394.15364017427459</v>
      </c>
      <c r="H259" s="22">
        <f t="shared" si="64"/>
        <v>36.995221613085072</v>
      </c>
      <c r="I259" s="22">
        <f t="shared" si="64"/>
        <v>309.69852585293307</v>
      </c>
      <c r="J259" s="22">
        <f t="shared" si="64"/>
        <v>301.40709135192486</v>
      </c>
      <c r="K259" s="22">
        <f t="shared" si="64"/>
        <v>312.89346624825737</v>
      </c>
      <c r="L259" s="22">
        <f t="shared" si="64"/>
        <v>315.73582195781165</v>
      </c>
      <c r="M259" s="22">
        <f t="shared" si="64"/>
        <v>309.41235527642618</v>
      </c>
      <c r="N259" s="22">
        <f t="shared" si="64"/>
        <v>319.01422162641819</v>
      </c>
      <c r="O259" s="22">
        <f t="shared" si="64"/>
        <v>312.32812002871492</v>
      </c>
      <c r="P259" s="22">
        <f t="shared" si="64"/>
        <v>417.51881426858517</v>
      </c>
      <c r="Q259" s="22">
        <f t="shared" si="64"/>
        <v>3788.4250612800402</v>
      </c>
      <c r="R259" s="274"/>
    </row>
    <row r="261" spans="1:18">
      <c r="I261" s="384"/>
      <c r="J261" s="384"/>
      <c r="K261" s="384"/>
      <c r="L261" s="384"/>
      <c r="M261" s="384"/>
      <c r="N261" s="384"/>
      <c r="O261" s="384"/>
      <c r="P261" s="384"/>
      <c r="Q261" s="180"/>
    </row>
    <row r="264" spans="1:18">
      <c r="C264" s="283" t="s">
        <v>447</v>
      </c>
      <c r="D264" s="283" t="s">
        <v>445</v>
      </c>
      <c r="E264" s="285">
        <f>+SUMIF($A$6:$A$258,D264,E6:E259)</f>
        <v>1637.4669599999995</v>
      </c>
      <c r="F264" s="285">
        <f t="shared" ref="F264:P264" si="65">+SUMIF($A$6:$A$258,$D$264,F6:F259)</f>
        <v>1633.7239699999996</v>
      </c>
      <c r="G264" s="285">
        <f t="shared" si="65"/>
        <v>1369.6450200000002</v>
      </c>
      <c r="H264" s="285">
        <f t="shared" si="65"/>
        <v>858.33753999999965</v>
      </c>
      <c r="I264" s="285">
        <f t="shared" si="65"/>
        <v>1533.73768</v>
      </c>
      <c r="J264" s="285">
        <f t="shared" si="65"/>
        <v>1391.7891809893733</v>
      </c>
      <c r="K264" s="285">
        <f t="shared" si="65"/>
        <v>1291.2264300000002</v>
      </c>
      <c r="L264" s="285">
        <f t="shared" si="65"/>
        <v>1480.2087943875547</v>
      </c>
      <c r="M264" s="285">
        <f t="shared" si="65"/>
        <v>1645.2385688262434</v>
      </c>
      <c r="N264" s="285">
        <f t="shared" si="65"/>
        <v>1596.9487428126652</v>
      </c>
      <c r="O264" s="285">
        <f t="shared" si="65"/>
        <v>1574.3432162862864</v>
      </c>
      <c r="P264" s="285">
        <f t="shared" si="65"/>
        <v>1639.0316630511152</v>
      </c>
      <c r="Q264" s="304">
        <f>+E264+F264+G264+H264+I264+J264+K264+L264+M264+N264+O264+P264</f>
        <v>17651.697766353238</v>
      </c>
      <c r="R264" s="287"/>
    </row>
    <row r="265" spans="1:18">
      <c r="C265" s="283" t="s">
        <v>448</v>
      </c>
      <c r="D265" s="283" t="s">
        <v>446</v>
      </c>
      <c r="E265" s="286">
        <f>+SUMIF($A$6:$A$259,D265,E6:E260)</f>
        <v>140.87302</v>
      </c>
      <c r="F265" s="286">
        <f t="shared" ref="F265:P265" si="66">+SUMIF($A$6:$A$259,$D$265,F6:F260)</f>
        <v>117.48782000000001</v>
      </c>
      <c r="G265" s="286">
        <f t="shared" si="66"/>
        <v>343.24375999999995</v>
      </c>
      <c r="H265" s="286">
        <f t="shared" si="66"/>
        <v>43.01869999999996</v>
      </c>
      <c r="I265" s="286">
        <f t="shared" si="66"/>
        <v>292.94983000000013</v>
      </c>
      <c r="J265" s="286">
        <f t="shared" si="66"/>
        <v>46.7943</v>
      </c>
      <c r="K265" s="286">
        <f t="shared" si="66"/>
        <v>-20.627539999999954</v>
      </c>
      <c r="L265" s="286">
        <f t="shared" si="66"/>
        <v>172.33727908047553</v>
      </c>
      <c r="M265" s="286">
        <f t="shared" si="66"/>
        <v>170.84361011124429</v>
      </c>
      <c r="N265" s="286">
        <f t="shared" si="66"/>
        <v>167.11875568182523</v>
      </c>
      <c r="O265" s="286">
        <f t="shared" si="66"/>
        <v>165.41298917697262</v>
      </c>
      <c r="P265" s="286">
        <f t="shared" si="66"/>
        <v>158.73849530999854</v>
      </c>
      <c r="Q265" s="305">
        <f>+E265+F265+G265+H265+I265+J265+K265+L265+M265+N265+O265+P265</f>
        <v>1798.1910193605163</v>
      </c>
      <c r="R265" s="288"/>
    </row>
    <row r="266" spans="1:18">
      <c r="C266" s="283" t="s">
        <v>0</v>
      </c>
      <c r="E266" s="284">
        <f t="shared" ref="E266:Q266" si="67">+E265+E264</f>
        <v>1778.3399799999995</v>
      </c>
      <c r="F266" s="284">
        <f t="shared" si="67"/>
        <v>1751.2117899999996</v>
      </c>
      <c r="G266" s="284">
        <f t="shared" si="67"/>
        <v>1712.8887800000002</v>
      </c>
      <c r="H266" s="284">
        <f t="shared" si="67"/>
        <v>901.35623999999962</v>
      </c>
      <c r="I266" s="284">
        <f t="shared" si="67"/>
        <v>1826.6875100000002</v>
      </c>
      <c r="J266" s="284">
        <f t="shared" si="67"/>
        <v>1438.5834809893734</v>
      </c>
      <c r="K266" s="284">
        <f t="shared" si="67"/>
        <v>1270.5988900000002</v>
      </c>
      <c r="L266" s="284">
        <f t="shared" si="67"/>
        <v>1652.5460734680303</v>
      </c>
      <c r="M266" s="284">
        <f t="shared" si="67"/>
        <v>1816.0821789374877</v>
      </c>
      <c r="N266" s="284">
        <f t="shared" si="67"/>
        <v>1764.0674984944903</v>
      </c>
      <c r="O266" s="284">
        <f t="shared" si="67"/>
        <v>1739.756205463259</v>
      </c>
      <c r="P266" s="284">
        <f t="shared" si="67"/>
        <v>1797.7701583611138</v>
      </c>
      <c r="Q266" s="306">
        <f t="shared" si="67"/>
        <v>19449.888785713752</v>
      </c>
      <c r="R266" s="284"/>
    </row>
    <row r="267" spans="1:18"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11"/>
    </row>
    <row r="268" spans="1:18" s="268" customFormat="1">
      <c r="A268" s="280"/>
      <c r="B268" s="105"/>
      <c r="C268" s="105"/>
      <c r="D268" s="289" t="s">
        <v>436</v>
      </c>
      <c r="E268" s="284">
        <f>1779.7048</f>
        <v>1779.7048</v>
      </c>
      <c r="F268" s="284">
        <f>1751206.29/1000</f>
        <v>1751.2062900000001</v>
      </c>
      <c r="G268" s="284">
        <v>1712.8791299999998</v>
      </c>
      <c r="H268" s="284">
        <f t="shared" ref="H268:Q268" si="68">+H240+H259</f>
        <v>901.15132999999992</v>
      </c>
      <c r="I268" s="284">
        <f t="shared" si="68"/>
        <v>1826.7906500000001</v>
      </c>
      <c r="J268" s="284">
        <f t="shared" si="68"/>
        <v>1438.4440609893736</v>
      </c>
      <c r="K268" s="284">
        <f t="shared" si="68"/>
        <v>1270.3862100000001</v>
      </c>
      <c r="L268" s="284">
        <f t="shared" si="68"/>
        <v>1652.5460734680303</v>
      </c>
      <c r="M268" s="284">
        <f t="shared" si="68"/>
        <v>1816.0821789374882</v>
      </c>
      <c r="N268" s="284">
        <f t="shared" si="68"/>
        <v>1764.0674984944903</v>
      </c>
      <c r="O268" s="284">
        <f t="shared" si="68"/>
        <v>1739.7562054632588</v>
      </c>
      <c r="P268" s="284">
        <f t="shared" si="68"/>
        <v>1797.7701583611133</v>
      </c>
      <c r="Q268" s="306">
        <f t="shared" si="68"/>
        <v>19431.827745713752</v>
      </c>
      <c r="R268" s="284"/>
    </row>
    <row r="269" spans="1:18">
      <c r="D269" s="282" t="s">
        <v>437</v>
      </c>
      <c r="E269" s="284">
        <f t="shared" ref="E269:Q269" si="69">+E268-E266</f>
        <v>1.3648200000004636</v>
      </c>
      <c r="F269" s="284">
        <f t="shared" si="69"/>
        <v>-5.4999999995288817E-3</v>
      </c>
      <c r="G269" s="284">
        <f t="shared" si="69"/>
        <v>-9.6500000004198228E-3</v>
      </c>
      <c r="H269" s="284">
        <f t="shared" si="69"/>
        <v>-0.20490999999969972</v>
      </c>
      <c r="I269" s="284">
        <f t="shared" si="69"/>
        <v>0.10313999999993939</v>
      </c>
      <c r="J269" s="284">
        <f t="shared" si="69"/>
        <v>-0.13941999999974541</v>
      </c>
      <c r="K269" s="284">
        <f t="shared" si="69"/>
        <v>-0.21268000000009124</v>
      </c>
      <c r="L269" s="284">
        <f t="shared" si="69"/>
        <v>0</v>
      </c>
      <c r="M269" s="284">
        <f t="shared" si="69"/>
        <v>0</v>
      </c>
      <c r="N269" s="284">
        <f t="shared" si="69"/>
        <v>0</v>
      </c>
      <c r="O269" s="284">
        <f t="shared" si="69"/>
        <v>0</v>
      </c>
      <c r="P269" s="284">
        <f t="shared" si="69"/>
        <v>0</v>
      </c>
      <c r="Q269" s="306">
        <f t="shared" si="69"/>
        <v>-18.061040000000503</v>
      </c>
      <c r="R269" s="284"/>
    </row>
    <row r="271" spans="1:18">
      <c r="E271" s="18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</row>
    <row r="272" spans="1:18" s="268" customFormat="1">
      <c r="A272" s="280"/>
      <c r="B272" s="105"/>
      <c r="C272" s="105"/>
      <c r="D272" s="105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180"/>
      <c r="R272" s="50"/>
    </row>
    <row r="273" spans="1:19" s="10" customFormat="1">
      <c r="A273" s="277"/>
      <c r="B273"/>
      <c r="C273"/>
      <c r="D273"/>
      <c r="E273" s="310"/>
      <c r="F273" s="50"/>
      <c r="G273" s="50"/>
      <c r="S273" s="16"/>
    </row>
    <row r="274" spans="1:19" s="10" customFormat="1">
      <c r="A274" s="277"/>
      <c r="B274"/>
      <c r="C274"/>
      <c r="D274"/>
      <c r="E274" s="180"/>
      <c r="F274" s="311"/>
      <c r="G274" s="311"/>
      <c r="H274" s="180"/>
      <c r="I274" s="50"/>
      <c r="Q274" s="180"/>
      <c r="S274" s="16"/>
    </row>
    <row r="275" spans="1:19" s="10" customFormat="1">
      <c r="A275" s="277"/>
      <c r="B275"/>
      <c r="C275"/>
      <c r="D275"/>
      <c r="F275" s="50"/>
      <c r="G275" s="50"/>
      <c r="Q275" s="50"/>
      <c r="S275" s="16"/>
    </row>
    <row r="276" spans="1:19" s="10" customFormat="1">
      <c r="A276" s="277"/>
      <c r="B276"/>
      <c r="C276"/>
      <c r="D276"/>
      <c r="E276" s="180"/>
      <c r="F276" s="180"/>
      <c r="G276" s="180"/>
      <c r="H276" s="180"/>
      <c r="S276" s="16"/>
    </row>
    <row r="278" spans="1:19" s="10" customFormat="1">
      <c r="A278" s="277"/>
      <c r="B278"/>
      <c r="C278"/>
      <c r="D278"/>
      <c r="E278" s="180"/>
      <c r="S278" s="16"/>
    </row>
    <row r="280" spans="1:19" s="10" customFormat="1">
      <c r="A280" s="277"/>
      <c r="B280"/>
      <c r="C280"/>
      <c r="D280"/>
      <c r="E280" s="310"/>
      <c r="S280" s="16"/>
    </row>
  </sheetData>
  <autoFilter ref="A1:T259" xr:uid="{87A5B1DC-DFB9-4A4F-B96B-2FE2536B9648}"/>
  <mergeCells count="1">
    <mergeCell ref="B250:D250"/>
  </mergeCells>
  <pageMargins left="0.7" right="0.7" top="0.75" bottom="0.75" header="0.3" footer="0.3"/>
  <pageSetup orientation="portrait" r:id="rId1"/>
  <headerFooter>
    <oddFooter>&amp;C_x000D_&amp;1#&amp;"Aptos"&amp;10&amp;K0000FF Haier Europe - Internal and trusted parties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E346-6B4B-4BE2-991E-0AE82076C3E2}">
  <sheetPr>
    <tabColor rgb="FF002060"/>
  </sheetPr>
  <dimension ref="A1:S274"/>
  <sheetViews>
    <sheetView showGridLines="0" zoomScale="55" zoomScaleNormal="55" workbookViewId="0">
      <pane xSplit="4" ySplit="5" topLeftCell="E71" activePane="bottomRight" state="frozen"/>
      <selection pane="topRight" activeCell="D1" sqref="D1"/>
      <selection pane="bottomLeft" activeCell="A4" sqref="A4"/>
      <selection pane="bottomRight" activeCell="D2" sqref="D2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7" width="13.88671875" style="10" bestFit="1" customWidth="1"/>
    <col min="8" max="8" width="21.77734375" style="10" customWidth="1"/>
    <col min="9" max="9" width="16.109375" style="10" customWidth="1"/>
    <col min="10" max="16" width="13.88671875" style="10" customWidth="1"/>
    <col min="17" max="17" width="13.88671875" style="10" bestFit="1" customWidth="1"/>
    <col min="18" max="18" width="19.6640625" style="10" bestFit="1" customWidth="1"/>
    <col min="19" max="16384" width="8.77734375" style="16"/>
  </cols>
  <sheetData>
    <row r="1" spans="1:19" s="29" customFormat="1" ht="15">
      <c r="A1" s="95"/>
      <c r="B1" s="96" t="s">
        <v>190</v>
      </c>
      <c r="C1" s="14"/>
      <c r="D1" s="5" t="s">
        <v>128</v>
      </c>
      <c r="E1" s="94">
        <v>47357</v>
      </c>
      <c r="F1" s="94">
        <v>42000.000999999997</v>
      </c>
      <c r="G1" s="94">
        <v>23500.001</v>
      </c>
      <c r="H1" s="94">
        <v>38000.000999999997</v>
      </c>
      <c r="I1" s="94">
        <v>33000.000999999997</v>
      </c>
      <c r="J1" s="94">
        <v>52500.000999999997</v>
      </c>
      <c r="K1" s="94">
        <v>40672</v>
      </c>
      <c r="L1" s="94">
        <v>39704</v>
      </c>
      <c r="M1" s="94">
        <v>54907</v>
      </c>
      <c r="N1" s="94">
        <v>49968</v>
      </c>
      <c r="O1" s="94">
        <v>51936</v>
      </c>
      <c r="P1" s="94">
        <v>42190</v>
      </c>
      <c r="Q1" s="94">
        <f>+E1+F1+G1+H1+I1+J1+K1+L1+M1+N1+O1+P1</f>
        <v>515734.005</v>
      </c>
      <c r="R1" s="15"/>
    </row>
    <row r="2" spans="1:19" s="29" customFormat="1" ht="15">
      <c r="A2" s="95"/>
      <c r="B2" s="96"/>
      <c r="C2" s="14"/>
      <c r="D2" s="5" t="s">
        <v>472</v>
      </c>
      <c r="E2" s="381">
        <v>50.75</v>
      </c>
      <c r="F2" s="381">
        <v>52.47</v>
      </c>
      <c r="G2" s="381">
        <v>53.1</v>
      </c>
      <c r="H2" s="382">
        <v>54.2</v>
      </c>
      <c r="I2" s="94">
        <v>55.3</v>
      </c>
      <c r="J2" s="94">
        <v>56.4</v>
      </c>
      <c r="K2" s="94">
        <v>57.2</v>
      </c>
      <c r="L2" s="94">
        <v>58</v>
      </c>
      <c r="M2" s="94">
        <v>58.8</v>
      </c>
      <c r="N2" s="94">
        <v>59.77</v>
      </c>
      <c r="O2" s="94">
        <v>60.74</v>
      </c>
      <c r="P2" s="94">
        <v>61.71</v>
      </c>
      <c r="Q2" s="94"/>
      <c r="R2" s="15"/>
    </row>
    <row r="3" spans="1:19" s="29" customFormat="1">
      <c r="A3" s="95"/>
      <c r="B3" s="14"/>
      <c r="C3" s="14"/>
      <c r="D3" s="5" t="s">
        <v>471</v>
      </c>
      <c r="E3" s="31">
        <f t="shared" ref="E3:Q3" si="0">+E239</f>
        <v>55.144676695023215</v>
      </c>
      <c r="F3" s="31">
        <f t="shared" si="0"/>
        <v>49.764622812680223</v>
      </c>
      <c r="G3" s="31">
        <f t="shared" si="0"/>
        <v>48.288145286692114</v>
      </c>
      <c r="H3" s="31">
        <f t="shared" si="0"/>
        <v>0</v>
      </c>
      <c r="I3" s="31">
        <f t="shared" si="0"/>
        <v>0</v>
      </c>
      <c r="J3" s="31">
        <f t="shared" si="0"/>
        <v>0</v>
      </c>
      <c r="K3" s="31">
        <f t="shared" si="0"/>
        <v>0</v>
      </c>
      <c r="L3" s="31">
        <f t="shared" si="0"/>
        <v>0</v>
      </c>
      <c r="M3" s="31">
        <f t="shared" si="0"/>
        <v>0</v>
      </c>
      <c r="N3" s="31">
        <f t="shared" si="0"/>
        <v>0</v>
      </c>
      <c r="O3" s="31">
        <f t="shared" si="0"/>
        <v>0</v>
      </c>
      <c r="P3" s="31">
        <f t="shared" si="0"/>
        <v>0</v>
      </c>
      <c r="Q3" s="31">
        <f t="shared" si="0"/>
        <v>0</v>
      </c>
      <c r="R3" s="31"/>
    </row>
    <row r="5" spans="1:19" ht="28.8">
      <c r="A5" s="276" t="s">
        <v>444</v>
      </c>
      <c r="E5" s="17" t="s">
        <v>141</v>
      </c>
      <c r="F5" s="17" t="s">
        <v>350</v>
      </c>
      <c r="G5" s="17" t="s">
        <v>398</v>
      </c>
      <c r="H5" s="17" t="s">
        <v>327</v>
      </c>
      <c r="I5" s="17" t="s">
        <v>330</v>
      </c>
      <c r="J5" s="17" t="s">
        <v>408</v>
      </c>
      <c r="K5" s="17" t="s">
        <v>334</v>
      </c>
      <c r="L5" s="17" t="s">
        <v>438</v>
      </c>
      <c r="M5" s="17" t="s">
        <v>449</v>
      </c>
      <c r="N5" s="17" t="s">
        <v>458</v>
      </c>
      <c r="O5" s="17" t="s">
        <v>342</v>
      </c>
      <c r="P5" s="17" t="s">
        <v>463</v>
      </c>
      <c r="Q5" s="17" t="s">
        <v>148</v>
      </c>
      <c r="R5" s="17"/>
    </row>
    <row r="6" spans="1:19" outlineLevel="1">
      <c r="A6" s="277" t="s">
        <v>445</v>
      </c>
      <c r="B6" s="9">
        <v>6666110101</v>
      </c>
      <c r="C6" s="9" t="s">
        <v>15</v>
      </c>
      <c r="D6" s="9" t="s">
        <v>23</v>
      </c>
      <c r="E6" s="11">
        <v>9.5887601074768796</v>
      </c>
      <c r="F6" s="25">
        <v>515.61681416696729</v>
      </c>
      <c r="G6" s="25">
        <v>558.87199628773192</v>
      </c>
      <c r="H6" s="25">
        <v>545.80148874518795</v>
      </c>
      <c r="I6" s="25">
        <v>556.90639476863157</v>
      </c>
      <c r="J6" s="25">
        <v>546.48697048030351</v>
      </c>
      <c r="K6" s="25">
        <v>575.81023214512675</v>
      </c>
      <c r="L6" s="25">
        <v>575.98362021453954</v>
      </c>
      <c r="M6" s="25">
        <v>562.53212292279716</v>
      </c>
      <c r="N6" s="25">
        <v>577.53856668488629</v>
      </c>
      <c r="O6" s="25">
        <v>567.49077310202574</v>
      </c>
      <c r="P6" s="25">
        <v>589.55126918987253</v>
      </c>
      <c r="Q6" s="25">
        <f t="shared" ref="Q6:Q13" si="1">F6+E6+G6+H6+I6+J6+K6+L6+M6+N6+O6+P6</f>
        <v>6182.1790088155467</v>
      </c>
      <c r="R6" s="46"/>
      <c r="S6" s="93"/>
    </row>
    <row r="7" spans="1:19" outlineLevel="1">
      <c r="A7" s="277" t="s">
        <v>445</v>
      </c>
      <c r="B7" s="9">
        <v>6666110106</v>
      </c>
      <c r="C7" s="9" t="s">
        <v>16</v>
      </c>
      <c r="D7" s="9" t="s">
        <v>23</v>
      </c>
      <c r="E7" s="11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1"/>
        <v>0</v>
      </c>
      <c r="R7" s="46"/>
      <c r="S7" s="93"/>
    </row>
    <row r="8" spans="1:19" outlineLevel="1">
      <c r="A8" s="277" t="s">
        <v>445</v>
      </c>
      <c r="B8" s="9">
        <v>6666110107</v>
      </c>
      <c r="C8" s="9" t="s">
        <v>17</v>
      </c>
      <c r="D8" s="9" t="s">
        <v>23</v>
      </c>
      <c r="E8" s="11">
        <v>92.46241600290071</v>
      </c>
      <c r="F8" s="25">
        <v>-128.50944426501019</v>
      </c>
      <c r="G8" s="25">
        <v>-132.5964644893501</v>
      </c>
      <c r="H8" s="25">
        <v>-133.1399494286353</v>
      </c>
      <c r="I8" s="25">
        <v>-136.89070869994342</v>
      </c>
      <c r="J8" s="25">
        <v>-137.10293615989491</v>
      </c>
      <c r="K8" s="25">
        <v>-140.22302719238331</v>
      </c>
      <c r="L8" s="25">
        <v>-141.55231184254714</v>
      </c>
      <c r="M8" s="25">
        <v>-141.04042556379062</v>
      </c>
      <c r="N8" s="25">
        <v>-144.04445621112868</v>
      </c>
      <c r="O8" s="25">
        <v>-143.38387063793496</v>
      </c>
      <c r="P8" s="25">
        <v>-146.35031992139636</v>
      </c>
      <c r="Q8" s="25">
        <f t="shared" si="1"/>
        <v>-1432.3714984091143</v>
      </c>
      <c r="R8" s="46"/>
      <c r="S8" s="93"/>
    </row>
    <row r="9" spans="1:19" outlineLevel="1">
      <c r="A9" s="277" t="s">
        <v>445</v>
      </c>
      <c r="B9" s="9">
        <v>6666110110</v>
      </c>
      <c r="C9" s="9" t="s">
        <v>18</v>
      </c>
      <c r="D9" s="9" t="s">
        <v>23</v>
      </c>
      <c r="E9" s="11">
        <v>63.749081377729709</v>
      </c>
      <c r="F9" s="25">
        <v>-231.7404196339368</v>
      </c>
      <c r="G9" s="25">
        <v>-259.8832467323208</v>
      </c>
      <c r="H9" s="25">
        <v>-251.50838935798538</v>
      </c>
      <c r="I9" s="25">
        <v>-259.51546517261772</v>
      </c>
      <c r="J9" s="25">
        <v>-251.33833915160059</v>
      </c>
      <c r="K9" s="25">
        <v>-259.0819508143282</v>
      </c>
      <c r="L9" s="25">
        <v>-258.72827912742514</v>
      </c>
      <c r="M9" s="25">
        <v>-250.19728233863194</v>
      </c>
      <c r="N9" s="25">
        <v>-259.46435253788729</v>
      </c>
      <c r="O9" s="25">
        <v>-251.88662214347477</v>
      </c>
      <c r="P9" s="25">
        <v>-261.15815163882382</v>
      </c>
      <c r="Q9" s="25">
        <f t="shared" si="1"/>
        <v>-2730.7534172713026</v>
      </c>
      <c r="R9" s="46"/>
      <c r="S9" s="93"/>
    </row>
    <row r="10" spans="1:19" outlineLevel="1">
      <c r="A10" s="277" t="s">
        <v>445</v>
      </c>
      <c r="B10" s="9">
        <v>6666110112</v>
      </c>
      <c r="C10" s="9" t="s">
        <v>19</v>
      </c>
      <c r="D10" s="9" t="s">
        <v>23</v>
      </c>
      <c r="E10" s="11">
        <v>4.2473877559522162</v>
      </c>
      <c r="F10" s="25">
        <v>-4.4504974709050638</v>
      </c>
      <c r="G10" s="25">
        <v>-4.7228927401647471</v>
      </c>
      <c r="H10" s="25">
        <v>-4.7190566367913949</v>
      </c>
      <c r="I10" s="25">
        <v>-3.5097491143611212</v>
      </c>
      <c r="J10" s="25">
        <v>-3.7738651133896481</v>
      </c>
      <c r="K10" s="25">
        <v>-3.804334471540824</v>
      </c>
      <c r="L10" s="25">
        <v>-3.8799128286160287</v>
      </c>
      <c r="M10" s="25">
        <v>-3.8599245320737001</v>
      </c>
      <c r="N10" s="25">
        <v>-3.9632233980183074</v>
      </c>
      <c r="O10" s="25">
        <v>-3.9341217664847683</v>
      </c>
      <c r="P10" s="25">
        <v>-3.7400680602184919</v>
      </c>
      <c r="Q10" s="25">
        <f t="shared" si="1"/>
        <v>-40.110258376611881</v>
      </c>
      <c r="R10" s="46"/>
      <c r="S10" s="93"/>
    </row>
    <row r="11" spans="1:19" outlineLevel="1">
      <c r="A11" s="277" t="s">
        <v>445</v>
      </c>
      <c r="B11" s="9">
        <v>6666110204</v>
      </c>
      <c r="C11" s="9" t="s">
        <v>20</v>
      </c>
      <c r="D11" s="9" t="s">
        <v>23</v>
      </c>
      <c r="E11" s="11">
        <v>0.17412081393928164</v>
      </c>
      <c r="F11" s="25">
        <v>-8.1380076521274311E-2</v>
      </c>
      <c r="G11" s="25">
        <v>-7.9585154130931049E-2</v>
      </c>
      <c r="H11" s="25">
        <v>-8.3786040983439614E-2</v>
      </c>
      <c r="I11" s="25">
        <v>-8.7625724599773719E-2</v>
      </c>
      <c r="J11" s="25">
        <v>-9.1313307912645289E-2</v>
      </c>
      <c r="K11" s="25">
        <v>-9.3885298415909146E-2</v>
      </c>
      <c r="L11" s="25">
        <v>-9.6366507525108239E-2</v>
      </c>
      <c r="M11" s="25">
        <v>-9.8790682185917855E-2</v>
      </c>
      <c r="N11" s="25">
        <v>-0.10104915966674667</v>
      </c>
      <c r="O11" s="25">
        <v>-0.1032322381781014</v>
      </c>
      <c r="P11" s="25">
        <v>-0.10537271782573941</v>
      </c>
      <c r="Q11" s="25">
        <f t="shared" si="1"/>
        <v>-0.84826609400630504</v>
      </c>
      <c r="R11" s="46"/>
      <c r="S11" s="93"/>
    </row>
    <row r="12" spans="1:19" outlineLevel="1">
      <c r="A12" s="277" t="s">
        <v>445</v>
      </c>
      <c r="B12" s="9">
        <v>6666110207</v>
      </c>
      <c r="C12" s="9" t="s">
        <v>21</v>
      </c>
      <c r="D12" s="9" t="s">
        <v>23</v>
      </c>
      <c r="E12" s="11">
        <v>1.126463864989812</v>
      </c>
      <c r="F12" s="25">
        <v>-1.2419814092425923</v>
      </c>
      <c r="G12" s="25">
        <v>-1.2311386822829808</v>
      </c>
      <c r="H12" s="25">
        <v>-1.2580058463528405</v>
      </c>
      <c r="I12" s="25">
        <v>-1.2832001440795993</v>
      </c>
      <c r="J12" s="25">
        <v>-1.3067367995475361</v>
      </c>
      <c r="K12" s="25">
        <v>-1.3236227631523825</v>
      </c>
      <c r="L12" s="25">
        <v>-1.4381979721968603</v>
      </c>
      <c r="M12" s="25">
        <v>-1.0452677310924368</v>
      </c>
      <c r="N12" s="25">
        <v>-1.2195690489251552</v>
      </c>
      <c r="O12" s="25">
        <v>-1.265389039380987</v>
      </c>
      <c r="P12" s="25">
        <v>-1.2746759978683717</v>
      </c>
      <c r="Q12" s="25">
        <f t="shared" si="1"/>
        <v>-12.76132156913193</v>
      </c>
      <c r="R12" s="46"/>
      <c r="S12" s="93"/>
    </row>
    <row r="13" spans="1:19" outlineLevel="1">
      <c r="A13" s="277" t="s">
        <v>445</v>
      </c>
      <c r="B13" s="9">
        <v>6666110506</v>
      </c>
      <c r="C13" s="9" t="s">
        <v>22</v>
      </c>
      <c r="D13" s="9" t="s">
        <v>23</v>
      </c>
      <c r="E13" s="11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1"/>
        <v>0</v>
      </c>
      <c r="R13" s="46"/>
      <c r="S13" s="93"/>
    </row>
    <row r="14" spans="1:19" s="24" customFormat="1">
      <c r="A14" s="277"/>
      <c r="B14" s="37" t="s">
        <v>4</v>
      </c>
      <c r="C14" s="36" t="s">
        <v>23</v>
      </c>
      <c r="D14" s="38"/>
      <c r="E14" s="97">
        <f>SUM(E6:E13)</f>
        <v>171.34822992298859</v>
      </c>
      <c r="F14" s="178">
        <f t="shared" ref="F14:P14" si="2">SUM(F6:F13)</f>
        <v>149.59309131135137</v>
      </c>
      <c r="G14" s="178">
        <f t="shared" si="2"/>
        <v>160.35866848948237</v>
      </c>
      <c r="H14" s="178">
        <f t="shared" si="2"/>
        <v>155.09230143443961</v>
      </c>
      <c r="I14" s="178">
        <f t="shared" si="2"/>
        <v>155.61964591302998</v>
      </c>
      <c r="J14" s="178">
        <f t="shared" si="2"/>
        <v>152.87377994795816</v>
      </c>
      <c r="K14" s="178">
        <f t="shared" si="2"/>
        <v>171.28341160530616</v>
      </c>
      <c r="L14" s="178">
        <f t="shared" si="2"/>
        <v>170.28855193622923</v>
      </c>
      <c r="M14" s="178">
        <f t="shared" si="2"/>
        <v>166.29043207502255</v>
      </c>
      <c r="N14" s="178">
        <f t="shared" si="2"/>
        <v>168.74591632926007</v>
      </c>
      <c r="O14" s="178">
        <f t="shared" si="2"/>
        <v>166.9175372765722</v>
      </c>
      <c r="P14" s="178">
        <f t="shared" si="2"/>
        <v>176.92268085373973</v>
      </c>
      <c r="Q14" s="178">
        <f>SUM(Q6:Q13)</f>
        <v>1965.3342470953792</v>
      </c>
      <c r="R14" s="171"/>
      <c r="S14" s="93"/>
    </row>
    <row r="15" spans="1:19" outlineLevel="1">
      <c r="A15" s="277" t="s">
        <v>445</v>
      </c>
      <c r="B15" s="9">
        <v>5001010205</v>
      </c>
      <c r="C15" s="9" t="s">
        <v>24</v>
      </c>
      <c r="D15" s="9" t="s">
        <v>32</v>
      </c>
      <c r="E15" s="11">
        <v>7.6160699999999997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ref="Q15:Q22" si="3">F15+E15+G15+H15+I15+J15+K15+L15+M15+N15+O15+P15</f>
        <v>7.6160699999999997</v>
      </c>
      <c r="R15" s="46"/>
      <c r="S15" s="93"/>
    </row>
    <row r="16" spans="1:19" outlineLevel="1">
      <c r="A16" s="277" t="s">
        <v>445</v>
      </c>
      <c r="B16" s="9">
        <v>6666010380</v>
      </c>
      <c r="C16" s="9" t="s">
        <v>25</v>
      </c>
      <c r="D16" s="9" t="s">
        <v>32</v>
      </c>
      <c r="E16" s="11">
        <v>-1.8209000000000002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3"/>
        <v>-1.8209000000000002</v>
      </c>
      <c r="R16" s="46"/>
      <c r="S16" s="93"/>
    </row>
    <row r="17" spans="1:19" outlineLevel="1">
      <c r="A17" s="277" t="s">
        <v>445</v>
      </c>
      <c r="B17" s="9">
        <v>6666010019</v>
      </c>
      <c r="C17" s="9" t="s">
        <v>26</v>
      </c>
      <c r="D17" s="9" t="s">
        <v>32</v>
      </c>
      <c r="E17" s="11">
        <v>64.673050000000003</v>
      </c>
      <c r="F17" s="25">
        <v>483.16754422137763</v>
      </c>
      <c r="G17" s="25">
        <v>486.95671671796867</v>
      </c>
      <c r="H17" s="25">
        <v>464.96080831070191</v>
      </c>
      <c r="I17" s="25">
        <v>528.14055158830115</v>
      </c>
      <c r="J17" s="25">
        <v>497.00351304587235</v>
      </c>
      <c r="K17" s="25">
        <v>446.30187466566298</v>
      </c>
      <c r="L17" s="25">
        <v>457.45747629957157</v>
      </c>
      <c r="M17" s="25">
        <v>552.8625556614918</v>
      </c>
      <c r="N17" s="25">
        <v>505.6864291133387</v>
      </c>
      <c r="O17" s="25">
        <v>482.52376750219298</v>
      </c>
      <c r="P17" s="25">
        <v>489.09036175807495</v>
      </c>
      <c r="Q17" s="25">
        <f t="shared" si="3"/>
        <v>5458.8246488845552</v>
      </c>
      <c r="R17" s="46"/>
      <c r="S17" s="93"/>
    </row>
    <row r="18" spans="1:19" outlineLevel="1">
      <c r="A18" s="277" t="s">
        <v>445</v>
      </c>
      <c r="B18" s="9">
        <v>6666010183</v>
      </c>
      <c r="C18" s="9" t="s">
        <v>27</v>
      </c>
      <c r="D18" s="9" t="s">
        <v>32</v>
      </c>
      <c r="E18" s="11">
        <v>10.50135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f t="shared" si="3"/>
        <v>10.50135</v>
      </c>
      <c r="R18" s="46"/>
      <c r="S18" s="93"/>
    </row>
    <row r="19" spans="1:19" outlineLevel="1">
      <c r="A19" s="277" t="s">
        <v>445</v>
      </c>
      <c r="B19" s="9">
        <v>6666010229</v>
      </c>
      <c r="C19" s="9" t="s">
        <v>28</v>
      </c>
      <c r="D19" s="9" t="s">
        <v>32</v>
      </c>
      <c r="E19" s="11">
        <v>16.691009999999999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f t="shared" si="3"/>
        <v>16.691009999999999</v>
      </c>
      <c r="R19" s="46"/>
      <c r="S19" s="93"/>
    </row>
    <row r="20" spans="1:19" outlineLevel="1">
      <c r="A20" s="277" t="s">
        <v>445</v>
      </c>
      <c r="B20" s="9">
        <v>6666010188</v>
      </c>
      <c r="C20" s="9" t="s">
        <v>29</v>
      </c>
      <c r="D20" s="9" t="s">
        <v>32</v>
      </c>
      <c r="E20" s="11">
        <v>357.71935999999999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f t="shared" si="3"/>
        <v>357.71935999999999</v>
      </c>
      <c r="R20" s="46"/>
      <c r="S20" s="93"/>
    </row>
    <row r="21" spans="1:19" s="104" customFormat="1" outlineLevel="1">
      <c r="A21" s="277" t="s">
        <v>445</v>
      </c>
      <c r="B21" s="98">
        <v>5102040406</v>
      </c>
      <c r="C21" s="98" t="s">
        <v>30</v>
      </c>
      <c r="D21" s="98" t="s">
        <v>32</v>
      </c>
      <c r="E21" s="11">
        <v>0</v>
      </c>
      <c r="F21" s="25">
        <v>0</v>
      </c>
      <c r="G21" s="25">
        <v>0</v>
      </c>
      <c r="H21" s="179">
        <v>0</v>
      </c>
      <c r="I21" s="179">
        <v>0</v>
      </c>
      <c r="J21" s="179">
        <v>0</v>
      </c>
      <c r="K21" s="179">
        <v>0</v>
      </c>
      <c r="L21" s="179">
        <v>0</v>
      </c>
      <c r="M21" s="179">
        <v>0</v>
      </c>
      <c r="N21" s="179">
        <v>0</v>
      </c>
      <c r="O21" s="179">
        <v>0</v>
      </c>
      <c r="P21" s="179">
        <v>0</v>
      </c>
      <c r="Q21" s="25">
        <f t="shared" si="3"/>
        <v>0</v>
      </c>
      <c r="R21" s="102"/>
      <c r="S21" s="93"/>
    </row>
    <row r="22" spans="1:19" outlineLevel="1">
      <c r="A22" s="277" t="s">
        <v>445</v>
      </c>
      <c r="B22" s="9">
        <v>6666010115</v>
      </c>
      <c r="C22" s="9" t="s">
        <v>31</v>
      </c>
      <c r="D22" s="9" t="s">
        <v>32</v>
      </c>
      <c r="E22" s="11">
        <v>-4.2656999999999998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f t="shared" si="3"/>
        <v>-4.2656999999999998</v>
      </c>
      <c r="R22" s="46"/>
      <c r="S22" s="93"/>
    </row>
    <row r="23" spans="1:19" s="33" customFormat="1">
      <c r="A23" s="277"/>
      <c r="B23" s="37" t="s">
        <v>1</v>
      </c>
      <c r="C23" s="36" t="s">
        <v>32</v>
      </c>
      <c r="D23" s="38"/>
      <c r="E23" s="97">
        <f>SUM(E15:E22)</f>
        <v>451.11424000000005</v>
      </c>
      <c r="F23" s="178">
        <f t="shared" ref="F23:P23" si="4">SUM(F15:F22)</f>
        <v>483.16754422137763</v>
      </c>
      <c r="G23" s="178">
        <f t="shared" si="4"/>
        <v>486.95671671796867</v>
      </c>
      <c r="H23" s="178">
        <f t="shared" si="4"/>
        <v>464.96080831070191</v>
      </c>
      <c r="I23" s="178">
        <f t="shared" si="4"/>
        <v>528.14055158830115</v>
      </c>
      <c r="J23" s="178">
        <f t="shared" si="4"/>
        <v>497.00351304587235</v>
      </c>
      <c r="K23" s="178">
        <f t="shared" si="4"/>
        <v>446.30187466566298</v>
      </c>
      <c r="L23" s="178">
        <f t="shared" si="4"/>
        <v>457.45747629957157</v>
      </c>
      <c r="M23" s="178">
        <f t="shared" si="4"/>
        <v>552.8625556614918</v>
      </c>
      <c r="N23" s="178">
        <f t="shared" si="4"/>
        <v>505.6864291133387</v>
      </c>
      <c r="O23" s="178">
        <f t="shared" si="4"/>
        <v>482.52376750219298</v>
      </c>
      <c r="P23" s="178">
        <f t="shared" si="4"/>
        <v>489.09036175807495</v>
      </c>
      <c r="Q23" s="178">
        <f>SUM(Q15:Q22)</f>
        <v>5845.2658388845548</v>
      </c>
      <c r="R23" s="171"/>
      <c r="S23" s="93"/>
    </row>
    <row r="24" spans="1:19" outlineLevel="2">
      <c r="A24" s="277" t="s">
        <v>446</v>
      </c>
      <c r="B24" s="9">
        <v>8701530201</v>
      </c>
      <c r="C24" s="9" t="s">
        <v>33</v>
      </c>
      <c r="D24" s="9" t="s">
        <v>37</v>
      </c>
      <c r="E24" s="11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f>F24+E24+G24+H24+I24+J24+K24+L24+M24+N24+O24+P24</f>
        <v>0</v>
      </c>
      <c r="R24" s="46"/>
      <c r="S24" s="93"/>
    </row>
    <row r="25" spans="1:19" outlineLevel="2">
      <c r="A25" s="277" t="s">
        <v>446</v>
      </c>
      <c r="B25" s="9">
        <v>6666050309</v>
      </c>
      <c r="C25" s="9" t="s">
        <v>34</v>
      </c>
      <c r="D25" s="9" t="s">
        <v>37</v>
      </c>
      <c r="E25" s="11">
        <v>6.0635000000000012</v>
      </c>
      <c r="F25" s="25">
        <v>18.480000440000001</v>
      </c>
      <c r="G25" s="25">
        <v>10.340000439999999</v>
      </c>
      <c r="H25" s="25">
        <v>16.72000044</v>
      </c>
      <c r="I25" s="25">
        <v>14.520000439999999</v>
      </c>
      <c r="J25" s="25">
        <v>23.100000439999999</v>
      </c>
      <c r="K25" s="25">
        <v>17.895679999999999</v>
      </c>
      <c r="L25" s="25">
        <v>17.469759999999997</v>
      </c>
      <c r="M25" s="25">
        <v>24.159080000000003</v>
      </c>
      <c r="N25" s="25">
        <v>21.98592</v>
      </c>
      <c r="O25" s="25">
        <v>22.851839999999999</v>
      </c>
      <c r="P25" s="25">
        <v>18.563599999999997</v>
      </c>
      <c r="Q25" s="25">
        <f>F25+E25+G25+H25+I25+J25+K25+L25+M25+N25+O25+P25</f>
        <v>212.14938219999999</v>
      </c>
      <c r="R25" s="46"/>
      <c r="S25" s="93"/>
    </row>
    <row r="26" spans="1:19" outlineLevel="2">
      <c r="A26" s="277" t="s">
        <v>446</v>
      </c>
      <c r="B26" s="9">
        <v>6666050308</v>
      </c>
      <c r="C26" s="9" t="s">
        <v>35</v>
      </c>
      <c r="D26" s="9" t="s">
        <v>37</v>
      </c>
      <c r="E26" s="11">
        <v>11.57396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f>F26+E26+G26+H26+I26+J26+K26+L26+M26+N26+O26+P26</f>
        <v>11.57396</v>
      </c>
      <c r="R26" s="46"/>
      <c r="S26" s="93"/>
    </row>
    <row r="27" spans="1:19" outlineLevel="2">
      <c r="A27" s="277" t="s">
        <v>446</v>
      </c>
      <c r="B27" s="9">
        <v>6666050306</v>
      </c>
      <c r="C27" s="9" t="s">
        <v>36</v>
      </c>
      <c r="D27" s="9" t="s">
        <v>37</v>
      </c>
      <c r="E27" s="11">
        <v>0.5881900000000001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f>F27+E27+G27+H27+I27+J27+K27+L27+M27+N27+O27+P27</f>
        <v>0.5881900000000001</v>
      </c>
      <c r="R27" s="46"/>
      <c r="S27" s="93"/>
    </row>
    <row r="28" spans="1:19" s="24" customFormat="1">
      <c r="A28" s="277"/>
      <c r="B28" s="37" t="s">
        <v>1</v>
      </c>
      <c r="C28" s="36" t="s">
        <v>37</v>
      </c>
      <c r="D28" s="38"/>
      <c r="E28" s="97">
        <f>SUM(E24:E27)</f>
        <v>18.225650000000002</v>
      </c>
      <c r="F28" s="178">
        <f t="shared" ref="F28:P28" si="5">SUM(F24:F27)</f>
        <v>18.480000440000001</v>
      </c>
      <c r="G28" s="178">
        <f t="shared" si="5"/>
        <v>10.340000439999999</v>
      </c>
      <c r="H28" s="178">
        <f t="shared" si="5"/>
        <v>16.72000044</v>
      </c>
      <c r="I28" s="178">
        <f t="shared" si="5"/>
        <v>14.520000439999999</v>
      </c>
      <c r="J28" s="178">
        <f t="shared" si="5"/>
        <v>23.100000439999999</v>
      </c>
      <c r="K28" s="178">
        <f t="shared" si="5"/>
        <v>17.895679999999999</v>
      </c>
      <c r="L28" s="178">
        <f t="shared" si="5"/>
        <v>17.469759999999997</v>
      </c>
      <c r="M28" s="178">
        <f t="shared" si="5"/>
        <v>24.159080000000003</v>
      </c>
      <c r="N28" s="178">
        <f t="shared" si="5"/>
        <v>21.98592</v>
      </c>
      <c r="O28" s="178">
        <f t="shared" si="5"/>
        <v>22.851839999999999</v>
      </c>
      <c r="P28" s="178">
        <f t="shared" si="5"/>
        <v>18.563599999999997</v>
      </c>
      <c r="Q28" s="178">
        <f>SUM(Q24:Q27)</f>
        <v>224.31153219999999</v>
      </c>
      <c r="R28" s="171"/>
      <c r="S28" s="93"/>
    </row>
    <row r="29" spans="1:19" outlineLevel="2">
      <c r="A29" s="277" t="s">
        <v>445</v>
      </c>
      <c r="B29" s="9">
        <v>5102010151</v>
      </c>
      <c r="C29" s="9" t="s">
        <v>41</v>
      </c>
      <c r="D29" s="9" t="s">
        <v>80</v>
      </c>
      <c r="E29" s="11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f>F29+E29+G29+H29+I29+J29+K29+L29+M29+N29+O29+P29</f>
        <v>0</v>
      </c>
      <c r="R29" s="46"/>
      <c r="S29" s="93"/>
    </row>
    <row r="30" spans="1:19" outlineLevel="2">
      <c r="A30" s="277" t="s">
        <v>445</v>
      </c>
      <c r="B30" s="9">
        <v>5001010200</v>
      </c>
      <c r="C30" s="9" t="s">
        <v>42</v>
      </c>
      <c r="D30" s="9" t="s">
        <v>80</v>
      </c>
      <c r="E30" s="11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f>F30+E30+G30+H30+I30+J30+K30+L30+M30+N30+O30+P30</f>
        <v>0</v>
      </c>
      <c r="R30" s="46"/>
      <c r="S30" s="93"/>
    </row>
    <row r="31" spans="1:19" outlineLevel="2">
      <c r="A31" s="277" t="s">
        <v>445</v>
      </c>
      <c r="B31" s="9">
        <v>5001010201</v>
      </c>
      <c r="C31" s="9" t="s">
        <v>43</v>
      </c>
      <c r="D31" s="9" t="s">
        <v>80</v>
      </c>
      <c r="E31" s="11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f>F31+E31+G31+H31+I31+J31+K31+L31+M31+N31+O31+P31</f>
        <v>0</v>
      </c>
      <c r="R31" s="46"/>
      <c r="S31" s="93"/>
    </row>
    <row r="32" spans="1:19" outlineLevel="2">
      <c r="A32" s="277" t="s">
        <v>445</v>
      </c>
      <c r="B32" s="9">
        <v>5001010204</v>
      </c>
      <c r="C32" s="271" t="s">
        <v>565</v>
      </c>
      <c r="D32" s="9" t="s">
        <v>80</v>
      </c>
      <c r="E32" s="11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/>
      <c r="R32" s="46"/>
      <c r="S32" s="93"/>
    </row>
    <row r="33" spans="1:19" outlineLevel="2">
      <c r="A33" s="277" t="s">
        <v>445</v>
      </c>
      <c r="B33" s="9">
        <v>5207000011</v>
      </c>
      <c r="C33" s="9" t="s">
        <v>125</v>
      </c>
      <c r="D33" s="9" t="s">
        <v>80</v>
      </c>
      <c r="E33" s="11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f t="shared" ref="Q33:Q79" si="6">F33+E33+G33+H33+I33+J33+K33+L33+M33+N33+O33+P33</f>
        <v>0</v>
      </c>
      <c r="R33" s="46"/>
      <c r="S33" s="93"/>
    </row>
    <row r="34" spans="1:19" outlineLevel="2">
      <c r="A34" s="277" t="s">
        <v>445</v>
      </c>
      <c r="B34" s="9">
        <v>5207000012</v>
      </c>
      <c r="C34" s="9" t="s">
        <v>44</v>
      </c>
      <c r="D34" s="9" t="s">
        <v>80</v>
      </c>
      <c r="E34" s="11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f t="shared" si="6"/>
        <v>0</v>
      </c>
      <c r="R34" s="46"/>
      <c r="S34" s="93"/>
    </row>
    <row r="35" spans="1:19" outlineLevel="2">
      <c r="A35" s="277" t="s">
        <v>445</v>
      </c>
      <c r="B35" s="9">
        <v>5207000022</v>
      </c>
      <c r="C35" s="9" t="s">
        <v>45</v>
      </c>
      <c r="D35" s="9" t="s">
        <v>80</v>
      </c>
      <c r="E35" s="11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f t="shared" si="6"/>
        <v>0</v>
      </c>
      <c r="R35" s="46"/>
      <c r="S35" s="93"/>
    </row>
    <row r="36" spans="1:19" outlineLevel="2">
      <c r="A36" s="277" t="s">
        <v>445</v>
      </c>
      <c r="B36" s="9">
        <v>5301060000</v>
      </c>
      <c r="C36" s="9" t="s">
        <v>46</v>
      </c>
      <c r="D36" s="9" t="s">
        <v>80</v>
      </c>
      <c r="E36" s="11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f t="shared" si="6"/>
        <v>0</v>
      </c>
      <c r="R36" s="46"/>
      <c r="S36" s="93"/>
    </row>
    <row r="37" spans="1:19" outlineLevel="2">
      <c r="A37" s="277" t="s">
        <v>445</v>
      </c>
      <c r="B37" s="9">
        <v>5301999999</v>
      </c>
      <c r="C37" s="9" t="s">
        <v>47</v>
      </c>
      <c r="D37" s="9" t="s">
        <v>80</v>
      </c>
      <c r="E37" s="11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f t="shared" si="6"/>
        <v>0</v>
      </c>
      <c r="R37" s="46"/>
      <c r="S37" s="93"/>
    </row>
    <row r="38" spans="1:19" outlineLevel="2">
      <c r="A38" s="277" t="s">
        <v>445</v>
      </c>
      <c r="B38" s="9">
        <v>5405030000</v>
      </c>
      <c r="C38" s="9" t="s">
        <v>48</v>
      </c>
      <c r="D38" s="9" t="s">
        <v>80</v>
      </c>
      <c r="E38" s="11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f t="shared" si="6"/>
        <v>0</v>
      </c>
      <c r="R38" s="46"/>
      <c r="S38" s="93"/>
    </row>
    <row r="39" spans="1:19" outlineLevel="2">
      <c r="A39" s="277" t="s">
        <v>445</v>
      </c>
      <c r="B39" s="9">
        <v>5601050000</v>
      </c>
      <c r="C39" s="9" t="s">
        <v>49</v>
      </c>
      <c r="D39" s="9" t="s">
        <v>80</v>
      </c>
      <c r="E39" s="11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f t="shared" si="6"/>
        <v>0</v>
      </c>
      <c r="R39" s="46"/>
      <c r="S39" s="93"/>
    </row>
    <row r="40" spans="1:19" outlineLevel="2">
      <c r="A40" s="277" t="s">
        <v>445</v>
      </c>
      <c r="B40" s="9">
        <v>5601050100</v>
      </c>
      <c r="C40" s="9" t="s">
        <v>50</v>
      </c>
      <c r="D40" s="9" t="s">
        <v>80</v>
      </c>
      <c r="E40" s="11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f t="shared" si="6"/>
        <v>0</v>
      </c>
      <c r="R40" s="46"/>
      <c r="S40" s="93"/>
    </row>
    <row r="41" spans="1:19" outlineLevel="2">
      <c r="A41" s="277" t="s">
        <v>445</v>
      </c>
      <c r="B41" s="9">
        <v>5102040893</v>
      </c>
      <c r="C41" s="272" t="s">
        <v>345</v>
      </c>
      <c r="D41" s="9" t="s">
        <v>80</v>
      </c>
      <c r="E41" s="11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f t="shared" si="6"/>
        <v>0</v>
      </c>
      <c r="R41" s="46"/>
      <c r="S41" s="93"/>
    </row>
    <row r="42" spans="1:19" outlineLevel="2">
      <c r="A42" s="277" t="s">
        <v>445</v>
      </c>
      <c r="B42" s="9">
        <v>5801000041</v>
      </c>
      <c r="C42" s="9" t="s">
        <v>51</v>
      </c>
      <c r="D42" s="9" t="s">
        <v>80</v>
      </c>
      <c r="E42" s="11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f t="shared" si="6"/>
        <v>0</v>
      </c>
      <c r="R42" s="46"/>
      <c r="S42" s="93"/>
    </row>
    <row r="43" spans="1:19" outlineLevel="2">
      <c r="A43" s="277" t="s">
        <v>445</v>
      </c>
      <c r="B43" s="9">
        <v>6666010322</v>
      </c>
      <c r="C43" s="9" t="s">
        <v>39</v>
      </c>
      <c r="D43" s="9" t="s">
        <v>80</v>
      </c>
      <c r="E43" s="11">
        <v>1.4601199999999999</v>
      </c>
      <c r="F43" s="25">
        <v>1.9896025661769665</v>
      </c>
      <c r="G43" s="25">
        <v>1.9525049717143932</v>
      </c>
      <c r="H43" s="25">
        <v>1.9236502184378259</v>
      </c>
      <c r="I43" s="25">
        <v>1.8952218900865285</v>
      </c>
      <c r="J43" s="25">
        <v>1.8672136848143137</v>
      </c>
      <c r="K43" s="25">
        <v>1.8523945285856287</v>
      </c>
      <c r="L43" s="25">
        <v>1.8376929847079648</v>
      </c>
      <c r="M43" s="25">
        <v>1.8231081197499652</v>
      </c>
      <c r="N43" s="25">
        <v>1.7917524518427175</v>
      </c>
      <c r="O43" s="25">
        <v>1.7609360706070931</v>
      </c>
      <c r="P43" s="25">
        <v>1.7306497008423518</v>
      </c>
      <c r="Q43" s="25">
        <f t="shared" si="6"/>
        <v>21.884847187565754</v>
      </c>
      <c r="R43" s="46"/>
      <c r="S43" s="93"/>
    </row>
    <row r="44" spans="1:19" outlineLevel="2">
      <c r="A44" s="277" t="s">
        <v>445</v>
      </c>
      <c r="B44" s="9">
        <v>6666020101</v>
      </c>
      <c r="C44" s="9" t="s">
        <v>52</v>
      </c>
      <c r="D44" s="9" t="s">
        <v>80</v>
      </c>
      <c r="E44" s="11">
        <v>4.7055200000000008</v>
      </c>
      <c r="F44" s="25">
        <v>4.6177798539781252</v>
      </c>
      <c r="G44" s="25">
        <v>4.5316779725006135</v>
      </c>
      <c r="H44" s="25">
        <v>4.4647073620695696</v>
      </c>
      <c r="I44" s="25">
        <v>4.3987264650931737</v>
      </c>
      <c r="J44" s="25">
        <v>4.3337206552642105</v>
      </c>
      <c r="K44" s="25">
        <v>4.2993260468890977</v>
      </c>
      <c r="L44" s="25">
        <v>4.2652044115963275</v>
      </c>
      <c r="M44" s="25">
        <v>4.2313535829328641</v>
      </c>
      <c r="N44" s="25">
        <v>4.1585784598848781</v>
      </c>
      <c r="O44" s="25">
        <v>4.0870549974298553</v>
      </c>
      <c r="P44" s="25">
        <v>4.0167616682357297</v>
      </c>
      <c r="Q44" s="25">
        <f t="shared" si="6"/>
        <v>52.110411475874443</v>
      </c>
      <c r="R44" s="46"/>
      <c r="S44" s="93"/>
    </row>
    <row r="45" spans="1:19" outlineLevel="2">
      <c r="A45" s="277" t="s">
        <v>445</v>
      </c>
      <c r="B45" s="9">
        <v>6666020201</v>
      </c>
      <c r="C45" s="9" t="s">
        <v>53</v>
      </c>
      <c r="D45" s="9" t="s">
        <v>80</v>
      </c>
      <c r="E45" s="11">
        <v>0</v>
      </c>
      <c r="F45" s="25">
        <v>2.5084457447160244</v>
      </c>
      <c r="G45" s="25">
        <v>2.4616739398587093</v>
      </c>
      <c r="H45" s="25">
        <v>2.4252945220282851</v>
      </c>
      <c r="I45" s="25">
        <v>2.3894527310623501</v>
      </c>
      <c r="J45" s="25">
        <v>2.3541406217363057</v>
      </c>
      <c r="K45" s="25">
        <v>2.3354569660082398</v>
      </c>
      <c r="L45" s="25">
        <v>2.3169215932621423</v>
      </c>
      <c r="M45" s="25">
        <v>2.2985333266489509</v>
      </c>
      <c r="N45" s="25">
        <v>2.2590008124314012</v>
      </c>
      <c r="O45" s="25">
        <v>2.2201482186057993</v>
      </c>
      <c r="P45" s="25">
        <v>2.1819638512096309</v>
      </c>
      <c r="Q45" s="25">
        <f t="shared" si="6"/>
        <v>25.751032327567842</v>
      </c>
      <c r="R45" s="46"/>
      <c r="S45" s="93"/>
    </row>
    <row r="46" spans="1:19" outlineLevel="2">
      <c r="A46" s="277" t="s">
        <v>445</v>
      </c>
      <c r="B46" s="9">
        <v>6666020202</v>
      </c>
      <c r="C46" s="9" t="s">
        <v>54</v>
      </c>
      <c r="D46" s="9" t="s">
        <v>80</v>
      </c>
      <c r="E46" s="11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f t="shared" si="6"/>
        <v>0</v>
      </c>
      <c r="R46" s="46"/>
      <c r="S46" s="93"/>
    </row>
    <row r="47" spans="1:19" outlineLevel="2">
      <c r="A47" s="277" t="s">
        <v>445</v>
      </c>
      <c r="B47" s="9">
        <v>6666020204</v>
      </c>
      <c r="C47" s="9" t="s">
        <v>55</v>
      </c>
      <c r="D47" s="9" t="s">
        <v>80</v>
      </c>
      <c r="E47" s="11">
        <v>2.5561100000000003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f t="shared" si="6"/>
        <v>2.5561100000000003</v>
      </c>
      <c r="R47" s="46"/>
      <c r="S47" s="93"/>
    </row>
    <row r="48" spans="1:19" outlineLevel="2">
      <c r="A48" s="277" t="s">
        <v>445</v>
      </c>
      <c r="B48" s="9">
        <v>6666020205</v>
      </c>
      <c r="C48" s="9" t="s">
        <v>56</v>
      </c>
      <c r="D48" s="9" t="s">
        <v>80</v>
      </c>
      <c r="E48" s="11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f t="shared" si="6"/>
        <v>0</v>
      </c>
      <c r="R48" s="46"/>
      <c r="S48" s="93"/>
    </row>
    <row r="49" spans="1:19" outlineLevel="2">
      <c r="A49" s="277" t="s">
        <v>445</v>
      </c>
      <c r="B49" s="9">
        <v>6666020301</v>
      </c>
      <c r="C49" s="9" t="s">
        <v>57</v>
      </c>
      <c r="D49" s="9" t="s">
        <v>80</v>
      </c>
      <c r="E49" s="11">
        <v>0.27914999999999995</v>
      </c>
      <c r="F49" s="25">
        <v>0.3718189854274867</v>
      </c>
      <c r="G49" s="25">
        <v>0.36488614860401053</v>
      </c>
      <c r="H49" s="25">
        <v>0.35949374246700549</v>
      </c>
      <c r="I49" s="25">
        <v>0.35418102706108923</v>
      </c>
      <c r="J49" s="25">
        <v>0.3489468246907283</v>
      </c>
      <c r="K49" s="25">
        <v>0.34617740544715109</v>
      </c>
      <c r="L49" s="25">
        <v>0.34342996572138001</v>
      </c>
      <c r="M49" s="25">
        <v>0.34070433107279768</v>
      </c>
      <c r="N49" s="25">
        <v>0.33484455142289693</v>
      </c>
      <c r="O49" s="25">
        <v>0.32908555422397728</v>
      </c>
      <c r="P49" s="25">
        <v>0.323425606116931</v>
      </c>
      <c r="Q49" s="25">
        <f t="shared" si="6"/>
        <v>4.0961441422554543</v>
      </c>
      <c r="R49" s="46"/>
      <c r="S49" s="93"/>
    </row>
    <row r="50" spans="1:19" outlineLevel="2">
      <c r="A50" s="277" t="s">
        <v>445</v>
      </c>
      <c r="B50" s="9">
        <v>6666020302</v>
      </c>
      <c r="C50" s="9" t="s">
        <v>58</v>
      </c>
      <c r="D50" s="9" t="s">
        <v>80</v>
      </c>
      <c r="E50" s="11">
        <v>0</v>
      </c>
      <c r="F50" s="25">
        <v>4.2403265441746954E-2</v>
      </c>
      <c r="G50" s="25">
        <v>4.1612625556179547E-2</v>
      </c>
      <c r="H50" s="25">
        <v>4.0997660646482317E-2</v>
      </c>
      <c r="I50" s="25">
        <v>4.0391783888159921E-2</v>
      </c>
      <c r="J50" s="25">
        <v>3.9794860973556577E-2</v>
      </c>
      <c r="K50" s="25">
        <v>3.9479028743607716E-2</v>
      </c>
      <c r="L50" s="25">
        <v>3.916570311865844E-2</v>
      </c>
      <c r="M50" s="25">
        <v>3.8854864205018297E-2</v>
      </c>
      <c r="N50" s="25">
        <v>3.8186598727290709E-2</v>
      </c>
      <c r="O50" s="25">
        <v>3.752982675900806E-2</v>
      </c>
      <c r="P50" s="25">
        <v>3.6884350623103745E-2</v>
      </c>
      <c r="Q50" s="25">
        <f t="shared" si="6"/>
        <v>0.43530056868281225</v>
      </c>
      <c r="R50" s="46"/>
      <c r="S50" s="93"/>
    </row>
    <row r="51" spans="1:19" outlineLevel="2">
      <c r="A51" s="277" t="s">
        <v>445</v>
      </c>
      <c r="B51" s="9">
        <v>6666020403</v>
      </c>
      <c r="C51" s="271" t="s">
        <v>401</v>
      </c>
      <c r="D51" s="9" t="s">
        <v>80</v>
      </c>
      <c r="E51" s="11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f t="shared" si="6"/>
        <v>0</v>
      </c>
      <c r="R51" s="46"/>
      <c r="S51" s="93"/>
    </row>
    <row r="52" spans="1:19" outlineLevel="2">
      <c r="A52" s="277" t="s">
        <v>445</v>
      </c>
      <c r="B52" s="9">
        <v>6666020405</v>
      </c>
      <c r="C52" s="9" t="s">
        <v>59</v>
      </c>
      <c r="D52" s="9" t="s">
        <v>80</v>
      </c>
      <c r="E52" s="11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f t="shared" si="6"/>
        <v>0</v>
      </c>
      <c r="R52" s="46"/>
      <c r="S52" s="93"/>
    </row>
    <row r="53" spans="1:19" outlineLevel="2">
      <c r="A53" s="277" t="s">
        <v>445</v>
      </c>
      <c r="B53" s="9">
        <v>6666020495</v>
      </c>
      <c r="C53" s="9" t="s">
        <v>40</v>
      </c>
      <c r="D53" s="9" t="s">
        <v>80</v>
      </c>
      <c r="E53" s="11">
        <v>0.16316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f t="shared" si="6"/>
        <v>0.16316</v>
      </c>
      <c r="R53" s="46"/>
      <c r="S53" s="93"/>
    </row>
    <row r="54" spans="1:19" outlineLevel="2">
      <c r="A54" s="277" t="s">
        <v>445</v>
      </c>
      <c r="B54" s="9">
        <v>6666020504</v>
      </c>
      <c r="C54" s="9" t="s">
        <v>60</v>
      </c>
      <c r="D54" s="9" t="s">
        <v>80</v>
      </c>
      <c r="E54" s="11">
        <v>0</v>
      </c>
      <c r="F54" s="25">
        <v>5.2640715518591973E-2</v>
      </c>
      <c r="G54" s="25">
        <v>5.1659190891650622E-2</v>
      </c>
      <c r="H54" s="25">
        <v>5.0895754573054799E-2</v>
      </c>
      <c r="I54" s="25">
        <v>5.0143600564586013E-2</v>
      </c>
      <c r="J54" s="25">
        <v>4.9402562132597062E-2</v>
      </c>
      <c r="K54" s="25">
        <v>4.9010478306147881E-2</v>
      </c>
      <c r="L54" s="25">
        <v>4.8621506256099088E-2</v>
      </c>
      <c r="M54" s="25">
        <v>4.8235621285812581E-2</v>
      </c>
      <c r="N54" s="25">
        <v>4.7406016005712606E-2</v>
      </c>
      <c r="O54" s="25">
        <v>4.6590679121093471E-2</v>
      </c>
      <c r="P54" s="25">
        <v>4.5789365229575892E-2</v>
      </c>
      <c r="Q54" s="25">
        <f t="shared" si="6"/>
        <v>0.54039548988492203</v>
      </c>
      <c r="R54" s="46"/>
      <c r="S54" s="93"/>
    </row>
    <row r="55" spans="1:19" outlineLevel="2">
      <c r="A55" s="277" t="s">
        <v>445</v>
      </c>
      <c r="B55" s="9">
        <v>6666020508</v>
      </c>
      <c r="C55" s="9" t="s">
        <v>61</v>
      </c>
      <c r="D55" s="9" t="s">
        <v>80</v>
      </c>
      <c r="E55" s="11">
        <v>0</v>
      </c>
      <c r="F55" s="25">
        <v>0.43114199474861187</v>
      </c>
      <c r="G55" s="25">
        <v>0.42310303704476143</v>
      </c>
      <c r="H55" s="25">
        <v>0.41685028280272068</v>
      </c>
      <c r="I55" s="25">
        <v>0.410689933795784</v>
      </c>
      <c r="J55" s="25">
        <v>0.40462062442934382</v>
      </c>
      <c r="K55" s="25">
        <v>0.40140934963228558</v>
      </c>
      <c r="L55" s="25">
        <v>0.39822356114314039</v>
      </c>
      <c r="M55" s="25">
        <v>0.39506305668962338</v>
      </c>
      <c r="N55" s="25">
        <v>0.38826836038292223</v>
      </c>
      <c r="O55" s="25">
        <v>0.38159052617486211</v>
      </c>
      <c r="P55" s="25">
        <v>0.37502754415219863</v>
      </c>
      <c r="Q55" s="25">
        <f t="shared" si="6"/>
        <v>4.4259882709962532</v>
      </c>
      <c r="R55" s="46"/>
      <c r="S55" s="93"/>
    </row>
    <row r="56" spans="1:19" outlineLevel="2">
      <c r="A56" s="277" t="s">
        <v>445</v>
      </c>
      <c r="B56" s="9">
        <v>6666020602</v>
      </c>
      <c r="C56" s="9" t="s">
        <v>62</v>
      </c>
      <c r="D56" s="9" t="s">
        <v>80</v>
      </c>
      <c r="E56" s="11">
        <v>0</v>
      </c>
      <c r="F56" s="25">
        <v>1.9639194458141136</v>
      </c>
      <c r="G56" s="25">
        <v>1.9273007319078643</v>
      </c>
      <c r="H56" s="25">
        <v>1.89881845508164</v>
      </c>
      <c r="I56" s="25">
        <v>1.8707570986026012</v>
      </c>
      <c r="J56" s="25">
        <v>1.8431104419730062</v>
      </c>
      <c r="K56" s="25">
        <v>1.8284825813224266</v>
      </c>
      <c r="L56" s="25">
        <v>1.8139708148039948</v>
      </c>
      <c r="M56" s="25">
        <v>1.7995742210357091</v>
      </c>
      <c r="N56" s="25">
        <v>1.7686233130572078</v>
      </c>
      <c r="O56" s="25">
        <v>1.7382047302773538</v>
      </c>
      <c r="P56" s="25">
        <v>1.7083093172259005</v>
      </c>
      <c r="Q56" s="25">
        <f t="shared" si="6"/>
        <v>20.161071151101815</v>
      </c>
      <c r="R56" s="46"/>
      <c r="S56" s="93"/>
    </row>
    <row r="57" spans="1:19" outlineLevel="2">
      <c r="A57" s="277" t="s">
        <v>445</v>
      </c>
      <c r="B57" s="9">
        <v>6666020701</v>
      </c>
      <c r="C57" s="9" t="s">
        <v>63</v>
      </c>
      <c r="D57" s="9" t="s">
        <v>80</v>
      </c>
      <c r="E57" s="11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f t="shared" si="6"/>
        <v>0</v>
      </c>
      <c r="R57" s="46"/>
      <c r="S57" s="93"/>
    </row>
    <row r="58" spans="1:19" outlineLevel="2">
      <c r="A58" s="277" t="s">
        <v>445</v>
      </c>
      <c r="B58" s="9">
        <v>6666020801</v>
      </c>
      <c r="C58" s="9" t="s">
        <v>144</v>
      </c>
      <c r="D58" s="9" t="s">
        <v>80</v>
      </c>
      <c r="E58" s="11">
        <v>1.2620199999999999</v>
      </c>
      <c r="F58" s="25">
        <v>1.2620130765341488</v>
      </c>
      <c r="G58" s="25">
        <v>1.2384819200531394</v>
      </c>
      <c r="H58" s="25">
        <v>1.2201792315794477</v>
      </c>
      <c r="I58" s="25">
        <v>1.2021470261866485</v>
      </c>
      <c r="J58" s="25">
        <v>1.184381306587831</v>
      </c>
      <c r="K58" s="25">
        <v>1.1749814549482449</v>
      </c>
      <c r="L58" s="25">
        <v>1.1656562053057984</v>
      </c>
      <c r="M58" s="25">
        <v>1.1564049655811492</v>
      </c>
      <c r="N58" s="25">
        <v>1.13651593668909</v>
      </c>
      <c r="O58" s="25">
        <v>1.1169689795470172</v>
      </c>
      <c r="P58" s="25">
        <v>1.0977582108570194</v>
      </c>
      <c r="Q58" s="25">
        <f t="shared" si="6"/>
        <v>14.217508313869537</v>
      </c>
      <c r="R58" s="46"/>
      <c r="S58" s="93"/>
    </row>
    <row r="59" spans="1:19" outlineLevel="2">
      <c r="A59" s="277" t="s">
        <v>445</v>
      </c>
      <c r="B59" s="9">
        <v>6666020802</v>
      </c>
      <c r="C59" s="9" t="s">
        <v>64</v>
      </c>
      <c r="D59" s="9" t="s">
        <v>80</v>
      </c>
      <c r="E59" s="11">
        <v>10.7325</v>
      </c>
      <c r="F59" s="25">
        <v>12.783000000000001</v>
      </c>
      <c r="G59" s="25">
        <v>12.783000000000001</v>
      </c>
      <c r="H59" s="25">
        <v>12.782999999999999</v>
      </c>
      <c r="I59" s="25">
        <v>12.782999999999998</v>
      </c>
      <c r="J59" s="25">
        <v>14.282999999999999</v>
      </c>
      <c r="K59" s="25">
        <v>12.782999999999999</v>
      </c>
      <c r="L59" s="25">
        <v>12.782999999999999</v>
      </c>
      <c r="M59" s="25">
        <v>12.782999999999999</v>
      </c>
      <c r="N59" s="25">
        <v>12.782999999999998</v>
      </c>
      <c r="O59" s="25">
        <v>12.782999999999999</v>
      </c>
      <c r="P59" s="25">
        <v>14.282999999999998</v>
      </c>
      <c r="Q59" s="25">
        <f t="shared" si="6"/>
        <v>154.34549999999999</v>
      </c>
      <c r="R59" s="46"/>
      <c r="S59" s="93"/>
    </row>
    <row r="60" spans="1:19" outlineLevel="2">
      <c r="A60" s="277" t="s">
        <v>445</v>
      </c>
      <c r="B60" s="9">
        <v>6666020803</v>
      </c>
      <c r="C60" s="9" t="s">
        <v>65</v>
      </c>
      <c r="D60" s="9" t="s">
        <v>80</v>
      </c>
      <c r="E60" s="11">
        <v>5.3999499999999996</v>
      </c>
      <c r="F60" s="25">
        <v>3.8297329267855624</v>
      </c>
      <c r="G60" s="25">
        <v>3.7583247564137028</v>
      </c>
      <c r="H60" s="25">
        <v>3.7027830112450277</v>
      </c>
      <c r="I60" s="25">
        <v>3.6480620800443626</v>
      </c>
      <c r="J60" s="25">
        <v>3.5941498325560222</v>
      </c>
      <c r="K60" s="25">
        <v>3.5656248338849426</v>
      </c>
      <c r="L60" s="25">
        <v>3.537326224092205</v>
      </c>
      <c r="M60" s="25">
        <v>3.5092522064406797</v>
      </c>
      <c r="N60" s="25">
        <v>3.4488965173864172</v>
      </c>
      <c r="O60" s="25">
        <v>3.3895788868662571</v>
      </c>
      <c r="P60" s="25">
        <v>3.3312814612936186</v>
      </c>
      <c r="Q60" s="25">
        <f t="shared" si="6"/>
        <v>44.714962737008797</v>
      </c>
      <c r="R60" s="46"/>
      <c r="S60" s="93"/>
    </row>
    <row r="61" spans="1:19" outlineLevel="2">
      <c r="A61" s="277" t="s">
        <v>445</v>
      </c>
      <c r="B61" s="9">
        <v>6666021100</v>
      </c>
      <c r="C61" s="9" t="s">
        <v>66</v>
      </c>
      <c r="D61" s="9" t="s">
        <v>80</v>
      </c>
      <c r="E61" s="11">
        <v>7.2832400000000002</v>
      </c>
      <c r="F61" s="25">
        <v>5.7932946991444219</v>
      </c>
      <c r="G61" s="25">
        <v>5.6852744839493834</v>
      </c>
      <c r="H61" s="25">
        <v>5.6012556492112155</v>
      </c>
      <c r="I61" s="25">
        <v>5.518478472129277</v>
      </c>
      <c r="J61" s="25">
        <v>5.4369246030830318</v>
      </c>
      <c r="K61" s="25">
        <v>5.3937744078204677</v>
      </c>
      <c r="L61" s="25">
        <v>5.3509666744250675</v>
      </c>
      <c r="M61" s="25">
        <v>5.3084986849455031</v>
      </c>
      <c r="N61" s="25">
        <v>5.2171977247621655</v>
      </c>
      <c r="O61" s="25">
        <v>5.1274670513633067</v>
      </c>
      <c r="P61" s="25">
        <v>5.0392796573595149</v>
      </c>
      <c r="Q61" s="25">
        <f t="shared" si="6"/>
        <v>66.755652108193345</v>
      </c>
      <c r="R61" s="46"/>
      <c r="S61" s="93"/>
    </row>
    <row r="62" spans="1:19" outlineLevel="2">
      <c r="A62" s="277" t="s">
        <v>445</v>
      </c>
      <c r="B62" s="9">
        <v>6666021104</v>
      </c>
      <c r="C62" s="271" t="s">
        <v>407</v>
      </c>
      <c r="D62" s="9" t="s">
        <v>80</v>
      </c>
      <c r="E62" s="11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f t="shared" si="6"/>
        <v>0</v>
      </c>
      <c r="R62" s="46"/>
      <c r="S62" s="93"/>
    </row>
    <row r="63" spans="1:19" outlineLevel="2">
      <c r="A63" s="328" t="s">
        <v>445</v>
      </c>
      <c r="B63" s="9">
        <v>6666021200</v>
      </c>
      <c r="C63" s="327" t="s">
        <v>465</v>
      </c>
      <c r="D63" s="9" t="s">
        <v>80</v>
      </c>
      <c r="E63" s="11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f t="shared" si="6"/>
        <v>0</v>
      </c>
      <c r="R63" s="46"/>
      <c r="S63" s="93"/>
    </row>
    <row r="64" spans="1:19" outlineLevel="2">
      <c r="A64" s="277" t="s">
        <v>445</v>
      </c>
      <c r="B64" s="9">
        <v>6666021902</v>
      </c>
      <c r="C64" s="9" t="s">
        <v>67</v>
      </c>
      <c r="D64" s="9" t="s">
        <v>80</v>
      </c>
      <c r="E64" s="11">
        <v>6.5724399999999994</v>
      </c>
      <c r="F64" s="25">
        <v>8.0164127832758485</v>
      </c>
      <c r="G64" s="25">
        <v>7.8669409060606972</v>
      </c>
      <c r="H64" s="25">
        <v>7.7506806956263024</v>
      </c>
      <c r="I64" s="25">
        <v>7.6361386163805944</v>
      </c>
      <c r="J64" s="25">
        <v>7.5232892772222613</v>
      </c>
      <c r="K64" s="25">
        <v>7.4635806321649412</v>
      </c>
      <c r="L64" s="25">
        <v>7.4043458652429974</v>
      </c>
      <c r="M64" s="25">
        <v>7.3455812155188465</v>
      </c>
      <c r="N64" s="25">
        <v>7.2192444378563598</v>
      </c>
      <c r="O64" s="25">
        <v>7.0950805286057577</v>
      </c>
      <c r="P64" s="25">
        <v>6.9730521165658548</v>
      </c>
      <c r="Q64" s="25">
        <f t="shared" si="6"/>
        <v>88.86678707452046</v>
      </c>
      <c r="R64" s="46"/>
      <c r="S64" s="93"/>
    </row>
    <row r="65" spans="1:19" outlineLevel="2">
      <c r="A65" s="281" t="s">
        <v>445</v>
      </c>
      <c r="B65" s="9">
        <v>6666022100</v>
      </c>
      <c r="C65" s="9" t="s">
        <v>68</v>
      </c>
      <c r="D65" s="9" t="s">
        <v>80</v>
      </c>
      <c r="E65" s="11">
        <v>1.4245999999999999</v>
      </c>
      <c r="F65" s="25">
        <v>1.4845976646531036</v>
      </c>
      <c r="G65" s="25">
        <v>1.4569162557930362</v>
      </c>
      <c r="H65" s="25">
        <v>1.4353854736877203</v>
      </c>
      <c r="I65" s="25">
        <v>1.4141728804805129</v>
      </c>
      <c r="J65" s="25">
        <v>1.3932737738724266</v>
      </c>
      <c r="K65" s="25">
        <v>1.3822160455083596</v>
      </c>
      <c r="L65" s="25">
        <v>1.371246076893214</v>
      </c>
      <c r="M65" s="25">
        <v>1.3603631715210456</v>
      </c>
      <c r="N65" s="25">
        <v>1.3369662619371454</v>
      </c>
      <c r="O65" s="25">
        <v>1.3139717562035826</v>
      </c>
      <c r="P65" s="25">
        <v>1.2913727333696143</v>
      </c>
      <c r="Q65" s="25">
        <f t="shared" si="6"/>
        <v>16.665082093919761</v>
      </c>
      <c r="R65" s="46"/>
      <c r="S65" s="93"/>
    </row>
    <row r="66" spans="1:19" outlineLevel="2">
      <c r="A66" s="277" t="s">
        <v>445</v>
      </c>
      <c r="B66" s="9">
        <v>6666022300</v>
      </c>
      <c r="C66" s="9" t="s">
        <v>69</v>
      </c>
      <c r="D66" s="9" t="s">
        <v>80</v>
      </c>
      <c r="E66" s="11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f t="shared" si="6"/>
        <v>0</v>
      </c>
      <c r="R66" s="46"/>
      <c r="S66" s="93"/>
    </row>
    <row r="67" spans="1:19" outlineLevel="2">
      <c r="A67" s="277" t="s">
        <v>445</v>
      </c>
      <c r="B67" s="9">
        <v>6666029700</v>
      </c>
      <c r="C67" s="9" t="s">
        <v>38</v>
      </c>
      <c r="D67" s="9" t="s">
        <v>80</v>
      </c>
      <c r="E67" s="11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f t="shared" si="6"/>
        <v>0</v>
      </c>
      <c r="R67" s="46"/>
      <c r="S67" s="93"/>
    </row>
    <row r="68" spans="1:19" outlineLevel="2">
      <c r="A68" s="277" t="s">
        <v>445</v>
      </c>
      <c r="B68" s="9">
        <v>6666029900</v>
      </c>
      <c r="C68" s="9" t="s">
        <v>70</v>
      </c>
      <c r="D68" s="9" t="s">
        <v>80</v>
      </c>
      <c r="E68" s="11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f t="shared" si="6"/>
        <v>0</v>
      </c>
      <c r="R68" s="46"/>
      <c r="S68" s="93"/>
    </row>
    <row r="69" spans="1:19" outlineLevel="2">
      <c r="A69" s="277" t="s">
        <v>445</v>
      </c>
      <c r="B69" s="9">
        <v>6666029996</v>
      </c>
      <c r="C69" s="9" t="s">
        <v>169</v>
      </c>
      <c r="D69" s="9" t="s">
        <v>80</v>
      </c>
      <c r="E69" s="11">
        <v>2.7899999999999998E-2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f t="shared" si="6"/>
        <v>2.7899999999999998E-2</v>
      </c>
      <c r="R69" s="46"/>
      <c r="S69" s="93"/>
    </row>
    <row r="70" spans="1:19" outlineLevel="2">
      <c r="A70" s="277" t="s">
        <v>445</v>
      </c>
      <c r="B70" s="9">
        <v>6666029997</v>
      </c>
      <c r="C70" s="9" t="s">
        <v>71</v>
      </c>
      <c r="D70" s="9" t="s">
        <v>80</v>
      </c>
      <c r="E70" s="11">
        <v>7.8940299999999999</v>
      </c>
      <c r="F70" s="25">
        <v>0.59994933127807015</v>
      </c>
      <c r="G70" s="25">
        <v>0.58876283736807677</v>
      </c>
      <c r="H70" s="25">
        <v>0.58006190873702157</v>
      </c>
      <c r="I70" s="25">
        <v>0.57148956525814931</v>
      </c>
      <c r="J70" s="25">
        <v>0.56304390665827531</v>
      </c>
      <c r="K70" s="25">
        <v>0.55857530422447943</v>
      </c>
      <c r="L70" s="25">
        <v>0.55414216688936446</v>
      </c>
      <c r="M70" s="25">
        <v>0.54974421318389344</v>
      </c>
      <c r="N70" s="25">
        <v>0.54028915300628344</v>
      </c>
      <c r="O70" s="25">
        <v>0.53099671057128583</v>
      </c>
      <c r="P70" s="25">
        <v>2.0035525216827685</v>
      </c>
      <c r="Q70" s="25">
        <f t="shared" si="6"/>
        <v>15.534637618857669</v>
      </c>
      <c r="R70" s="46"/>
      <c r="S70" s="93"/>
    </row>
    <row r="71" spans="1:19" outlineLevel="2">
      <c r="A71" s="277" t="s">
        <v>445</v>
      </c>
      <c r="B71" s="9">
        <v>6666030702</v>
      </c>
      <c r="C71" s="9" t="s">
        <v>73</v>
      </c>
      <c r="D71" s="9" t="s">
        <v>80</v>
      </c>
      <c r="E71" s="11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f t="shared" si="6"/>
        <v>0</v>
      </c>
      <c r="R71" s="46"/>
      <c r="S71" s="93"/>
    </row>
    <row r="72" spans="1:19" outlineLevel="2">
      <c r="A72" s="277" t="s">
        <v>445</v>
      </c>
      <c r="B72" s="9">
        <v>6666031200</v>
      </c>
      <c r="C72" s="9" t="s">
        <v>74</v>
      </c>
      <c r="D72" s="9" t="s">
        <v>80</v>
      </c>
      <c r="E72" s="11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f t="shared" si="6"/>
        <v>0</v>
      </c>
      <c r="R72" s="46"/>
      <c r="S72" s="93"/>
    </row>
    <row r="73" spans="1:19" outlineLevel="2">
      <c r="A73" s="277" t="s">
        <v>445</v>
      </c>
      <c r="B73" s="9">
        <v>6666050107</v>
      </c>
      <c r="C73" s="9" t="s">
        <v>75</v>
      </c>
      <c r="D73" s="9" t="s">
        <v>80</v>
      </c>
      <c r="E73" s="11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f t="shared" si="6"/>
        <v>0</v>
      </c>
      <c r="R73" s="46"/>
      <c r="S73" s="93"/>
    </row>
    <row r="74" spans="1:19" outlineLevel="2">
      <c r="A74" s="277" t="s">
        <v>445</v>
      </c>
      <c r="B74" s="9">
        <v>6666050202</v>
      </c>
      <c r="C74" s="9" t="s">
        <v>145</v>
      </c>
      <c r="D74" s="9" t="s">
        <v>80</v>
      </c>
      <c r="E74" s="11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f t="shared" si="6"/>
        <v>0</v>
      </c>
      <c r="R74" s="46"/>
      <c r="S74" s="93"/>
    </row>
    <row r="75" spans="1:19" outlineLevel="2">
      <c r="A75" s="277" t="s">
        <v>445</v>
      </c>
      <c r="B75" s="9">
        <v>6666070100</v>
      </c>
      <c r="C75" s="9" t="s">
        <v>77</v>
      </c>
      <c r="D75" s="9" t="s">
        <v>80</v>
      </c>
      <c r="E75" s="11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f t="shared" si="6"/>
        <v>0</v>
      </c>
      <c r="R75" s="46"/>
      <c r="S75" s="93"/>
    </row>
    <row r="76" spans="1:19" outlineLevel="2">
      <c r="A76" s="277" t="s">
        <v>445</v>
      </c>
      <c r="B76" s="9">
        <v>6666070300</v>
      </c>
      <c r="C76" s="9" t="s">
        <v>78</v>
      </c>
      <c r="D76" s="9" t="s">
        <v>80</v>
      </c>
      <c r="E76" s="11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f t="shared" si="6"/>
        <v>0</v>
      </c>
      <c r="R76" s="46"/>
      <c r="S76" s="93"/>
    </row>
    <row r="77" spans="1:19" outlineLevel="2">
      <c r="A77" s="281" t="s">
        <v>445</v>
      </c>
      <c r="B77" s="9">
        <v>6666070400</v>
      </c>
      <c r="C77" s="9" t="s">
        <v>79</v>
      </c>
      <c r="D77" s="9" t="s">
        <v>80</v>
      </c>
      <c r="E77" s="11">
        <v>11.192729999999999</v>
      </c>
      <c r="F77" s="25">
        <v>12.850565004871614</v>
      </c>
      <c r="G77" s="25">
        <v>12.61095682519295</v>
      </c>
      <c r="H77" s="25">
        <v>12.424588005116208</v>
      </c>
      <c r="I77" s="25">
        <v>12.24097340405538</v>
      </c>
      <c r="J77" s="25">
        <v>12.060072319266382</v>
      </c>
      <c r="K77" s="25">
        <v>11.964357459589666</v>
      </c>
      <c r="L77" s="25">
        <v>11.869402241656415</v>
      </c>
      <c r="M77" s="25">
        <v>11.775200636563902</v>
      </c>
      <c r="N77" s="25">
        <v>11.572678758293762</v>
      </c>
      <c r="O77" s="25">
        <v>11.373640057291164</v>
      </c>
      <c r="P77" s="25">
        <v>11.178024626330382</v>
      </c>
      <c r="Q77" s="25">
        <f t="shared" si="6"/>
        <v>143.11318933822781</v>
      </c>
      <c r="R77" s="46"/>
      <c r="S77" s="93"/>
    </row>
    <row r="78" spans="1:19" outlineLevel="2">
      <c r="A78" s="295" t="s">
        <v>445</v>
      </c>
      <c r="B78" s="9">
        <v>5401050201</v>
      </c>
      <c r="C78" s="1" t="s">
        <v>454</v>
      </c>
      <c r="D78" s="9" t="s">
        <v>80</v>
      </c>
      <c r="E78" s="11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f t="shared" si="6"/>
        <v>0</v>
      </c>
      <c r="R78" s="46"/>
      <c r="S78" s="93"/>
    </row>
    <row r="79" spans="1:19" outlineLevel="2">
      <c r="A79" s="295" t="s">
        <v>445</v>
      </c>
      <c r="B79" s="9">
        <v>5401020212</v>
      </c>
      <c r="C79" s="1" t="s">
        <v>455</v>
      </c>
      <c r="D79" s="9" t="s">
        <v>80</v>
      </c>
      <c r="E79" s="11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f t="shared" si="6"/>
        <v>0</v>
      </c>
      <c r="R79" s="46"/>
      <c r="S79" s="93"/>
    </row>
    <row r="80" spans="1:19" s="29" customFormat="1">
      <c r="A80" s="277"/>
      <c r="B80" s="37" t="s">
        <v>4</v>
      </c>
      <c r="C80" s="36" t="s">
        <v>80</v>
      </c>
      <c r="D80" s="38"/>
      <c r="E80" s="97">
        <f>SUM(E29:E79)</f>
        <v>60.953470000000003</v>
      </c>
      <c r="F80" s="178">
        <f t="shared" ref="F80:P80" si="7">SUM(F29:F79)</f>
        <v>58.597318058364436</v>
      </c>
      <c r="G80" s="178">
        <f t="shared" si="7"/>
        <v>57.743076602909177</v>
      </c>
      <c r="H80" s="178">
        <f t="shared" si="7"/>
        <v>57.07864197330953</v>
      </c>
      <c r="I80" s="178">
        <f t="shared" si="7"/>
        <v>56.424026574689194</v>
      </c>
      <c r="J80" s="178">
        <f t="shared" si="7"/>
        <v>57.279085295260288</v>
      </c>
      <c r="K80" s="178">
        <f t="shared" si="7"/>
        <v>55.437846523075677</v>
      </c>
      <c r="L80" s="178">
        <f t="shared" si="7"/>
        <v>55.099315995114765</v>
      </c>
      <c r="M80" s="178">
        <f t="shared" si="7"/>
        <v>54.763472217375757</v>
      </c>
      <c r="N80" s="178">
        <f t="shared" si="7"/>
        <v>54.041449353686247</v>
      </c>
      <c r="O80" s="178">
        <f t="shared" si="7"/>
        <v>53.331844573647416</v>
      </c>
      <c r="P80" s="178">
        <f t="shared" si="7"/>
        <v>55.61613273109419</v>
      </c>
      <c r="Q80" s="178">
        <f>SUM(Q29:Q79)</f>
        <v>676.36567989852676</v>
      </c>
      <c r="R80" s="171"/>
      <c r="S80" s="93"/>
    </row>
    <row r="81" spans="1:19" ht="20.55" customHeight="1" outlineLevel="1">
      <c r="A81" s="277" t="s">
        <v>445</v>
      </c>
      <c r="B81" s="9">
        <v>6666110203</v>
      </c>
      <c r="C81" s="9" t="s">
        <v>81</v>
      </c>
      <c r="D81" s="9" t="s">
        <v>84</v>
      </c>
      <c r="E81" s="11">
        <v>12.326379999999999</v>
      </c>
      <c r="F81" s="25">
        <v>13.440000319999999</v>
      </c>
      <c r="G81" s="25">
        <v>7.5200003200000003</v>
      </c>
      <c r="H81" s="25">
        <v>12.16000032</v>
      </c>
      <c r="I81" s="25">
        <v>10.560000319999999</v>
      </c>
      <c r="J81" s="25">
        <v>16.800000319999999</v>
      </c>
      <c r="K81" s="25">
        <v>13.015040000000001</v>
      </c>
      <c r="L81" s="25">
        <v>12.70528</v>
      </c>
      <c r="M81" s="25">
        <v>17.570240000000002</v>
      </c>
      <c r="N81" s="25">
        <v>15.98976</v>
      </c>
      <c r="O81" s="25">
        <v>16.619520000000001</v>
      </c>
      <c r="P81" s="25">
        <v>13.500800000000002</v>
      </c>
      <c r="Q81" s="25">
        <f>F81+E81+G81+H81+I81+J81+K81+L81+M81+N81+O81+P81</f>
        <v>162.20702159999999</v>
      </c>
      <c r="R81" s="46"/>
      <c r="S81" s="93"/>
    </row>
    <row r="82" spans="1:19" outlineLevel="1">
      <c r="A82" s="277" t="s">
        <v>445</v>
      </c>
      <c r="B82" s="9">
        <v>5102040000</v>
      </c>
      <c r="C82" s="9" t="s">
        <v>82</v>
      </c>
      <c r="D82" s="9" t="s">
        <v>84</v>
      </c>
      <c r="E82" s="11">
        <v>-2.0000000000000001E-4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f>F82+E82+G82+H82+I82+J82+K82+L82+M82+N82+O82+P82</f>
        <v>-2.0000000000000001E-4</v>
      </c>
      <c r="R82" s="46"/>
      <c r="S82" s="93"/>
    </row>
    <row r="83" spans="1:19" outlineLevel="1">
      <c r="A83" s="277" t="s">
        <v>446</v>
      </c>
      <c r="B83" s="9">
        <v>6666050307</v>
      </c>
      <c r="C83" s="9" t="s">
        <v>83</v>
      </c>
      <c r="D83" s="9" t="s">
        <v>84</v>
      </c>
      <c r="E83" s="11">
        <v>-2.7322800000000003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f>F83+E83+G83+H83+I83+J83+K83+L83+M83+N83+O83+P83</f>
        <v>-2.7322800000000003</v>
      </c>
      <c r="R83" s="46"/>
      <c r="S83" s="93"/>
    </row>
    <row r="84" spans="1:19" outlineLevel="2">
      <c r="A84" s="277" t="s">
        <v>446</v>
      </c>
      <c r="B84" s="9">
        <v>6666050312</v>
      </c>
      <c r="C84" s="9" t="s">
        <v>76</v>
      </c>
      <c r="D84" s="9" t="s">
        <v>80</v>
      </c>
      <c r="E84" s="11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f>F84+E84+G84+H84+I84+J84+K84+L84+M84+N84+O84+P84</f>
        <v>0</v>
      </c>
      <c r="R84" s="46"/>
      <c r="S84" s="93"/>
    </row>
    <row r="85" spans="1:19" s="24" customFormat="1">
      <c r="A85" s="278"/>
      <c r="B85" s="37" t="s">
        <v>1</v>
      </c>
      <c r="C85" s="36" t="s">
        <v>84</v>
      </c>
      <c r="D85" s="38"/>
      <c r="E85" s="97">
        <f>SUM(E81:E84)</f>
        <v>9.5938999999999979</v>
      </c>
      <c r="F85" s="178">
        <f t="shared" ref="F85:P85" si="8">SUM(F81:F84)</f>
        <v>13.440000319999999</v>
      </c>
      <c r="G85" s="178">
        <f t="shared" si="8"/>
        <v>7.5200003200000003</v>
      </c>
      <c r="H85" s="178">
        <f t="shared" si="8"/>
        <v>12.16000032</v>
      </c>
      <c r="I85" s="178">
        <f t="shared" si="8"/>
        <v>10.560000319999999</v>
      </c>
      <c r="J85" s="178">
        <f t="shared" si="8"/>
        <v>16.800000319999999</v>
      </c>
      <c r="K85" s="178">
        <f t="shared" si="8"/>
        <v>13.015040000000001</v>
      </c>
      <c r="L85" s="178">
        <f t="shared" si="8"/>
        <v>12.70528</v>
      </c>
      <c r="M85" s="178">
        <f t="shared" si="8"/>
        <v>17.570240000000002</v>
      </c>
      <c r="N85" s="178">
        <f t="shared" si="8"/>
        <v>15.98976</v>
      </c>
      <c r="O85" s="178">
        <f t="shared" si="8"/>
        <v>16.619520000000001</v>
      </c>
      <c r="P85" s="178">
        <f t="shared" si="8"/>
        <v>13.500800000000002</v>
      </c>
      <c r="Q85" s="178">
        <f>SUM(Q81:Q84)</f>
        <v>159.47454159999998</v>
      </c>
      <c r="R85" s="171"/>
      <c r="S85" s="93"/>
    </row>
    <row r="86" spans="1:19" ht="22.95" customHeight="1" outlineLevel="1">
      <c r="A86" s="281" t="s">
        <v>446</v>
      </c>
      <c r="B86" s="9">
        <v>6666100203</v>
      </c>
      <c r="C86" s="9" t="s">
        <v>85</v>
      </c>
      <c r="D86" s="9" t="s">
        <v>86</v>
      </c>
      <c r="E86" s="11">
        <v>-26.068060000000003</v>
      </c>
      <c r="F86" s="25">
        <v>8.8615909564808071</v>
      </c>
      <c r="G86" s="25">
        <v>8.696360114308936</v>
      </c>
      <c r="H86" s="25">
        <v>8.5678424771516628</v>
      </c>
      <c r="I86" s="25">
        <v>8.4412241154203578</v>
      </c>
      <c r="J86" s="25">
        <v>8.3164769610052787</v>
      </c>
      <c r="K86" s="25">
        <v>8.2504731756004741</v>
      </c>
      <c r="L86" s="25">
        <v>8.1849932297623766</v>
      </c>
      <c r="M86" s="25">
        <v>8.1200329660341026</v>
      </c>
      <c r="N86" s="25">
        <v>7.9803763793946958</v>
      </c>
      <c r="O86" s="25">
        <v>7.8431217487908542</v>
      </c>
      <c r="P86" s="25">
        <v>7.7082277629394138</v>
      </c>
      <c r="Q86" s="25">
        <f>F86+E86+G86+H86+I86+J86+K86+L86+M86+N86+O86+P86</f>
        <v>64.902659886888955</v>
      </c>
      <c r="R86" s="46"/>
      <c r="S86" s="93"/>
    </row>
    <row r="87" spans="1:19" s="24" customFormat="1">
      <c r="A87" s="278"/>
      <c r="B87" s="37" t="s">
        <v>4</v>
      </c>
      <c r="C87" s="36" t="s">
        <v>86</v>
      </c>
      <c r="D87" s="38"/>
      <c r="E87" s="97">
        <f>+E86</f>
        <v>-26.068060000000003</v>
      </c>
      <c r="F87" s="178">
        <f t="shared" ref="F87:P87" si="9">+F86</f>
        <v>8.8615909564808071</v>
      </c>
      <c r="G87" s="178">
        <f t="shared" si="9"/>
        <v>8.696360114308936</v>
      </c>
      <c r="H87" s="178">
        <f t="shared" si="9"/>
        <v>8.5678424771516628</v>
      </c>
      <c r="I87" s="178">
        <f t="shared" si="9"/>
        <v>8.4412241154203578</v>
      </c>
      <c r="J87" s="178">
        <f t="shared" si="9"/>
        <v>8.3164769610052787</v>
      </c>
      <c r="K87" s="178">
        <f t="shared" si="9"/>
        <v>8.2504731756004741</v>
      </c>
      <c r="L87" s="178">
        <f t="shared" si="9"/>
        <v>8.1849932297623766</v>
      </c>
      <c r="M87" s="178">
        <f t="shared" si="9"/>
        <v>8.1200329660341026</v>
      </c>
      <c r="N87" s="178">
        <f t="shared" si="9"/>
        <v>7.9803763793946958</v>
      </c>
      <c r="O87" s="178">
        <f t="shared" si="9"/>
        <v>7.8431217487908542</v>
      </c>
      <c r="P87" s="178">
        <f t="shared" si="9"/>
        <v>7.7082277629394138</v>
      </c>
      <c r="Q87" s="178">
        <f>+Q86</f>
        <v>64.902659886888955</v>
      </c>
      <c r="R87" s="171"/>
      <c r="S87" s="93"/>
    </row>
    <row r="88" spans="1:19" outlineLevel="2">
      <c r="A88" s="281" t="s">
        <v>446</v>
      </c>
      <c r="B88" s="9">
        <v>5301070000</v>
      </c>
      <c r="C88" s="9" t="s">
        <v>87</v>
      </c>
      <c r="D88" s="9" t="s">
        <v>88</v>
      </c>
      <c r="E88" s="11">
        <v>-56.35548</v>
      </c>
      <c r="F88" s="25">
        <v>-44.209517802549762</v>
      </c>
      <c r="G88" s="25">
        <v>-24.9583156484928</v>
      </c>
      <c r="H88" s="25">
        <v>-38.839628558697363</v>
      </c>
      <c r="I88" s="25">
        <v>-33.721598962116623</v>
      </c>
      <c r="J88" s="25">
        <v>-53.453137907984882</v>
      </c>
      <c r="K88" s="25">
        <v>-41.439963689227405</v>
      </c>
      <c r="L88" s="25">
        <v>-40.421594349646846</v>
      </c>
      <c r="M88" s="25">
        <v>-55.915497133727307</v>
      </c>
      <c r="N88" s="25">
        <v>-50.810572608005643</v>
      </c>
      <c r="O88" s="25">
        <v>-52.840990010535684</v>
      </c>
      <c r="P88" s="25">
        <v>-42.687767209103114</v>
      </c>
      <c r="Q88" s="25">
        <f>F88+E88+G88+H88+I88+J88+K88+L88+M88+N88+O88+P88</f>
        <v>-535.65406388008739</v>
      </c>
      <c r="R88" s="46"/>
      <c r="S88" s="93"/>
    </row>
    <row r="89" spans="1:19" s="24" customFormat="1">
      <c r="A89" s="278"/>
      <c r="B89" s="37" t="s">
        <v>1</v>
      </c>
      <c r="C89" s="36" t="s">
        <v>88</v>
      </c>
      <c r="D89" s="38"/>
      <c r="E89" s="97">
        <f>+E88</f>
        <v>-56.35548</v>
      </c>
      <c r="F89" s="178">
        <f t="shared" ref="F89:P89" si="10">+F88</f>
        <v>-44.209517802549762</v>
      </c>
      <c r="G89" s="178">
        <f t="shared" si="10"/>
        <v>-24.9583156484928</v>
      </c>
      <c r="H89" s="178">
        <f t="shared" si="10"/>
        <v>-38.839628558697363</v>
      </c>
      <c r="I89" s="178">
        <f t="shared" si="10"/>
        <v>-33.721598962116623</v>
      </c>
      <c r="J89" s="178">
        <f t="shared" si="10"/>
        <v>-53.453137907984882</v>
      </c>
      <c r="K89" s="178">
        <f t="shared" si="10"/>
        <v>-41.439963689227405</v>
      </c>
      <c r="L89" s="178">
        <f t="shared" si="10"/>
        <v>-40.421594349646846</v>
      </c>
      <c r="M89" s="178">
        <f t="shared" si="10"/>
        <v>-55.915497133727307</v>
      </c>
      <c r="N89" s="178">
        <f t="shared" si="10"/>
        <v>-50.810572608005643</v>
      </c>
      <c r="O89" s="178">
        <f t="shared" si="10"/>
        <v>-52.840990010535684</v>
      </c>
      <c r="P89" s="178">
        <f t="shared" si="10"/>
        <v>-42.687767209103114</v>
      </c>
      <c r="Q89" s="178">
        <f>+Q88</f>
        <v>-535.65406388008739</v>
      </c>
      <c r="R89" s="97"/>
      <c r="S89" s="93"/>
    </row>
    <row r="90" spans="1:19" outlineLevel="1">
      <c r="A90" s="281" t="s">
        <v>445</v>
      </c>
      <c r="B90" s="9">
        <v>6666021602</v>
      </c>
      <c r="C90" s="9" t="s">
        <v>89</v>
      </c>
      <c r="D90" s="9" t="s">
        <v>90</v>
      </c>
      <c r="E90" s="11">
        <v>8.5680800000000001</v>
      </c>
      <c r="F90" s="25">
        <v>4.4167252649874849</v>
      </c>
      <c r="G90" s="25">
        <v>2.503777385432906</v>
      </c>
      <c r="H90" s="25">
        <v>4.0620853142159472</v>
      </c>
      <c r="I90" s="25">
        <v>3.536952068088496</v>
      </c>
      <c r="J90" s="25">
        <v>6.4837983631266649</v>
      </c>
      <c r="K90" s="25">
        <v>5.0369744250375152</v>
      </c>
      <c r="L90" s="25">
        <v>4.9220107347625204</v>
      </c>
      <c r="M90" s="25">
        <v>6.8215078813992926</v>
      </c>
      <c r="N90" s="25">
        <v>6.210973265140936</v>
      </c>
      <c r="O90" s="25">
        <v>6.4731972859222981</v>
      </c>
      <c r="P90" s="25">
        <v>5.2793357599590394</v>
      </c>
      <c r="Q90" s="25">
        <f>F90+E90+G90+H90+I90+J90+K90+L90+M90+N90+O90+P90</f>
        <v>64.315417748073102</v>
      </c>
      <c r="R90" s="47"/>
      <c r="S90" s="93">
        <v>1000</v>
      </c>
    </row>
    <row r="91" spans="1:19" outlineLevel="1">
      <c r="A91" s="281" t="s">
        <v>445</v>
      </c>
      <c r="B91" s="9">
        <v>6666021604</v>
      </c>
      <c r="C91" s="90" t="s">
        <v>146</v>
      </c>
      <c r="D91" s="9" t="s">
        <v>90</v>
      </c>
      <c r="E91" s="11">
        <v>0</v>
      </c>
      <c r="F91" s="25">
        <v>0.52299520596698523</v>
      </c>
      <c r="G91" s="25">
        <v>0.28913437103337453</v>
      </c>
      <c r="H91" s="25">
        <v>0.48100142483502534</v>
      </c>
      <c r="I91" s="25">
        <v>0.31607755233217116</v>
      </c>
      <c r="J91" s="25">
        <v>0.1123724924452621</v>
      </c>
      <c r="K91" s="25">
        <v>0.10855215663776009</v>
      </c>
      <c r="L91" s="25">
        <v>0.11617690652440632</v>
      </c>
      <c r="M91" s="25">
        <v>0.11822542897496689</v>
      </c>
      <c r="N91" s="25">
        <v>0.53309451939198538</v>
      </c>
      <c r="O91" s="25">
        <v>0.55560148929250752</v>
      </c>
      <c r="P91" s="25">
        <v>0.45812151596172995</v>
      </c>
      <c r="Q91" s="25">
        <f>F91+E91+G91+H91+I91+J91+K91+L91+M91+N91+O91+P91</f>
        <v>3.6113530633961748</v>
      </c>
      <c r="R91" s="48"/>
      <c r="S91" s="93"/>
    </row>
    <row r="92" spans="1:19" s="24" customFormat="1">
      <c r="A92" s="278"/>
      <c r="B92" s="37" t="s">
        <v>4</v>
      </c>
      <c r="C92" s="36" t="s">
        <v>90</v>
      </c>
      <c r="D92" s="38"/>
      <c r="E92" s="97">
        <f>SUM(E90:E91)</f>
        <v>8.5680800000000001</v>
      </c>
      <c r="F92" s="178">
        <f>+SUM(F90:F91)</f>
        <v>4.9397204709544704</v>
      </c>
      <c r="G92" s="178">
        <f>+SUM(G90:G91)</f>
        <v>2.7929117564662804</v>
      </c>
      <c r="H92" s="178">
        <f>+SUM(H90:H91)</f>
        <v>4.5430867390509722</v>
      </c>
      <c r="I92" s="178">
        <f>+SUM(I90:I91)</f>
        <v>3.8530296204206671</v>
      </c>
      <c r="J92" s="178">
        <f t="shared" ref="J92:P92" si="11">+SUM(J90:J91)</f>
        <v>6.5961708555719269</v>
      </c>
      <c r="K92" s="178">
        <f t="shared" si="11"/>
        <v>5.1455265816752753</v>
      </c>
      <c r="L92" s="178">
        <f t="shared" si="11"/>
        <v>5.0381876412869264</v>
      </c>
      <c r="M92" s="178">
        <f t="shared" si="11"/>
        <v>6.9397333103742591</v>
      </c>
      <c r="N92" s="178">
        <f t="shared" si="11"/>
        <v>6.7440677845329216</v>
      </c>
      <c r="O92" s="178">
        <f t="shared" si="11"/>
        <v>7.0287987752148053</v>
      </c>
      <c r="P92" s="178">
        <f t="shared" si="11"/>
        <v>5.7374572759207689</v>
      </c>
      <c r="Q92" s="178">
        <f>SUM(Q90:Q91)</f>
        <v>67.926770811469282</v>
      </c>
      <c r="R92" s="97"/>
      <c r="S92" s="93"/>
    </row>
    <row r="93" spans="1:19" outlineLevel="2">
      <c r="A93" s="278" t="s">
        <v>445</v>
      </c>
      <c r="B93" s="9">
        <v>6666021600</v>
      </c>
      <c r="C93" s="9" t="s">
        <v>91</v>
      </c>
      <c r="D93" s="9" t="s">
        <v>94</v>
      </c>
      <c r="E93" s="11">
        <v>21.923759999999998</v>
      </c>
      <c r="F93" s="25">
        <v>27.069835906718662</v>
      </c>
      <c r="G93" s="25">
        <v>15.410673795968396</v>
      </c>
      <c r="H93" s="25">
        <v>25.432440519502858</v>
      </c>
      <c r="I93" s="25">
        <v>21.374297855186242</v>
      </c>
      <c r="J93" s="25">
        <v>34.952010511568254</v>
      </c>
      <c r="K93" s="25">
        <v>27.102594029424189</v>
      </c>
      <c r="L93" s="25">
        <v>30.68734894905252</v>
      </c>
      <c r="M93" s="25">
        <v>30.174673416462639</v>
      </c>
      <c r="N93" s="25">
        <v>26.896663196577371</v>
      </c>
      <c r="O93" s="25">
        <v>30.830025146323827</v>
      </c>
      <c r="P93" s="25">
        <v>25.448808977579645</v>
      </c>
      <c r="Q93" s="25">
        <f>F93+E93+G93+H93+I93+J93+K93+L93+M93+N93+O93+P93</f>
        <v>317.30313230436457</v>
      </c>
      <c r="R93" s="46"/>
      <c r="S93" s="93"/>
    </row>
    <row r="94" spans="1:19" outlineLevel="2">
      <c r="A94" s="278" t="s">
        <v>445</v>
      </c>
      <c r="B94" s="9">
        <v>6666021603</v>
      </c>
      <c r="C94" s="9" t="s">
        <v>92</v>
      </c>
      <c r="D94" s="9" t="s">
        <v>94</v>
      </c>
      <c r="E94" s="11">
        <v>0.69152000000000002</v>
      </c>
      <c r="F94" s="25">
        <v>0.97773992976271817</v>
      </c>
      <c r="G94" s="25">
        <v>0.5542665613324238</v>
      </c>
      <c r="H94" s="25">
        <v>0.8992325244443119</v>
      </c>
      <c r="I94" s="25">
        <v>0.78298265324337446</v>
      </c>
      <c r="J94" s="25">
        <v>1.2439546841544633</v>
      </c>
      <c r="K94" s="25">
        <v>0.96637303923963025</v>
      </c>
      <c r="L94" s="25">
        <v>0.94431658204957314</v>
      </c>
      <c r="M94" s="25">
        <v>1.3087462328133275</v>
      </c>
      <c r="N94" s="25">
        <v>1.1916115914814538</v>
      </c>
      <c r="O94" s="25">
        <v>1.2419208054144257</v>
      </c>
      <c r="P94" s="25">
        <v>1.0128714805773664</v>
      </c>
      <c r="Q94" s="25">
        <f>F94+E94+G94+H94+I94+J94+K94+L94+M94+N94+O94+P94</f>
        <v>11.815536084513068</v>
      </c>
      <c r="R94" s="46"/>
      <c r="S94" s="93"/>
    </row>
    <row r="95" spans="1:19" outlineLevel="2">
      <c r="A95" s="278" t="s">
        <v>445</v>
      </c>
      <c r="B95" s="9">
        <v>6666021604</v>
      </c>
      <c r="C95" s="91" t="s">
        <v>93</v>
      </c>
      <c r="D95" s="9" t="s">
        <v>94</v>
      </c>
      <c r="E95" s="11">
        <v>3.9772800000000004</v>
      </c>
      <c r="F95" s="25">
        <v>4.2206630656984778</v>
      </c>
      <c r="G95" s="25">
        <v>2.3926325730966003</v>
      </c>
      <c r="H95" s="25">
        <v>3.3641971000157334</v>
      </c>
      <c r="I95" s="25">
        <v>2.8166197924337166</v>
      </c>
      <c r="J95" s="25">
        <v>3.2219080540696701</v>
      </c>
      <c r="K95" s="25">
        <v>2.5029569951563726</v>
      </c>
      <c r="L95" s="25">
        <v>2.445829611040133</v>
      </c>
      <c r="M95" s="25">
        <v>4.8962644937780775</v>
      </c>
      <c r="N95" s="25">
        <v>4.8009681863371796</v>
      </c>
      <c r="O95" s="25">
        <v>5.3610670019452469</v>
      </c>
      <c r="P95" s="25">
        <v>4.3723173394480224</v>
      </c>
      <c r="Q95" s="25">
        <f>F95+E95+G95+H95+I95+J95+K95+L95+M95+N95+O95+P95</f>
        <v>44.372704213019226</v>
      </c>
      <c r="R95" s="46"/>
      <c r="S95" s="93"/>
    </row>
    <row r="96" spans="1:19" outlineLevel="2">
      <c r="A96" s="278" t="s">
        <v>445</v>
      </c>
      <c r="B96" s="9">
        <v>6666021604</v>
      </c>
      <c r="C96" s="90" t="s">
        <v>146</v>
      </c>
      <c r="D96" s="9" t="s">
        <v>94</v>
      </c>
      <c r="E96" s="11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>
        <f>F96+E96+G96+H96+I96+J96+K96+L96+M96+N96+O96+P96</f>
        <v>0</v>
      </c>
      <c r="R96" s="46"/>
      <c r="S96" s="93"/>
    </row>
    <row r="97" spans="1:19" s="24" customFormat="1">
      <c r="A97" s="278"/>
      <c r="B97" s="37" t="s">
        <v>1</v>
      </c>
      <c r="C97" s="36" t="s">
        <v>94</v>
      </c>
      <c r="D97" s="38"/>
      <c r="E97" s="97">
        <f>SUM(E93:E96)</f>
        <v>26.592559999999999</v>
      </c>
      <c r="F97" s="178">
        <f>SUM(F93:F96)</f>
        <v>32.26823890217986</v>
      </c>
      <c r="G97" s="178">
        <f>SUM(G93:G96)</f>
        <v>18.357572930397421</v>
      </c>
      <c r="H97" s="178">
        <f>SUM(H93:H96)</f>
        <v>29.695870143962903</v>
      </c>
      <c r="I97" s="178">
        <f>SUM(I93:I96)</f>
        <v>24.973900300863331</v>
      </c>
      <c r="J97" s="178">
        <f t="shared" ref="J97:P97" si="12">SUM(J93:J96)</f>
        <v>39.417873249792393</v>
      </c>
      <c r="K97" s="178">
        <f t="shared" si="12"/>
        <v>30.571924063820191</v>
      </c>
      <c r="L97" s="178">
        <f t="shared" si="12"/>
        <v>34.077495142142226</v>
      </c>
      <c r="M97" s="178">
        <f t="shared" si="12"/>
        <v>36.379684143054043</v>
      </c>
      <c r="N97" s="178">
        <f t="shared" si="12"/>
        <v>32.889242974396005</v>
      </c>
      <c r="O97" s="178">
        <f t="shared" si="12"/>
        <v>37.433012953683495</v>
      </c>
      <c r="P97" s="178">
        <f t="shared" si="12"/>
        <v>30.833997797605036</v>
      </c>
      <c r="Q97" s="178">
        <f>SUM(Q93:Q96)</f>
        <v>373.49137260189684</v>
      </c>
      <c r="R97" s="171"/>
      <c r="S97" s="93"/>
    </row>
    <row r="98" spans="1:19" outlineLevel="1">
      <c r="A98" s="278" t="s">
        <v>445</v>
      </c>
      <c r="B98" s="9">
        <v>5001010206</v>
      </c>
      <c r="C98" s="9" t="s">
        <v>95</v>
      </c>
      <c r="D98" s="9" t="s">
        <v>102</v>
      </c>
      <c r="E98" s="11">
        <v>3.0570899999999996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25">
        <f t="shared" ref="Q98:Q104" si="13">F98+E98+G98+H98+I98+J98+K98+L98+M98+N98+O98+P98</f>
        <v>3.0570899999999996</v>
      </c>
      <c r="R98" s="46"/>
      <c r="S98" s="93"/>
    </row>
    <row r="99" spans="1:19" outlineLevel="1">
      <c r="A99" s="278" t="s">
        <v>445</v>
      </c>
      <c r="B99" s="9">
        <v>6666010184</v>
      </c>
      <c r="C99" s="9" t="s">
        <v>96</v>
      </c>
      <c r="D99" s="9" t="s">
        <v>102</v>
      </c>
      <c r="E99" s="11">
        <v>-0.14232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25">
        <f t="shared" si="13"/>
        <v>-0.14232</v>
      </c>
      <c r="R99" s="46"/>
      <c r="S99" s="93"/>
    </row>
    <row r="100" spans="1:19" outlineLevel="1">
      <c r="A100" s="278" t="s">
        <v>445</v>
      </c>
      <c r="B100" s="9">
        <v>6666010186</v>
      </c>
      <c r="C100" s="9" t="s">
        <v>97</v>
      </c>
      <c r="D100" s="9" t="s">
        <v>102</v>
      </c>
      <c r="E100" s="11">
        <v>8.7663700000000002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25">
        <f t="shared" si="13"/>
        <v>8.7663700000000002</v>
      </c>
      <c r="R100" s="46"/>
      <c r="S100" s="93"/>
    </row>
    <row r="101" spans="1:19" outlineLevel="1">
      <c r="A101" s="278" t="s">
        <v>445</v>
      </c>
      <c r="B101" s="9">
        <v>6666010189</v>
      </c>
      <c r="C101" s="9" t="s">
        <v>98</v>
      </c>
      <c r="D101" s="9" t="s">
        <v>102</v>
      </c>
      <c r="E101" s="11">
        <v>27.213549999999998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25">
        <f t="shared" si="13"/>
        <v>27.213549999999998</v>
      </c>
      <c r="R101" s="46"/>
      <c r="S101" s="93"/>
    </row>
    <row r="102" spans="1:19" outlineLevel="1">
      <c r="A102" s="278" t="s">
        <v>445</v>
      </c>
      <c r="B102" s="9">
        <v>6666010012</v>
      </c>
      <c r="C102" s="9" t="s">
        <v>99</v>
      </c>
      <c r="D102" s="9" t="s">
        <v>102</v>
      </c>
      <c r="E102" s="11">
        <v>28.9222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25">
        <f t="shared" si="13"/>
        <v>28.9222</v>
      </c>
      <c r="R102" s="46"/>
      <c r="S102" s="93"/>
    </row>
    <row r="103" spans="1:19" outlineLevel="1">
      <c r="A103" s="278" t="s">
        <v>445</v>
      </c>
      <c r="B103" s="9">
        <v>6666010226</v>
      </c>
      <c r="C103" s="9" t="s">
        <v>100</v>
      </c>
      <c r="D103" s="9" t="s">
        <v>102</v>
      </c>
      <c r="E103" s="11">
        <v>6.0301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25">
        <f t="shared" si="13"/>
        <v>6.0301</v>
      </c>
      <c r="R103" s="46"/>
      <c r="S103" s="93"/>
    </row>
    <row r="104" spans="1:19" outlineLevel="1">
      <c r="A104" s="278" t="s">
        <v>445</v>
      </c>
      <c r="B104" s="9">
        <v>6666010102</v>
      </c>
      <c r="C104" s="9" t="s">
        <v>101</v>
      </c>
      <c r="D104" s="9" t="s">
        <v>102</v>
      </c>
      <c r="E104" s="11">
        <v>162.67013</v>
      </c>
      <c r="F104" s="11">
        <v>214.48241020498156</v>
      </c>
      <c r="G104" s="11">
        <v>222.8061698056664</v>
      </c>
      <c r="H104" s="11">
        <v>213.96038785205897</v>
      </c>
      <c r="I104" s="11">
        <v>236.95514072571399</v>
      </c>
      <c r="J104" s="11">
        <v>224.39062726412081</v>
      </c>
      <c r="K104" s="11">
        <v>258.75690510461726</v>
      </c>
      <c r="L104" s="11">
        <v>232.43646972895019</v>
      </c>
      <c r="M104" s="11">
        <v>238.36332486385953</v>
      </c>
      <c r="N104" s="11">
        <v>222.64599437109715</v>
      </c>
      <c r="O104" s="11">
        <v>217.42964478736093</v>
      </c>
      <c r="P104" s="11">
        <v>284.76513103957291</v>
      </c>
      <c r="Q104" s="25">
        <f t="shared" si="13"/>
        <v>2729.6623357479994</v>
      </c>
      <c r="R104" s="46"/>
      <c r="S104" s="93"/>
    </row>
    <row r="105" spans="1:19" s="24" customFormat="1">
      <c r="A105" s="278"/>
      <c r="B105" s="37" t="s">
        <v>142</v>
      </c>
      <c r="C105" s="36" t="s">
        <v>102</v>
      </c>
      <c r="D105" s="38"/>
      <c r="E105" s="97">
        <f>SUM(E98:E104)</f>
        <v>236.51712000000001</v>
      </c>
      <c r="F105" s="97">
        <f t="shared" ref="F105:P105" si="14">SUM(F98:F104)</f>
        <v>214.48241020498156</v>
      </c>
      <c r="G105" s="97">
        <f t="shared" si="14"/>
        <v>222.8061698056664</v>
      </c>
      <c r="H105" s="97">
        <f t="shared" si="14"/>
        <v>213.96038785205897</v>
      </c>
      <c r="I105" s="97">
        <f t="shared" si="14"/>
        <v>236.95514072571399</v>
      </c>
      <c r="J105" s="97">
        <f t="shared" si="14"/>
        <v>224.39062726412081</v>
      </c>
      <c r="K105" s="97">
        <f t="shared" si="14"/>
        <v>258.75690510461726</v>
      </c>
      <c r="L105" s="97">
        <f t="shared" si="14"/>
        <v>232.43646972895019</v>
      </c>
      <c r="M105" s="97">
        <f t="shared" si="14"/>
        <v>238.36332486385953</v>
      </c>
      <c r="N105" s="97">
        <f t="shared" si="14"/>
        <v>222.64599437109715</v>
      </c>
      <c r="O105" s="97">
        <f t="shared" si="14"/>
        <v>217.42964478736093</v>
      </c>
      <c r="P105" s="97">
        <f t="shared" si="14"/>
        <v>284.76513103957291</v>
      </c>
      <c r="Q105" s="178">
        <f>SUM(Q98:Q104)</f>
        <v>2803.5093257479994</v>
      </c>
      <c r="R105" s="171"/>
      <c r="S105" s="93"/>
    </row>
    <row r="106" spans="1:19" outlineLevel="1">
      <c r="A106" s="278" t="s">
        <v>445</v>
      </c>
      <c r="B106" s="9">
        <v>6666010196</v>
      </c>
      <c r="C106" s="9" t="s">
        <v>103</v>
      </c>
      <c r="D106" s="9" t="s">
        <v>109</v>
      </c>
      <c r="E106" s="11">
        <v>15.820699999999999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25">
        <f t="shared" ref="Q106:Q112" si="15">F106+E106+G106+H106+I106+J106+K106+L106+M106+N106+O106+P106</f>
        <v>15.820699999999999</v>
      </c>
      <c r="R106" s="46"/>
      <c r="S106" s="93"/>
    </row>
    <row r="107" spans="1:19" outlineLevel="1">
      <c r="A107" s="278" t="s">
        <v>445</v>
      </c>
      <c r="B107" s="9">
        <v>6666010101</v>
      </c>
      <c r="C107" s="9" t="s">
        <v>104</v>
      </c>
      <c r="D107" s="9" t="s">
        <v>109</v>
      </c>
      <c r="E107" s="11">
        <v>83.51397</v>
      </c>
      <c r="F107" s="11">
        <v>114.33682248040888</v>
      </c>
      <c r="G107" s="11">
        <v>104.53035001140138</v>
      </c>
      <c r="H107" s="11">
        <v>105.61480673182199</v>
      </c>
      <c r="I107" s="11">
        <v>111.61576960778966</v>
      </c>
      <c r="J107" s="11">
        <v>107.92895329585137</v>
      </c>
      <c r="K107" s="11">
        <v>100.07556861651663</v>
      </c>
      <c r="L107" s="11">
        <v>100.55177109572848</v>
      </c>
      <c r="M107" s="11">
        <v>105.38741652700493</v>
      </c>
      <c r="N107" s="11">
        <v>98.798217549535778</v>
      </c>
      <c r="O107" s="11">
        <v>97.220438968319954</v>
      </c>
      <c r="P107" s="11">
        <v>95.692261593514075</v>
      </c>
      <c r="Q107" s="25">
        <f t="shared" si="15"/>
        <v>1225.266346477893</v>
      </c>
      <c r="R107" s="46"/>
      <c r="S107" s="93"/>
    </row>
    <row r="108" spans="1:19" outlineLevel="1">
      <c r="A108" s="278" t="s">
        <v>445</v>
      </c>
      <c r="B108" s="9">
        <v>6666010199</v>
      </c>
      <c r="C108" s="9" t="s">
        <v>105</v>
      </c>
      <c r="D108" s="9" t="s">
        <v>109</v>
      </c>
      <c r="E108" s="11">
        <v>13.118970000000001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25">
        <f t="shared" si="15"/>
        <v>13.118970000000001</v>
      </c>
      <c r="R108" s="46"/>
      <c r="S108" s="93"/>
    </row>
    <row r="109" spans="1:19" outlineLevel="1">
      <c r="A109" s="278" t="s">
        <v>445</v>
      </c>
      <c r="B109" s="9">
        <v>6666010185</v>
      </c>
      <c r="C109" s="9" t="s">
        <v>106</v>
      </c>
      <c r="D109" s="9" t="s">
        <v>109</v>
      </c>
      <c r="E109" s="11">
        <v>-0.18543999999999999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25">
        <f t="shared" si="15"/>
        <v>-0.18543999999999999</v>
      </c>
      <c r="R109" s="46"/>
      <c r="S109" s="93"/>
    </row>
    <row r="110" spans="1:19" outlineLevel="1">
      <c r="A110" s="278" t="s">
        <v>445</v>
      </c>
      <c r="B110" s="9">
        <v>6666010207</v>
      </c>
      <c r="C110" s="9" t="s">
        <v>107</v>
      </c>
      <c r="D110" s="9" t="s">
        <v>109</v>
      </c>
      <c r="E110" s="11">
        <v>1.1587000000000003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25">
        <f t="shared" si="15"/>
        <v>1.1587000000000003</v>
      </c>
      <c r="R110" s="46"/>
      <c r="S110" s="93"/>
    </row>
    <row r="111" spans="1:19" customFormat="1" outlineLevel="1">
      <c r="A111" s="278" t="s">
        <v>445</v>
      </c>
      <c r="B111" s="9">
        <v>5102040406</v>
      </c>
      <c r="C111" s="9" t="s">
        <v>30</v>
      </c>
      <c r="D111" s="9" t="s">
        <v>32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25">
        <f t="shared" si="15"/>
        <v>0</v>
      </c>
      <c r="R111" s="46"/>
      <c r="S111" s="93"/>
    </row>
    <row r="112" spans="1:19" outlineLevel="1">
      <c r="A112" s="278" t="s">
        <v>445</v>
      </c>
      <c r="B112" s="9">
        <v>6666010227</v>
      </c>
      <c r="C112" s="9" t="s">
        <v>108</v>
      </c>
      <c r="D112" s="9" t="s">
        <v>109</v>
      </c>
      <c r="E112" s="11">
        <v>1.7429899999999998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25">
        <f t="shared" si="15"/>
        <v>1.7429899999999998</v>
      </c>
      <c r="R112" s="46"/>
      <c r="S112" s="93"/>
    </row>
    <row r="113" spans="1:19" s="24" customFormat="1">
      <c r="A113" s="278"/>
      <c r="B113" s="37" t="s">
        <v>142</v>
      </c>
      <c r="C113" s="36" t="s">
        <v>109</v>
      </c>
      <c r="D113" s="38"/>
      <c r="E113" s="97">
        <f>SUM(E106:E112)</f>
        <v>115.16989000000001</v>
      </c>
      <c r="F113" s="97">
        <f t="shared" ref="F113:P113" si="16">SUM(F106:F112)</f>
        <v>114.33682248040888</v>
      </c>
      <c r="G113" s="97">
        <f t="shared" si="16"/>
        <v>104.53035001140138</v>
      </c>
      <c r="H113" s="97">
        <f t="shared" si="16"/>
        <v>105.61480673182199</v>
      </c>
      <c r="I113" s="97">
        <f t="shared" si="16"/>
        <v>111.61576960778966</v>
      </c>
      <c r="J113" s="97">
        <f t="shared" si="16"/>
        <v>107.92895329585137</v>
      </c>
      <c r="K113" s="97">
        <f t="shared" si="16"/>
        <v>100.07556861651663</v>
      </c>
      <c r="L113" s="97">
        <f t="shared" si="16"/>
        <v>100.55177109572848</v>
      </c>
      <c r="M113" s="97">
        <f t="shared" si="16"/>
        <v>105.38741652700493</v>
      </c>
      <c r="N113" s="97">
        <f t="shared" si="16"/>
        <v>98.798217549535778</v>
      </c>
      <c r="O113" s="97">
        <f t="shared" si="16"/>
        <v>97.220438968319954</v>
      </c>
      <c r="P113" s="97">
        <f t="shared" si="16"/>
        <v>95.692261593514075</v>
      </c>
      <c r="Q113" s="178">
        <f>SUM(Q106:Q112)</f>
        <v>1256.9222664778929</v>
      </c>
      <c r="R113" s="171"/>
      <c r="S113" s="93"/>
    </row>
    <row r="114" spans="1:19" outlineLevel="1">
      <c r="A114" s="278" t="s">
        <v>445</v>
      </c>
      <c r="B114" s="9">
        <v>6666020903</v>
      </c>
      <c r="C114" s="9" t="s">
        <v>110</v>
      </c>
      <c r="D114" s="9" t="s">
        <v>123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25">
        <f t="shared" ref="Q114:Q128" si="17">F114+E114+G114+H114+I114+J114+K114+L114+M114+N114+O114+P114</f>
        <v>0</v>
      </c>
      <c r="R114" s="46"/>
      <c r="S114" s="93"/>
    </row>
    <row r="115" spans="1:19" outlineLevel="1">
      <c r="A115" s="278" t="s">
        <v>445</v>
      </c>
      <c r="B115" s="9">
        <v>6666010302</v>
      </c>
      <c r="C115" s="9" t="s">
        <v>111</v>
      </c>
      <c r="D115" s="9" t="s">
        <v>123</v>
      </c>
      <c r="E115" s="11">
        <v>4.8017799999999999</v>
      </c>
      <c r="F115" s="11">
        <v>4.7122435001727698</v>
      </c>
      <c r="G115" s="11">
        <v>4.624380274948745</v>
      </c>
      <c r="H115" s="11">
        <v>4.556039679752458</v>
      </c>
      <c r="I115" s="11">
        <v>4.4887090440910926</v>
      </c>
      <c r="J115" s="11">
        <v>4.422373442454278</v>
      </c>
      <c r="K115" s="11">
        <v>4.3872752405300384</v>
      </c>
      <c r="L115" s="11">
        <v>4.352455595763927</v>
      </c>
      <c r="M115" s="11">
        <v>4.3179122973848481</v>
      </c>
      <c r="N115" s="11">
        <v>4.243648449518278</v>
      </c>
      <c r="O115" s="11">
        <v>4.1706618668484294</v>
      </c>
      <c r="P115" s="11">
        <v>4.0989305816692179</v>
      </c>
      <c r="Q115" s="25">
        <f t="shared" si="17"/>
        <v>53.176409973134078</v>
      </c>
      <c r="R115" s="46"/>
      <c r="S115" s="93"/>
    </row>
    <row r="116" spans="1:19" outlineLevel="1">
      <c r="A116" s="278" t="s">
        <v>445</v>
      </c>
      <c r="B116" s="9">
        <v>6666010314</v>
      </c>
      <c r="C116" s="9" t="s">
        <v>112</v>
      </c>
      <c r="D116" s="9" t="s">
        <v>123</v>
      </c>
      <c r="E116" s="11">
        <v>5.2773500000000002</v>
      </c>
      <c r="F116" s="11">
        <v>56.128807227537834</v>
      </c>
      <c r="G116" s="11">
        <v>1.622797049517783</v>
      </c>
      <c r="H116" s="11">
        <v>1.6034212806026367</v>
      </c>
      <c r="I116" s="11">
        <v>1.5708795202952031</v>
      </c>
      <c r="J116" s="11">
        <v>1.5396323688969262</v>
      </c>
      <c r="K116" s="11">
        <v>1.5096040780141846</v>
      </c>
      <c r="L116" s="11">
        <v>1.4884907342657343</v>
      </c>
      <c r="M116" s="11">
        <v>1.4679598275862071</v>
      </c>
      <c r="N116" s="11">
        <v>1.4479875850340138</v>
      </c>
      <c r="O116" s="11">
        <v>1.4244883720930235</v>
      </c>
      <c r="P116" s="11">
        <v>1.401739710240369</v>
      </c>
      <c r="Q116" s="25">
        <f t="shared" si="17"/>
        <v>76.483157754083919</v>
      </c>
      <c r="R116" s="46"/>
      <c r="S116" s="93"/>
    </row>
    <row r="117" spans="1:19" outlineLevel="1">
      <c r="A117" s="278" t="s">
        <v>445</v>
      </c>
      <c r="B117" s="9">
        <v>6666010315</v>
      </c>
      <c r="C117" s="9" t="s">
        <v>468</v>
      </c>
      <c r="D117" s="9" t="s">
        <v>123</v>
      </c>
      <c r="E117" s="11">
        <v>11.72316</v>
      </c>
      <c r="F117" s="11">
        <v>11.723163415257089</v>
      </c>
      <c r="G117" s="11">
        <v>11.504576462470158</v>
      </c>
      <c r="H117" s="11">
        <v>11.290065223228812</v>
      </c>
      <c r="I117" s="11">
        <v>11.123216968698339</v>
      </c>
      <c r="J117" s="11">
        <v>10.958834451919545</v>
      </c>
      <c r="K117" s="11">
        <v>10.796881233418272</v>
      </c>
      <c r="L117" s="11">
        <v>10.711191699819715</v>
      </c>
      <c r="M117" s="11">
        <v>10.626182241884637</v>
      </c>
      <c r="N117" s="11">
        <v>10.541847462187141</v>
      </c>
      <c r="O117" s="11">
        <v>10.360538046375567</v>
      </c>
      <c r="P117" s="11">
        <v>10.182346974324881</v>
      </c>
      <c r="Q117" s="25">
        <f t="shared" si="17"/>
        <v>131.54200417958415</v>
      </c>
      <c r="R117" s="46"/>
      <c r="S117" s="93"/>
    </row>
    <row r="118" spans="1:19" outlineLevel="1">
      <c r="A118" s="278" t="s">
        <v>445</v>
      </c>
      <c r="B118" s="9">
        <v>6666020401</v>
      </c>
      <c r="C118" s="9" t="s">
        <v>113</v>
      </c>
      <c r="D118" s="9" t="s">
        <v>123</v>
      </c>
      <c r="E118" s="11">
        <v>31.345740000000003</v>
      </c>
      <c r="F118" s="11">
        <v>33.727569636526511</v>
      </c>
      <c r="G118" s="11">
        <v>34.911769983050846</v>
      </c>
      <c r="H118" s="11">
        <v>32.648536320110701</v>
      </c>
      <c r="I118" s="11">
        <v>21.500431860759495</v>
      </c>
      <c r="J118" s="11">
        <v>32.955186175531914</v>
      </c>
      <c r="K118" s="11">
        <v>28.81432329606157</v>
      </c>
      <c r="L118" s="11">
        <v>27.234582136015327</v>
      </c>
      <c r="M118" s="11">
        <v>37.032860774518149</v>
      </c>
      <c r="N118" s="11">
        <v>32.950304000985255</v>
      </c>
      <c r="O118" s="11">
        <v>35.195866003320162</v>
      </c>
      <c r="P118" s="11">
        <v>28.04403648224671</v>
      </c>
      <c r="Q118" s="25">
        <f t="shared" si="17"/>
        <v>376.36120666912666</v>
      </c>
      <c r="R118" s="46"/>
      <c r="S118" s="93"/>
    </row>
    <row r="119" spans="1:19" outlineLevel="1">
      <c r="A119" s="278" t="s">
        <v>445</v>
      </c>
      <c r="B119" s="9">
        <v>6666020402</v>
      </c>
      <c r="C119" s="9" t="s">
        <v>114</v>
      </c>
      <c r="D119" s="9" t="s">
        <v>123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25">
        <f t="shared" si="17"/>
        <v>0</v>
      </c>
      <c r="R119" s="46"/>
      <c r="S119" s="93"/>
    </row>
    <row r="120" spans="1:19" outlineLevel="1">
      <c r="A120" s="278" t="s">
        <v>445</v>
      </c>
      <c r="B120" s="9">
        <v>6666020502</v>
      </c>
      <c r="C120" s="9" t="s">
        <v>115</v>
      </c>
      <c r="D120" s="9" t="s">
        <v>123</v>
      </c>
      <c r="E120" s="11">
        <v>22.043470000000003</v>
      </c>
      <c r="F120" s="11">
        <v>30.333120105083925</v>
      </c>
      <c r="G120" s="11">
        <v>31.271915716258626</v>
      </c>
      <c r="H120" s="11">
        <v>30.34687448124231</v>
      </c>
      <c r="I120" s="11">
        <v>20.819763150693191</v>
      </c>
      <c r="J120" s="11">
        <v>30.50621788356974</v>
      </c>
      <c r="K120" s="11">
        <v>27.090939869463867</v>
      </c>
      <c r="L120" s="11">
        <v>25.706649288505748</v>
      </c>
      <c r="M120" s="11">
        <v>34.049122243764174</v>
      </c>
      <c r="N120" s="11">
        <v>30.520537934303718</v>
      </c>
      <c r="O120" s="11">
        <v>31.493807799363406</v>
      </c>
      <c r="P120" s="11">
        <v>25.528687475827798</v>
      </c>
      <c r="Q120" s="25">
        <f t="shared" si="17"/>
        <v>339.71110594807652</v>
      </c>
      <c r="R120" s="46"/>
      <c r="S120" s="93"/>
    </row>
    <row r="121" spans="1:19" outlineLevel="1">
      <c r="A121" s="278" t="s">
        <v>445</v>
      </c>
      <c r="B121" s="9">
        <v>6666020503</v>
      </c>
      <c r="C121" s="9" t="s">
        <v>116</v>
      </c>
      <c r="D121" s="9" t="s">
        <v>123</v>
      </c>
      <c r="E121" s="11">
        <v>0.4098</v>
      </c>
      <c r="F121" s="11">
        <v>1.7454191545082491</v>
      </c>
      <c r="G121" s="11">
        <v>1.7128745382809121</v>
      </c>
      <c r="H121" s="11">
        <v>1.6875611214590267</v>
      </c>
      <c r="I121" s="11">
        <v>1.6626217945409132</v>
      </c>
      <c r="J121" s="11">
        <v>1.6380510291043482</v>
      </c>
      <c r="K121" s="11">
        <v>1.6250506241114564</v>
      </c>
      <c r="L121" s="11">
        <v>1.6121533969359687</v>
      </c>
      <c r="M121" s="11">
        <v>1.5993585287063181</v>
      </c>
      <c r="N121" s="11">
        <v>1.5718511338637031</v>
      </c>
      <c r="O121" s="11">
        <v>1.5448168391780863</v>
      </c>
      <c r="P121" s="11">
        <v>1.518247507791731</v>
      </c>
      <c r="Q121" s="25">
        <f t="shared" si="17"/>
        <v>18.32780566848071</v>
      </c>
      <c r="R121" s="46"/>
      <c r="S121" s="93"/>
    </row>
    <row r="122" spans="1:19" outlineLevel="1">
      <c r="A122" s="278" t="s">
        <v>445</v>
      </c>
      <c r="B122" s="9">
        <v>6666021500</v>
      </c>
      <c r="C122" s="9" t="s">
        <v>117</v>
      </c>
      <c r="D122" s="9" t="s">
        <v>123</v>
      </c>
      <c r="E122" s="11">
        <v>0</v>
      </c>
      <c r="F122" s="11">
        <v>10</v>
      </c>
      <c r="G122" s="11">
        <v>7</v>
      </c>
      <c r="H122" s="11">
        <v>7</v>
      </c>
      <c r="I122" s="11">
        <v>7</v>
      </c>
      <c r="J122" s="11">
        <v>7</v>
      </c>
      <c r="K122" s="11">
        <v>7</v>
      </c>
      <c r="L122" s="11">
        <v>7</v>
      </c>
      <c r="M122" s="11">
        <v>7</v>
      </c>
      <c r="N122" s="11">
        <v>7</v>
      </c>
      <c r="O122" s="11">
        <v>7</v>
      </c>
      <c r="P122" s="11">
        <v>6</v>
      </c>
      <c r="Q122" s="25">
        <f t="shared" si="17"/>
        <v>79</v>
      </c>
      <c r="R122" s="46"/>
      <c r="S122" s="93"/>
    </row>
    <row r="123" spans="1:19" outlineLevel="1">
      <c r="A123" s="278" t="s">
        <v>445</v>
      </c>
      <c r="B123" s="9">
        <v>6666021502</v>
      </c>
      <c r="C123" s="9" t="s">
        <v>118</v>
      </c>
      <c r="D123" s="9" t="s">
        <v>123</v>
      </c>
      <c r="E123" s="11">
        <v>19</v>
      </c>
      <c r="F123" s="11">
        <v>32.921247044270267</v>
      </c>
      <c r="G123" s="11">
        <v>32.307406324112144</v>
      </c>
      <c r="H123" s="11">
        <v>31.829956969568613</v>
      </c>
      <c r="I123" s="11">
        <v>31.359563516816372</v>
      </c>
      <c r="J123" s="11">
        <v>30.896121691444701</v>
      </c>
      <c r="K123" s="11">
        <v>30.650914376433231</v>
      </c>
      <c r="L123" s="11">
        <v>30.407653151223446</v>
      </c>
      <c r="M123" s="11">
        <v>30.166322570658181</v>
      </c>
      <c r="N123" s="11">
        <v>29.647491469934327</v>
      </c>
      <c r="O123" s="11">
        <v>29.137583754235209</v>
      </c>
      <c r="P123" s="11">
        <v>28.63644595010831</v>
      </c>
      <c r="Q123" s="25">
        <f t="shared" si="17"/>
        <v>356.96070681880485</v>
      </c>
      <c r="R123" s="46"/>
      <c r="S123" s="93"/>
    </row>
    <row r="124" spans="1:19" outlineLevel="1">
      <c r="A124" s="278" t="s">
        <v>445</v>
      </c>
      <c r="B124" s="9">
        <v>6666021503</v>
      </c>
      <c r="C124" s="9" t="s">
        <v>119</v>
      </c>
      <c r="D124" s="9" t="s">
        <v>123</v>
      </c>
      <c r="E124" s="11">
        <v>8.9554500000000008</v>
      </c>
      <c r="F124" s="11">
        <v>7.5</v>
      </c>
      <c r="G124" s="11">
        <v>7.5</v>
      </c>
      <c r="H124" s="11">
        <v>7.4999999999999991</v>
      </c>
      <c r="I124" s="11">
        <v>7.5</v>
      </c>
      <c r="J124" s="11">
        <v>7.5</v>
      </c>
      <c r="K124" s="11">
        <v>7.5</v>
      </c>
      <c r="L124" s="11">
        <v>7.5</v>
      </c>
      <c r="M124" s="11">
        <v>7.5000000000000009</v>
      </c>
      <c r="N124" s="11">
        <v>7.5</v>
      </c>
      <c r="O124" s="11">
        <v>7.5</v>
      </c>
      <c r="P124" s="11">
        <v>7.4999999999999991</v>
      </c>
      <c r="Q124" s="25">
        <f t="shared" si="17"/>
        <v>91.455449999999999</v>
      </c>
      <c r="R124" s="46"/>
      <c r="S124" s="93"/>
    </row>
    <row r="125" spans="1:19" outlineLevel="1">
      <c r="A125" s="278" t="s">
        <v>445</v>
      </c>
      <c r="B125" s="9">
        <v>6666021505</v>
      </c>
      <c r="C125" s="9" t="s">
        <v>120</v>
      </c>
      <c r="D125" s="9" t="s">
        <v>123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25">
        <f t="shared" si="17"/>
        <v>0</v>
      </c>
      <c r="R125" s="46"/>
      <c r="S125" s="93"/>
    </row>
    <row r="126" spans="1:19" outlineLevel="1">
      <c r="A126" s="278" t="s">
        <v>445</v>
      </c>
      <c r="B126" s="9">
        <v>6666021506</v>
      </c>
      <c r="C126" s="9" t="s">
        <v>121</v>
      </c>
      <c r="D126" s="9" t="s">
        <v>123</v>
      </c>
      <c r="E126" s="11">
        <v>52.065870000000004</v>
      </c>
      <c r="F126" s="11">
        <v>45.383788927990636</v>
      </c>
      <c r="G126" s="11">
        <v>44.537575002934879</v>
      </c>
      <c r="H126" s="11">
        <v>43.879384239344709</v>
      </c>
      <c r="I126" s="11">
        <v>43.230920432851939</v>
      </c>
      <c r="J126" s="11">
        <v>42.592039835322112</v>
      </c>
      <c r="K126" s="11">
        <v>42.254007773137012</v>
      </c>
      <c r="L126" s="11">
        <v>41.918658505096239</v>
      </c>
      <c r="M126" s="11">
        <v>41.585970739182777</v>
      </c>
      <c r="N126" s="11">
        <v>40.870732913201742</v>
      </c>
      <c r="O126" s="11">
        <v>40.167796474891148</v>
      </c>
      <c r="P126" s="11">
        <v>40.078430286897827</v>
      </c>
      <c r="Q126" s="25">
        <f t="shared" si="17"/>
        <v>518.565175130851</v>
      </c>
      <c r="R126" s="46"/>
      <c r="S126" s="93"/>
    </row>
    <row r="127" spans="1:19" outlineLevel="2">
      <c r="A127" s="278" t="s">
        <v>445</v>
      </c>
      <c r="B127" s="9">
        <v>6666030300</v>
      </c>
      <c r="C127" s="9" t="s">
        <v>72</v>
      </c>
      <c r="D127" s="9" t="s">
        <v>80</v>
      </c>
      <c r="E127" s="11">
        <v>7.7004999999999999</v>
      </c>
      <c r="F127" s="11">
        <v>6.7417400000000001</v>
      </c>
      <c r="G127" s="11">
        <v>6.6943599999999996</v>
      </c>
      <c r="H127" s="11">
        <v>6.6575100000000003</v>
      </c>
      <c r="I127" s="11">
        <v>6.6212</v>
      </c>
      <c r="J127" s="11">
        <v>6.5854200000000001</v>
      </c>
      <c r="K127" s="11">
        <v>6.5664899999999999</v>
      </c>
      <c r="L127" s="11">
        <v>6.54772</v>
      </c>
      <c r="M127" s="11">
        <v>6.5290900000000001</v>
      </c>
      <c r="N127" s="11">
        <v>6.4890400000000001</v>
      </c>
      <c r="O127" s="11">
        <v>6.4496799999999999</v>
      </c>
      <c r="P127" s="11">
        <v>6.41099</v>
      </c>
      <c r="Q127" s="25">
        <f t="shared" si="17"/>
        <v>79.993740000000003</v>
      </c>
      <c r="R127" s="46"/>
      <c r="S127" s="93"/>
    </row>
    <row r="128" spans="1:19" outlineLevel="1">
      <c r="A128" s="278" t="s">
        <v>445</v>
      </c>
      <c r="B128" s="9">
        <v>6666091600</v>
      </c>
      <c r="C128" s="9" t="s">
        <v>122</v>
      </c>
      <c r="D128" s="9" t="s">
        <v>123</v>
      </c>
      <c r="E128" s="11">
        <v>0.77779999999999994</v>
      </c>
      <c r="F128" s="11">
        <v>0.65664465665389593</v>
      </c>
      <c r="G128" s="11">
        <v>0.6444010369518115</v>
      </c>
      <c r="H128" s="11">
        <v>0.63487786891804099</v>
      </c>
      <c r="I128" s="11">
        <v>0.62549543735767599</v>
      </c>
      <c r="J128" s="11">
        <v>0.61625166242135565</v>
      </c>
      <c r="K128" s="11">
        <v>0.6113607762116624</v>
      </c>
      <c r="L128" s="11">
        <v>0.60650870655918876</v>
      </c>
      <c r="M128" s="11">
        <v>0.60169514539602065</v>
      </c>
      <c r="N128" s="11">
        <v>0.59134658024178932</v>
      </c>
      <c r="O128" s="11">
        <v>0.58117600023763061</v>
      </c>
      <c r="P128" s="11">
        <v>0.57118034421388753</v>
      </c>
      <c r="Q128" s="25">
        <f t="shared" si="17"/>
        <v>7.5187382151629603</v>
      </c>
      <c r="R128" s="46"/>
      <c r="S128" s="93"/>
    </row>
    <row r="129" spans="1:19" s="24" customFormat="1">
      <c r="A129" s="278"/>
      <c r="B129" s="37" t="s">
        <v>142</v>
      </c>
      <c r="C129" s="36" t="s">
        <v>123</v>
      </c>
      <c r="D129" s="38"/>
      <c r="E129" s="97">
        <f>SUM(E114:E128)</f>
        <v>164.10092000000003</v>
      </c>
      <c r="F129" s="97">
        <f t="shared" ref="F129:P129" si="18">SUM(F114:F128)</f>
        <v>241.57374366800116</v>
      </c>
      <c r="G129" s="97">
        <f t="shared" si="18"/>
        <v>184.33205638852593</v>
      </c>
      <c r="H129" s="97">
        <f t="shared" si="18"/>
        <v>179.63422718422731</v>
      </c>
      <c r="I129" s="97">
        <f t="shared" si="18"/>
        <v>157.5028017261042</v>
      </c>
      <c r="J129" s="97">
        <f t="shared" si="18"/>
        <v>177.21012854066493</v>
      </c>
      <c r="K129" s="97">
        <f t="shared" si="18"/>
        <v>168.80684726738127</v>
      </c>
      <c r="L129" s="97">
        <f t="shared" si="18"/>
        <v>165.08606321418529</v>
      </c>
      <c r="M129" s="97">
        <f t="shared" si="18"/>
        <v>182.4764743690813</v>
      </c>
      <c r="N129" s="97">
        <f t="shared" si="18"/>
        <v>173.37478752926995</v>
      </c>
      <c r="O129" s="97">
        <f t="shared" si="18"/>
        <v>175.02641515654267</v>
      </c>
      <c r="P129" s="97">
        <f t="shared" si="18"/>
        <v>159.97103531332073</v>
      </c>
      <c r="Q129" s="178">
        <f>SUM(Q114:Q128)</f>
        <v>2129.0955003573044</v>
      </c>
      <c r="R129" s="171"/>
      <c r="S129" s="93"/>
    </row>
    <row r="130" spans="1:19" s="34" customFormat="1">
      <c r="A130" s="279"/>
      <c r="B130" s="13"/>
      <c r="C130" s="13"/>
      <c r="D130" s="13" t="s">
        <v>139</v>
      </c>
      <c r="E130" s="27">
        <f>+E129+E113+E105+E97+E92+E89+E87+E85+E80+E28+E14+E23</f>
        <v>1179.7605199229888</v>
      </c>
      <c r="F130" s="27">
        <f t="shared" ref="F130:P130" si="19">+F129+F113+F105+F97+F92+F89+F87+F85+F80+F28+F14+F23</f>
        <v>1295.5309632315505</v>
      </c>
      <c r="G130" s="27">
        <f t="shared" si="19"/>
        <v>1239.4755679286338</v>
      </c>
      <c r="H130" s="27">
        <f t="shared" si="19"/>
        <v>1209.1883450480277</v>
      </c>
      <c r="I130" s="27">
        <f t="shared" si="19"/>
        <v>1274.884491970216</v>
      </c>
      <c r="J130" s="27">
        <f t="shared" si="19"/>
        <v>1257.4634713081125</v>
      </c>
      <c r="K130" s="27">
        <f t="shared" si="19"/>
        <v>1234.1011339144286</v>
      </c>
      <c r="L130" s="27">
        <f t="shared" si="19"/>
        <v>1217.9737699333241</v>
      </c>
      <c r="M130" s="27">
        <f t="shared" si="19"/>
        <v>1337.3969489995711</v>
      </c>
      <c r="N130" s="27">
        <f t="shared" si="19"/>
        <v>1258.0715887765059</v>
      </c>
      <c r="O130" s="27">
        <f t="shared" si="19"/>
        <v>1231.3849517317899</v>
      </c>
      <c r="P130" s="27">
        <f t="shared" si="19"/>
        <v>1295.7139189166787</v>
      </c>
      <c r="Q130" s="27">
        <f>+Q129+Q113+Q105+Q97+Q92+Q89+Q87+Q85+Q80+Q28+Q14+Q23</f>
        <v>15030.945671681824</v>
      </c>
      <c r="R130" s="30"/>
      <c r="S130" s="93"/>
    </row>
    <row r="131" spans="1:19"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8"/>
    </row>
    <row r="132" spans="1:19">
      <c r="E132" s="11"/>
      <c r="F132" s="11"/>
      <c r="G132" s="11"/>
      <c r="H132" s="50"/>
      <c r="I132" s="50"/>
      <c r="J132" s="50"/>
      <c r="K132" s="50"/>
      <c r="L132" s="50"/>
      <c r="M132" s="50"/>
      <c r="N132" s="50"/>
      <c r="O132" s="50"/>
      <c r="P132" s="50"/>
      <c r="Q132" s="11"/>
      <c r="R132" s="18"/>
    </row>
    <row r="133" spans="1:19"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8"/>
    </row>
    <row r="134" spans="1:19" outlineLevel="1">
      <c r="A134" s="281" t="s">
        <v>446</v>
      </c>
      <c r="B134" s="54">
        <v>6666110110</v>
      </c>
      <c r="C134" s="55" t="s">
        <v>18</v>
      </c>
      <c r="D134" s="55"/>
      <c r="E134" s="61">
        <v>7.0999999999999995E-3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3">
        <f>F134+E134+G134+H134+I134+J134+K134+L134+M134+N134+O134+P134</f>
        <v>7.0999999999999995E-3</v>
      </c>
      <c r="R134" s="28"/>
    </row>
    <row r="135" spans="1:19" outlineLevel="1">
      <c r="A135" s="281" t="s">
        <v>446</v>
      </c>
      <c r="B135" s="56">
        <v>6666110112</v>
      </c>
      <c r="C135" t="s">
        <v>19</v>
      </c>
      <c r="E135" s="62">
        <v>3.9500000000000004E-3</v>
      </c>
      <c r="F135" s="62">
        <v>0.27989514529563786</v>
      </c>
      <c r="G135" s="62">
        <v>0.27989514529563786</v>
      </c>
      <c r="H135" s="62">
        <v>0.27989514529563786</v>
      </c>
      <c r="I135" s="62">
        <v>0.27989514529563786</v>
      </c>
      <c r="J135" s="62">
        <v>0.27989514529563786</v>
      </c>
      <c r="K135" s="62">
        <v>0.27989514529563786</v>
      </c>
      <c r="L135" s="62">
        <v>0.27989514529563786</v>
      </c>
      <c r="M135" s="62">
        <v>0.27989514529563786</v>
      </c>
      <c r="N135" s="62">
        <v>0.27989514529563786</v>
      </c>
      <c r="O135" s="62">
        <v>0.27989514529563786</v>
      </c>
      <c r="P135" s="62">
        <v>0.27989514529563786</v>
      </c>
      <c r="Q135" s="64">
        <f>F135+E135+G135+H135+I135+J135+K135+L135+M135+N135+O135+P135</f>
        <v>3.0827965982520174</v>
      </c>
      <c r="R135" s="26"/>
    </row>
    <row r="136" spans="1:19" outlineLevel="1">
      <c r="A136" s="281" t="s">
        <v>446</v>
      </c>
      <c r="B136" s="56">
        <v>6666110207</v>
      </c>
      <c r="C136" t="s">
        <v>21</v>
      </c>
      <c r="E136" s="62">
        <v>1.3000000000000002E-4</v>
      </c>
      <c r="F136" s="62">
        <v>0</v>
      </c>
      <c r="G136" s="62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25">
        <f>F136+E136+G136+H136+I136+J136+K136+L136+M136+N136+O136+P136</f>
        <v>1.3000000000000002E-4</v>
      </c>
      <c r="R136" s="26"/>
    </row>
    <row r="137" spans="1:19" outlineLevel="1">
      <c r="A137" s="281" t="s">
        <v>446</v>
      </c>
      <c r="B137" s="56">
        <v>6666110506</v>
      </c>
      <c r="C137" t="s">
        <v>22</v>
      </c>
      <c r="E137" s="62">
        <v>7.2699999999999996E-3</v>
      </c>
      <c r="F137" s="62">
        <v>0</v>
      </c>
      <c r="G137" s="62">
        <v>0</v>
      </c>
      <c r="H137" s="62">
        <v>0</v>
      </c>
      <c r="I137" s="62">
        <v>0</v>
      </c>
      <c r="J137" s="62">
        <v>0</v>
      </c>
      <c r="K137" s="62">
        <v>0</v>
      </c>
      <c r="L137" s="62">
        <v>0</v>
      </c>
      <c r="M137" s="62">
        <v>0</v>
      </c>
      <c r="N137" s="62">
        <v>0</v>
      </c>
      <c r="O137" s="62">
        <v>0</v>
      </c>
      <c r="P137" s="62">
        <v>0</v>
      </c>
      <c r="Q137" s="25">
        <f>F137+E137+G137+H137+I137+J137+K137+L137+M137+N137+O137+P137</f>
        <v>7.2699999999999996E-3</v>
      </c>
      <c r="R137" s="321"/>
    </row>
    <row r="138" spans="1:19">
      <c r="A138" s="281"/>
      <c r="B138" s="36" t="s">
        <v>131</v>
      </c>
      <c r="C138" s="36" t="s">
        <v>23</v>
      </c>
      <c r="D138" s="38"/>
      <c r="E138" s="22">
        <f>SUM(E134:E137)</f>
        <v>1.8450000000000001E-2</v>
      </c>
      <c r="F138" s="22">
        <f t="shared" ref="F138:P138" si="20">SUM(F134:F137)</f>
        <v>0.27989514529563786</v>
      </c>
      <c r="G138" s="22">
        <f t="shared" si="20"/>
        <v>0.27989514529563786</v>
      </c>
      <c r="H138" s="22">
        <f t="shared" si="20"/>
        <v>0.27989514529563786</v>
      </c>
      <c r="I138" s="22">
        <f t="shared" si="20"/>
        <v>0.27989514529563786</v>
      </c>
      <c r="J138" s="22">
        <f t="shared" si="20"/>
        <v>0.27989514529563786</v>
      </c>
      <c r="K138" s="22">
        <f t="shared" si="20"/>
        <v>0.27989514529563786</v>
      </c>
      <c r="L138" s="22">
        <f t="shared" si="20"/>
        <v>0.27989514529563786</v>
      </c>
      <c r="M138" s="22">
        <f t="shared" si="20"/>
        <v>0.27989514529563786</v>
      </c>
      <c r="N138" s="22">
        <f t="shared" si="20"/>
        <v>0.27989514529563786</v>
      </c>
      <c r="O138" s="22">
        <f t="shared" si="20"/>
        <v>0.27989514529563786</v>
      </c>
      <c r="P138" s="22">
        <f t="shared" si="20"/>
        <v>0.27989514529563786</v>
      </c>
      <c r="Q138" s="22">
        <f>SUM(Q134:Q137)</f>
        <v>3.0972965982520173</v>
      </c>
      <c r="R138" s="23"/>
    </row>
    <row r="139" spans="1:19">
      <c r="A139" s="281" t="s">
        <v>446</v>
      </c>
      <c r="B139" s="293">
        <v>6666010380</v>
      </c>
      <c r="C139" s="1" t="s">
        <v>25</v>
      </c>
      <c r="D139" s="24"/>
      <c r="E139" s="290">
        <v>0</v>
      </c>
      <c r="F139" s="290">
        <v>0</v>
      </c>
      <c r="G139" s="290">
        <v>0</v>
      </c>
      <c r="H139" s="290">
        <v>0</v>
      </c>
      <c r="I139" s="290">
        <v>0</v>
      </c>
      <c r="J139" s="290">
        <v>0</v>
      </c>
      <c r="K139" s="290">
        <v>0</v>
      </c>
      <c r="L139" s="290">
        <v>0</v>
      </c>
      <c r="M139" s="290">
        <v>0</v>
      </c>
      <c r="N139" s="290">
        <v>0</v>
      </c>
      <c r="O139" s="290">
        <v>0</v>
      </c>
      <c r="P139" s="290">
        <v>0</v>
      </c>
      <c r="Q139" s="25">
        <f>F139+E139+G139+H139+I139+J139+K139+L139+M139+N139+O139+P139</f>
        <v>0</v>
      </c>
      <c r="R139" s="26"/>
    </row>
    <row r="140" spans="1:19" outlineLevel="1">
      <c r="A140" s="281" t="s">
        <v>446</v>
      </c>
      <c r="B140" s="56">
        <v>5102040406</v>
      </c>
      <c r="C140" t="s">
        <v>168</v>
      </c>
      <c r="E140" s="62">
        <v>0</v>
      </c>
      <c r="F140" s="62">
        <v>0</v>
      </c>
      <c r="G140" s="62">
        <v>0</v>
      </c>
      <c r="H140" s="62">
        <v>0</v>
      </c>
      <c r="I140" s="62">
        <v>0</v>
      </c>
      <c r="J140" s="62">
        <v>0</v>
      </c>
      <c r="K140" s="62">
        <v>0</v>
      </c>
      <c r="L140" s="62">
        <v>0</v>
      </c>
      <c r="M140" s="62">
        <v>0</v>
      </c>
      <c r="N140" s="62">
        <v>0</v>
      </c>
      <c r="O140" s="62">
        <v>0</v>
      </c>
      <c r="P140" s="62">
        <v>0</v>
      </c>
      <c r="Q140" s="25">
        <f>F140+E140+G140+H140+I140+J140+K140+L140+M140+N140+O140+P140</f>
        <v>0</v>
      </c>
      <c r="R140" s="26"/>
    </row>
    <row r="141" spans="1:19">
      <c r="A141" s="281"/>
      <c r="B141" s="36" t="s">
        <v>132</v>
      </c>
      <c r="C141" s="36" t="s">
        <v>32</v>
      </c>
      <c r="D141" s="38"/>
      <c r="E141" s="22">
        <f>+E140+E139</f>
        <v>0</v>
      </c>
      <c r="F141" s="22">
        <f t="shared" ref="F141:P141" si="21">+F140+F139</f>
        <v>0</v>
      </c>
      <c r="G141" s="22">
        <f t="shared" si="21"/>
        <v>0</v>
      </c>
      <c r="H141" s="22">
        <f t="shared" si="21"/>
        <v>0</v>
      </c>
      <c r="I141" s="22">
        <f t="shared" si="21"/>
        <v>0</v>
      </c>
      <c r="J141" s="22">
        <f t="shared" si="21"/>
        <v>0</v>
      </c>
      <c r="K141" s="22">
        <f t="shared" si="21"/>
        <v>0</v>
      </c>
      <c r="L141" s="22">
        <f t="shared" si="21"/>
        <v>0</v>
      </c>
      <c r="M141" s="22">
        <f t="shared" si="21"/>
        <v>0</v>
      </c>
      <c r="N141" s="22">
        <f t="shared" si="21"/>
        <v>0</v>
      </c>
      <c r="O141" s="22">
        <f t="shared" si="21"/>
        <v>0</v>
      </c>
      <c r="P141" s="22">
        <f t="shared" si="21"/>
        <v>0</v>
      </c>
      <c r="Q141" s="22">
        <f>+Q140+Q139</f>
        <v>0</v>
      </c>
      <c r="R141" s="23"/>
    </row>
    <row r="142" spans="1:19" outlineLevel="2">
      <c r="A142" s="281" t="s">
        <v>446</v>
      </c>
      <c r="B142" s="56">
        <v>6666029996</v>
      </c>
      <c r="C142" t="s">
        <v>169</v>
      </c>
      <c r="E142" s="62">
        <v>7.8269999999999992E-2</v>
      </c>
      <c r="F142" s="62">
        <v>0</v>
      </c>
      <c r="G142" s="62">
        <v>0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v>0</v>
      </c>
      <c r="P142" s="62">
        <v>0</v>
      </c>
      <c r="Q142" s="64">
        <f t="shared" ref="Q142:Q164" si="22">F142+E142+G142+H142+I142+J142+K142+L142+M142+N142+O142+P142</f>
        <v>7.8269999999999992E-2</v>
      </c>
      <c r="R142" s="26"/>
    </row>
    <row r="143" spans="1:19">
      <c r="A143" s="281" t="s">
        <v>446</v>
      </c>
      <c r="B143" s="56">
        <v>6666029700</v>
      </c>
      <c r="C143" s="275" t="s">
        <v>38</v>
      </c>
      <c r="E143" s="62">
        <v>71.700729999999993</v>
      </c>
      <c r="F143" s="62">
        <v>-7.096369031900001</v>
      </c>
      <c r="G143" s="62">
        <v>9.5006269195634019</v>
      </c>
      <c r="H143" s="62">
        <v>10.144626919563372</v>
      </c>
      <c r="I143" s="62">
        <v>10.144626919563402</v>
      </c>
      <c r="J143" s="62">
        <v>10.144626919563402</v>
      </c>
      <c r="K143" s="62">
        <v>10.14462691956343</v>
      </c>
      <c r="L143" s="62">
        <v>10.144626919563402</v>
      </c>
      <c r="M143" s="62">
        <v>10.144626919563402</v>
      </c>
      <c r="N143" s="62">
        <v>10.144626919563402</v>
      </c>
      <c r="O143" s="62">
        <v>10.144626919563402</v>
      </c>
      <c r="P143" s="62">
        <v>-8.1973690318178818</v>
      </c>
      <c r="Q143" s="64">
        <f t="shared" si="22"/>
        <v>147.06463421235273</v>
      </c>
      <c r="R143" s="26"/>
    </row>
    <row r="144" spans="1:19" outlineLevel="3">
      <c r="A144" s="281" t="s">
        <v>446</v>
      </c>
      <c r="B144" s="56">
        <v>6666010322</v>
      </c>
      <c r="C144" t="s">
        <v>39</v>
      </c>
      <c r="E144" s="62">
        <v>0.26835000000000003</v>
      </c>
      <c r="F144" s="62">
        <v>2.9365637814514014</v>
      </c>
      <c r="G144" s="62">
        <v>2.9365637814514014</v>
      </c>
      <c r="H144" s="62">
        <v>2.9365637814514014</v>
      </c>
      <c r="I144" s="62">
        <v>2.9365637814514014</v>
      </c>
      <c r="J144" s="62">
        <v>2.9365637814514014</v>
      </c>
      <c r="K144" s="62">
        <v>2.9365637814514014</v>
      </c>
      <c r="L144" s="62">
        <v>2.9365637814514014</v>
      </c>
      <c r="M144" s="62">
        <v>2.9365637814514014</v>
      </c>
      <c r="N144" s="62">
        <v>2.9365637814514014</v>
      </c>
      <c r="O144" s="62">
        <v>2.9365637814514014</v>
      </c>
      <c r="P144" s="62">
        <v>2.9365637814514014</v>
      </c>
      <c r="Q144" s="64">
        <f t="shared" si="22"/>
        <v>32.570551595965412</v>
      </c>
      <c r="R144" s="26"/>
    </row>
    <row r="145" spans="1:18" outlineLevel="3">
      <c r="A145" s="281" t="s">
        <v>446</v>
      </c>
      <c r="B145" s="56">
        <v>6666020495</v>
      </c>
      <c r="C145" t="s">
        <v>40</v>
      </c>
      <c r="E145" s="62">
        <v>1.8769999999999998E-2</v>
      </c>
      <c r="F145" s="62">
        <v>0</v>
      </c>
      <c r="G145" s="62">
        <v>0</v>
      </c>
      <c r="H145" s="62">
        <v>0</v>
      </c>
      <c r="I145" s="62">
        <v>0</v>
      </c>
      <c r="J145" s="62">
        <v>0</v>
      </c>
      <c r="K145" s="62">
        <v>0</v>
      </c>
      <c r="L145" s="62">
        <v>0</v>
      </c>
      <c r="M145" s="62">
        <v>0</v>
      </c>
      <c r="N145" s="62">
        <v>0</v>
      </c>
      <c r="O145" s="62">
        <v>0</v>
      </c>
      <c r="P145" s="62">
        <v>0</v>
      </c>
      <c r="Q145" s="64">
        <f t="shared" si="22"/>
        <v>1.8769999999999998E-2</v>
      </c>
      <c r="R145" s="26"/>
    </row>
    <row r="146" spans="1:18" outlineLevel="3">
      <c r="A146" s="281" t="s">
        <v>446</v>
      </c>
      <c r="B146" s="56">
        <v>5301999999</v>
      </c>
      <c r="C146" s="1" t="s">
        <v>47</v>
      </c>
      <c r="E146" s="62">
        <v>-0.29908999999999997</v>
      </c>
      <c r="F146" s="62">
        <v>0</v>
      </c>
      <c r="G146" s="62">
        <v>0</v>
      </c>
      <c r="H146" s="62">
        <v>0</v>
      </c>
      <c r="I146" s="62">
        <v>0</v>
      </c>
      <c r="J146" s="62">
        <v>0</v>
      </c>
      <c r="K146" s="62">
        <v>0</v>
      </c>
      <c r="L146" s="62">
        <v>0</v>
      </c>
      <c r="M146" s="62">
        <v>0</v>
      </c>
      <c r="N146" s="62">
        <v>0</v>
      </c>
      <c r="O146" s="62">
        <v>0</v>
      </c>
      <c r="P146" s="62">
        <v>0</v>
      </c>
      <c r="Q146" s="64">
        <f t="shared" si="22"/>
        <v>-0.29908999999999997</v>
      </c>
      <c r="R146" s="26"/>
    </row>
    <row r="147" spans="1:18" outlineLevel="3">
      <c r="A147" s="281" t="s">
        <v>446</v>
      </c>
      <c r="B147" s="56">
        <v>5301060000</v>
      </c>
      <c r="C147" t="s">
        <v>46</v>
      </c>
      <c r="E147" s="62">
        <v>0</v>
      </c>
      <c r="F147" s="62">
        <v>0</v>
      </c>
      <c r="G147" s="62">
        <v>0</v>
      </c>
      <c r="H147" s="62">
        <v>0</v>
      </c>
      <c r="I147" s="62">
        <v>0</v>
      </c>
      <c r="J147" s="62">
        <v>0</v>
      </c>
      <c r="K147" s="62">
        <v>0</v>
      </c>
      <c r="L147" s="62">
        <v>0</v>
      </c>
      <c r="M147" s="62">
        <v>0</v>
      </c>
      <c r="N147" s="62">
        <v>0</v>
      </c>
      <c r="O147" s="62">
        <v>0</v>
      </c>
      <c r="P147" s="62">
        <v>0</v>
      </c>
      <c r="Q147" s="64">
        <f t="shared" si="22"/>
        <v>0</v>
      </c>
      <c r="R147" s="26"/>
    </row>
    <row r="148" spans="1:18" outlineLevel="3">
      <c r="A148" s="281" t="s">
        <v>446</v>
      </c>
      <c r="B148" s="56">
        <v>5601050000</v>
      </c>
      <c r="C148" t="s">
        <v>49</v>
      </c>
      <c r="E148" s="62">
        <v>4.5199999999999997E-3</v>
      </c>
      <c r="F148" s="62">
        <v>0</v>
      </c>
      <c r="G148" s="62">
        <v>0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  <c r="M148" s="62">
        <v>0</v>
      </c>
      <c r="N148" s="62">
        <v>0</v>
      </c>
      <c r="O148" s="62">
        <v>0</v>
      </c>
      <c r="P148" s="62">
        <v>0</v>
      </c>
      <c r="Q148" s="64">
        <f t="shared" si="22"/>
        <v>4.5199999999999997E-3</v>
      </c>
      <c r="R148" s="26"/>
    </row>
    <row r="149" spans="1:18" outlineLevel="3">
      <c r="A149" s="281" t="s">
        <v>446</v>
      </c>
      <c r="B149" s="56">
        <v>5601050100</v>
      </c>
      <c r="C149" t="s">
        <v>50</v>
      </c>
      <c r="E149" s="62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2">
        <v>0</v>
      </c>
      <c r="P149" s="62">
        <v>0</v>
      </c>
      <c r="Q149" s="64">
        <f t="shared" si="22"/>
        <v>0</v>
      </c>
      <c r="R149" s="26"/>
    </row>
    <row r="150" spans="1:18">
      <c r="A150" s="281" t="s">
        <v>446</v>
      </c>
      <c r="B150" s="56">
        <v>5601080000</v>
      </c>
      <c r="C150" t="s">
        <v>170</v>
      </c>
      <c r="E150" s="62">
        <v>0.82921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4">
        <f t="shared" si="22"/>
        <v>0.82921</v>
      </c>
      <c r="R150" s="26"/>
    </row>
    <row r="151" spans="1:18">
      <c r="A151" s="281" t="s">
        <v>446</v>
      </c>
      <c r="B151" s="56">
        <v>6666020101</v>
      </c>
      <c r="C151" t="s">
        <v>52</v>
      </c>
      <c r="E151" s="62">
        <v>0</v>
      </c>
      <c r="F151" s="62">
        <v>0</v>
      </c>
      <c r="G151" s="62">
        <v>0.75516464632609037</v>
      </c>
      <c r="H151" s="62">
        <v>0</v>
      </c>
      <c r="I151" s="62">
        <v>0.75516464632609037</v>
      </c>
      <c r="J151" s="62">
        <v>0.75516464632609037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6.7960000000000003</v>
      </c>
      <c r="Q151" s="64">
        <f t="shared" si="22"/>
        <v>9.0614939389782716</v>
      </c>
      <c r="R151" s="26"/>
    </row>
    <row r="152" spans="1:18" outlineLevel="1">
      <c r="A152" s="281" t="s">
        <v>446</v>
      </c>
      <c r="B152" s="56">
        <v>6666020201</v>
      </c>
      <c r="C152" t="s">
        <v>53</v>
      </c>
      <c r="E152" s="62">
        <v>1.091E-2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v>0</v>
      </c>
      <c r="P152" s="62">
        <v>0</v>
      </c>
      <c r="Q152" s="64">
        <f t="shared" si="22"/>
        <v>1.091E-2</v>
      </c>
      <c r="R152" s="26"/>
    </row>
    <row r="153" spans="1:18" outlineLevel="1">
      <c r="A153" s="281" t="s">
        <v>446</v>
      </c>
      <c r="B153" s="56">
        <v>6666020202</v>
      </c>
      <c r="C153" t="s">
        <v>54</v>
      </c>
      <c r="E153" s="62">
        <v>0</v>
      </c>
      <c r="F153" s="62">
        <v>0.92789535591941186</v>
      </c>
      <c r="G153" s="62">
        <v>0.92789535591941186</v>
      </c>
      <c r="H153" s="62">
        <v>0.92789535591941186</v>
      </c>
      <c r="I153" s="62">
        <v>0.92789535591941186</v>
      </c>
      <c r="J153" s="62">
        <v>0.92789535591941186</v>
      </c>
      <c r="K153" s="62">
        <v>0.92789535591941186</v>
      </c>
      <c r="L153" s="62">
        <v>0.92789535591941186</v>
      </c>
      <c r="M153" s="62">
        <v>0.92789535591941186</v>
      </c>
      <c r="N153" s="62">
        <v>0.92789535591941186</v>
      </c>
      <c r="O153" s="62">
        <v>0.92789535591941186</v>
      </c>
      <c r="P153" s="62">
        <v>0.92789535591941186</v>
      </c>
      <c r="Q153" s="64">
        <f t="shared" si="22"/>
        <v>10.206848915113531</v>
      </c>
      <c r="R153" s="26"/>
    </row>
    <row r="154" spans="1:18" outlineLevel="1">
      <c r="A154" s="281" t="s">
        <v>446</v>
      </c>
      <c r="B154" s="56">
        <v>6666020204</v>
      </c>
      <c r="C154" t="s">
        <v>55</v>
      </c>
      <c r="E154" s="62">
        <v>0.12303</v>
      </c>
      <c r="F154" s="62">
        <v>0.51275109559936671</v>
      </c>
      <c r="G154" s="62">
        <v>0.51275109559936671</v>
      </c>
      <c r="H154" s="62">
        <v>0.51275109559936671</v>
      </c>
      <c r="I154" s="62">
        <v>0.51275109559936671</v>
      </c>
      <c r="J154" s="62">
        <v>0.51275109559936671</v>
      </c>
      <c r="K154" s="62">
        <v>0.51275109559936671</v>
      </c>
      <c r="L154" s="62">
        <v>0.51275109559936671</v>
      </c>
      <c r="M154" s="62">
        <v>0.51275109559936671</v>
      </c>
      <c r="N154" s="62">
        <v>0.51275109559936671</v>
      </c>
      <c r="O154" s="62">
        <v>0.51275109559936671</v>
      </c>
      <c r="P154" s="62">
        <v>0.51275109559936671</v>
      </c>
      <c r="Q154" s="64">
        <f t="shared" si="22"/>
        <v>5.7632920515930328</v>
      </c>
      <c r="R154" s="26"/>
    </row>
    <row r="155" spans="1:18" outlineLevel="1">
      <c r="A155" s="281" t="s">
        <v>446</v>
      </c>
      <c r="B155" s="56">
        <v>6666020301</v>
      </c>
      <c r="C155" t="s">
        <v>143</v>
      </c>
      <c r="E155" s="62">
        <v>1.5050000000000001E-2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4">
        <f t="shared" si="22"/>
        <v>1.5050000000000001E-2</v>
      </c>
      <c r="R155" s="26"/>
    </row>
    <row r="156" spans="1:18" outlineLevel="1">
      <c r="A156" s="281" t="s">
        <v>446</v>
      </c>
      <c r="B156" s="56">
        <v>6666020403</v>
      </c>
      <c r="C156" t="s">
        <v>401</v>
      </c>
      <c r="E156" s="62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4">
        <f t="shared" si="22"/>
        <v>0</v>
      </c>
      <c r="R156" s="26"/>
    </row>
    <row r="157" spans="1:18" outlineLevel="1">
      <c r="A157" s="281" t="s">
        <v>446</v>
      </c>
      <c r="B157" s="56">
        <v>6666020504</v>
      </c>
      <c r="C157" s="1" t="s">
        <v>60</v>
      </c>
      <c r="E157" s="62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4">
        <f t="shared" si="22"/>
        <v>0</v>
      </c>
      <c r="R157" s="26"/>
    </row>
    <row r="158" spans="1:18" outlineLevel="1">
      <c r="A158" s="281" t="s">
        <v>446</v>
      </c>
      <c r="B158" s="56">
        <v>6666020508</v>
      </c>
      <c r="C158" t="s">
        <v>61</v>
      </c>
      <c r="E158" s="62">
        <v>1.704E-2</v>
      </c>
      <c r="F158" s="62">
        <v>2.0963003872728463E-2</v>
      </c>
      <c r="G158" s="62">
        <v>2.0963003872728463E-2</v>
      </c>
      <c r="H158" s="62">
        <v>2.0963003872728463E-2</v>
      </c>
      <c r="I158" s="62">
        <v>2.0963003872728463E-2</v>
      </c>
      <c r="J158" s="62">
        <v>2.0963003872728463E-2</v>
      </c>
      <c r="K158" s="62">
        <v>2.0963003872728463E-2</v>
      </c>
      <c r="L158" s="62">
        <v>2.0963003872728463E-2</v>
      </c>
      <c r="M158" s="62">
        <v>2.0963003872728463E-2</v>
      </c>
      <c r="N158" s="62">
        <v>2.0963003872728463E-2</v>
      </c>
      <c r="O158" s="62">
        <v>2.0963003872728463E-2</v>
      </c>
      <c r="P158" s="62">
        <v>2.0963003872728463E-2</v>
      </c>
      <c r="Q158" s="64">
        <f t="shared" si="22"/>
        <v>0.24763304260001306</v>
      </c>
      <c r="R158" s="26"/>
    </row>
    <row r="159" spans="1:18" outlineLevel="1">
      <c r="A159" s="281" t="s">
        <v>446</v>
      </c>
      <c r="B159" s="56">
        <v>6666020602</v>
      </c>
      <c r="C159" t="s">
        <v>62</v>
      </c>
      <c r="E159" s="62">
        <v>-2.2339999999999999E-2</v>
      </c>
      <c r="F159" s="62">
        <v>0</v>
      </c>
      <c r="G159" s="62">
        <v>0</v>
      </c>
      <c r="H159" s="62">
        <v>0</v>
      </c>
      <c r="I159" s="62">
        <v>0</v>
      </c>
      <c r="J159" s="62">
        <v>0</v>
      </c>
      <c r="K159" s="62">
        <v>0</v>
      </c>
      <c r="L159" s="62">
        <v>0</v>
      </c>
      <c r="M159" s="62">
        <v>0</v>
      </c>
      <c r="N159" s="62">
        <v>0</v>
      </c>
      <c r="O159" s="62">
        <v>0</v>
      </c>
      <c r="P159" s="62">
        <v>0</v>
      </c>
      <c r="Q159" s="64">
        <f t="shared" si="22"/>
        <v>-2.2339999999999999E-2</v>
      </c>
      <c r="R159" s="26"/>
    </row>
    <row r="160" spans="1:18">
      <c r="A160" s="281" t="s">
        <v>446</v>
      </c>
      <c r="B160" s="56">
        <v>6666020701</v>
      </c>
      <c r="C160" t="s">
        <v>63</v>
      </c>
      <c r="E160" s="62">
        <v>19.231279999999998</v>
      </c>
      <c r="F160" s="62">
        <v>19.231279999999998</v>
      </c>
      <c r="G160" s="62">
        <v>19.231279999999998</v>
      </c>
      <c r="H160" s="62">
        <v>19.231279999999998</v>
      </c>
      <c r="I160" s="62">
        <v>19.231279999999998</v>
      </c>
      <c r="J160" s="62">
        <v>19.231279999999998</v>
      </c>
      <c r="K160" s="62">
        <v>19.231279999999998</v>
      </c>
      <c r="L160" s="62">
        <v>19.231279999999998</v>
      </c>
      <c r="M160" s="62">
        <v>19.231279999999998</v>
      </c>
      <c r="N160" s="62">
        <v>19.231279999999998</v>
      </c>
      <c r="O160" s="62">
        <v>19.231279999999998</v>
      </c>
      <c r="P160" s="62">
        <v>19.231279999999998</v>
      </c>
      <c r="Q160" s="64">
        <f t="shared" si="22"/>
        <v>230.77535999999998</v>
      </c>
      <c r="R160" s="26"/>
    </row>
    <row r="161" spans="1:18">
      <c r="A161" s="281" t="s">
        <v>446</v>
      </c>
      <c r="B161" s="56">
        <v>6666020801</v>
      </c>
      <c r="C161" t="s">
        <v>144</v>
      </c>
      <c r="E161" s="62">
        <v>2.777E-2</v>
      </c>
      <c r="F161" s="62">
        <v>0.92241666666666666</v>
      </c>
      <c r="G161" s="62">
        <v>0.92241666666666666</v>
      </c>
      <c r="H161" s="62">
        <v>0.92241666666666666</v>
      </c>
      <c r="I161" s="62">
        <v>0.92241666666666666</v>
      </c>
      <c r="J161" s="62">
        <v>0.92241666666666666</v>
      </c>
      <c r="K161" s="62">
        <v>0.92241666666666666</v>
      </c>
      <c r="L161" s="62">
        <v>0.92241666666666666</v>
      </c>
      <c r="M161" s="62">
        <v>0.92241666666666666</v>
      </c>
      <c r="N161" s="62">
        <v>0.92241666666666666</v>
      </c>
      <c r="O161" s="62">
        <v>0.92241666666666666</v>
      </c>
      <c r="P161" s="62">
        <v>0.92241666666666666</v>
      </c>
      <c r="Q161" s="64">
        <f t="shared" si="22"/>
        <v>10.174353333333334</v>
      </c>
      <c r="R161" s="26"/>
    </row>
    <row r="162" spans="1:18" outlineLevel="3">
      <c r="A162" s="281" t="s">
        <v>446</v>
      </c>
      <c r="B162" s="56">
        <v>6666020803</v>
      </c>
      <c r="C162" t="s">
        <v>65</v>
      </c>
      <c r="E162" s="62">
        <v>0.64084000000000008</v>
      </c>
      <c r="F162" s="62">
        <v>0</v>
      </c>
      <c r="G162" s="62">
        <v>0</v>
      </c>
      <c r="H162" s="62">
        <v>0</v>
      </c>
      <c r="I162" s="62">
        <v>0</v>
      </c>
      <c r="J162" s="62">
        <v>0</v>
      </c>
      <c r="K162" s="62">
        <v>0</v>
      </c>
      <c r="L162" s="62">
        <v>0</v>
      </c>
      <c r="M162" s="62">
        <v>0</v>
      </c>
      <c r="N162" s="62">
        <v>0</v>
      </c>
      <c r="O162" s="62">
        <v>0</v>
      </c>
      <c r="P162" s="62">
        <v>0</v>
      </c>
      <c r="Q162" s="64">
        <f t="shared" si="22"/>
        <v>0.64084000000000008</v>
      </c>
      <c r="R162" s="26"/>
    </row>
    <row r="163" spans="1:18" outlineLevel="3">
      <c r="A163" s="281" t="s">
        <v>446</v>
      </c>
      <c r="B163" s="56">
        <v>6666021100</v>
      </c>
      <c r="C163" t="s">
        <v>66</v>
      </c>
      <c r="E163" s="62">
        <v>1.4211800000000001</v>
      </c>
      <c r="F163" s="62">
        <v>1.0563679613588433</v>
      </c>
      <c r="G163" s="62">
        <v>1.0563679613588433</v>
      </c>
      <c r="H163" s="62">
        <v>1.0563679613588433</v>
      </c>
      <c r="I163" s="62">
        <v>1.0563679613588433</v>
      </c>
      <c r="J163" s="62">
        <v>1.0563679613588433</v>
      </c>
      <c r="K163" s="62">
        <v>1.0563679613588433</v>
      </c>
      <c r="L163" s="62">
        <v>1.0563679613588433</v>
      </c>
      <c r="M163" s="62">
        <v>1.0563679613588433</v>
      </c>
      <c r="N163" s="62">
        <v>1.0563679613588433</v>
      </c>
      <c r="O163" s="62">
        <v>1.0563679613588433</v>
      </c>
      <c r="P163" s="62">
        <v>1.0563679613588433</v>
      </c>
      <c r="Q163" s="64">
        <f t="shared" si="22"/>
        <v>13.041227574947275</v>
      </c>
      <c r="R163" s="26"/>
    </row>
    <row r="164" spans="1:18" outlineLevel="3">
      <c r="A164" s="281" t="s">
        <v>446</v>
      </c>
      <c r="B164" s="56">
        <v>6666021102</v>
      </c>
      <c r="C164" t="s">
        <v>171</v>
      </c>
      <c r="E164" s="62">
        <v>0.16222</v>
      </c>
      <c r="F164" s="62">
        <v>2.8498652106977702</v>
      </c>
      <c r="G164" s="62">
        <v>2.8498652106977702</v>
      </c>
      <c r="H164" s="62">
        <v>2.8498652106977702</v>
      </c>
      <c r="I164" s="62">
        <v>2.8498652106977702</v>
      </c>
      <c r="J164" s="62">
        <v>2.8498652106977702</v>
      </c>
      <c r="K164" s="62">
        <v>2.8498652106977702</v>
      </c>
      <c r="L164" s="62">
        <v>2.8498652106977702</v>
      </c>
      <c r="M164" s="62">
        <v>2.8498652106977702</v>
      </c>
      <c r="N164" s="62">
        <v>2.8498652106977702</v>
      </c>
      <c r="O164" s="62">
        <v>2.8498652106977702</v>
      </c>
      <c r="P164" s="62">
        <v>2.8498652106977702</v>
      </c>
      <c r="Q164" s="64">
        <f t="shared" si="22"/>
        <v>31.510737317675478</v>
      </c>
      <c r="R164" s="26"/>
    </row>
    <row r="165" spans="1:18" outlineLevel="3">
      <c r="A165" s="281" t="s">
        <v>446</v>
      </c>
      <c r="B165" s="56">
        <v>6666021103</v>
      </c>
      <c r="C165" s="366" t="s">
        <v>566</v>
      </c>
      <c r="E165" s="62">
        <v>0</v>
      </c>
      <c r="F165" s="62">
        <v>3.6765225741053236</v>
      </c>
      <c r="G165" s="62">
        <v>3.6765225741053236</v>
      </c>
      <c r="H165" s="62">
        <v>3.6765225741053236</v>
      </c>
      <c r="I165" s="62">
        <v>3.6765225741053236</v>
      </c>
      <c r="J165" s="62">
        <v>3.6765225741053236</v>
      </c>
      <c r="K165" s="62">
        <v>3.6765225741053236</v>
      </c>
      <c r="L165" s="62">
        <v>3.6765225741053236</v>
      </c>
      <c r="M165" s="62">
        <v>3.6765225741053236</v>
      </c>
      <c r="N165" s="62">
        <v>3.6765225741053236</v>
      </c>
      <c r="O165" s="62">
        <v>3.6765225741053236</v>
      </c>
      <c r="P165" s="62">
        <v>3.6765225741053236</v>
      </c>
      <c r="Q165" s="64"/>
      <c r="R165" s="26"/>
    </row>
    <row r="166" spans="1:18" outlineLevel="3">
      <c r="A166" s="281" t="s">
        <v>446</v>
      </c>
      <c r="B166" s="56">
        <v>6666021104</v>
      </c>
      <c r="C166" t="s">
        <v>407</v>
      </c>
      <c r="E166" s="62">
        <v>-1.5499999999999999E-3</v>
      </c>
      <c r="F166" s="62">
        <v>0.54098699486549551</v>
      </c>
      <c r="G166" s="62">
        <v>0.54098699486549551</v>
      </c>
      <c r="H166" s="62">
        <v>0.54098699486549551</v>
      </c>
      <c r="I166" s="62">
        <v>0.54098699486549551</v>
      </c>
      <c r="J166" s="62">
        <v>0.54098699486549551</v>
      </c>
      <c r="K166" s="62">
        <v>0.54098699486549551</v>
      </c>
      <c r="L166" s="62">
        <v>0.54098699486549551</v>
      </c>
      <c r="M166" s="62">
        <v>0.54098699486549551</v>
      </c>
      <c r="N166" s="62">
        <v>0.54098699486549551</v>
      </c>
      <c r="O166" s="62">
        <v>0.54098699486549551</v>
      </c>
      <c r="P166" s="62">
        <v>0.54098699486549551</v>
      </c>
      <c r="Q166" s="64">
        <f t="shared" ref="Q166:Q180" si="23">F166+E166+G166+H166+I166+J166+K166+L166+M166+N166+O166+P166</f>
        <v>5.9493069435204493</v>
      </c>
      <c r="R166" s="26"/>
    </row>
    <row r="167" spans="1:18" outlineLevel="3">
      <c r="A167" s="281" t="s">
        <v>446</v>
      </c>
      <c r="B167" s="56">
        <v>6666021200</v>
      </c>
      <c r="C167" s="271" t="s">
        <v>465</v>
      </c>
      <c r="E167" s="62">
        <v>0</v>
      </c>
      <c r="F167" s="62">
        <v>2.5777388113602617</v>
      </c>
      <c r="G167" s="62">
        <v>2.5777388113602617</v>
      </c>
      <c r="H167" s="62">
        <v>2.5777388113602617</v>
      </c>
      <c r="I167" s="62">
        <v>2.5777388113602617</v>
      </c>
      <c r="J167" s="62">
        <v>2.5777388113602617</v>
      </c>
      <c r="K167" s="62">
        <v>2.5777388113602617</v>
      </c>
      <c r="L167" s="62">
        <v>2.5777388113602617</v>
      </c>
      <c r="M167" s="62">
        <v>2.5777388113602617</v>
      </c>
      <c r="N167" s="62">
        <v>2.5777388113602617</v>
      </c>
      <c r="O167" s="62">
        <v>2.5777388113602617</v>
      </c>
      <c r="P167" s="62">
        <v>2.5777388113602617</v>
      </c>
      <c r="Q167" s="64">
        <f t="shared" si="23"/>
        <v>28.355126924962885</v>
      </c>
      <c r="R167" s="26"/>
    </row>
    <row r="168" spans="1:18" outlineLevel="3">
      <c r="A168" s="281" t="s">
        <v>446</v>
      </c>
      <c r="B168" s="56">
        <v>6666021300</v>
      </c>
      <c r="C168" t="s">
        <v>167</v>
      </c>
      <c r="E168" s="62">
        <v>0.69095000000000006</v>
      </c>
      <c r="F168" s="62">
        <v>3.5101284159638992</v>
      </c>
      <c r="G168" s="62">
        <v>3.5101284159638992</v>
      </c>
      <c r="H168" s="62">
        <v>3.5101284159638992</v>
      </c>
      <c r="I168" s="62">
        <v>3.5101284159638992</v>
      </c>
      <c r="J168" s="62">
        <v>3.5101284159638992</v>
      </c>
      <c r="K168" s="62">
        <v>3.5101284159638992</v>
      </c>
      <c r="L168" s="62">
        <v>3.5101284159638992</v>
      </c>
      <c r="M168" s="62">
        <v>3.5101284159638992</v>
      </c>
      <c r="N168" s="62">
        <v>3.5101284159638992</v>
      </c>
      <c r="O168" s="62">
        <v>3.5101284159638992</v>
      </c>
      <c r="P168" s="62">
        <v>3.5101284159638992</v>
      </c>
      <c r="Q168" s="64">
        <f t="shared" si="23"/>
        <v>39.302362575602885</v>
      </c>
      <c r="R168" s="26"/>
    </row>
    <row r="169" spans="1:18" outlineLevel="3">
      <c r="A169" s="281" t="s">
        <v>446</v>
      </c>
      <c r="B169" s="56">
        <v>6666021902</v>
      </c>
      <c r="C169" t="s">
        <v>67</v>
      </c>
      <c r="E169" s="62">
        <v>7.7849999999999989E-2</v>
      </c>
      <c r="F169" s="62">
        <v>0</v>
      </c>
      <c r="G169" s="62">
        <v>0</v>
      </c>
      <c r="H169" s="62">
        <v>0</v>
      </c>
      <c r="I169" s="62">
        <v>0</v>
      </c>
      <c r="J169" s="62">
        <v>0</v>
      </c>
      <c r="K169" s="62">
        <v>0</v>
      </c>
      <c r="L169" s="62">
        <v>0</v>
      </c>
      <c r="M169" s="62">
        <v>0</v>
      </c>
      <c r="N169" s="62">
        <v>0</v>
      </c>
      <c r="O169" s="62">
        <v>0</v>
      </c>
      <c r="P169" s="62">
        <v>0</v>
      </c>
      <c r="Q169" s="64">
        <f t="shared" si="23"/>
        <v>7.7849999999999989E-2</v>
      </c>
      <c r="R169" s="26"/>
    </row>
    <row r="170" spans="1:18" outlineLevel="3">
      <c r="A170" s="281" t="s">
        <v>446</v>
      </c>
      <c r="B170" s="56">
        <v>6666022100</v>
      </c>
      <c r="C170" t="s">
        <v>68</v>
      </c>
      <c r="E170" s="62">
        <v>7.1160000000000001E-2</v>
      </c>
      <c r="F170" s="62">
        <v>0.54428702361735581</v>
      </c>
      <c r="G170" s="62">
        <v>0.54428702361735581</v>
      </c>
      <c r="H170" s="62">
        <v>0.54428702361735581</v>
      </c>
      <c r="I170" s="62">
        <v>0.54428702361735581</v>
      </c>
      <c r="J170" s="62">
        <v>0.54428702361735581</v>
      </c>
      <c r="K170" s="62">
        <v>0.54428702361735581</v>
      </c>
      <c r="L170" s="62">
        <v>0.54428702361735581</v>
      </c>
      <c r="M170" s="62">
        <v>0.54428702361735581</v>
      </c>
      <c r="N170" s="62">
        <v>0.54428702361735581</v>
      </c>
      <c r="O170" s="62">
        <v>0.54428702361735581</v>
      </c>
      <c r="P170" s="62">
        <v>0.54428702361735581</v>
      </c>
      <c r="Q170" s="64">
        <f t="shared" si="23"/>
        <v>6.0583172597909138</v>
      </c>
      <c r="R170" s="26"/>
    </row>
    <row r="171" spans="1:18">
      <c r="A171" s="281" t="s">
        <v>445</v>
      </c>
      <c r="B171" s="56">
        <v>6666022300</v>
      </c>
      <c r="C171" t="s">
        <v>69</v>
      </c>
      <c r="E171" s="62">
        <v>4.66974</v>
      </c>
      <c r="F171" s="62">
        <v>8.289662761409172</v>
      </c>
      <c r="G171" s="62">
        <v>8.2799927614091722</v>
      </c>
      <c r="H171" s="62">
        <v>8.1220727614091714</v>
      </c>
      <c r="I171" s="62">
        <v>8.7783327614091728</v>
      </c>
      <c r="J171" s="62">
        <v>8.436172761409173</v>
      </c>
      <c r="K171" s="62">
        <v>8.2858327614091714</v>
      </c>
      <c r="L171" s="62">
        <v>8.2132227614091722</v>
      </c>
      <c r="M171" s="62">
        <v>8.8703527614091726</v>
      </c>
      <c r="N171" s="62">
        <v>8.4494127614091727</v>
      </c>
      <c r="O171" s="62">
        <v>8.2749627614091708</v>
      </c>
      <c r="P171" s="62">
        <v>8.7353627614091707</v>
      </c>
      <c r="Q171" s="64">
        <f t="shared" si="23"/>
        <v>97.4051203755009</v>
      </c>
      <c r="R171" s="26"/>
    </row>
    <row r="172" spans="1:18">
      <c r="A172" s="281" t="s">
        <v>446</v>
      </c>
      <c r="B172" s="56">
        <v>6666029900</v>
      </c>
      <c r="C172" t="s">
        <v>70</v>
      </c>
      <c r="E172" s="62">
        <v>4.4800000000000005E-3</v>
      </c>
      <c r="F172" s="62">
        <v>0</v>
      </c>
      <c r="G172" s="62">
        <v>0</v>
      </c>
      <c r="H172" s="62">
        <v>0</v>
      </c>
      <c r="I172" s="62">
        <v>0</v>
      </c>
      <c r="J172" s="62">
        <v>0</v>
      </c>
      <c r="K172" s="62">
        <v>0</v>
      </c>
      <c r="L172" s="62">
        <v>0</v>
      </c>
      <c r="M172" s="62">
        <v>0</v>
      </c>
      <c r="N172" s="62">
        <v>0</v>
      </c>
      <c r="O172" s="62">
        <v>0</v>
      </c>
      <c r="P172" s="62">
        <v>0</v>
      </c>
      <c r="Q172" s="64">
        <f t="shared" si="23"/>
        <v>4.4800000000000005E-3</v>
      </c>
      <c r="R172" s="26"/>
    </row>
    <row r="173" spans="1:18">
      <c r="A173" s="281" t="s">
        <v>446</v>
      </c>
      <c r="B173" s="56">
        <v>6666029997</v>
      </c>
      <c r="C173" t="s">
        <v>71</v>
      </c>
      <c r="E173" s="62">
        <v>0</v>
      </c>
      <c r="F173" s="62">
        <v>0</v>
      </c>
      <c r="G173" s="62">
        <v>0</v>
      </c>
      <c r="H173" s="62">
        <v>0</v>
      </c>
      <c r="I173" s="62">
        <v>0</v>
      </c>
      <c r="J173" s="62">
        <v>0</v>
      </c>
      <c r="K173" s="62">
        <v>0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64">
        <f t="shared" si="23"/>
        <v>0</v>
      </c>
      <c r="R173" s="26"/>
    </row>
    <row r="174" spans="1:18">
      <c r="A174" s="281" t="s">
        <v>446</v>
      </c>
      <c r="B174" s="56">
        <v>6666031100</v>
      </c>
      <c r="C174" s="1" t="s">
        <v>451</v>
      </c>
      <c r="E174" s="62">
        <v>0</v>
      </c>
      <c r="F174" s="62">
        <v>0</v>
      </c>
      <c r="G174" s="62">
        <v>0</v>
      </c>
      <c r="H174" s="62">
        <v>0</v>
      </c>
      <c r="I174" s="62">
        <v>0</v>
      </c>
      <c r="J174" s="62">
        <v>0</v>
      </c>
      <c r="K174" s="62">
        <v>0</v>
      </c>
      <c r="L174" s="62">
        <v>0</v>
      </c>
      <c r="M174" s="62">
        <v>0</v>
      </c>
      <c r="N174" s="62">
        <v>0</v>
      </c>
      <c r="O174" s="62">
        <v>0</v>
      </c>
      <c r="P174" s="62">
        <v>0</v>
      </c>
      <c r="Q174" s="64">
        <f t="shared" si="23"/>
        <v>0</v>
      </c>
      <c r="R174" s="26"/>
    </row>
    <row r="175" spans="1:18">
      <c r="A175" s="281" t="s">
        <v>446</v>
      </c>
      <c r="B175" s="56">
        <v>6666050107</v>
      </c>
      <c r="C175" t="s">
        <v>75</v>
      </c>
      <c r="E175" s="62">
        <v>0</v>
      </c>
      <c r="F175" s="62">
        <v>0</v>
      </c>
      <c r="G175" s="62">
        <v>0</v>
      </c>
      <c r="H175" s="62">
        <v>0</v>
      </c>
      <c r="I175" s="62">
        <v>0</v>
      </c>
      <c r="J175" s="62">
        <v>0</v>
      </c>
      <c r="K175" s="62">
        <v>0</v>
      </c>
      <c r="L175" s="62">
        <v>0</v>
      </c>
      <c r="M175" s="62">
        <v>0</v>
      </c>
      <c r="N175" s="62">
        <v>0</v>
      </c>
      <c r="O175" s="62">
        <v>0</v>
      </c>
      <c r="P175" s="62">
        <v>0</v>
      </c>
      <c r="Q175" s="64">
        <f t="shared" si="23"/>
        <v>0</v>
      </c>
      <c r="R175" s="26"/>
    </row>
    <row r="176" spans="1:18">
      <c r="A176" s="281" t="s">
        <v>446</v>
      </c>
      <c r="B176" s="56">
        <v>6666070400</v>
      </c>
      <c r="C176" s="1" t="s">
        <v>79</v>
      </c>
      <c r="E176" s="62">
        <v>0</v>
      </c>
      <c r="F176" s="62">
        <v>0</v>
      </c>
      <c r="G176" s="62">
        <v>0</v>
      </c>
      <c r="H176" s="62">
        <v>0</v>
      </c>
      <c r="I176" s="62">
        <v>0</v>
      </c>
      <c r="J176" s="62">
        <v>0</v>
      </c>
      <c r="K176" s="62">
        <v>0</v>
      </c>
      <c r="L176" s="62">
        <v>0</v>
      </c>
      <c r="M176" s="62">
        <v>0</v>
      </c>
      <c r="N176" s="62">
        <v>0</v>
      </c>
      <c r="O176" s="62">
        <v>0</v>
      </c>
      <c r="P176" s="62">
        <v>0</v>
      </c>
      <c r="Q176" s="64">
        <f t="shared" si="23"/>
        <v>0</v>
      </c>
      <c r="R176" s="26"/>
    </row>
    <row r="177" spans="1:18">
      <c r="A177" s="281" t="s">
        <v>446</v>
      </c>
      <c r="B177" s="56">
        <v>6666079999</v>
      </c>
      <c r="C177" t="s">
        <v>172</v>
      </c>
      <c r="E177" s="62">
        <v>88.890339999999995</v>
      </c>
      <c r="F177" s="62">
        <v>90.697222368004915</v>
      </c>
      <c r="G177" s="62">
        <v>90.697222368004915</v>
      </c>
      <c r="H177" s="62">
        <v>90.697222368004915</v>
      </c>
      <c r="I177" s="62">
        <v>90.697222368004915</v>
      </c>
      <c r="J177" s="62">
        <v>90.697222368004915</v>
      </c>
      <c r="K177" s="62">
        <v>90.697222368004915</v>
      </c>
      <c r="L177" s="62">
        <v>90.697222368004915</v>
      </c>
      <c r="M177" s="62">
        <v>90.697222368004915</v>
      </c>
      <c r="N177" s="62">
        <v>90.697222368004915</v>
      </c>
      <c r="O177" s="62">
        <v>90.697222368004915</v>
      </c>
      <c r="P177" s="62">
        <v>90.697222368004915</v>
      </c>
      <c r="Q177" s="64">
        <f t="shared" si="23"/>
        <v>1086.5597860480539</v>
      </c>
      <c r="R177" s="26"/>
    </row>
    <row r="178" spans="1:18">
      <c r="A178" s="281" t="s">
        <v>446</v>
      </c>
      <c r="B178" s="56">
        <v>6666090100</v>
      </c>
      <c r="C178" t="s">
        <v>452</v>
      </c>
      <c r="E178" s="62">
        <v>0</v>
      </c>
      <c r="F178" s="62">
        <v>0</v>
      </c>
      <c r="G178" s="62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4">
        <f t="shared" si="23"/>
        <v>0</v>
      </c>
      <c r="R178" s="26"/>
    </row>
    <row r="179" spans="1:18">
      <c r="A179" s="281" t="s">
        <v>446</v>
      </c>
      <c r="B179" s="56">
        <v>6666093800</v>
      </c>
      <c r="C179" t="s">
        <v>173</v>
      </c>
      <c r="E179" s="62">
        <v>0.13338999999999998</v>
      </c>
      <c r="F179" s="62">
        <v>0</v>
      </c>
      <c r="G179" s="62">
        <v>0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2">
        <v>0</v>
      </c>
      <c r="O179" s="62">
        <v>0</v>
      </c>
      <c r="P179" s="62">
        <v>0</v>
      </c>
      <c r="Q179" s="64">
        <f t="shared" si="23"/>
        <v>0.13338999999999998</v>
      </c>
      <c r="R179" s="26"/>
    </row>
    <row r="180" spans="1:18">
      <c r="A180" s="281" t="s">
        <v>446</v>
      </c>
      <c r="B180" s="56">
        <v>5401050201</v>
      </c>
      <c r="C180" s="294" t="s">
        <v>453</v>
      </c>
      <c r="E180" s="62">
        <v>0</v>
      </c>
      <c r="F180" s="62">
        <v>0</v>
      </c>
      <c r="G180" s="62">
        <v>0</v>
      </c>
      <c r="H180" s="62">
        <v>0</v>
      </c>
      <c r="I180" s="62">
        <v>0</v>
      </c>
      <c r="J180" s="62">
        <v>0</v>
      </c>
      <c r="K180" s="62">
        <v>0</v>
      </c>
      <c r="L180" s="62">
        <v>0</v>
      </c>
      <c r="M180" s="62">
        <v>0</v>
      </c>
      <c r="N180" s="62">
        <v>0</v>
      </c>
      <c r="O180" s="62">
        <v>0</v>
      </c>
      <c r="P180" s="62">
        <v>0</v>
      </c>
      <c r="Q180" s="64">
        <f t="shared" si="23"/>
        <v>0</v>
      </c>
      <c r="R180" s="26"/>
    </row>
    <row r="181" spans="1:18">
      <c r="A181" s="281"/>
      <c r="B181" s="36" t="s">
        <v>133</v>
      </c>
      <c r="C181" s="36" t="s">
        <v>80</v>
      </c>
      <c r="D181" s="38"/>
      <c r="E181" s="22">
        <f>SUM(E142:E180)</f>
        <v>188.76410000000001</v>
      </c>
      <c r="F181" s="22">
        <f t="shared" ref="F181:P181" si="24">SUM(F142:F180)</f>
        <v>131.19828299299263</v>
      </c>
      <c r="G181" s="22">
        <f t="shared" si="24"/>
        <v>148.54077359078212</v>
      </c>
      <c r="H181" s="22">
        <f t="shared" si="24"/>
        <v>148.271688944456</v>
      </c>
      <c r="I181" s="22">
        <f t="shared" si="24"/>
        <v>149.68311359078211</v>
      </c>
      <c r="J181" s="22">
        <f t="shared" si="24"/>
        <v>149.34095359078211</v>
      </c>
      <c r="K181" s="22">
        <f t="shared" si="24"/>
        <v>148.43544894445603</v>
      </c>
      <c r="L181" s="22">
        <f t="shared" si="24"/>
        <v>148.36283894445603</v>
      </c>
      <c r="M181" s="22">
        <f t="shared" si="24"/>
        <v>149.01996894445602</v>
      </c>
      <c r="N181" s="22">
        <f t="shared" si="24"/>
        <v>148.59902894445602</v>
      </c>
      <c r="O181" s="22">
        <f t="shared" si="24"/>
        <v>148.42457894445602</v>
      </c>
      <c r="P181" s="22">
        <f t="shared" si="24"/>
        <v>137.33898299307472</v>
      </c>
      <c r="Q181" s="22">
        <f>SUM(Q142:Q180)</f>
        <v>1755.5380121099909</v>
      </c>
      <c r="R181" s="23"/>
    </row>
    <row r="182" spans="1:18" outlineLevel="1">
      <c r="A182" s="281" t="s">
        <v>446</v>
      </c>
      <c r="B182" s="56">
        <v>5102040000</v>
      </c>
      <c r="C182" t="s">
        <v>82</v>
      </c>
      <c r="E182" s="62">
        <v>-5.7090000000000002E-2</v>
      </c>
      <c r="F182" s="62">
        <v>0</v>
      </c>
      <c r="G182" s="62">
        <v>0</v>
      </c>
      <c r="H182" s="62">
        <v>0</v>
      </c>
      <c r="I182" s="62">
        <v>0</v>
      </c>
      <c r="J182" s="62">
        <v>0</v>
      </c>
      <c r="K182" s="62">
        <v>0</v>
      </c>
      <c r="L182" s="62">
        <v>0</v>
      </c>
      <c r="M182" s="62">
        <v>0</v>
      </c>
      <c r="N182" s="62">
        <v>0</v>
      </c>
      <c r="O182" s="62">
        <v>0</v>
      </c>
      <c r="P182" s="62">
        <v>0</v>
      </c>
      <c r="Q182" s="64">
        <f>F182+E182+G182+H182+I182+J182+K182+L182+M182+N182+O182+P182</f>
        <v>-5.7090000000000002E-2</v>
      </c>
      <c r="R182" s="26"/>
    </row>
    <row r="183" spans="1:18">
      <c r="A183" s="281"/>
      <c r="B183" s="36" t="s">
        <v>134</v>
      </c>
      <c r="C183" s="36" t="s">
        <v>84</v>
      </c>
      <c r="D183" s="38"/>
      <c r="E183" s="22">
        <f>+E182</f>
        <v>-5.7090000000000002E-2</v>
      </c>
      <c r="F183" s="22">
        <f t="shared" ref="F183:P183" si="25">+F182</f>
        <v>0</v>
      </c>
      <c r="G183" s="22">
        <f t="shared" si="25"/>
        <v>0</v>
      </c>
      <c r="H183" s="22">
        <f t="shared" si="25"/>
        <v>0</v>
      </c>
      <c r="I183" s="22">
        <f t="shared" si="25"/>
        <v>0</v>
      </c>
      <c r="J183" s="22">
        <f t="shared" si="25"/>
        <v>0</v>
      </c>
      <c r="K183" s="22">
        <f t="shared" si="25"/>
        <v>0</v>
      </c>
      <c r="L183" s="22">
        <f t="shared" si="25"/>
        <v>0</v>
      </c>
      <c r="M183" s="22">
        <f t="shared" si="25"/>
        <v>0</v>
      </c>
      <c r="N183" s="22">
        <f t="shared" si="25"/>
        <v>0</v>
      </c>
      <c r="O183" s="22">
        <f t="shared" si="25"/>
        <v>0</v>
      </c>
      <c r="P183" s="22">
        <f t="shared" si="25"/>
        <v>0</v>
      </c>
      <c r="Q183" s="22">
        <f>+Q182</f>
        <v>-5.7090000000000002E-2</v>
      </c>
      <c r="R183" s="23"/>
    </row>
    <row r="184" spans="1:18">
      <c r="A184" s="281" t="s">
        <v>446</v>
      </c>
      <c r="B184" s="56">
        <v>6666021602</v>
      </c>
      <c r="C184" s="272" t="s">
        <v>89</v>
      </c>
      <c r="D184" s="24"/>
      <c r="E184" s="290">
        <v>0</v>
      </c>
      <c r="F184" s="290">
        <v>0</v>
      </c>
      <c r="G184" s="290">
        <v>0</v>
      </c>
      <c r="H184" s="290">
        <v>0</v>
      </c>
      <c r="I184" s="290">
        <v>0</v>
      </c>
      <c r="J184" s="290">
        <v>0</v>
      </c>
      <c r="K184" s="290">
        <v>0</v>
      </c>
      <c r="L184" s="290">
        <v>0</v>
      </c>
      <c r="M184" s="290">
        <v>0</v>
      </c>
      <c r="N184" s="290">
        <v>0</v>
      </c>
      <c r="O184" s="290">
        <v>0</v>
      </c>
      <c r="P184" s="290">
        <v>0</v>
      </c>
      <c r="Q184" s="64">
        <f>F184+E184+G184+H184+I184+J184+K184+L184+M184+N184+O184+P184</f>
        <v>0</v>
      </c>
      <c r="R184" s="26"/>
    </row>
    <row r="185" spans="1:18">
      <c r="A185" s="281" t="s">
        <v>446</v>
      </c>
      <c r="B185" s="36" t="s">
        <v>469</v>
      </c>
      <c r="C185" s="36" t="s">
        <v>90</v>
      </c>
      <c r="D185" s="38"/>
      <c r="E185" s="22">
        <f>+E184</f>
        <v>0</v>
      </c>
      <c r="F185" s="22">
        <f t="shared" ref="F185:P185" si="26">+F184</f>
        <v>0</v>
      </c>
      <c r="G185" s="22">
        <f t="shared" si="26"/>
        <v>0</v>
      </c>
      <c r="H185" s="22">
        <f t="shared" si="26"/>
        <v>0</v>
      </c>
      <c r="I185" s="22">
        <f t="shared" si="26"/>
        <v>0</v>
      </c>
      <c r="J185" s="22">
        <f t="shared" si="26"/>
        <v>0</v>
      </c>
      <c r="K185" s="22">
        <f t="shared" si="26"/>
        <v>0</v>
      </c>
      <c r="L185" s="22">
        <f t="shared" si="26"/>
        <v>0</v>
      </c>
      <c r="M185" s="22">
        <f t="shared" si="26"/>
        <v>0</v>
      </c>
      <c r="N185" s="22">
        <f t="shared" si="26"/>
        <v>0</v>
      </c>
      <c r="O185" s="22">
        <f t="shared" si="26"/>
        <v>0</v>
      </c>
      <c r="P185" s="22">
        <f t="shared" si="26"/>
        <v>0</v>
      </c>
      <c r="Q185" s="22">
        <f>+Q184</f>
        <v>0</v>
      </c>
      <c r="R185" s="23"/>
    </row>
    <row r="186" spans="1:18" outlineLevel="1">
      <c r="A186" s="281" t="s">
        <v>446</v>
      </c>
      <c r="B186" s="56">
        <v>6666021600</v>
      </c>
      <c r="C186" t="s">
        <v>91</v>
      </c>
      <c r="E186" s="62">
        <v>-4.5999999999999999E-2</v>
      </c>
      <c r="F186" s="62">
        <v>1.3625952517273503</v>
      </c>
      <c r="G186" s="62">
        <v>1.3625952517273503</v>
      </c>
      <c r="H186" s="62">
        <v>1.3625952517273503</v>
      </c>
      <c r="I186" s="62">
        <v>1.3625952517273503</v>
      </c>
      <c r="J186" s="62">
        <v>1.3625952517273503</v>
      </c>
      <c r="K186" s="62">
        <v>1.3625952517273503</v>
      </c>
      <c r="L186" s="62">
        <v>1.3625952517273503</v>
      </c>
      <c r="M186" s="62">
        <v>1.3625952517273503</v>
      </c>
      <c r="N186" s="62">
        <v>1.3625952517273503</v>
      </c>
      <c r="O186" s="62">
        <v>1.3625952517273503</v>
      </c>
      <c r="P186" s="62">
        <v>1.3625952517273503</v>
      </c>
      <c r="Q186" s="64">
        <f>F186+E186+G186+H186+I186+J186+K186+L186+M186+N186+O186+P186</f>
        <v>14.942547769000857</v>
      </c>
      <c r="R186" s="26"/>
    </row>
    <row r="187" spans="1:18" outlineLevel="1">
      <c r="A187" s="281" t="s">
        <v>446</v>
      </c>
      <c r="B187" s="56">
        <v>6666021604</v>
      </c>
      <c r="C187" t="s">
        <v>93</v>
      </c>
      <c r="E187" s="62">
        <v>1.33E-3</v>
      </c>
      <c r="F187" s="62">
        <v>0</v>
      </c>
      <c r="G187" s="62">
        <v>0</v>
      </c>
      <c r="H187" s="62">
        <v>0</v>
      </c>
      <c r="I187" s="62">
        <v>0</v>
      </c>
      <c r="J187" s="62">
        <v>0</v>
      </c>
      <c r="K187" s="62">
        <v>0</v>
      </c>
      <c r="L187" s="62">
        <v>0</v>
      </c>
      <c r="M187" s="62">
        <v>0</v>
      </c>
      <c r="N187" s="62">
        <v>0</v>
      </c>
      <c r="O187" s="62">
        <v>0</v>
      </c>
      <c r="P187" s="62">
        <v>0</v>
      </c>
      <c r="Q187" s="64">
        <f>F187+E187+G187+H187+I187+J187+K187+L187+M187+N187+O187+P187</f>
        <v>1.33E-3</v>
      </c>
      <c r="R187" s="26"/>
    </row>
    <row r="188" spans="1:18">
      <c r="A188" s="281"/>
      <c r="B188" s="36" t="s">
        <v>134</v>
      </c>
      <c r="C188" s="36" t="s">
        <v>94</v>
      </c>
      <c r="D188" s="38"/>
      <c r="E188" s="22">
        <f>SUM(E186:E187)</f>
        <v>-4.4670000000000001E-2</v>
      </c>
      <c r="F188" s="22">
        <f t="shared" ref="F188:P188" si="27">SUM(F186:F187)</f>
        <v>1.3625952517273503</v>
      </c>
      <c r="G188" s="22">
        <f t="shared" si="27"/>
        <v>1.3625952517273503</v>
      </c>
      <c r="H188" s="22">
        <f t="shared" si="27"/>
        <v>1.3625952517273503</v>
      </c>
      <c r="I188" s="22">
        <f t="shared" si="27"/>
        <v>1.3625952517273503</v>
      </c>
      <c r="J188" s="22">
        <f t="shared" si="27"/>
        <v>1.3625952517273503</v>
      </c>
      <c r="K188" s="22">
        <f t="shared" si="27"/>
        <v>1.3625952517273503</v>
      </c>
      <c r="L188" s="22">
        <f t="shared" si="27"/>
        <v>1.3625952517273503</v>
      </c>
      <c r="M188" s="22">
        <f t="shared" si="27"/>
        <v>1.3625952517273503</v>
      </c>
      <c r="N188" s="22">
        <f t="shared" si="27"/>
        <v>1.3625952517273503</v>
      </c>
      <c r="O188" s="22">
        <f t="shared" si="27"/>
        <v>1.3625952517273503</v>
      </c>
      <c r="P188" s="22">
        <f t="shared" si="27"/>
        <v>1.3625952517273503</v>
      </c>
      <c r="Q188" s="22">
        <f>+SUM(Q186:Q187)</f>
        <v>14.943877769000856</v>
      </c>
      <c r="R188" s="23"/>
    </row>
    <row r="189" spans="1:18" outlineLevel="2">
      <c r="A189" s="281" t="s">
        <v>446</v>
      </c>
      <c r="B189" s="56">
        <v>6666010012</v>
      </c>
      <c r="C189" t="s">
        <v>99</v>
      </c>
      <c r="E189" s="62">
        <v>0</v>
      </c>
      <c r="F189" s="62">
        <v>0</v>
      </c>
      <c r="G189" s="62">
        <v>0</v>
      </c>
      <c r="H189" s="62">
        <v>0</v>
      </c>
      <c r="I189" s="62">
        <v>0</v>
      </c>
      <c r="J189" s="62">
        <v>0</v>
      </c>
      <c r="K189" s="62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4">
        <f>F189+E189+G189+H189+I189+J189+K189+L189+M189+N189+O189+P189</f>
        <v>0</v>
      </c>
      <c r="R189" s="26"/>
    </row>
    <row r="190" spans="1:18" outlineLevel="2">
      <c r="A190" s="281" t="s">
        <v>446</v>
      </c>
      <c r="B190" s="56">
        <v>6666010102</v>
      </c>
      <c r="C190" t="s">
        <v>160</v>
      </c>
      <c r="E190" s="62">
        <v>5.0369999999999998E-2</v>
      </c>
      <c r="F190" s="62">
        <v>0</v>
      </c>
      <c r="G190" s="62">
        <v>0</v>
      </c>
      <c r="H190" s="62">
        <v>0</v>
      </c>
      <c r="I190" s="62">
        <v>0</v>
      </c>
      <c r="J190" s="62">
        <v>0</v>
      </c>
      <c r="K190" s="62">
        <v>0</v>
      </c>
      <c r="L190" s="62">
        <v>0</v>
      </c>
      <c r="M190" s="62">
        <v>0</v>
      </c>
      <c r="N190" s="62">
        <v>0</v>
      </c>
      <c r="O190" s="62">
        <v>0</v>
      </c>
      <c r="P190" s="62">
        <v>0</v>
      </c>
      <c r="Q190" s="64">
        <f>F190+E190+G190+H190+I190+J190+K190+L190+M190+N190+O190+P190</f>
        <v>5.0369999999999998E-2</v>
      </c>
      <c r="R190" s="26"/>
    </row>
    <row r="191" spans="1:18">
      <c r="A191" s="281"/>
      <c r="B191" s="36" t="s">
        <v>135</v>
      </c>
      <c r="C191" s="36" t="s">
        <v>102</v>
      </c>
      <c r="D191" s="38"/>
      <c r="E191" s="22">
        <f>SUM(E189:E190)</f>
        <v>5.0369999999999998E-2</v>
      </c>
      <c r="F191" s="22">
        <f t="shared" ref="F191:P191" si="28">SUM(F189:F190)</f>
        <v>0</v>
      </c>
      <c r="G191" s="22">
        <f t="shared" si="28"/>
        <v>0</v>
      </c>
      <c r="H191" s="22">
        <f t="shared" si="28"/>
        <v>0</v>
      </c>
      <c r="I191" s="22">
        <f t="shared" si="28"/>
        <v>0</v>
      </c>
      <c r="J191" s="22">
        <f t="shared" si="28"/>
        <v>0</v>
      </c>
      <c r="K191" s="22">
        <f t="shared" si="28"/>
        <v>0</v>
      </c>
      <c r="L191" s="22">
        <f t="shared" si="28"/>
        <v>0</v>
      </c>
      <c r="M191" s="22">
        <f t="shared" si="28"/>
        <v>0</v>
      </c>
      <c r="N191" s="22">
        <f t="shared" si="28"/>
        <v>0</v>
      </c>
      <c r="O191" s="22">
        <f t="shared" si="28"/>
        <v>0</v>
      </c>
      <c r="P191" s="22">
        <f t="shared" si="28"/>
        <v>0</v>
      </c>
      <c r="Q191" s="22">
        <f>+SUM(Q189:Q190)</f>
        <v>5.0369999999999998E-2</v>
      </c>
      <c r="R191" s="23"/>
    </row>
    <row r="192" spans="1:18" outlineLevel="2">
      <c r="A192" s="281" t="s">
        <v>446</v>
      </c>
      <c r="B192" s="56">
        <v>6666010196</v>
      </c>
      <c r="C192" t="s">
        <v>103</v>
      </c>
      <c r="E192" s="62">
        <v>2.8196099999999999</v>
      </c>
      <c r="F192" s="62">
        <v>0</v>
      </c>
      <c r="G192" s="62">
        <v>0</v>
      </c>
      <c r="H192" s="62">
        <v>0</v>
      </c>
      <c r="I192" s="62">
        <v>0</v>
      </c>
      <c r="J192" s="62">
        <v>0</v>
      </c>
      <c r="K192" s="62">
        <v>0</v>
      </c>
      <c r="L192" s="62">
        <v>0</v>
      </c>
      <c r="M192" s="62">
        <v>0</v>
      </c>
      <c r="N192" s="62">
        <v>0</v>
      </c>
      <c r="O192" s="62">
        <v>0</v>
      </c>
      <c r="P192" s="62">
        <v>0</v>
      </c>
      <c r="Q192" s="64">
        <f t="shared" ref="Q192:Q197" si="29">F192+E192+G192+H192+I192+J192+K192+L192+M192+N192+O192+P192</f>
        <v>2.8196099999999999</v>
      </c>
      <c r="R192" s="26"/>
    </row>
    <row r="193" spans="1:18" outlineLevel="2">
      <c r="A193" s="281" t="s">
        <v>446</v>
      </c>
      <c r="B193" s="56">
        <v>6666010101</v>
      </c>
      <c r="C193" t="s">
        <v>104</v>
      </c>
      <c r="E193" s="62">
        <v>15.732700000000001</v>
      </c>
      <c r="F193" s="62">
        <v>39.390918880798992</v>
      </c>
      <c r="G193" s="62">
        <v>38.920601694915256</v>
      </c>
      <c r="H193" s="62">
        <v>38.130700184501841</v>
      </c>
      <c r="I193" s="62">
        <v>37.372223327305605</v>
      </c>
      <c r="J193" s="62">
        <v>36.643332446808515</v>
      </c>
      <c r="K193" s="62">
        <v>36.130838286713285</v>
      </c>
      <c r="L193" s="62">
        <v>35.632481896551724</v>
      </c>
      <c r="M193" s="62">
        <v>35.147686224489803</v>
      </c>
      <c r="N193" s="62">
        <v>34.57727873515141</v>
      </c>
      <c r="O193" s="62">
        <v>34.025089726703982</v>
      </c>
      <c r="P193" s="62">
        <v>33.490260087506073</v>
      </c>
      <c r="Q193" s="64">
        <f t="shared" si="29"/>
        <v>415.19411149144651</v>
      </c>
      <c r="R193" s="26"/>
    </row>
    <row r="194" spans="1:18" outlineLevel="2">
      <c r="A194" s="281" t="s">
        <v>446</v>
      </c>
      <c r="B194" s="56">
        <v>6666010199</v>
      </c>
      <c r="C194" t="s">
        <v>105</v>
      </c>
      <c r="E194" s="62">
        <v>3.96245</v>
      </c>
      <c r="F194" s="62">
        <v>0</v>
      </c>
      <c r="G194" s="62">
        <v>0</v>
      </c>
      <c r="H194" s="62">
        <v>0</v>
      </c>
      <c r="I194" s="62">
        <v>0</v>
      </c>
      <c r="J194" s="62">
        <v>0</v>
      </c>
      <c r="K194" s="62">
        <v>0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64">
        <f t="shared" si="29"/>
        <v>3.96245</v>
      </c>
      <c r="R194" s="26"/>
    </row>
    <row r="195" spans="1:18" outlineLevel="2">
      <c r="A195" s="281" t="s">
        <v>446</v>
      </c>
      <c r="B195" s="56">
        <v>6666010185</v>
      </c>
      <c r="C195" s="271" t="s">
        <v>106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0</v>
      </c>
      <c r="O195" s="62">
        <v>0</v>
      </c>
      <c r="P195" s="62">
        <v>0</v>
      </c>
      <c r="Q195" s="64">
        <f t="shared" si="29"/>
        <v>0</v>
      </c>
      <c r="R195" s="26"/>
    </row>
    <row r="196" spans="1:18" outlineLevel="2">
      <c r="A196" s="281" t="s">
        <v>446</v>
      </c>
      <c r="B196" s="56">
        <v>6666010207</v>
      </c>
      <c r="C196" t="s">
        <v>107</v>
      </c>
      <c r="E196" s="62">
        <v>0.25683</v>
      </c>
      <c r="F196" s="62">
        <v>0</v>
      </c>
      <c r="G196" s="62">
        <v>0</v>
      </c>
      <c r="H196" s="62">
        <v>0</v>
      </c>
      <c r="I196" s="62">
        <v>0</v>
      </c>
      <c r="J196" s="62">
        <v>0</v>
      </c>
      <c r="K196" s="62">
        <v>0</v>
      </c>
      <c r="L196" s="62">
        <v>0</v>
      </c>
      <c r="M196" s="62">
        <v>0</v>
      </c>
      <c r="N196" s="62">
        <v>0</v>
      </c>
      <c r="O196" s="62">
        <v>0</v>
      </c>
      <c r="P196" s="62">
        <v>0</v>
      </c>
      <c r="Q196" s="64">
        <f t="shared" si="29"/>
        <v>0.25683</v>
      </c>
      <c r="R196" s="26"/>
    </row>
    <row r="197" spans="1:18" outlineLevel="2">
      <c r="A197" s="281" t="s">
        <v>446</v>
      </c>
      <c r="B197" s="56">
        <v>6666010227</v>
      </c>
      <c r="C197" t="s">
        <v>162</v>
      </c>
      <c r="E197" s="62">
        <v>0.25233</v>
      </c>
      <c r="F197" s="62">
        <v>0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4">
        <f t="shared" si="29"/>
        <v>0.25233</v>
      </c>
      <c r="R197" s="26"/>
    </row>
    <row r="198" spans="1:18">
      <c r="A198" s="281"/>
      <c r="B198" s="36" t="s">
        <v>136</v>
      </c>
      <c r="C198" s="36" t="s">
        <v>109</v>
      </c>
      <c r="D198" s="38"/>
      <c r="E198" s="22">
        <f>SUM(E192:E197)</f>
        <v>23.023920000000004</v>
      </c>
      <c r="F198" s="22">
        <f t="shared" ref="F198:P198" si="30">SUM(F192:F197)</f>
        <v>39.390918880798992</v>
      </c>
      <c r="G198" s="22">
        <f t="shared" si="30"/>
        <v>38.920601694915256</v>
      </c>
      <c r="H198" s="22">
        <f t="shared" si="30"/>
        <v>38.130700184501841</v>
      </c>
      <c r="I198" s="22">
        <f t="shared" si="30"/>
        <v>37.372223327305605</v>
      </c>
      <c r="J198" s="22">
        <f t="shared" si="30"/>
        <v>36.643332446808515</v>
      </c>
      <c r="K198" s="22">
        <f t="shared" si="30"/>
        <v>36.130838286713285</v>
      </c>
      <c r="L198" s="22">
        <f t="shared" si="30"/>
        <v>35.632481896551724</v>
      </c>
      <c r="M198" s="22">
        <f t="shared" si="30"/>
        <v>35.147686224489803</v>
      </c>
      <c r="N198" s="22">
        <f t="shared" si="30"/>
        <v>34.57727873515141</v>
      </c>
      <c r="O198" s="22">
        <f t="shared" si="30"/>
        <v>34.025089726703982</v>
      </c>
      <c r="P198" s="22">
        <f t="shared" si="30"/>
        <v>33.490260087506073</v>
      </c>
      <c r="Q198" s="22">
        <f>SUM(Q192:Q197)</f>
        <v>422.48533149144646</v>
      </c>
      <c r="R198" s="23"/>
    </row>
    <row r="199" spans="1:18" outlineLevel="2">
      <c r="A199" s="281" t="s">
        <v>446</v>
      </c>
      <c r="B199" s="56">
        <v>6666010314</v>
      </c>
      <c r="C199" t="s">
        <v>112</v>
      </c>
      <c r="E199" s="62">
        <v>0.63149</v>
      </c>
      <c r="F199" s="62">
        <v>0.46971399552404319</v>
      </c>
      <c r="G199" s="62">
        <v>0.46971399552404319</v>
      </c>
      <c r="H199" s="62">
        <v>0.46971399552404319</v>
      </c>
      <c r="I199" s="62">
        <v>0.46971399552404319</v>
      </c>
      <c r="J199" s="62">
        <v>0.46971399552404319</v>
      </c>
      <c r="K199" s="62">
        <v>0.46971399552404319</v>
      </c>
      <c r="L199" s="62">
        <v>0.46971399552404319</v>
      </c>
      <c r="M199" s="62">
        <v>0.46971399552404319</v>
      </c>
      <c r="N199" s="62">
        <v>0.46971399552404319</v>
      </c>
      <c r="O199" s="62">
        <v>0.46971399552404319</v>
      </c>
      <c r="P199" s="62">
        <v>0.46971399552404319</v>
      </c>
      <c r="Q199" s="64">
        <f>F199+E199+G199+H199+I199+J199+K199+L199+M199+N199+O199+P199</f>
        <v>5.7983439507644752</v>
      </c>
      <c r="R199" s="26"/>
    </row>
    <row r="200" spans="1:18" outlineLevel="2">
      <c r="A200" s="281" t="s">
        <v>446</v>
      </c>
      <c r="B200" s="56">
        <v>6666010315</v>
      </c>
      <c r="C200" s="271" t="s">
        <v>470</v>
      </c>
      <c r="E200" s="62">
        <v>0</v>
      </c>
      <c r="F200" s="62">
        <v>0</v>
      </c>
      <c r="G200" s="62">
        <v>0</v>
      </c>
      <c r="H200" s="62">
        <v>0</v>
      </c>
      <c r="I200" s="62">
        <v>0</v>
      </c>
      <c r="J200" s="62">
        <v>0</v>
      </c>
      <c r="K200" s="62">
        <v>0</v>
      </c>
      <c r="L200" s="62">
        <v>0</v>
      </c>
      <c r="M200" s="62">
        <v>0</v>
      </c>
      <c r="N200" s="62">
        <v>0</v>
      </c>
      <c r="O200" s="62">
        <v>0</v>
      </c>
      <c r="P200" s="62">
        <v>0</v>
      </c>
      <c r="Q200" s="64"/>
      <c r="R200" s="26"/>
    </row>
    <row r="201" spans="1:18" outlineLevel="2">
      <c r="A201" s="281" t="s">
        <v>446</v>
      </c>
      <c r="B201" s="56">
        <v>6666020401</v>
      </c>
      <c r="C201" t="s">
        <v>113</v>
      </c>
      <c r="E201" s="62">
        <v>0</v>
      </c>
      <c r="F201" s="62">
        <v>1.5228025657678355</v>
      </c>
      <c r="G201" s="62">
        <v>1.5228025657678355</v>
      </c>
      <c r="H201" s="62">
        <v>1.5228025657678355</v>
      </c>
      <c r="I201" s="62">
        <v>1.5846425792152354</v>
      </c>
      <c r="J201" s="62">
        <v>1.4997490334266446</v>
      </c>
      <c r="K201" s="62">
        <v>1.6609153780994899</v>
      </c>
      <c r="L201" s="62">
        <v>1.6553353574633676</v>
      </c>
      <c r="M201" s="62">
        <v>1.6609153780994899</v>
      </c>
      <c r="N201" s="62">
        <v>1.6497553368272451</v>
      </c>
      <c r="O201" s="62">
        <v>1.7001441470640999</v>
      </c>
      <c r="P201" s="62">
        <v>1.6943903541590326</v>
      </c>
      <c r="Q201" s="64">
        <f t="shared" ref="Q201:Q206" si="31">F201+E201+G201+H201+I201+J201+K201+L201+M201+N201+O201+P201</f>
        <v>17.674255261658111</v>
      </c>
      <c r="R201" s="26"/>
    </row>
    <row r="202" spans="1:18" outlineLevel="2">
      <c r="A202" s="281" t="s">
        <v>446</v>
      </c>
      <c r="B202" s="56">
        <v>6666020502</v>
      </c>
      <c r="C202" t="s">
        <v>115</v>
      </c>
      <c r="E202" s="62">
        <v>3.2329999999999998E-2</v>
      </c>
      <c r="F202" s="62">
        <v>2.1817208180078316</v>
      </c>
      <c r="G202" s="62">
        <v>2.1817208180078316</v>
      </c>
      <c r="H202" s="62">
        <v>2.1817208180078316</v>
      </c>
      <c r="I202" s="62">
        <v>2.2006634781795302</v>
      </c>
      <c r="J202" s="62">
        <v>1.8975809154323544</v>
      </c>
      <c r="K202" s="62">
        <v>2.4836813095939605</v>
      </c>
      <c r="L202" s="62">
        <v>2.4618199240537906</v>
      </c>
      <c r="M202" s="62">
        <v>2.4836813095939605</v>
      </c>
      <c r="N202" s="62">
        <v>2.4399585385136202</v>
      </c>
      <c r="O202" s="62">
        <v>2.4618199240537906</v>
      </c>
      <c r="P202" s="62">
        <v>2.4399585385136202</v>
      </c>
      <c r="Q202" s="64">
        <f t="shared" si="31"/>
        <v>25.446656391958122</v>
      </c>
      <c r="R202" s="26"/>
    </row>
    <row r="203" spans="1:18" outlineLevel="2">
      <c r="A203" s="281" t="s">
        <v>446</v>
      </c>
      <c r="B203" s="56">
        <v>6666020503</v>
      </c>
      <c r="C203" t="s">
        <v>116</v>
      </c>
      <c r="E203" s="62">
        <v>0.18759999999999999</v>
      </c>
      <c r="F203" s="62">
        <v>0</v>
      </c>
      <c r="G203" s="62">
        <v>0</v>
      </c>
      <c r="H203" s="62">
        <v>0</v>
      </c>
      <c r="I203" s="62">
        <v>0</v>
      </c>
      <c r="J203" s="62">
        <v>0</v>
      </c>
      <c r="K203" s="62">
        <v>0</v>
      </c>
      <c r="L203" s="62">
        <v>0</v>
      </c>
      <c r="M203" s="62">
        <v>0</v>
      </c>
      <c r="N203" s="62">
        <v>0</v>
      </c>
      <c r="O203" s="62">
        <v>0</v>
      </c>
      <c r="P203" s="62">
        <v>0</v>
      </c>
      <c r="Q203" s="64">
        <f t="shared" si="31"/>
        <v>0.18759999999999999</v>
      </c>
      <c r="R203" s="26"/>
    </row>
    <row r="204" spans="1:18" outlineLevel="2">
      <c r="A204" s="281" t="s">
        <v>446</v>
      </c>
      <c r="B204" s="56">
        <v>6666021502</v>
      </c>
      <c r="C204" t="s">
        <v>118</v>
      </c>
      <c r="E204" s="62">
        <v>-0.13535</v>
      </c>
      <c r="F204" s="62">
        <v>0</v>
      </c>
      <c r="G204" s="62">
        <v>0</v>
      </c>
      <c r="H204" s="62">
        <v>0</v>
      </c>
      <c r="I204" s="62">
        <v>0</v>
      </c>
      <c r="J204" s="62">
        <v>0</v>
      </c>
      <c r="K204" s="62">
        <v>0</v>
      </c>
      <c r="L204" s="62">
        <v>0</v>
      </c>
      <c r="M204" s="62">
        <v>0</v>
      </c>
      <c r="N204" s="62">
        <v>0</v>
      </c>
      <c r="O204" s="62">
        <v>0</v>
      </c>
      <c r="P204" s="62">
        <v>0</v>
      </c>
      <c r="Q204" s="64">
        <f t="shared" si="31"/>
        <v>-0.13535</v>
      </c>
      <c r="R204" s="26"/>
    </row>
    <row r="205" spans="1:18" outlineLevel="2">
      <c r="A205" s="281" t="s">
        <v>446</v>
      </c>
      <c r="B205" s="56">
        <v>6666021505</v>
      </c>
      <c r="C205" t="s">
        <v>120</v>
      </c>
      <c r="E205" s="62">
        <v>0</v>
      </c>
      <c r="F205" s="62">
        <v>0</v>
      </c>
      <c r="G205" s="62">
        <v>0</v>
      </c>
      <c r="H205" s="62">
        <v>0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v>0</v>
      </c>
      <c r="P205" s="62">
        <v>0</v>
      </c>
      <c r="Q205" s="64">
        <f t="shared" si="31"/>
        <v>0</v>
      </c>
      <c r="R205" s="26"/>
    </row>
    <row r="206" spans="1:18" outlineLevel="2">
      <c r="A206" s="281" t="s">
        <v>446</v>
      </c>
      <c r="B206" s="56">
        <v>6666091600</v>
      </c>
      <c r="C206" t="s">
        <v>122</v>
      </c>
      <c r="E206" s="62">
        <v>1.7800000000000001E-3</v>
      </c>
      <c r="F206" s="62">
        <v>0.39782963391473952</v>
      </c>
      <c r="G206" s="62">
        <v>0.39782963391473952</v>
      </c>
      <c r="H206" s="62">
        <v>0.39782963391473952</v>
      </c>
      <c r="I206" s="62">
        <v>0.39782963391473952</v>
      </c>
      <c r="J206" s="62">
        <v>0.39782963391473952</v>
      </c>
      <c r="K206" s="62">
        <v>0.39782963391473952</v>
      </c>
      <c r="L206" s="62">
        <v>0.39782963391473952</v>
      </c>
      <c r="M206" s="62">
        <v>0.39782963391473952</v>
      </c>
      <c r="N206" s="62">
        <v>0.39782963391473952</v>
      </c>
      <c r="O206" s="62">
        <v>0.39782963391473952</v>
      </c>
      <c r="P206" s="62">
        <v>0.39782963391473952</v>
      </c>
      <c r="Q206" s="64">
        <f t="shared" si="31"/>
        <v>4.377905973062135</v>
      </c>
      <c r="R206" s="26"/>
    </row>
    <row r="207" spans="1:18">
      <c r="A207" s="281"/>
      <c r="B207" s="36" t="s">
        <v>137</v>
      </c>
      <c r="C207" s="36" t="s">
        <v>123</v>
      </c>
      <c r="D207" s="38"/>
      <c r="E207" s="22">
        <f>SUM(E199:E206)</f>
        <v>0.71784999999999999</v>
      </c>
      <c r="F207" s="22">
        <f t="shared" ref="F207:P207" si="32">SUM(F199:F206)</f>
        <v>4.5720670132144496</v>
      </c>
      <c r="G207" s="22">
        <f t="shared" si="32"/>
        <v>4.5720670132144496</v>
      </c>
      <c r="H207" s="22">
        <f t="shared" si="32"/>
        <v>4.5720670132144496</v>
      </c>
      <c r="I207" s="22">
        <f t="shared" si="32"/>
        <v>4.652849686833548</v>
      </c>
      <c r="J207" s="22">
        <f t="shared" si="32"/>
        <v>4.2648735782977818</v>
      </c>
      <c r="K207" s="22">
        <f t="shared" si="32"/>
        <v>5.0121403171322321</v>
      </c>
      <c r="L207" s="22">
        <f t="shared" si="32"/>
        <v>4.9846989109559399</v>
      </c>
      <c r="M207" s="22">
        <f t="shared" si="32"/>
        <v>5.0121403171322321</v>
      </c>
      <c r="N207" s="22">
        <f t="shared" si="32"/>
        <v>4.9572575047796477</v>
      </c>
      <c r="O207" s="22">
        <f t="shared" si="32"/>
        <v>5.0295077005566728</v>
      </c>
      <c r="P207" s="22">
        <f t="shared" si="32"/>
        <v>5.0018925221114348</v>
      </c>
      <c r="Q207" s="22">
        <f>SUM(Q199:Q206)</f>
        <v>53.349411577442844</v>
      </c>
      <c r="R207" s="23"/>
    </row>
    <row r="208" spans="1:18" s="34" customFormat="1">
      <c r="A208" s="281"/>
      <c r="B208" s="57"/>
      <c r="C208" s="58"/>
      <c r="D208" s="58" t="s">
        <v>174</v>
      </c>
      <c r="E208" s="20">
        <f>+E138+E141+E181+E183+E188+E191+E198+E207</f>
        <v>212.47293000000002</v>
      </c>
      <c r="F208" s="20">
        <f t="shared" ref="F208:P208" si="33">+F138+F141+F181+F183+F188+F191+F198+F207</f>
        <v>176.80375928402907</v>
      </c>
      <c r="G208" s="20">
        <f t="shared" si="33"/>
        <v>193.67593269593482</v>
      </c>
      <c r="H208" s="20">
        <f t="shared" si="33"/>
        <v>192.61694653919528</v>
      </c>
      <c r="I208" s="20">
        <f t="shared" si="33"/>
        <v>193.35067700194426</v>
      </c>
      <c r="J208" s="20">
        <f t="shared" si="33"/>
        <v>191.89165001291138</v>
      </c>
      <c r="K208" s="20">
        <f t="shared" si="33"/>
        <v>191.22091794532454</v>
      </c>
      <c r="L208" s="20">
        <f t="shared" si="33"/>
        <v>190.62251014898666</v>
      </c>
      <c r="M208" s="20">
        <f t="shared" si="33"/>
        <v>190.82228588310105</v>
      </c>
      <c r="N208" s="20">
        <f t="shared" si="33"/>
        <v>189.77605558141005</v>
      </c>
      <c r="O208" s="20">
        <f t="shared" si="33"/>
        <v>189.12166676873966</v>
      </c>
      <c r="P208" s="20">
        <f t="shared" si="33"/>
        <v>177.47362599971521</v>
      </c>
      <c r="Q208" s="20">
        <f>+Q138+Q141+Q181+Q183+Q188+Q191+Q198+Q207</f>
        <v>2249.4072095461333</v>
      </c>
      <c r="R208" s="49"/>
    </row>
    <row r="209" spans="1:18">
      <c r="E209" s="50"/>
      <c r="F209" s="11"/>
      <c r="G209" s="11"/>
      <c r="H209" s="50"/>
      <c r="I209" s="50"/>
      <c r="J209" s="50"/>
      <c r="K209" s="50"/>
      <c r="L209" s="50"/>
      <c r="M209" s="50"/>
      <c r="N209" s="50"/>
      <c r="O209" s="50"/>
      <c r="P209" s="50"/>
      <c r="Q209" s="11"/>
      <c r="R209" s="18"/>
    </row>
    <row r="210" spans="1:18">
      <c r="E210" s="11"/>
      <c r="F210" s="11"/>
      <c r="G210" s="5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8"/>
    </row>
    <row r="211" spans="1:18"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8"/>
    </row>
    <row r="212" spans="1:18" s="34" customFormat="1">
      <c r="A212" s="281"/>
      <c r="B212" s="12"/>
      <c r="C212" s="12"/>
      <c r="D212" s="12" t="s">
        <v>140</v>
      </c>
      <c r="E212" s="20">
        <f>E208+E130</f>
        <v>1392.2334499229887</v>
      </c>
      <c r="F212" s="20">
        <f>F208+F130</f>
        <v>1472.3347225155794</v>
      </c>
      <c r="G212" s="20">
        <f>G208+G130</f>
        <v>1433.1515006245686</v>
      </c>
      <c r="H212" s="20">
        <f>H208+H130</f>
        <v>1401.8052915872231</v>
      </c>
      <c r="I212" s="20">
        <f>I208+I130</f>
        <v>1468.2351689721602</v>
      </c>
      <c r="J212" s="20">
        <f t="shared" ref="J212:P212" si="34">J208+J130</f>
        <v>1449.3551213210239</v>
      </c>
      <c r="K212" s="20">
        <f t="shared" si="34"/>
        <v>1425.3220518597532</v>
      </c>
      <c r="L212" s="20">
        <f t="shared" si="34"/>
        <v>1408.5962800823108</v>
      </c>
      <c r="M212" s="20">
        <f t="shared" si="34"/>
        <v>1528.2192348826723</v>
      </c>
      <c r="N212" s="20">
        <f t="shared" si="34"/>
        <v>1447.8476443579159</v>
      </c>
      <c r="O212" s="20">
        <f t="shared" si="34"/>
        <v>1420.5066185005296</v>
      </c>
      <c r="P212" s="20">
        <f t="shared" si="34"/>
        <v>1473.187544916394</v>
      </c>
      <c r="Q212" s="20">
        <f>+E212+F212+G212+H212+I212+J212+K212+L212+M212+N212+O212</f>
        <v>15847.607084626725</v>
      </c>
      <c r="R212" s="30"/>
    </row>
    <row r="213" spans="1:18"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8">
      <c r="C215" s="105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8">
      <c r="C216" s="105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>
      <c r="E217" s="50"/>
    </row>
    <row r="218" spans="1:18" s="3" customFormat="1">
      <c r="A218" s="35"/>
      <c r="B218" s="8"/>
      <c r="C218" s="182"/>
      <c r="D218" s="65" t="s">
        <v>189</v>
      </c>
      <c r="E218" s="6" t="s">
        <v>191</v>
      </c>
      <c r="F218" s="6" t="s">
        <v>191</v>
      </c>
      <c r="G218" s="6" t="s">
        <v>191</v>
      </c>
      <c r="H218" s="6" t="s">
        <v>191</v>
      </c>
      <c r="I218" s="6" t="s">
        <v>191</v>
      </c>
      <c r="J218" s="6" t="s">
        <v>191</v>
      </c>
      <c r="K218" s="6" t="s">
        <v>191</v>
      </c>
      <c r="L218" s="6" t="s">
        <v>191</v>
      </c>
      <c r="M218" s="6" t="s">
        <v>191</v>
      </c>
      <c r="N218" s="6" t="s">
        <v>191</v>
      </c>
      <c r="O218" s="6" t="s">
        <v>191</v>
      </c>
      <c r="P218" s="6" t="s">
        <v>191</v>
      </c>
      <c r="Q218" s="6" t="s">
        <v>191</v>
      </c>
      <c r="R218" s="7"/>
    </row>
    <row r="219" spans="1:18" s="3" customFormat="1">
      <c r="A219" s="35"/>
      <c r="B219" s="8"/>
      <c r="C219" s="181"/>
      <c r="D219" s="66" t="s">
        <v>2</v>
      </c>
      <c r="E219" s="67">
        <f t="shared" ref="E219:Q219" si="35">E23</f>
        <v>451.11424000000005</v>
      </c>
      <c r="F219" s="67">
        <f t="shared" si="35"/>
        <v>483.16754422137763</v>
      </c>
      <c r="G219" s="67">
        <f t="shared" si="35"/>
        <v>486.95671671796867</v>
      </c>
      <c r="H219" s="67">
        <f t="shared" si="35"/>
        <v>464.96080831070191</v>
      </c>
      <c r="I219" s="67">
        <f t="shared" si="35"/>
        <v>528.14055158830115</v>
      </c>
      <c r="J219" s="67">
        <f t="shared" si="35"/>
        <v>497.00351304587235</v>
      </c>
      <c r="K219" s="67">
        <f t="shared" si="35"/>
        <v>446.30187466566298</v>
      </c>
      <c r="L219" s="67">
        <f t="shared" si="35"/>
        <v>457.45747629957157</v>
      </c>
      <c r="M219" s="67">
        <f t="shared" si="35"/>
        <v>552.8625556614918</v>
      </c>
      <c r="N219" s="67">
        <f t="shared" si="35"/>
        <v>505.6864291133387</v>
      </c>
      <c r="O219" s="67">
        <f t="shared" si="35"/>
        <v>482.52376750219298</v>
      </c>
      <c r="P219" s="67">
        <f t="shared" si="35"/>
        <v>489.09036175807495</v>
      </c>
      <c r="Q219" s="67">
        <f t="shared" si="35"/>
        <v>5845.2658388845548</v>
      </c>
      <c r="R219" s="68"/>
    </row>
    <row r="220" spans="1:18" s="3" customFormat="1">
      <c r="A220" s="35"/>
      <c r="B220" s="8"/>
      <c r="C220" s="8"/>
      <c r="D220" s="66" t="s">
        <v>3</v>
      </c>
      <c r="E220" s="67">
        <f t="shared" ref="E220:Q220" si="36">E28+E97+E85+E89</f>
        <v>-1.9433700000000016</v>
      </c>
      <c r="F220" s="67">
        <f t="shared" si="36"/>
        <v>19.978721859630092</v>
      </c>
      <c r="G220" s="67">
        <f t="shared" si="36"/>
        <v>11.259258041904623</v>
      </c>
      <c r="H220" s="67">
        <f t="shared" si="36"/>
        <v>19.736242345265538</v>
      </c>
      <c r="I220" s="67">
        <f t="shared" si="36"/>
        <v>16.332302098746709</v>
      </c>
      <c r="J220" s="67">
        <f t="shared" si="36"/>
        <v>25.864736101807509</v>
      </c>
      <c r="K220" s="67">
        <f t="shared" si="36"/>
        <v>20.042680374592784</v>
      </c>
      <c r="L220" s="67">
        <f t="shared" si="36"/>
        <v>23.830940792495376</v>
      </c>
      <c r="M220" s="67">
        <f t="shared" si="36"/>
        <v>22.193507009326744</v>
      </c>
      <c r="N220" s="67">
        <f t="shared" si="36"/>
        <v>20.054350366390366</v>
      </c>
      <c r="O220" s="67">
        <f t="shared" si="36"/>
        <v>24.063382943147808</v>
      </c>
      <c r="P220" s="67">
        <f t="shared" si="36"/>
        <v>20.210630588501914</v>
      </c>
      <c r="Q220" s="67">
        <f t="shared" si="36"/>
        <v>221.62338252180939</v>
      </c>
      <c r="R220" s="68"/>
    </row>
    <row r="221" spans="1:18" s="3" customFormat="1">
      <c r="A221" s="35"/>
      <c r="B221" s="8"/>
      <c r="C221" s="8"/>
      <c r="D221" s="69" t="s">
        <v>5</v>
      </c>
      <c r="E221" s="70">
        <f t="shared" ref="E221:Q221" si="37">E105</f>
        <v>236.51712000000001</v>
      </c>
      <c r="F221" s="70">
        <f t="shared" si="37"/>
        <v>214.48241020498156</v>
      </c>
      <c r="G221" s="70">
        <f t="shared" si="37"/>
        <v>222.8061698056664</v>
      </c>
      <c r="H221" s="70">
        <f t="shared" si="37"/>
        <v>213.96038785205897</v>
      </c>
      <c r="I221" s="70">
        <f t="shared" si="37"/>
        <v>236.95514072571399</v>
      </c>
      <c r="J221" s="70">
        <f t="shared" si="37"/>
        <v>224.39062726412081</v>
      </c>
      <c r="K221" s="70">
        <f t="shared" si="37"/>
        <v>258.75690510461726</v>
      </c>
      <c r="L221" s="70">
        <f t="shared" si="37"/>
        <v>232.43646972895019</v>
      </c>
      <c r="M221" s="70">
        <f t="shared" si="37"/>
        <v>238.36332486385953</v>
      </c>
      <c r="N221" s="70">
        <f t="shared" si="37"/>
        <v>222.64599437109715</v>
      </c>
      <c r="O221" s="70">
        <f t="shared" si="37"/>
        <v>217.42964478736093</v>
      </c>
      <c r="P221" s="70">
        <f t="shared" si="37"/>
        <v>284.76513103957291</v>
      </c>
      <c r="Q221" s="70">
        <f t="shared" si="37"/>
        <v>2803.5093257479994</v>
      </c>
      <c r="R221" s="71"/>
    </row>
    <row r="222" spans="1:18" s="3" customFormat="1">
      <c r="A222" s="35"/>
      <c r="B222" s="8"/>
      <c r="C222" s="8"/>
      <c r="D222" s="69" t="s">
        <v>6</v>
      </c>
      <c r="E222" s="70">
        <f t="shared" ref="E222:Q222" si="38">E113</f>
        <v>115.16989000000001</v>
      </c>
      <c r="F222" s="70">
        <f t="shared" si="38"/>
        <v>114.33682248040888</v>
      </c>
      <c r="G222" s="70">
        <f t="shared" si="38"/>
        <v>104.53035001140138</v>
      </c>
      <c r="H222" s="70">
        <f t="shared" si="38"/>
        <v>105.61480673182199</v>
      </c>
      <c r="I222" s="70">
        <f t="shared" si="38"/>
        <v>111.61576960778966</v>
      </c>
      <c r="J222" s="70">
        <f t="shared" si="38"/>
        <v>107.92895329585137</v>
      </c>
      <c r="K222" s="70">
        <f t="shared" si="38"/>
        <v>100.07556861651663</v>
      </c>
      <c r="L222" s="70">
        <f t="shared" si="38"/>
        <v>100.55177109572848</v>
      </c>
      <c r="M222" s="70">
        <f t="shared" si="38"/>
        <v>105.38741652700493</v>
      </c>
      <c r="N222" s="70">
        <f t="shared" si="38"/>
        <v>98.798217549535778</v>
      </c>
      <c r="O222" s="70">
        <f t="shared" si="38"/>
        <v>97.220438968319954</v>
      </c>
      <c r="P222" s="70">
        <f t="shared" si="38"/>
        <v>95.692261593514075</v>
      </c>
      <c r="Q222" s="70">
        <f t="shared" si="38"/>
        <v>1256.9222664778929</v>
      </c>
      <c r="R222" s="71"/>
    </row>
    <row r="223" spans="1:18" s="3" customFormat="1">
      <c r="A223" s="35"/>
      <c r="B223" s="8"/>
      <c r="C223" s="8"/>
      <c r="D223" s="69" t="s">
        <v>7</v>
      </c>
      <c r="E223" s="70">
        <f t="shared" ref="E223:Q223" si="39">E80+E129+E87+E92</f>
        <v>207.55441000000005</v>
      </c>
      <c r="F223" s="70">
        <f t="shared" si="39"/>
        <v>313.97237315380085</v>
      </c>
      <c r="G223" s="70">
        <f t="shared" si="39"/>
        <v>253.56440486221032</v>
      </c>
      <c r="H223" s="70">
        <f t="shared" si="39"/>
        <v>249.82379837373946</v>
      </c>
      <c r="I223" s="70">
        <f t="shared" si="39"/>
        <v>226.22108203663441</v>
      </c>
      <c r="J223" s="70">
        <f t="shared" si="39"/>
        <v>249.40186165250242</v>
      </c>
      <c r="K223" s="70">
        <f t="shared" si="39"/>
        <v>237.6406935477327</v>
      </c>
      <c r="L223" s="70">
        <f t="shared" si="39"/>
        <v>233.40856008034933</v>
      </c>
      <c r="M223" s="70">
        <f t="shared" si="39"/>
        <v>252.29971286286542</v>
      </c>
      <c r="N223" s="70">
        <f t="shared" si="39"/>
        <v>242.1406810468838</v>
      </c>
      <c r="O223" s="70">
        <f t="shared" si="39"/>
        <v>243.23018025419572</v>
      </c>
      <c r="P223" s="70">
        <f t="shared" si="39"/>
        <v>229.03285308327509</v>
      </c>
      <c r="Q223" s="70">
        <f t="shared" si="39"/>
        <v>2938.2906109541896</v>
      </c>
      <c r="R223" s="71"/>
    </row>
    <row r="224" spans="1:18" s="3" customFormat="1">
      <c r="A224" s="35"/>
      <c r="B224" s="8"/>
      <c r="C224" s="8"/>
      <c r="D224" s="69" t="s">
        <v>10</v>
      </c>
      <c r="E224" s="70">
        <f t="shared" ref="E224:Q224" si="40">E14</f>
        <v>171.34822992298859</v>
      </c>
      <c r="F224" s="70">
        <f t="shared" si="40"/>
        <v>149.59309131135137</v>
      </c>
      <c r="G224" s="70">
        <f t="shared" si="40"/>
        <v>160.35866848948237</v>
      </c>
      <c r="H224" s="70">
        <f t="shared" si="40"/>
        <v>155.09230143443961</v>
      </c>
      <c r="I224" s="70">
        <f t="shared" si="40"/>
        <v>155.61964591302998</v>
      </c>
      <c r="J224" s="70">
        <f t="shared" si="40"/>
        <v>152.87377994795816</v>
      </c>
      <c r="K224" s="70">
        <f t="shared" si="40"/>
        <v>171.28341160530616</v>
      </c>
      <c r="L224" s="70">
        <f t="shared" si="40"/>
        <v>170.28855193622923</v>
      </c>
      <c r="M224" s="70">
        <f t="shared" si="40"/>
        <v>166.29043207502255</v>
      </c>
      <c r="N224" s="70">
        <f t="shared" si="40"/>
        <v>168.74591632926007</v>
      </c>
      <c r="O224" s="70">
        <f t="shared" si="40"/>
        <v>166.9175372765722</v>
      </c>
      <c r="P224" s="70">
        <f t="shared" si="40"/>
        <v>176.92268085373973</v>
      </c>
      <c r="Q224" s="70">
        <f t="shared" si="40"/>
        <v>1965.3342470953792</v>
      </c>
      <c r="R224" s="71"/>
    </row>
    <row r="225" spans="1:18" s="3" customFormat="1">
      <c r="A225" s="35"/>
      <c r="B225" s="8"/>
      <c r="C225" s="8"/>
      <c r="D225" s="72" t="s">
        <v>9</v>
      </c>
      <c r="E225" s="73">
        <f t="shared" ref="E225:Q225" si="41">E208</f>
        <v>212.47293000000002</v>
      </c>
      <c r="F225" s="73">
        <f t="shared" si="41"/>
        <v>176.80375928402907</v>
      </c>
      <c r="G225" s="73">
        <f t="shared" si="41"/>
        <v>193.67593269593482</v>
      </c>
      <c r="H225" s="73">
        <f t="shared" si="41"/>
        <v>192.61694653919528</v>
      </c>
      <c r="I225" s="73">
        <f t="shared" si="41"/>
        <v>193.35067700194426</v>
      </c>
      <c r="J225" s="73">
        <f t="shared" si="41"/>
        <v>191.89165001291138</v>
      </c>
      <c r="K225" s="73">
        <f t="shared" si="41"/>
        <v>191.22091794532454</v>
      </c>
      <c r="L225" s="73">
        <f t="shared" si="41"/>
        <v>190.62251014898666</v>
      </c>
      <c r="M225" s="73">
        <f t="shared" si="41"/>
        <v>190.82228588310105</v>
      </c>
      <c r="N225" s="73">
        <f t="shared" si="41"/>
        <v>189.77605558141005</v>
      </c>
      <c r="O225" s="73">
        <f t="shared" si="41"/>
        <v>189.12166676873966</v>
      </c>
      <c r="P225" s="73">
        <f t="shared" si="41"/>
        <v>177.47362599971521</v>
      </c>
      <c r="Q225" s="73">
        <f t="shared" si="41"/>
        <v>2249.4072095461333</v>
      </c>
      <c r="R225" s="74"/>
    </row>
    <row r="226" spans="1:18" s="35" customFormat="1">
      <c r="B226" s="8"/>
      <c r="C226" s="8"/>
      <c r="D226" s="75" t="s">
        <v>0</v>
      </c>
      <c r="E226" s="76">
        <f t="shared" ref="E226:Q226" si="42">SUM(E219:E225)</f>
        <v>1392.2334499229887</v>
      </c>
      <c r="F226" s="76">
        <f t="shared" si="42"/>
        <v>1472.3347225155794</v>
      </c>
      <c r="G226" s="76">
        <f t="shared" si="42"/>
        <v>1433.1515006245686</v>
      </c>
      <c r="H226" s="267">
        <f t="shared" si="42"/>
        <v>1401.8052915872227</v>
      </c>
      <c r="I226" s="267">
        <f t="shared" si="42"/>
        <v>1468.23516897216</v>
      </c>
      <c r="J226" s="267">
        <f t="shared" si="42"/>
        <v>1449.3551213210239</v>
      </c>
      <c r="K226" s="267">
        <f t="shared" si="42"/>
        <v>1425.3220518597532</v>
      </c>
      <c r="L226" s="267">
        <f t="shared" si="42"/>
        <v>1408.5962800823108</v>
      </c>
      <c r="M226" s="267">
        <f t="shared" si="42"/>
        <v>1528.219234882672</v>
      </c>
      <c r="N226" s="267">
        <f t="shared" si="42"/>
        <v>1447.8476443579159</v>
      </c>
      <c r="O226" s="267">
        <f t="shared" si="42"/>
        <v>1420.5066185005292</v>
      </c>
      <c r="P226" s="267">
        <f t="shared" si="42"/>
        <v>1473.187544916394</v>
      </c>
      <c r="Q226" s="267">
        <f t="shared" si="42"/>
        <v>17280.352881227958</v>
      </c>
      <c r="R226" s="77"/>
    </row>
    <row r="227" spans="1:18">
      <c r="E227" s="11">
        <f t="shared" ref="E227:P227" si="43">SUM(E219:E225)-E226</f>
        <v>0</v>
      </c>
      <c r="F227" s="11">
        <f t="shared" si="43"/>
        <v>0</v>
      </c>
      <c r="G227" s="11">
        <f t="shared" si="43"/>
        <v>0</v>
      </c>
      <c r="H227" s="11">
        <f t="shared" si="43"/>
        <v>0</v>
      </c>
      <c r="I227" s="11">
        <f t="shared" si="43"/>
        <v>0</v>
      </c>
      <c r="J227" s="11">
        <f t="shared" si="43"/>
        <v>0</v>
      </c>
      <c r="K227" s="11">
        <f t="shared" si="43"/>
        <v>0</v>
      </c>
      <c r="L227" s="11">
        <f t="shared" si="43"/>
        <v>0</v>
      </c>
      <c r="M227" s="11">
        <f t="shared" si="43"/>
        <v>0</v>
      </c>
      <c r="N227" s="11">
        <f t="shared" si="43"/>
        <v>0</v>
      </c>
      <c r="O227" s="11">
        <f t="shared" si="43"/>
        <v>0</v>
      </c>
      <c r="P227" s="11">
        <f t="shared" si="43"/>
        <v>0</v>
      </c>
      <c r="Q227" s="11">
        <f>SUM(Q219:Q225)-Q226</f>
        <v>0</v>
      </c>
      <c r="R227" s="11"/>
    </row>
    <row r="229" spans="1:18">
      <c r="D229" s="39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9"/>
    </row>
    <row r="230" spans="1:18">
      <c r="D230" s="40" t="s">
        <v>1</v>
      </c>
      <c r="E230" s="80">
        <f t="shared" ref="E230:Q230" si="44">E23+E28+E85+E89+E97</f>
        <v>449.17087000000009</v>
      </c>
      <c r="F230" s="80">
        <f t="shared" si="44"/>
        <v>503.1462660810077</v>
      </c>
      <c r="G230" s="80">
        <f t="shared" si="44"/>
        <v>498.21597475987323</v>
      </c>
      <c r="H230" s="80">
        <f t="shared" si="44"/>
        <v>484.69705065596742</v>
      </c>
      <c r="I230" s="80">
        <f t="shared" si="44"/>
        <v>544.47285368704775</v>
      </c>
      <c r="J230" s="80">
        <f t="shared" si="44"/>
        <v>522.86824914767976</v>
      </c>
      <c r="K230" s="80">
        <f t="shared" si="44"/>
        <v>466.34455504025578</v>
      </c>
      <c r="L230" s="80">
        <f t="shared" si="44"/>
        <v>481.28841709206699</v>
      </c>
      <c r="M230" s="80">
        <f t="shared" si="44"/>
        <v>575.05606267081862</v>
      </c>
      <c r="N230" s="80">
        <f t="shared" si="44"/>
        <v>525.7407794797291</v>
      </c>
      <c r="O230" s="80">
        <f t="shared" si="44"/>
        <v>506.5871504453408</v>
      </c>
      <c r="P230" s="80">
        <f t="shared" si="44"/>
        <v>509.30099234657689</v>
      </c>
      <c r="Q230" s="80">
        <f t="shared" si="44"/>
        <v>6066.8892214063644</v>
      </c>
      <c r="R230" s="81"/>
    </row>
    <row r="231" spans="1:18">
      <c r="D231" s="41" t="s">
        <v>4</v>
      </c>
      <c r="E231" s="82">
        <f t="shared" ref="E231:Q231" si="45">SUM(E14,E80,E87,E92,E105,E113,E129)</f>
        <v>730.58964992298866</v>
      </c>
      <c r="F231" s="82">
        <f t="shared" si="45"/>
        <v>792.38469715054271</v>
      </c>
      <c r="G231" s="82">
        <f t="shared" si="45"/>
        <v>741.2595931687606</v>
      </c>
      <c r="H231" s="82">
        <f t="shared" si="45"/>
        <v>724.49129439206013</v>
      </c>
      <c r="I231" s="82">
        <f t="shared" si="45"/>
        <v>730.41163828316803</v>
      </c>
      <c r="J231" s="82">
        <f t="shared" si="45"/>
        <v>734.59522216043274</v>
      </c>
      <c r="K231" s="82">
        <f t="shared" si="45"/>
        <v>767.75657887417276</v>
      </c>
      <c r="L231" s="82">
        <f t="shared" si="45"/>
        <v>736.68535284125721</v>
      </c>
      <c r="M231" s="82">
        <f t="shared" si="45"/>
        <v>762.34088632875239</v>
      </c>
      <c r="N231" s="82">
        <f t="shared" si="45"/>
        <v>732.33080929677681</v>
      </c>
      <c r="O231" s="82">
        <f t="shared" si="45"/>
        <v>724.7978012864487</v>
      </c>
      <c r="P231" s="82">
        <f t="shared" si="45"/>
        <v>786.41292657010183</v>
      </c>
      <c r="Q231" s="82">
        <f t="shared" si="45"/>
        <v>8964.0564502754605</v>
      </c>
      <c r="R231" s="83"/>
    </row>
    <row r="232" spans="1:18">
      <c r="D232" s="42" t="s">
        <v>8</v>
      </c>
      <c r="E232" s="84">
        <f t="shared" ref="E232:Q232" si="46">E225</f>
        <v>212.47293000000002</v>
      </c>
      <c r="F232" s="84">
        <f t="shared" si="46"/>
        <v>176.80375928402907</v>
      </c>
      <c r="G232" s="84">
        <f t="shared" si="46"/>
        <v>193.67593269593482</v>
      </c>
      <c r="H232" s="84">
        <f t="shared" si="46"/>
        <v>192.61694653919528</v>
      </c>
      <c r="I232" s="84">
        <f t="shared" si="46"/>
        <v>193.35067700194426</v>
      </c>
      <c r="J232" s="84">
        <f t="shared" si="46"/>
        <v>191.89165001291138</v>
      </c>
      <c r="K232" s="84">
        <f t="shared" si="46"/>
        <v>191.22091794532454</v>
      </c>
      <c r="L232" s="84">
        <f t="shared" si="46"/>
        <v>190.62251014898666</v>
      </c>
      <c r="M232" s="84">
        <f t="shared" si="46"/>
        <v>190.82228588310105</v>
      </c>
      <c r="N232" s="84">
        <f t="shared" si="46"/>
        <v>189.77605558141005</v>
      </c>
      <c r="O232" s="84">
        <f t="shared" si="46"/>
        <v>189.12166676873966</v>
      </c>
      <c r="P232" s="84">
        <f t="shared" si="46"/>
        <v>177.47362599971521</v>
      </c>
      <c r="Q232" s="84">
        <f t="shared" si="46"/>
        <v>2249.4072095461333</v>
      </c>
      <c r="R232" s="85"/>
    </row>
    <row r="233" spans="1:18">
      <c r="D233" s="43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7"/>
    </row>
    <row r="234" spans="1:18">
      <c r="D234" s="44" t="s">
        <v>11</v>
      </c>
      <c r="E234" s="88">
        <f t="shared" ref="E234:Q234" si="47">SUM(E229:E233)</f>
        <v>1392.2334499229887</v>
      </c>
      <c r="F234" s="88">
        <f t="shared" si="47"/>
        <v>1472.3347225155794</v>
      </c>
      <c r="G234" s="88">
        <f t="shared" si="47"/>
        <v>1433.1515006245686</v>
      </c>
      <c r="H234" s="88">
        <f t="shared" si="47"/>
        <v>1401.8052915872227</v>
      </c>
      <c r="I234" s="88">
        <f t="shared" si="47"/>
        <v>1468.23516897216</v>
      </c>
      <c r="J234" s="88">
        <f t="shared" si="47"/>
        <v>1449.3551213210239</v>
      </c>
      <c r="K234" s="88">
        <f t="shared" si="47"/>
        <v>1425.3220518597532</v>
      </c>
      <c r="L234" s="88">
        <f t="shared" si="47"/>
        <v>1408.5962800823108</v>
      </c>
      <c r="M234" s="88">
        <f t="shared" si="47"/>
        <v>1528.2192348826723</v>
      </c>
      <c r="N234" s="88">
        <f t="shared" si="47"/>
        <v>1447.8476443579159</v>
      </c>
      <c r="O234" s="88">
        <f t="shared" si="47"/>
        <v>1420.5066185005292</v>
      </c>
      <c r="P234" s="88">
        <f t="shared" si="47"/>
        <v>1473.187544916394</v>
      </c>
      <c r="Q234" s="88">
        <f t="shared" si="47"/>
        <v>17280.352881227958</v>
      </c>
      <c r="R234" s="273"/>
    </row>
    <row r="235" spans="1:18">
      <c r="J235" s="50"/>
      <c r="K235" s="50"/>
      <c r="L235" s="50"/>
      <c r="M235" s="50"/>
      <c r="N235" s="50"/>
      <c r="O235" s="50"/>
      <c r="P235" s="50"/>
      <c r="Q235" s="50"/>
    </row>
    <row r="236" spans="1:18" s="268" customFormat="1">
      <c r="A236" s="280"/>
      <c r="B236" s="105"/>
      <c r="C236" s="105"/>
      <c r="D236" t="s">
        <v>404</v>
      </c>
      <c r="E236" s="50">
        <f t="shared" ref="E236:Q236" si="48">+E234*1000</f>
        <v>1392233.4499229887</v>
      </c>
      <c r="F236" s="50">
        <f t="shared" si="48"/>
        <v>1472334.7225155793</v>
      </c>
      <c r="G236" s="50">
        <f t="shared" si="48"/>
        <v>1433151.5006245687</v>
      </c>
      <c r="H236" s="50">
        <f t="shared" si="48"/>
        <v>1401805.2915872226</v>
      </c>
      <c r="I236" s="50">
        <f t="shared" si="48"/>
        <v>1468235.16897216</v>
      </c>
      <c r="J236" s="50">
        <f t="shared" si="48"/>
        <v>1449355.1213210239</v>
      </c>
      <c r="K236" s="50">
        <f t="shared" si="48"/>
        <v>1425322.0518597532</v>
      </c>
      <c r="L236" s="50">
        <f t="shared" si="48"/>
        <v>1408596.2800823108</v>
      </c>
      <c r="M236" s="50">
        <f t="shared" si="48"/>
        <v>1528219.2348826723</v>
      </c>
      <c r="N236" s="50">
        <f t="shared" si="48"/>
        <v>1447847.644357916</v>
      </c>
      <c r="O236" s="50">
        <f t="shared" si="48"/>
        <v>1420506.6185005291</v>
      </c>
      <c r="P236" s="50">
        <f t="shared" si="48"/>
        <v>1473187.5449163939</v>
      </c>
      <c r="Q236" s="50">
        <f t="shared" si="48"/>
        <v>17280352.881227959</v>
      </c>
      <c r="R236" s="50"/>
    </row>
    <row r="237" spans="1:18">
      <c r="D237" t="s">
        <v>402</v>
      </c>
      <c r="E237" s="50">
        <v>76774263.480000004</v>
      </c>
      <c r="F237" s="50">
        <v>73270182.120000005</v>
      </c>
      <c r="G237" s="50">
        <v>69204227.879999995</v>
      </c>
      <c r="H237" s="50"/>
      <c r="I237" s="50"/>
      <c r="J237" s="50"/>
      <c r="K237" s="50"/>
      <c r="L237" s="50"/>
      <c r="M237" s="50"/>
      <c r="N237" s="50"/>
      <c r="O237" s="50"/>
      <c r="P237" s="50"/>
      <c r="Q237" s="50"/>
    </row>
    <row r="238" spans="1:18">
      <c r="E238" s="11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185"/>
    </row>
    <row r="239" spans="1:18">
      <c r="D239" t="s">
        <v>403</v>
      </c>
      <c r="E239" s="184">
        <f t="shared" ref="E239:Q239" si="49">+E237/E236</f>
        <v>55.144676695023215</v>
      </c>
      <c r="F239" s="184">
        <f t="shared" si="49"/>
        <v>49.764622812680223</v>
      </c>
      <c r="G239" s="184">
        <f t="shared" si="49"/>
        <v>48.288145286692114</v>
      </c>
      <c r="H239" s="184">
        <f t="shared" si="49"/>
        <v>0</v>
      </c>
      <c r="I239" s="184">
        <f t="shared" si="49"/>
        <v>0</v>
      </c>
      <c r="J239" s="184">
        <f t="shared" si="49"/>
        <v>0</v>
      </c>
      <c r="K239" s="184">
        <f t="shared" si="49"/>
        <v>0</v>
      </c>
      <c r="L239" s="184">
        <f t="shared" si="49"/>
        <v>0</v>
      </c>
      <c r="M239" s="184">
        <f t="shared" si="49"/>
        <v>0</v>
      </c>
      <c r="N239" s="184">
        <f t="shared" si="49"/>
        <v>0</v>
      </c>
      <c r="O239" s="184">
        <f t="shared" si="49"/>
        <v>0</v>
      </c>
      <c r="P239" s="184">
        <f t="shared" si="49"/>
        <v>0</v>
      </c>
      <c r="Q239" s="184">
        <f t="shared" si="49"/>
        <v>0</v>
      </c>
    </row>
    <row r="240" spans="1:18">
      <c r="E240" s="183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</row>
    <row r="241" spans="1:18">
      <c r="E241" s="50"/>
    </row>
    <row r="242" spans="1:18">
      <c r="E242" s="18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8">
      <c r="E243" s="50"/>
    </row>
    <row r="244" spans="1:18" ht="18">
      <c r="B244" s="385" t="s">
        <v>405</v>
      </c>
      <c r="C244" s="385"/>
      <c r="D244" s="385"/>
      <c r="E244" s="50"/>
    </row>
    <row r="245" spans="1:18">
      <c r="A245" s="281" t="s">
        <v>445</v>
      </c>
      <c r="B245" s="9">
        <v>6666110101</v>
      </c>
      <c r="C245" s="9" t="s">
        <v>15</v>
      </c>
      <c r="D245" s="9" t="s">
        <v>23</v>
      </c>
      <c r="E245" s="269">
        <v>22.937379892523118</v>
      </c>
      <c r="F245" s="269">
        <v>20.865191666366464</v>
      </c>
      <c r="G245" s="269">
        <v>22.987826212270171</v>
      </c>
      <c r="H245" s="269">
        <v>22.429863754812292</v>
      </c>
      <c r="I245" s="269">
        <v>23.328887731369878</v>
      </c>
      <c r="J245" s="269">
        <v>22.739470353031319</v>
      </c>
      <c r="K245" s="269">
        <v>23.59377583917319</v>
      </c>
      <c r="L245" s="269">
        <v>23.699284436426833</v>
      </c>
      <c r="M245" s="269">
        <v>23.047041728169539</v>
      </c>
      <c r="N245" s="269">
        <v>23.897281299413724</v>
      </c>
      <c r="O245" s="269">
        <v>23.230158215607091</v>
      </c>
      <c r="P245" s="269">
        <v>24.080594221955778</v>
      </c>
      <c r="Q245" s="269">
        <f t="shared" ref="Q245:Q252" si="50">+E245+F245+G245+H245+I245+J245+K245+L245+M245+N245+O245+P245</f>
        <v>276.83675535111939</v>
      </c>
      <c r="R245" s="79"/>
    </row>
    <row r="246" spans="1:18">
      <c r="A246" s="281" t="s">
        <v>445</v>
      </c>
      <c r="B246" s="9">
        <v>6666110106</v>
      </c>
      <c r="C246" s="9" t="s">
        <v>16</v>
      </c>
      <c r="D246" s="9" t="s">
        <v>23</v>
      </c>
      <c r="E246" s="25">
        <v>0</v>
      </c>
      <c r="F246" s="25">
        <v>0</v>
      </c>
      <c r="G246" s="25">
        <v>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f t="shared" si="50"/>
        <v>0</v>
      </c>
      <c r="R246" s="270"/>
    </row>
    <row r="247" spans="1:18">
      <c r="A247" s="281" t="s">
        <v>445</v>
      </c>
      <c r="B247" s="9">
        <v>6666110107</v>
      </c>
      <c r="C247" s="9" t="s">
        <v>17</v>
      </c>
      <c r="D247" s="9" t="s">
        <v>23</v>
      </c>
      <c r="E247" s="25">
        <v>131.95949399709929</v>
      </c>
      <c r="F247" s="25">
        <v>128.50944426501019</v>
      </c>
      <c r="G247" s="25">
        <v>132.5964644893501</v>
      </c>
      <c r="H247" s="25">
        <v>133.1399494286353</v>
      </c>
      <c r="I247" s="25">
        <v>136.89070869994342</v>
      </c>
      <c r="J247" s="25">
        <v>137.10293615989491</v>
      </c>
      <c r="K247" s="25">
        <v>140.22302719238331</v>
      </c>
      <c r="L247" s="25">
        <v>141.55231184254714</v>
      </c>
      <c r="M247" s="25">
        <v>141.04042556379062</v>
      </c>
      <c r="N247" s="25">
        <v>144.04445621112868</v>
      </c>
      <c r="O247" s="25">
        <v>143.38387063793496</v>
      </c>
      <c r="P247" s="25">
        <v>146.35031992139636</v>
      </c>
      <c r="Q247" s="25">
        <f t="shared" si="50"/>
        <v>1656.7934084091144</v>
      </c>
      <c r="R247" s="270"/>
    </row>
    <row r="248" spans="1:18">
      <c r="A248" s="281" t="s">
        <v>445</v>
      </c>
      <c r="B248" s="9">
        <v>6666110110</v>
      </c>
      <c r="C248" s="9" t="s">
        <v>18</v>
      </c>
      <c r="D248" s="9" t="s">
        <v>23</v>
      </c>
      <c r="E248" s="25">
        <v>232.00885862227031</v>
      </c>
      <c r="F248" s="25">
        <v>231.7404196339368</v>
      </c>
      <c r="G248" s="25">
        <v>259.8832467323208</v>
      </c>
      <c r="H248" s="25">
        <v>251.50838935798538</v>
      </c>
      <c r="I248" s="25">
        <v>259.51546517261772</v>
      </c>
      <c r="J248" s="25">
        <v>251.33833915160059</v>
      </c>
      <c r="K248" s="25">
        <v>259.0819508143282</v>
      </c>
      <c r="L248" s="25">
        <v>258.72827912742514</v>
      </c>
      <c r="M248" s="25">
        <v>250.19728233863194</v>
      </c>
      <c r="N248" s="25">
        <v>259.46435253788729</v>
      </c>
      <c r="O248" s="25">
        <v>251.88662214347477</v>
      </c>
      <c r="P248" s="25">
        <v>261.15815163882382</v>
      </c>
      <c r="Q248" s="25">
        <f t="shared" si="50"/>
        <v>3026.5113572713026</v>
      </c>
      <c r="R248" s="270"/>
    </row>
    <row r="249" spans="1:18">
      <c r="A249" s="281" t="s">
        <v>445</v>
      </c>
      <c r="B249" s="9">
        <v>6666110112</v>
      </c>
      <c r="C249" s="9" t="s">
        <v>19</v>
      </c>
      <c r="D249" s="9" t="s">
        <v>23</v>
      </c>
      <c r="E249" s="25">
        <v>4.6954022440477825</v>
      </c>
      <c r="F249" s="25">
        <v>4.4504974709050638</v>
      </c>
      <c r="G249" s="25">
        <v>4.7228927401647471</v>
      </c>
      <c r="H249" s="25">
        <v>4.7190566367913949</v>
      </c>
      <c r="I249" s="25">
        <v>3.5097491143611212</v>
      </c>
      <c r="J249" s="25">
        <v>3.7738651133896481</v>
      </c>
      <c r="K249" s="25">
        <v>3.804334471540824</v>
      </c>
      <c r="L249" s="25">
        <v>3.8799128286160287</v>
      </c>
      <c r="M249" s="25">
        <v>3.8599245320737001</v>
      </c>
      <c r="N249" s="25">
        <v>3.9632233980183074</v>
      </c>
      <c r="O249" s="25">
        <v>3.9341217664847683</v>
      </c>
      <c r="P249" s="25">
        <v>3.7400680602184919</v>
      </c>
      <c r="Q249" s="25">
        <f t="shared" si="50"/>
        <v>49.053048376611869</v>
      </c>
      <c r="R249" s="270"/>
    </row>
    <row r="250" spans="1:18">
      <c r="A250" s="281" t="s">
        <v>445</v>
      </c>
      <c r="B250" s="9">
        <v>6666110204</v>
      </c>
      <c r="C250" s="9" t="s">
        <v>20</v>
      </c>
      <c r="D250" s="9" t="s">
        <v>23</v>
      </c>
      <c r="E250" s="25">
        <v>7.839918606071837E-2</v>
      </c>
      <c r="F250" s="25">
        <v>8.1380076521274311E-2</v>
      </c>
      <c r="G250" s="25">
        <v>7.9585154130931049E-2</v>
      </c>
      <c r="H250" s="25">
        <v>8.3786040983439614E-2</v>
      </c>
      <c r="I250" s="25">
        <v>8.7625724599773719E-2</v>
      </c>
      <c r="J250" s="25">
        <v>9.1313307912645289E-2</v>
      </c>
      <c r="K250" s="25">
        <v>9.3885298415909146E-2</v>
      </c>
      <c r="L250" s="25">
        <v>9.6366507525108239E-2</v>
      </c>
      <c r="M250" s="25">
        <v>9.8790682185917855E-2</v>
      </c>
      <c r="N250" s="25">
        <v>0.10104915966674667</v>
      </c>
      <c r="O250" s="25">
        <v>0.1032322381781014</v>
      </c>
      <c r="P250" s="25">
        <v>0.10537271782573941</v>
      </c>
      <c r="Q250" s="25">
        <f t="shared" si="50"/>
        <v>1.100786094006305</v>
      </c>
      <c r="R250" s="270"/>
    </row>
    <row r="251" spans="1:18">
      <c r="A251" s="281" t="s">
        <v>445</v>
      </c>
      <c r="B251" s="9">
        <v>6666110207</v>
      </c>
      <c r="C251" s="9" t="s">
        <v>21</v>
      </c>
      <c r="D251" s="9" t="s">
        <v>23</v>
      </c>
      <c r="E251" s="25">
        <v>1.223446135010188</v>
      </c>
      <c r="F251" s="25">
        <v>1.2419814092425923</v>
      </c>
      <c r="G251" s="25">
        <v>1.2311386822829808</v>
      </c>
      <c r="H251" s="25">
        <v>1.2580058463528405</v>
      </c>
      <c r="I251" s="25">
        <v>1.2832001440795993</v>
      </c>
      <c r="J251" s="25">
        <v>1.3067367995475361</v>
      </c>
      <c r="K251" s="25">
        <v>1.3236227631523825</v>
      </c>
      <c r="L251" s="25">
        <v>1.4381979721968603</v>
      </c>
      <c r="M251" s="25">
        <v>1.0452677310924368</v>
      </c>
      <c r="N251" s="25">
        <v>1.2195690489251552</v>
      </c>
      <c r="O251" s="25">
        <v>1.265389039380987</v>
      </c>
      <c r="P251" s="25">
        <v>1.2746759978683717</v>
      </c>
      <c r="Q251" s="25">
        <f t="shared" si="50"/>
        <v>15.111231569131931</v>
      </c>
      <c r="R251" s="270"/>
    </row>
    <row r="252" spans="1:18">
      <c r="A252" s="281" t="s">
        <v>445</v>
      </c>
      <c r="B252" s="9">
        <v>6666110506</v>
      </c>
      <c r="C252" s="9" t="s">
        <v>22</v>
      </c>
      <c r="D252" s="9" t="s">
        <v>23</v>
      </c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>
        <f t="shared" si="50"/>
        <v>0</v>
      </c>
      <c r="R252" s="270"/>
    </row>
    <row r="253" spans="1:18">
      <c r="E253" s="357">
        <f t="shared" ref="E253:Q253" si="51">SUM(E245:E252)</f>
        <v>392.90298007701142</v>
      </c>
      <c r="F253" s="22">
        <f t="shared" si="51"/>
        <v>386.88891452198243</v>
      </c>
      <c r="G253" s="22">
        <f t="shared" si="51"/>
        <v>421.50115401051971</v>
      </c>
      <c r="H253" s="22">
        <f t="shared" si="51"/>
        <v>413.13905106556064</v>
      </c>
      <c r="I253" s="22">
        <f t="shared" si="51"/>
        <v>424.61563658697156</v>
      </c>
      <c r="J253" s="22">
        <f t="shared" si="51"/>
        <v>416.35266088537668</v>
      </c>
      <c r="K253" s="22">
        <f t="shared" si="51"/>
        <v>428.12059637899381</v>
      </c>
      <c r="L253" s="22">
        <f t="shared" si="51"/>
        <v>429.39435271473712</v>
      </c>
      <c r="M253" s="22">
        <f t="shared" si="51"/>
        <v>419.28873257594415</v>
      </c>
      <c r="N253" s="22">
        <f t="shared" si="51"/>
        <v>432.68993165503991</v>
      </c>
      <c r="O253" s="22">
        <f t="shared" si="51"/>
        <v>423.8033940410607</v>
      </c>
      <c r="P253" s="22">
        <f t="shared" si="51"/>
        <v>436.70918255808857</v>
      </c>
      <c r="Q253" s="22">
        <f t="shared" si="51"/>
        <v>5025.4065870712857</v>
      </c>
      <c r="R253" s="274"/>
    </row>
    <row r="255" spans="1:18">
      <c r="Q255" s="180"/>
    </row>
    <row r="258" spans="1:19">
      <c r="C258" s="283" t="s">
        <v>447</v>
      </c>
      <c r="D258" s="283" t="s">
        <v>445</v>
      </c>
      <c r="E258" s="285">
        <f>+SUMIF($A$6:$A$252,D258,E6:E253)</f>
        <v>1644.2634099999996</v>
      </c>
      <c r="F258" s="285">
        <f t="shared" ref="F258:P258" si="52">+SUMIF($A$6:$A$252,$D$258,F6:F253)</f>
        <v>1707.5774669210107</v>
      </c>
      <c r="G258" s="285">
        <f t="shared" si="52"/>
        <v>1675.1786697947462</v>
      </c>
      <c r="H258" s="285">
        <f t="shared" si="52"/>
        <v>1644.0012545165428</v>
      </c>
      <c r="I258" s="285">
        <f t="shared" si="52"/>
        <v>1719.0388357252928</v>
      </c>
      <c r="J258" s="285">
        <f t="shared" si="52"/>
        <v>1704.2889654618778</v>
      </c>
      <c r="K258" s="285">
        <f t="shared" si="52"/>
        <v>1685.801373568459</v>
      </c>
      <c r="L258" s="285">
        <f t="shared" si="52"/>
        <v>1670.3481865293554</v>
      </c>
      <c r="M258" s="285">
        <f t="shared" si="52"/>
        <v>1789.1924185046171</v>
      </c>
      <c r="N258" s="285">
        <f t="shared" si="52"/>
        <v>1720.0552094215655</v>
      </c>
      <c r="O258" s="285">
        <f t="shared" si="52"/>
        <v>1685.6093367960043</v>
      </c>
      <c r="P258" s="285">
        <f t="shared" si="52"/>
        <v>1757.5744036823405</v>
      </c>
      <c r="Q258" s="304">
        <f>+E258+F258+G258+H258+I258+J258+K258+L258+M258+N258+O258+P258</f>
        <v>20402.929530921818</v>
      </c>
      <c r="R258" s="287"/>
    </row>
    <row r="259" spans="1:19">
      <c r="C259" s="283" t="s">
        <v>448</v>
      </c>
      <c r="D259" s="283" t="s">
        <v>446</v>
      </c>
      <c r="E259" s="286">
        <f>+SUMIF($A$6:$A$253,D259,E6:E254)</f>
        <v>140.87302</v>
      </c>
      <c r="F259" s="286">
        <f t="shared" ref="F259:P259" si="53">+SUMIF($A$6:$A$253,$D$259,F6:F254)</f>
        <v>151.64617011655093</v>
      </c>
      <c r="G259" s="286">
        <f t="shared" si="53"/>
        <v>179.47398484034179</v>
      </c>
      <c r="H259" s="286">
        <f t="shared" si="53"/>
        <v>170.94308813624039</v>
      </c>
      <c r="I259" s="286">
        <f t="shared" si="53"/>
        <v>173.81196983383879</v>
      </c>
      <c r="J259" s="286">
        <f t="shared" si="53"/>
        <v>161.41881674452262</v>
      </c>
      <c r="K259" s="286">
        <f t="shared" si="53"/>
        <v>167.64127467028848</v>
      </c>
      <c r="L259" s="286">
        <f t="shared" si="53"/>
        <v>167.64244626769306</v>
      </c>
      <c r="M259" s="286">
        <f t="shared" si="53"/>
        <v>158.31554895399867</v>
      </c>
      <c r="N259" s="286">
        <f t="shared" si="53"/>
        <v>160.48236659138996</v>
      </c>
      <c r="O259" s="286">
        <f t="shared" si="53"/>
        <v>158.70067574558567</v>
      </c>
      <c r="P259" s="286">
        <f t="shared" si="53"/>
        <v>152.32232379214236</v>
      </c>
      <c r="Q259" s="305">
        <f>+E259+F259+G259+H259+I259+J259+K259+L259+M259+N259+O259+P259</f>
        <v>1943.2716856925927</v>
      </c>
      <c r="R259" s="288"/>
    </row>
    <row r="260" spans="1:19">
      <c r="C260" s="283" t="s">
        <v>0</v>
      </c>
      <c r="E260" s="284">
        <f t="shared" ref="E260:Q260" si="54">+E259+E258</f>
        <v>1785.1364299999996</v>
      </c>
      <c r="F260" s="284">
        <f t="shared" si="54"/>
        <v>1859.2236370375617</v>
      </c>
      <c r="G260" s="284">
        <f t="shared" si="54"/>
        <v>1854.6526546350879</v>
      </c>
      <c r="H260" s="284">
        <f t="shared" si="54"/>
        <v>1814.9443426527832</v>
      </c>
      <c r="I260" s="284">
        <f t="shared" si="54"/>
        <v>1892.8508055591315</v>
      </c>
      <c r="J260" s="284">
        <f t="shared" si="54"/>
        <v>1865.7077822064005</v>
      </c>
      <c r="K260" s="284">
        <f t="shared" si="54"/>
        <v>1853.4426482387476</v>
      </c>
      <c r="L260" s="284">
        <f t="shared" si="54"/>
        <v>1837.9906327970484</v>
      </c>
      <c r="M260" s="284">
        <f t="shared" si="54"/>
        <v>1947.5079674586157</v>
      </c>
      <c r="N260" s="284">
        <f t="shared" si="54"/>
        <v>1880.5375760129555</v>
      </c>
      <c r="O260" s="284">
        <f t="shared" si="54"/>
        <v>1844.3100125415899</v>
      </c>
      <c r="P260" s="284">
        <f t="shared" si="54"/>
        <v>1909.8967274744828</v>
      </c>
      <c r="Q260" s="306">
        <f t="shared" si="54"/>
        <v>22346.201216614412</v>
      </c>
      <c r="R260" s="284"/>
    </row>
    <row r="261" spans="1:19"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11"/>
    </row>
    <row r="262" spans="1:19" s="268" customFormat="1">
      <c r="A262" s="280"/>
      <c r="B262" s="105"/>
      <c r="C262" s="105"/>
      <c r="D262" s="289" t="s">
        <v>436</v>
      </c>
      <c r="E262" s="284">
        <v>1779.7048000000002</v>
      </c>
      <c r="F262" s="284">
        <v>1859.2236370375617</v>
      </c>
      <c r="G262" s="284">
        <v>1854.6526546350881</v>
      </c>
      <c r="H262" s="284">
        <v>1814.9443426527832</v>
      </c>
      <c r="I262" s="284">
        <v>1892.8508055591315</v>
      </c>
      <c r="J262" s="284">
        <v>1865.7077822064005</v>
      </c>
      <c r="K262" s="284">
        <v>1853.4426482387469</v>
      </c>
      <c r="L262" s="284">
        <v>1837.9906327970482</v>
      </c>
      <c r="M262" s="284">
        <v>1947.5079674586159</v>
      </c>
      <c r="N262" s="284">
        <v>1880.5375760129559</v>
      </c>
      <c r="O262" s="284">
        <v>1844.3100125415899</v>
      </c>
      <c r="P262" s="284">
        <v>1909.8967274744823</v>
      </c>
      <c r="Q262" s="306">
        <f>+Q234+Q253</f>
        <v>22305.759468299242</v>
      </c>
      <c r="R262" s="284"/>
    </row>
    <row r="263" spans="1:19">
      <c r="D263" s="282" t="s">
        <v>437</v>
      </c>
      <c r="E263" s="284">
        <f t="shared" ref="E263:Q263" si="55">+E262-E260</f>
        <v>-5.4316299999993589</v>
      </c>
      <c r="F263" s="284">
        <f t="shared" si="55"/>
        <v>0</v>
      </c>
      <c r="G263" s="284">
        <f t="shared" si="55"/>
        <v>0</v>
      </c>
      <c r="H263" s="284">
        <f t="shared" si="55"/>
        <v>0</v>
      </c>
      <c r="I263" s="284">
        <f t="shared" si="55"/>
        <v>0</v>
      </c>
      <c r="J263" s="284">
        <f t="shared" si="55"/>
        <v>0</v>
      </c>
      <c r="K263" s="284">
        <f t="shared" si="55"/>
        <v>0</v>
      </c>
      <c r="L263" s="284">
        <f t="shared" si="55"/>
        <v>0</v>
      </c>
      <c r="M263" s="284">
        <f t="shared" si="55"/>
        <v>0</v>
      </c>
      <c r="N263" s="284">
        <f t="shared" si="55"/>
        <v>0</v>
      </c>
      <c r="O263" s="284">
        <f t="shared" si="55"/>
        <v>0</v>
      </c>
      <c r="P263" s="284">
        <f t="shared" si="55"/>
        <v>0</v>
      </c>
      <c r="Q263" s="306">
        <f t="shared" si="55"/>
        <v>-40.441748315170116</v>
      </c>
      <c r="R263" s="284"/>
    </row>
    <row r="265" spans="1:19">
      <c r="E265" s="18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</row>
    <row r="266" spans="1:19" s="268" customFormat="1">
      <c r="A266" s="280"/>
      <c r="B266" s="105"/>
      <c r="C266" s="105"/>
      <c r="D266" s="105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180"/>
      <c r="R266" s="50"/>
    </row>
    <row r="267" spans="1:19" s="10" customFormat="1">
      <c r="A267" s="277"/>
      <c r="B267"/>
      <c r="C267"/>
      <c r="D267"/>
      <c r="E267" s="310"/>
      <c r="F267" s="50"/>
      <c r="G267" s="50"/>
      <c r="S267" s="16"/>
    </row>
    <row r="268" spans="1:19" s="10" customFormat="1">
      <c r="A268" s="277"/>
      <c r="B268"/>
      <c r="C268"/>
      <c r="D268"/>
      <c r="E268" s="180">
        <v>392.90298007701097</v>
      </c>
      <c r="F268" s="311">
        <v>386.88891452198243</v>
      </c>
      <c r="G268" s="311">
        <v>421.50115401051971</v>
      </c>
      <c r="H268" s="180">
        <v>413.13905106556064</v>
      </c>
      <c r="I268" s="50">
        <v>424.61563658697156</v>
      </c>
      <c r="J268" s="10">
        <v>416.35266088537662</v>
      </c>
      <c r="K268" s="10">
        <v>428.12059637899381</v>
      </c>
      <c r="L268" s="10">
        <v>429.39435271473707</v>
      </c>
      <c r="M268" s="10">
        <v>419.28873257594415</v>
      </c>
      <c r="N268" s="10">
        <v>432.68993165503991</v>
      </c>
      <c r="O268" s="10">
        <v>423.8033940410607</v>
      </c>
      <c r="P268" s="10">
        <v>436.70918255808857</v>
      </c>
      <c r="Q268" s="180"/>
      <c r="S268" s="16"/>
    </row>
    <row r="269" spans="1:19" s="10" customFormat="1">
      <c r="A269" s="277"/>
      <c r="B269"/>
      <c r="C269"/>
      <c r="D269"/>
      <c r="F269" s="50">
        <f>F268-F253</f>
        <v>0</v>
      </c>
      <c r="G269" s="50">
        <f t="shared" ref="G269:P269" si="56">G268-G253</f>
        <v>0</v>
      </c>
      <c r="H269" s="50">
        <f t="shared" si="56"/>
        <v>0</v>
      </c>
      <c r="I269" s="50">
        <f t="shared" si="56"/>
        <v>0</v>
      </c>
      <c r="J269" s="50">
        <f t="shared" si="56"/>
        <v>0</v>
      </c>
      <c r="K269" s="50">
        <f t="shared" si="56"/>
        <v>0</v>
      </c>
      <c r="L269" s="50">
        <f t="shared" si="56"/>
        <v>0</v>
      </c>
      <c r="M269" s="50">
        <f t="shared" si="56"/>
        <v>0</v>
      </c>
      <c r="N269" s="50">
        <f t="shared" si="56"/>
        <v>0</v>
      </c>
      <c r="O269" s="50">
        <f t="shared" si="56"/>
        <v>0</v>
      </c>
      <c r="P269" s="50">
        <f t="shared" si="56"/>
        <v>0</v>
      </c>
      <c r="Q269" s="50"/>
      <c r="S269" s="16"/>
    </row>
    <row r="270" spans="1:19" s="10" customFormat="1">
      <c r="A270" s="277"/>
      <c r="B270"/>
      <c r="C270"/>
      <c r="D270"/>
      <c r="E270" s="180"/>
      <c r="F270" s="180"/>
      <c r="G270" s="180"/>
      <c r="H270" s="180"/>
      <c r="S270" s="16"/>
    </row>
    <row r="272" spans="1:19" s="10" customFormat="1">
      <c r="A272" s="277"/>
      <c r="B272"/>
      <c r="C272"/>
      <c r="D272"/>
      <c r="E272" s="180"/>
      <c r="S272" s="16"/>
    </row>
    <row r="274" spans="1:19" s="10" customFormat="1">
      <c r="A274" s="277"/>
      <c r="B274"/>
      <c r="C274"/>
      <c r="D274"/>
      <c r="E274" s="310"/>
      <c r="S274" s="16"/>
    </row>
  </sheetData>
  <autoFilter ref="A1:T253" xr:uid="{87A5B1DC-DFB9-4A4F-B96B-2FE2536B9648}"/>
  <mergeCells count="1">
    <mergeCell ref="B244:D244"/>
  </mergeCells>
  <pageMargins left="0.7" right="0.7" top="0.75" bottom="0.75" header="0.3" footer="0.3"/>
  <pageSetup orientation="portrait" r:id="rId1"/>
  <headerFooter>
    <oddFooter>&amp;C_x000D_&amp;1#&amp;"Aptos"&amp;10&amp;K0000FF Haier Europe - Internal and trusted parties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B1DC-DFB9-4A4F-B96B-2FE2536B9648}">
  <sheetPr>
    <tabColor rgb="FF002060"/>
  </sheetPr>
  <dimension ref="A1:AQ264"/>
  <sheetViews>
    <sheetView showGridLines="0" zoomScale="70" zoomScaleNormal="70" workbookViewId="0">
      <pane xSplit="4" ySplit="4" topLeftCell="E5" activePane="bottomRight" state="frozen"/>
      <selection activeCell="C248" sqref="C248"/>
      <selection pane="topRight" activeCell="C248" sqref="C248"/>
      <selection pane="bottomLeft" activeCell="C248" sqref="C248"/>
      <selection pane="bottomRight" activeCell="C248" sqref="C248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6" width="13.88671875" style="10" customWidth="1"/>
    <col min="7" max="7" width="5.21875" style="314" customWidth="1"/>
    <col min="8" max="8" width="13.88671875" style="10" bestFit="1" customWidth="1"/>
    <col min="9" max="9" width="14.5546875" style="10" bestFit="1" customWidth="1"/>
    <col min="10" max="10" width="5.21875" style="314" customWidth="1"/>
    <col min="11" max="11" width="13.88671875" style="10" bestFit="1" customWidth="1"/>
    <col min="12" max="12" width="14.88671875" style="10" bestFit="1" customWidth="1"/>
    <col min="13" max="13" width="5.21875" style="186" customWidth="1"/>
    <col min="14" max="14" width="13.88671875" style="10" bestFit="1" customWidth="1"/>
    <col min="15" max="15" width="14.5546875" style="10" bestFit="1" customWidth="1"/>
    <col min="16" max="16" width="5.44140625" style="16" customWidth="1"/>
    <col min="17" max="17" width="13.88671875" style="10" bestFit="1" customWidth="1"/>
    <col min="18" max="18" width="15" style="10" bestFit="1" customWidth="1"/>
    <col min="19" max="19" width="5.77734375" style="16" customWidth="1"/>
    <col min="20" max="20" width="13.88671875" style="10" bestFit="1" customWidth="1"/>
    <col min="21" max="21" width="15.33203125" style="10" bestFit="1" customWidth="1"/>
    <col min="22" max="22" width="5.77734375" style="16" customWidth="1"/>
    <col min="23" max="23" width="13.88671875" style="10" bestFit="1" customWidth="1"/>
    <col min="24" max="24" width="14.5546875" style="10" bestFit="1" customWidth="1"/>
    <col min="25" max="25" width="5.77734375" style="16" customWidth="1"/>
    <col min="26" max="26" width="16.33203125" style="10" customWidth="1"/>
    <col min="27" max="27" width="17.88671875" style="10" customWidth="1"/>
    <col min="28" max="28" width="5.77734375" style="16" customWidth="1"/>
    <col min="29" max="29" width="16.33203125" style="10" customWidth="1"/>
    <col min="30" max="30" width="17.88671875" style="10" customWidth="1"/>
    <col min="31" max="31" width="5.77734375" style="16" customWidth="1"/>
    <col min="32" max="32" width="16.33203125" style="10" customWidth="1"/>
    <col min="33" max="33" width="17.88671875" style="10" customWidth="1"/>
    <col min="34" max="34" width="5.77734375" style="16" customWidth="1"/>
    <col min="35" max="35" width="16.33203125" style="10" customWidth="1"/>
    <col min="36" max="36" width="17.88671875" style="10" customWidth="1"/>
    <col min="37" max="37" width="7.88671875" style="186" customWidth="1"/>
    <col min="38" max="38" width="16.33203125" style="10" customWidth="1"/>
    <col min="39" max="39" width="17.88671875" style="10" customWidth="1"/>
    <col min="40" max="40" width="7.88671875" style="186" customWidth="1"/>
    <col min="41" max="41" width="16.33203125" style="10" customWidth="1"/>
    <col min="42" max="42" width="17.88671875" style="10" customWidth="1"/>
    <col min="43" max="16384" width="8.77734375" style="16"/>
  </cols>
  <sheetData>
    <row r="1" spans="1:43" s="29" customFormat="1" ht="15">
      <c r="A1" s="95"/>
      <c r="B1" s="96" t="s">
        <v>190</v>
      </c>
      <c r="C1" s="14"/>
      <c r="D1" s="5" t="s">
        <v>128</v>
      </c>
      <c r="E1" s="94">
        <v>48571</v>
      </c>
      <c r="F1" s="15"/>
      <c r="G1" s="312"/>
      <c r="H1" s="94">
        <v>46033</v>
      </c>
      <c r="I1" s="15"/>
      <c r="J1" s="312"/>
      <c r="K1" s="94">
        <v>46337</v>
      </c>
      <c r="L1" s="15"/>
      <c r="M1" s="299"/>
      <c r="N1" s="94">
        <v>49363</v>
      </c>
      <c r="O1" s="15"/>
      <c r="P1" s="95"/>
      <c r="Q1" s="94">
        <v>53704</v>
      </c>
      <c r="R1" s="15"/>
      <c r="S1" s="95"/>
      <c r="T1" s="94">
        <v>29664</v>
      </c>
      <c r="U1" s="15"/>
      <c r="V1" s="95"/>
      <c r="W1" s="94">
        <v>41857</v>
      </c>
      <c r="X1" s="15"/>
      <c r="Y1" s="95"/>
      <c r="Z1" s="94">
        <v>31977</v>
      </c>
      <c r="AA1" s="15"/>
      <c r="AB1" s="95"/>
      <c r="AC1" s="94">
        <v>28268</v>
      </c>
      <c r="AD1" s="15"/>
      <c r="AE1" s="95"/>
      <c r="AF1" s="94">
        <v>26211</v>
      </c>
      <c r="AG1" s="15"/>
      <c r="AH1" s="95"/>
      <c r="AI1" s="94">
        <v>34024</v>
      </c>
      <c r="AJ1" s="15"/>
      <c r="AK1" s="299"/>
      <c r="AL1" s="94">
        <v>42093</v>
      </c>
      <c r="AM1" s="15"/>
      <c r="AN1" s="299"/>
      <c r="AO1" s="94">
        <f>+E1+H1+K1+N1+Q1+T1+W1+Z1+AC1+AF1+AI1+AL1</f>
        <v>478102</v>
      </c>
      <c r="AP1" s="15"/>
    </row>
    <row r="2" spans="1:43" s="29" customFormat="1">
      <c r="A2" s="95"/>
      <c r="B2" s="14"/>
      <c r="C2" s="14"/>
      <c r="D2" s="5" t="s">
        <v>130</v>
      </c>
      <c r="E2" s="31">
        <v>38.272236030678137</v>
      </c>
      <c r="F2" s="31"/>
      <c r="G2" s="313"/>
      <c r="H2" s="31">
        <v>39.048375121717292</v>
      </c>
      <c r="I2" s="31"/>
      <c r="J2" s="313"/>
      <c r="K2" s="31">
        <v>41.5978689270394</v>
      </c>
      <c r="L2" s="31"/>
      <c r="M2" s="300"/>
      <c r="N2" s="31">
        <v>43.93</v>
      </c>
      <c r="O2" s="31"/>
      <c r="P2" s="32"/>
      <c r="Q2" s="31">
        <f>+Q229</f>
        <v>44.735418379342406</v>
      </c>
      <c r="R2" s="31"/>
      <c r="S2" s="32"/>
      <c r="T2" s="31">
        <f>+T229</f>
        <v>46.437563860123753</v>
      </c>
      <c r="U2" s="31"/>
      <c r="V2" s="32"/>
      <c r="W2" s="31">
        <f>+W229</f>
        <v>45.969819139482404</v>
      </c>
      <c r="X2" s="31"/>
      <c r="Y2" s="32"/>
      <c r="Z2" s="31">
        <f>+Z229</f>
        <v>47.6715028478229</v>
      </c>
      <c r="AA2" s="31"/>
      <c r="AB2" s="32"/>
      <c r="AC2" s="31">
        <f>+AC229</f>
        <v>49.274771229412977</v>
      </c>
      <c r="AD2" s="31"/>
      <c r="AE2" s="32"/>
      <c r="AF2" s="31">
        <f>+AF229</f>
        <v>47.314101610149812</v>
      </c>
      <c r="AG2" s="31"/>
      <c r="AH2" s="32"/>
      <c r="AI2" s="31">
        <f>+AI229</f>
        <v>48.040247254397109</v>
      </c>
      <c r="AJ2" s="31"/>
      <c r="AK2" s="300"/>
      <c r="AL2" s="31">
        <f>+AL229</f>
        <v>48.608933269969341</v>
      </c>
      <c r="AM2" s="31"/>
      <c r="AN2" s="300"/>
      <c r="AO2" s="31">
        <f>+AO229</f>
        <v>44.934680913405586</v>
      </c>
      <c r="AP2" s="31"/>
    </row>
    <row r="4" spans="1:43" ht="28.8">
      <c r="A4" s="276" t="s">
        <v>444</v>
      </c>
      <c r="E4" s="17" t="s">
        <v>141</v>
      </c>
      <c r="F4" s="17" t="s">
        <v>138</v>
      </c>
      <c r="H4" s="17" t="s">
        <v>350</v>
      </c>
      <c r="I4" s="17" t="s">
        <v>397</v>
      </c>
      <c r="K4" s="17" t="s">
        <v>398</v>
      </c>
      <c r="L4" s="17" t="s">
        <v>399</v>
      </c>
      <c r="N4" s="17" t="s">
        <v>327</v>
      </c>
      <c r="O4" s="17" t="s">
        <v>400</v>
      </c>
      <c r="Q4" s="17" t="s">
        <v>330</v>
      </c>
      <c r="R4" s="17" t="s">
        <v>406</v>
      </c>
      <c r="T4" s="17" t="s">
        <v>408</v>
      </c>
      <c r="U4" s="17" t="s">
        <v>409</v>
      </c>
      <c r="W4" s="17" t="s">
        <v>334</v>
      </c>
      <c r="X4" s="17" t="s">
        <v>410</v>
      </c>
      <c r="Z4" s="17" t="s">
        <v>438</v>
      </c>
      <c r="AA4" s="17" t="s">
        <v>439</v>
      </c>
      <c r="AC4" s="17" t="s">
        <v>449</v>
      </c>
      <c r="AD4" s="17" t="s">
        <v>450</v>
      </c>
      <c r="AF4" s="17" t="s">
        <v>458</v>
      </c>
      <c r="AG4" s="17" t="s">
        <v>459</v>
      </c>
      <c r="AI4" s="17" t="s">
        <v>342</v>
      </c>
      <c r="AJ4" s="17" t="s">
        <v>461</v>
      </c>
      <c r="AL4" s="17" t="s">
        <v>463</v>
      </c>
      <c r="AM4" s="17" t="s">
        <v>464</v>
      </c>
      <c r="AO4" s="17" t="s">
        <v>148</v>
      </c>
      <c r="AP4" s="17" t="s">
        <v>147</v>
      </c>
    </row>
    <row r="5" spans="1:43" outlineLevel="1">
      <c r="A5" s="277" t="s">
        <v>445</v>
      </c>
      <c r="B5" s="9">
        <v>6666110101</v>
      </c>
      <c r="C5" s="9" t="s">
        <v>15</v>
      </c>
      <c r="D5" s="9" t="s">
        <v>23</v>
      </c>
      <c r="E5" s="11">
        <v>8.5807900000000004</v>
      </c>
      <c r="F5" s="26">
        <f>E5/$E$1*1000</f>
        <v>0.1766648823371971</v>
      </c>
      <c r="H5" s="25">
        <f>27.05117-18.6560404444444</f>
        <v>8.3951295555555987</v>
      </c>
      <c r="I5" s="46">
        <f>H5/$H$1*1000</f>
        <v>0.18237198434939278</v>
      </c>
      <c r="K5" s="25">
        <f>29.88156-21.3282004444444</f>
        <v>8.5533595555556019</v>
      </c>
      <c r="L5" s="46">
        <f>K5/$K$1*1000</f>
        <v>0.18459027463054584</v>
      </c>
      <c r="N5" s="25">
        <f>28.96203-20.445</f>
        <v>8.5170299999999983</v>
      </c>
      <c r="O5" s="46">
        <f>N5/$N$1*1000</f>
        <v>0.17253874359337962</v>
      </c>
      <c r="Q5" s="25">
        <f>30.08167-21.15308</f>
        <v>8.9285899999999998</v>
      </c>
      <c r="R5" s="46">
        <f>Q5/$Q$1*1000</f>
        <v>0.16625558617607628</v>
      </c>
      <c r="T5" s="25">
        <f>29.67008-T235</f>
        <v>8.9335425514298556</v>
      </c>
      <c r="U5" s="46">
        <f>T5/$T$1*1000</f>
        <v>0.30115771815769471</v>
      </c>
      <c r="W5" s="25">
        <f>30.71618-W235</f>
        <v>9.0441603649153421</v>
      </c>
      <c r="X5" s="46">
        <f>W5/$W$1*1000</f>
        <v>0.21607282807930195</v>
      </c>
      <c r="Z5" s="25">
        <f>30.72552-Z235</f>
        <v>8.9882902890629701</v>
      </c>
      <c r="AA5" s="46">
        <f>Z5/$Z$1*1000</f>
        <v>0.28108610216915186</v>
      </c>
      <c r="AC5" s="25">
        <f>31.25161-AC235</f>
        <v>9.4307299999999969</v>
      </c>
      <c r="AD5" s="46">
        <f>AC5/$AC$1*1000</f>
        <v>0.33361857931229649</v>
      </c>
      <c r="AF5" s="25">
        <f>32.26937-AF235</f>
        <v>9.6999690439175161</v>
      </c>
      <c r="AG5" s="46">
        <f>AF5/$AF$1*1000</f>
        <v>0.37007245217342016</v>
      </c>
      <c r="AI5" s="324">
        <f>31.25416-AI235</f>
        <v>9.3732236414213013</v>
      </c>
      <c r="AJ5" s="46">
        <f>AI5/$AI$1*1000</f>
        <v>0.27548858574598228</v>
      </c>
      <c r="AL5" s="324">
        <f>32.52616-AL235</f>
        <v>9.7032255135632717</v>
      </c>
      <c r="AM5" s="46">
        <f>AL5/$AL$1*1000</f>
        <v>0.2305187445314725</v>
      </c>
      <c r="AO5" s="25">
        <f>H5+E5+K5+N5+Q5+T5+W5+Z5+AC5+AF5+AI5+AL5</f>
        <v>108.14804051542146</v>
      </c>
      <c r="AP5" s="46">
        <f>AO5/$AO$1*1000</f>
        <v>0.22620286155552885</v>
      </c>
      <c r="AQ5" s="93"/>
    </row>
    <row r="6" spans="1:43" outlineLevel="1">
      <c r="A6" s="277" t="s">
        <v>445</v>
      </c>
      <c r="B6" s="9">
        <v>6666110106</v>
      </c>
      <c r="C6" s="9" t="s">
        <v>16</v>
      </c>
      <c r="D6" s="9" t="s">
        <v>23</v>
      </c>
      <c r="E6" s="11">
        <v>0</v>
      </c>
      <c r="F6" s="26">
        <f t="shared" ref="F6:F74" si="0">E6/$E$1*1000</f>
        <v>0</v>
      </c>
      <c r="H6" s="25">
        <v>0</v>
      </c>
      <c r="I6" s="46">
        <f t="shared" ref="I6:I77" si="1">H6/$H$1*1000</f>
        <v>0</v>
      </c>
      <c r="K6" s="25">
        <v>0</v>
      </c>
      <c r="L6" s="46">
        <f t="shared" ref="L6:L77" si="2">K6/$K$1*1000</f>
        <v>0</v>
      </c>
      <c r="N6" s="25">
        <v>0</v>
      </c>
      <c r="O6" s="46">
        <f t="shared" ref="O6:O77" si="3">N6/$N$1*1000</f>
        <v>0</v>
      </c>
      <c r="Q6" s="25">
        <v>0</v>
      </c>
      <c r="R6" s="46">
        <f t="shared" ref="R6:R77" si="4">Q6/$Q$1*1000</f>
        <v>0</v>
      </c>
      <c r="T6" s="25">
        <v>0</v>
      </c>
      <c r="U6" s="46">
        <f t="shared" ref="U6:U77" si="5">T6/$T$1*1000</f>
        <v>0</v>
      </c>
      <c r="W6" s="25">
        <v>0</v>
      </c>
      <c r="X6" s="46">
        <f t="shared" ref="X6:X73" si="6">W6/$W$1*1000</f>
        <v>0</v>
      </c>
      <c r="Z6" s="25">
        <v>0</v>
      </c>
      <c r="AA6" s="46">
        <f t="shared" ref="AA6:AA12" si="7">Z6/$Z$1*1000</f>
        <v>0</v>
      </c>
      <c r="AC6" s="25">
        <v>0</v>
      </c>
      <c r="AD6" s="46">
        <f t="shared" ref="AD6:AD72" si="8">AC6/$AC$1*1000</f>
        <v>0</v>
      </c>
      <c r="AF6" s="25">
        <v>0</v>
      </c>
      <c r="AG6" s="46">
        <f t="shared" ref="AG6:AG72" si="9">AF6/$AF$1*1000</f>
        <v>0</v>
      </c>
      <c r="AI6" s="25">
        <v>0</v>
      </c>
      <c r="AJ6" s="46">
        <f t="shared" ref="AJ6:AJ70" si="10">AI6/$AI$1*1000</f>
        <v>0</v>
      </c>
      <c r="AL6" s="25">
        <v>0</v>
      </c>
      <c r="AM6" s="46">
        <f t="shared" ref="AM6:AM71" si="11">AL6/$AL$1*1000</f>
        <v>0</v>
      </c>
      <c r="AO6" s="25">
        <f t="shared" ref="AO6:AO70" si="12">H6+E6+K6+N6+Q6+T6+W6+Z6+AC6+AF6+AI6+AL6</f>
        <v>0</v>
      </c>
      <c r="AP6" s="46">
        <f>AO6/$AO$1*1000</f>
        <v>0</v>
      </c>
      <c r="AQ6" s="93"/>
    </row>
    <row r="7" spans="1:43" outlineLevel="1">
      <c r="A7" s="277" t="s">
        <v>445</v>
      </c>
      <c r="B7" s="9">
        <v>6666110107</v>
      </c>
      <c r="C7" s="9" t="s">
        <v>17</v>
      </c>
      <c r="D7" s="9" t="s">
        <v>23</v>
      </c>
      <c r="E7" s="11">
        <v>90.541879999999992</v>
      </c>
      <c r="F7" s="26">
        <f t="shared" si="0"/>
        <v>1.8641139774762718</v>
      </c>
      <c r="H7" s="25">
        <f>208.59611-109.209985777778</f>
        <v>99.386124222222008</v>
      </c>
      <c r="I7" s="46">
        <f t="shared" si="1"/>
        <v>2.1590190563774252</v>
      </c>
      <c r="K7" s="25">
        <f>222.76497-119.675125777778</f>
        <v>103.089844222222</v>
      </c>
      <c r="L7" s="46">
        <f t="shared" si="2"/>
        <v>2.2247846045756523</v>
      </c>
      <c r="N7" s="25">
        <f>221.08877-117.086</f>
        <v>104.00277000000001</v>
      </c>
      <c r="O7" s="46">
        <f t="shared" si="3"/>
        <v>2.1068972712355407</v>
      </c>
      <c r="Q7" s="25">
        <f>230.92979-126.57762</f>
        <v>104.35217</v>
      </c>
      <c r="R7" s="46">
        <f t="shared" si="4"/>
        <v>1.943098651869507</v>
      </c>
      <c r="T7" s="25">
        <f>226.52287-T237</f>
        <v>98.204950480002964</v>
      </c>
      <c r="U7" s="46">
        <f t="shared" si="5"/>
        <v>3.3105768096009629</v>
      </c>
      <c r="W7" s="25">
        <f>232.94505-W237</f>
        <v>98.450240190705188</v>
      </c>
      <c r="X7" s="46">
        <f t="shared" si="6"/>
        <v>2.3520615474282724</v>
      </c>
      <c r="Z7" s="25">
        <f>233.08123-Z237</f>
        <v>97.333463289696766</v>
      </c>
      <c r="AA7" s="46">
        <f t="shared" si="7"/>
        <v>3.04385850110069</v>
      </c>
      <c r="AC7" s="25">
        <f>229.28602-AC237</f>
        <v>94.496250000000032</v>
      </c>
      <c r="AD7" s="46">
        <f t="shared" si="8"/>
        <v>3.3428700297155807</v>
      </c>
      <c r="AF7" s="25">
        <f>118.01548-AF237</f>
        <v>74.03220194819599</v>
      </c>
      <c r="AG7" s="46">
        <f t="shared" si="9"/>
        <v>2.8244707164242486</v>
      </c>
      <c r="AI7" s="25">
        <f>219.16417-AI237</f>
        <v>92.929818084384237</v>
      </c>
      <c r="AJ7" s="46">
        <f t="shared" si="10"/>
        <v>2.7313019658001481</v>
      </c>
      <c r="AL7" s="25">
        <f>223.42017-AL237</f>
        <v>92.937152863246411</v>
      </c>
      <c r="AM7" s="46">
        <f t="shared" si="11"/>
        <v>2.2079004315027775</v>
      </c>
      <c r="AO7" s="25">
        <f t="shared" si="12"/>
        <v>1149.7568653006756</v>
      </c>
      <c r="AP7" s="46">
        <f t="shared" ref="AP7:AP77" si="13">AO7/$AO$1*1000</f>
        <v>2.4048359247622382</v>
      </c>
      <c r="AQ7" s="93"/>
    </row>
    <row r="8" spans="1:43" outlineLevel="1">
      <c r="A8" s="277" t="s">
        <v>445</v>
      </c>
      <c r="B8" s="9">
        <v>6666110110</v>
      </c>
      <c r="C8" s="9" t="s">
        <v>18</v>
      </c>
      <c r="D8" s="9" t="s">
        <v>23</v>
      </c>
      <c r="E8" s="11">
        <v>62.824410000000029</v>
      </c>
      <c r="F8" s="26">
        <f t="shared" si="0"/>
        <v>1.2934551481336605</v>
      </c>
      <c r="H8" s="25">
        <f>261.00381-198.482281111111</f>
        <v>62.52152888888898</v>
      </c>
      <c r="I8" s="46">
        <f t="shared" si="1"/>
        <v>1.3581893182909865</v>
      </c>
      <c r="K8" s="25">
        <f>290.93886-225.680081111111</f>
        <v>65.258778888888969</v>
      </c>
      <c r="L8" s="46">
        <f t="shared" si="2"/>
        <v>1.4083514014478489</v>
      </c>
      <c r="N8" s="25">
        <f>284.06253-216.6537</f>
        <v>67.408829999999995</v>
      </c>
      <c r="O8" s="46">
        <f t="shared" si="3"/>
        <v>1.3655740129246601</v>
      </c>
      <c r="Q8" s="25">
        <f>299.32499-228.57031</f>
        <v>70.754680000000008</v>
      </c>
      <c r="R8" s="46">
        <f t="shared" si="4"/>
        <v>1.3174936690004468</v>
      </c>
      <c r="T8" s="25">
        <f>288.81974-T238</f>
        <v>66.024395094321051</v>
      </c>
      <c r="U8" s="46">
        <f t="shared" si="5"/>
        <v>2.2257414743231205</v>
      </c>
      <c r="W8" s="25">
        <f>297.80019-W238</f>
        <v>65.613057170708856</v>
      </c>
      <c r="X8" s="46">
        <f t="shared" si="6"/>
        <v>1.5675527909479623</v>
      </c>
      <c r="Z8" s="25">
        <f>297.85265-Z238</f>
        <v>64.715915547293378</v>
      </c>
      <c r="AA8" s="46">
        <f t="shared" si="7"/>
        <v>2.0238269864994645</v>
      </c>
      <c r="AC8" s="25">
        <f>291.39958-AC238</f>
        <v>63.496770000000026</v>
      </c>
      <c r="AD8" s="46">
        <f t="shared" si="8"/>
        <v>2.2462420404697903</v>
      </c>
      <c r="AF8" s="25">
        <f>207.60475-AF238</f>
        <v>39.993225042102011</v>
      </c>
      <c r="AG8" s="46">
        <f t="shared" si="9"/>
        <v>1.5258183603106332</v>
      </c>
      <c r="AI8" s="25">
        <f>283.72663-AI238</f>
        <v>61.671035003558927</v>
      </c>
      <c r="AJ8" s="46">
        <f t="shared" si="10"/>
        <v>1.8125745063354963</v>
      </c>
      <c r="AL8" s="25">
        <f>294.42037-AL238</f>
        <v>63.391044587097952</v>
      </c>
      <c r="AM8" s="46">
        <f t="shared" si="11"/>
        <v>1.5059759244315669</v>
      </c>
      <c r="AO8" s="25">
        <f t="shared" si="12"/>
        <v>753.67367022285998</v>
      </c>
      <c r="AP8" s="46">
        <f>AO8/$AO$1*1000</f>
        <v>1.5763867756730989</v>
      </c>
      <c r="AQ8" s="93"/>
    </row>
    <row r="9" spans="1:43" outlineLevel="1">
      <c r="A9" s="277" t="s">
        <v>445</v>
      </c>
      <c r="B9" s="9">
        <v>6666110112</v>
      </c>
      <c r="C9" s="9" t="s">
        <v>19</v>
      </c>
      <c r="D9" s="9" t="s">
        <v>23</v>
      </c>
      <c r="E9" s="11">
        <v>3.1974099999999996</v>
      </c>
      <c r="F9" s="26">
        <f t="shared" si="0"/>
        <v>6.5829610261267005E-2</v>
      </c>
      <c r="H9" s="25">
        <f>6.81703-3.61013311111111</f>
        <v>3.20689688888889</v>
      </c>
      <c r="I9" s="46">
        <f t="shared" si="1"/>
        <v>6.9665172569436926E-2</v>
      </c>
      <c r="K9" s="25">
        <f>8.46919-4.13525311111111</f>
        <v>4.3339368888888892</v>
      </c>
      <c r="L9" s="46">
        <f t="shared" si="2"/>
        <v>9.3530804516668953E-2</v>
      </c>
      <c r="N9" s="25">
        <f>8.46194-3.8942</f>
        <v>4.5677400000000006</v>
      </c>
      <c r="O9" s="46">
        <f t="shared" si="3"/>
        <v>9.2533679071369265E-2</v>
      </c>
      <c r="Q9" s="25">
        <f>11.26201-5.21228</f>
        <v>6.0497300000000003</v>
      </c>
      <c r="R9" s="46">
        <f t="shared" si="4"/>
        <v>0.11264952331297483</v>
      </c>
      <c r="T9" s="25">
        <f>11.52002-T239</f>
        <v>6.1588718637738662</v>
      </c>
      <c r="U9" s="46">
        <f t="shared" si="5"/>
        <v>0.20762108494383313</v>
      </c>
      <c r="W9" s="25">
        <f>11.70987-W239</f>
        <v>6.0246807178051869</v>
      </c>
      <c r="X9" s="46">
        <f t="shared" si="6"/>
        <v>0.14393484286511665</v>
      </c>
      <c r="Z9" s="25">
        <f>11.77284-Z239</f>
        <v>5.4610632708328506</v>
      </c>
      <c r="AA9" s="46">
        <f t="shared" si="7"/>
        <v>0.17078097604005538</v>
      </c>
      <c r="AC9" s="25">
        <f>9.89618-AC239</f>
        <v>4.8460199999999993</v>
      </c>
      <c r="AD9" s="46">
        <f t="shared" si="8"/>
        <v>0.17143130041035798</v>
      </c>
      <c r="AF9" s="25">
        <f>9.79722-AF239</f>
        <v>5.0633713846577297</v>
      </c>
      <c r="AG9" s="46">
        <f t="shared" si="9"/>
        <v>0.19317734480400328</v>
      </c>
      <c r="AI9" s="25">
        <f>10.12633-AI239</f>
        <v>5.0687601281222676</v>
      </c>
      <c r="AJ9" s="46">
        <f t="shared" si="10"/>
        <v>0.14897602069487031</v>
      </c>
      <c r="AL9" s="25">
        <f>8.94347-AL239</f>
        <v>4.3107940450674915</v>
      </c>
      <c r="AM9" s="46">
        <f t="shared" si="11"/>
        <v>0.10241118582822539</v>
      </c>
      <c r="AO9" s="25">
        <f t="shared" si="12"/>
        <v>58.289275188037173</v>
      </c>
      <c r="AP9" s="46">
        <f t="shared" si="13"/>
        <v>0.12191807436077903</v>
      </c>
      <c r="AQ9" s="93"/>
    </row>
    <row r="10" spans="1:43" outlineLevel="1">
      <c r="A10" s="277" t="s">
        <v>445</v>
      </c>
      <c r="B10" s="9">
        <v>6666110204</v>
      </c>
      <c r="C10" s="9" t="s">
        <v>20</v>
      </c>
      <c r="D10" s="9" t="s">
        <v>23</v>
      </c>
      <c r="E10" s="11">
        <v>2.5200000000000222E-3</v>
      </c>
      <c r="F10" s="26">
        <f t="shared" si="0"/>
        <v>5.1882810730683375E-5</v>
      </c>
      <c r="H10" s="25">
        <f>0.25251--0.0561566666666667</f>
        <v>0.3086666666666667</v>
      </c>
      <c r="I10" s="46">
        <f t="shared" si="1"/>
        <v>6.7053345788166468E-3</v>
      </c>
      <c r="K10" s="25">
        <f>0.25252-0.0561666666666667</f>
        <v>0.19635333333333332</v>
      </c>
      <c r="L10" s="46">
        <f t="shared" si="2"/>
        <v>4.2375063843868464E-3</v>
      </c>
      <c r="N10" s="25">
        <f>0.25252-0.0562</f>
        <v>0.19632000000000002</v>
      </c>
      <c r="O10" s="46">
        <f t="shared" si="3"/>
        <v>3.9770678443368521E-3</v>
      </c>
      <c r="Q10" s="25">
        <f>0.25251-(50.73/1000)</f>
        <v>0.20178000000000001</v>
      </c>
      <c r="R10" s="46">
        <f t="shared" si="4"/>
        <v>3.7572620288991512E-3</v>
      </c>
      <c r="T10" s="25">
        <f>0.25252-T240</f>
        <v>0.19447450383317913</v>
      </c>
      <c r="U10" s="46">
        <f t="shared" si="5"/>
        <v>6.5559096491767501E-3</v>
      </c>
      <c r="W10" s="25">
        <f>0.25252-W240</f>
        <v>0.18806389477156873</v>
      </c>
      <c r="X10" s="46">
        <f t="shared" si="6"/>
        <v>4.4930094075439891E-3</v>
      </c>
      <c r="Z10" s="25">
        <f>0.25251-Z240</f>
        <v>0.18602560512692035</v>
      </c>
      <c r="AA10" s="46">
        <f t="shared" si="7"/>
        <v>5.8174814750264359E-3</v>
      </c>
      <c r="AC10" s="25">
        <f>0.25252-AC240</f>
        <v>0.18222000000000002</v>
      </c>
      <c r="AD10" s="46">
        <f t="shared" si="8"/>
        <v>6.4461582000849022E-3</v>
      </c>
      <c r="AF10" s="25">
        <f>0.25252-AF240</f>
        <v>0.1815102331763212</v>
      </c>
      <c r="AG10" s="46">
        <f t="shared" si="9"/>
        <v>6.9249640676174581E-3</v>
      </c>
      <c r="AI10" s="25">
        <f>0.25251-AI240</f>
        <v>0.18072725338918572</v>
      </c>
      <c r="AJ10" s="46">
        <f t="shared" si="10"/>
        <v>5.3117579764044706E-3</v>
      </c>
      <c r="AL10" s="25">
        <f>0.25252-AL240</f>
        <v>0.17682586377690396</v>
      </c>
      <c r="AM10" s="46">
        <f t="shared" si="11"/>
        <v>4.2008377586986896E-3</v>
      </c>
      <c r="AO10" s="25">
        <f t="shared" si="12"/>
        <v>2.1954873540740794</v>
      </c>
      <c r="AP10" s="46">
        <f t="shared" si="13"/>
        <v>4.5920898763738265E-3</v>
      </c>
      <c r="AQ10" s="93"/>
    </row>
    <row r="11" spans="1:43" outlineLevel="1">
      <c r="A11" s="277" t="s">
        <v>445</v>
      </c>
      <c r="B11" s="9">
        <v>6666110207</v>
      </c>
      <c r="C11" s="9" t="s">
        <v>21</v>
      </c>
      <c r="D11" s="9" t="s">
        <v>23</v>
      </c>
      <c r="E11" s="11">
        <v>3.6179699999999988</v>
      </c>
      <c r="F11" s="26">
        <f t="shared" si="0"/>
        <v>7.448827489654318E-2</v>
      </c>
      <c r="H11" s="25">
        <f>7.67016-4.05927644444445</f>
        <v>3.6108835555555503</v>
      </c>
      <c r="I11" s="46">
        <f t="shared" si="1"/>
        <v>7.8441195567430982E-2</v>
      </c>
      <c r="K11" s="25">
        <f>8.28781-4.67692644444444</f>
        <v>3.6108835555555601</v>
      </c>
      <c r="L11" s="46">
        <f t="shared" si="2"/>
        <v>7.7926571758110366E-2</v>
      </c>
      <c r="N11" s="25">
        <f>6.89599-3.2851</f>
        <v>3.6108900000000004</v>
      </c>
      <c r="O11" s="46">
        <f t="shared" si="3"/>
        <v>7.3149727528715847E-2</v>
      </c>
      <c r="Q11" s="25">
        <f>6.78395-(3308.9/1000)</f>
        <v>3.47505</v>
      </c>
      <c r="R11" s="46">
        <f t="shared" si="4"/>
        <v>6.4707470579472667E-2</v>
      </c>
      <c r="T11" s="25">
        <f>6.30245-T241</f>
        <v>3.050815449933066</v>
      </c>
      <c r="U11" s="46">
        <f t="shared" si="5"/>
        <v>0.10284572039957747</v>
      </c>
      <c r="W11" s="25">
        <f>4.61586-W241</f>
        <v>2.8164364085263971</v>
      </c>
      <c r="X11" s="46">
        <f t="shared" si="6"/>
        <v>6.728710630304123E-2</v>
      </c>
      <c r="Z11" s="25">
        <f>2.82269-Z241</f>
        <v>2.0440043117332625</v>
      </c>
      <c r="AA11" s="46">
        <f t="shared" si="7"/>
        <v>6.3921078016488803E-2</v>
      </c>
      <c r="AC11" s="25">
        <f>2.28113-AC241</f>
        <v>1.1993200000000002</v>
      </c>
      <c r="AD11" s="46">
        <f t="shared" si="8"/>
        <v>4.2426772322060283E-2</v>
      </c>
      <c r="AF11" s="25">
        <f>2.34755-AF241</f>
        <v>1.2346426348451827</v>
      </c>
      <c r="AG11" s="46">
        <f t="shared" si="9"/>
        <v>4.7103988205149848E-2</v>
      </c>
      <c r="AI11" s="25">
        <f>2.31588-AI241</f>
        <v>1.2158295630261728</v>
      </c>
      <c r="AJ11" s="46">
        <f t="shared" si="10"/>
        <v>3.5734468699334963E-2</v>
      </c>
      <c r="AL11" s="25">
        <f>2.35319-AL241</f>
        <v>1.1439640180510113</v>
      </c>
      <c r="AM11" s="46">
        <f t="shared" si="11"/>
        <v>2.7177060747654275E-2</v>
      </c>
      <c r="AO11" s="25">
        <f t="shared" si="12"/>
        <v>30.630689497226204</v>
      </c>
      <c r="AP11" s="46">
        <f t="shared" si="13"/>
        <v>6.4067269112503614E-2</v>
      </c>
      <c r="AQ11" s="93"/>
    </row>
    <row r="12" spans="1:43" outlineLevel="1">
      <c r="A12" s="277" t="s">
        <v>445</v>
      </c>
      <c r="B12" s="9">
        <v>6666110506</v>
      </c>
      <c r="C12" s="9" t="s">
        <v>22</v>
      </c>
      <c r="D12" s="9" t="s">
        <v>23</v>
      </c>
      <c r="E12" s="11">
        <v>0.91407000000000005</v>
      </c>
      <c r="F12" s="26">
        <f t="shared" si="0"/>
        <v>1.8819254287537831E-2</v>
      </c>
      <c r="H12" s="25">
        <f>0.91407-0.250798</f>
        <v>0.66327200000000008</v>
      </c>
      <c r="I12" s="46">
        <f t="shared" si="1"/>
        <v>1.4408619903112986E-2</v>
      </c>
      <c r="K12" s="25">
        <f>0.91407-0.250798</f>
        <v>0.66327200000000008</v>
      </c>
      <c r="L12" s="46">
        <f t="shared" si="2"/>
        <v>1.4314090251850575E-2</v>
      </c>
      <c r="N12" s="25">
        <f>0.91407-0.2508</f>
        <v>0.66327000000000003</v>
      </c>
      <c r="O12" s="46">
        <f t="shared" si="3"/>
        <v>1.3436582055385613E-2</v>
      </c>
      <c r="Q12" s="25">
        <f>0.91407-(232.48/1000)</f>
        <v>0.68159000000000003</v>
      </c>
      <c r="R12" s="46">
        <f t="shared" si="4"/>
        <v>1.2691605839416059E-2</v>
      </c>
      <c r="T12" s="25">
        <f>0.91407-T242</f>
        <v>0.65692540542444089</v>
      </c>
      <c r="U12" s="46">
        <f t="shared" si="5"/>
        <v>2.2145543602495984E-2</v>
      </c>
      <c r="W12" s="25">
        <f>0.91407-W242</f>
        <v>0.63527068013238686</v>
      </c>
      <c r="X12" s="46">
        <f t="shared" si="6"/>
        <v>1.5177167024210691E-2</v>
      </c>
      <c r="Z12" s="25">
        <f>0.91408-Z242</f>
        <v>0.62838543695248039</v>
      </c>
      <c r="AA12" s="46">
        <f t="shared" si="7"/>
        <v>1.9651169182615016E-2</v>
      </c>
      <c r="AC12" s="25">
        <v>0</v>
      </c>
      <c r="AD12" s="46">
        <f t="shared" si="8"/>
        <v>0</v>
      </c>
      <c r="AF12" s="25">
        <v>0</v>
      </c>
      <c r="AG12" s="46">
        <f t="shared" si="9"/>
        <v>0</v>
      </c>
      <c r="AI12" s="25">
        <v>0</v>
      </c>
      <c r="AJ12" s="46">
        <f t="shared" si="10"/>
        <v>0</v>
      </c>
      <c r="AL12" s="25">
        <v>0</v>
      </c>
      <c r="AM12" s="46">
        <f t="shared" si="11"/>
        <v>0</v>
      </c>
      <c r="AO12" s="25">
        <f t="shared" si="12"/>
        <v>5.5060555225093086</v>
      </c>
      <c r="AP12" s="46">
        <f t="shared" si="13"/>
        <v>1.1516487114693745E-2</v>
      </c>
      <c r="AQ12" s="93"/>
    </row>
    <row r="13" spans="1:43" s="24" customFormat="1">
      <c r="A13" s="277"/>
      <c r="B13" s="37" t="s">
        <v>4</v>
      </c>
      <c r="C13" s="36" t="s">
        <v>23</v>
      </c>
      <c r="D13" s="38"/>
      <c r="E13" s="97">
        <v>169.67905000000002</v>
      </c>
      <c r="F13" s="171">
        <f t="shared" si="0"/>
        <v>3.4934230302032079</v>
      </c>
      <c r="G13" s="314"/>
      <c r="H13" s="178">
        <f>SUM(H5:H12)</f>
        <v>178.09250177777767</v>
      </c>
      <c r="I13" s="171">
        <f t="shared" si="1"/>
        <v>3.8688006816366012</v>
      </c>
      <c r="J13" s="314"/>
      <c r="K13" s="178">
        <f>SUM(K5:K12)</f>
        <v>185.70642844444438</v>
      </c>
      <c r="L13" s="171">
        <f t="shared" si="2"/>
        <v>4.0077352535650643</v>
      </c>
      <c r="M13" s="186"/>
      <c r="N13" s="178">
        <f>SUM(N5:N12)</f>
        <v>188.96685000000002</v>
      </c>
      <c r="O13" s="171">
        <f>N13/$N$1*1000</f>
        <v>3.8281070842533884</v>
      </c>
      <c r="P13" s="16"/>
      <c r="Q13" s="178">
        <f>SUM(Q5:Q12)</f>
        <v>194.44359000000003</v>
      </c>
      <c r="R13" s="171">
        <f t="shared" si="4"/>
        <v>3.6206537688067932</v>
      </c>
      <c r="S13" s="16"/>
      <c r="T13" s="178">
        <f>SUM(T5:T12)</f>
        <v>183.2239753487184</v>
      </c>
      <c r="U13" s="171">
        <f t="shared" si="5"/>
        <v>6.1766442606768601</v>
      </c>
      <c r="V13" s="16"/>
      <c r="W13" s="178">
        <f>SUM(W5:W12)</f>
        <v>182.77190942756491</v>
      </c>
      <c r="X13" s="171">
        <f t="shared" si="6"/>
        <v>4.366579292055448</v>
      </c>
      <c r="Y13" s="16"/>
      <c r="Z13" s="178">
        <f>SUM(Z5:Z12)</f>
        <v>179.35714775069863</v>
      </c>
      <c r="AA13" s="171">
        <f>Z13/$Z$1*1000</f>
        <v>5.6089422944834917</v>
      </c>
      <c r="AB13" s="16"/>
      <c r="AC13" s="178">
        <f>SUM(AC5:AC12)</f>
        <v>173.65131000000005</v>
      </c>
      <c r="AD13" s="171">
        <f t="shared" si="8"/>
        <v>6.1430348804301698</v>
      </c>
      <c r="AE13" s="16"/>
      <c r="AF13" s="178">
        <f>SUM(AF5:AF12)</f>
        <v>130.20492028689475</v>
      </c>
      <c r="AG13" s="171">
        <f>AF13/$AF$1*1000</f>
        <v>4.9675678259850731</v>
      </c>
      <c r="AH13" s="16"/>
      <c r="AI13" s="178">
        <f>SUM(AI5:AI12)</f>
        <v>170.43939367390212</v>
      </c>
      <c r="AJ13" s="171">
        <f t="shared" si="10"/>
        <v>5.0093873052522371</v>
      </c>
      <c r="AK13" s="186"/>
      <c r="AL13" s="178">
        <f>SUM(AL5:AL12)</f>
        <v>171.66300689080305</v>
      </c>
      <c r="AM13" s="171">
        <f t="shared" si="11"/>
        <v>4.0781841848003957</v>
      </c>
      <c r="AN13" s="186"/>
      <c r="AO13" s="178">
        <f>SUM(AO5:AO12)</f>
        <v>2108.2000836008033</v>
      </c>
      <c r="AP13" s="171">
        <f>AO13/$AO$1*1000</f>
        <v>4.4095194824552149</v>
      </c>
      <c r="AQ13" s="93"/>
    </row>
    <row r="14" spans="1:43" outlineLevel="1">
      <c r="A14" s="277" t="s">
        <v>445</v>
      </c>
      <c r="B14" s="9">
        <v>5001010205</v>
      </c>
      <c r="C14" s="9" t="s">
        <v>24</v>
      </c>
      <c r="D14" s="9" t="s">
        <v>32</v>
      </c>
      <c r="E14" s="11">
        <v>7.2486600000000001</v>
      </c>
      <c r="F14" s="26">
        <f t="shared" si="0"/>
        <v>0.14923843445677462</v>
      </c>
      <c r="H14" s="25">
        <v>6.3143900000000004</v>
      </c>
      <c r="I14" s="46">
        <f t="shared" si="1"/>
        <v>0.13717094258466753</v>
      </c>
      <c r="K14" s="25">
        <v>8.1153700000000004</v>
      </c>
      <c r="L14" s="46">
        <f t="shared" si="2"/>
        <v>0.17513801066102683</v>
      </c>
      <c r="N14" s="25">
        <v>7.3320500000000006</v>
      </c>
      <c r="O14" s="46">
        <f t="shared" si="3"/>
        <v>0.14853331442578452</v>
      </c>
      <c r="Q14" s="25">
        <v>9.3440499999999993</v>
      </c>
      <c r="R14" s="46">
        <f t="shared" si="4"/>
        <v>0.17399169521823327</v>
      </c>
      <c r="T14" s="25">
        <v>7.35114</v>
      </c>
      <c r="U14" s="46">
        <f t="shared" si="5"/>
        <v>0.24781351132686083</v>
      </c>
      <c r="W14" s="25">
        <v>6.70939</v>
      </c>
      <c r="X14" s="46">
        <f t="shared" si="6"/>
        <v>0.16029314093222161</v>
      </c>
      <c r="Z14" s="25">
        <v>4.5593900000000005</v>
      </c>
      <c r="AA14" s="46">
        <f t="shared" ref="AA14:AA82" si="14">Z14/$Z$1*1000</f>
        <v>0.14258341933264534</v>
      </c>
      <c r="AC14" s="25">
        <v>4.6904599999999999</v>
      </c>
      <c r="AD14" s="46">
        <f t="shared" si="8"/>
        <v>0.16592825810103295</v>
      </c>
      <c r="AF14" s="25">
        <v>4.8614600000000001</v>
      </c>
      <c r="AG14" s="46">
        <f t="shared" si="9"/>
        <v>0.18547403761779405</v>
      </c>
      <c r="AI14" s="25">
        <v>7.9807299999999994</v>
      </c>
      <c r="AJ14" s="46">
        <f t="shared" si="10"/>
        <v>0.23456177992005642</v>
      </c>
      <c r="AL14" s="25">
        <v>8.0735500000000009</v>
      </c>
      <c r="AM14" s="46">
        <f t="shared" si="11"/>
        <v>0.19180267502910225</v>
      </c>
      <c r="AO14" s="25">
        <f t="shared" si="12"/>
        <v>82.580640000000002</v>
      </c>
      <c r="AP14" s="46">
        <f t="shared" si="13"/>
        <v>0.17272598734161329</v>
      </c>
      <c r="AQ14" s="93"/>
    </row>
    <row r="15" spans="1:43" outlineLevel="1">
      <c r="A15" s="277" t="s">
        <v>445</v>
      </c>
      <c r="B15" s="9">
        <v>6666010380</v>
      </c>
      <c r="C15" s="9" t="s">
        <v>25</v>
      </c>
      <c r="D15" s="9" t="s">
        <v>32</v>
      </c>
      <c r="E15" s="11">
        <v>-1.66916</v>
      </c>
      <c r="F15" s="26">
        <f t="shared" si="0"/>
        <v>-3.4365362047312178E-2</v>
      </c>
      <c r="H15" s="25">
        <v>-1.5004000000000002</v>
      </c>
      <c r="I15" s="46">
        <f t="shared" si="1"/>
        <v>-3.2594008645971367E-2</v>
      </c>
      <c r="K15" s="25">
        <v>-1.56596</v>
      </c>
      <c r="L15" s="46">
        <f t="shared" si="2"/>
        <v>-3.379502341541317E-2</v>
      </c>
      <c r="N15" s="25">
        <v>-1.42469</v>
      </c>
      <c r="O15" s="46">
        <f t="shared" si="3"/>
        <v>-2.8861495452059235E-2</v>
      </c>
      <c r="Q15" s="25">
        <v>-0.35327999999999998</v>
      </c>
      <c r="R15" s="46">
        <f t="shared" si="4"/>
        <v>-6.5782809474154618E-3</v>
      </c>
      <c r="T15" s="25">
        <v>-1.1520299999999999</v>
      </c>
      <c r="U15" s="46">
        <f t="shared" si="5"/>
        <v>-3.8835962783171515E-2</v>
      </c>
      <c r="W15" s="25">
        <v>-1.0940099999999999</v>
      </c>
      <c r="X15" s="46">
        <f t="shared" si="6"/>
        <v>-2.6136846883436461E-2</v>
      </c>
      <c r="Z15" s="25">
        <v>-0.95338999999999996</v>
      </c>
      <c r="AA15" s="46">
        <f t="shared" si="14"/>
        <v>-2.981486693560997E-2</v>
      </c>
      <c r="AC15" s="25">
        <v>4.2900900000000002</v>
      </c>
      <c r="AD15" s="46">
        <f t="shared" si="8"/>
        <v>0.15176489316541675</v>
      </c>
      <c r="AF15" s="25">
        <v>4.4029799999999994</v>
      </c>
      <c r="AG15" s="46">
        <f t="shared" si="9"/>
        <v>0.16798214490099575</v>
      </c>
      <c r="AI15" s="25">
        <v>3.8986299999999998</v>
      </c>
      <c r="AJ15" s="46">
        <f t="shared" si="10"/>
        <v>0.11458470491417821</v>
      </c>
      <c r="AL15" s="25">
        <v>3.4714100000000001</v>
      </c>
      <c r="AM15" s="46">
        <f t="shared" si="11"/>
        <v>8.2470006889506578E-2</v>
      </c>
      <c r="AO15" s="25">
        <f t="shared" si="12"/>
        <v>6.3501899999999996</v>
      </c>
      <c r="AP15" s="46">
        <f t="shared" si="13"/>
        <v>1.328208206616998E-2</v>
      </c>
      <c r="AQ15" s="93"/>
    </row>
    <row r="16" spans="1:43" outlineLevel="1">
      <c r="A16" s="277" t="s">
        <v>445</v>
      </c>
      <c r="B16" s="9">
        <v>6666010019</v>
      </c>
      <c r="C16" s="9" t="s">
        <v>26</v>
      </c>
      <c r="D16" s="9" t="s">
        <v>32</v>
      </c>
      <c r="E16" s="11">
        <v>57.925849999999997</v>
      </c>
      <c r="F16" s="26">
        <f t="shared" si="0"/>
        <v>1.1926015523666385</v>
      </c>
      <c r="H16" s="25">
        <v>50.479349999999997</v>
      </c>
      <c r="I16" s="46">
        <f t="shared" si="1"/>
        <v>1.0965904894314946</v>
      </c>
      <c r="K16" s="25">
        <v>64.910399999999996</v>
      </c>
      <c r="L16" s="46">
        <f t="shared" si="2"/>
        <v>1.4008330276021321</v>
      </c>
      <c r="N16" s="25">
        <v>58.639249999999997</v>
      </c>
      <c r="O16" s="46">
        <f t="shared" si="3"/>
        <v>1.1879190891963616</v>
      </c>
      <c r="Q16" s="25">
        <v>73.690479999999994</v>
      </c>
      <c r="R16" s="46">
        <f t="shared" si="4"/>
        <v>1.3721599880828244</v>
      </c>
      <c r="T16" s="25">
        <v>58.789839999999998</v>
      </c>
      <c r="U16" s="46">
        <f t="shared" si="5"/>
        <v>1.9818581445523193</v>
      </c>
      <c r="W16" s="25">
        <v>53.64949</v>
      </c>
      <c r="X16" s="46">
        <f t="shared" si="6"/>
        <v>1.281732804548821</v>
      </c>
      <c r="Z16" s="25">
        <v>36.419080000000001</v>
      </c>
      <c r="AA16" s="46">
        <f t="shared" si="14"/>
        <v>1.1389148450448761</v>
      </c>
      <c r="AC16" s="25">
        <v>37.401069999999997</v>
      </c>
      <c r="AD16" s="46">
        <f t="shared" si="8"/>
        <v>1.3230886514787037</v>
      </c>
      <c r="AF16" s="25">
        <v>38.740850000000002</v>
      </c>
      <c r="AG16" s="46">
        <f t="shared" si="9"/>
        <v>1.4780378467055817</v>
      </c>
      <c r="AI16" s="25">
        <v>63.85492</v>
      </c>
      <c r="AJ16" s="46">
        <f t="shared" si="10"/>
        <v>1.8767611098048436</v>
      </c>
      <c r="AL16" s="25">
        <v>64.577039999999997</v>
      </c>
      <c r="AM16" s="46">
        <f t="shared" si="11"/>
        <v>1.5341515216306749</v>
      </c>
      <c r="AO16" s="25">
        <f t="shared" si="12"/>
        <v>659.07762000000002</v>
      </c>
      <c r="AP16" s="46">
        <f t="shared" si="13"/>
        <v>1.3785293096452222</v>
      </c>
      <c r="AQ16" s="93"/>
    </row>
    <row r="17" spans="1:43" outlineLevel="1">
      <c r="A17" s="277" t="s">
        <v>445</v>
      </c>
      <c r="B17" s="9">
        <v>6666010183</v>
      </c>
      <c r="C17" s="9" t="s">
        <v>27</v>
      </c>
      <c r="D17" s="9" t="s">
        <v>32</v>
      </c>
      <c r="E17" s="11">
        <v>13.554080000000001</v>
      </c>
      <c r="F17" s="26">
        <f t="shared" si="0"/>
        <v>0.27905705050338681</v>
      </c>
      <c r="H17" s="25">
        <v>18.85745</v>
      </c>
      <c r="I17" s="46">
        <f t="shared" si="1"/>
        <v>0.40965068537788107</v>
      </c>
      <c r="K17" s="25">
        <v>26.262310000000003</v>
      </c>
      <c r="L17" s="46">
        <f t="shared" si="2"/>
        <v>0.56676759393141563</v>
      </c>
      <c r="N17" s="25">
        <v>51.245660000000001</v>
      </c>
      <c r="O17" s="46">
        <f t="shared" si="3"/>
        <v>1.038139092032494</v>
      </c>
      <c r="Q17" s="25">
        <v>94.378460000000004</v>
      </c>
      <c r="R17" s="46">
        <f t="shared" si="4"/>
        <v>1.75738231789066</v>
      </c>
      <c r="T17" s="25">
        <v>20.871749999999999</v>
      </c>
      <c r="U17" s="46">
        <f t="shared" si="5"/>
        <v>0.70360538025889963</v>
      </c>
      <c r="W17" s="25">
        <v>15.764419999999999</v>
      </c>
      <c r="X17" s="46">
        <f t="shared" si="6"/>
        <v>0.37662565401247106</v>
      </c>
      <c r="Z17" s="25">
        <v>11.104259999999998</v>
      </c>
      <c r="AA17" s="46">
        <f t="shared" si="14"/>
        <v>0.34725771648372261</v>
      </c>
      <c r="AC17" s="25">
        <v>11.057969999999999</v>
      </c>
      <c r="AD17" s="46">
        <f t="shared" si="8"/>
        <v>0.39118331682467805</v>
      </c>
      <c r="AF17" s="25">
        <v>10.29058</v>
      </c>
      <c r="AG17" s="46">
        <f t="shared" si="9"/>
        <v>0.3926053946816222</v>
      </c>
      <c r="AI17" s="25">
        <v>24.624500000000001</v>
      </c>
      <c r="AJ17" s="46">
        <f t="shared" si="10"/>
        <v>0.72373912532330131</v>
      </c>
      <c r="AL17" s="25">
        <v>19.13579</v>
      </c>
      <c r="AM17" s="46">
        <f t="shared" si="11"/>
        <v>0.45460741691017509</v>
      </c>
      <c r="AO17" s="25">
        <f t="shared" si="12"/>
        <v>317.14722999999998</v>
      </c>
      <c r="AP17" s="46">
        <f t="shared" si="13"/>
        <v>0.66334637796955465</v>
      </c>
      <c r="AQ17" s="93"/>
    </row>
    <row r="18" spans="1:43" outlineLevel="1">
      <c r="A18" s="277" t="s">
        <v>445</v>
      </c>
      <c r="B18" s="9">
        <v>6666010229</v>
      </c>
      <c r="C18" s="9" t="s">
        <v>28</v>
      </c>
      <c r="D18" s="9" t="s">
        <v>32</v>
      </c>
      <c r="E18" s="11">
        <v>31.744540000000001</v>
      </c>
      <c r="F18" s="26">
        <f t="shared" si="0"/>
        <v>0.65356982561610832</v>
      </c>
      <c r="H18" s="25">
        <v>-40.042540000000002</v>
      </c>
      <c r="I18" s="46">
        <f t="shared" si="1"/>
        <v>-0.86986596572024433</v>
      </c>
      <c r="K18" s="25">
        <v>11.243180000000001</v>
      </c>
      <c r="L18" s="46">
        <f t="shared" si="2"/>
        <v>0.24263935947514947</v>
      </c>
      <c r="N18" s="25">
        <v>10.774370000000001</v>
      </c>
      <c r="O18" s="46">
        <f t="shared" si="3"/>
        <v>0.21826813605331929</v>
      </c>
      <c r="Q18" s="25">
        <v>10.89326</v>
      </c>
      <c r="R18" s="46">
        <f t="shared" si="4"/>
        <v>0.20283889468196037</v>
      </c>
      <c r="T18" s="25">
        <v>11.221680000000001</v>
      </c>
      <c r="U18" s="46">
        <f t="shared" si="5"/>
        <v>0.37829288025889968</v>
      </c>
      <c r="W18" s="25">
        <v>23.15531</v>
      </c>
      <c r="X18" s="46">
        <f t="shared" si="6"/>
        <v>0.55320042047925078</v>
      </c>
      <c r="Z18" s="25">
        <v>7.0583299999999998</v>
      </c>
      <c r="AA18" s="46">
        <f t="shared" si="14"/>
        <v>0.22073146323920317</v>
      </c>
      <c r="AC18" s="25">
        <v>7.1663699999999997</v>
      </c>
      <c r="AD18" s="46">
        <f t="shared" si="8"/>
        <v>0.2535152822980048</v>
      </c>
      <c r="AF18" s="25">
        <v>7.2478899999999999</v>
      </c>
      <c r="AG18" s="46">
        <f t="shared" si="9"/>
        <v>0.27652092632864061</v>
      </c>
      <c r="AI18" s="25">
        <v>13.573790000000001</v>
      </c>
      <c r="AJ18" s="46">
        <f t="shared" si="10"/>
        <v>0.39894750764166476</v>
      </c>
      <c r="AL18" s="25">
        <v>14.073969999999999</v>
      </c>
      <c r="AM18" s="46">
        <f t="shared" si="11"/>
        <v>0.33435416815147412</v>
      </c>
      <c r="AO18" s="25">
        <f t="shared" si="12"/>
        <v>108.11015</v>
      </c>
      <c r="AP18" s="46">
        <f t="shared" si="13"/>
        <v>0.22612360960631833</v>
      </c>
      <c r="AQ18" s="93"/>
    </row>
    <row r="19" spans="1:43" outlineLevel="1">
      <c r="A19" s="277" t="s">
        <v>445</v>
      </c>
      <c r="B19" s="9">
        <v>6666010188</v>
      </c>
      <c r="C19" s="9" t="s">
        <v>29</v>
      </c>
      <c r="D19" s="9" t="s">
        <v>32</v>
      </c>
      <c r="E19" s="11">
        <v>362.36536999999998</v>
      </c>
      <c r="F19" s="26">
        <f t="shared" si="0"/>
        <v>7.4605293281999545</v>
      </c>
      <c r="H19" s="25">
        <v>309.36538999999999</v>
      </c>
      <c r="I19" s="46">
        <f t="shared" si="1"/>
        <v>6.7205133273955635</v>
      </c>
      <c r="K19" s="25">
        <v>408.16624000000002</v>
      </c>
      <c r="L19" s="46">
        <f t="shared" si="2"/>
        <v>8.8086462222414053</v>
      </c>
      <c r="N19" s="25">
        <v>342.65633000000003</v>
      </c>
      <c r="O19" s="46">
        <f t="shared" si="3"/>
        <v>6.9415621011688922</v>
      </c>
      <c r="Q19" s="25">
        <v>370.23077000000001</v>
      </c>
      <c r="R19" s="46">
        <f t="shared" si="4"/>
        <v>6.8939142335766421</v>
      </c>
      <c r="T19" s="25">
        <v>287.47624000000002</v>
      </c>
      <c r="U19" s="46">
        <f t="shared" si="5"/>
        <v>9.6910814455231939</v>
      </c>
      <c r="W19" s="25">
        <v>348.43376000000001</v>
      </c>
      <c r="X19" s="46">
        <f t="shared" si="6"/>
        <v>8.3243844518240682</v>
      </c>
      <c r="Z19" s="25">
        <v>294.87662</v>
      </c>
      <c r="AA19" s="46">
        <f t="shared" si="14"/>
        <v>9.2215223441848835</v>
      </c>
      <c r="AC19" s="25">
        <v>283.45491999999996</v>
      </c>
      <c r="AD19" s="46">
        <f t="shared" si="8"/>
        <v>10.027413329559925</v>
      </c>
      <c r="AF19" s="25">
        <v>316.22480999999999</v>
      </c>
      <c r="AG19" s="46">
        <f t="shared" si="9"/>
        <v>12.064583953302048</v>
      </c>
      <c r="AI19" s="25">
        <v>362.38001000000003</v>
      </c>
      <c r="AJ19" s="46">
        <f t="shared" si="10"/>
        <v>10.65071743475194</v>
      </c>
      <c r="AL19" s="25">
        <v>377.54838000000001</v>
      </c>
      <c r="AM19" s="46">
        <f t="shared" si="11"/>
        <v>8.969386358776994</v>
      </c>
      <c r="AO19" s="25">
        <f t="shared" si="12"/>
        <v>4063.17884</v>
      </c>
      <c r="AP19" s="46">
        <f t="shared" si="13"/>
        <v>8.4985606418713999</v>
      </c>
      <c r="AQ19" s="93"/>
    </row>
    <row r="20" spans="1:43" s="104" customFormat="1" outlineLevel="1">
      <c r="A20" s="277" t="s">
        <v>445</v>
      </c>
      <c r="B20" s="98">
        <v>5102040406</v>
      </c>
      <c r="C20" s="98" t="s">
        <v>30</v>
      </c>
      <c r="D20" s="98" t="s">
        <v>32</v>
      </c>
      <c r="E20" s="99">
        <v>0</v>
      </c>
      <c r="F20" s="100">
        <f t="shared" si="0"/>
        <v>0</v>
      </c>
      <c r="G20" s="319"/>
      <c r="H20" s="179">
        <v>0</v>
      </c>
      <c r="I20" s="102">
        <f t="shared" si="1"/>
        <v>0</v>
      </c>
      <c r="J20" s="314"/>
      <c r="K20" s="179">
        <v>0</v>
      </c>
      <c r="L20" s="102">
        <f t="shared" si="2"/>
        <v>0</v>
      </c>
      <c r="M20" s="186"/>
      <c r="N20" s="179">
        <v>0</v>
      </c>
      <c r="O20" s="102">
        <f t="shared" si="3"/>
        <v>0</v>
      </c>
      <c r="P20" s="101"/>
      <c r="Q20" s="179">
        <v>0</v>
      </c>
      <c r="R20" s="102">
        <f t="shared" si="4"/>
        <v>0</v>
      </c>
      <c r="S20" s="101"/>
      <c r="T20" s="179">
        <v>0</v>
      </c>
      <c r="U20" s="102">
        <f t="shared" si="5"/>
        <v>0</v>
      </c>
      <c r="V20" s="101"/>
      <c r="W20" s="179">
        <v>0</v>
      </c>
      <c r="X20" s="102">
        <f t="shared" si="6"/>
        <v>0</v>
      </c>
      <c r="Y20" s="101"/>
      <c r="Z20" s="25">
        <v>0</v>
      </c>
      <c r="AA20" s="102">
        <f t="shared" si="14"/>
        <v>0</v>
      </c>
      <c r="AB20" s="101"/>
      <c r="AC20" s="25">
        <v>0</v>
      </c>
      <c r="AD20" s="102">
        <f t="shared" si="8"/>
        <v>0</v>
      </c>
      <c r="AE20" s="101"/>
      <c r="AF20" s="25">
        <v>0</v>
      </c>
      <c r="AG20" s="102">
        <f t="shared" si="9"/>
        <v>0</v>
      </c>
      <c r="AH20" s="101"/>
      <c r="AI20" s="25">
        <v>0</v>
      </c>
      <c r="AJ20" s="102">
        <f t="shared" si="10"/>
        <v>0</v>
      </c>
      <c r="AK20" s="322"/>
      <c r="AL20" s="25">
        <v>0</v>
      </c>
      <c r="AM20" s="102">
        <f t="shared" si="11"/>
        <v>0</v>
      </c>
      <c r="AN20" s="322"/>
      <c r="AO20" s="25">
        <f t="shared" si="12"/>
        <v>0</v>
      </c>
      <c r="AP20" s="102">
        <f t="shared" si="13"/>
        <v>0</v>
      </c>
      <c r="AQ20" s="93"/>
    </row>
    <row r="21" spans="1:43" outlineLevel="1">
      <c r="A21" s="277" t="s">
        <v>445</v>
      </c>
      <c r="B21" s="9">
        <v>6666010115</v>
      </c>
      <c r="C21" s="9" t="s">
        <v>31</v>
      </c>
      <c r="D21" s="9" t="s">
        <v>32</v>
      </c>
      <c r="E21" s="11">
        <v>0.78962999999999994</v>
      </c>
      <c r="F21" s="26">
        <f t="shared" si="0"/>
        <v>1.6257231681456014E-2</v>
      </c>
      <c r="H21" s="25">
        <v>-8.2949999999999996E-2</v>
      </c>
      <c r="I21" s="46">
        <f t="shared" si="1"/>
        <v>-1.8019681532813415E-3</v>
      </c>
      <c r="K21" s="25">
        <v>8.1530000000000005E-2</v>
      </c>
      <c r="L21" s="46">
        <f t="shared" si="2"/>
        <v>1.7595010466797591E-3</v>
      </c>
      <c r="N21" s="25">
        <v>-0.12195</v>
      </c>
      <c r="O21" s="46">
        <f t="shared" si="3"/>
        <v>-2.4704738366792944E-3</v>
      </c>
      <c r="Q21" s="25">
        <v>4.8262900000000002</v>
      </c>
      <c r="R21" s="46">
        <f t="shared" si="4"/>
        <v>8.9868352450469244E-2</v>
      </c>
      <c r="T21" s="25">
        <v>-2.4969999999999999</v>
      </c>
      <c r="U21" s="46">
        <f t="shared" si="5"/>
        <v>-8.4176105717367847E-2</v>
      </c>
      <c r="W21" s="25">
        <v>-1.46614</v>
      </c>
      <c r="X21" s="46">
        <f t="shared" si="6"/>
        <v>-3.5027355042167377E-2</v>
      </c>
      <c r="Z21" s="25">
        <v>-1.28806</v>
      </c>
      <c r="AA21" s="46">
        <f t="shared" si="14"/>
        <v>-4.0280826844294335E-2</v>
      </c>
      <c r="AC21" s="25">
        <v>0.75015999999999994</v>
      </c>
      <c r="AD21" s="46">
        <f t="shared" si="8"/>
        <v>2.6537427479835854E-2</v>
      </c>
      <c r="AF21" s="25">
        <v>1.48075</v>
      </c>
      <c r="AG21" s="46">
        <f t="shared" si="9"/>
        <v>5.6493456945557206E-2</v>
      </c>
      <c r="AI21" s="25">
        <v>3.0421900000000002</v>
      </c>
      <c r="AJ21" s="46">
        <f t="shared" si="10"/>
        <v>8.9413061368445818E-2</v>
      </c>
      <c r="AL21" s="25">
        <v>-60.952120000000001</v>
      </c>
      <c r="AM21" s="46">
        <f t="shared" si="11"/>
        <v>-1.4480345900743592</v>
      </c>
      <c r="AO21" s="25">
        <f t="shared" si="12"/>
        <v>-55.437669999999997</v>
      </c>
      <c r="AP21" s="46">
        <f t="shared" si="13"/>
        <v>-0.11595364587472966</v>
      </c>
      <c r="AQ21" s="93"/>
    </row>
    <row r="22" spans="1:43" s="33" customFormat="1">
      <c r="A22" s="277"/>
      <c r="B22" s="37" t="s">
        <v>1</v>
      </c>
      <c r="C22" s="36" t="s">
        <v>32</v>
      </c>
      <c r="D22" s="38"/>
      <c r="E22" s="97">
        <v>471.95896999999997</v>
      </c>
      <c r="F22" s="171">
        <f t="shared" si="0"/>
        <v>9.7168880607770074</v>
      </c>
      <c r="G22" s="314"/>
      <c r="H22" s="178">
        <f>SUM(H14:H21)</f>
        <v>343.39069000000001</v>
      </c>
      <c r="I22" s="171">
        <f t="shared" si="1"/>
        <v>7.4596635022701108</v>
      </c>
      <c r="J22" s="314"/>
      <c r="K22" s="178">
        <f>SUM(K14:K21)</f>
        <v>517.21307000000002</v>
      </c>
      <c r="L22" s="171">
        <f t="shared" si="2"/>
        <v>11.161988691542396</v>
      </c>
      <c r="M22" s="186"/>
      <c r="N22" s="178">
        <f>SUM(N14:N21)</f>
        <v>469.10102000000001</v>
      </c>
      <c r="O22" s="171">
        <f t="shared" si="3"/>
        <v>9.5030897635881129</v>
      </c>
      <c r="P22" s="16"/>
      <c r="Q22" s="178">
        <f>SUM(Q14:Q21)</f>
        <v>563.01002999999992</v>
      </c>
      <c r="R22" s="171">
        <f t="shared" si="4"/>
        <v>10.483577200953373</v>
      </c>
      <c r="S22" s="16"/>
      <c r="T22" s="178">
        <f>SUM(T14:T21)</f>
        <v>382.06162</v>
      </c>
      <c r="U22" s="171">
        <f t="shared" si="5"/>
        <v>12.879639293419634</v>
      </c>
      <c r="V22" s="16"/>
      <c r="W22" s="178">
        <f>SUM(W14:W21)</f>
        <v>445.15222</v>
      </c>
      <c r="X22" s="171">
        <f t="shared" si="6"/>
        <v>10.635072269871229</v>
      </c>
      <c r="Y22" s="16"/>
      <c r="Z22" s="178">
        <f>SUM(Z14:Z21)</f>
        <v>351.77623000000006</v>
      </c>
      <c r="AA22" s="171">
        <f t="shared" si="14"/>
        <v>11.000914094505429</v>
      </c>
      <c r="AB22" s="16"/>
      <c r="AC22" s="178">
        <f>SUM(AC14:AC21)</f>
        <v>348.81103999999993</v>
      </c>
      <c r="AD22" s="171">
        <f t="shared" si="8"/>
        <v>12.339431158907598</v>
      </c>
      <c r="AE22" s="16"/>
      <c r="AF22" s="178">
        <f>SUM(AF14:AF21)</f>
        <v>383.24932000000001</v>
      </c>
      <c r="AG22" s="171">
        <f t="shared" si="9"/>
        <v>14.62169776048224</v>
      </c>
      <c r="AH22" s="16"/>
      <c r="AI22" s="178">
        <f>SUM(AI14:AI21)</f>
        <v>479.35477000000003</v>
      </c>
      <c r="AJ22" s="171">
        <f t="shared" si="10"/>
        <v>14.088724723724431</v>
      </c>
      <c r="AK22" s="186"/>
      <c r="AL22" s="178">
        <f>SUM(AL14:AL21)</f>
        <v>425.92802</v>
      </c>
      <c r="AM22" s="171">
        <f t="shared" si="11"/>
        <v>10.118737557313567</v>
      </c>
      <c r="AN22" s="186"/>
      <c r="AO22" s="178">
        <f>SUM(AO14:AO21)</f>
        <v>5181.0069999999996</v>
      </c>
      <c r="AP22" s="171">
        <f t="shared" si="13"/>
        <v>10.836614362625546</v>
      </c>
      <c r="AQ22" s="93"/>
    </row>
    <row r="23" spans="1:43" outlineLevel="2">
      <c r="A23" s="277" t="s">
        <v>446</v>
      </c>
      <c r="B23" s="9">
        <v>8701530201</v>
      </c>
      <c r="C23" s="9" t="s">
        <v>33</v>
      </c>
      <c r="D23" s="9" t="s">
        <v>37</v>
      </c>
      <c r="E23" s="11">
        <v>0</v>
      </c>
      <c r="F23" s="26">
        <f t="shared" si="0"/>
        <v>0</v>
      </c>
      <c r="H23" s="25">
        <v>0</v>
      </c>
      <c r="I23" s="46">
        <f t="shared" si="1"/>
        <v>0</v>
      </c>
      <c r="K23" s="25">
        <v>0</v>
      </c>
      <c r="L23" s="46">
        <f t="shared" si="2"/>
        <v>0</v>
      </c>
      <c r="N23" s="25">
        <v>0</v>
      </c>
      <c r="O23" s="46">
        <f t="shared" si="3"/>
        <v>0</v>
      </c>
      <c r="Q23" s="25">
        <v>0</v>
      </c>
      <c r="R23" s="46">
        <f t="shared" si="4"/>
        <v>0</v>
      </c>
      <c r="T23" s="25">
        <v>0</v>
      </c>
      <c r="U23" s="46">
        <f t="shared" si="5"/>
        <v>0</v>
      </c>
      <c r="W23" s="25">
        <v>0</v>
      </c>
      <c r="X23" s="46">
        <f t="shared" si="6"/>
        <v>0</v>
      </c>
      <c r="Z23" s="25"/>
      <c r="AA23" s="46">
        <f t="shared" si="14"/>
        <v>0</v>
      </c>
      <c r="AC23" s="25">
        <v>0</v>
      </c>
      <c r="AD23" s="46">
        <f t="shared" si="8"/>
        <v>0</v>
      </c>
      <c r="AF23" s="25">
        <v>0</v>
      </c>
      <c r="AG23" s="46">
        <f t="shared" si="9"/>
        <v>0</v>
      </c>
      <c r="AI23" s="25">
        <v>0</v>
      </c>
      <c r="AJ23" s="46">
        <f t="shared" si="10"/>
        <v>0</v>
      </c>
      <c r="AL23" s="25">
        <v>0</v>
      </c>
      <c r="AM23" s="46">
        <f t="shared" si="11"/>
        <v>0</v>
      </c>
      <c r="AO23" s="25">
        <f t="shared" si="12"/>
        <v>0</v>
      </c>
      <c r="AP23" s="46">
        <f t="shared" si="13"/>
        <v>0</v>
      </c>
      <c r="AQ23" s="93"/>
    </row>
    <row r="24" spans="1:43" outlineLevel="2">
      <c r="A24" s="277" t="s">
        <v>446</v>
      </c>
      <c r="B24" s="9">
        <v>6666050309</v>
      </c>
      <c r="C24" s="9" t="s">
        <v>34</v>
      </c>
      <c r="D24" s="9" t="s">
        <v>37</v>
      </c>
      <c r="E24" s="11">
        <v>11.071219999999999</v>
      </c>
      <c r="F24" s="26">
        <f t="shared" si="0"/>
        <v>0.22793889357847272</v>
      </c>
      <c r="H24" s="25">
        <v>15.198259999999999</v>
      </c>
      <c r="I24" s="46">
        <f t="shared" si="1"/>
        <v>0.33016010253513783</v>
      </c>
      <c r="K24" s="25">
        <v>16.143829999999998</v>
      </c>
      <c r="L24" s="46">
        <f t="shared" si="2"/>
        <v>0.34840041435569841</v>
      </c>
      <c r="N24" s="25">
        <v>12.851460000000001</v>
      </c>
      <c r="O24" s="46">
        <f t="shared" si="3"/>
        <v>0.26034600814375142</v>
      </c>
      <c r="Q24" s="25">
        <v>15.247720000000001</v>
      </c>
      <c r="R24" s="46">
        <f t="shared" si="4"/>
        <v>0.28392149560554147</v>
      </c>
      <c r="T24" s="25">
        <v>5.0986700000000003</v>
      </c>
      <c r="U24" s="46">
        <f t="shared" si="5"/>
        <v>0.17188073085221145</v>
      </c>
      <c r="W24" s="25">
        <v>5.6826100000000004</v>
      </c>
      <c r="X24" s="46">
        <f t="shared" si="6"/>
        <v>0.13576247700504099</v>
      </c>
      <c r="Z24" s="25">
        <v>4.5553799999999995</v>
      </c>
      <c r="AA24" s="46">
        <f t="shared" si="14"/>
        <v>0.14245801669950275</v>
      </c>
      <c r="AC24" s="25">
        <v>4.1763399999999997</v>
      </c>
      <c r="AD24" s="46">
        <f t="shared" si="8"/>
        <v>0.14774090844771473</v>
      </c>
      <c r="AF24" s="25">
        <v>6.7750499999999994</v>
      </c>
      <c r="AG24" s="46">
        <f t="shared" si="9"/>
        <v>0.25848117202701154</v>
      </c>
      <c r="AI24" s="25">
        <v>6.67286</v>
      </c>
      <c r="AJ24" s="46">
        <f t="shared" si="10"/>
        <v>0.19612214907124384</v>
      </c>
      <c r="AL24" s="25">
        <v>20.850260000000002</v>
      </c>
      <c r="AM24" s="46">
        <f t="shared" si="11"/>
        <v>0.49533794217565869</v>
      </c>
      <c r="AO24" s="25">
        <f t="shared" si="12"/>
        <v>124.32365999999999</v>
      </c>
      <c r="AP24" s="46">
        <f t="shared" si="13"/>
        <v>0.26003585009056646</v>
      </c>
      <c r="AQ24" s="93"/>
    </row>
    <row r="25" spans="1:43" outlineLevel="2">
      <c r="A25" s="277" t="s">
        <v>446</v>
      </c>
      <c r="B25" s="9">
        <v>6666050308</v>
      </c>
      <c r="C25" s="9" t="s">
        <v>35</v>
      </c>
      <c r="D25" s="9" t="s">
        <v>37</v>
      </c>
      <c r="E25" s="11">
        <v>12.139830000000002</v>
      </c>
      <c r="F25" s="26">
        <f t="shared" si="0"/>
        <v>0.24993988182248669</v>
      </c>
      <c r="H25" s="25">
        <v>7.1356699999999993</v>
      </c>
      <c r="I25" s="46">
        <f t="shared" si="1"/>
        <v>0.15501205656811415</v>
      </c>
      <c r="K25" s="25">
        <v>6.7541599999999997</v>
      </c>
      <c r="L25" s="46">
        <f t="shared" si="2"/>
        <v>0.14576170231132787</v>
      </c>
      <c r="N25" s="25">
        <v>9.484849999999998</v>
      </c>
      <c r="O25" s="46">
        <f t="shared" si="3"/>
        <v>0.19214492636184993</v>
      </c>
      <c r="Q25" s="25">
        <v>12.989439999999998</v>
      </c>
      <c r="R25" s="46">
        <f t="shared" si="4"/>
        <v>0.24187099657381197</v>
      </c>
      <c r="T25" s="25">
        <v>15.080680000000005</v>
      </c>
      <c r="U25" s="46">
        <f t="shared" si="5"/>
        <v>0.50838322545846837</v>
      </c>
      <c r="W25" s="25">
        <v>11.527799999999999</v>
      </c>
      <c r="X25" s="46">
        <f t="shared" si="6"/>
        <v>0.27540913108918458</v>
      </c>
      <c r="Z25" s="25">
        <v>12.467799999999999</v>
      </c>
      <c r="AA25" s="46">
        <f t="shared" si="14"/>
        <v>0.38989898989898986</v>
      </c>
      <c r="AC25" s="25">
        <v>13.435809999999998</v>
      </c>
      <c r="AD25" s="46">
        <f t="shared" si="8"/>
        <v>0.47530104712041882</v>
      </c>
      <c r="AF25" s="25">
        <v>9.3519299999999994</v>
      </c>
      <c r="AG25" s="46">
        <f t="shared" si="9"/>
        <v>0.35679409408263701</v>
      </c>
      <c r="AI25" s="25">
        <v>10.286799999999999</v>
      </c>
      <c r="AJ25" s="46">
        <f t="shared" si="10"/>
        <v>0.30233952504114742</v>
      </c>
      <c r="AL25" s="25">
        <v>24.548329999999986</v>
      </c>
      <c r="AM25" s="46">
        <f t="shared" si="11"/>
        <v>0.58319269237165294</v>
      </c>
      <c r="AO25" s="25">
        <f t="shared" si="12"/>
        <v>145.20309999999998</v>
      </c>
      <c r="AP25" s="46">
        <f t="shared" si="13"/>
        <v>0.30370736788384062</v>
      </c>
      <c r="AQ25" s="93"/>
    </row>
    <row r="26" spans="1:43" outlineLevel="2">
      <c r="A26" s="277" t="s">
        <v>446</v>
      </c>
      <c r="B26" s="9">
        <v>6666050306</v>
      </c>
      <c r="C26" s="9" t="s">
        <v>36</v>
      </c>
      <c r="D26" s="9" t="s">
        <v>37</v>
      </c>
      <c r="E26" s="11">
        <v>-1.268E-2</v>
      </c>
      <c r="F26" s="26">
        <f t="shared" si="0"/>
        <v>-2.6106112700994421E-4</v>
      </c>
      <c r="H26" s="25">
        <v>0.25906000000000001</v>
      </c>
      <c r="I26" s="46">
        <f t="shared" si="1"/>
        <v>5.6277018660526148E-3</v>
      </c>
      <c r="K26" s="25">
        <v>0</v>
      </c>
      <c r="L26" s="46">
        <f t="shared" si="2"/>
        <v>0</v>
      </c>
      <c r="N26" s="25">
        <v>0.26438000000000006</v>
      </c>
      <c r="O26" s="46">
        <f t="shared" si="3"/>
        <v>5.3558333164515949E-3</v>
      </c>
      <c r="Q26" s="25">
        <v>0</v>
      </c>
      <c r="R26" s="46">
        <f t="shared" si="4"/>
        <v>0</v>
      </c>
      <c r="T26" s="25">
        <v>0.18358999999999998</v>
      </c>
      <c r="U26" s="46">
        <f t="shared" si="5"/>
        <v>6.1889832793959E-3</v>
      </c>
      <c r="W26" s="25">
        <v>0.20455999999999999</v>
      </c>
      <c r="X26" s="46">
        <f t="shared" si="6"/>
        <v>4.8871156556848311E-3</v>
      </c>
      <c r="Z26" s="25"/>
      <c r="AA26" s="46">
        <f t="shared" si="14"/>
        <v>0</v>
      </c>
      <c r="AC26" s="25">
        <v>0.22242999999999999</v>
      </c>
      <c r="AD26" s="46">
        <f t="shared" si="8"/>
        <v>7.8686146879864156E-3</v>
      </c>
      <c r="AF26" s="25">
        <v>0.36773000000000006</v>
      </c>
      <c r="AG26" s="46">
        <f t="shared" si="9"/>
        <v>1.4029605890656596E-2</v>
      </c>
      <c r="AI26" s="25">
        <v>0.41342000000000001</v>
      </c>
      <c r="AJ26" s="46">
        <f t="shared" si="10"/>
        <v>1.2150834704914178E-2</v>
      </c>
      <c r="AL26" s="25">
        <v>0.95812000000000008</v>
      </c>
      <c r="AM26" s="46">
        <f t="shared" si="11"/>
        <v>2.2761979426507973E-2</v>
      </c>
      <c r="AO26" s="25">
        <f t="shared" si="12"/>
        <v>2.8606100000000003</v>
      </c>
      <c r="AP26" s="46">
        <f t="shared" si="13"/>
        <v>5.9832629857227131E-3</v>
      </c>
      <c r="AQ26" s="93"/>
    </row>
    <row r="27" spans="1:43" s="24" customFormat="1">
      <c r="A27" s="277"/>
      <c r="B27" s="37" t="s">
        <v>1</v>
      </c>
      <c r="C27" s="36" t="s">
        <v>37</v>
      </c>
      <c r="D27" s="38"/>
      <c r="E27" s="97">
        <v>23.198370000000001</v>
      </c>
      <c r="F27" s="171">
        <f t="shared" si="0"/>
        <v>0.4776177142739495</v>
      </c>
      <c r="G27" s="314"/>
      <c r="H27" s="178">
        <f>SUM(H23:H26)</f>
        <v>22.59299</v>
      </c>
      <c r="I27" s="171">
        <f t="shared" si="1"/>
        <v>0.49079986096930461</v>
      </c>
      <c r="J27" s="314"/>
      <c r="K27" s="178">
        <f>SUM(K23:K26)</f>
        <v>22.897989999999997</v>
      </c>
      <c r="L27" s="171">
        <f t="shared" si="2"/>
        <v>0.4941621166670262</v>
      </c>
      <c r="M27" s="186"/>
      <c r="N27" s="178">
        <f>SUM(N23:N26)</f>
        <v>22.600689999999997</v>
      </c>
      <c r="O27" s="171">
        <f t="shared" si="3"/>
        <v>0.45784676782205286</v>
      </c>
      <c r="P27" s="16"/>
      <c r="Q27" s="178">
        <f>SUM(Q23:Q26)</f>
        <v>28.237159999999999</v>
      </c>
      <c r="R27" s="171">
        <f t="shared" si="4"/>
        <v>0.52579249217935342</v>
      </c>
      <c r="S27" s="16"/>
      <c r="T27" s="178">
        <f>SUM(T23:T26)</f>
        <v>20.362940000000005</v>
      </c>
      <c r="U27" s="171">
        <f t="shared" si="5"/>
        <v>0.68645293959007569</v>
      </c>
      <c r="V27" s="16"/>
      <c r="W27" s="178">
        <f>SUM(W23:W26)</f>
        <v>17.41497</v>
      </c>
      <c r="X27" s="171">
        <f t="shared" si="6"/>
        <v>0.41605872374991038</v>
      </c>
      <c r="Y27" s="16"/>
      <c r="Z27" s="178">
        <f>SUM(Z23:Z26)</f>
        <v>17.023179999999996</v>
      </c>
      <c r="AA27" s="171">
        <f t="shared" si="14"/>
        <v>0.53235700659849261</v>
      </c>
      <c r="AB27" s="16"/>
      <c r="AC27" s="178">
        <f>SUM(AC23:AC26)</f>
        <v>17.834579999999999</v>
      </c>
      <c r="AD27" s="171">
        <f t="shared" si="8"/>
        <v>0.63091057025611996</v>
      </c>
      <c r="AE27" s="16"/>
      <c r="AF27" s="178">
        <f>SUM(AF23:AF26)</f>
        <v>16.494710000000001</v>
      </c>
      <c r="AG27" s="171">
        <f t="shared" si="9"/>
        <v>0.62930487200030527</v>
      </c>
      <c r="AH27" s="16"/>
      <c r="AI27" s="178">
        <f>SUM(AI23:AI26)</f>
        <v>17.373079999999998</v>
      </c>
      <c r="AJ27" s="171">
        <f t="shared" si="10"/>
        <v>0.51061250881730536</v>
      </c>
      <c r="AK27" s="186"/>
      <c r="AL27" s="178">
        <f>SUM(AL23:AL26)</f>
        <v>46.356709999999985</v>
      </c>
      <c r="AM27" s="171">
        <f t="shared" si="11"/>
        <v>1.1012926139738195</v>
      </c>
      <c r="AN27" s="186"/>
      <c r="AO27" s="178">
        <f>SUM(AO23:AO26)</f>
        <v>272.38736999999998</v>
      </c>
      <c r="AP27" s="171">
        <f t="shared" si="13"/>
        <v>0.56972648096012979</v>
      </c>
      <c r="AQ27" s="93"/>
    </row>
    <row r="28" spans="1:43" outlineLevel="2">
      <c r="A28" s="277" t="s">
        <v>445</v>
      </c>
      <c r="B28" s="9">
        <v>5102010151</v>
      </c>
      <c r="C28" s="9" t="s">
        <v>41</v>
      </c>
      <c r="D28" s="9" t="s">
        <v>80</v>
      </c>
      <c r="E28" s="11">
        <v>0</v>
      </c>
      <c r="F28" s="26">
        <f t="shared" si="0"/>
        <v>0</v>
      </c>
      <c r="H28" s="25">
        <v>0</v>
      </c>
      <c r="I28" s="46">
        <f t="shared" si="1"/>
        <v>0</v>
      </c>
      <c r="K28" s="25">
        <v>0</v>
      </c>
      <c r="L28" s="46">
        <f t="shared" si="2"/>
        <v>0</v>
      </c>
      <c r="N28" s="25">
        <v>0</v>
      </c>
      <c r="O28" s="46">
        <f t="shared" si="3"/>
        <v>0</v>
      </c>
      <c r="Q28" s="25">
        <v>0</v>
      </c>
      <c r="R28" s="46">
        <f t="shared" si="4"/>
        <v>0</v>
      </c>
      <c r="T28" s="25">
        <v>0</v>
      </c>
      <c r="U28" s="46">
        <f t="shared" si="5"/>
        <v>0</v>
      </c>
      <c r="W28" s="25">
        <v>0</v>
      </c>
      <c r="X28" s="46">
        <f t="shared" si="6"/>
        <v>0</v>
      </c>
      <c r="Z28" s="25">
        <v>0</v>
      </c>
      <c r="AA28" s="46">
        <f t="shared" si="14"/>
        <v>0</v>
      </c>
      <c r="AC28" s="25">
        <v>0</v>
      </c>
      <c r="AD28" s="46">
        <f t="shared" si="8"/>
        <v>0</v>
      </c>
      <c r="AF28" s="25">
        <v>0</v>
      </c>
      <c r="AG28" s="46">
        <f t="shared" si="9"/>
        <v>0</v>
      </c>
      <c r="AI28" s="25">
        <v>0</v>
      </c>
      <c r="AJ28" s="46">
        <f t="shared" si="10"/>
        <v>0</v>
      </c>
      <c r="AL28" s="25">
        <v>0</v>
      </c>
      <c r="AM28" s="46">
        <f t="shared" si="11"/>
        <v>0</v>
      </c>
      <c r="AO28" s="25">
        <f t="shared" si="12"/>
        <v>0</v>
      </c>
      <c r="AP28" s="46">
        <f t="shared" si="13"/>
        <v>0</v>
      </c>
      <c r="AQ28" s="93"/>
    </row>
    <row r="29" spans="1:43" outlineLevel="2">
      <c r="A29" s="277" t="s">
        <v>445</v>
      </c>
      <c r="B29" s="9">
        <v>5001010200</v>
      </c>
      <c r="C29" s="9" t="s">
        <v>42</v>
      </c>
      <c r="D29" s="9" t="s">
        <v>80</v>
      </c>
      <c r="E29" s="11">
        <v>0.17197000000000001</v>
      </c>
      <c r="F29" s="26">
        <f t="shared" si="0"/>
        <v>3.5405900640299768E-3</v>
      </c>
      <c r="H29" s="25">
        <v>0</v>
      </c>
      <c r="I29" s="46">
        <f t="shared" si="1"/>
        <v>0</v>
      </c>
      <c r="K29" s="25">
        <v>0</v>
      </c>
      <c r="L29" s="46">
        <f t="shared" si="2"/>
        <v>0</v>
      </c>
      <c r="N29" s="25">
        <v>0</v>
      </c>
      <c r="O29" s="46">
        <f t="shared" si="3"/>
        <v>0</v>
      </c>
      <c r="Q29" s="25">
        <v>1.8510000000000002E-2</v>
      </c>
      <c r="R29" s="46">
        <f t="shared" si="4"/>
        <v>3.4466706390585435E-4</v>
      </c>
      <c r="T29" s="25">
        <v>9.2099999999999994E-3</v>
      </c>
      <c r="U29" s="46">
        <f t="shared" si="5"/>
        <v>3.1047734627831714E-4</v>
      </c>
      <c r="W29" s="25">
        <v>0</v>
      </c>
      <c r="X29" s="46">
        <f t="shared" si="6"/>
        <v>0</v>
      </c>
      <c r="Z29" s="25">
        <v>0</v>
      </c>
      <c r="AA29" s="46">
        <f t="shared" si="14"/>
        <v>0</v>
      </c>
      <c r="AC29" s="25">
        <v>1.3869999999999997E-2</v>
      </c>
      <c r="AD29" s="46">
        <f t="shared" si="8"/>
        <v>4.9066081788594871E-4</v>
      </c>
      <c r="AF29" s="25">
        <v>1.495E-2</v>
      </c>
      <c r="AG29" s="46">
        <f t="shared" si="9"/>
        <v>5.7037121819083581E-4</v>
      </c>
      <c r="AI29" s="25">
        <v>0</v>
      </c>
      <c r="AJ29" s="46">
        <f t="shared" si="10"/>
        <v>0</v>
      </c>
      <c r="AL29" s="25">
        <v>0</v>
      </c>
      <c r="AM29" s="46">
        <f t="shared" si="11"/>
        <v>0</v>
      </c>
      <c r="AO29" s="25">
        <f t="shared" si="12"/>
        <v>0.22850999999999999</v>
      </c>
      <c r="AP29" s="46">
        <f t="shared" si="13"/>
        <v>4.7795240346202276E-4</v>
      </c>
      <c r="AQ29" s="93"/>
    </row>
    <row r="30" spans="1:43" outlineLevel="2">
      <c r="A30" s="277" t="s">
        <v>445</v>
      </c>
      <c r="B30" s="9">
        <v>5001010201</v>
      </c>
      <c r="C30" s="9" t="s">
        <v>43</v>
      </c>
      <c r="D30" s="9" t="s">
        <v>80</v>
      </c>
      <c r="E30" s="11">
        <v>5.6000000000000006E-4</v>
      </c>
      <c r="F30" s="26">
        <f t="shared" si="0"/>
        <v>1.1529513495707317E-5</v>
      </c>
      <c r="H30" s="25">
        <v>0</v>
      </c>
      <c r="I30" s="46">
        <f t="shared" si="1"/>
        <v>0</v>
      </c>
      <c r="K30" s="25">
        <v>0</v>
      </c>
      <c r="L30" s="46">
        <f t="shared" si="2"/>
        <v>0</v>
      </c>
      <c r="N30" s="25">
        <v>0</v>
      </c>
      <c r="O30" s="46">
        <f t="shared" si="3"/>
        <v>0</v>
      </c>
      <c r="Q30" s="25">
        <v>2.4700000000000004E-3</v>
      </c>
      <c r="R30" s="46">
        <f t="shared" si="4"/>
        <v>4.5992849694622377E-5</v>
      </c>
      <c r="T30" s="25">
        <v>0.17792999999999998</v>
      </c>
      <c r="U30" s="46">
        <f t="shared" si="5"/>
        <v>5.9981796116504839E-3</v>
      </c>
      <c r="W30" s="25">
        <v>0</v>
      </c>
      <c r="X30" s="46">
        <f t="shared" si="6"/>
        <v>0</v>
      </c>
      <c r="Z30" s="25">
        <v>0</v>
      </c>
      <c r="AA30" s="46">
        <f t="shared" si="14"/>
        <v>0</v>
      </c>
      <c r="AC30" s="25">
        <v>2.2799999999999999E-3</v>
      </c>
      <c r="AD30" s="46">
        <f t="shared" si="8"/>
        <v>8.0656572803169664E-5</v>
      </c>
      <c r="AF30" s="25">
        <v>0</v>
      </c>
      <c r="AG30" s="46">
        <f t="shared" si="9"/>
        <v>0</v>
      </c>
      <c r="AI30" s="25">
        <v>0</v>
      </c>
      <c r="AJ30" s="46">
        <f t="shared" si="10"/>
        <v>0</v>
      </c>
      <c r="AL30" s="25">
        <v>0</v>
      </c>
      <c r="AM30" s="46">
        <f t="shared" si="11"/>
        <v>0</v>
      </c>
      <c r="AO30" s="25">
        <f t="shared" si="12"/>
        <v>0.18323999999999999</v>
      </c>
      <c r="AP30" s="46">
        <f t="shared" si="13"/>
        <v>3.832654956473723E-4</v>
      </c>
      <c r="AQ30" s="93"/>
    </row>
    <row r="31" spans="1:43" outlineLevel="2">
      <c r="A31" s="277" t="s">
        <v>445</v>
      </c>
      <c r="B31" s="9">
        <v>5207000011</v>
      </c>
      <c r="C31" s="9" t="s">
        <v>125</v>
      </c>
      <c r="D31" s="9" t="s">
        <v>80</v>
      </c>
      <c r="E31" s="11">
        <v>0</v>
      </c>
      <c r="F31" s="26">
        <f t="shared" si="0"/>
        <v>0</v>
      </c>
      <c r="H31" s="25">
        <v>0</v>
      </c>
      <c r="I31" s="46">
        <f t="shared" si="1"/>
        <v>0</v>
      </c>
      <c r="K31" s="25">
        <v>0</v>
      </c>
      <c r="L31" s="46">
        <f t="shared" si="2"/>
        <v>0</v>
      </c>
      <c r="N31" s="25">
        <v>0</v>
      </c>
      <c r="O31" s="46">
        <f t="shared" si="3"/>
        <v>0</v>
      </c>
      <c r="Q31" s="25">
        <v>0</v>
      </c>
      <c r="R31" s="46">
        <f t="shared" si="4"/>
        <v>0</v>
      </c>
      <c r="T31" s="25">
        <v>0</v>
      </c>
      <c r="U31" s="46">
        <f t="shared" si="5"/>
        <v>0</v>
      </c>
      <c r="W31" s="25">
        <v>0</v>
      </c>
      <c r="X31" s="46">
        <f t="shared" si="6"/>
        <v>0</v>
      </c>
      <c r="Z31" s="25">
        <v>0</v>
      </c>
      <c r="AA31" s="46">
        <f t="shared" si="14"/>
        <v>0</v>
      </c>
      <c r="AC31" s="25">
        <v>0</v>
      </c>
      <c r="AD31" s="46">
        <f t="shared" si="8"/>
        <v>0</v>
      </c>
      <c r="AF31" s="25">
        <v>0</v>
      </c>
      <c r="AG31" s="46">
        <f t="shared" si="9"/>
        <v>0</v>
      </c>
      <c r="AI31" s="25">
        <v>0</v>
      </c>
      <c r="AJ31" s="46">
        <f t="shared" si="10"/>
        <v>0</v>
      </c>
      <c r="AL31" s="25">
        <v>0</v>
      </c>
      <c r="AM31" s="46">
        <f t="shared" si="11"/>
        <v>0</v>
      </c>
      <c r="AO31" s="25">
        <f t="shared" si="12"/>
        <v>0</v>
      </c>
      <c r="AP31" s="46">
        <f t="shared" si="13"/>
        <v>0</v>
      </c>
      <c r="AQ31" s="93"/>
    </row>
    <row r="32" spans="1:43" outlineLevel="2">
      <c r="A32" s="277" t="s">
        <v>445</v>
      </c>
      <c r="B32" s="9">
        <v>5207000012</v>
      </c>
      <c r="C32" s="9" t="s">
        <v>44</v>
      </c>
      <c r="D32" s="9" t="s">
        <v>80</v>
      </c>
      <c r="E32" s="11">
        <v>0</v>
      </c>
      <c r="F32" s="26">
        <f t="shared" si="0"/>
        <v>0</v>
      </c>
      <c r="H32" s="25">
        <v>0</v>
      </c>
      <c r="I32" s="46">
        <f t="shared" si="1"/>
        <v>0</v>
      </c>
      <c r="K32" s="25">
        <v>0</v>
      </c>
      <c r="L32" s="46">
        <f t="shared" si="2"/>
        <v>0</v>
      </c>
      <c r="N32" s="25">
        <v>0</v>
      </c>
      <c r="O32" s="46">
        <f t="shared" si="3"/>
        <v>0</v>
      </c>
      <c r="Q32" s="25">
        <v>0</v>
      </c>
      <c r="R32" s="46">
        <f t="shared" si="4"/>
        <v>0</v>
      </c>
      <c r="T32" s="25">
        <v>0</v>
      </c>
      <c r="U32" s="46">
        <f t="shared" si="5"/>
        <v>0</v>
      </c>
      <c r="W32" s="25">
        <v>0</v>
      </c>
      <c r="X32" s="46">
        <f t="shared" si="6"/>
        <v>0</v>
      </c>
      <c r="Z32" s="25">
        <v>0</v>
      </c>
      <c r="AA32" s="46">
        <f t="shared" si="14"/>
        <v>0</v>
      </c>
      <c r="AC32" s="25">
        <v>0</v>
      </c>
      <c r="AD32" s="46">
        <f t="shared" si="8"/>
        <v>0</v>
      </c>
      <c r="AF32" s="25">
        <v>0</v>
      </c>
      <c r="AG32" s="46">
        <f t="shared" si="9"/>
        <v>0</v>
      </c>
      <c r="AI32" s="25">
        <v>0</v>
      </c>
      <c r="AJ32" s="46">
        <f t="shared" si="10"/>
        <v>0</v>
      </c>
      <c r="AL32" s="25">
        <v>0</v>
      </c>
      <c r="AM32" s="46">
        <f t="shared" si="11"/>
        <v>0</v>
      </c>
      <c r="AO32" s="25">
        <f t="shared" si="12"/>
        <v>0</v>
      </c>
      <c r="AP32" s="46">
        <f t="shared" si="13"/>
        <v>0</v>
      </c>
      <c r="AQ32" s="93"/>
    </row>
    <row r="33" spans="1:43" outlineLevel="2">
      <c r="A33" s="277" t="s">
        <v>445</v>
      </c>
      <c r="B33" s="9">
        <v>5207000022</v>
      </c>
      <c r="C33" s="9" t="s">
        <v>45</v>
      </c>
      <c r="D33" s="9" t="s">
        <v>80</v>
      </c>
      <c r="E33" s="11">
        <v>0</v>
      </c>
      <c r="F33" s="26">
        <f t="shared" si="0"/>
        <v>0</v>
      </c>
      <c r="H33" s="25">
        <v>0</v>
      </c>
      <c r="I33" s="46">
        <f t="shared" si="1"/>
        <v>0</v>
      </c>
      <c r="K33" s="25">
        <v>0</v>
      </c>
      <c r="L33" s="46">
        <f t="shared" si="2"/>
        <v>0</v>
      </c>
      <c r="N33" s="25">
        <v>0</v>
      </c>
      <c r="O33" s="46">
        <f t="shared" si="3"/>
        <v>0</v>
      </c>
      <c r="Q33" s="25">
        <v>0</v>
      </c>
      <c r="R33" s="46">
        <f t="shared" si="4"/>
        <v>0</v>
      </c>
      <c r="T33" s="25">
        <v>0</v>
      </c>
      <c r="U33" s="46">
        <f t="shared" si="5"/>
        <v>0</v>
      </c>
      <c r="W33" s="25">
        <v>0</v>
      </c>
      <c r="X33" s="46">
        <f t="shared" si="6"/>
        <v>0</v>
      </c>
      <c r="Z33" s="25">
        <v>0</v>
      </c>
      <c r="AA33" s="46">
        <f t="shared" si="14"/>
        <v>0</v>
      </c>
      <c r="AC33" s="25">
        <v>0</v>
      </c>
      <c r="AD33" s="46">
        <f t="shared" si="8"/>
        <v>0</v>
      </c>
      <c r="AF33" s="25">
        <v>0</v>
      </c>
      <c r="AG33" s="46">
        <f t="shared" si="9"/>
        <v>0</v>
      </c>
      <c r="AI33" s="25">
        <v>0</v>
      </c>
      <c r="AJ33" s="46">
        <f t="shared" si="10"/>
        <v>0</v>
      </c>
      <c r="AL33" s="25">
        <v>0</v>
      </c>
      <c r="AM33" s="46">
        <f t="shared" si="11"/>
        <v>0</v>
      </c>
      <c r="AO33" s="25">
        <f t="shared" si="12"/>
        <v>0</v>
      </c>
      <c r="AP33" s="46">
        <f t="shared" si="13"/>
        <v>0</v>
      </c>
      <c r="AQ33" s="93"/>
    </row>
    <row r="34" spans="1:43" outlineLevel="2">
      <c r="A34" s="277" t="s">
        <v>445</v>
      </c>
      <c r="B34" s="9">
        <v>5301060000</v>
      </c>
      <c r="C34" s="9" t="s">
        <v>46</v>
      </c>
      <c r="D34" s="9" t="s">
        <v>80</v>
      </c>
      <c r="E34" s="11">
        <v>0</v>
      </c>
      <c r="F34" s="26">
        <f t="shared" si="0"/>
        <v>0</v>
      </c>
      <c r="H34" s="25">
        <v>0</v>
      </c>
      <c r="I34" s="46">
        <f t="shared" si="1"/>
        <v>0</v>
      </c>
      <c r="K34" s="25">
        <v>0</v>
      </c>
      <c r="L34" s="46">
        <f t="shared" si="2"/>
        <v>0</v>
      </c>
      <c r="N34" s="25">
        <v>0</v>
      </c>
      <c r="O34" s="46">
        <f t="shared" si="3"/>
        <v>0</v>
      </c>
      <c r="Q34" s="25">
        <v>0</v>
      </c>
      <c r="R34" s="46">
        <f t="shared" si="4"/>
        <v>0</v>
      </c>
      <c r="T34" s="25">
        <v>0</v>
      </c>
      <c r="U34" s="46">
        <f t="shared" si="5"/>
        <v>0</v>
      </c>
      <c r="W34" s="25">
        <v>0</v>
      </c>
      <c r="X34" s="46">
        <f t="shared" si="6"/>
        <v>0</v>
      </c>
      <c r="Z34" s="25">
        <v>0</v>
      </c>
      <c r="AA34" s="46">
        <f t="shared" si="14"/>
        <v>0</v>
      </c>
      <c r="AC34" s="25">
        <v>0</v>
      </c>
      <c r="AD34" s="46">
        <f t="shared" si="8"/>
        <v>0</v>
      </c>
      <c r="AF34" s="25">
        <v>0</v>
      </c>
      <c r="AG34" s="46">
        <f t="shared" si="9"/>
        <v>0</v>
      </c>
      <c r="AI34" s="25">
        <v>0</v>
      </c>
      <c r="AJ34" s="46">
        <f t="shared" si="10"/>
        <v>0</v>
      </c>
      <c r="AL34" s="25">
        <v>0</v>
      </c>
      <c r="AM34" s="46">
        <f t="shared" si="11"/>
        <v>0</v>
      </c>
      <c r="AO34" s="25">
        <f t="shared" si="12"/>
        <v>0</v>
      </c>
      <c r="AP34" s="46">
        <f t="shared" si="13"/>
        <v>0</v>
      </c>
      <c r="AQ34" s="93"/>
    </row>
    <row r="35" spans="1:43" outlineLevel="2">
      <c r="A35" s="277" t="s">
        <v>445</v>
      </c>
      <c r="B35" s="9">
        <v>5301999999</v>
      </c>
      <c r="C35" s="9" t="s">
        <v>47</v>
      </c>
      <c r="D35" s="9" t="s">
        <v>80</v>
      </c>
      <c r="E35" s="11">
        <v>0</v>
      </c>
      <c r="F35" s="26">
        <f t="shared" si="0"/>
        <v>0</v>
      </c>
      <c r="H35" s="25">
        <v>0</v>
      </c>
      <c r="I35" s="46">
        <f t="shared" si="1"/>
        <v>0</v>
      </c>
      <c r="K35" s="25">
        <v>0</v>
      </c>
      <c r="L35" s="46">
        <f t="shared" si="2"/>
        <v>0</v>
      </c>
      <c r="N35" s="25">
        <v>0</v>
      </c>
      <c r="O35" s="46">
        <f t="shared" si="3"/>
        <v>0</v>
      </c>
      <c r="Q35" s="25">
        <v>0</v>
      </c>
      <c r="R35" s="46">
        <f t="shared" si="4"/>
        <v>0</v>
      </c>
      <c r="T35" s="25">
        <v>0</v>
      </c>
      <c r="U35" s="46">
        <f t="shared" si="5"/>
        <v>0</v>
      </c>
      <c r="W35" s="25">
        <v>0</v>
      </c>
      <c r="X35" s="46">
        <f t="shared" si="6"/>
        <v>0</v>
      </c>
      <c r="Z35" s="25">
        <v>0</v>
      </c>
      <c r="AA35" s="46">
        <f t="shared" si="14"/>
        <v>0</v>
      </c>
      <c r="AC35" s="25">
        <v>0</v>
      </c>
      <c r="AD35" s="46">
        <f t="shared" si="8"/>
        <v>0</v>
      </c>
      <c r="AF35" s="25">
        <v>0</v>
      </c>
      <c r="AG35" s="46">
        <f t="shared" si="9"/>
        <v>0</v>
      </c>
      <c r="AI35" s="25">
        <v>-6.5939999999999999E-2</v>
      </c>
      <c r="AJ35" s="46">
        <f t="shared" si="10"/>
        <v>-1.9380437338349398E-3</v>
      </c>
      <c r="AL35" s="25">
        <v>0</v>
      </c>
      <c r="AM35" s="46">
        <f t="shared" si="11"/>
        <v>0</v>
      </c>
      <c r="AO35" s="25">
        <f t="shared" si="12"/>
        <v>-6.5939999999999999E-2</v>
      </c>
      <c r="AP35" s="46">
        <f t="shared" si="13"/>
        <v>-1.3792036009052463E-4</v>
      </c>
      <c r="AQ35" s="93"/>
    </row>
    <row r="36" spans="1:43" outlineLevel="2">
      <c r="A36" s="277" t="s">
        <v>445</v>
      </c>
      <c r="B36" s="9">
        <v>5405030000</v>
      </c>
      <c r="C36" s="9" t="s">
        <v>48</v>
      </c>
      <c r="D36" s="9" t="s">
        <v>80</v>
      </c>
      <c r="E36" s="11">
        <v>9.4000000000000004E-3</v>
      </c>
      <c r="F36" s="26">
        <f t="shared" si="0"/>
        <v>1.9353111939222992E-4</v>
      </c>
      <c r="H36" s="25">
        <f>13.41/1000</f>
        <v>1.341E-2</v>
      </c>
      <c r="I36" s="46">
        <f t="shared" si="1"/>
        <v>2.9131275389394565E-4</v>
      </c>
      <c r="K36" s="25">
        <f>738.36/1000</f>
        <v>0.73836000000000002</v>
      </c>
      <c r="L36" s="46">
        <f t="shared" si="2"/>
        <v>1.5934566329283296E-2</v>
      </c>
      <c r="N36" s="25">
        <v>4.6539999999999998E-2</v>
      </c>
      <c r="O36" s="46">
        <f t="shared" si="3"/>
        <v>9.4281141745842026E-4</v>
      </c>
      <c r="Q36" s="25">
        <v>2.3999999999999998E-4</v>
      </c>
      <c r="R36" s="46">
        <f t="shared" si="4"/>
        <v>4.4689408610159382E-6</v>
      </c>
      <c r="T36" s="25">
        <v>-3.3250000000000002E-2</v>
      </c>
      <c r="U36" s="46">
        <f t="shared" si="5"/>
        <v>-1.1208872707659117E-3</v>
      </c>
      <c r="W36" s="25">
        <v>0.16259999999999999</v>
      </c>
      <c r="X36" s="46">
        <f t="shared" si="6"/>
        <v>3.8846548964330931E-3</v>
      </c>
      <c r="Z36" s="25">
        <v>0.10378</v>
      </c>
      <c r="AA36" s="46">
        <f t="shared" si="14"/>
        <v>3.2454576727022543E-3</v>
      </c>
      <c r="AC36" s="25">
        <v>0.13156000000000001</v>
      </c>
      <c r="AD36" s="46">
        <f t="shared" si="8"/>
        <v>4.6540257535021938E-3</v>
      </c>
      <c r="AF36" s="25">
        <v>0</v>
      </c>
      <c r="AG36" s="46">
        <f t="shared" si="9"/>
        <v>0</v>
      </c>
      <c r="AI36" s="25">
        <v>0.29868</v>
      </c>
      <c r="AJ36" s="46">
        <f t="shared" si="10"/>
        <v>8.7785092875617213E-3</v>
      </c>
      <c r="AL36" s="25">
        <v>1.4499999999999999E-3</v>
      </c>
      <c r="AM36" s="46">
        <f t="shared" si="11"/>
        <v>3.4447532843940795E-5</v>
      </c>
      <c r="AO36" s="25">
        <f t="shared" si="12"/>
        <v>1.4727699999999999</v>
      </c>
      <c r="AP36" s="46">
        <f t="shared" si="13"/>
        <v>3.0804514517822554E-3</v>
      </c>
      <c r="AQ36" s="93"/>
    </row>
    <row r="37" spans="1:43" outlineLevel="2">
      <c r="A37" s="277" t="s">
        <v>445</v>
      </c>
      <c r="B37" s="9">
        <v>5601050000</v>
      </c>
      <c r="C37" s="9" t="s">
        <v>49</v>
      </c>
      <c r="D37" s="9" t="s">
        <v>80</v>
      </c>
      <c r="E37" s="11">
        <v>0</v>
      </c>
      <c r="F37" s="26">
        <f t="shared" si="0"/>
        <v>0</v>
      </c>
      <c r="H37" s="25">
        <v>0</v>
      </c>
      <c r="I37" s="46">
        <f t="shared" si="1"/>
        <v>0</v>
      </c>
      <c r="K37" s="25">
        <v>0</v>
      </c>
      <c r="L37" s="46">
        <f t="shared" si="2"/>
        <v>0</v>
      </c>
      <c r="N37" s="25">
        <v>0</v>
      </c>
      <c r="O37" s="46">
        <f t="shared" si="3"/>
        <v>0</v>
      </c>
      <c r="Q37" s="25">
        <v>0</v>
      </c>
      <c r="R37" s="46">
        <f t="shared" si="4"/>
        <v>0</v>
      </c>
      <c r="T37" s="25">
        <v>2E-3</v>
      </c>
      <c r="U37" s="46">
        <f t="shared" si="5"/>
        <v>6.7421790722761591E-5</v>
      </c>
      <c r="W37" s="25">
        <v>1.0630000000000001E-2</v>
      </c>
      <c r="X37" s="46">
        <f t="shared" si="6"/>
        <v>2.5395991112597653E-4</v>
      </c>
      <c r="Z37" s="25">
        <v>0</v>
      </c>
      <c r="AA37" s="46">
        <f t="shared" si="14"/>
        <v>0</v>
      </c>
      <c r="AC37" s="25">
        <v>5.2630000000000003E-2</v>
      </c>
      <c r="AD37" s="46">
        <f t="shared" si="8"/>
        <v>1.8618225555398333E-3</v>
      </c>
      <c r="AF37" s="25">
        <v>0</v>
      </c>
      <c r="AG37" s="46">
        <f t="shared" si="9"/>
        <v>0</v>
      </c>
      <c r="AI37" s="25">
        <v>0</v>
      </c>
      <c r="AJ37" s="46">
        <f t="shared" si="10"/>
        <v>0</v>
      </c>
      <c r="AL37" s="25">
        <v>0</v>
      </c>
      <c r="AM37" s="46">
        <f t="shared" si="11"/>
        <v>0</v>
      </c>
      <c r="AO37" s="25">
        <f t="shared" si="12"/>
        <v>6.5259999999999999E-2</v>
      </c>
      <c r="AP37" s="46">
        <f t="shared" si="13"/>
        <v>1.3649806944961536E-4</v>
      </c>
      <c r="AQ37" s="93"/>
    </row>
    <row r="38" spans="1:43" outlineLevel="2">
      <c r="A38" s="277" t="s">
        <v>445</v>
      </c>
      <c r="B38" s="9">
        <v>5601050100</v>
      </c>
      <c r="C38" s="9" t="s">
        <v>50</v>
      </c>
      <c r="D38" s="9" t="s">
        <v>80</v>
      </c>
      <c r="E38" s="11">
        <v>1.6820000000000002E-2</v>
      </c>
      <c r="F38" s="26">
        <f t="shared" si="0"/>
        <v>3.462971732103519E-4</v>
      </c>
      <c r="H38" s="25">
        <v>0</v>
      </c>
      <c r="I38" s="46">
        <f t="shared" si="1"/>
        <v>0</v>
      </c>
      <c r="K38" s="25">
        <v>0</v>
      </c>
      <c r="L38" s="46">
        <f t="shared" si="2"/>
        <v>0</v>
      </c>
      <c r="N38" s="25">
        <v>0</v>
      </c>
      <c r="O38" s="46">
        <f t="shared" si="3"/>
        <v>0</v>
      </c>
      <c r="Q38" s="25">
        <v>0</v>
      </c>
      <c r="R38" s="46">
        <f t="shared" si="4"/>
        <v>0</v>
      </c>
      <c r="T38" s="25">
        <v>0</v>
      </c>
      <c r="U38" s="46">
        <f t="shared" si="5"/>
        <v>0</v>
      </c>
      <c r="W38" s="25">
        <v>0</v>
      </c>
      <c r="X38" s="46">
        <f t="shared" si="6"/>
        <v>0</v>
      </c>
      <c r="Z38" s="25">
        <v>0</v>
      </c>
      <c r="AA38" s="46">
        <f t="shared" si="14"/>
        <v>0</v>
      </c>
      <c r="AC38" s="25">
        <v>0</v>
      </c>
      <c r="AD38" s="46">
        <f t="shared" si="8"/>
        <v>0</v>
      </c>
      <c r="AF38" s="25">
        <v>0</v>
      </c>
      <c r="AG38" s="46">
        <f t="shared" si="9"/>
        <v>0</v>
      </c>
      <c r="AI38" s="25">
        <v>0</v>
      </c>
      <c r="AJ38" s="46">
        <f t="shared" si="10"/>
        <v>0</v>
      </c>
      <c r="AL38" s="25">
        <v>3.4790000000000001E-2</v>
      </c>
      <c r="AM38" s="46">
        <f t="shared" si="11"/>
        <v>8.2650321906255198E-4</v>
      </c>
      <c r="AO38" s="25">
        <f t="shared" si="12"/>
        <v>5.1610000000000003E-2</v>
      </c>
      <c r="AP38" s="46">
        <f t="shared" si="13"/>
        <v>1.0794767643724561E-4</v>
      </c>
      <c r="AQ38" s="93"/>
    </row>
    <row r="39" spans="1:43" outlineLevel="2">
      <c r="A39" s="277" t="s">
        <v>445</v>
      </c>
      <c r="B39" s="9">
        <v>5102040893</v>
      </c>
      <c r="C39" s="272" t="s">
        <v>345</v>
      </c>
      <c r="D39" s="9" t="s">
        <v>80</v>
      </c>
      <c r="E39" s="11"/>
      <c r="F39" s="26"/>
      <c r="H39" s="25"/>
      <c r="I39" s="46"/>
      <c r="K39" s="25"/>
      <c r="L39" s="46"/>
      <c r="N39" s="25"/>
      <c r="O39" s="46"/>
      <c r="Q39" s="25"/>
      <c r="R39" s="46"/>
      <c r="T39" s="25">
        <v>0</v>
      </c>
      <c r="U39" s="46">
        <f t="shared" si="5"/>
        <v>0</v>
      </c>
      <c r="W39" s="25">
        <v>0</v>
      </c>
      <c r="X39" s="46">
        <f t="shared" si="6"/>
        <v>0</v>
      </c>
      <c r="Z39" s="25">
        <v>0</v>
      </c>
      <c r="AA39" s="46">
        <f t="shared" si="14"/>
        <v>0</v>
      </c>
      <c r="AC39" s="25">
        <v>0</v>
      </c>
      <c r="AD39" s="46">
        <f t="shared" si="8"/>
        <v>0</v>
      </c>
      <c r="AF39" s="25">
        <v>0</v>
      </c>
      <c r="AG39" s="46">
        <f t="shared" si="9"/>
        <v>0</v>
      </c>
      <c r="AI39" s="25">
        <v>0</v>
      </c>
      <c r="AJ39" s="46">
        <f t="shared" si="10"/>
        <v>0</v>
      </c>
      <c r="AL39" s="25">
        <v>0</v>
      </c>
      <c r="AM39" s="46">
        <f t="shared" si="11"/>
        <v>0</v>
      </c>
      <c r="AO39" s="25">
        <f t="shared" si="12"/>
        <v>0</v>
      </c>
      <c r="AP39" s="46">
        <f t="shared" ref="AP39" si="15">AO39/$AO$1*1000</f>
        <v>0</v>
      </c>
      <c r="AQ39" s="93"/>
    </row>
    <row r="40" spans="1:43" outlineLevel="2">
      <c r="A40" s="277" t="s">
        <v>445</v>
      </c>
      <c r="B40" s="9">
        <v>5801000041</v>
      </c>
      <c r="C40" s="9" t="s">
        <v>51</v>
      </c>
      <c r="D40" s="9" t="s">
        <v>80</v>
      </c>
      <c r="E40" s="11">
        <v>0</v>
      </c>
      <c r="F40" s="26">
        <f t="shared" si="0"/>
        <v>0</v>
      </c>
      <c r="H40" s="25">
        <v>0</v>
      </c>
      <c r="I40" s="46">
        <f t="shared" si="1"/>
        <v>0</v>
      </c>
      <c r="K40" s="25">
        <v>0</v>
      </c>
      <c r="L40" s="46">
        <f t="shared" si="2"/>
        <v>0</v>
      </c>
      <c r="N40" s="25">
        <v>0</v>
      </c>
      <c r="O40" s="46">
        <f t="shared" si="3"/>
        <v>0</v>
      </c>
      <c r="Q40" s="25">
        <v>0</v>
      </c>
      <c r="R40" s="46">
        <f t="shared" si="4"/>
        <v>0</v>
      </c>
      <c r="T40" s="25">
        <v>0</v>
      </c>
      <c r="U40" s="46">
        <f t="shared" si="5"/>
        <v>0</v>
      </c>
      <c r="W40" s="25">
        <v>0</v>
      </c>
      <c r="X40" s="46">
        <f t="shared" si="6"/>
        <v>0</v>
      </c>
      <c r="Z40" s="25">
        <v>0</v>
      </c>
      <c r="AA40" s="46">
        <f t="shared" si="14"/>
        <v>0</v>
      </c>
      <c r="AC40" s="25">
        <v>0</v>
      </c>
      <c r="AD40" s="46">
        <f t="shared" si="8"/>
        <v>0</v>
      </c>
      <c r="AF40" s="25">
        <v>0</v>
      </c>
      <c r="AG40" s="46">
        <f t="shared" si="9"/>
        <v>0</v>
      </c>
      <c r="AI40" s="25">
        <v>0</v>
      </c>
      <c r="AJ40" s="46">
        <f t="shared" si="10"/>
        <v>0</v>
      </c>
      <c r="AL40" s="25">
        <v>0</v>
      </c>
      <c r="AM40" s="46">
        <f t="shared" si="11"/>
        <v>0</v>
      </c>
      <c r="AO40" s="25">
        <f t="shared" si="12"/>
        <v>0</v>
      </c>
      <c r="AP40" s="46">
        <f t="shared" si="13"/>
        <v>0</v>
      </c>
      <c r="AQ40" s="93"/>
    </row>
    <row r="41" spans="1:43" outlineLevel="2">
      <c r="A41" s="277" t="s">
        <v>445</v>
      </c>
      <c r="B41" s="9">
        <v>6666010322</v>
      </c>
      <c r="C41" s="9" t="s">
        <v>39</v>
      </c>
      <c r="D41" s="9" t="s">
        <v>80</v>
      </c>
      <c r="E41" s="11">
        <v>2.1930900000000002</v>
      </c>
      <c r="F41" s="26">
        <f t="shared" si="0"/>
        <v>4.5152251343394206E-2</v>
      </c>
      <c r="H41" s="25">
        <v>0.51195999999999997</v>
      </c>
      <c r="I41" s="46">
        <f t="shared" si="1"/>
        <v>1.1121586687810919E-2</v>
      </c>
      <c r="K41" s="25">
        <v>2.6978900000000001</v>
      </c>
      <c r="L41" s="46">
        <f t="shared" si="2"/>
        <v>5.8223234132550664E-2</v>
      </c>
      <c r="N41" s="25">
        <v>1.01857</v>
      </c>
      <c r="O41" s="46">
        <f t="shared" si="3"/>
        <v>2.063428073658408E-2</v>
      </c>
      <c r="Q41" s="25">
        <v>1.2587700000000002</v>
      </c>
      <c r="R41" s="46">
        <f t="shared" si="4"/>
        <v>2.3439036198420977E-2</v>
      </c>
      <c r="T41" s="25">
        <v>1.28891</v>
      </c>
      <c r="U41" s="46">
        <f t="shared" si="5"/>
        <v>4.3450310140237321E-2</v>
      </c>
      <c r="W41" s="25">
        <v>0.95107000000000008</v>
      </c>
      <c r="X41" s="46">
        <f t="shared" si="6"/>
        <v>2.2721886422820557E-2</v>
      </c>
      <c r="Z41" s="25">
        <v>1.4942899999999997</v>
      </c>
      <c r="AA41" s="46">
        <f t="shared" si="14"/>
        <v>4.6730149795165266E-2</v>
      </c>
      <c r="AC41" s="25">
        <v>1.2056099999999998</v>
      </c>
      <c r="AD41" s="46">
        <f t="shared" si="8"/>
        <v>4.264928541106551E-2</v>
      </c>
      <c r="AF41" s="25">
        <v>1.3802999999999999</v>
      </c>
      <c r="AG41" s="46">
        <f t="shared" si="9"/>
        <v>5.2661096486208078E-2</v>
      </c>
      <c r="AI41" s="25">
        <v>0.62515000000000009</v>
      </c>
      <c r="AJ41" s="46">
        <f t="shared" si="10"/>
        <v>1.8373794968257706E-2</v>
      </c>
      <c r="AL41" s="25">
        <v>1.4634100000000003</v>
      </c>
      <c r="AM41" s="46">
        <f t="shared" si="11"/>
        <v>3.476611313044925E-2</v>
      </c>
      <c r="AO41" s="25">
        <f t="shared" si="12"/>
        <v>16.089019999999998</v>
      </c>
      <c r="AP41" s="46">
        <f t="shared" si="13"/>
        <v>3.3651856716767549E-2</v>
      </c>
      <c r="AQ41" s="93"/>
    </row>
    <row r="42" spans="1:43" outlineLevel="2">
      <c r="A42" s="277" t="s">
        <v>445</v>
      </c>
      <c r="B42" s="9">
        <v>6666020101</v>
      </c>
      <c r="C42" s="9" t="s">
        <v>52</v>
      </c>
      <c r="D42" s="9" t="s">
        <v>80</v>
      </c>
      <c r="E42" s="11">
        <v>0</v>
      </c>
      <c r="F42" s="26">
        <f t="shared" si="0"/>
        <v>0</v>
      </c>
      <c r="H42" s="25">
        <v>6.8387600000000006</v>
      </c>
      <c r="I42" s="46">
        <f t="shared" si="1"/>
        <v>0.14856211848022072</v>
      </c>
      <c r="K42" s="25">
        <v>5.8495100000000004</v>
      </c>
      <c r="L42" s="46">
        <f t="shared" si="2"/>
        <v>0.12623842717482792</v>
      </c>
      <c r="N42" s="25">
        <v>5.1449999999999996</v>
      </c>
      <c r="O42" s="46">
        <f t="shared" si="3"/>
        <v>0.10422786297429248</v>
      </c>
      <c r="Q42" s="25">
        <v>5.0766200000000001</v>
      </c>
      <c r="R42" s="46">
        <f t="shared" si="4"/>
        <v>9.4529643974378075E-2</v>
      </c>
      <c r="T42" s="25">
        <v>-4.3015699999999999</v>
      </c>
      <c r="U42" s="46">
        <f t="shared" si="5"/>
        <v>-0.1450097761596548</v>
      </c>
      <c r="W42" s="25">
        <v>4.2675100000000006</v>
      </c>
      <c r="X42" s="46">
        <f t="shared" si="6"/>
        <v>0.10195451179014264</v>
      </c>
      <c r="Z42" s="25">
        <v>3.5254099999999999</v>
      </c>
      <c r="AA42" s="46">
        <f t="shared" si="14"/>
        <v>0.1102483034681177</v>
      </c>
      <c r="AC42" s="25">
        <v>-0.60927999999999993</v>
      </c>
      <c r="AD42" s="46">
        <f t="shared" si="8"/>
        <v>-2.1553700297155795E-2</v>
      </c>
      <c r="AF42" s="25">
        <v>0.16572999999999999</v>
      </c>
      <c r="AG42" s="46">
        <f t="shared" si="9"/>
        <v>6.3229178589141958E-3</v>
      </c>
      <c r="AI42" s="25">
        <v>-0.39021</v>
      </c>
      <c r="AJ42" s="46">
        <f t="shared" si="10"/>
        <v>-1.1468669174700212E-2</v>
      </c>
      <c r="AL42" s="25">
        <v>-33.392569999999999</v>
      </c>
      <c r="AM42" s="46">
        <f t="shared" si="11"/>
        <v>-0.793304587461098</v>
      </c>
      <c r="AO42" s="25">
        <f t="shared" si="12"/>
        <v>-7.8250899999999959</v>
      </c>
      <c r="AP42" s="46">
        <f t="shared" si="13"/>
        <v>-1.6366988634224484E-2</v>
      </c>
      <c r="AQ42" s="93"/>
    </row>
    <row r="43" spans="1:43" outlineLevel="2">
      <c r="A43" s="277" t="s">
        <v>445</v>
      </c>
      <c r="B43" s="9">
        <v>6666020201</v>
      </c>
      <c r="C43" s="9" t="s">
        <v>53</v>
      </c>
      <c r="D43" s="9" t="s">
        <v>80</v>
      </c>
      <c r="E43" s="11">
        <v>2.5999999999999999E-3</v>
      </c>
      <c r="F43" s="26">
        <f t="shared" si="0"/>
        <v>5.3529884087212532E-5</v>
      </c>
      <c r="H43" s="25">
        <v>0.30249999999999994</v>
      </c>
      <c r="I43" s="46">
        <f t="shared" si="1"/>
        <v>6.5713727108813232E-3</v>
      </c>
      <c r="K43" s="25">
        <v>0.13763999999999998</v>
      </c>
      <c r="L43" s="46">
        <f t="shared" si="2"/>
        <v>2.9704124134061326E-3</v>
      </c>
      <c r="N43" s="25">
        <v>0</v>
      </c>
      <c r="O43" s="46">
        <f t="shared" si="3"/>
        <v>0</v>
      </c>
      <c r="Q43" s="25">
        <v>0</v>
      </c>
      <c r="R43" s="46">
        <f t="shared" si="4"/>
        <v>0</v>
      </c>
      <c r="T43" s="25">
        <v>8.5522899999999993</v>
      </c>
      <c r="U43" s="46">
        <f t="shared" si="5"/>
        <v>0.28830535329018336</v>
      </c>
      <c r="W43" s="25">
        <v>0</v>
      </c>
      <c r="X43" s="46">
        <f t="shared" si="6"/>
        <v>0</v>
      </c>
      <c r="Z43" s="25">
        <v>7.9030000000000003E-2</v>
      </c>
      <c r="AA43" s="46">
        <f t="shared" si="14"/>
        <v>2.4714638646527189E-3</v>
      </c>
      <c r="AC43" s="25">
        <v>3.0899999999999999E-3</v>
      </c>
      <c r="AD43" s="46">
        <f t="shared" si="8"/>
        <v>1.0931088156219046E-4</v>
      </c>
      <c r="AF43" s="25">
        <v>0.18618000000000001</v>
      </c>
      <c r="AG43" s="46">
        <f t="shared" si="9"/>
        <v>7.1031246423257418E-3</v>
      </c>
      <c r="AI43" s="25">
        <v>1.529E-2</v>
      </c>
      <c r="AJ43" s="46">
        <f t="shared" si="10"/>
        <v>4.4938866682341875E-4</v>
      </c>
      <c r="AL43" s="25">
        <v>0.21906999999999999</v>
      </c>
      <c r="AM43" s="46">
        <f t="shared" si="11"/>
        <v>5.2044282897393858E-3</v>
      </c>
      <c r="AO43" s="25">
        <f t="shared" si="12"/>
        <v>9.4976900000000004</v>
      </c>
      <c r="AP43" s="46">
        <f t="shared" si="13"/>
        <v>1.9865405290084542E-2</v>
      </c>
      <c r="AQ43" s="93"/>
    </row>
    <row r="44" spans="1:43" outlineLevel="2">
      <c r="A44" s="277" t="s">
        <v>445</v>
      </c>
      <c r="B44" s="9">
        <v>6666020202</v>
      </c>
      <c r="C44" s="9" t="s">
        <v>54</v>
      </c>
      <c r="D44" s="9" t="s">
        <v>80</v>
      </c>
      <c r="E44" s="11">
        <v>0</v>
      </c>
      <c r="F44" s="26">
        <f t="shared" si="0"/>
        <v>0</v>
      </c>
      <c r="H44" s="25">
        <v>0</v>
      </c>
      <c r="I44" s="46">
        <f t="shared" si="1"/>
        <v>0</v>
      </c>
      <c r="K44" s="25">
        <v>0.16910999999999998</v>
      </c>
      <c r="L44" s="46">
        <f t="shared" si="2"/>
        <v>3.649567300429462E-3</v>
      </c>
      <c r="N44" s="25">
        <v>0</v>
      </c>
      <c r="O44" s="46">
        <f t="shared" si="3"/>
        <v>0</v>
      </c>
      <c r="Q44" s="25">
        <v>1.06E-2</v>
      </c>
      <c r="R44" s="46">
        <f t="shared" si="4"/>
        <v>1.9737822136153732E-4</v>
      </c>
      <c r="T44" s="25">
        <v>0.23982000000000001</v>
      </c>
      <c r="U44" s="46">
        <f t="shared" si="5"/>
        <v>8.0845469255663438E-3</v>
      </c>
      <c r="W44" s="25">
        <v>0.61254999999999993</v>
      </c>
      <c r="X44" s="46">
        <f t="shared" si="6"/>
        <v>1.4634350287884941E-2</v>
      </c>
      <c r="Z44" s="25">
        <v>0.17680000000000001</v>
      </c>
      <c r="AA44" s="46">
        <f t="shared" si="14"/>
        <v>5.5289739500265821E-3</v>
      </c>
      <c r="AC44" s="25">
        <v>0</v>
      </c>
      <c r="AD44" s="46">
        <f t="shared" si="8"/>
        <v>0</v>
      </c>
      <c r="AF44" s="25">
        <v>0</v>
      </c>
      <c r="AG44" s="46">
        <f t="shared" si="9"/>
        <v>0</v>
      </c>
      <c r="AI44" s="25">
        <v>0</v>
      </c>
      <c r="AJ44" s="46">
        <f t="shared" si="10"/>
        <v>0</v>
      </c>
      <c r="AL44" s="25">
        <v>0.17168</v>
      </c>
      <c r="AM44" s="46">
        <f t="shared" si="11"/>
        <v>4.0785878887225901E-3</v>
      </c>
      <c r="AO44" s="25">
        <f t="shared" si="12"/>
        <v>1.38056</v>
      </c>
      <c r="AP44" s="46">
        <f t="shared" si="13"/>
        <v>2.8875846576671923E-3</v>
      </c>
      <c r="AQ44" s="93"/>
    </row>
    <row r="45" spans="1:43" outlineLevel="2">
      <c r="A45" s="277" t="s">
        <v>445</v>
      </c>
      <c r="B45" s="9">
        <v>6666020204</v>
      </c>
      <c r="C45" s="9" t="s">
        <v>55</v>
      </c>
      <c r="D45" s="9" t="s">
        <v>80</v>
      </c>
      <c r="E45" s="11">
        <v>2.1590000000000002E-2</v>
      </c>
      <c r="F45" s="26">
        <f t="shared" si="0"/>
        <v>4.4450392209343027E-4</v>
      </c>
      <c r="H45" s="25">
        <v>2.0070000000000001E-2</v>
      </c>
      <c r="I45" s="46">
        <f t="shared" si="1"/>
        <v>4.3599157126409321E-4</v>
      </c>
      <c r="K45" s="25">
        <v>0</v>
      </c>
      <c r="L45" s="46">
        <f t="shared" si="2"/>
        <v>0</v>
      </c>
      <c r="N45" s="25">
        <v>1.149E-2</v>
      </c>
      <c r="O45" s="46">
        <f t="shared" si="3"/>
        <v>2.3276543159856574E-4</v>
      </c>
      <c r="Q45" s="25">
        <v>5.5879999999999992E-2</v>
      </c>
      <c r="R45" s="46">
        <f t="shared" si="4"/>
        <v>1.0405183971398777E-3</v>
      </c>
      <c r="T45" s="25">
        <v>4.2189999999999998E-2</v>
      </c>
      <c r="U45" s="46">
        <f t="shared" si="5"/>
        <v>1.4222626752966559E-3</v>
      </c>
      <c r="W45" s="25">
        <v>0.23422000000000004</v>
      </c>
      <c r="X45" s="46">
        <f t="shared" si="6"/>
        <v>5.5957187567193074E-3</v>
      </c>
      <c r="Z45" s="25">
        <v>3.8172100000000002</v>
      </c>
      <c r="AA45" s="46">
        <f t="shared" si="14"/>
        <v>0.11937361228382901</v>
      </c>
      <c r="AC45" s="25">
        <v>0.17051999999999998</v>
      </c>
      <c r="AD45" s="46">
        <f t="shared" si="8"/>
        <v>6.0322626291212673E-3</v>
      </c>
      <c r="AF45" s="25">
        <v>-1.6000000000000001E-4</v>
      </c>
      <c r="AG45" s="46">
        <f t="shared" si="9"/>
        <v>-6.1043073518751674E-6</v>
      </c>
      <c r="AI45" s="25">
        <v>0</v>
      </c>
      <c r="AJ45" s="46">
        <f t="shared" si="10"/>
        <v>0</v>
      </c>
      <c r="AL45" s="25">
        <v>0.15381</v>
      </c>
      <c r="AM45" s="46">
        <f t="shared" si="11"/>
        <v>3.6540517425700234E-3</v>
      </c>
      <c r="AO45" s="25">
        <f t="shared" si="12"/>
        <v>4.5268199999999998</v>
      </c>
      <c r="AP45" s="46">
        <f t="shared" si="13"/>
        <v>9.4683142927659784E-3</v>
      </c>
      <c r="AQ45" s="93"/>
    </row>
    <row r="46" spans="1:43" outlineLevel="2">
      <c r="A46" s="277" t="s">
        <v>445</v>
      </c>
      <c r="B46" s="9">
        <v>6666020205</v>
      </c>
      <c r="C46" s="9" t="s">
        <v>56</v>
      </c>
      <c r="D46" s="9" t="s">
        <v>80</v>
      </c>
      <c r="E46" s="11">
        <v>0</v>
      </c>
      <c r="F46" s="26">
        <f t="shared" si="0"/>
        <v>0</v>
      </c>
      <c r="H46" s="25">
        <v>0</v>
      </c>
      <c r="I46" s="46">
        <f t="shared" si="1"/>
        <v>0</v>
      </c>
      <c r="K46" s="25">
        <v>0</v>
      </c>
      <c r="L46" s="46">
        <f t="shared" si="2"/>
        <v>0</v>
      </c>
      <c r="N46" s="25">
        <v>0</v>
      </c>
      <c r="O46" s="46">
        <f t="shared" si="3"/>
        <v>0</v>
      </c>
      <c r="Q46" s="25">
        <v>0</v>
      </c>
      <c r="R46" s="46">
        <f t="shared" si="4"/>
        <v>0</v>
      </c>
      <c r="T46" s="25">
        <v>0</v>
      </c>
      <c r="U46" s="46">
        <f t="shared" si="5"/>
        <v>0</v>
      </c>
      <c r="W46" s="25">
        <v>0</v>
      </c>
      <c r="X46" s="46">
        <f t="shared" si="6"/>
        <v>0</v>
      </c>
      <c r="Z46" s="25">
        <v>0</v>
      </c>
      <c r="AA46" s="46">
        <f t="shared" si="14"/>
        <v>0</v>
      </c>
      <c r="AC46" s="25">
        <v>0</v>
      </c>
      <c r="AD46" s="46">
        <f t="shared" si="8"/>
        <v>0</v>
      </c>
      <c r="AF46" s="25">
        <v>0</v>
      </c>
      <c r="AG46" s="46">
        <f t="shared" si="9"/>
        <v>0</v>
      </c>
      <c r="AI46" s="25">
        <v>-0.18314</v>
      </c>
      <c r="AJ46" s="46">
        <f t="shared" si="10"/>
        <v>-5.38267105572537E-3</v>
      </c>
      <c r="AL46" s="25">
        <v>0</v>
      </c>
      <c r="AM46" s="46">
        <f t="shared" si="11"/>
        <v>0</v>
      </c>
      <c r="AO46" s="25">
        <f t="shared" si="12"/>
        <v>-0.18314</v>
      </c>
      <c r="AP46" s="46">
        <f t="shared" si="13"/>
        <v>-3.8305633525900328E-4</v>
      </c>
      <c r="AQ46" s="93"/>
    </row>
    <row r="47" spans="1:43" outlineLevel="2">
      <c r="A47" s="277" t="s">
        <v>445</v>
      </c>
      <c r="B47" s="9">
        <v>6666020301</v>
      </c>
      <c r="C47" s="9" t="s">
        <v>57</v>
      </c>
      <c r="D47" s="9" t="s">
        <v>80</v>
      </c>
      <c r="E47" s="11">
        <v>0</v>
      </c>
      <c r="F47" s="26">
        <f t="shared" si="0"/>
        <v>0</v>
      </c>
      <c r="H47" s="25">
        <v>1.1836300000000002</v>
      </c>
      <c r="I47" s="46">
        <f t="shared" si="1"/>
        <v>2.5712640931505663E-2</v>
      </c>
      <c r="K47" s="25">
        <v>1.00936</v>
      </c>
      <c r="L47" s="46">
        <f t="shared" si="2"/>
        <v>2.1783024364978313E-2</v>
      </c>
      <c r="N47" s="25">
        <v>0.50941999999999998</v>
      </c>
      <c r="O47" s="46">
        <f t="shared" si="3"/>
        <v>1.0319875210177663E-2</v>
      </c>
      <c r="Q47" s="25">
        <v>0.66441000000000006</v>
      </c>
      <c r="R47" s="46">
        <f t="shared" si="4"/>
        <v>1.2371704156115002E-2</v>
      </c>
      <c r="T47" s="25">
        <v>-0.12344999999999999</v>
      </c>
      <c r="U47" s="46">
        <f t="shared" si="5"/>
        <v>-4.1616100323624587E-3</v>
      </c>
      <c r="W47" s="25">
        <v>0.36291000000000001</v>
      </c>
      <c r="X47" s="46">
        <f t="shared" si="6"/>
        <v>8.6702343694005785E-3</v>
      </c>
      <c r="Z47" s="25">
        <v>7.8270000000000006E-2</v>
      </c>
      <c r="AA47" s="46">
        <f t="shared" si="14"/>
        <v>2.4476967820621074E-3</v>
      </c>
      <c r="AC47" s="25">
        <v>0.29108999999999996</v>
      </c>
      <c r="AD47" s="46">
        <f t="shared" si="8"/>
        <v>1.0297509551436252E-2</v>
      </c>
      <c r="AF47" s="25">
        <v>0.77172000000000007</v>
      </c>
      <c r="AG47" s="46">
        <f t="shared" si="9"/>
        <v>2.9442600434931902E-2</v>
      </c>
      <c r="AI47" s="25">
        <v>0.41514999999999996</v>
      </c>
      <c r="AJ47" s="46">
        <f t="shared" si="10"/>
        <v>1.2201681166235599E-2</v>
      </c>
      <c r="AL47" s="25">
        <v>-0.40916999999999998</v>
      </c>
      <c r="AM47" s="46">
        <f t="shared" si="11"/>
        <v>-9.7206186301760384E-3</v>
      </c>
      <c r="AO47" s="25">
        <f t="shared" si="12"/>
        <v>4.7533399999999997</v>
      </c>
      <c r="AP47" s="46">
        <f t="shared" si="13"/>
        <v>9.9421044044994585E-3</v>
      </c>
      <c r="AQ47" s="93"/>
    </row>
    <row r="48" spans="1:43" outlineLevel="2">
      <c r="A48" s="277" t="s">
        <v>445</v>
      </c>
      <c r="B48" s="9">
        <v>6666020302</v>
      </c>
      <c r="C48" s="9" t="s">
        <v>58</v>
      </c>
      <c r="D48" s="9" t="s">
        <v>80</v>
      </c>
      <c r="E48" s="11">
        <v>0</v>
      </c>
      <c r="F48" s="26">
        <f t="shared" si="0"/>
        <v>0</v>
      </c>
      <c r="H48" s="25">
        <v>0</v>
      </c>
      <c r="I48" s="46">
        <f t="shared" si="1"/>
        <v>0</v>
      </c>
      <c r="K48" s="25">
        <v>0</v>
      </c>
      <c r="L48" s="46">
        <f t="shared" si="2"/>
        <v>0</v>
      </c>
      <c r="N48" s="25">
        <v>0</v>
      </c>
      <c r="O48" s="46">
        <f t="shared" si="3"/>
        <v>0</v>
      </c>
      <c r="Q48" s="25">
        <v>0</v>
      </c>
      <c r="R48" s="46">
        <f t="shared" si="4"/>
        <v>0</v>
      </c>
      <c r="T48" s="25">
        <v>0</v>
      </c>
      <c r="U48" s="46">
        <f t="shared" si="5"/>
        <v>0</v>
      </c>
      <c r="W48" s="25">
        <v>0</v>
      </c>
      <c r="X48" s="46">
        <f t="shared" si="6"/>
        <v>0</v>
      </c>
      <c r="Z48" s="25">
        <v>0</v>
      </c>
      <c r="AA48" s="46">
        <f t="shared" si="14"/>
        <v>0</v>
      </c>
      <c r="AC48" s="25">
        <v>0</v>
      </c>
      <c r="AD48" s="46">
        <f t="shared" si="8"/>
        <v>0</v>
      </c>
      <c r="AF48" s="25">
        <v>0</v>
      </c>
      <c r="AG48" s="46">
        <f t="shared" si="9"/>
        <v>0</v>
      </c>
      <c r="AI48" s="25">
        <v>0</v>
      </c>
      <c r="AJ48" s="46">
        <f t="shared" si="10"/>
        <v>0</v>
      </c>
      <c r="AL48" s="25">
        <v>0</v>
      </c>
      <c r="AM48" s="46">
        <f t="shared" si="11"/>
        <v>0</v>
      </c>
      <c r="AO48" s="25">
        <f t="shared" si="12"/>
        <v>0</v>
      </c>
      <c r="AP48" s="46">
        <f t="shared" si="13"/>
        <v>0</v>
      </c>
      <c r="AQ48" s="93"/>
    </row>
    <row r="49" spans="1:43" outlineLevel="2">
      <c r="A49" s="277" t="s">
        <v>445</v>
      </c>
      <c r="B49" s="9">
        <v>6666020403</v>
      </c>
      <c r="C49" s="271" t="s">
        <v>401</v>
      </c>
      <c r="D49" s="9" t="s">
        <v>80</v>
      </c>
      <c r="E49" s="11"/>
      <c r="F49" s="26"/>
      <c r="H49" s="25"/>
      <c r="I49" s="46"/>
      <c r="K49" s="25"/>
      <c r="L49" s="46"/>
      <c r="N49" s="25"/>
      <c r="O49" s="46"/>
      <c r="Q49" s="25"/>
      <c r="R49" s="46"/>
      <c r="T49" s="25">
        <v>7.1799999999999998E-3</v>
      </c>
      <c r="U49" s="46"/>
      <c r="W49" s="25">
        <v>2.7009999999999999E-2</v>
      </c>
      <c r="X49" s="46">
        <f t="shared" si="6"/>
        <v>6.4529230475189343E-4</v>
      </c>
      <c r="Z49" s="25">
        <v>0</v>
      </c>
      <c r="AA49" s="46">
        <f t="shared" si="14"/>
        <v>0</v>
      </c>
      <c r="AC49" s="25">
        <v>0</v>
      </c>
      <c r="AD49" s="46">
        <f t="shared" si="8"/>
        <v>0</v>
      </c>
      <c r="AF49" s="25">
        <v>0</v>
      </c>
      <c r="AG49" s="46">
        <f t="shared" si="9"/>
        <v>0</v>
      </c>
      <c r="AI49" s="25">
        <v>0</v>
      </c>
      <c r="AJ49" s="46">
        <f t="shared" si="10"/>
        <v>0</v>
      </c>
      <c r="AK49" s="326"/>
      <c r="AL49" s="25">
        <v>0.13012000000000001</v>
      </c>
      <c r="AM49" s="46">
        <f t="shared" si="11"/>
        <v>3.0912503266576391E-3</v>
      </c>
      <c r="AO49" s="25">
        <f t="shared" si="12"/>
        <v>0.16431000000000001</v>
      </c>
      <c r="AP49" s="46">
        <f t="shared" ref="AP49" si="16">AO49/$AO$1*1000</f>
        <v>3.4367143412911892E-4</v>
      </c>
      <c r="AQ49" s="93"/>
    </row>
    <row r="50" spans="1:43" outlineLevel="2">
      <c r="A50" s="277" t="s">
        <v>445</v>
      </c>
      <c r="B50" s="9">
        <v>6666020405</v>
      </c>
      <c r="C50" s="9" t="s">
        <v>59</v>
      </c>
      <c r="D50" s="9" t="s">
        <v>80</v>
      </c>
      <c r="E50" s="11">
        <v>0</v>
      </c>
      <c r="F50" s="26">
        <f t="shared" si="0"/>
        <v>0</v>
      </c>
      <c r="H50" s="25">
        <v>0</v>
      </c>
      <c r="I50" s="46">
        <f t="shared" si="1"/>
        <v>0</v>
      </c>
      <c r="K50" s="25">
        <v>0</v>
      </c>
      <c r="L50" s="46">
        <f t="shared" si="2"/>
        <v>0</v>
      </c>
      <c r="N50" s="25">
        <v>0</v>
      </c>
      <c r="O50" s="46">
        <f t="shared" si="3"/>
        <v>0</v>
      </c>
      <c r="Q50" s="25">
        <v>0</v>
      </c>
      <c r="R50" s="46">
        <f t="shared" si="4"/>
        <v>0</v>
      </c>
      <c r="T50" s="25">
        <v>0</v>
      </c>
      <c r="U50" s="46">
        <f t="shared" si="5"/>
        <v>0</v>
      </c>
      <c r="W50" s="25">
        <v>0</v>
      </c>
      <c r="X50" s="46">
        <f t="shared" si="6"/>
        <v>0</v>
      </c>
      <c r="Z50" s="25">
        <v>0</v>
      </c>
      <c r="AA50" s="46">
        <f t="shared" si="14"/>
        <v>0</v>
      </c>
      <c r="AC50" s="25">
        <v>0</v>
      </c>
      <c r="AD50" s="46">
        <f t="shared" si="8"/>
        <v>0</v>
      </c>
      <c r="AF50" s="25">
        <v>0</v>
      </c>
      <c r="AG50" s="46">
        <f t="shared" si="9"/>
        <v>0</v>
      </c>
      <c r="AI50" s="25">
        <v>0</v>
      </c>
      <c r="AJ50" s="46">
        <f t="shared" si="10"/>
        <v>0</v>
      </c>
      <c r="AL50" s="25">
        <v>0</v>
      </c>
      <c r="AM50" s="46">
        <f t="shared" si="11"/>
        <v>0</v>
      </c>
      <c r="AO50" s="25">
        <f t="shared" si="12"/>
        <v>0</v>
      </c>
      <c r="AP50" s="46">
        <f t="shared" si="13"/>
        <v>0</v>
      </c>
      <c r="AQ50" s="93"/>
    </row>
    <row r="51" spans="1:43" outlineLevel="2">
      <c r="A51" s="277" t="s">
        <v>445</v>
      </c>
      <c r="B51" s="9">
        <v>6666020495</v>
      </c>
      <c r="C51" s="9" t="s">
        <v>40</v>
      </c>
      <c r="D51" s="9" t="s">
        <v>80</v>
      </c>
      <c r="E51" s="11">
        <v>3.1560000000000005E-2</v>
      </c>
      <c r="F51" s="26">
        <f t="shared" si="0"/>
        <v>6.4977043915093375E-4</v>
      </c>
      <c r="H51" s="25">
        <v>9.1039999999999996E-2</v>
      </c>
      <c r="I51" s="46">
        <f t="shared" si="1"/>
        <v>1.9777116416483825E-3</v>
      </c>
      <c r="K51" s="25">
        <v>0.25476000000000004</v>
      </c>
      <c r="L51" s="46">
        <f t="shared" si="2"/>
        <v>5.4979821740725561E-3</v>
      </c>
      <c r="N51" s="25">
        <v>0.23769999999999999</v>
      </c>
      <c r="O51" s="46">
        <f t="shared" si="3"/>
        <v>4.8153475275003544E-3</v>
      </c>
      <c r="Q51" s="25">
        <v>0.10084</v>
      </c>
      <c r="R51" s="46">
        <f t="shared" si="4"/>
        <v>1.8776999851035305E-3</v>
      </c>
      <c r="T51" s="25">
        <v>0.12812999999999999</v>
      </c>
      <c r="U51" s="46">
        <f t="shared" si="5"/>
        <v>4.3193770226537219E-3</v>
      </c>
      <c r="W51" s="25">
        <v>0.11208000000000001</v>
      </c>
      <c r="X51" s="46">
        <f t="shared" si="6"/>
        <v>2.6776883197553582E-3</v>
      </c>
      <c r="Z51" s="25">
        <v>0.80860999999999994</v>
      </c>
      <c r="AA51" s="46">
        <f t="shared" si="14"/>
        <v>2.528723770209838E-2</v>
      </c>
      <c r="AC51" s="25">
        <v>0.21574000000000002</v>
      </c>
      <c r="AD51" s="46">
        <f t="shared" si="8"/>
        <v>7.6319513230508002E-3</v>
      </c>
      <c r="AF51" s="25">
        <v>6.5599999999999999E-3</v>
      </c>
      <c r="AG51" s="46">
        <f t="shared" si="9"/>
        <v>2.5027660142688184E-4</v>
      </c>
      <c r="AI51" s="25">
        <v>8.4849999999999995E-2</v>
      </c>
      <c r="AJ51" s="46">
        <f t="shared" si="10"/>
        <v>2.493827886197978E-3</v>
      </c>
      <c r="AL51" s="25">
        <v>1.1402399999999997</v>
      </c>
      <c r="AM51" s="46">
        <f t="shared" si="11"/>
        <v>2.7088589551706926E-2</v>
      </c>
      <c r="AO51" s="25">
        <f t="shared" si="12"/>
        <v>3.21211</v>
      </c>
      <c r="AP51" s="46">
        <f t="shared" si="13"/>
        <v>6.7184617508397786E-3</v>
      </c>
      <c r="AQ51" s="93"/>
    </row>
    <row r="52" spans="1:43" outlineLevel="2">
      <c r="A52" s="277" t="s">
        <v>445</v>
      </c>
      <c r="B52" s="9">
        <v>6666020504</v>
      </c>
      <c r="C52" s="9" t="s">
        <v>60</v>
      </c>
      <c r="D52" s="9" t="s">
        <v>80</v>
      </c>
      <c r="E52" s="11">
        <v>0</v>
      </c>
      <c r="F52" s="26">
        <f t="shared" si="0"/>
        <v>0</v>
      </c>
      <c r="H52" s="25">
        <v>0</v>
      </c>
      <c r="I52" s="46">
        <f t="shared" si="1"/>
        <v>0</v>
      </c>
      <c r="K52" s="25">
        <v>0</v>
      </c>
      <c r="L52" s="46">
        <f t="shared" si="2"/>
        <v>0</v>
      </c>
      <c r="N52" s="25">
        <v>0</v>
      </c>
      <c r="O52" s="46">
        <f t="shared" si="3"/>
        <v>0</v>
      </c>
      <c r="Q52" s="25">
        <v>2.649E-2</v>
      </c>
      <c r="R52" s="46">
        <f t="shared" si="4"/>
        <v>4.9325934753463433E-4</v>
      </c>
      <c r="T52" s="25">
        <v>0</v>
      </c>
      <c r="U52" s="46">
        <f t="shared" si="5"/>
        <v>0</v>
      </c>
      <c r="W52" s="25">
        <v>1.248E-2</v>
      </c>
      <c r="X52" s="46">
        <f t="shared" si="6"/>
        <v>2.9815801419117474E-4</v>
      </c>
      <c r="Z52" s="25">
        <v>0.26041000000000003</v>
      </c>
      <c r="AA52" s="46">
        <f t="shared" si="14"/>
        <v>8.1436657597648322E-3</v>
      </c>
      <c r="AC52" s="25">
        <v>0</v>
      </c>
      <c r="AD52" s="46">
        <f t="shared" si="8"/>
        <v>0</v>
      </c>
      <c r="AF52" s="25">
        <v>0</v>
      </c>
      <c r="AG52" s="46">
        <f t="shared" si="9"/>
        <v>0</v>
      </c>
      <c r="AI52" s="25">
        <v>0</v>
      </c>
      <c r="AJ52" s="46">
        <f t="shared" si="10"/>
        <v>0</v>
      </c>
      <c r="AL52" s="25">
        <v>0</v>
      </c>
      <c r="AM52" s="46">
        <f t="shared" si="11"/>
        <v>0</v>
      </c>
      <c r="AO52" s="25">
        <f t="shared" si="12"/>
        <v>0.29938000000000003</v>
      </c>
      <c r="AP52" s="46">
        <f t="shared" si="13"/>
        <v>6.2618437069913958E-4</v>
      </c>
      <c r="AQ52" s="93"/>
    </row>
    <row r="53" spans="1:43" outlineLevel="2">
      <c r="A53" s="277" t="s">
        <v>445</v>
      </c>
      <c r="B53" s="9">
        <v>6666020508</v>
      </c>
      <c r="C53" s="9" t="s">
        <v>61</v>
      </c>
      <c r="D53" s="9" t="s">
        <v>80</v>
      </c>
      <c r="E53" s="11">
        <v>0</v>
      </c>
      <c r="F53" s="26">
        <f t="shared" si="0"/>
        <v>0</v>
      </c>
      <c r="H53" s="25">
        <v>0</v>
      </c>
      <c r="I53" s="46">
        <f t="shared" si="1"/>
        <v>0</v>
      </c>
      <c r="K53" s="25">
        <v>0</v>
      </c>
      <c r="L53" s="46">
        <f t="shared" si="2"/>
        <v>0</v>
      </c>
      <c r="N53" s="25">
        <v>4.96E-3</v>
      </c>
      <c r="O53" s="46">
        <f t="shared" si="3"/>
        <v>1.0048011668658711E-4</v>
      </c>
      <c r="Q53" s="25">
        <v>0</v>
      </c>
      <c r="R53" s="46">
        <f t="shared" si="4"/>
        <v>0</v>
      </c>
      <c r="T53" s="25">
        <v>0</v>
      </c>
      <c r="U53" s="46">
        <f t="shared" si="5"/>
        <v>0</v>
      </c>
      <c r="W53" s="25">
        <v>1.1970000000000001E-2</v>
      </c>
      <c r="X53" s="46">
        <f t="shared" si="6"/>
        <v>2.8597367226509306E-4</v>
      </c>
      <c r="Z53" s="25">
        <v>0</v>
      </c>
      <c r="AA53" s="46">
        <f t="shared" si="14"/>
        <v>0</v>
      </c>
      <c r="AC53" s="25">
        <v>7.4400000000000004E-3</v>
      </c>
      <c r="AD53" s="46">
        <f t="shared" si="8"/>
        <v>2.6319513230508001E-4</v>
      </c>
      <c r="AF53" s="25">
        <v>0</v>
      </c>
      <c r="AG53" s="46">
        <f t="shared" si="9"/>
        <v>0</v>
      </c>
      <c r="AI53" s="25">
        <v>0</v>
      </c>
      <c r="AJ53" s="46">
        <f t="shared" si="10"/>
        <v>0</v>
      </c>
      <c r="AL53" s="25">
        <v>2.4300000000000002E-2</v>
      </c>
      <c r="AM53" s="46">
        <f t="shared" si="11"/>
        <v>5.7729313662604239E-4</v>
      </c>
      <c r="AO53" s="25">
        <f t="shared" si="12"/>
        <v>4.8670000000000005E-2</v>
      </c>
      <c r="AP53" s="46">
        <f t="shared" si="13"/>
        <v>1.0179836101919676E-4</v>
      </c>
      <c r="AQ53" s="93"/>
    </row>
    <row r="54" spans="1:43" outlineLevel="2">
      <c r="A54" s="277" t="s">
        <v>445</v>
      </c>
      <c r="B54" s="9">
        <v>6666020602</v>
      </c>
      <c r="C54" s="9" t="s">
        <v>62</v>
      </c>
      <c r="D54" s="9" t="s">
        <v>80</v>
      </c>
      <c r="E54" s="11">
        <v>0</v>
      </c>
      <c r="F54" s="26">
        <f t="shared" si="0"/>
        <v>0</v>
      </c>
      <c r="H54" s="25">
        <v>0.55285999999999991</v>
      </c>
      <c r="I54" s="46">
        <f t="shared" si="1"/>
        <v>1.2010079725414374E-2</v>
      </c>
      <c r="K54" s="25">
        <v>8.6080000000000004E-2</v>
      </c>
      <c r="L54" s="46">
        <f t="shared" si="2"/>
        <v>1.857694714806742E-3</v>
      </c>
      <c r="N54" s="25">
        <v>0</v>
      </c>
      <c r="O54" s="46">
        <f t="shared" si="3"/>
        <v>0</v>
      </c>
      <c r="Q54" s="25">
        <v>0</v>
      </c>
      <c r="R54" s="46">
        <f t="shared" si="4"/>
        <v>0</v>
      </c>
      <c r="T54" s="25">
        <v>0.1525</v>
      </c>
      <c r="U54" s="46">
        <f t="shared" si="5"/>
        <v>5.1409115426105717E-3</v>
      </c>
      <c r="W54" s="25">
        <v>1.40706</v>
      </c>
      <c r="X54" s="46">
        <f t="shared" si="6"/>
        <v>3.3615882648063644E-2</v>
      </c>
      <c r="Z54" s="25">
        <v>1.37209</v>
      </c>
      <c r="AA54" s="46">
        <f t="shared" si="14"/>
        <v>4.2908653094411608E-2</v>
      </c>
      <c r="AC54" s="25">
        <v>0.10931</v>
      </c>
      <c r="AD54" s="46">
        <f t="shared" si="8"/>
        <v>3.8669166548747705E-3</v>
      </c>
      <c r="AF54" s="25">
        <v>0.58105000000000007</v>
      </c>
      <c r="AG54" s="46">
        <f t="shared" si="9"/>
        <v>2.2168173667544165E-2</v>
      </c>
      <c r="AI54" s="25">
        <v>0.44963999999999998</v>
      </c>
      <c r="AJ54" s="46">
        <f t="shared" si="10"/>
        <v>1.3215377380672466E-2</v>
      </c>
      <c r="AL54" s="25">
        <v>-3.5500000000000002E-3</v>
      </c>
      <c r="AM54" s="46">
        <f t="shared" si="11"/>
        <v>-8.4337063169648171E-5</v>
      </c>
      <c r="AO54" s="25">
        <f t="shared" si="12"/>
        <v>4.7070400000000001</v>
      </c>
      <c r="AP54" s="46">
        <f t="shared" si="13"/>
        <v>9.845263144684608E-3</v>
      </c>
      <c r="AQ54" s="93"/>
    </row>
    <row r="55" spans="1:43" outlineLevel="2">
      <c r="A55" s="277" t="s">
        <v>445</v>
      </c>
      <c r="B55" s="9">
        <v>6666020701</v>
      </c>
      <c r="C55" s="9" t="s">
        <v>63</v>
      </c>
      <c r="D55" s="9" t="s">
        <v>80</v>
      </c>
      <c r="E55" s="11">
        <v>0</v>
      </c>
      <c r="F55" s="26">
        <f t="shared" si="0"/>
        <v>0</v>
      </c>
      <c r="H55" s="25">
        <v>0</v>
      </c>
      <c r="I55" s="46">
        <f t="shared" si="1"/>
        <v>0</v>
      </c>
      <c r="K55" s="25">
        <v>0</v>
      </c>
      <c r="L55" s="46">
        <f t="shared" si="2"/>
        <v>0</v>
      </c>
      <c r="N55" s="25">
        <v>0</v>
      </c>
      <c r="O55" s="46">
        <f t="shared" si="3"/>
        <v>0</v>
      </c>
      <c r="Q55" s="25">
        <v>0</v>
      </c>
      <c r="R55" s="46">
        <f t="shared" si="4"/>
        <v>0</v>
      </c>
      <c r="T55" s="25">
        <v>0</v>
      </c>
      <c r="U55" s="46">
        <f t="shared" si="5"/>
        <v>0</v>
      </c>
      <c r="W55" s="25">
        <v>0</v>
      </c>
      <c r="X55" s="46">
        <f t="shared" si="6"/>
        <v>0</v>
      </c>
      <c r="Z55" s="25">
        <v>0</v>
      </c>
      <c r="AA55" s="46">
        <f t="shared" si="14"/>
        <v>0</v>
      </c>
      <c r="AC55" s="25">
        <v>0</v>
      </c>
      <c r="AD55" s="46">
        <f t="shared" si="8"/>
        <v>0</v>
      </c>
      <c r="AF55" s="25">
        <v>0</v>
      </c>
      <c r="AG55" s="46">
        <f t="shared" si="9"/>
        <v>0</v>
      </c>
      <c r="AI55" s="25">
        <v>0</v>
      </c>
      <c r="AJ55" s="46">
        <f t="shared" si="10"/>
        <v>0</v>
      </c>
      <c r="AL55" s="25">
        <v>0</v>
      </c>
      <c r="AM55" s="46">
        <f t="shared" si="11"/>
        <v>0</v>
      </c>
      <c r="AO55" s="25">
        <f t="shared" si="12"/>
        <v>0</v>
      </c>
      <c r="AP55" s="46">
        <f t="shared" si="13"/>
        <v>0</v>
      </c>
      <c r="AQ55" s="93"/>
    </row>
    <row r="56" spans="1:43" outlineLevel="2">
      <c r="A56" s="277" t="s">
        <v>445</v>
      </c>
      <c r="B56" s="9">
        <v>6666020802</v>
      </c>
      <c r="C56" s="9" t="s">
        <v>64</v>
      </c>
      <c r="D56" s="9" t="s">
        <v>80</v>
      </c>
      <c r="E56" s="11">
        <v>15.532500000000001</v>
      </c>
      <c r="F56" s="26">
        <f t="shared" si="0"/>
        <v>0.31978958637870336</v>
      </c>
      <c r="H56" s="25">
        <v>15.04068</v>
      </c>
      <c r="I56" s="46">
        <f t="shared" si="1"/>
        <v>0.32673690613255707</v>
      </c>
      <c r="K56" s="25">
        <v>5.9902100000000003</v>
      </c>
      <c r="L56" s="46">
        <f t="shared" si="2"/>
        <v>0.12927487752767766</v>
      </c>
      <c r="N56" s="25">
        <v>10.505610000000003</v>
      </c>
      <c r="O56" s="46">
        <f t="shared" si="3"/>
        <v>0.21282357231124532</v>
      </c>
      <c r="Q56" s="25">
        <v>11.03322</v>
      </c>
      <c r="R56" s="46">
        <f t="shared" si="4"/>
        <v>0.20544503202740952</v>
      </c>
      <c r="T56" s="25">
        <v>7.3643900000000002</v>
      </c>
      <c r="U56" s="46">
        <f t="shared" si="5"/>
        <v>0.24826018069039915</v>
      </c>
      <c r="W56" s="25">
        <v>12.21214</v>
      </c>
      <c r="X56" s="46">
        <f t="shared" si="6"/>
        <v>0.29175860668466447</v>
      </c>
      <c r="Z56" s="25">
        <v>10.97025</v>
      </c>
      <c r="AA56" s="46">
        <f t="shared" si="14"/>
        <v>0.34306689182850175</v>
      </c>
      <c r="AC56" s="25">
        <v>10.757999999999999</v>
      </c>
      <c r="AD56" s="46">
        <f t="shared" si="8"/>
        <v>0.38057167114758733</v>
      </c>
      <c r="AF56" s="25">
        <v>10.8062</v>
      </c>
      <c r="AG56" s="46">
        <f t="shared" si="9"/>
        <v>0.41227728816145898</v>
      </c>
      <c r="AI56" s="25">
        <v>10.7098</v>
      </c>
      <c r="AJ56" s="46">
        <f t="shared" si="10"/>
        <v>0.31477192569950624</v>
      </c>
      <c r="AL56" s="25">
        <v>12.501059999999999</v>
      </c>
      <c r="AM56" s="46">
        <f t="shared" si="11"/>
        <v>0.29698667236832726</v>
      </c>
      <c r="AO56" s="25">
        <f t="shared" si="12"/>
        <v>133.42406</v>
      </c>
      <c r="AP56" s="46">
        <f t="shared" si="13"/>
        <v>0.27907028207369977</v>
      </c>
      <c r="AQ56" s="93"/>
    </row>
    <row r="57" spans="1:43" outlineLevel="2">
      <c r="A57" s="277" t="s">
        <v>445</v>
      </c>
      <c r="B57" s="9">
        <v>6666020803</v>
      </c>
      <c r="C57" s="9" t="s">
        <v>65</v>
      </c>
      <c r="D57" s="9" t="s">
        <v>80</v>
      </c>
      <c r="E57" s="11">
        <v>4.8197099999999997</v>
      </c>
      <c r="F57" s="26">
        <f t="shared" si="0"/>
        <v>9.9230199089991963E-2</v>
      </c>
      <c r="H57" s="25">
        <v>4.8647800000000005</v>
      </c>
      <c r="I57" s="46">
        <f t="shared" si="1"/>
        <v>0.10568027284773968</v>
      </c>
      <c r="K57" s="25">
        <v>4.7008000000000001</v>
      </c>
      <c r="L57" s="46">
        <f t="shared" si="2"/>
        <v>0.10144808684204847</v>
      </c>
      <c r="N57" s="25">
        <v>3.0086799999999996</v>
      </c>
      <c r="O57" s="46">
        <f t="shared" si="3"/>
        <v>6.0950104329153404E-2</v>
      </c>
      <c r="Q57" s="25">
        <v>3.58813</v>
      </c>
      <c r="R57" s="46">
        <f t="shared" si="4"/>
        <v>6.6813086548488013E-2</v>
      </c>
      <c r="T57" s="25">
        <v>4.6324699999999996</v>
      </c>
      <c r="U57" s="46">
        <f t="shared" si="5"/>
        <v>0.1561647114347357</v>
      </c>
      <c r="W57" s="25">
        <v>4.1944399999999993</v>
      </c>
      <c r="X57" s="46">
        <f t="shared" si="6"/>
        <v>0.10020880617339989</v>
      </c>
      <c r="Z57" s="25">
        <v>9.6810400000000012</v>
      </c>
      <c r="AA57" s="46">
        <f t="shared" si="14"/>
        <v>0.30275010163555055</v>
      </c>
      <c r="AC57" s="25">
        <v>6.3591800000000003</v>
      </c>
      <c r="AD57" s="46">
        <f t="shared" si="8"/>
        <v>0.22496037922739495</v>
      </c>
      <c r="AF57" s="25">
        <v>-0.24146000000000004</v>
      </c>
      <c r="AG57" s="46">
        <f t="shared" si="9"/>
        <v>-9.212162832398613E-3</v>
      </c>
      <c r="AI57" s="25">
        <v>4.7316400000000005</v>
      </c>
      <c r="AJ57" s="46">
        <f t="shared" si="10"/>
        <v>0.13906771690571362</v>
      </c>
      <c r="AL57" s="25">
        <v>0.19891000000000009</v>
      </c>
      <c r="AM57" s="46">
        <f t="shared" si="11"/>
        <v>4.7254887986125978E-3</v>
      </c>
      <c r="AO57" s="25">
        <f t="shared" si="12"/>
        <v>50.538319999999999</v>
      </c>
      <c r="AP57" s="46">
        <f t="shared" si="13"/>
        <v>0.10570614638717261</v>
      </c>
      <c r="AQ57" s="93"/>
    </row>
    <row r="58" spans="1:43" outlineLevel="2">
      <c r="A58" s="277" t="s">
        <v>445</v>
      </c>
      <c r="B58" s="9">
        <v>6666021100</v>
      </c>
      <c r="C58" s="9" t="s">
        <v>66</v>
      </c>
      <c r="D58" s="9" t="s">
        <v>80</v>
      </c>
      <c r="E58" s="11">
        <v>10.57577</v>
      </c>
      <c r="F58" s="26">
        <f t="shared" si="0"/>
        <v>0.21773836239731528</v>
      </c>
      <c r="H58" s="25">
        <v>9.7159399999999998</v>
      </c>
      <c r="I58" s="46">
        <f t="shared" si="1"/>
        <v>0.21106467099689352</v>
      </c>
      <c r="K58" s="25">
        <v>8.5914999999999999</v>
      </c>
      <c r="L58" s="46">
        <f t="shared" si="2"/>
        <v>0.18541338455230161</v>
      </c>
      <c r="N58" s="25">
        <v>6.5852200000000005</v>
      </c>
      <c r="O58" s="46">
        <f t="shared" si="3"/>
        <v>0.13340396653363856</v>
      </c>
      <c r="Q58" s="25">
        <v>6.3701400000000001</v>
      </c>
      <c r="R58" s="46">
        <f t="shared" si="4"/>
        <v>0.1186157455683003</v>
      </c>
      <c r="T58" s="25">
        <v>5.9682499999999994</v>
      </c>
      <c r="U58" s="46">
        <f t="shared" si="5"/>
        <v>0.20119505124056095</v>
      </c>
      <c r="W58" s="25">
        <v>6.4855499999999999</v>
      </c>
      <c r="X58" s="46">
        <f t="shared" si="6"/>
        <v>0.15494540936999784</v>
      </c>
      <c r="Z58" s="25">
        <v>6.3244799999999994</v>
      </c>
      <c r="AA58" s="46">
        <f t="shared" si="14"/>
        <v>0.19778215592457077</v>
      </c>
      <c r="AC58" s="25">
        <v>4.1062800000000008</v>
      </c>
      <c r="AD58" s="46">
        <f t="shared" si="8"/>
        <v>0.1452624876185086</v>
      </c>
      <c r="AF58" s="25">
        <v>4.0616300000000001</v>
      </c>
      <c r="AG58" s="46">
        <f t="shared" si="9"/>
        <v>0.15495898668497959</v>
      </c>
      <c r="AI58" s="25">
        <v>4.4325700000000001</v>
      </c>
      <c r="AJ58" s="46">
        <f t="shared" si="10"/>
        <v>0.130277745121091</v>
      </c>
      <c r="AL58" s="25">
        <v>-0.31330999999999992</v>
      </c>
      <c r="AM58" s="46">
        <f t="shared" si="11"/>
        <v>-7.4432803554035087E-3</v>
      </c>
      <c r="AO58" s="25">
        <f t="shared" si="12"/>
        <v>72.904020000000003</v>
      </c>
      <c r="AP58" s="46">
        <f t="shared" si="13"/>
        <v>0.15248633136862008</v>
      </c>
      <c r="AQ58" s="93"/>
    </row>
    <row r="59" spans="1:43" outlineLevel="2">
      <c r="A59" s="277" t="s">
        <v>445</v>
      </c>
      <c r="B59" s="9">
        <v>6666021104</v>
      </c>
      <c r="C59" s="271" t="s">
        <v>407</v>
      </c>
      <c r="D59" s="9" t="s">
        <v>80</v>
      </c>
      <c r="E59" s="11"/>
      <c r="F59" s="26"/>
      <c r="H59" s="25"/>
      <c r="I59" s="46"/>
      <c r="K59" s="25"/>
      <c r="L59" s="46"/>
      <c r="N59" s="25"/>
      <c r="O59" s="46"/>
      <c r="Q59" s="25"/>
      <c r="R59" s="46"/>
      <c r="T59" s="25"/>
      <c r="U59" s="46"/>
      <c r="W59" s="25">
        <v>-3.7010000000000001E-2</v>
      </c>
      <c r="X59" s="46">
        <f t="shared" si="6"/>
        <v>-8.8420096996918074E-4</v>
      </c>
      <c r="Z59" s="25">
        <v>0</v>
      </c>
      <c r="AA59" s="46">
        <f t="shared" si="14"/>
        <v>0</v>
      </c>
      <c r="AC59" s="25">
        <v>0</v>
      </c>
      <c r="AD59" s="46">
        <f t="shared" si="8"/>
        <v>0</v>
      </c>
      <c r="AF59" s="25">
        <v>0</v>
      </c>
      <c r="AG59" s="46">
        <f t="shared" si="9"/>
        <v>0</v>
      </c>
      <c r="AI59" s="25">
        <v>0</v>
      </c>
      <c r="AJ59" s="46">
        <f t="shared" si="10"/>
        <v>0</v>
      </c>
      <c r="AL59" s="25">
        <v>0</v>
      </c>
      <c r="AM59" s="46">
        <f t="shared" si="11"/>
        <v>0</v>
      </c>
      <c r="AO59" s="25">
        <f t="shared" si="12"/>
        <v>-3.7010000000000001E-2</v>
      </c>
      <c r="AP59" s="46">
        <f t="shared" ref="AP59" si="17">AO59/$AO$1*1000</f>
        <v>-7.7410259735370275E-5</v>
      </c>
      <c r="AQ59" s="93"/>
    </row>
    <row r="60" spans="1:43" outlineLevel="2">
      <c r="A60" s="328" t="s">
        <v>445</v>
      </c>
      <c r="B60" s="9">
        <v>6666021200</v>
      </c>
      <c r="C60" s="327" t="s">
        <v>465</v>
      </c>
      <c r="D60" s="9" t="s">
        <v>80</v>
      </c>
      <c r="E60" s="11"/>
      <c r="F60" s="26"/>
      <c r="H60" s="25"/>
      <c r="I60" s="46"/>
      <c r="K60" s="25"/>
      <c r="L60" s="46"/>
      <c r="N60" s="25"/>
      <c r="O60" s="46"/>
      <c r="Q60" s="25"/>
      <c r="R60" s="46"/>
      <c r="T60" s="25"/>
      <c r="U60" s="46"/>
      <c r="W60" s="25"/>
      <c r="X60" s="46"/>
      <c r="Z60" s="25"/>
      <c r="AA60" s="46"/>
      <c r="AC60" s="25"/>
      <c r="AD60" s="46"/>
      <c r="AF60" s="25"/>
      <c r="AG60" s="46"/>
      <c r="AI60" s="25"/>
      <c r="AJ60" s="46"/>
      <c r="AL60" s="25">
        <v>-2.7190000000000002E-2</v>
      </c>
      <c r="AM60" s="46">
        <f t="shared" si="11"/>
        <v>-6.4595063312189688E-4</v>
      </c>
      <c r="AO60" s="25">
        <f t="shared" ref="AO60" si="18">H60+E60+K60+N60+Q60+T60+W60+Z60+AC60+AF60+AI60+AL60</f>
        <v>-2.7190000000000002E-2</v>
      </c>
      <c r="AP60" s="46">
        <f t="shared" ref="AP60" si="19">AO60/$AO$1*1000</f>
        <v>-5.6870709597533588E-5</v>
      </c>
      <c r="AQ60" s="93"/>
    </row>
    <row r="61" spans="1:43" outlineLevel="2">
      <c r="A61" s="277" t="s">
        <v>445</v>
      </c>
      <c r="B61" s="9">
        <v>6666021902</v>
      </c>
      <c r="C61" s="9" t="s">
        <v>67</v>
      </c>
      <c r="D61" s="9" t="s">
        <v>80</v>
      </c>
      <c r="E61" s="11">
        <v>7.1326299999999998</v>
      </c>
      <c r="F61" s="26">
        <f t="shared" si="0"/>
        <v>0.14684956043729797</v>
      </c>
      <c r="H61" s="25">
        <v>8.1554300000000008</v>
      </c>
      <c r="I61" s="46">
        <f t="shared" si="1"/>
        <v>0.17716485999174508</v>
      </c>
      <c r="K61" s="25">
        <v>8.7417999999999996</v>
      </c>
      <c r="L61" s="46">
        <f t="shared" si="2"/>
        <v>0.18865701275438634</v>
      </c>
      <c r="N61" s="25">
        <v>7.4065200000000004</v>
      </c>
      <c r="O61" s="46">
        <f t="shared" si="3"/>
        <v>0.15004193424224624</v>
      </c>
      <c r="Q61" s="25">
        <v>6.6534699999999996</v>
      </c>
      <c r="R61" s="46">
        <f t="shared" si="4"/>
        <v>0.12389151646059884</v>
      </c>
      <c r="T61" s="25">
        <v>6.0790200000000008</v>
      </c>
      <c r="U61" s="46">
        <f t="shared" si="5"/>
        <v>0.20492920711974114</v>
      </c>
      <c r="W61" s="25">
        <v>5.9088900000000004</v>
      </c>
      <c r="X61" s="46">
        <f t="shared" si="6"/>
        <v>0.14116850228157776</v>
      </c>
      <c r="Z61" s="25">
        <v>8.0179799999999979</v>
      </c>
      <c r="AA61" s="46">
        <f t="shared" si="14"/>
        <v>0.25074209588141472</v>
      </c>
      <c r="AC61" s="25">
        <v>6.6217000000000006</v>
      </c>
      <c r="AD61" s="46">
        <f t="shared" si="8"/>
        <v>0.23424720532050378</v>
      </c>
      <c r="AF61" s="25">
        <v>7.094780000000001</v>
      </c>
      <c r="AG61" s="46">
        <f t="shared" si="9"/>
        <v>0.27067948571210565</v>
      </c>
      <c r="AI61" s="25">
        <v>7.7785300000000008</v>
      </c>
      <c r="AJ61" s="46">
        <f t="shared" si="10"/>
        <v>0.2286189160592523</v>
      </c>
      <c r="AL61" s="25">
        <v>3.8736200000000003</v>
      </c>
      <c r="AM61" s="46">
        <f t="shared" si="11"/>
        <v>9.2025277362031699E-2</v>
      </c>
      <c r="AO61" s="25">
        <f t="shared" si="12"/>
        <v>83.464370000000002</v>
      </c>
      <c r="AP61" s="46">
        <f t="shared" si="13"/>
        <v>0.17457440044174674</v>
      </c>
      <c r="AQ61" s="93"/>
    </row>
    <row r="62" spans="1:43" outlineLevel="2">
      <c r="A62" s="281" t="s">
        <v>445</v>
      </c>
      <c r="B62" s="9">
        <v>6666022100</v>
      </c>
      <c r="C62" s="9" t="s">
        <v>68</v>
      </c>
      <c r="D62" s="9" t="s">
        <v>80</v>
      </c>
      <c r="E62" s="11">
        <v>1.4791099999999999</v>
      </c>
      <c r="F62" s="26">
        <f t="shared" si="0"/>
        <v>3.0452533404706512E-2</v>
      </c>
      <c r="H62" s="25">
        <v>1.2277799999999999</v>
      </c>
      <c r="I62" s="46">
        <f t="shared" si="1"/>
        <v>2.6671735494102053E-2</v>
      </c>
      <c r="K62" s="25">
        <v>1.33541</v>
      </c>
      <c r="L62" s="46">
        <f t="shared" si="2"/>
        <v>2.8819517879880008E-2</v>
      </c>
      <c r="N62" s="25">
        <v>1.29905</v>
      </c>
      <c r="O62" s="46">
        <f t="shared" si="3"/>
        <v>2.6316269270506249E-2</v>
      </c>
      <c r="Q62" s="25">
        <v>1.32657</v>
      </c>
      <c r="R62" s="46">
        <f t="shared" si="4"/>
        <v>2.470151199165798E-2</v>
      </c>
      <c r="T62" s="25">
        <v>1.12761</v>
      </c>
      <c r="U62" s="46">
        <f t="shared" si="5"/>
        <v>3.8012742718446603E-2</v>
      </c>
      <c r="W62" s="25">
        <v>1.0394700000000001</v>
      </c>
      <c r="X62" s="46">
        <f t="shared" si="6"/>
        <v>2.4833839023341377E-2</v>
      </c>
      <c r="Z62" s="25">
        <v>0.82146000000000008</v>
      </c>
      <c r="AA62" s="46">
        <f t="shared" si="14"/>
        <v>2.5689089032742286E-2</v>
      </c>
      <c r="AC62" s="25">
        <v>1.0170399999999999</v>
      </c>
      <c r="AD62" s="46">
        <f t="shared" si="8"/>
        <v>3.5978491580585824E-2</v>
      </c>
      <c r="AF62" s="25">
        <v>1.1142100000000001</v>
      </c>
      <c r="AG62" s="46">
        <f t="shared" si="9"/>
        <v>4.2509251840830188E-2</v>
      </c>
      <c r="AI62" s="25">
        <v>1.05209</v>
      </c>
      <c r="AJ62" s="46">
        <f t="shared" si="10"/>
        <v>3.0921996237949684E-2</v>
      </c>
      <c r="AL62" s="25">
        <v>0.97938000000000003</v>
      </c>
      <c r="AM62" s="46">
        <f t="shared" si="11"/>
        <v>2.326705152875775E-2</v>
      </c>
      <c r="AO62" s="25">
        <f t="shared" si="12"/>
        <v>13.819179999999999</v>
      </c>
      <c r="AP62" s="46">
        <f t="shared" si="13"/>
        <v>2.8904250557412435E-2</v>
      </c>
      <c r="AQ62" s="93"/>
    </row>
    <row r="63" spans="1:43" outlineLevel="2">
      <c r="A63" s="277" t="s">
        <v>445</v>
      </c>
      <c r="B63" s="9">
        <v>6666022300</v>
      </c>
      <c r="C63" s="9" t="s">
        <v>69</v>
      </c>
      <c r="D63" s="9" t="s">
        <v>80</v>
      </c>
      <c r="E63" s="11">
        <v>0</v>
      </c>
      <c r="F63" s="26">
        <f t="shared" si="0"/>
        <v>0</v>
      </c>
      <c r="H63" s="25">
        <v>0</v>
      </c>
      <c r="I63" s="46">
        <f t="shared" si="1"/>
        <v>0</v>
      </c>
      <c r="K63" s="25">
        <v>0</v>
      </c>
      <c r="L63" s="46">
        <f t="shared" si="2"/>
        <v>0</v>
      </c>
      <c r="N63" s="25">
        <v>0</v>
      </c>
      <c r="O63" s="46">
        <f t="shared" si="3"/>
        <v>0</v>
      </c>
      <c r="Q63" s="25">
        <v>0</v>
      </c>
      <c r="R63" s="46">
        <f t="shared" si="4"/>
        <v>0</v>
      </c>
      <c r="T63" s="25">
        <v>0</v>
      </c>
      <c r="U63" s="46">
        <f t="shared" si="5"/>
        <v>0</v>
      </c>
      <c r="W63" s="25">
        <v>0</v>
      </c>
      <c r="X63" s="46">
        <f t="shared" si="6"/>
        <v>0</v>
      </c>
      <c r="Z63" s="25">
        <v>0</v>
      </c>
      <c r="AA63" s="46">
        <f t="shared" si="14"/>
        <v>0</v>
      </c>
      <c r="AC63" s="25">
        <v>0</v>
      </c>
      <c r="AD63" s="46">
        <f t="shared" si="8"/>
        <v>0</v>
      </c>
      <c r="AF63" s="25">
        <v>0</v>
      </c>
      <c r="AG63" s="46">
        <f t="shared" si="9"/>
        <v>0</v>
      </c>
      <c r="AI63" s="25">
        <v>0</v>
      </c>
      <c r="AJ63" s="46">
        <f t="shared" si="10"/>
        <v>0</v>
      </c>
      <c r="AL63" s="25">
        <v>0</v>
      </c>
      <c r="AM63" s="46">
        <f t="shared" si="11"/>
        <v>0</v>
      </c>
      <c r="AO63" s="25">
        <f t="shared" si="12"/>
        <v>0</v>
      </c>
      <c r="AP63" s="46">
        <f t="shared" si="13"/>
        <v>0</v>
      </c>
      <c r="AQ63" s="93"/>
    </row>
    <row r="64" spans="1:43" outlineLevel="2">
      <c r="A64" s="277" t="s">
        <v>445</v>
      </c>
      <c r="B64" s="9">
        <v>6666029700</v>
      </c>
      <c r="C64" s="9" t="s">
        <v>38</v>
      </c>
      <c r="D64" s="9" t="s">
        <v>80</v>
      </c>
      <c r="E64" s="11">
        <v>0</v>
      </c>
      <c r="F64" s="26">
        <f t="shared" si="0"/>
        <v>0</v>
      </c>
      <c r="H64" s="25">
        <v>0</v>
      </c>
      <c r="I64" s="46">
        <f t="shared" si="1"/>
        <v>0</v>
      </c>
      <c r="K64" s="25">
        <v>0</v>
      </c>
      <c r="L64" s="46">
        <f t="shared" si="2"/>
        <v>0</v>
      </c>
      <c r="N64" s="25">
        <v>0</v>
      </c>
      <c r="O64" s="46">
        <f t="shared" si="3"/>
        <v>0</v>
      </c>
      <c r="Q64" s="25">
        <v>0</v>
      </c>
      <c r="R64" s="46">
        <f t="shared" si="4"/>
        <v>0</v>
      </c>
      <c r="T64" s="25">
        <v>0</v>
      </c>
      <c r="U64" s="46">
        <f t="shared" si="5"/>
        <v>0</v>
      </c>
      <c r="W64" s="25">
        <v>0</v>
      </c>
      <c r="X64" s="46">
        <f t="shared" si="6"/>
        <v>0</v>
      </c>
      <c r="Z64" s="25">
        <v>0</v>
      </c>
      <c r="AA64" s="46">
        <f t="shared" si="14"/>
        <v>0</v>
      </c>
      <c r="AC64" s="25">
        <v>0</v>
      </c>
      <c r="AD64" s="46">
        <f t="shared" si="8"/>
        <v>0</v>
      </c>
      <c r="AF64" s="25">
        <v>0</v>
      </c>
      <c r="AG64" s="46">
        <f t="shared" si="9"/>
        <v>0</v>
      </c>
      <c r="AI64" s="25">
        <v>0</v>
      </c>
      <c r="AJ64" s="46">
        <f t="shared" si="10"/>
        <v>0</v>
      </c>
      <c r="AL64" s="25">
        <v>0</v>
      </c>
      <c r="AM64" s="46">
        <f t="shared" si="11"/>
        <v>0</v>
      </c>
      <c r="AO64" s="25">
        <f t="shared" si="12"/>
        <v>0</v>
      </c>
      <c r="AP64" s="46">
        <f t="shared" si="13"/>
        <v>0</v>
      </c>
      <c r="AQ64" s="93"/>
    </row>
    <row r="65" spans="1:43" outlineLevel="2">
      <c r="A65" s="277" t="s">
        <v>445</v>
      </c>
      <c r="B65" s="9">
        <v>6666029900</v>
      </c>
      <c r="C65" s="9" t="s">
        <v>70</v>
      </c>
      <c r="D65" s="9" t="s">
        <v>80</v>
      </c>
      <c r="E65" s="11">
        <v>0</v>
      </c>
      <c r="F65" s="26">
        <f t="shared" si="0"/>
        <v>0</v>
      </c>
      <c r="H65" s="25">
        <v>0</v>
      </c>
      <c r="I65" s="46">
        <f t="shared" si="1"/>
        <v>0</v>
      </c>
      <c r="K65" s="25">
        <v>0</v>
      </c>
      <c r="L65" s="46">
        <f t="shared" si="2"/>
        <v>0</v>
      </c>
      <c r="N65" s="25">
        <v>0</v>
      </c>
      <c r="O65" s="46">
        <f t="shared" si="3"/>
        <v>0</v>
      </c>
      <c r="Q65" s="25">
        <v>0</v>
      </c>
      <c r="R65" s="46">
        <f t="shared" si="4"/>
        <v>0</v>
      </c>
      <c r="T65" s="25">
        <v>1.67E-2</v>
      </c>
      <c r="U65" s="46">
        <f t="shared" si="5"/>
        <v>5.6297195253505929E-4</v>
      </c>
      <c r="W65" s="25">
        <v>0</v>
      </c>
      <c r="X65" s="46">
        <f t="shared" si="6"/>
        <v>0</v>
      </c>
      <c r="Z65" s="25">
        <v>0</v>
      </c>
      <c r="AA65" s="46">
        <f t="shared" si="14"/>
        <v>0</v>
      </c>
      <c r="AC65" s="25">
        <v>0</v>
      </c>
      <c r="AD65" s="46">
        <f t="shared" si="8"/>
        <v>0</v>
      </c>
      <c r="AF65" s="25">
        <v>0</v>
      </c>
      <c r="AG65" s="46">
        <f t="shared" si="9"/>
        <v>0</v>
      </c>
      <c r="AI65" s="25">
        <v>0</v>
      </c>
      <c r="AJ65" s="46">
        <f t="shared" si="10"/>
        <v>0</v>
      </c>
      <c r="AL65" s="25">
        <v>5.9159999999999997E-2</v>
      </c>
      <c r="AM65" s="46">
        <f t="shared" si="11"/>
        <v>1.4054593400327844E-3</v>
      </c>
      <c r="AO65" s="25">
        <f t="shared" si="12"/>
        <v>7.5859999999999997E-2</v>
      </c>
      <c r="AP65" s="46">
        <f t="shared" si="13"/>
        <v>1.5866907061673033E-4</v>
      </c>
      <c r="AQ65" s="93"/>
    </row>
    <row r="66" spans="1:43" outlineLevel="2">
      <c r="A66" s="277" t="s">
        <v>445</v>
      </c>
      <c r="B66" s="9">
        <v>6666029996</v>
      </c>
      <c r="C66" s="9" t="s">
        <v>169</v>
      </c>
      <c r="D66" s="9" t="s">
        <v>80</v>
      </c>
      <c r="E66" s="11"/>
      <c r="F66" s="26"/>
      <c r="H66" s="25"/>
      <c r="I66" s="46"/>
      <c r="K66" s="25"/>
      <c r="L66" s="46"/>
      <c r="N66" s="25"/>
      <c r="O66" s="46"/>
      <c r="Q66" s="25"/>
      <c r="R66" s="46"/>
      <c r="T66" s="25"/>
      <c r="U66" s="46"/>
      <c r="W66" s="25"/>
      <c r="X66" s="46"/>
      <c r="Z66" s="25"/>
      <c r="AA66" s="46"/>
      <c r="AC66" s="25"/>
      <c r="AD66" s="46"/>
      <c r="AF66" s="25">
        <v>0.10299999999999998</v>
      </c>
      <c r="AG66" s="46">
        <f t="shared" si="9"/>
        <v>3.929647857769638E-3</v>
      </c>
      <c r="AI66" s="25">
        <v>0</v>
      </c>
      <c r="AJ66" s="46">
        <f t="shared" si="10"/>
        <v>0</v>
      </c>
      <c r="AL66" s="25">
        <v>7.0729999999999987E-2</v>
      </c>
      <c r="AM66" s="46">
        <f t="shared" si="11"/>
        <v>1.6803268952082292E-3</v>
      </c>
      <c r="AO66" s="25">
        <f t="shared" si="12"/>
        <v>0.17372999999999997</v>
      </c>
      <c r="AP66" s="46">
        <f t="shared" ref="AP66" si="20">AO66/$AO$1*1000</f>
        <v>3.6337434271347947E-4</v>
      </c>
      <c r="AQ66" s="93"/>
    </row>
    <row r="67" spans="1:43" outlineLevel="2">
      <c r="A67" s="277" t="s">
        <v>445</v>
      </c>
      <c r="B67" s="9">
        <v>6666029997</v>
      </c>
      <c r="C67" s="9" t="s">
        <v>71</v>
      </c>
      <c r="D67" s="9" t="s">
        <v>80</v>
      </c>
      <c r="E67" s="11">
        <v>0.66237999999999997</v>
      </c>
      <c r="F67" s="26">
        <f t="shared" si="0"/>
        <v>1.3637355623726092E-2</v>
      </c>
      <c r="H67" s="25">
        <v>4.5981999999999994</v>
      </c>
      <c r="I67" s="46">
        <f t="shared" si="1"/>
        <v>9.9889209914626451E-2</v>
      </c>
      <c r="K67" s="25">
        <v>0</v>
      </c>
      <c r="L67" s="46">
        <f t="shared" si="2"/>
        <v>0</v>
      </c>
      <c r="N67" s="25">
        <v>0</v>
      </c>
      <c r="O67" s="46">
        <f t="shared" si="3"/>
        <v>0</v>
      </c>
      <c r="Q67" s="25">
        <v>0</v>
      </c>
      <c r="R67" s="46">
        <f t="shared" si="4"/>
        <v>0</v>
      </c>
      <c r="T67" s="25">
        <v>0</v>
      </c>
      <c r="U67" s="46">
        <f t="shared" si="5"/>
        <v>0</v>
      </c>
      <c r="W67" s="25">
        <v>0</v>
      </c>
      <c r="X67" s="46">
        <f t="shared" si="6"/>
        <v>0</v>
      </c>
      <c r="Z67" s="25">
        <v>0</v>
      </c>
      <c r="AA67" s="46">
        <f t="shared" si="14"/>
        <v>0</v>
      </c>
      <c r="AC67" s="25">
        <v>8.2439900000000002</v>
      </c>
      <c r="AD67" s="46">
        <f t="shared" si="8"/>
        <v>0.29163683316824679</v>
      </c>
      <c r="AF67" s="25">
        <v>0</v>
      </c>
      <c r="AG67" s="46">
        <f t="shared" si="9"/>
        <v>0</v>
      </c>
      <c r="AI67" s="25">
        <v>0</v>
      </c>
      <c r="AJ67" s="46">
        <f t="shared" si="10"/>
        <v>0</v>
      </c>
      <c r="AL67" s="25">
        <v>1.4344700000000001</v>
      </c>
      <c r="AM67" s="46">
        <f t="shared" si="11"/>
        <v>3.4078587888722596E-2</v>
      </c>
      <c r="AO67" s="25">
        <f t="shared" si="12"/>
        <v>14.939039999999999</v>
      </c>
      <c r="AP67" s="46">
        <f t="shared" si="13"/>
        <v>3.1246554082601616E-2</v>
      </c>
      <c r="AQ67" s="93"/>
    </row>
    <row r="68" spans="1:43" outlineLevel="2">
      <c r="A68" s="277" t="s">
        <v>445</v>
      </c>
      <c r="B68" s="9">
        <v>6666030702</v>
      </c>
      <c r="C68" s="9" t="s">
        <v>73</v>
      </c>
      <c r="D68" s="9" t="s">
        <v>80</v>
      </c>
      <c r="E68" s="11">
        <v>0</v>
      </c>
      <c r="F68" s="26">
        <f t="shared" si="0"/>
        <v>0</v>
      </c>
      <c r="H68" s="25">
        <v>0</v>
      </c>
      <c r="I68" s="46">
        <f t="shared" si="1"/>
        <v>0</v>
      </c>
      <c r="K68" s="25">
        <v>0</v>
      </c>
      <c r="L68" s="46">
        <f t="shared" si="2"/>
        <v>0</v>
      </c>
      <c r="N68" s="25">
        <v>0</v>
      </c>
      <c r="O68" s="46">
        <f t="shared" si="3"/>
        <v>0</v>
      </c>
      <c r="Q68" s="25">
        <v>0</v>
      </c>
      <c r="R68" s="46">
        <f t="shared" si="4"/>
        <v>0</v>
      </c>
      <c r="T68" s="25">
        <v>0</v>
      </c>
      <c r="U68" s="46">
        <f t="shared" si="5"/>
        <v>0</v>
      </c>
      <c r="W68" s="25">
        <v>0</v>
      </c>
      <c r="X68" s="46">
        <f t="shared" si="6"/>
        <v>0</v>
      </c>
      <c r="Z68" s="25">
        <v>0</v>
      </c>
      <c r="AA68" s="46">
        <f t="shared" si="14"/>
        <v>0</v>
      </c>
      <c r="AC68" s="25">
        <v>0</v>
      </c>
      <c r="AD68" s="46">
        <f t="shared" si="8"/>
        <v>0</v>
      </c>
      <c r="AF68" s="25">
        <v>0</v>
      </c>
      <c r="AG68" s="46">
        <f t="shared" si="9"/>
        <v>0</v>
      </c>
      <c r="AI68" s="25">
        <v>0</v>
      </c>
      <c r="AJ68" s="46">
        <f t="shared" si="10"/>
        <v>0</v>
      </c>
      <c r="AL68" s="25">
        <v>0</v>
      </c>
      <c r="AM68" s="46">
        <f t="shared" si="11"/>
        <v>0</v>
      </c>
      <c r="AO68" s="25">
        <f t="shared" si="12"/>
        <v>0</v>
      </c>
      <c r="AP68" s="46">
        <f t="shared" si="13"/>
        <v>0</v>
      </c>
      <c r="AQ68" s="93"/>
    </row>
    <row r="69" spans="1:43" outlineLevel="2">
      <c r="A69" s="277" t="s">
        <v>445</v>
      </c>
      <c r="B69" s="9">
        <v>6666031200</v>
      </c>
      <c r="C69" s="9" t="s">
        <v>74</v>
      </c>
      <c r="D69" s="9" t="s">
        <v>80</v>
      </c>
      <c r="E69" s="11">
        <v>0</v>
      </c>
      <c r="F69" s="26">
        <f t="shared" si="0"/>
        <v>0</v>
      </c>
      <c r="H69" s="25">
        <v>-2.6000000000000003E-4</v>
      </c>
      <c r="I69" s="46">
        <f t="shared" si="1"/>
        <v>-5.6481219994351878E-6</v>
      </c>
      <c r="K69" s="25">
        <v>-1.434E-2</v>
      </c>
      <c r="L69" s="46">
        <f t="shared" si="2"/>
        <v>-3.094719122947105E-4</v>
      </c>
      <c r="N69" s="25">
        <v>-0.03</v>
      </c>
      <c r="O69" s="46">
        <f t="shared" si="3"/>
        <v>-6.0774264124951885E-4</v>
      </c>
      <c r="Q69" s="25">
        <v>0</v>
      </c>
      <c r="R69" s="46">
        <f t="shared" si="4"/>
        <v>0</v>
      </c>
      <c r="T69" s="25">
        <v>0</v>
      </c>
      <c r="U69" s="46">
        <f t="shared" si="5"/>
        <v>0</v>
      </c>
      <c r="W69" s="25">
        <v>0</v>
      </c>
      <c r="X69" s="46">
        <f t="shared" si="6"/>
        <v>0</v>
      </c>
      <c r="Z69" s="25">
        <v>3.5700000000000003E-2</v>
      </c>
      <c r="AA69" s="46">
        <f t="shared" si="14"/>
        <v>1.1164274322169061E-3</v>
      </c>
      <c r="AC69" s="25">
        <v>0</v>
      </c>
      <c r="AD69" s="46">
        <f t="shared" si="8"/>
        <v>0</v>
      </c>
      <c r="AF69" s="25">
        <v>0</v>
      </c>
      <c r="AG69" s="46">
        <f t="shared" si="9"/>
        <v>0</v>
      </c>
      <c r="AI69" s="25">
        <v>0</v>
      </c>
      <c r="AJ69" s="46">
        <f t="shared" si="10"/>
        <v>0</v>
      </c>
      <c r="AL69" s="25">
        <v>0</v>
      </c>
      <c r="AM69" s="46">
        <f t="shared" si="11"/>
        <v>0</v>
      </c>
      <c r="AO69" s="25">
        <f t="shared" si="12"/>
        <v>-8.8999999999999982E-3</v>
      </c>
      <c r="AP69" s="46">
        <f t="shared" si="13"/>
        <v>-1.861527456484181E-5</v>
      </c>
      <c r="AQ69" s="93"/>
    </row>
    <row r="70" spans="1:43" outlineLevel="2">
      <c r="A70" s="277" t="s">
        <v>445</v>
      </c>
      <c r="B70" s="9">
        <v>6666050107</v>
      </c>
      <c r="C70" s="9" t="s">
        <v>75</v>
      </c>
      <c r="D70" s="9" t="s">
        <v>80</v>
      </c>
      <c r="E70" s="11">
        <v>0</v>
      </c>
      <c r="F70" s="26">
        <f t="shared" si="0"/>
        <v>0</v>
      </c>
      <c r="H70" s="25">
        <v>0</v>
      </c>
      <c r="I70" s="46">
        <f t="shared" si="1"/>
        <v>0</v>
      </c>
      <c r="K70" s="25">
        <v>1.244E-2</v>
      </c>
      <c r="L70" s="46">
        <f t="shared" si="2"/>
        <v>2.6846796296695947E-4</v>
      </c>
      <c r="N70" s="25">
        <v>0</v>
      </c>
      <c r="O70" s="46">
        <f t="shared" si="3"/>
        <v>0</v>
      </c>
      <c r="Q70" s="25">
        <v>1.125E-2</v>
      </c>
      <c r="R70" s="46">
        <f t="shared" si="4"/>
        <v>2.0948160286012214E-4</v>
      </c>
      <c r="T70" s="25">
        <v>0</v>
      </c>
      <c r="U70" s="46">
        <f t="shared" si="5"/>
        <v>0</v>
      </c>
      <c r="W70" s="25">
        <v>0</v>
      </c>
      <c r="X70" s="46">
        <f t="shared" si="6"/>
        <v>0</v>
      </c>
      <c r="Z70" s="25">
        <v>0</v>
      </c>
      <c r="AA70" s="46">
        <f t="shared" si="14"/>
        <v>0</v>
      </c>
      <c r="AC70" s="25">
        <v>-2.3690000000000003E-2</v>
      </c>
      <c r="AD70" s="46">
        <f t="shared" si="8"/>
        <v>-8.380500919767936E-4</v>
      </c>
      <c r="AF70" s="25">
        <v>0</v>
      </c>
      <c r="AG70" s="46">
        <f t="shared" si="9"/>
        <v>0</v>
      </c>
      <c r="AI70" s="25">
        <v>0</v>
      </c>
      <c r="AJ70" s="46">
        <f t="shared" si="10"/>
        <v>0</v>
      </c>
      <c r="AL70" s="25">
        <v>0</v>
      </c>
      <c r="AM70" s="46">
        <f t="shared" si="11"/>
        <v>0</v>
      </c>
      <c r="AO70" s="25">
        <f t="shared" si="12"/>
        <v>-3.4694469519536142E-18</v>
      </c>
      <c r="AP70" s="46">
        <f t="shared" si="13"/>
        <v>-7.2567087189629287E-21</v>
      </c>
      <c r="AQ70" s="93"/>
    </row>
    <row r="71" spans="1:43" outlineLevel="2">
      <c r="A71" s="277" t="s">
        <v>445</v>
      </c>
      <c r="B71" s="9">
        <v>6666050202</v>
      </c>
      <c r="C71" s="9" t="s">
        <v>145</v>
      </c>
      <c r="D71" s="9" t="s">
        <v>80</v>
      </c>
      <c r="E71" s="11"/>
      <c r="F71" s="26"/>
      <c r="H71" s="25"/>
      <c r="I71" s="46"/>
      <c r="K71" s="25"/>
      <c r="L71" s="46"/>
      <c r="N71" s="25"/>
      <c r="O71" s="46"/>
      <c r="Q71" s="25"/>
      <c r="R71" s="46"/>
      <c r="T71" s="25"/>
      <c r="U71" s="46"/>
      <c r="W71" s="25"/>
      <c r="X71" s="46"/>
      <c r="Z71" s="25"/>
      <c r="AA71" s="46"/>
      <c r="AC71" s="25"/>
      <c r="AD71" s="46"/>
      <c r="AF71" s="25"/>
      <c r="AG71" s="46"/>
      <c r="AI71" s="25"/>
      <c r="AJ71" s="46"/>
      <c r="AL71" s="25">
        <v>4.0079999999999998E-2</v>
      </c>
      <c r="AM71" s="46">
        <f t="shared" si="11"/>
        <v>9.5217732164492902E-4</v>
      </c>
      <c r="AO71" s="25">
        <f t="shared" ref="AO71" si="21">H71+E71+K71+N71+Q71+T71+W71+Z71+AC71+AF71+AI71+AL71</f>
        <v>4.0079999999999998E-2</v>
      </c>
      <c r="AP71" s="46">
        <f t="shared" ref="AP71" si="22">AO71/$AO$1*1000</f>
        <v>8.3831483658298854E-5</v>
      </c>
      <c r="AQ71" s="93"/>
    </row>
    <row r="72" spans="1:43" outlineLevel="2">
      <c r="A72" s="277" t="s">
        <v>445</v>
      </c>
      <c r="B72" s="9">
        <v>6666070100</v>
      </c>
      <c r="C72" s="9" t="s">
        <v>77</v>
      </c>
      <c r="D72" s="9" t="s">
        <v>80</v>
      </c>
      <c r="E72" s="11">
        <v>0</v>
      </c>
      <c r="F72" s="26">
        <f t="shared" si="0"/>
        <v>0</v>
      </c>
      <c r="H72" s="25">
        <v>0</v>
      </c>
      <c r="I72" s="46">
        <f t="shared" si="1"/>
        <v>0</v>
      </c>
      <c r="K72" s="25">
        <v>0</v>
      </c>
      <c r="L72" s="46">
        <f t="shared" si="2"/>
        <v>0</v>
      </c>
      <c r="N72" s="25">
        <v>0</v>
      </c>
      <c r="O72" s="46">
        <f t="shared" si="3"/>
        <v>0</v>
      </c>
      <c r="Q72" s="25">
        <v>0</v>
      </c>
      <c r="R72" s="46">
        <f t="shared" si="4"/>
        <v>0</v>
      </c>
      <c r="T72" s="25">
        <v>0</v>
      </c>
      <c r="U72" s="46">
        <f t="shared" si="5"/>
        <v>0</v>
      </c>
      <c r="W72" s="25">
        <v>0</v>
      </c>
      <c r="X72" s="46">
        <f t="shared" si="6"/>
        <v>0</v>
      </c>
      <c r="Z72" s="25">
        <v>0</v>
      </c>
      <c r="AA72" s="46">
        <f t="shared" si="14"/>
        <v>0</v>
      </c>
      <c r="AC72" s="25">
        <v>0</v>
      </c>
      <c r="AD72" s="46">
        <f t="shared" si="8"/>
        <v>0</v>
      </c>
      <c r="AF72" s="25">
        <v>0</v>
      </c>
      <c r="AG72" s="46">
        <f t="shared" si="9"/>
        <v>0</v>
      </c>
      <c r="AI72" s="25">
        <v>0</v>
      </c>
      <c r="AJ72" s="46">
        <f t="shared" ref="AJ72:AJ126" si="23">AI72/$AI$1*1000</f>
        <v>0</v>
      </c>
      <c r="AL72" s="25">
        <v>0</v>
      </c>
      <c r="AM72" s="46">
        <f t="shared" ref="AM72:AM126" si="24">AL72/$AL$1*1000</f>
        <v>0</v>
      </c>
      <c r="AO72" s="25">
        <f t="shared" ref="AO72:AO76" si="25">H72+E72+K72+N72+Q72+T72+W72+Z72+AC72+AF72+AI72+AL72</f>
        <v>0</v>
      </c>
      <c r="AP72" s="46">
        <f t="shared" si="13"/>
        <v>0</v>
      </c>
      <c r="AQ72" s="93"/>
    </row>
    <row r="73" spans="1:43" outlineLevel="2">
      <c r="A73" s="277" t="s">
        <v>445</v>
      </c>
      <c r="B73" s="9">
        <v>6666070300</v>
      </c>
      <c r="C73" s="9" t="s">
        <v>78</v>
      </c>
      <c r="D73" s="9" t="s">
        <v>80</v>
      </c>
      <c r="E73" s="11">
        <v>0</v>
      </c>
      <c r="F73" s="26">
        <f t="shared" si="0"/>
        <v>0</v>
      </c>
      <c r="H73" s="25">
        <v>0</v>
      </c>
      <c r="I73" s="46">
        <f t="shared" si="1"/>
        <v>0</v>
      </c>
      <c r="K73" s="25">
        <v>0</v>
      </c>
      <c r="L73" s="46">
        <f t="shared" si="2"/>
        <v>0</v>
      </c>
      <c r="N73" s="25">
        <v>0</v>
      </c>
      <c r="O73" s="46">
        <f t="shared" si="3"/>
        <v>0</v>
      </c>
      <c r="Q73" s="25">
        <v>0</v>
      </c>
      <c r="R73" s="46">
        <f t="shared" si="4"/>
        <v>0</v>
      </c>
      <c r="T73" s="25">
        <v>0</v>
      </c>
      <c r="U73" s="46">
        <f t="shared" si="5"/>
        <v>0</v>
      </c>
      <c r="W73" s="25">
        <v>0</v>
      </c>
      <c r="X73" s="46">
        <f t="shared" si="6"/>
        <v>0</v>
      </c>
      <c r="Z73" s="25">
        <v>0</v>
      </c>
      <c r="AA73" s="46">
        <f t="shared" si="14"/>
        <v>0</v>
      </c>
      <c r="AC73" s="25">
        <v>0</v>
      </c>
      <c r="AD73" s="46">
        <f t="shared" ref="AD73:AD126" si="26">AC73/$AC$1*1000</f>
        <v>0</v>
      </c>
      <c r="AF73" s="25">
        <v>0</v>
      </c>
      <c r="AG73" s="46">
        <f t="shared" ref="AG73:AG126" si="27">AF73/$AF$1*1000</f>
        <v>0</v>
      </c>
      <c r="AI73" s="25">
        <v>0</v>
      </c>
      <c r="AJ73" s="46">
        <f t="shared" si="23"/>
        <v>0</v>
      </c>
      <c r="AL73" s="25">
        <v>0</v>
      </c>
      <c r="AM73" s="46">
        <f t="shared" si="24"/>
        <v>0</v>
      </c>
      <c r="AO73" s="25">
        <f t="shared" si="25"/>
        <v>0</v>
      </c>
      <c r="AP73" s="46">
        <f t="shared" si="13"/>
        <v>0</v>
      </c>
      <c r="AQ73" s="93"/>
    </row>
    <row r="74" spans="1:43" outlineLevel="2">
      <c r="A74" s="281" t="s">
        <v>445</v>
      </c>
      <c r="B74" s="9">
        <v>6666070400</v>
      </c>
      <c r="C74" s="9" t="s">
        <v>79</v>
      </c>
      <c r="D74" s="9" t="s">
        <v>80</v>
      </c>
      <c r="E74" s="11">
        <v>4.88462</v>
      </c>
      <c r="F74" s="26">
        <f t="shared" si="0"/>
        <v>0.10056659323464619</v>
      </c>
      <c r="H74" s="25">
        <v>2.7942199999999997</v>
      </c>
      <c r="I74" s="46">
        <f t="shared" si="1"/>
        <v>6.0700367127929956E-2</v>
      </c>
      <c r="K74" s="25">
        <v>2.74919</v>
      </c>
      <c r="L74" s="46">
        <f t="shared" si="2"/>
        <v>5.9330340764399941E-2</v>
      </c>
      <c r="N74" s="25">
        <v>4.8539099999999999</v>
      </c>
      <c r="O74" s="46">
        <f t="shared" si="3"/>
        <v>9.8330936126248408E-2</v>
      </c>
      <c r="Q74" s="25">
        <v>3.5161799999999999</v>
      </c>
      <c r="R74" s="46">
        <f t="shared" si="4"/>
        <v>6.5473335319529272E-2</v>
      </c>
      <c r="T74" s="25">
        <v>4.7027600000000005</v>
      </c>
      <c r="U74" s="46">
        <f t="shared" si="5"/>
        <v>0.15853425026968718</v>
      </c>
      <c r="W74" s="25">
        <v>3.4855900000000002</v>
      </c>
      <c r="X74" s="46">
        <f t="shared" ref="X74:X125" si="28">W74/$W$1*1000</f>
        <v>8.32737654394725E-2</v>
      </c>
      <c r="Z74" s="25">
        <v>6.2665899999999999</v>
      </c>
      <c r="AA74" s="46">
        <f t="shared" si="14"/>
        <v>0.19597179222566219</v>
      </c>
      <c r="AC74" s="25">
        <v>6.6887399999999992</v>
      </c>
      <c r="AD74" s="46">
        <f t="shared" si="26"/>
        <v>0.2366187915664355</v>
      </c>
      <c r="AF74" s="25">
        <v>9.4562000000000008</v>
      </c>
      <c r="AG74" s="46">
        <f t="shared" si="27"/>
        <v>0.36077219488001222</v>
      </c>
      <c r="AI74" s="25">
        <v>15.694739999999999</v>
      </c>
      <c r="AJ74" s="46">
        <f t="shared" si="23"/>
        <v>0.46128438749118272</v>
      </c>
      <c r="AL74" s="25">
        <v>-2.6831700000000001</v>
      </c>
      <c r="AM74" s="46">
        <f t="shared" si="24"/>
        <v>-6.3743852897156297E-2</v>
      </c>
      <c r="AO74" s="25">
        <f t="shared" si="25"/>
        <v>62.409570000000009</v>
      </c>
      <c r="AP74" s="46">
        <f t="shared" si="13"/>
        <v>0.13053609899142862</v>
      </c>
      <c r="AQ74" s="93"/>
    </row>
    <row r="75" spans="1:43" outlineLevel="2">
      <c r="A75" s="295" t="s">
        <v>445</v>
      </c>
      <c r="B75" s="9">
        <v>5401050201</v>
      </c>
      <c r="C75" s="1" t="s">
        <v>454</v>
      </c>
      <c r="D75" s="9" t="s">
        <v>80</v>
      </c>
      <c r="E75" s="11"/>
      <c r="F75" s="26"/>
      <c r="H75" s="25"/>
      <c r="I75" s="46"/>
      <c r="K75" s="25"/>
      <c r="L75" s="46"/>
      <c r="N75" s="25"/>
      <c r="O75" s="46"/>
      <c r="Q75" s="25"/>
      <c r="R75" s="46"/>
      <c r="T75" s="25"/>
      <c r="U75" s="46"/>
      <c r="W75" s="25"/>
      <c r="X75" s="46"/>
      <c r="Z75" s="25"/>
      <c r="AA75" s="46"/>
      <c r="AC75" s="25">
        <f>23.69/1000</f>
        <v>2.3690000000000003E-2</v>
      </c>
      <c r="AD75" s="46">
        <f t="shared" si="26"/>
        <v>8.380500919767936E-4</v>
      </c>
      <c r="AF75" s="25">
        <v>0</v>
      </c>
      <c r="AG75" s="46">
        <f t="shared" si="27"/>
        <v>0</v>
      </c>
      <c r="AI75" s="25">
        <v>0</v>
      </c>
      <c r="AJ75" s="46">
        <f t="shared" si="23"/>
        <v>0</v>
      </c>
      <c r="AL75" s="25">
        <v>0</v>
      </c>
      <c r="AM75" s="46">
        <f t="shared" si="24"/>
        <v>0</v>
      </c>
      <c r="AO75" s="25">
        <f t="shared" si="25"/>
        <v>2.3690000000000003E-2</v>
      </c>
      <c r="AP75" s="46">
        <f t="shared" ref="AP75:AP76" si="29">AO75/$AO$1*1000</f>
        <v>4.9550096004618268E-5</v>
      </c>
      <c r="AQ75" s="93"/>
    </row>
    <row r="76" spans="1:43" outlineLevel="2">
      <c r="A76" s="295" t="s">
        <v>445</v>
      </c>
      <c r="B76" s="9">
        <v>5401020212</v>
      </c>
      <c r="C76" s="1" t="s">
        <v>455</v>
      </c>
      <c r="D76" s="9" t="s">
        <v>80</v>
      </c>
      <c r="E76" s="11"/>
      <c r="F76" s="26"/>
      <c r="H76" s="25"/>
      <c r="I76" s="46"/>
      <c r="K76" s="25"/>
      <c r="L76" s="46"/>
      <c r="N76" s="25"/>
      <c r="O76" s="46"/>
      <c r="Q76" s="25"/>
      <c r="R76" s="46"/>
      <c r="T76" s="25"/>
      <c r="U76" s="46"/>
      <c r="W76" s="25"/>
      <c r="X76" s="46"/>
      <c r="Z76" s="25"/>
      <c r="AA76" s="46"/>
      <c r="AC76" s="25">
        <f>-147.76/1000</f>
        <v>-0.14776</v>
      </c>
      <c r="AD76" s="46">
        <f t="shared" si="26"/>
        <v>-5.2271119286826087E-3</v>
      </c>
      <c r="AF76" s="25">
        <v>0</v>
      </c>
      <c r="AG76" s="46">
        <f t="shared" si="27"/>
        <v>0</v>
      </c>
      <c r="AI76" s="25">
        <v>0</v>
      </c>
      <c r="AJ76" s="46">
        <f t="shared" si="23"/>
        <v>0</v>
      </c>
      <c r="AL76" s="25">
        <v>0</v>
      </c>
      <c r="AM76" s="46">
        <f t="shared" si="24"/>
        <v>0</v>
      </c>
      <c r="AO76" s="25">
        <f t="shared" si="25"/>
        <v>-0.14776</v>
      </c>
      <c r="AP76" s="46">
        <f t="shared" si="29"/>
        <v>-3.0905538985404789E-4</v>
      </c>
      <c r="AQ76" s="93"/>
    </row>
    <row r="77" spans="1:43" s="29" customFormat="1">
      <c r="A77" s="277"/>
      <c r="B77" s="37" t="s">
        <v>4</v>
      </c>
      <c r="C77" s="36" t="s">
        <v>80</v>
      </c>
      <c r="D77" s="38"/>
      <c r="E77" s="97">
        <v>47.534309999999998</v>
      </c>
      <c r="F77" s="171">
        <f t="shared" ref="F77:F126" si="30">E77/$E$1*1000</f>
        <v>0.97865619402524151</v>
      </c>
      <c r="G77" s="314"/>
      <c r="H77" s="178">
        <f>SUM(H28:H74)</f>
        <v>55.911000000000008</v>
      </c>
      <c r="I77" s="171">
        <f t="shared" si="1"/>
        <v>1.214585188886234</v>
      </c>
      <c r="J77" s="314"/>
      <c r="K77" s="178">
        <f>SUM(K28:K74)</f>
        <v>43.049720000000001</v>
      </c>
      <c r="L77" s="171">
        <f t="shared" si="2"/>
        <v>0.92905712497572135</v>
      </c>
      <c r="M77" s="186"/>
      <c r="N77" s="178">
        <f>SUM(N28:N74)</f>
        <v>40.602669999999996</v>
      </c>
      <c r="O77" s="171">
        <f t="shared" si="3"/>
        <v>0.82253246358608667</v>
      </c>
      <c r="P77" s="268"/>
      <c r="Q77" s="178">
        <f>SUM(Q28:Q74)</f>
        <v>39.713789999999989</v>
      </c>
      <c r="R77" s="171">
        <f t="shared" si="4"/>
        <v>0.73949407865335892</v>
      </c>
      <c r="S77" s="16"/>
      <c r="T77" s="178">
        <f>SUM(T28:T74)</f>
        <v>36.033090000000001</v>
      </c>
      <c r="U77" s="171">
        <f t="shared" si="5"/>
        <v>1.2147077265372168</v>
      </c>
      <c r="V77" s="16"/>
      <c r="W77" s="178">
        <f>SUM(W28:W74)</f>
        <v>41.461160000000007</v>
      </c>
      <c r="X77" s="171">
        <f t="shared" si="28"/>
        <v>0.99054303939603916</v>
      </c>
      <c r="Y77" s="16"/>
      <c r="Z77" s="178">
        <f>SUM(Z28:Z74)</f>
        <v>53.833399999999997</v>
      </c>
      <c r="AA77" s="171">
        <f t="shared" si="14"/>
        <v>1.6835037683334895</v>
      </c>
      <c r="AB77" s="16"/>
      <c r="AC77" s="178">
        <f>SUM(AC28:AC76)</f>
        <v>45.241030000000002</v>
      </c>
      <c r="AD77" s="171">
        <f t="shared" si="26"/>
        <v>1.6004326446865715</v>
      </c>
      <c r="AE77" s="16"/>
      <c r="AF77" s="178">
        <f>SUM(AF28:AF76)</f>
        <v>35.500890000000005</v>
      </c>
      <c r="AG77" s="171">
        <f t="shared" si="27"/>
        <v>1.3544271489069475</v>
      </c>
      <c r="AH77" s="16"/>
      <c r="AI77" s="178">
        <f>SUM(AI28:AI76)</f>
        <v>45.64884</v>
      </c>
      <c r="AJ77" s="171">
        <f t="shared" si="23"/>
        <v>1.3416658829061838</v>
      </c>
      <c r="AK77" s="186"/>
      <c r="AL77" s="178">
        <f>SUM(AL28:AL76)</f>
        <v>-14.332680000000003</v>
      </c>
      <c r="AM77" s="171">
        <f t="shared" si="24"/>
        <v>-0.34050032071840935</v>
      </c>
      <c r="AN77" s="186"/>
      <c r="AO77" s="178">
        <f>SUM(AO28:AO76)</f>
        <v>470.1972199999999</v>
      </c>
      <c r="AP77" s="171">
        <f t="shared" si="13"/>
        <v>0.98346633145228413</v>
      </c>
      <c r="AQ77" s="93"/>
    </row>
    <row r="78" spans="1:43" ht="20.55" customHeight="1" outlineLevel="1">
      <c r="A78" s="277" t="s">
        <v>445</v>
      </c>
      <c r="B78" s="9">
        <v>6666110203</v>
      </c>
      <c r="C78" s="9" t="s">
        <v>81</v>
      </c>
      <c r="D78" s="9" t="s">
        <v>84</v>
      </c>
      <c r="E78" s="11">
        <v>11.78262</v>
      </c>
      <c r="F78" s="26">
        <f t="shared" si="30"/>
        <v>0.24258549340141236</v>
      </c>
      <c r="H78" s="25">
        <v>13.570910000000001</v>
      </c>
      <c r="I78" s="46">
        <f t="shared" ref="I78:I126" si="31">H78/$H$1*1000</f>
        <v>0.2948082897052115</v>
      </c>
      <c r="K78" s="25">
        <v>16.586839999999999</v>
      </c>
      <c r="L78" s="46">
        <f t="shared" ref="L78:L126" si="32">K78/$K$1*1000</f>
        <v>0.35796102466711266</v>
      </c>
      <c r="N78" s="25">
        <v>9.5728099999999987</v>
      </c>
      <c r="O78" s="46">
        <f t="shared" ref="O78:O125" si="33">N78/$N$1*1000</f>
        <v>0.19392682778599354</v>
      </c>
      <c r="Q78" s="25">
        <v>19.108330000000002</v>
      </c>
      <c r="R78" s="46">
        <f t="shared" ref="R78:R126" si="34">Q78/$Q$1*1000</f>
        <v>0.35580831967823628</v>
      </c>
      <c r="T78" s="25">
        <v>3.0534499999999998</v>
      </c>
      <c r="U78" s="46">
        <f t="shared" ref="U78:U126" si="35">T78/$T$1*1000</f>
        <v>0.10293453344120819</v>
      </c>
      <c r="W78" s="25">
        <v>14.97382</v>
      </c>
      <c r="X78" s="46">
        <f t="shared" si="28"/>
        <v>0.35773753494039229</v>
      </c>
      <c r="Z78" s="25">
        <v>16.685959999999998</v>
      </c>
      <c r="AA78" s="46">
        <f t="shared" si="14"/>
        <v>0.52181130187322133</v>
      </c>
      <c r="AC78" s="25">
        <v>16.377179999999999</v>
      </c>
      <c r="AD78" s="46">
        <f t="shared" si="26"/>
        <v>0.5793540399037781</v>
      </c>
      <c r="AF78" s="25">
        <v>20.449810000000003</v>
      </c>
      <c r="AG78" s="46">
        <f t="shared" si="27"/>
        <v>0.78019953454656454</v>
      </c>
      <c r="AI78" s="25">
        <v>6.5999600000000003</v>
      </c>
      <c r="AJ78" s="46">
        <f t="shared" si="23"/>
        <v>0.19397954385139901</v>
      </c>
      <c r="AL78" s="25">
        <v>-3.2687800000000005</v>
      </c>
      <c r="AM78" s="46">
        <f t="shared" si="24"/>
        <v>-7.7656142351459873E-2</v>
      </c>
      <c r="AO78" s="25">
        <f t="shared" ref="AO78:AO124" si="36">H78+E78+K78+N78+Q78+T78+W78+Z78+AC78+AF78+AI78+AL78</f>
        <v>145.49291000000002</v>
      </c>
      <c r="AP78" s="46">
        <f t="shared" ref="AP78:AP126" si="37">AO78/$AO$1*1000</f>
        <v>0.30431353560537294</v>
      </c>
      <c r="AQ78" s="93"/>
    </row>
    <row r="79" spans="1:43" outlineLevel="1">
      <c r="A79" s="277" t="s">
        <v>445</v>
      </c>
      <c r="B79" s="9">
        <v>5102040000</v>
      </c>
      <c r="C79" s="9" t="s">
        <v>82</v>
      </c>
      <c r="D79" s="9" t="s">
        <v>84</v>
      </c>
      <c r="E79" s="11">
        <v>0</v>
      </c>
      <c r="F79" s="26">
        <f t="shared" si="30"/>
        <v>0</v>
      </c>
      <c r="H79" s="25">
        <v>0</v>
      </c>
      <c r="I79" s="46">
        <f t="shared" si="31"/>
        <v>0</v>
      </c>
      <c r="K79" s="25">
        <v>0</v>
      </c>
      <c r="L79" s="46">
        <f t="shared" si="32"/>
        <v>0</v>
      </c>
      <c r="N79" s="25">
        <v>0</v>
      </c>
      <c r="O79" s="46">
        <f t="shared" si="33"/>
        <v>0</v>
      </c>
      <c r="Q79" s="25">
        <v>0</v>
      </c>
      <c r="R79" s="46">
        <f t="shared" si="34"/>
        <v>0</v>
      </c>
      <c r="T79" s="25">
        <v>0</v>
      </c>
      <c r="U79" s="46">
        <f t="shared" si="35"/>
        <v>0</v>
      </c>
      <c r="W79" s="25">
        <v>0</v>
      </c>
      <c r="X79" s="46">
        <f t="shared" si="28"/>
        <v>0</v>
      </c>
      <c r="Z79" s="25">
        <v>0</v>
      </c>
      <c r="AA79" s="46">
        <f t="shared" si="14"/>
        <v>0</v>
      </c>
      <c r="AC79" s="25">
        <v>-0.58499999999999996</v>
      </c>
      <c r="AD79" s="46">
        <f t="shared" si="26"/>
        <v>-2.0694778548181688E-2</v>
      </c>
      <c r="AF79" s="25">
        <v>-6.0560000000000003E-2</v>
      </c>
      <c r="AG79" s="46">
        <f t="shared" si="27"/>
        <v>-2.3104803326847506E-3</v>
      </c>
      <c r="AI79" s="25">
        <v>0</v>
      </c>
      <c r="AJ79" s="46">
        <f t="shared" si="23"/>
        <v>0</v>
      </c>
      <c r="AL79" s="25">
        <v>0</v>
      </c>
      <c r="AM79" s="46">
        <f t="shared" si="24"/>
        <v>0</v>
      </c>
      <c r="AO79" s="25">
        <f t="shared" si="36"/>
        <v>-0.64555999999999991</v>
      </c>
      <c r="AP79" s="46">
        <f t="shared" si="37"/>
        <v>-1.3502558031549751E-3</v>
      </c>
      <c r="AQ79" s="93"/>
    </row>
    <row r="80" spans="1:43" outlineLevel="1">
      <c r="A80" s="277" t="s">
        <v>446</v>
      </c>
      <c r="B80" s="9">
        <v>6666050307</v>
      </c>
      <c r="C80" s="9" t="s">
        <v>83</v>
      </c>
      <c r="D80" s="9" t="s">
        <v>84</v>
      </c>
      <c r="E80" s="11">
        <v>0.4287399999999999</v>
      </c>
      <c r="F80" s="26">
        <f t="shared" si="30"/>
        <v>8.8270778859813447E-3</v>
      </c>
      <c r="H80" s="25">
        <v>-3.7233499999999995</v>
      </c>
      <c r="I80" s="46">
        <f t="shared" si="31"/>
        <v>-8.0884365563834631E-2</v>
      </c>
      <c r="K80" s="25">
        <v>19.158030000000004</v>
      </c>
      <c r="L80" s="46">
        <f t="shared" si="32"/>
        <v>0.41344994281028125</v>
      </c>
      <c r="N80" s="25">
        <v>-15.384990000000002</v>
      </c>
      <c r="O80" s="46">
        <f t="shared" si="33"/>
        <v>-0.31167048193991459</v>
      </c>
      <c r="Q80" s="25">
        <v>-2.0781199999999997</v>
      </c>
      <c r="R80" s="46">
        <f t="shared" si="34"/>
        <v>-3.8695814092060174E-2</v>
      </c>
      <c r="T80" s="25">
        <v>18.26473</v>
      </c>
      <c r="U80" s="46">
        <f t="shared" si="35"/>
        <v>0.61572040183387278</v>
      </c>
      <c r="W80" s="25">
        <v>-44.834120000000006</v>
      </c>
      <c r="X80" s="46">
        <f t="shared" si="28"/>
        <v>-1.0711259765391692</v>
      </c>
      <c r="Z80" s="25">
        <v>0.88589000000000007</v>
      </c>
      <c r="AA80" s="46">
        <f t="shared" si="14"/>
        <v>2.7703974731838509E-2</v>
      </c>
      <c r="AC80" s="25">
        <v>-0.14104</v>
      </c>
      <c r="AD80" s="46">
        <f t="shared" si="26"/>
        <v>-4.9893872930522141E-3</v>
      </c>
      <c r="AF80" s="25">
        <v>0.93849000000000005</v>
      </c>
      <c r="AG80" s="46">
        <f t="shared" si="27"/>
        <v>3.5805196291633284E-2</v>
      </c>
      <c r="AI80" s="25">
        <v>-1.5073200000000002</v>
      </c>
      <c r="AJ80" s="46">
        <f t="shared" si="23"/>
        <v>-4.4301669409828368E-2</v>
      </c>
      <c r="AL80" s="25">
        <v>-41.755480000000006</v>
      </c>
      <c r="AM80" s="46">
        <f t="shared" si="24"/>
        <v>-0.99198156463069886</v>
      </c>
      <c r="AO80" s="25">
        <f t="shared" si="36"/>
        <v>-69.748540000000006</v>
      </c>
      <c r="AP80" s="46">
        <f t="shared" si="37"/>
        <v>-0.14588631714571368</v>
      </c>
      <c r="AQ80" s="93"/>
    </row>
    <row r="81" spans="1:43" outlineLevel="2">
      <c r="A81" s="277" t="s">
        <v>446</v>
      </c>
      <c r="B81" s="9">
        <v>6666050312</v>
      </c>
      <c r="C81" s="9" t="s">
        <v>76</v>
      </c>
      <c r="D81" s="9" t="s">
        <v>80</v>
      </c>
      <c r="E81" s="11">
        <v>0</v>
      </c>
      <c r="F81" s="26">
        <f t="shared" si="30"/>
        <v>0</v>
      </c>
      <c r="H81" s="25">
        <v>22.533270000000002</v>
      </c>
      <c r="I81" s="46">
        <f t="shared" si="31"/>
        <v>0.48950253079312672</v>
      </c>
      <c r="K81" s="25">
        <v>0</v>
      </c>
      <c r="L81" s="46">
        <f t="shared" si="32"/>
        <v>0</v>
      </c>
      <c r="N81" s="25">
        <v>0</v>
      </c>
      <c r="O81" s="46">
        <f t="shared" si="33"/>
        <v>0</v>
      </c>
      <c r="Q81" s="25">
        <v>0.72656000000000009</v>
      </c>
      <c r="R81" s="46">
        <f t="shared" si="34"/>
        <v>1.3528973633248922E-2</v>
      </c>
      <c r="T81" s="25">
        <v>0</v>
      </c>
      <c r="U81" s="46">
        <f t="shared" si="35"/>
        <v>0</v>
      </c>
      <c r="W81" s="25">
        <v>31.261340000000001</v>
      </c>
      <c r="X81" s="46">
        <f t="shared" si="28"/>
        <v>0.74686050123037961</v>
      </c>
      <c r="Z81" s="25">
        <v>3.1140000000000004E-2</v>
      </c>
      <c r="AA81" s="46">
        <f t="shared" si="14"/>
        <v>9.7382493667323396E-4</v>
      </c>
      <c r="AC81" s="25">
        <v>0</v>
      </c>
      <c r="AD81" s="46">
        <f t="shared" si="26"/>
        <v>0</v>
      </c>
      <c r="AF81" s="25">
        <v>0</v>
      </c>
      <c r="AG81" s="46">
        <f t="shared" si="27"/>
        <v>0</v>
      </c>
      <c r="AI81" s="25">
        <v>0.27655999999999997</v>
      </c>
      <c r="AJ81" s="46">
        <f t="shared" si="23"/>
        <v>8.1283799670820583E-3</v>
      </c>
      <c r="AL81" s="25">
        <v>5.4445399999999999</v>
      </c>
      <c r="AM81" s="46">
        <f t="shared" si="24"/>
        <v>0.12934549687596514</v>
      </c>
      <c r="AO81" s="25">
        <f t="shared" si="36"/>
        <v>60.273409999999998</v>
      </c>
      <c r="AP81" s="46">
        <f t="shared" si="37"/>
        <v>0.12606809843924519</v>
      </c>
      <c r="AQ81" s="93"/>
    </row>
    <row r="82" spans="1:43" s="24" customFormat="1">
      <c r="A82" s="278"/>
      <c r="B82" s="37" t="s">
        <v>1</v>
      </c>
      <c r="C82" s="36" t="s">
        <v>84</v>
      </c>
      <c r="D82" s="38"/>
      <c r="E82" s="97">
        <v>12.211359999999999</v>
      </c>
      <c r="F82" s="171">
        <f t="shared" si="30"/>
        <v>0.25141257128739369</v>
      </c>
      <c r="G82" s="314"/>
      <c r="H82" s="178">
        <f>SUM(H78:H81)</f>
        <v>32.380830000000003</v>
      </c>
      <c r="I82" s="171">
        <f t="shared" si="31"/>
        <v>0.70342645493450351</v>
      </c>
      <c r="J82" s="314"/>
      <c r="K82" s="178">
        <f>SUM(K78:K81)</f>
        <v>35.744870000000006</v>
      </c>
      <c r="L82" s="171">
        <f t="shared" si="32"/>
        <v>0.77141096747739402</v>
      </c>
      <c r="M82" s="186"/>
      <c r="N82" s="178">
        <f>SUM(N78:N81)</f>
        <v>-5.8121800000000032</v>
      </c>
      <c r="O82" s="171">
        <f t="shared" si="33"/>
        <v>-0.11774365415392102</v>
      </c>
      <c r="P82" s="16"/>
      <c r="Q82" s="178">
        <f>SUM(Q78:Q81)</f>
        <v>17.756770000000003</v>
      </c>
      <c r="R82" s="171">
        <f t="shared" si="34"/>
        <v>0.33064147921942505</v>
      </c>
      <c r="S82" s="16"/>
      <c r="T82" s="178">
        <f>SUM(T78:T81)</f>
        <v>21.318179999999998</v>
      </c>
      <c r="U82" s="171">
        <f t="shared" si="35"/>
        <v>0.71865493527508084</v>
      </c>
      <c r="V82" s="16"/>
      <c r="W82" s="178">
        <f>SUM(W78:W81)</f>
        <v>1.4010399999999947</v>
      </c>
      <c r="X82" s="171">
        <f t="shared" si="28"/>
        <v>3.3472059631602713E-2</v>
      </c>
      <c r="Y82" s="16"/>
      <c r="Z82" s="178">
        <f>SUM(Z78:Z81)</f>
        <v>17.602989999999998</v>
      </c>
      <c r="AA82" s="171">
        <f t="shared" si="14"/>
        <v>0.55048910154173303</v>
      </c>
      <c r="AB82" s="16"/>
      <c r="AC82" s="178">
        <f>SUM(AC78:AC81)</f>
        <v>15.651139999999998</v>
      </c>
      <c r="AD82" s="171">
        <f t="shared" si="26"/>
        <v>0.5536698740625442</v>
      </c>
      <c r="AE82" s="16"/>
      <c r="AF82" s="178">
        <f>SUM(AF78:AF81)</f>
        <v>21.327740000000006</v>
      </c>
      <c r="AG82" s="171">
        <f t="shared" si="27"/>
        <v>0.81369425050551314</v>
      </c>
      <c r="AH82" s="16"/>
      <c r="AI82" s="178">
        <f>SUM(AI78:AI81)</f>
        <v>5.3692000000000002</v>
      </c>
      <c r="AJ82" s="171">
        <f t="shared" si="23"/>
        <v>0.15780625440865273</v>
      </c>
      <c r="AK82" s="186"/>
      <c r="AL82" s="178">
        <f>SUM(AL78:AL81)</f>
        <v>-39.579720000000009</v>
      </c>
      <c r="AM82" s="171">
        <f t="shared" si="24"/>
        <v>-0.94029221010619368</v>
      </c>
      <c r="AN82" s="186"/>
      <c r="AO82" s="178">
        <f>SUM(AO78:AO81)</f>
        <v>135.37222000000003</v>
      </c>
      <c r="AP82" s="171">
        <f t="shared" si="37"/>
        <v>0.2831450610957495</v>
      </c>
      <c r="AQ82" s="93"/>
    </row>
    <row r="83" spans="1:43" ht="22.95" customHeight="1" outlineLevel="1">
      <c r="A83" s="281" t="s">
        <v>446</v>
      </c>
      <c r="B83" s="9">
        <v>6666100203</v>
      </c>
      <c r="C83" s="9" t="s">
        <v>85</v>
      </c>
      <c r="D83" s="9" t="s">
        <v>86</v>
      </c>
      <c r="E83" s="11">
        <v>2.51573</v>
      </c>
      <c r="F83" s="26">
        <f t="shared" si="30"/>
        <v>5.1794898190278146E-2</v>
      </c>
      <c r="H83" s="25">
        <v>2.0833300000000001</v>
      </c>
      <c r="I83" s="46">
        <f t="shared" si="31"/>
        <v>4.5257315404166581E-2</v>
      </c>
      <c r="K83" s="25">
        <v>2.0833300000000001</v>
      </c>
      <c r="L83" s="46">
        <f t="shared" si="32"/>
        <v>4.4960398817359783E-2</v>
      </c>
      <c r="N83" s="25">
        <v>2.0833300000000001</v>
      </c>
      <c r="O83" s="46">
        <f t="shared" si="33"/>
        <v>4.2204282559812005E-2</v>
      </c>
      <c r="Q83" s="25">
        <v>2.0833300000000001</v>
      </c>
      <c r="R83" s="46">
        <f t="shared" si="34"/>
        <v>3.8792827349918069E-2</v>
      </c>
      <c r="T83" s="25">
        <v>68.225250000000003</v>
      </c>
      <c r="U83" s="46">
        <f t="shared" si="35"/>
        <v>2.2999342637540456</v>
      </c>
      <c r="W83" s="25">
        <v>0</v>
      </c>
      <c r="X83" s="46">
        <f t="shared" si="28"/>
        <v>0</v>
      </c>
      <c r="Z83" s="25">
        <v>0</v>
      </c>
      <c r="AA83" s="46">
        <f t="shared" ref="AA83:AA125" si="38">Z83/$Z$1*1000</f>
        <v>0</v>
      </c>
      <c r="AC83" s="25">
        <v>0</v>
      </c>
      <c r="AD83" s="46">
        <f t="shared" si="26"/>
        <v>0</v>
      </c>
      <c r="AF83" s="25">
        <v>35.023249999999997</v>
      </c>
      <c r="AG83" s="46">
        <f t="shared" si="27"/>
        <v>1.3362042653847621</v>
      </c>
      <c r="AI83" s="25">
        <v>32.763539999999999</v>
      </c>
      <c r="AJ83" s="46">
        <f t="shared" si="23"/>
        <v>0.96295379731953912</v>
      </c>
      <c r="AL83" s="25">
        <v>91.929239999999993</v>
      </c>
      <c r="AM83" s="46">
        <f t="shared" si="24"/>
        <v>2.1839555270472522</v>
      </c>
      <c r="AO83" s="25">
        <f t="shared" si="36"/>
        <v>238.79033000000001</v>
      </c>
      <c r="AP83" s="46">
        <f t="shared" si="37"/>
        <v>0.4994547816156385</v>
      </c>
      <c r="AQ83" s="93"/>
    </row>
    <row r="84" spans="1:43" s="24" customFormat="1">
      <c r="A84" s="278"/>
      <c r="B84" s="37" t="s">
        <v>4</v>
      </c>
      <c r="C84" s="36" t="s">
        <v>86</v>
      </c>
      <c r="D84" s="38"/>
      <c r="E84" s="97">
        <v>2.51573</v>
      </c>
      <c r="F84" s="171">
        <f t="shared" si="30"/>
        <v>5.1794898190278146E-2</v>
      </c>
      <c r="G84" s="314"/>
      <c r="H84" s="178">
        <f>+H83</f>
        <v>2.0833300000000001</v>
      </c>
      <c r="I84" s="171">
        <f t="shared" si="31"/>
        <v>4.5257315404166581E-2</v>
      </c>
      <c r="J84" s="314"/>
      <c r="K84" s="178">
        <f>+K83</f>
        <v>2.0833300000000001</v>
      </c>
      <c r="L84" s="171">
        <f t="shared" si="32"/>
        <v>4.4960398817359783E-2</v>
      </c>
      <c r="M84" s="186"/>
      <c r="N84" s="178">
        <f>+N83</f>
        <v>2.0833300000000001</v>
      </c>
      <c r="O84" s="171">
        <f t="shared" si="33"/>
        <v>4.2204282559812005E-2</v>
      </c>
      <c r="P84" s="16"/>
      <c r="Q84" s="178">
        <f>+Q83</f>
        <v>2.0833300000000001</v>
      </c>
      <c r="R84" s="171">
        <f t="shared" si="34"/>
        <v>3.8792827349918069E-2</v>
      </c>
      <c r="S84" s="16"/>
      <c r="T84" s="178">
        <f>+T83</f>
        <v>68.225250000000003</v>
      </c>
      <c r="U84" s="171">
        <f t="shared" si="35"/>
        <v>2.2999342637540456</v>
      </c>
      <c r="V84" s="16"/>
      <c r="W84" s="178">
        <f>+W83</f>
        <v>0</v>
      </c>
      <c r="X84" s="171">
        <f t="shared" si="28"/>
        <v>0</v>
      </c>
      <c r="Y84" s="16"/>
      <c r="Z84" s="178">
        <f>+Z83</f>
        <v>0</v>
      </c>
      <c r="AA84" s="171">
        <f t="shared" si="38"/>
        <v>0</v>
      </c>
      <c r="AB84" s="16"/>
      <c r="AC84" s="178">
        <f>+AC83</f>
        <v>0</v>
      </c>
      <c r="AD84" s="171">
        <f t="shared" si="26"/>
        <v>0</v>
      </c>
      <c r="AE84" s="16"/>
      <c r="AF84" s="178">
        <f>+AF83</f>
        <v>35.023249999999997</v>
      </c>
      <c r="AG84" s="171">
        <f t="shared" si="27"/>
        <v>1.3362042653847621</v>
      </c>
      <c r="AH84" s="16"/>
      <c r="AI84" s="178">
        <f>+AI83</f>
        <v>32.763539999999999</v>
      </c>
      <c r="AJ84" s="171">
        <f t="shared" si="23"/>
        <v>0.96295379731953912</v>
      </c>
      <c r="AK84" s="186"/>
      <c r="AL84" s="178">
        <f>+AL83</f>
        <v>91.929239999999993</v>
      </c>
      <c r="AM84" s="171">
        <f t="shared" si="24"/>
        <v>2.1839555270472522</v>
      </c>
      <c r="AN84" s="186"/>
      <c r="AO84" s="178">
        <f>+AO83</f>
        <v>238.79033000000001</v>
      </c>
      <c r="AP84" s="171">
        <f t="shared" si="37"/>
        <v>0.4994547816156385</v>
      </c>
      <c r="AQ84" s="93"/>
    </row>
    <row r="85" spans="1:43" outlineLevel="2">
      <c r="A85" s="281" t="s">
        <v>446</v>
      </c>
      <c r="B85" s="9">
        <v>5301070000</v>
      </c>
      <c r="C85" s="9" t="s">
        <v>87</v>
      </c>
      <c r="D85" s="9" t="s">
        <v>88</v>
      </c>
      <c r="E85" s="11">
        <v>-58.236400000000003</v>
      </c>
      <c r="F85" s="26">
        <f t="shared" si="30"/>
        <v>-1.198995285252517</v>
      </c>
      <c r="H85" s="25">
        <v>-53.629069999999999</v>
      </c>
      <c r="I85" s="46">
        <f t="shared" si="31"/>
        <v>-1.1650135772163448</v>
      </c>
      <c r="K85" s="25">
        <v>-57.781419999999997</v>
      </c>
      <c r="L85" s="46">
        <f t="shared" si="32"/>
        <v>-1.2469823251397372</v>
      </c>
      <c r="N85" s="25">
        <v>-75.049360000000007</v>
      </c>
      <c r="O85" s="46">
        <f t="shared" si="33"/>
        <v>-1.5203565423495331</v>
      </c>
      <c r="Q85" s="25">
        <v>-62.47757</v>
      </c>
      <c r="R85" s="46">
        <f t="shared" si="34"/>
        <v>-1.1633690227915983</v>
      </c>
      <c r="T85" s="25">
        <v>-54.557360000000003</v>
      </c>
      <c r="U85" s="46">
        <f t="shared" si="35"/>
        <v>-1.8391774541531825</v>
      </c>
      <c r="W85" s="25">
        <v>-46.291799999999995</v>
      </c>
      <c r="X85" s="46">
        <f t="shared" si="28"/>
        <v>-1.1059512148505624</v>
      </c>
      <c r="Z85" s="25">
        <v>-52.154339999999998</v>
      </c>
      <c r="AA85" s="46">
        <f t="shared" si="38"/>
        <v>-1.6309954029458673</v>
      </c>
      <c r="AC85" s="25">
        <v>-43.479649999999999</v>
      </c>
      <c r="AD85" s="46">
        <f t="shared" si="26"/>
        <v>-1.5381226121409368</v>
      </c>
      <c r="AF85" s="25">
        <v>-39.756190000000004</v>
      </c>
      <c r="AG85" s="46">
        <f t="shared" si="27"/>
        <v>-1.5167750181221626</v>
      </c>
      <c r="AI85" s="25">
        <v>-37.474160000000005</v>
      </c>
      <c r="AJ85" s="46">
        <f t="shared" si="23"/>
        <v>-1.1014037150246887</v>
      </c>
      <c r="AL85" s="25">
        <v>-55.690899999999999</v>
      </c>
      <c r="AM85" s="46">
        <f t="shared" si="24"/>
        <v>-1.3230442116266361</v>
      </c>
      <c r="AO85" s="25">
        <f t="shared" si="36"/>
        <v>-636.57821999999987</v>
      </c>
      <c r="AP85" s="46">
        <f t="shared" si="37"/>
        <v>-1.3314694772245252</v>
      </c>
      <c r="AQ85" s="93"/>
    </row>
    <row r="86" spans="1:43" s="24" customFormat="1">
      <c r="A86" s="278"/>
      <c r="B86" s="37" t="s">
        <v>1</v>
      </c>
      <c r="C86" s="36" t="s">
        <v>88</v>
      </c>
      <c r="D86" s="38"/>
      <c r="E86" s="97">
        <v>-58.236400000000003</v>
      </c>
      <c r="F86" s="97">
        <f t="shared" si="30"/>
        <v>-1.198995285252517</v>
      </c>
      <c r="G86" s="314"/>
      <c r="H86" s="178">
        <f>+H85</f>
        <v>-53.629069999999999</v>
      </c>
      <c r="I86" s="97">
        <f t="shared" si="31"/>
        <v>-1.1650135772163448</v>
      </c>
      <c r="J86" s="314"/>
      <c r="K86" s="178">
        <f>+K85</f>
        <v>-57.781419999999997</v>
      </c>
      <c r="L86" s="97">
        <f t="shared" si="32"/>
        <v>-1.2469823251397372</v>
      </c>
      <c r="M86" s="186"/>
      <c r="N86" s="178">
        <f>+N85</f>
        <v>-75.049360000000007</v>
      </c>
      <c r="O86" s="97">
        <f t="shared" si="33"/>
        <v>-1.5203565423495331</v>
      </c>
      <c r="P86" s="16"/>
      <c r="Q86" s="178">
        <f>+Q85</f>
        <v>-62.47757</v>
      </c>
      <c r="R86" s="97">
        <f t="shared" si="34"/>
        <v>-1.1633690227915983</v>
      </c>
      <c r="S86" s="16"/>
      <c r="T86" s="178">
        <f>+T85</f>
        <v>-54.557360000000003</v>
      </c>
      <c r="U86" s="97">
        <f t="shared" si="35"/>
        <v>-1.8391774541531825</v>
      </c>
      <c r="V86" s="16"/>
      <c r="W86" s="178">
        <f>+W85</f>
        <v>-46.291799999999995</v>
      </c>
      <c r="X86" s="97">
        <f t="shared" si="28"/>
        <v>-1.1059512148505624</v>
      </c>
      <c r="Y86" s="16"/>
      <c r="Z86" s="178">
        <f>+Z85</f>
        <v>-52.154339999999998</v>
      </c>
      <c r="AA86" s="97">
        <f t="shared" si="38"/>
        <v>-1.6309954029458673</v>
      </c>
      <c r="AB86" s="16"/>
      <c r="AC86" s="178">
        <f>+AC85</f>
        <v>-43.479649999999999</v>
      </c>
      <c r="AD86" s="97">
        <f t="shared" si="26"/>
        <v>-1.5381226121409368</v>
      </c>
      <c r="AE86" s="16"/>
      <c r="AF86" s="178">
        <f>+AF85</f>
        <v>-39.756190000000004</v>
      </c>
      <c r="AG86" s="97">
        <f t="shared" si="27"/>
        <v>-1.5167750181221626</v>
      </c>
      <c r="AH86" s="16"/>
      <c r="AI86" s="178">
        <f>+AI85</f>
        <v>-37.474160000000005</v>
      </c>
      <c r="AJ86" s="97">
        <f t="shared" si="23"/>
        <v>-1.1014037150246887</v>
      </c>
      <c r="AK86" s="186"/>
      <c r="AL86" s="178">
        <f>+AL85</f>
        <v>-55.690899999999999</v>
      </c>
      <c r="AM86" s="97">
        <f t="shared" si="24"/>
        <v>-1.3230442116266361</v>
      </c>
      <c r="AN86" s="186"/>
      <c r="AO86" s="178">
        <f>+AO85</f>
        <v>-636.57821999999987</v>
      </c>
      <c r="AP86" s="97">
        <f t="shared" si="37"/>
        <v>-1.3314694772245252</v>
      </c>
      <c r="AQ86" s="93"/>
    </row>
    <row r="87" spans="1:43" outlineLevel="1">
      <c r="A87" s="281" t="s">
        <v>445</v>
      </c>
      <c r="B87" s="9">
        <v>6666021602</v>
      </c>
      <c r="C87" s="9" t="s">
        <v>89</v>
      </c>
      <c r="D87" s="9" t="s">
        <v>90</v>
      </c>
      <c r="E87" s="11">
        <v>7.6781999999999995</v>
      </c>
      <c r="F87" s="26">
        <f t="shared" si="30"/>
        <v>0.15808198307632124</v>
      </c>
      <c r="H87" s="25">
        <v>7.3081300000000002</v>
      </c>
      <c r="I87" s="47">
        <f t="shared" si="31"/>
        <v>0.15875849933743183</v>
      </c>
      <c r="K87" s="25">
        <v>7.6688000000000001</v>
      </c>
      <c r="L87" s="47">
        <f t="shared" si="32"/>
        <v>0.16550057189718798</v>
      </c>
      <c r="N87" s="25">
        <v>5.5123599999999993</v>
      </c>
      <c r="O87" s="47">
        <f t="shared" si="33"/>
        <v>0.11166987419727326</v>
      </c>
      <c r="Q87" s="25">
        <v>6.0057299999999998</v>
      </c>
      <c r="R87" s="47">
        <f t="shared" si="34"/>
        <v>0.11183021748845523</v>
      </c>
      <c r="T87" s="25">
        <v>-0.84929999999999994</v>
      </c>
      <c r="U87" s="47">
        <f t="shared" si="35"/>
        <v>-2.863066343042071E-2</v>
      </c>
      <c r="W87" s="25">
        <v>1.9125699999999999</v>
      </c>
      <c r="X87" s="47">
        <f t="shared" si="28"/>
        <v>4.5692954583462737E-2</v>
      </c>
      <c r="Z87" s="25">
        <v>6.3757999999999999</v>
      </c>
      <c r="AA87" s="47">
        <f t="shared" si="38"/>
        <v>0.19938705944897894</v>
      </c>
      <c r="AC87" s="25">
        <v>3.7912699999999999</v>
      </c>
      <c r="AD87" s="47">
        <f t="shared" si="26"/>
        <v>0.13411879156643555</v>
      </c>
      <c r="AF87" s="25">
        <v>2.9459400000000002</v>
      </c>
      <c r="AG87" s="47">
        <f t="shared" si="27"/>
        <v>0.11239327000114456</v>
      </c>
      <c r="AI87" s="25">
        <v>4.3810799999999999</v>
      </c>
      <c r="AJ87" s="47">
        <f t="shared" si="23"/>
        <v>0.1287644015988714</v>
      </c>
      <c r="AL87" s="25">
        <v>5.5078199999999997</v>
      </c>
      <c r="AM87" s="47">
        <f t="shared" si="24"/>
        <v>0.13084883472311309</v>
      </c>
      <c r="AO87" s="25">
        <f t="shared" si="36"/>
        <v>58.238399999999999</v>
      </c>
      <c r="AP87" s="47">
        <f t="shared" si="37"/>
        <v>0.12181166361989701</v>
      </c>
      <c r="AQ87" s="93"/>
    </row>
    <row r="88" spans="1:43" outlineLevel="1">
      <c r="A88" s="281" t="s">
        <v>445</v>
      </c>
      <c r="B88" s="9">
        <v>6666021604</v>
      </c>
      <c r="C88" s="90" t="s">
        <v>146</v>
      </c>
      <c r="D88" s="9" t="s">
        <v>90</v>
      </c>
      <c r="E88" s="11">
        <f>-623.43/1000</f>
        <v>-0.62342999999999993</v>
      </c>
      <c r="F88" s="26">
        <f t="shared" si="30"/>
        <v>-1.2835436783265732E-2</v>
      </c>
      <c r="H88" s="25">
        <f>4180.92/1000</f>
        <v>4.1809200000000004</v>
      </c>
      <c r="I88" s="48">
        <f t="shared" si="31"/>
        <v>9.0824408576456031E-2</v>
      </c>
      <c r="K88" s="25">
        <f>+K93*-1</f>
        <v>3.2413099999999999</v>
      </c>
      <c r="L88" s="48">
        <f t="shared" si="32"/>
        <v>6.9950795260806692E-2</v>
      </c>
      <c r="N88" s="25">
        <f>(+N93*-1)</f>
        <v>1.0694699999999999</v>
      </c>
      <c r="O88" s="48">
        <f t="shared" si="33"/>
        <v>2.1665417417904096E-2</v>
      </c>
      <c r="Q88" s="25">
        <f>699.66/1000</f>
        <v>0.69965999999999995</v>
      </c>
      <c r="R88" s="48">
        <f t="shared" si="34"/>
        <v>1.3028079845076715E-2</v>
      </c>
      <c r="T88" s="25">
        <f>(+T93*-1)</f>
        <v>-0.37498999999999999</v>
      </c>
      <c r="U88" s="48">
        <f t="shared" si="35"/>
        <v>-1.2641248651564185E-2</v>
      </c>
      <c r="W88" s="25">
        <v>0.28723000000000004</v>
      </c>
      <c r="X88" s="48">
        <f t="shared" si="28"/>
        <v>6.862173591036148E-3</v>
      </c>
      <c r="Z88" s="25">
        <f>429.34/1000</f>
        <v>0.42934</v>
      </c>
      <c r="AA88" s="48">
        <f t="shared" si="38"/>
        <v>1.3426525315070206E-2</v>
      </c>
      <c r="AC88" s="25">
        <f>+AC93*-1</f>
        <v>1.1829499999999999</v>
      </c>
      <c r="AD88" s="48">
        <f t="shared" si="26"/>
        <v>4.1847672279609449E-2</v>
      </c>
      <c r="AF88" s="25">
        <v>1.6735100000000001</v>
      </c>
      <c r="AG88" s="48">
        <f t="shared" si="27"/>
        <v>6.3847621227728815E-2</v>
      </c>
      <c r="AI88" s="25">
        <f>2638.65/1000</f>
        <v>2.6386500000000002</v>
      </c>
      <c r="AJ88" s="48">
        <f t="shared" si="23"/>
        <v>7.7552609922407714E-2</v>
      </c>
      <c r="AL88" s="25">
        <f>310.52/1000</f>
        <v>0.31051999999999996</v>
      </c>
      <c r="AM88" s="48">
        <f t="shared" si="24"/>
        <v>7.3769985508279276E-3</v>
      </c>
      <c r="AO88" s="25">
        <f t="shared" si="36"/>
        <v>14.71514</v>
      </c>
      <c r="AP88" s="48">
        <f t="shared" si="37"/>
        <v>3.077824397304341E-2</v>
      </c>
      <c r="AQ88" s="93"/>
    </row>
    <row r="89" spans="1:43" s="24" customFormat="1">
      <c r="A89" s="278"/>
      <c r="B89" s="37" t="s">
        <v>4</v>
      </c>
      <c r="C89" s="36" t="s">
        <v>90</v>
      </c>
      <c r="D89" s="38"/>
      <c r="E89" s="97">
        <f>SUM(E87:E88)</f>
        <v>7.0547699999999995</v>
      </c>
      <c r="F89" s="97">
        <f t="shared" si="30"/>
        <v>0.14524654629305553</v>
      </c>
      <c r="G89" s="314"/>
      <c r="H89" s="178">
        <f>+SUM(H87:H88)</f>
        <v>11.489050000000001</v>
      </c>
      <c r="I89" s="97">
        <f t="shared" si="31"/>
        <v>0.24958290791388787</v>
      </c>
      <c r="J89" s="314"/>
      <c r="K89" s="178">
        <f>+SUM(K87:K88)</f>
        <v>10.91011</v>
      </c>
      <c r="L89" s="97">
        <f t="shared" si="32"/>
        <v>0.23545136715799467</v>
      </c>
      <c r="M89" s="186"/>
      <c r="N89" s="178">
        <f>+SUM(N87:N88)</f>
        <v>6.5818299999999992</v>
      </c>
      <c r="O89" s="97">
        <f t="shared" si="33"/>
        <v>0.13333529161517735</v>
      </c>
      <c r="P89" s="16"/>
      <c r="Q89" s="178">
        <f>+SUM(Q87:Q88)</f>
        <v>6.7053899999999995</v>
      </c>
      <c r="R89" s="97">
        <f t="shared" si="34"/>
        <v>0.12485829733353195</v>
      </c>
      <c r="S89" s="16"/>
      <c r="T89" s="178">
        <f>+SUM(T87:T88)</f>
        <v>-1.2242899999999999</v>
      </c>
      <c r="U89" s="97">
        <f t="shared" si="35"/>
        <v>-4.1271912081984892E-2</v>
      </c>
      <c r="V89" s="16"/>
      <c r="W89" s="178">
        <f>+SUM(W87:W88)</f>
        <v>2.1997999999999998</v>
      </c>
      <c r="X89" s="97">
        <f t="shared" si="28"/>
        <v>5.255512817449888E-2</v>
      </c>
      <c r="Y89" s="16"/>
      <c r="Z89" s="178">
        <f>+SUM(Z87:Z88)</f>
        <v>6.8051399999999997</v>
      </c>
      <c r="AA89" s="97">
        <f t="shared" si="38"/>
        <v>0.21281358476404916</v>
      </c>
      <c r="AB89" s="16"/>
      <c r="AC89" s="178">
        <f>+SUM(AC87:AC88)</f>
        <v>4.9742199999999999</v>
      </c>
      <c r="AD89" s="97">
        <f t="shared" si="26"/>
        <v>0.175966463846045</v>
      </c>
      <c r="AE89" s="16"/>
      <c r="AF89" s="178">
        <f>+SUM(AF87:AF88)</f>
        <v>4.6194500000000005</v>
      </c>
      <c r="AG89" s="97">
        <f t="shared" si="27"/>
        <v>0.1762408912288734</v>
      </c>
      <c r="AH89" s="16"/>
      <c r="AI89" s="178">
        <f>+SUM(AI87:AI88)</f>
        <v>7.01973</v>
      </c>
      <c r="AJ89" s="97">
        <f t="shared" si="23"/>
        <v>0.2063170115212791</v>
      </c>
      <c r="AK89" s="186"/>
      <c r="AL89" s="178">
        <f>+SUM(AL87:AL88)</f>
        <v>5.8183400000000001</v>
      </c>
      <c r="AM89" s="97">
        <f t="shared" si="24"/>
        <v>0.13822583327394106</v>
      </c>
      <c r="AN89" s="186"/>
      <c r="AO89" s="178">
        <f>SUM(AO87:AO88)</f>
        <v>72.953540000000004</v>
      </c>
      <c r="AP89" s="97">
        <f t="shared" si="37"/>
        <v>0.15258990759294044</v>
      </c>
      <c r="AQ89" s="93"/>
    </row>
    <row r="90" spans="1:43" outlineLevel="2">
      <c r="A90" s="278" t="s">
        <v>445</v>
      </c>
      <c r="B90" s="9">
        <v>6666021600</v>
      </c>
      <c r="C90" s="9" t="s">
        <v>91</v>
      </c>
      <c r="D90" s="9" t="s">
        <v>94</v>
      </c>
      <c r="E90" s="11">
        <v>23.979330000000001</v>
      </c>
      <c r="F90" s="26">
        <f t="shared" si="30"/>
        <v>0.49369644438039162</v>
      </c>
      <c r="H90" s="25">
        <v>23.12032</v>
      </c>
      <c r="I90" s="46">
        <f t="shared" si="31"/>
        <v>0.50225533856146676</v>
      </c>
      <c r="K90" s="25">
        <v>25.584709999999998</v>
      </c>
      <c r="L90" s="46">
        <f t="shared" si="32"/>
        <v>0.55214429073958171</v>
      </c>
      <c r="N90" s="25">
        <v>24.886790000000001</v>
      </c>
      <c r="O90" s="46">
        <f t="shared" si="33"/>
        <v>0.50415878289407057</v>
      </c>
      <c r="Q90" s="25">
        <v>34.662579999999998</v>
      </c>
      <c r="R90" s="46">
        <f t="shared" si="34"/>
        <v>0.64543758379264105</v>
      </c>
      <c r="T90" s="25">
        <v>23.367049999999999</v>
      </c>
      <c r="U90" s="46">
        <f t="shared" si="35"/>
        <v>0.78772417745415313</v>
      </c>
      <c r="W90" s="25">
        <v>26.806750000000001</v>
      </c>
      <c r="X90" s="46">
        <f t="shared" si="28"/>
        <v>0.64043648613135207</v>
      </c>
      <c r="Z90" s="25">
        <v>20.20955</v>
      </c>
      <c r="AA90" s="46">
        <f t="shared" si="38"/>
        <v>0.63200268943302995</v>
      </c>
      <c r="AC90" s="25">
        <v>18.097360000000002</v>
      </c>
      <c r="AD90" s="46">
        <f t="shared" si="26"/>
        <v>0.6402065940285836</v>
      </c>
      <c r="AF90" s="25">
        <v>12.75709</v>
      </c>
      <c r="AG90" s="46">
        <f t="shared" si="27"/>
        <v>0.48670748922208235</v>
      </c>
      <c r="AI90" s="25">
        <v>17.301380000000002</v>
      </c>
      <c r="AJ90" s="46">
        <f t="shared" si="23"/>
        <v>0.5085051728191865</v>
      </c>
      <c r="AL90" s="25">
        <v>18.358810000000002</v>
      </c>
      <c r="AM90" s="46">
        <f t="shared" si="24"/>
        <v>0.43614876582804751</v>
      </c>
      <c r="AO90" s="25">
        <f t="shared" si="36"/>
        <v>269.13172000000003</v>
      </c>
      <c r="AP90" s="46">
        <f t="shared" si="37"/>
        <v>0.56291695077619419</v>
      </c>
      <c r="AQ90" s="93"/>
    </row>
    <row r="91" spans="1:43" outlineLevel="2">
      <c r="A91" s="278" t="s">
        <v>445</v>
      </c>
      <c r="B91" s="9">
        <v>6666021603</v>
      </c>
      <c r="C91" s="9" t="s">
        <v>92</v>
      </c>
      <c r="D91" s="9" t="s">
        <v>94</v>
      </c>
      <c r="E91" s="11">
        <v>0.50497000000000003</v>
      </c>
      <c r="F91" s="26">
        <f t="shared" si="30"/>
        <v>1.0396532910584507E-2</v>
      </c>
      <c r="H91" s="25">
        <v>0.82087999999999994</v>
      </c>
      <c r="I91" s="46">
        <f t="shared" si="31"/>
        <v>1.7832424564985988E-2</v>
      </c>
      <c r="K91" s="25">
        <v>0.87109000000000003</v>
      </c>
      <c r="L91" s="46">
        <f t="shared" si="32"/>
        <v>1.8799015905216133E-2</v>
      </c>
      <c r="N91" s="25">
        <v>0.70099999999999996</v>
      </c>
      <c r="O91" s="46">
        <f t="shared" si="33"/>
        <v>1.4200919717197089E-2</v>
      </c>
      <c r="Q91" s="25">
        <v>0.82862999999999998</v>
      </c>
      <c r="R91" s="46">
        <f t="shared" si="34"/>
        <v>1.5429576940265156E-2</v>
      </c>
      <c r="T91" s="25">
        <v>0.61926999999999999</v>
      </c>
      <c r="U91" s="46">
        <f t="shared" si="35"/>
        <v>2.0876146170442287E-2</v>
      </c>
      <c r="W91" s="25">
        <v>0.6947000000000001</v>
      </c>
      <c r="X91" s="46">
        <f t="shared" si="28"/>
        <v>1.659698497264496E-2</v>
      </c>
      <c r="Z91" s="25">
        <v>0.45612000000000003</v>
      </c>
      <c r="AA91" s="46">
        <f t="shared" si="38"/>
        <v>1.4264002251618352E-2</v>
      </c>
      <c r="AC91" s="25">
        <v>0.70626999999999995</v>
      </c>
      <c r="AD91" s="46">
        <f t="shared" si="26"/>
        <v>2.4984788453374839E-2</v>
      </c>
      <c r="AF91" s="25">
        <v>0.47044999999999998</v>
      </c>
      <c r="AG91" s="46">
        <f t="shared" si="27"/>
        <v>1.7948571210560451E-2</v>
      </c>
      <c r="AI91" s="25">
        <v>1.4981099999999998</v>
      </c>
      <c r="AJ91" s="46">
        <f t="shared" si="23"/>
        <v>4.4030978133082523E-2</v>
      </c>
      <c r="AL91" s="25">
        <v>1.1186400000000001</v>
      </c>
      <c r="AM91" s="46">
        <f t="shared" si="24"/>
        <v>2.6575440096928232E-2</v>
      </c>
      <c r="AO91" s="25">
        <f t="shared" si="36"/>
        <v>9.2901300000000013</v>
      </c>
      <c r="AP91" s="46">
        <f t="shared" si="37"/>
        <v>1.9431271987985829E-2</v>
      </c>
      <c r="AQ91" s="93"/>
    </row>
    <row r="92" spans="1:43" outlineLevel="2">
      <c r="A92" s="278" t="s">
        <v>445</v>
      </c>
      <c r="B92" s="9">
        <v>6666021604</v>
      </c>
      <c r="C92" s="91" t="s">
        <v>93</v>
      </c>
      <c r="D92" s="9" t="s">
        <v>94</v>
      </c>
      <c r="E92" s="11">
        <v>1.5028699999999999</v>
      </c>
      <c r="F92" s="26">
        <f t="shared" si="30"/>
        <v>3.0941714191595804E-2</v>
      </c>
      <c r="H92" s="25">
        <v>3.5931299999999999</v>
      </c>
      <c r="I92" s="46">
        <f t="shared" si="31"/>
        <v>7.8055525383963681E-2</v>
      </c>
      <c r="K92" s="25">
        <v>7.5471400000000015</v>
      </c>
      <c r="L92" s="46">
        <f t="shared" si="32"/>
        <v>0.16287502427865425</v>
      </c>
      <c r="N92" s="25">
        <v>2.9160500000000003</v>
      </c>
      <c r="O92" s="46">
        <f t="shared" si="33"/>
        <v>5.9073597633855321E-2</v>
      </c>
      <c r="Q92" s="25">
        <v>5.0580200000000008</v>
      </c>
      <c r="R92" s="46">
        <f t="shared" si="34"/>
        <v>9.4183301057649355E-2</v>
      </c>
      <c r="T92" s="25">
        <v>0.74908999999999992</v>
      </c>
      <c r="U92" s="46">
        <f t="shared" si="35"/>
        <v>2.525249460625674E-2</v>
      </c>
      <c r="W92" s="25">
        <v>2.37785</v>
      </c>
      <c r="X92" s="46">
        <f t="shared" si="28"/>
        <v>5.6808896958692692E-2</v>
      </c>
      <c r="Z92" s="25">
        <v>1.0926899999999999</v>
      </c>
      <c r="AA92" s="46">
        <f t="shared" si="38"/>
        <v>3.41711229946524E-2</v>
      </c>
      <c r="AC92" s="25">
        <v>2.53966</v>
      </c>
      <c r="AD92" s="46">
        <f t="shared" si="26"/>
        <v>8.9842224423376263E-2</v>
      </c>
      <c r="AF92" s="25">
        <v>2.3489100000000001</v>
      </c>
      <c r="AG92" s="46">
        <f t="shared" si="27"/>
        <v>8.9615428636831862E-2</v>
      </c>
      <c r="AI92" s="25">
        <v>5.8307600000000006</v>
      </c>
      <c r="AJ92" s="46">
        <f t="shared" si="23"/>
        <v>0.17137197272513521</v>
      </c>
      <c r="AL92" s="25">
        <v>1.83369</v>
      </c>
      <c r="AM92" s="46">
        <f t="shared" si="24"/>
        <v>4.3562825172831589E-2</v>
      </c>
      <c r="AO92" s="25">
        <f t="shared" si="36"/>
        <v>37.389859999999999</v>
      </c>
      <c r="AP92" s="46">
        <f t="shared" si="37"/>
        <v>7.8204776386628788E-2</v>
      </c>
      <c r="AQ92" s="93"/>
    </row>
    <row r="93" spans="1:43" outlineLevel="2">
      <c r="A93" s="278" t="s">
        <v>445</v>
      </c>
      <c r="B93" s="9">
        <v>6666021604</v>
      </c>
      <c r="C93" s="90" t="s">
        <v>146</v>
      </c>
      <c r="D93" s="9" t="s">
        <v>94</v>
      </c>
      <c r="E93" s="11">
        <f>+E88*-1</f>
        <v>0.62342999999999993</v>
      </c>
      <c r="F93" s="26">
        <f t="shared" si="30"/>
        <v>1.2835436783265732E-2</v>
      </c>
      <c r="H93" s="25">
        <f>+H88*-1</f>
        <v>-4.1809200000000004</v>
      </c>
      <c r="I93" s="46">
        <f t="shared" si="31"/>
        <v>-9.0824408576456031E-2</v>
      </c>
      <c r="K93" s="25">
        <f>-3241.31/1000</f>
        <v>-3.2413099999999999</v>
      </c>
      <c r="L93" s="46">
        <f t="shared" si="32"/>
        <v>-6.9950795260806692E-2</v>
      </c>
      <c r="N93" s="25">
        <v>-1.0694699999999999</v>
      </c>
      <c r="O93" s="46">
        <f t="shared" si="33"/>
        <v>-2.1665417417904096E-2</v>
      </c>
      <c r="Q93" s="25">
        <f>-699.66/1000</f>
        <v>-0.69965999999999995</v>
      </c>
      <c r="R93" s="46">
        <f t="shared" si="34"/>
        <v>-1.3028079845076715E-2</v>
      </c>
      <c r="T93" s="25">
        <v>0.37498999999999999</v>
      </c>
      <c r="U93" s="46">
        <f t="shared" si="35"/>
        <v>1.2641248651564185E-2</v>
      </c>
      <c r="W93" s="25">
        <v>-0.28723000000000004</v>
      </c>
      <c r="X93" s="46">
        <f t="shared" si="28"/>
        <v>-6.862173591036148E-3</v>
      </c>
      <c r="Z93" s="25">
        <f>+Z88*-1</f>
        <v>-0.42934</v>
      </c>
      <c r="AA93" s="46">
        <f t="shared" si="38"/>
        <v>-1.3426525315070206E-2</v>
      </c>
      <c r="AC93" s="25">
        <f>-1182.95/1000</f>
        <v>-1.1829499999999999</v>
      </c>
      <c r="AD93" s="46">
        <f t="shared" si="26"/>
        <v>-4.1847672279609449E-2</v>
      </c>
      <c r="AF93" s="25">
        <v>-1.6735100000000001</v>
      </c>
      <c r="AG93" s="46">
        <f t="shared" si="27"/>
        <v>-6.3847621227728815E-2</v>
      </c>
      <c r="AI93" s="25">
        <f>+AI88*-1</f>
        <v>-2.6386500000000002</v>
      </c>
      <c r="AJ93" s="46">
        <f t="shared" si="23"/>
        <v>-7.7552609922407714E-2</v>
      </c>
      <c r="AL93" s="25">
        <f>+AL88*-1</f>
        <v>-0.31051999999999996</v>
      </c>
      <c r="AM93" s="46">
        <f t="shared" si="24"/>
        <v>-7.3769985508279276E-3</v>
      </c>
      <c r="AO93" s="25">
        <f t="shared" si="36"/>
        <v>-14.71514</v>
      </c>
      <c r="AP93" s="46">
        <f t="shared" ref="AP93" si="39">AO93/$AO$1*1000</f>
        <v>-3.077824397304341E-2</v>
      </c>
      <c r="AQ93" s="93"/>
    </row>
    <row r="94" spans="1:43" s="24" customFormat="1">
      <c r="A94" s="278"/>
      <c r="B94" s="37" t="s">
        <v>1</v>
      </c>
      <c r="C94" s="36" t="s">
        <v>94</v>
      </c>
      <c r="D94" s="38"/>
      <c r="E94" s="97">
        <f>SUM(E90:E93)</f>
        <v>26.610600000000002</v>
      </c>
      <c r="F94" s="171">
        <f t="shared" si="30"/>
        <v>0.54787012826583759</v>
      </c>
      <c r="G94" s="314"/>
      <c r="H94" s="178">
        <f>SUM(H90:H93)</f>
        <v>23.353409999999997</v>
      </c>
      <c r="I94" s="171">
        <f t="shared" si="31"/>
        <v>0.5073188799339603</v>
      </c>
      <c r="J94" s="314"/>
      <c r="K94" s="178">
        <f>SUM(K90:K93)</f>
        <v>30.761629999999997</v>
      </c>
      <c r="L94" s="171">
        <f t="shared" si="32"/>
        <v>0.66386753566264534</v>
      </c>
      <c r="M94" s="186"/>
      <c r="N94" s="178">
        <f>SUM(N90:N93)</f>
        <v>27.434370000000005</v>
      </c>
      <c r="O94" s="171">
        <f t="shared" si="33"/>
        <v>0.5557678828272189</v>
      </c>
      <c r="P94" s="16"/>
      <c r="Q94" s="178">
        <f>SUM(Q90:Q93)</f>
        <v>39.849569999999993</v>
      </c>
      <c r="R94" s="171">
        <f t="shared" si="34"/>
        <v>0.74202238194547876</v>
      </c>
      <c r="S94" s="16"/>
      <c r="T94" s="178">
        <f>SUM(T90:T93)</f>
        <v>25.110399999999998</v>
      </c>
      <c r="U94" s="171">
        <f t="shared" si="35"/>
        <v>0.84649406688241635</v>
      </c>
      <c r="V94" s="16"/>
      <c r="W94" s="178">
        <f>SUM(W90:W93)</f>
        <v>29.59207</v>
      </c>
      <c r="X94" s="171">
        <f t="shared" si="28"/>
        <v>0.7069801944716535</v>
      </c>
      <c r="Y94" s="16"/>
      <c r="Z94" s="178">
        <f>SUM(Z90:Z93)</f>
        <v>21.32902</v>
      </c>
      <c r="AA94" s="171">
        <f t="shared" si="38"/>
        <v>0.66701128936423049</v>
      </c>
      <c r="AB94" s="16"/>
      <c r="AC94" s="178">
        <f>SUM(AC90:AC93)</f>
        <v>20.160340000000005</v>
      </c>
      <c r="AD94" s="171">
        <f t="shared" si="26"/>
        <v>0.71318593462572544</v>
      </c>
      <c r="AE94" s="16"/>
      <c r="AF94" s="178">
        <f>SUM(AF90:AF93)</f>
        <v>13.902939999999999</v>
      </c>
      <c r="AG94" s="171">
        <f t="shared" si="27"/>
        <v>0.53042386784174578</v>
      </c>
      <c r="AH94" s="16"/>
      <c r="AI94" s="178">
        <f>SUM(AI90:AI93)</f>
        <v>21.991600000000005</v>
      </c>
      <c r="AJ94" s="171">
        <f t="shared" si="23"/>
        <v>0.64635551375499656</v>
      </c>
      <c r="AK94" s="186"/>
      <c r="AL94" s="178">
        <f>SUM(AL90:AL93)</f>
        <v>21.000620000000001</v>
      </c>
      <c r="AM94" s="171">
        <f t="shared" si="24"/>
        <v>0.4989100325469793</v>
      </c>
      <c r="AN94" s="186"/>
      <c r="AO94" s="178">
        <f>SUM(AO90:AO93)</f>
        <v>301.09656999999999</v>
      </c>
      <c r="AP94" s="171">
        <f t="shared" si="37"/>
        <v>0.62977475517776538</v>
      </c>
      <c r="AQ94" s="93"/>
    </row>
    <row r="95" spans="1:43" outlineLevel="1">
      <c r="A95" s="278" t="s">
        <v>445</v>
      </c>
      <c r="B95" s="9">
        <v>5001010206</v>
      </c>
      <c r="C95" s="9" t="s">
        <v>95</v>
      </c>
      <c r="D95" s="9" t="s">
        <v>102</v>
      </c>
      <c r="E95" s="11">
        <v>2.9676300000000002</v>
      </c>
      <c r="F95" s="26">
        <f t="shared" si="30"/>
        <v>6.1098803812974833E-2</v>
      </c>
      <c r="H95" s="25">
        <v>2.6391800000000001</v>
      </c>
      <c r="I95" s="46">
        <f t="shared" si="31"/>
        <v>5.7332348532574455E-2</v>
      </c>
      <c r="K95" s="25">
        <v>3.6400399999999999</v>
      </c>
      <c r="L95" s="46">
        <f t="shared" si="32"/>
        <v>7.8555797742624681E-2</v>
      </c>
      <c r="N95" s="25">
        <v>3.1797499999999999</v>
      </c>
      <c r="O95" s="46">
        <f t="shared" si="33"/>
        <v>6.4415655450438578E-2</v>
      </c>
      <c r="Q95" s="25">
        <v>3.7570399999999999</v>
      </c>
      <c r="R95" s="46">
        <f t="shared" si="34"/>
        <v>6.995828988529719E-2</v>
      </c>
      <c r="T95" s="25">
        <v>3.0830999999999995</v>
      </c>
      <c r="U95" s="46">
        <f t="shared" si="35"/>
        <v>0.10393406148867312</v>
      </c>
      <c r="W95" s="25">
        <v>2.7445099999999996</v>
      </c>
      <c r="X95" s="46">
        <f t="shared" si="28"/>
        <v>6.556872207754974E-2</v>
      </c>
      <c r="Z95" s="25">
        <v>2.2853499999999998</v>
      </c>
      <c r="AA95" s="46">
        <f t="shared" si="38"/>
        <v>7.1468555524283064E-2</v>
      </c>
      <c r="AC95" s="25">
        <v>2.6942600000000003</v>
      </c>
      <c r="AD95" s="46">
        <f t="shared" si="26"/>
        <v>9.5311306070468393E-2</v>
      </c>
      <c r="AF95" s="25">
        <v>2.7984299999999993</v>
      </c>
      <c r="AG95" s="46">
        <f t="shared" si="27"/>
        <v>0.10676548014192512</v>
      </c>
      <c r="AI95" s="25">
        <v>3.3086800000000003</v>
      </c>
      <c r="AJ95" s="46">
        <f t="shared" si="23"/>
        <v>9.7245473783211869E-2</v>
      </c>
      <c r="AL95" s="25">
        <v>3.3642299999999996</v>
      </c>
      <c r="AM95" s="46">
        <f t="shared" si="24"/>
        <v>7.992374028935928E-2</v>
      </c>
      <c r="AO95" s="25">
        <f t="shared" si="36"/>
        <v>36.462199999999996</v>
      </c>
      <c r="AP95" s="46">
        <f t="shared" si="37"/>
        <v>7.6264479127884838E-2</v>
      </c>
      <c r="AQ95" s="93"/>
    </row>
    <row r="96" spans="1:43" outlineLevel="1">
      <c r="A96" s="278" t="s">
        <v>445</v>
      </c>
      <c r="B96" s="9">
        <v>6666010184</v>
      </c>
      <c r="C96" s="9" t="s">
        <v>96</v>
      </c>
      <c r="D96" s="9" t="s">
        <v>102</v>
      </c>
      <c r="E96" s="11">
        <v>-0.18785999999999997</v>
      </c>
      <c r="F96" s="26">
        <f t="shared" si="30"/>
        <v>-3.8677400094706709E-3</v>
      </c>
      <c r="H96" s="25">
        <v>-0.20090999999999998</v>
      </c>
      <c r="I96" s="46">
        <f t="shared" si="31"/>
        <v>-4.3644776573327822E-3</v>
      </c>
      <c r="K96" s="25">
        <v>-0.18151</v>
      </c>
      <c r="L96" s="46">
        <f t="shared" si="32"/>
        <v>-3.9171720223579436E-3</v>
      </c>
      <c r="N96" s="25">
        <v>-0.16359000000000001</v>
      </c>
      <c r="O96" s="46">
        <f t="shared" si="33"/>
        <v>-3.3140206227336268E-3</v>
      </c>
      <c r="Q96" s="25">
        <v>-4.3020000000000003E-2</v>
      </c>
      <c r="R96" s="46">
        <f t="shared" si="34"/>
        <v>-8.0105764933710718E-4</v>
      </c>
      <c r="T96" s="25">
        <v>-0.18993000000000002</v>
      </c>
      <c r="U96" s="46">
        <f t="shared" si="35"/>
        <v>-6.4027103559870556E-3</v>
      </c>
      <c r="W96" s="25">
        <v>-0.11753</v>
      </c>
      <c r="X96" s="46">
        <f t="shared" si="28"/>
        <v>-2.8078935422987789E-3</v>
      </c>
      <c r="Z96" s="25">
        <v>-0.11388</v>
      </c>
      <c r="AA96" s="46">
        <f t="shared" si="38"/>
        <v>-3.5613096913406509E-3</v>
      </c>
      <c r="AC96" s="25">
        <v>-0.13632</v>
      </c>
      <c r="AD96" s="46">
        <f t="shared" si="26"/>
        <v>-4.8224140370737231E-3</v>
      </c>
      <c r="AF96" s="25">
        <v>-0.14610000000000001</v>
      </c>
      <c r="AG96" s="46">
        <f t="shared" si="27"/>
        <v>-5.5739956506810125E-3</v>
      </c>
      <c r="AI96" s="25">
        <v>-0.14443999999999999</v>
      </c>
      <c r="AJ96" s="46">
        <f t="shared" si="23"/>
        <v>-4.2452386550670112E-3</v>
      </c>
      <c r="AL96" s="25">
        <v>-0.14042000000000002</v>
      </c>
      <c r="AM96" s="46">
        <f t="shared" si="24"/>
        <v>-3.3359465944456327E-3</v>
      </c>
      <c r="AO96" s="25">
        <f t="shared" si="36"/>
        <v>-1.7655099999999997</v>
      </c>
      <c r="AP96" s="46">
        <f t="shared" si="37"/>
        <v>-3.6927475726936925E-3</v>
      </c>
      <c r="AQ96" s="93"/>
    </row>
    <row r="97" spans="1:43" outlineLevel="1">
      <c r="A97" s="278" t="s">
        <v>445</v>
      </c>
      <c r="B97" s="9">
        <v>6666010186</v>
      </c>
      <c r="C97" s="9" t="s">
        <v>97</v>
      </c>
      <c r="D97" s="9" t="s">
        <v>102</v>
      </c>
      <c r="E97" s="11">
        <v>8.61402</v>
      </c>
      <c r="F97" s="26">
        <f t="shared" si="30"/>
        <v>0.17734903543266559</v>
      </c>
      <c r="H97" s="25">
        <v>7.5882299999999994</v>
      </c>
      <c r="I97" s="46">
        <f t="shared" si="31"/>
        <v>0.16484326461451565</v>
      </c>
      <c r="K97" s="25">
        <v>15.49278</v>
      </c>
      <c r="L97" s="46">
        <f t="shared" si="32"/>
        <v>0.33435008740315514</v>
      </c>
      <c r="N97" s="25">
        <v>24.663629999999998</v>
      </c>
      <c r="O97" s="46">
        <f t="shared" si="33"/>
        <v>0.49963798796669567</v>
      </c>
      <c r="Q97" s="25">
        <v>37.715369999999993</v>
      </c>
      <c r="R97" s="46">
        <f t="shared" si="34"/>
        <v>0.70228232533889456</v>
      </c>
      <c r="T97" s="25">
        <v>13.385489999999999</v>
      </c>
      <c r="U97" s="46">
        <f t="shared" si="35"/>
        <v>0.45123685275080905</v>
      </c>
      <c r="W97" s="25">
        <v>7.8992500000000003</v>
      </c>
      <c r="X97" s="46">
        <f t="shared" si="28"/>
        <v>0.18871992737176579</v>
      </c>
      <c r="Z97" s="25">
        <v>7.6963600000000003</v>
      </c>
      <c r="AA97" s="46">
        <f t="shared" si="38"/>
        <v>0.24068424179879289</v>
      </c>
      <c r="AC97" s="25">
        <v>9.3837499999999991</v>
      </c>
      <c r="AD97" s="46">
        <f t="shared" si="26"/>
        <v>0.33195662940427334</v>
      </c>
      <c r="AF97" s="25">
        <v>13.147500000000001</v>
      </c>
      <c r="AG97" s="46">
        <f t="shared" si="27"/>
        <v>0.50160238067986729</v>
      </c>
      <c r="AI97" s="25">
        <v>14.14208</v>
      </c>
      <c r="AJ97" s="46">
        <f t="shared" si="23"/>
        <v>0.41565012932047968</v>
      </c>
      <c r="AL97" s="25">
        <v>15.699530000000001</v>
      </c>
      <c r="AM97" s="46">
        <f t="shared" si="24"/>
        <v>0.37297246573064408</v>
      </c>
      <c r="AO97" s="25">
        <f t="shared" si="36"/>
        <v>175.42798999999999</v>
      </c>
      <c r="AP97" s="46">
        <f t="shared" si="37"/>
        <v>0.36692586519194648</v>
      </c>
      <c r="AQ97" s="93"/>
    </row>
    <row r="98" spans="1:43" outlineLevel="1">
      <c r="A98" s="278" t="s">
        <v>445</v>
      </c>
      <c r="B98" s="9">
        <v>6666010189</v>
      </c>
      <c r="C98" s="9" t="s">
        <v>98</v>
      </c>
      <c r="D98" s="9" t="s">
        <v>102</v>
      </c>
      <c r="E98" s="11">
        <v>0</v>
      </c>
      <c r="F98" s="26">
        <f t="shared" si="30"/>
        <v>0</v>
      </c>
      <c r="H98" s="25">
        <v>0</v>
      </c>
      <c r="I98" s="46">
        <f t="shared" si="31"/>
        <v>0</v>
      </c>
      <c r="K98" s="25">
        <v>0</v>
      </c>
      <c r="L98" s="46">
        <f t="shared" si="32"/>
        <v>0</v>
      </c>
      <c r="N98" s="25">
        <v>0</v>
      </c>
      <c r="O98" s="46">
        <f t="shared" si="33"/>
        <v>0</v>
      </c>
      <c r="Q98" s="25">
        <v>0</v>
      </c>
      <c r="R98" s="46">
        <f t="shared" si="34"/>
        <v>0</v>
      </c>
      <c r="T98" s="25">
        <v>65.277079999999998</v>
      </c>
      <c r="U98" s="46">
        <f t="shared" si="35"/>
        <v>2.200548813376483</v>
      </c>
      <c r="W98" s="25">
        <v>-24.39273</v>
      </c>
      <c r="X98" s="46">
        <f t="shared" si="28"/>
        <v>-0.58276345653056838</v>
      </c>
      <c r="Z98" s="25">
        <v>38.843419999999995</v>
      </c>
      <c r="AA98" s="46">
        <f t="shared" si="38"/>
        <v>1.2147299621603025</v>
      </c>
      <c r="AC98" s="25">
        <v>6.234</v>
      </c>
      <c r="AD98" s="46">
        <f t="shared" si="26"/>
        <v>0.22053205037498233</v>
      </c>
      <c r="AF98" s="25">
        <v>7.7</v>
      </c>
      <c r="AG98" s="46">
        <f t="shared" si="27"/>
        <v>0.29376979130899245</v>
      </c>
      <c r="AI98" s="25">
        <v>4.1740599999999999</v>
      </c>
      <c r="AJ98" s="46">
        <f t="shared" si="23"/>
        <v>0.12267987303080179</v>
      </c>
      <c r="AL98" s="25">
        <v>33.693460000000002</v>
      </c>
      <c r="AM98" s="46">
        <f t="shared" si="24"/>
        <v>0.80045280688000386</v>
      </c>
      <c r="AO98" s="25">
        <f t="shared" si="36"/>
        <v>131.52929</v>
      </c>
      <c r="AP98" s="46">
        <f t="shared" si="37"/>
        <v>0.27510717378300026</v>
      </c>
      <c r="AQ98" s="93"/>
    </row>
    <row r="99" spans="1:43" outlineLevel="1">
      <c r="A99" s="278" t="s">
        <v>445</v>
      </c>
      <c r="B99" s="9">
        <v>6666010012</v>
      </c>
      <c r="C99" s="9" t="s">
        <v>99</v>
      </c>
      <c r="D99" s="9" t="s">
        <v>102</v>
      </c>
      <c r="E99" s="11">
        <v>26.499290000000002</v>
      </c>
      <c r="F99" s="26">
        <f t="shared" si="30"/>
        <v>0.54557843157439623</v>
      </c>
      <c r="H99" s="25">
        <v>23.552300000000002</v>
      </c>
      <c r="I99" s="46">
        <f t="shared" si="31"/>
        <v>0.51163947602806681</v>
      </c>
      <c r="K99" s="25">
        <v>32.442519999999995</v>
      </c>
      <c r="L99" s="46">
        <f t="shared" si="32"/>
        <v>0.70014286639186818</v>
      </c>
      <c r="N99" s="25">
        <v>28.528600000000001</v>
      </c>
      <c r="O99" s="46">
        <f t="shared" si="33"/>
        <v>0.57793489050503422</v>
      </c>
      <c r="Q99" s="25">
        <v>33.285379999999996</v>
      </c>
      <c r="R99" s="46">
        <f t="shared" si="34"/>
        <v>0.61979331148517791</v>
      </c>
      <c r="T99" s="25">
        <v>27.520619999999997</v>
      </c>
      <c r="U99" s="46">
        <f t="shared" si="35"/>
        <v>0.92774474110032357</v>
      </c>
      <c r="W99" s="25">
        <v>24.498429999999999</v>
      </c>
      <c r="X99" s="46">
        <f t="shared" si="28"/>
        <v>0.5852887211219151</v>
      </c>
      <c r="Z99" s="25">
        <v>20.632700000000007</v>
      </c>
      <c r="AA99" s="46">
        <f t="shared" si="38"/>
        <v>0.64523563811489526</v>
      </c>
      <c r="AC99" s="25">
        <v>24.674269999999996</v>
      </c>
      <c r="AD99" s="46">
        <f t="shared" si="26"/>
        <v>0.87286932220178282</v>
      </c>
      <c r="AF99" s="25">
        <v>25.869480000000003</v>
      </c>
      <c r="AG99" s="46">
        <f t="shared" si="27"/>
        <v>0.98697035595742255</v>
      </c>
      <c r="AI99" s="25">
        <v>29.557510000000001</v>
      </c>
      <c r="AJ99" s="46">
        <f t="shared" si="23"/>
        <v>0.86872531154479193</v>
      </c>
      <c r="AL99" s="25">
        <v>30.040929999999999</v>
      </c>
      <c r="AM99" s="46">
        <f t="shared" si="24"/>
        <v>0.71367994678450097</v>
      </c>
      <c r="AO99" s="25">
        <f t="shared" si="36"/>
        <v>327.10202999999996</v>
      </c>
      <c r="AP99" s="46">
        <f t="shared" si="37"/>
        <v>0.68416787631091269</v>
      </c>
      <c r="AQ99" s="93"/>
    </row>
    <row r="100" spans="1:43" outlineLevel="1">
      <c r="A100" s="278" t="s">
        <v>445</v>
      </c>
      <c r="B100" s="9">
        <v>6666010226</v>
      </c>
      <c r="C100" s="9" t="s">
        <v>100</v>
      </c>
      <c r="D100" s="9" t="s">
        <v>102</v>
      </c>
      <c r="E100" s="11">
        <v>9.4782199999999985</v>
      </c>
      <c r="F100" s="26">
        <f t="shared" si="30"/>
        <v>0.19514154536657674</v>
      </c>
      <c r="H100" s="25">
        <v>-8.0896500000000007</v>
      </c>
      <c r="I100" s="46">
        <f t="shared" si="31"/>
        <v>-0.17573588512588798</v>
      </c>
      <c r="K100" s="25">
        <v>4.532</v>
      </c>
      <c r="L100" s="46">
        <f t="shared" si="32"/>
        <v>9.7805209659667228E-2</v>
      </c>
      <c r="N100" s="25">
        <v>4.6623199999999994</v>
      </c>
      <c r="O100" s="46">
        <f t="shared" si="33"/>
        <v>9.444968903834855E-2</v>
      </c>
      <c r="Q100" s="25">
        <v>-2.5296899999999996</v>
      </c>
      <c r="R100" s="46">
        <f t="shared" si="34"/>
        <v>-4.7104312527930868E-2</v>
      </c>
      <c r="T100" s="25">
        <v>4.5525699999999993</v>
      </c>
      <c r="U100" s="46">
        <f t="shared" si="35"/>
        <v>0.15347121089536137</v>
      </c>
      <c r="W100" s="25">
        <v>4.2342999999999993</v>
      </c>
      <c r="X100" s="46">
        <f t="shared" si="28"/>
        <v>0.101161096112956</v>
      </c>
      <c r="Z100" s="25">
        <v>3.9272699999999996</v>
      </c>
      <c r="AA100" s="46">
        <f t="shared" si="38"/>
        <v>0.12281546111267473</v>
      </c>
      <c r="AC100" s="25">
        <v>3.9632700000000005</v>
      </c>
      <c r="AD100" s="46">
        <f t="shared" si="26"/>
        <v>0.14020341021649924</v>
      </c>
      <c r="AF100" s="25">
        <v>4.0369299999999999</v>
      </c>
      <c r="AG100" s="46">
        <f t="shared" si="27"/>
        <v>0.15401663423753387</v>
      </c>
      <c r="AI100" s="25">
        <v>5.0504399999999983</v>
      </c>
      <c r="AJ100" s="46">
        <f t="shared" si="23"/>
        <v>0.14843757347754519</v>
      </c>
      <c r="AL100" s="25">
        <v>5.0193099999999991</v>
      </c>
      <c r="AM100" s="46">
        <f t="shared" si="24"/>
        <v>0.11924334212339341</v>
      </c>
      <c r="AO100" s="25">
        <f t="shared" si="36"/>
        <v>38.837289999999989</v>
      </c>
      <c r="AP100" s="46">
        <f t="shared" si="37"/>
        <v>8.1232226595998325E-2</v>
      </c>
      <c r="AQ100" s="93"/>
    </row>
    <row r="101" spans="1:43" outlineLevel="1">
      <c r="A101" s="278" t="s">
        <v>445</v>
      </c>
      <c r="B101" s="9">
        <v>6666010102</v>
      </c>
      <c r="C101" s="9" t="s">
        <v>101</v>
      </c>
      <c r="D101" s="9" t="s">
        <v>102</v>
      </c>
      <c r="E101" s="11">
        <v>160.66916999999998</v>
      </c>
      <c r="F101" s="26">
        <f t="shared" si="30"/>
        <v>3.3079238640340942</v>
      </c>
      <c r="H101" s="25">
        <v>135.87986000000001</v>
      </c>
      <c r="I101" s="46">
        <f t="shared" si="31"/>
        <v>2.9517924097929749</v>
      </c>
      <c r="K101" s="25">
        <f>189.69893</f>
        <v>189.69892999999999</v>
      </c>
      <c r="L101" s="46">
        <f t="shared" si="32"/>
        <v>4.0938975332887324</v>
      </c>
      <c r="N101" s="25">
        <v>149.48763</v>
      </c>
      <c r="O101" s="46">
        <f t="shared" si="33"/>
        <v>3.0283335696776938</v>
      </c>
      <c r="Q101" s="25">
        <v>169.11186999999998</v>
      </c>
      <c r="R101" s="46">
        <f t="shared" si="34"/>
        <v>3.1489622746908981</v>
      </c>
      <c r="T101" s="25">
        <v>152.58441999999999</v>
      </c>
      <c r="U101" s="46">
        <f t="shared" si="35"/>
        <v>5.143757416396979</v>
      </c>
      <c r="W101" s="25">
        <v>140.82084000000003</v>
      </c>
      <c r="X101" s="46">
        <f t="shared" si="28"/>
        <v>3.3643318919177205</v>
      </c>
      <c r="Z101" s="25">
        <v>119.89256999999999</v>
      </c>
      <c r="AA101" s="46">
        <f t="shared" si="38"/>
        <v>3.749337648935172</v>
      </c>
      <c r="AC101" s="25">
        <v>141.56972999999999</v>
      </c>
      <c r="AD101" s="46">
        <f t="shared" si="26"/>
        <v>5.0081268572237159</v>
      </c>
      <c r="AF101" s="25">
        <v>155.88060999999999</v>
      </c>
      <c r="AG101" s="46">
        <f t="shared" si="27"/>
        <v>5.9471447102361603</v>
      </c>
      <c r="AI101" s="25">
        <v>169.15220999999997</v>
      </c>
      <c r="AJ101" s="46">
        <f t="shared" si="23"/>
        <v>4.9715556665882898</v>
      </c>
      <c r="AL101" s="25">
        <v>182.59679000000003</v>
      </c>
      <c r="AM101" s="46">
        <f t="shared" si="24"/>
        <v>4.337937186705628</v>
      </c>
      <c r="AO101" s="25">
        <f t="shared" si="36"/>
        <v>1867.3446299999998</v>
      </c>
      <c r="AP101" s="46">
        <f t="shared" si="37"/>
        <v>3.9057452802958359</v>
      </c>
      <c r="AQ101" s="93"/>
    </row>
    <row r="102" spans="1:43" s="24" customFormat="1">
      <c r="A102" s="278"/>
      <c r="B102" s="37" t="s">
        <v>142</v>
      </c>
      <c r="C102" s="36" t="s">
        <v>102</v>
      </c>
      <c r="D102" s="38"/>
      <c r="E102" s="97">
        <v>208.04046999999997</v>
      </c>
      <c r="F102" s="171">
        <f t="shared" si="30"/>
        <v>4.2832239402112364</v>
      </c>
      <c r="G102" s="314"/>
      <c r="H102" s="178">
        <f>SUM(H95:H101)</f>
        <v>161.36901</v>
      </c>
      <c r="I102" s="171">
        <f t="shared" si="31"/>
        <v>3.5055071361849106</v>
      </c>
      <c r="J102" s="314"/>
      <c r="K102" s="178">
        <f>SUM(K95:K101)</f>
        <v>245.62475999999998</v>
      </c>
      <c r="L102" s="171">
        <f t="shared" si="32"/>
        <v>5.3008343224636896</v>
      </c>
      <c r="M102" s="186"/>
      <c r="N102" s="178">
        <f>SUM(N95:N101)</f>
        <v>210.35834</v>
      </c>
      <c r="O102" s="171">
        <f t="shared" si="33"/>
        <v>4.2614577720154774</v>
      </c>
      <c r="P102" s="16"/>
      <c r="Q102" s="178">
        <f>SUM(Q95:Q101)</f>
        <v>241.29694999999998</v>
      </c>
      <c r="R102" s="171">
        <f t="shared" si="34"/>
        <v>4.4930908312230002</v>
      </c>
      <c r="S102" s="16"/>
      <c r="T102" s="178">
        <f>SUM(T95:T101)</f>
        <v>266.21334999999999</v>
      </c>
      <c r="U102" s="171">
        <f t="shared" si="35"/>
        <v>8.9742903856526421</v>
      </c>
      <c r="V102" s="16"/>
      <c r="W102" s="178">
        <f>SUM(W95:W101)</f>
        <v>155.68707000000003</v>
      </c>
      <c r="X102" s="171">
        <f t="shared" si="28"/>
        <v>3.71949900852904</v>
      </c>
      <c r="Y102" s="16"/>
      <c r="Z102" s="178">
        <f>SUM(Z95:Z101)</f>
        <v>193.16379000000001</v>
      </c>
      <c r="AA102" s="171">
        <f t="shared" si="38"/>
        <v>6.0407101979547804</v>
      </c>
      <c r="AB102" s="16"/>
      <c r="AC102" s="178">
        <f>SUM(AC95:AC101)</f>
        <v>188.38296</v>
      </c>
      <c r="AD102" s="171">
        <f t="shared" si="26"/>
        <v>6.6641771614546483</v>
      </c>
      <c r="AE102" s="16"/>
      <c r="AF102" s="178">
        <f>SUM(AF95:AF101)</f>
        <v>209.28684999999999</v>
      </c>
      <c r="AG102" s="171">
        <f t="shared" si="27"/>
        <v>7.9846953569112191</v>
      </c>
      <c r="AH102" s="16"/>
      <c r="AI102" s="178">
        <f>SUM(AI95:AI101)</f>
        <v>225.24053999999995</v>
      </c>
      <c r="AJ102" s="171">
        <f t="shared" si="23"/>
        <v>6.6200487890900526</v>
      </c>
      <c r="AK102" s="186"/>
      <c r="AL102" s="178">
        <f>SUM(AL95:AL101)</f>
        <v>270.27383000000003</v>
      </c>
      <c r="AM102" s="171">
        <f t="shared" si="24"/>
        <v>6.420873541919085</v>
      </c>
      <c r="AN102" s="186"/>
      <c r="AO102" s="178">
        <f>SUM(AO95:AO101)</f>
        <v>2574.9379199999994</v>
      </c>
      <c r="AP102" s="171">
        <f t="shared" si="37"/>
        <v>5.385750153732884</v>
      </c>
      <c r="AQ102" s="93"/>
    </row>
    <row r="103" spans="1:43" outlineLevel="1">
      <c r="A103" s="278" t="s">
        <v>445</v>
      </c>
      <c r="B103" s="9">
        <v>6666010196</v>
      </c>
      <c r="C103" s="9" t="s">
        <v>103</v>
      </c>
      <c r="D103" s="9" t="s">
        <v>109</v>
      </c>
      <c r="E103" s="11">
        <v>12.67515</v>
      </c>
      <c r="F103" s="26">
        <f t="shared" si="30"/>
        <v>0.26096127318770457</v>
      </c>
      <c r="H103" s="25">
        <v>13.450530000000001</v>
      </c>
      <c r="I103" s="46">
        <f t="shared" si="31"/>
        <v>0.292193209219473</v>
      </c>
      <c r="K103" s="25">
        <v>10.949620000000001</v>
      </c>
      <c r="L103" s="46">
        <f t="shared" si="32"/>
        <v>0.23630403349375231</v>
      </c>
      <c r="N103" s="25">
        <v>10.09877</v>
      </c>
      <c r="O103" s="46">
        <f t="shared" si="33"/>
        <v>0.20458177177238013</v>
      </c>
      <c r="Q103" s="25">
        <v>10.634359999999999</v>
      </c>
      <c r="R103" s="46">
        <f t="shared" si="34"/>
        <v>0.1980180247281394</v>
      </c>
      <c r="T103" s="25">
        <v>12.84571</v>
      </c>
      <c r="U103" s="46">
        <f t="shared" si="35"/>
        <v>0.43304038565264297</v>
      </c>
      <c r="W103" s="25">
        <v>11.911080000000002</v>
      </c>
      <c r="X103" s="46">
        <f t="shared" si="28"/>
        <v>0.28456602240963286</v>
      </c>
      <c r="Z103" s="25">
        <v>11.028750000000002</v>
      </c>
      <c r="AA103" s="46">
        <f t="shared" si="38"/>
        <v>0.34489633173843709</v>
      </c>
      <c r="AC103" s="25">
        <v>11.092140000000001</v>
      </c>
      <c r="AD103" s="46">
        <f t="shared" si="26"/>
        <v>0.39239210414603087</v>
      </c>
      <c r="AF103" s="25">
        <v>10.60059</v>
      </c>
      <c r="AG103" s="46">
        <f t="shared" si="27"/>
        <v>0.40443287169508985</v>
      </c>
      <c r="AI103" s="25">
        <v>10.524220000000001</v>
      </c>
      <c r="AJ103" s="46">
        <f t="shared" si="23"/>
        <v>0.30931754055960503</v>
      </c>
      <c r="AL103" s="25">
        <v>10.377949999999997</v>
      </c>
      <c r="AM103" s="46">
        <f t="shared" si="24"/>
        <v>0.24654811963984505</v>
      </c>
      <c r="AO103" s="25">
        <f t="shared" si="36"/>
        <v>136.18887000000001</v>
      </c>
      <c r="AP103" s="46">
        <f t="shared" si="37"/>
        <v>0.28485316940736499</v>
      </c>
      <c r="AQ103" s="93"/>
    </row>
    <row r="104" spans="1:43" outlineLevel="1">
      <c r="A104" s="278" t="s">
        <v>445</v>
      </c>
      <c r="B104" s="9">
        <v>6666010101</v>
      </c>
      <c r="C104" s="9" t="s">
        <v>104</v>
      </c>
      <c r="D104" s="9" t="s">
        <v>109</v>
      </c>
      <c r="E104" s="11">
        <v>95.370080000000002</v>
      </c>
      <c r="F104" s="26">
        <f t="shared" si="30"/>
        <v>1.9635189722262254</v>
      </c>
      <c r="H104" s="25">
        <v>98.626739999999984</v>
      </c>
      <c r="I104" s="46">
        <f t="shared" si="31"/>
        <v>2.142522538179132</v>
      </c>
      <c r="K104" s="25">
        <f>37.49997</f>
        <v>37.499969999999998</v>
      </c>
      <c r="L104" s="46">
        <f t="shared" si="32"/>
        <v>0.80928782614325478</v>
      </c>
      <c r="N104" s="25">
        <v>86.352339999999998</v>
      </c>
      <c r="O104" s="46">
        <f t="shared" si="33"/>
        <v>1.7493333063225491</v>
      </c>
      <c r="Q104" s="25">
        <v>65.080410000000001</v>
      </c>
      <c r="R104" s="46">
        <f t="shared" si="34"/>
        <v>1.211835431252793</v>
      </c>
      <c r="T104" s="25">
        <v>89.657879999999992</v>
      </c>
      <c r="U104" s="46">
        <f t="shared" si="35"/>
        <v>3.022447411003236</v>
      </c>
      <c r="W104" s="25">
        <v>75.727190000000007</v>
      </c>
      <c r="X104" s="46">
        <f t="shared" si="28"/>
        <v>1.8091881883555918</v>
      </c>
      <c r="Z104" s="25">
        <v>67.893160000000009</v>
      </c>
      <c r="AA104" s="46">
        <f t="shared" si="38"/>
        <v>2.1231872908653098</v>
      </c>
      <c r="AC104" s="25">
        <v>67.269369999999995</v>
      </c>
      <c r="AD104" s="46">
        <f t="shared" si="26"/>
        <v>2.3797003679071742</v>
      </c>
      <c r="AF104" s="25">
        <v>66.255510000000015</v>
      </c>
      <c r="AG104" s="46">
        <f t="shared" si="27"/>
        <v>2.5277749799702423</v>
      </c>
      <c r="AI104" s="25">
        <v>64.21978</v>
      </c>
      <c r="AJ104" s="46">
        <f t="shared" si="23"/>
        <v>1.8874847166705855</v>
      </c>
      <c r="AL104" s="25">
        <v>63.779320000000006</v>
      </c>
      <c r="AM104" s="46">
        <f t="shared" si="24"/>
        <v>1.515200152044283</v>
      </c>
      <c r="AO104" s="25">
        <f t="shared" si="36"/>
        <v>877.73174999999992</v>
      </c>
      <c r="AP104" s="46">
        <f t="shared" si="37"/>
        <v>1.8358671371381001</v>
      </c>
      <c r="AQ104" s="93"/>
    </row>
    <row r="105" spans="1:43" outlineLevel="1">
      <c r="A105" s="278" t="s">
        <v>445</v>
      </c>
      <c r="B105" s="9">
        <v>6666010199</v>
      </c>
      <c r="C105" s="9" t="s">
        <v>105</v>
      </c>
      <c r="D105" s="9" t="s">
        <v>109</v>
      </c>
      <c r="E105" s="11">
        <v>10.849459999999999</v>
      </c>
      <c r="F105" s="26">
        <f t="shared" si="30"/>
        <v>0.22337320623417264</v>
      </c>
      <c r="H105" s="25">
        <v>11.73659</v>
      </c>
      <c r="I105" s="46">
        <f t="shared" si="31"/>
        <v>0.2549603545282732</v>
      </c>
      <c r="K105" s="25">
        <v>-5.8701999999999996</v>
      </c>
      <c r="L105" s="46">
        <f t="shared" si="32"/>
        <v>-0.12668493860198113</v>
      </c>
      <c r="N105" s="25">
        <v>-41.941660000000006</v>
      </c>
      <c r="O105" s="46">
        <f t="shared" si="33"/>
        <v>-0.84965784089297669</v>
      </c>
      <c r="Q105" s="25">
        <v>3.5270000000000001</v>
      </c>
      <c r="R105" s="46">
        <f t="shared" si="34"/>
        <v>6.5674810070013412E-2</v>
      </c>
      <c r="T105" s="25">
        <v>-2.0789999999999965E-2</v>
      </c>
      <c r="U105" s="46">
        <f t="shared" si="35"/>
        <v>-7.0084951456310558E-4</v>
      </c>
      <c r="W105" s="25">
        <v>9.4651299999999985</v>
      </c>
      <c r="X105" s="46">
        <f t="shared" si="28"/>
        <v>0.22613015744081033</v>
      </c>
      <c r="Z105" s="25">
        <v>-1.5301500000000001</v>
      </c>
      <c r="AA105" s="46">
        <f t="shared" si="38"/>
        <v>-4.7851580823717051E-2</v>
      </c>
      <c r="AC105" s="25">
        <v>3.3755000000000006</v>
      </c>
      <c r="AD105" s="46">
        <f t="shared" si="26"/>
        <v>0.11941064100749967</v>
      </c>
      <c r="AF105" s="25">
        <v>8.5526899999999983</v>
      </c>
      <c r="AG105" s="46">
        <f t="shared" si="27"/>
        <v>0.32630155278318257</v>
      </c>
      <c r="AI105" s="25">
        <v>4.8008599999999992</v>
      </c>
      <c r="AJ105" s="46">
        <f t="shared" si="23"/>
        <v>0.14110216317893248</v>
      </c>
      <c r="AL105" s="25">
        <v>4.8785200000000009</v>
      </c>
      <c r="AM105" s="46">
        <f t="shared" si="24"/>
        <v>0.11589860546884283</v>
      </c>
      <c r="AO105" s="25">
        <f t="shared" si="36"/>
        <v>7.8229499999999899</v>
      </c>
      <c r="AP105" s="46">
        <f t="shared" si="37"/>
        <v>1.6362512601913376E-2</v>
      </c>
      <c r="AQ105" s="93"/>
    </row>
    <row r="106" spans="1:43" outlineLevel="1">
      <c r="A106" s="278" t="s">
        <v>445</v>
      </c>
      <c r="B106" s="9">
        <v>6666010185</v>
      </c>
      <c r="C106" s="9" t="s">
        <v>106</v>
      </c>
      <c r="D106" s="9" t="s">
        <v>109</v>
      </c>
      <c r="E106" s="11">
        <v>-0.36066999999999999</v>
      </c>
      <c r="F106" s="26">
        <f t="shared" si="30"/>
        <v>-7.4256243437442098E-3</v>
      </c>
      <c r="H106" s="25">
        <v>-0.48405000000000004</v>
      </c>
      <c r="I106" s="46">
        <f t="shared" si="31"/>
        <v>-1.0515282514717703E-2</v>
      </c>
      <c r="K106" s="25">
        <v>-0.13547000000000001</v>
      </c>
      <c r="L106" s="46">
        <f t="shared" si="32"/>
        <v>-2.9235815870686495E-3</v>
      </c>
      <c r="N106" s="25">
        <v>-6.5879999999999994E-2</v>
      </c>
      <c r="O106" s="46">
        <f t="shared" si="33"/>
        <v>-1.3346028401839433E-3</v>
      </c>
      <c r="Q106" s="25">
        <v>-7.2950000000000001E-2</v>
      </c>
      <c r="R106" s="46">
        <f t="shared" si="34"/>
        <v>-1.3583718158796366E-3</v>
      </c>
      <c r="T106" s="25">
        <v>-9.0939999999999993E-2</v>
      </c>
      <c r="U106" s="46">
        <f t="shared" si="35"/>
        <v>-3.0656688241639694E-3</v>
      </c>
      <c r="W106" s="25">
        <v>-0.28000999999999998</v>
      </c>
      <c r="X106" s="46">
        <f t="shared" si="28"/>
        <v>-6.6896815347492651E-3</v>
      </c>
      <c r="Z106" s="25">
        <v>-0.32874000000000003</v>
      </c>
      <c r="AA106" s="46">
        <f t="shared" si="38"/>
        <v>-1.028051411952341E-2</v>
      </c>
      <c r="AC106" s="25">
        <v>-0.32289000000000001</v>
      </c>
      <c r="AD106" s="46">
        <f t="shared" si="26"/>
        <v>-1.1422456487901514E-2</v>
      </c>
      <c r="AF106" s="25">
        <v>-0.38157999999999997</v>
      </c>
      <c r="AG106" s="46">
        <f t="shared" si="27"/>
        <v>-1.4558009995803287E-2</v>
      </c>
      <c r="AI106" s="25">
        <v>-0.18265000000000001</v>
      </c>
      <c r="AJ106" s="46">
        <f t="shared" si="23"/>
        <v>-5.3682694568539854E-3</v>
      </c>
      <c r="AL106" s="25">
        <v>-0.30701999999999996</v>
      </c>
      <c r="AM106" s="46">
        <f t="shared" si="24"/>
        <v>-7.2938493336184148E-3</v>
      </c>
      <c r="AO106" s="25">
        <f t="shared" si="36"/>
        <v>-3.0128500000000003</v>
      </c>
      <c r="AP106" s="46">
        <f t="shared" si="37"/>
        <v>-6.3016887609756919E-3</v>
      </c>
      <c r="AQ106" s="93"/>
    </row>
    <row r="107" spans="1:43" outlineLevel="1">
      <c r="A107" s="278" t="s">
        <v>445</v>
      </c>
      <c r="B107" s="9">
        <v>6666010207</v>
      </c>
      <c r="C107" s="9" t="s">
        <v>107</v>
      </c>
      <c r="D107" s="9" t="s">
        <v>109</v>
      </c>
      <c r="E107" s="11">
        <v>1.1343400000000001</v>
      </c>
      <c r="F107" s="26">
        <f t="shared" si="30"/>
        <v>2.3354264890572567E-2</v>
      </c>
      <c r="H107" s="25">
        <v>1.1740700000000002</v>
      </c>
      <c r="I107" s="46">
        <f t="shared" si="31"/>
        <v>2.5504963830295661E-2</v>
      </c>
      <c r="K107" s="25">
        <v>0.93385000000000007</v>
      </c>
      <c r="L107" s="46">
        <f t="shared" si="32"/>
        <v>2.0153441094589639E-2</v>
      </c>
      <c r="N107" s="25">
        <v>0.89443000000000006</v>
      </c>
      <c r="O107" s="46">
        <f t="shared" si="33"/>
        <v>1.8119441687093573E-2</v>
      </c>
      <c r="Q107" s="25">
        <v>0.95134000000000019</v>
      </c>
      <c r="R107" s="46">
        <f t="shared" si="34"/>
        <v>1.7714509161328766E-2</v>
      </c>
      <c r="T107" s="25">
        <v>1.05366</v>
      </c>
      <c r="U107" s="46">
        <f t="shared" si="35"/>
        <v>3.5519822006472496E-2</v>
      </c>
      <c r="W107" s="25">
        <v>0.99086999999999992</v>
      </c>
      <c r="X107" s="46">
        <f t="shared" si="28"/>
        <v>2.3672742910385357E-2</v>
      </c>
      <c r="Z107" s="25">
        <v>0.89572000000000007</v>
      </c>
      <c r="AA107" s="46">
        <f t="shared" si="38"/>
        <v>2.8011383181661822E-2</v>
      </c>
      <c r="AC107" s="25">
        <v>0.90712000000000004</v>
      </c>
      <c r="AD107" s="46">
        <f t="shared" si="26"/>
        <v>3.2089995754917222E-2</v>
      </c>
      <c r="AF107" s="25">
        <v>0.84974000000000005</v>
      </c>
      <c r="AG107" s="46">
        <f t="shared" si="27"/>
        <v>3.2419213307390032E-2</v>
      </c>
      <c r="AI107" s="25">
        <v>0.84358</v>
      </c>
      <c r="AJ107" s="46">
        <f t="shared" si="23"/>
        <v>2.4793675052903832E-2</v>
      </c>
      <c r="AL107" s="25">
        <v>0.84014000000000011</v>
      </c>
      <c r="AM107" s="46">
        <f t="shared" si="24"/>
        <v>1.9959138098971329E-2</v>
      </c>
      <c r="AO107" s="25">
        <f t="shared" si="36"/>
        <v>11.468860000000001</v>
      </c>
      <c r="AP107" s="46">
        <f t="shared" si="37"/>
        <v>2.3988312117497943E-2</v>
      </c>
      <c r="AQ107" s="93"/>
    </row>
    <row r="108" spans="1:43" customFormat="1" outlineLevel="1">
      <c r="A108" s="278" t="s">
        <v>445</v>
      </c>
      <c r="B108" s="9">
        <v>5102040406</v>
      </c>
      <c r="C108" s="9" t="s">
        <v>30</v>
      </c>
      <c r="D108" s="9" t="s">
        <v>32</v>
      </c>
      <c r="E108" s="11">
        <v>0</v>
      </c>
      <c r="F108" s="26">
        <f t="shared" si="30"/>
        <v>0</v>
      </c>
      <c r="G108" s="314"/>
      <c r="H108" s="25">
        <v>0</v>
      </c>
      <c r="I108" s="46">
        <f t="shared" si="31"/>
        <v>0</v>
      </c>
      <c r="J108" s="314"/>
      <c r="K108" s="25">
        <v>0</v>
      </c>
      <c r="L108" s="46">
        <f t="shared" si="32"/>
        <v>0</v>
      </c>
      <c r="M108" s="186"/>
      <c r="N108" s="25">
        <v>0</v>
      </c>
      <c r="O108" s="46">
        <f t="shared" si="33"/>
        <v>0</v>
      </c>
      <c r="P108" s="16"/>
      <c r="Q108" s="25">
        <v>0</v>
      </c>
      <c r="R108" s="46">
        <f t="shared" si="34"/>
        <v>0</v>
      </c>
      <c r="S108" s="16"/>
      <c r="T108" s="25">
        <v>0</v>
      </c>
      <c r="U108" s="46">
        <f t="shared" si="35"/>
        <v>0</v>
      </c>
      <c r="V108" s="16"/>
      <c r="W108" s="25">
        <v>0</v>
      </c>
      <c r="X108" s="46">
        <f t="shared" si="28"/>
        <v>0</v>
      </c>
      <c r="Y108" s="16"/>
      <c r="Z108" s="25">
        <v>0</v>
      </c>
      <c r="AA108" s="46">
        <f t="shared" si="38"/>
        <v>0</v>
      </c>
      <c r="AB108" s="16"/>
      <c r="AC108" s="25">
        <v>0</v>
      </c>
      <c r="AD108" s="46">
        <f t="shared" si="26"/>
        <v>0</v>
      </c>
      <c r="AE108" s="16"/>
      <c r="AF108" s="25">
        <v>0</v>
      </c>
      <c r="AG108" s="46">
        <f t="shared" si="27"/>
        <v>0</v>
      </c>
      <c r="AH108" s="16"/>
      <c r="AI108" s="25">
        <v>0</v>
      </c>
      <c r="AJ108" s="46">
        <f t="shared" si="23"/>
        <v>0</v>
      </c>
      <c r="AK108" s="186"/>
      <c r="AL108" s="25">
        <v>0</v>
      </c>
      <c r="AM108" s="46">
        <f t="shared" si="24"/>
        <v>0</v>
      </c>
      <c r="AN108" s="186"/>
      <c r="AO108" s="25">
        <f t="shared" si="36"/>
        <v>0</v>
      </c>
      <c r="AP108" s="46">
        <f t="shared" si="37"/>
        <v>0</v>
      </c>
      <c r="AQ108" s="93"/>
    </row>
    <row r="109" spans="1:43" outlineLevel="1">
      <c r="A109" s="278" t="s">
        <v>445</v>
      </c>
      <c r="B109" s="9">
        <v>6666010227</v>
      </c>
      <c r="C109" s="9" t="s">
        <v>108</v>
      </c>
      <c r="D109" s="9" t="s">
        <v>109</v>
      </c>
      <c r="E109" s="11">
        <v>14.648599999999998</v>
      </c>
      <c r="F109" s="26">
        <f t="shared" si="30"/>
        <v>0.3015914846307467</v>
      </c>
      <c r="H109" s="25">
        <v>-1.2972600000000001</v>
      </c>
      <c r="I109" s="46">
        <f t="shared" si="31"/>
        <v>-2.8181087480720353E-2</v>
      </c>
      <c r="K109" s="25">
        <v>-8.2963400000000007</v>
      </c>
      <c r="L109" s="46">
        <f t="shared" si="32"/>
        <v>-0.17904352892936531</v>
      </c>
      <c r="N109" s="25">
        <v>1.1267100000000001</v>
      </c>
      <c r="O109" s="46">
        <f t="shared" si="33"/>
        <v>2.2824990377408184E-2</v>
      </c>
      <c r="Q109" s="25">
        <v>1.15876</v>
      </c>
      <c r="R109" s="46">
        <f t="shared" si="34"/>
        <v>2.1576791300461792E-2</v>
      </c>
      <c r="T109" s="25">
        <v>1.1367700000000001</v>
      </c>
      <c r="U109" s="46">
        <f t="shared" si="35"/>
        <v>3.8321534519956853E-2</v>
      </c>
      <c r="W109" s="25">
        <v>1.1083899999999998</v>
      </c>
      <c r="X109" s="46">
        <f t="shared" si="28"/>
        <v>2.6480397544018916E-2</v>
      </c>
      <c r="Z109" s="25">
        <v>8.2541200000000003</v>
      </c>
      <c r="AA109" s="46">
        <f t="shared" si="38"/>
        <v>0.25812677862213468</v>
      </c>
      <c r="AC109" s="25">
        <v>1.3567700000000003</v>
      </c>
      <c r="AD109" s="46">
        <f t="shared" si="26"/>
        <v>4.7996674685156365E-2</v>
      </c>
      <c r="AF109" s="25">
        <v>-5.6057800000000011</v>
      </c>
      <c r="AG109" s="46">
        <f t="shared" si="27"/>
        <v>-0.21387127541871737</v>
      </c>
      <c r="AI109" s="25">
        <v>1.4459499999999998</v>
      </c>
      <c r="AJ109" s="46">
        <f t="shared" si="23"/>
        <v>4.2497942628732653E-2</v>
      </c>
      <c r="AL109" s="25">
        <v>1.4346699999999999</v>
      </c>
      <c r="AM109" s="46">
        <f t="shared" si="24"/>
        <v>3.4083339272563136E-2</v>
      </c>
      <c r="AO109" s="25">
        <f t="shared" si="36"/>
        <v>16.471359999999997</v>
      </c>
      <c r="AP109" s="46">
        <f t="shared" si="37"/>
        <v>3.4451560545657615E-2</v>
      </c>
      <c r="AQ109" s="93"/>
    </row>
    <row r="110" spans="1:43" s="24" customFormat="1">
      <c r="A110" s="278"/>
      <c r="B110" s="37" t="s">
        <v>142</v>
      </c>
      <c r="C110" s="36" t="s">
        <v>109</v>
      </c>
      <c r="D110" s="38"/>
      <c r="E110" s="97">
        <v>134.31695999999999</v>
      </c>
      <c r="F110" s="171">
        <f t="shared" si="30"/>
        <v>2.7653735768256777</v>
      </c>
      <c r="G110" s="314"/>
      <c r="H110" s="178">
        <f>SUM(H103:H109)</f>
        <v>123.20661999999999</v>
      </c>
      <c r="I110" s="171">
        <f t="shared" si="31"/>
        <v>2.6764846957617356</v>
      </c>
      <c r="J110" s="314"/>
      <c r="K110" s="178">
        <f>SUM(K103:K109)</f>
        <v>35.081430000000005</v>
      </c>
      <c r="L110" s="171">
        <f t="shared" si="32"/>
        <v>0.75709325161318186</v>
      </c>
      <c r="M110" s="186"/>
      <c r="N110" s="178">
        <f>SUM(N103:N109)</f>
        <v>56.464709999999997</v>
      </c>
      <c r="O110" s="171">
        <f t="shared" si="33"/>
        <v>1.1438670664262705</v>
      </c>
      <c r="P110" s="16"/>
      <c r="Q110" s="178">
        <f>SUM(Q103:Q109)</f>
        <v>81.278919999999999</v>
      </c>
      <c r="R110" s="171">
        <f t="shared" si="34"/>
        <v>1.5134611946968568</v>
      </c>
      <c r="S110" s="16"/>
      <c r="T110" s="178">
        <f>SUM(T103:T109)</f>
        <v>104.58228999999997</v>
      </c>
      <c r="U110" s="171">
        <f t="shared" si="35"/>
        <v>3.5255626348435802</v>
      </c>
      <c r="V110" s="16"/>
      <c r="W110" s="178">
        <f>SUM(W103:W109)</f>
        <v>98.922650000000004</v>
      </c>
      <c r="X110" s="171">
        <f t="shared" si="28"/>
        <v>2.3633478271256898</v>
      </c>
      <c r="Y110" s="16"/>
      <c r="Z110" s="178">
        <f>SUM(Z103:Z109)</f>
        <v>86.212860000000006</v>
      </c>
      <c r="AA110" s="171">
        <f t="shared" si="38"/>
        <v>2.6960896894643027</v>
      </c>
      <c r="AB110" s="16"/>
      <c r="AC110" s="178">
        <f>SUM(AC103:AC109)</f>
        <v>83.67801</v>
      </c>
      <c r="AD110" s="171">
        <f t="shared" si="26"/>
        <v>2.960167327012877</v>
      </c>
      <c r="AE110" s="16"/>
      <c r="AF110" s="178">
        <f>SUM(AF103:AF109)</f>
        <v>80.271170000000012</v>
      </c>
      <c r="AG110" s="171">
        <f t="shared" si="27"/>
        <v>3.0624993323413836</v>
      </c>
      <c r="AH110" s="16"/>
      <c r="AI110" s="178">
        <f>SUM(AI103:AI109)</f>
        <v>81.651740000000004</v>
      </c>
      <c r="AJ110" s="171">
        <f t="shared" si="23"/>
        <v>2.3998277686339056</v>
      </c>
      <c r="AK110" s="186"/>
      <c r="AL110" s="178">
        <f>SUM(AL103:AL109)</f>
        <v>81.003579999999999</v>
      </c>
      <c r="AM110" s="171">
        <f t="shared" si="24"/>
        <v>1.924395505190887</v>
      </c>
      <c r="AN110" s="186"/>
      <c r="AO110" s="178">
        <f>SUM(AO103:AO109)</f>
        <v>1046.67094</v>
      </c>
      <c r="AP110" s="171">
        <f t="shared" si="37"/>
        <v>2.1892210030495582</v>
      </c>
      <c r="AQ110" s="93"/>
    </row>
    <row r="111" spans="1:43" outlineLevel="1">
      <c r="A111" s="278" t="s">
        <v>445</v>
      </c>
      <c r="B111" s="9">
        <v>6666020903</v>
      </c>
      <c r="C111" s="9" t="s">
        <v>110</v>
      </c>
      <c r="D111" s="9" t="s">
        <v>123</v>
      </c>
      <c r="E111" s="11">
        <v>0.22998999999999997</v>
      </c>
      <c r="F111" s="26">
        <f t="shared" si="30"/>
        <v>4.7351300158530807E-3</v>
      </c>
      <c r="H111" s="25">
        <v>1.0240000000000001E-2</v>
      </c>
      <c r="I111" s="46">
        <f t="shared" si="31"/>
        <v>2.224491125931397E-4</v>
      </c>
      <c r="K111" s="25">
        <v>0</v>
      </c>
      <c r="L111" s="46">
        <f t="shared" si="32"/>
        <v>0</v>
      </c>
      <c r="N111" s="25">
        <v>0</v>
      </c>
      <c r="O111" s="46">
        <f t="shared" si="33"/>
        <v>0</v>
      </c>
      <c r="Q111" s="25">
        <v>0</v>
      </c>
      <c r="R111" s="46">
        <f t="shared" si="34"/>
        <v>0</v>
      </c>
      <c r="T111" s="25">
        <v>0</v>
      </c>
      <c r="U111" s="46">
        <f t="shared" si="35"/>
        <v>0</v>
      </c>
      <c r="W111" s="25">
        <v>0</v>
      </c>
      <c r="X111" s="46">
        <f t="shared" si="28"/>
        <v>0</v>
      </c>
      <c r="Z111" s="25">
        <v>0</v>
      </c>
      <c r="AA111" s="46">
        <f t="shared" si="38"/>
        <v>0</v>
      </c>
      <c r="AC111" s="25">
        <v>0</v>
      </c>
      <c r="AD111" s="46">
        <f t="shared" si="26"/>
        <v>0</v>
      </c>
      <c r="AF111" s="25">
        <v>0</v>
      </c>
      <c r="AG111" s="46">
        <f t="shared" si="27"/>
        <v>0</v>
      </c>
      <c r="AI111" s="25">
        <v>-4.4999999999999999E-4</v>
      </c>
      <c r="AJ111" s="46">
        <f t="shared" si="23"/>
        <v>-1.3225958147190218E-5</v>
      </c>
      <c r="AL111" s="25">
        <v>0</v>
      </c>
      <c r="AM111" s="46">
        <f t="shared" si="24"/>
        <v>0</v>
      </c>
      <c r="AO111" s="25">
        <f t="shared" si="36"/>
        <v>0.23977999999999997</v>
      </c>
      <c r="AP111" s="46">
        <f t="shared" si="37"/>
        <v>5.0152477923120998E-4</v>
      </c>
      <c r="AQ111" s="93"/>
    </row>
    <row r="112" spans="1:43" outlineLevel="1">
      <c r="A112" s="278" t="s">
        <v>445</v>
      </c>
      <c r="B112" s="9">
        <v>6666010302</v>
      </c>
      <c r="C112" s="9" t="s">
        <v>111</v>
      </c>
      <c r="D112" s="9" t="s">
        <v>123</v>
      </c>
      <c r="E112" s="11">
        <v>1.2075400000000001</v>
      </c>
      <c r="F112" s="26">
        <f t="shared" si="30"/>
        <v>2.4861337011797165E-2</v>
      </c>
      <c r="H112" s="25">
        <v>13.31054</v>
      </c>
      <c r="I112" s="46">
        <f t="shared" si="31"/>
        <v>0.28915212999370016</v>
      </c>
      <c r="K112" s="25">
        <v>6.03674</v>
      </c>
      <c r="L112" s="46">
        <f t="shared" si="32"/>
        <v>0.13027904266568832</v>
      </c>
      <c r="N112" s="25">
        <v>5.7909600000000001</v>
      </c>
      <c r="O112" s="46">
        <f t="shared" si="33"/>
        <v>0.11731377752567712</v>
      </c>
      <c r="Q112" s="25">
        <v>5.8335299999999997</v>
      </c>
      <c r="R112" s="46">
        <f t="shared" si="34"/>
        <v>0.10862375242067629</v>
      </c>
      <c r="T112" s="25">
        <v>8.7034700000000011</v>
      </c>
      <c r="U112" s="46">
        <f t="shared" si="35"/>
        <v>0.29340176645091698</v>
      </c>
      <c r="W112" s="25">
        <v>5.9523499999999991</v>
      </c>
      <c r="X112" s="46">
        <f t="shared" si="28"/>
        <v>0.14220679934061206</v>
      </c>
      <c r="Z112" s="25">
        <v>4.2384699999999995</v>
      </c>
      <c r="AA112" s="46">
        <f t="shared" si="38"/>
        <v>0.13254745598398848</v>
      </c>
      <c r="AC112" s="25">
        <v>4.0871100000000009</v>
      </c>
      <c r="AD112" s="46">
        <f t="shared" si="26"/>
        <v>0.14458433564454509</v>
      </c>
      <c r="AF112" s="25">
        <v>4.1200200000000002</v>
      </c>
      <c r="AG112" s="46">
        <f t="shared" si="27"/>
        <v>0.15718667734920455</v>
      </c>
      <c r="AI112" s="25">
        <v>7.5137999999999989</v>
      </c>
      <c r="AJ112" s="46">
        <f t="shared" si="23"/>
        <v>0.22083823183635079</v>
      </c>
      <c r="AL112" s="25">
        <v>2.5992500000000001</v>
      </c>
      <c r="AM112" s="46">
        <f t="shared" si="24"/>
        <v>6.1750172237664221E-2</v>
      </c>
      <c r="AO112" s="25">
        <f t="shared" si="36"/>
        <v>69.393780000000007</v>
      </c>
      <c r="AP112" s="46">
        <f t="shared" si="37"/>
        <v>0.1451442997519358</v>
      </c>
      <c r="AQ112" s="93"/>
    </row>
    <row r="113" spans="1:43" outlineLevel="1">
      <c r="A113" s="278" t="s">
        <v>445</v>
      </c>
      <c r="B113" s="9">
        <v>6666010314</v>
      </c>
      <c r="C113" s="9" t="s">
        <v>112</v>
      </c>
      <c r="D113" s="9" t="s">
        <v>123</v>
      </c>
      <c r="E113" s="11">
        <v>22.700469999999999</v>
      </c>
      <c r="F113" s="26">
        <f t="shared" si="30"/>
        <v>0.46736674147124824</v>
      </c>
      <c r="H113" s="25">
        <v>15.824630000000001</v>
      </c>
      <c r="I113" s="46">
        <f t="shared" si="31"/>
        <v>0.34376708013816176</v>
      </c>
      <c r="K113" s="25">
        <v>17.634800000000002</v>
      </c>
      <c r="L113" s="46">
        <f t="shared" si="32"/>
        <v>0.38057707663422324</v>
      </c>
      <c r="N113" s="25">
        <v>15.370790000000001</v>
      </c>
      <c r="O113" s="46">
        <f t="shared" si="33"/>
        <v>0.3113828170897231</v>
      </c>
      <c r="Q113" s="25">
        <v>13.436680000000001</v>
      </c>
      <c r="R113" s="46">
        <f t="shared" si="34"/>
        <v>0.25019886786831524</v>
      </c>
      <c r="T113" s="25">
        <v>7.05809</v>
      </c>
      <c r="U113" s="46">
        <f t="shared" si="35"/>
        <v>0.23793453344120821</v>
      </c>
      <c r="W113" s="25">
        <v>0.30043000000000003</v>
      </c>
      <c r="X113" s="46">
        <f t="shared" si="28"/>
        <v>7.1775330291229669E-3</v>
      </c>
      <c r="Z113" s="25">
        <v>0.1225</v>
      </c>
      <c r="AA113" s="46">
        <f t="shared" si="38"/>
        <v>3.8308784438815403E-3</v>
      </c>
      <c r="AC113" s="25">
        <v>23.860259999999997</v>
      </c>
      <c r="AD113" s="46">
        <f t="shared" si="26"/>
        <v>0.84407315692655993</v>
      </c>
      <c r="AF113" s="25">
        <v>12.878779999999999</v>
      </c>
      <c r="AG113" s="46">
        <f t="shared" si="27"/>
        <v>0.49135019648239286</v>
      </c>
      <c r="AI113" s="25">
        <v>0.97033000000000003</v>
      </c>
      <c r="AJ113" s="46">
        <f t="shared" si="23"/>
        <v>2.8518986597695747E-2</v>
      </c>
      <c r="AL113" s="25">
        <v>1.43011</v>
      </c>
      <c r="AM113" s="46">
        <f t="shared" si="24"/>
        <v>3.3975007720998741E-2</v>
      </c>
      <c r="AO113" s="25">
        <f t="shared" si="36"/>
        <v>131.58787000000001</v>
      </c>
      <c r="AP113" s="46">
        <f t="shared" si="37"/>
        <v>0.27522969993850688</v>
      </c>
      <c r="AQ113" s="93"/>
    </row>
    <row r="114" spans="1:43" outlineLevel="1">
      <c r="A114" s="278" t="s">
        <v>445</v>
      </c>
      <c r="B114" s="9">
        <v>6666020401</v>
      </c>
      <c r="C114" s="9" t="s">
        <v>113</v>
      </c>
      <c r="D114" s="9" t="s">
        <v>123</v>
      </c>
      <c r="E114" s="11">
        <v>34.746469999999995</v>
      </c>
      <c r="F114" s="26">
        <f t="shared" si="30"/>
        <v>0.71537481213069509</v>
      </c>
      <c r="H114" s="25">
        <v>37.902809999999995</v>
      </c>
      <c r="I114" s="46">
        <f t="shared" si="31"/>
        <v>0.8233834423131231</v>
      </c>
      <c r="K114" s="25">
        <v>33.769030000000001</v>
      </c>
      <c r="L114" s="46">
        <f t="shared" si="32"/>
        <v>0.72877031314068674</v>
      </c>
      <c r="N114" s="25">
        <v>32.010600000000004</v>
      </c>
      <c r="O114" s="46">
        <f t="shared" si="33"/>
        <v>0.64847355306606169</v>
      </c>
      <c r="Q114" s="25">
        <v>30.338439999999999</v>
      </c>
      <c r="R114" s="46">
        <f t="shared" si="34"/>
        <v>0.56491955906450175</v>
      </c>
      <c r="T114" s="25">
        <v>30.068369999999998</v>
      </c>
      <c r="U114" s="46">
        <f t="shared" si="35"/>
        <v>1.0136316747572813</v>
      </c>
      <c r="W114" s="25">
        <v>30.272080000000003</v>
      </c>
      <c r="X114" s="46">
        <f t="shared" si="28"/>
        <v>0.72322622261509428</v>
      </c>
      <c r="Z114" s="25">
        <v>27.981480000000001</v>
      </c>
      <c r="AA114" s="46">
        <f t="shared" si="38"/>
        <v>0.87505019232573411</v>
      </c>
      <c r="AC114" s="25">
        <v>28.818490000000001</v>
      </c>
      <c r="AD114" s="46">
        <f t="shared" si="26"/>
        <v>1.019473963492288</v>
      </c>
      <c r="AF114" s="25">
        <v>21.674340000000001</v>
      </c>
      <c r="AG114" s="46">
        <f t="shared" si="27"/>
        <v>0.82691770630651251</v>
      </c>
      <c r="AI114" s="25">
        <v>25.877950000000002</v>
      </c>
      <c r="AJ114" s="46">
        <f t="shared" si="23"/>
        <v>0.76057929696684701</v>
      </c>
      <c r="AL114" s="25">
        <v>26.176389999999998</v>
      </c>
      <c r="AM114" s="46">
        <f t="shared" si="24"/>
        <v>0.62187038224882984</v>
      </c>
      <c r="AO114" s="25">
        <f t="shared" si="36"/>
        <v>359.63644999999997</v>
      </c>
      <c r="AP114" s="46">
        <f t="shared" si="37"/>
        <v>0.75221699553651722</v>
      </c>
      <c r="AQ114" s="93"/>
    </row>
    <row r="115" spans="1:43" outlineLevel="1">
      <c r="A115" s="278" t="s">
        <v>445</v>
      </c>
      <c r="B115" s="9">
        <v>6666020402</v>
      </c>
      <c r="C115" s="9" t="s">
        <v>114</v>
      </c>
      <c r="D115" s="9" t="s">
        <v>123</v>
      </c>
      <c r="E115" s="11">
        <v>0</v>
      </c>
      <c r="F115" s="26">
        <f t="shared" si="30"/>
        <v>0</v>
      </c>
      <c r="H115" s="25">
        <v>0</v>
      </c>
      <c r="I115" s="46">
        <f t="shared" si="31"/>
        <v>0</v>
      </c>
      <c r="K115" s="25">
        <v>0</v>
      </c>
      <c r="L115" s="46">
        <f t="shared" si="32"/>
        <v>0</v>
      </c>
      <c r="N115" s="25">
        <v>0</v>
      </c>
      <c r="O115" s="46">
        <f t="shared" si="33"/>
        <v>0</v>
      </c>
      <c r="Q115" s="25">
        <v>0</v>
      </c>
      <c r="R115" s="46">
        <f t="shared" si="34"/>
        <v>0</v>
      </c>
      <c r="T115" s="25">
        <v>0</v>
      </c>
      <c r="U115" s="46">
        <f t="shared" si="35"/>
        <v>0</v>
      </c>
      <c r="W115" s="25">
        <v>0</v>
      </c>
      <c r="X115" s="46">
        <f t="shared" si="28"/>
        <v>0</v>
      </c>
      <c r="Z115" s="25">
        <v>0</v>
      </c>
      <c r="AA115" s="46">
        <f t="shared" si="38"/>
        <v>0</v>
      </c>
      <c r="AC115" s="25">
        <v>0</v>
      </c>
      <c r="AD115" s="46">
        <f t="shared" si="26"/>
        <v>0</v>
      </c>
      <c r="AF115" s="25">
        <v>0</v>
      </c>
      <c r="AG115" s="46">
        <f t="shared" si="27"/>
        <v>0</v>
      </c>
      <c r="AI115" s="25">
        <v>0</v>
      </c>
      <c r="AJ115" s="46">
        <f t="shared" si="23"/>
        <v>0</v>
      </c>
      <c r="AL115" s="25">
        <v>0</v>
      </c>
      <c r="AM115" s="46">
        <f t="shared" si="24"/>
        <v>0</v>
      </c>
      <c r="AO115" s="25">
        <f t="shared" si="36"/>
        <v>0</v>
      </c>
      <c r="AP115" s="46">
        <f t="shared" si="37"/>
        <v>0</v>
      </c>
      <c r="AQ115" s="93"/>
    </row>
    <row r="116" spans="1:43" outlineLevel="1">
      <c r="A116" s="278" t="s">
        <v>445</v>
      </c>
      <c r="B116" s="9">
        <v>6666020502</v>
      </c>
      <c r="C116" s="9" t="s">
        <v>115</v>
      </c>
      <c r="D116" s="9" t="s">
        <v>123</v>
      </c>
      <c r="E116" s="11">
        <v>33.960510000000006</v>
      </c>
      <c r="F116" s="26">
        <f t="shared" si="30"/>
        <v>0.69919313993947019</v>
      </c>
      <c r="H116" s="25">
        <v>37.298879999999997</v>
      </c>
      <c r="I116" s="46">
        <f t="shared" si="31"/>
        <v>0.81026394108574273</v>
      </c>
      <c r="K116" s="25">
        <v>33.241059999999997</v>
      </c>
      <c r="L116" s="46">
        <f t="shared" si="32"/>
        <v>0.7173761788635431</v>
      </c>
      <c r="N116" s="25">
        <v>31.49851</v>
      </c>
      <c r="O116" s="46">
        <f t="shared" si="33"/>
        <v>0.63809958876081274</v>
      </c>
      <c r="Q116" s="25">
        <v>31.29072</v>
      </c>
      <c r="R116" s="46">
        <f t="shared" si="34"/>
        <v>0.58265157157753622</v>
      </c>
      <c r="T116" s="25">
        <v>30.733550000000001</v>
      </c>
      <c r="U116" s="46">
        <f t="shared" si="35"/>
        <v>1.0360554881337649</v>
      </c>
      <c r="W116" s="25">
        <v>28.03999</v>
      </c>
      <c r="X116" s="46">
        <f t="shared" si="28"/>
        <v>0.66989965836060872</v>
      </c>
      <c r="Z116" s="25">
        <v>33.53267000000001</v>
      </c>
      <c r="AA116" s="46">
        <f t="shared" si="38"/>
        <v>1.0486496544391284</v>
      </c>
      <c r="AC116" s="25">
        <v>29.123170000000002</v>
      </c>
      <c r="AD116" s="46">
        <f t="shared" si="26"/>
        <v>1.0302522286684592</v>
      </c>
      <c r="AF116" s="25">
        <v>29.723199999999999</v>
      </c>
      <c r="AG116" s="46">
        <f t="shared" si="27"/>
        <v>1.1339971767578498</v>
      </c>
      <c r="AI116" s="25">
        <v>27.902570000000001</v>
      </c>
      <c r="AJ116" s="46">
        <f t="shared" si="23"/>
        <v>0.82008494004232302</v>
      </c>
      <c r="AL116" s="25">
        <v>30.314960000000003</v>
      </c>
      <c r="AM116" s="46">
        <f t="shared" si="24"/>
        <v>0.72019005535362191</v>
      </c>
      <c r="AO116" s="25">
        <f t="shared" si="36"/>
        <v>376.65979000000004</v>
      </c>
      <c r="AP116" s="46">
        <f t="shared" si="37"/>
        <v>0.7878230795938943</v>
      </c>
      <c r="AQ116" s="93"/>
    </row>
    <row r="117" spans="1:43" outlineLevel="1">
      <c r="A117" s="278" t="s">
        <v>445</v>
      </c>
      <c r="B117" s="9">
        <v>6666020503</v>
      </c>
      <c r="C117" s="9" t="s">
        <v>116</v>
      </c>
      <c r="D117" s="9" t="s">
        <v>123</v>
      </c>
      <c r="E117" s="11">
        <v>3.9240000000000004E-2</v>
      </c>
      <c r="F117" s="26">
        <f t="shared" si="30"/>
        <v>8.0788948137777694E-4</v>
      </c>
      <c r="H117" s="25">
        <v>0.15838999999999998</v>
      </c>
      <c r="I117" s="46">
        <f t="shared" si="31"/>
        <v>3.4407924749636125E-3</v>
      </c>
      <c r="K117" s="25">
        <v>0.19723000000000002</v>
      </c>
      <c r="L117" s="46">
        <f t="shared" si="32"/>
        <v>4.2564257504801783E-3</v>
      </c>
      <c r="N117" s="25">
        <v>0.22272</v>
      </c>
      <c r="O117" s="46">
        <f t="shared" si="33"/>
        <v>4.5118813686364284E-3</v>
      </c>
      <c r="Q117" s="25">
        <v>0.35056999999999999</v>
      </c>
      <c r="R117" s="46">
        <f t="shared" si="34"/>
        <v>6.5278191568598244E-3</v>
      </c>
      <c r="T117" s="25">
        <v>0.24878</v>
      </c>
      <c r="U117" s="46">
        <f t="shared" si="35"/>
        <v>8.3865965480043152E-3</v>
      </c>
      <c r="W117" s="25">
        <v>0.51588000000000012</v>
      </c>
      <c r="X117" s="46">
        <f t="shared" si="28"/>
        <v>1.2324820221229426E-2</v>
      </c>
      <c r="Z117" s="25">
        <v>0.36163999999999996</v>
      </c>
      <c r="AA117" s="46">
        <f t="shared" si="38"/>
        <v>1.1309378615880163E-2</v>
      </c>
      <c r="AC117" s="25">
        <v>0.16294</v>
      </c>
      <c r="AD117" s="46">
        <f t="shared" si="26"/>
        <v>5.7641149002405547E-3</v>
      </c>
      <c r="AF117" s="25">
        <v>0.54015000000000013</v>
      </c>
      <c r="AG117" s="46">
        <f t="shared" si="27"/>
        <v>2.0607760100721077E-2</v>
      </c>
      <c r="AI117" s="25">
        <v>0.60136000000000012</v>
      </c>
      <c r="AJ117" s="46">
        <f t="shared" si="23"/>
        <v>1.7674582647542916E-2</v>
      </c>
      <c r="AL117" s="25">
        <v>1.5661799999999999</v>
      </c>
      <c r="AM117" s="46">
        <f t="shared" si="24"/>
        <v>3.7207611716912552E-2</v>
      </c>
      <c r="AO117" s="25">
        <f t="shared" si="36"/>
        <v>4.9650800000000004</v>
      </c>
      <c r="AP117" s="46">
        <f t="shared" si="37"/>
        <v>1.0384980610832E-2</v>
      </c>
      <c r="AQ117" s="93"/>
    </row>
    <row r="118" spans="1:43" outlineLevel="1">
      <c r="A118" s="278" t="s">
        <v>445</v>
      </c>
      <c r="B118" s="9">
        <v>6666021500</v>
      </c>
      <c r="C118" s="9" t="s">
        <v>117</v>
      </c>
      <c r="D118" s="9" t="s">
        <v>123</v>
      </c>
      <c r="E118" s="11">
        <v>0.34316000000000002</v>
      </c>
      <c r="F118" s="26">
        <f t="shared" si="30"/>
        <v>7.0651211628337904E-3</v>
      </c>
      <c r="H118" s="25">
        <v>12.993639999999999</v>
      </c>
      <c r="I118" s="46">
        <f t="shared" si="31"/>
        <v>0.2822679382182347</v>
      </c>
      <c r="K118" s="25">
        <v>27.892720000000001</v>
      </c>
      <c r="L118" s="46">
        <f t="shared" si="32"/>
        <v>0.60195351447007783</v>
      </c>
      <c r="N118" s="25">
        <v>7.3497500000000002</v>
      </c>
      <c r="O118" s="46">
        <f t="shared" si="33"/>
        <v>0.1488918825841217</v>
      </c>
      <c r="Q118" s="25">
        <v>12.703950000000001</v>
      </c>
      <c r="R118" s="46">
        <f t="shared" si="34"/>
        <v>0.23655500521376435</v>
      </c>
      <c r="T118" s="25">
        <v>10.268190000000001</v>
      </c>
      <c r="U118" s="46">
        <f t="shared" si="35"/>
        <v>0.34614987864077668</v>
      </c>
      <c r="W118" s="25">
        <v>8.9584100000000007</v>
      </c>
      <c r="X118" s="46">
        <f t="shared" si="28"/>
        <v>0.21402417755692002</v>
      </c>
      <c r="Z118" s="25">
        <v>9.2377400000000005</v>
      </c>
      <c r="AA118" s="46">
        <f t="shared" si="38"/>
        <v>0.28888701254026333</v>
      </c>
      <c r="AC118" s="25">
        <v>0</v>
      </c>
      <c r="AD118" s="46">
        <f t="shared" si="26"/>
        <v>0</v>
      </c>
      <c r="AF118" s="25">
        <v>0</v>
      </c>
      <c r="AG118" s="46">
        <f t="shared" si="27"/>
        <v>0</v>
      </c>
      <c r="AI118" s="25">
        <v>-2.7010000000000003E-2</v>
      </c>
      <c r="AJ118" s="46">
        <f t="shared" si="23"/>
        <v>-7.9385139901246189E-4</v>
      </c>
      <c r="AL118" s="25">
        <v>0</v>
      </c>
      <c r="AM118" s="46">
        <f t="shared" si="24"/>
        <v>0</v>
      </c>
      <c r="AO118" s="25">
        <f t="shared" si="36"/>
        <v>89.720550000000003</v>
      </c>
      <c r="AP118" s="46">
        <f t="shared" si="37"/>
        <v>0.187659850826811</v>
      </c>
      <c r="AQ118" s="93"/>
    </row>
    <row r="119" spans="1:43" outlineLevel="1">
      <c r="A119" s="278" t="s">
        <v>445</v>
      </c>
      <c r="B119" s="9">
        <v>6666021502</v>
      </c>
      <c r="C119" s="9" t="s">
        <v>118</v>
      </c>
      <c r="D119" s="9" t="s">
        <v>123</v>
      </c>
      <c r="E119" s="11">
        <v>0</v>
      </c>
      <c r="F119" s="26">
        <f t="shared" si="30"/>
        <v>0</v>
      </c>
      <c r="H119" s="25">
        <v>0.22008000000000003</v>
      </c>
      <c r="I119" s="46">
        <f t="shared" si="31"/>
        <v>4.7809180370603699E-3</v>
      </c>
      <c r="K119" s="25">
        <v>1.9622200000000001</v>
      </c>
      <c r="L119" s="46">
        <f t="shared" si="32"/>
        <v>4.2346720763105083E-2</v>
      </c>
      <c r="N119" s="25">
        <v>4.5226899999999999</v>
      </c>
      <c r="O119" s="46">
        <f t="shared" si="33"/>
        <v>9.1621052205092882E-2</v>
      </c>
      <c r="Q119" s="25">
        <v>4.7311199999999998</v>
      </c>
      <c r="R119" s="46">
        <f t="shared" si="34"/>
        <v>8.8096231193207197E-2</v>
      </c>
      <c r="T119" s="25">
        <v>0.18259999999999998</v>
      </c>
      <c r="U119" s="46">
        <f t="shared" si="35"/>
        <v>6.1556094929881332E-3</v>
      </c>
      <c r="W119" s="25">
        <v>0.32195000000000001</v>
      </c>
      <c r="X119" s="46">
        <f t="shared" si="28"/>
        <v>7.6916644766705684E-3</v>
      </c>
      <c r="Z119" s="25">
        <v>0</v>
      </c>
      <c r="AA119" s="46">
        <f t="shared" si="38"/>
        <v>0</v>
      </c>
      <c r="AC119" s="25">
        <v>19.622319999999998</v>
      </c>
      <c r="AD119" s="46">
        <f t="shared" si="26"/>
        <v>0.69415310598556668</v>
      </c>
      <c r="AF119" s="25">
        <v>6.5906099999999999</v>
      </c>
      <c r="AG119" s="46">
        <f t="shared" si="27"/>
        <v>0.25144443172713749</v>
      </c>
      <c r="AI119" s="25">
        <v>41.179209999999998</v>
      </c>
      <c r="AJ119" s="46">
        <f t="shared" si="23"/>
        <v>1.2102989066541263</v>
      </c>
      <c r="AL119" s="25">
        <v>25.705719999999999</v>
      </c>
      <c r="AM119" s="46">
        <f t="shared" si="24"/>
        <v>0.61068871308768669</v>
      </c>
      <c r="AO119" s="25">
        <f t="shared" si="36"/>
        <v>105.03851999999999</v>
      </c>
      <c r="AP119" s="46">
        <f t="shared" si="37"/>
        <v>0.2196989763690593</v>
      </c>
      <c r="AQ119" s="93"/>
    </row>
    <row r="120" spans="1:43" outlineLevel="1">
      <c r="A120" s="278" t="s">
        <v>445</v>
      </c>
      <c r="B120" s="9">
        <v>6666021503</v>
      </c>
      <c r="C120" s="9" t="s">
        <v>119</v>
      </c>
      <c r="D120" s="9" t="s">
        <v>123</v>
      </c>
      <c r="E120" s="11">
        <v>0.14445</v>
      </c>
      <c r="F120" s="26">
        <f t="shared" si="30"/>
        <v>2.9739968293837887E-3</v>
      </c>
      <c r="H120" s="25">
        <v>2.7737099999999999</v>
      </c>
      <c r="I120" s="46">
        <f t="shared" si="31"/>
        <v>6.0254817196359133E-2</v>
      </c>
      <c r="K120" s="25">
        <v>1.8794600000000001</v>
      </c>
      <c r="L120" s="46">
        <f t="shared" si="32"/>
        <v>4.0560675054492096E-2</v>
      </c>
      <c r="N120" s="25">
        <v>3.8187199999999999</v>
      </c>
      <c r="O120" s="46">
        <f t="shared" si="33"/>
        <v>7.7359965966412092E-2</v>
      </c>
      <c r="Q120" s="25">
        <v>2.4160899999999996</v>
      </c>
      <c r="R120" s="46">
        <f t="shared" si="34"/>
        <v>4.4989013853716661E-2</v>
      </c>
      <c r="T120" s="25">
        <v>2.37296</v>
      </c>
      <c r="U120" s="46">
        <f t="shared" si="35"/>
        <v>7.9994606256742179E-2</v>
      </c>
      <c r="W120" s="25">
        <v>7.6967700000000008</v>
      </c>
      <c r="X120" s="46">
        <f t="shared" si="28"/>
        <v>0.18388250471844617</v>
      </c>
      <c r="Z120" s="25">
        <v>2.4728599999999998</v>
      </c>
      <c r="AA120" s="46">
        <f t="shared" si="38"/>
        <v>7.7332457703974719E-2</v>
      </c>
      <c r="AC120" s="25">
        <v>2.41635</v>
      </c>
      <c r="AD120" s="46">
        <f t="shared" si="26"/>
        <v>8.5480048110938164E-2</v>
      </c>
      <c r="AF120" s="25">
        <v>0.44097000000000003</v>
      </c>
      <c r="AG120" s="46">
        <f t="shared" si="27"/>
        <v>1.6823852580977454E-2</v>
      </c>
      <c r="AI120" s="25">
        <v>2.4494499999999997</v>
      </c>
      <c r="AJ120" s="46">
        <f t="shared" si="23"/>
        <v>7.1991829296966847E-2</v>
      </c>
      <c r="AL120" s="25">
        <v>14.070789999999999</v>
      </c>
      <c r="AM120" s="46">
        <f t="shared" si="24"/>
        <v>0.33427862114840945</v>
      </c>
      <c r="AO120" s="25">
        <f t="shared" si="36"/>
        <v>42.952579999999998</v>
      </c>
      <c r="AP120" s="46">
        <f t="shared" si="37"/>
        <v>8.983978314250933E-2</v>
      </c>
      <c r="AQ120" s="93"/>
    </row>
    <row r="121" spans="1:43" outlineLevel="1">
      <c r="A121" s="278" t="s">
        <v>445</v>
      </c>
      <c r="B121" s="9">
        <v>6666021505</v>
      </c>
      <c r="C121" s="9" t="s">
        <v>120</v>
      </c>
      <c r="D121" s="9" t="s">
        <v>123</v>
      </c>
      <c r="E121" s="11">
        <v>0</v>
      </c>
      <c r="F121" s="26">
        <f t="shared" si="30"/>
        <v>0</v>
      </c>
      <c r="H121" s="25">
        <v>3.4099999999999998E-2</v>
      </c>
      <c r="I121" s="46">
        <f t="shared" si="31"/>
        <v>7.4077292377207652E-4</v>
      </c>
      <c r="K121" s="25">
        <v>0</v>
      </c>
      <c r="L121" s="46">
        <f t="shared" si="32"/>
        <v>0</v>
      </c>
      <c r="N121" s="25">
        <v>-6.8400000000000002E-2</v>
      </c>
      <c r="O121" s="46">
        <f t="shared" si="33"/>
        <v>-1.3856532220489031E-3</v>
      </c>
      <c r="Q121" s="25">
        <v>0</v>
      </c>
      <c r="R121" s="46">
        <f t="shared" si="34"/>
        <v>0</v>
      </c>
      <c r="T121" s="25">
        <v>0</v>
      </c>
      <c r="U121" s="46">
        <f t="shared" si="35"/>
        <v>0</v>
      </c>
      <c r="W121" s="25">
        <v>-1.1789999999999998E-2</v>
      </c>
      <c r="X121" s="46">
        <f t="shared" si="28"/>
        <v>-2.8167331629118186E-4</v>
      </c>
      <c r="Z121" s="25">
        <v>0</v>
      </c>
      <c r="AA121" s="46">
        <f t="shared" si="38"/>
        <v>0</v>
      </c>
      <c r="AC121" s="25">
        <v>2.9999999999999997E-5</v>
      </c>
      <c r="AD121" s="46">
        <f t="shared" si="26"/>
        <v>1.0612706947785481E-6</v>
      </c>
      <c r="AF121" s="25">
        <v>-4.0000000000000001E-3</v>
      </c>
      <c r="AG121" s="46">
        <f t="shared" si="27"/>
        <v>-1.5260768379687917E-4</v>
      </c>
      <c r="AI121" s="25">
        <v>0</v>
      </c>
      <c r="AJ121" s="46">
        <f t="shared" si="23"/>
        <v>0</v>
      </c>
      <c r="AL121" s="25">
        <v>-1.537E-2</v>
      </c>
      <c r="AM121" s="46">
        <f t="shared" si="24"/>
        <v>-3.6514384814577243E-4</v>
      </c>
      <c r="AO121" s="25">
        <f t="shared" si="36"/>
        <v>-6.5430000000000002E-2</v>
      </c>
      <c r="AP121" s="46">
        <f t="shared" si="37"/>
        <v>-1.3685364210984266E-4</v>
      </c>
      <c r="AQ121" s="93"/>
    </row>
    <row r="122" spans="1:43" outlineLevel="1">
      <c r="A122" s="278" t="s">
        <v>445</v>
      </c>
      <c r="B122" s="9">
        <v>6666021506</v>
      </c>
      <c r="C122" s="9" t="s">
        <v>121</v>
      </c>
      <c r="D122" s="9" t="s">
        <v>123</v>
      </c>
      <c r="E122" s="11">
        <v>9.9573099999999997</v>
      </c>
      <c r="F122" s="26">
        <f t="shared" si="30"/>
        <v>0.20500525004632394</v>
      </c>
      <c r="H122" s="25">
        <v>29.103549999999998</v>
      </c>
      <c r="I122" s="46">
        <f t="shared" si="31"/>
        <v>0.632232311602546</v>
      </c>
      <c r="K122" s="25">
        <v>28.342830000000003</v>
      </c>
      <c r="L122" s="46">
        <f t="shared" si="32"/>
        <v>0.61166735006582218</v>
      </c>
      <c r="N122" s="25">
        <v>25.03049</v>
      </c>
      <c r="O122" s="46">
        <f t="shared" si="33"/>
        <v>0.50706987014565574</v>
      </c>
      <c r="Q122" s="25">
        <v>29.09008</v>
      </c>
      <c r="R122" s="46">
        <f t="shared" si="34"/>
        <v>0.54167436317592732</v>
      </c>
      <c r="T122" s="25">
        <v>25.93093</v>
      </c>
      <c r="U122" s="46">
        <f t="shared" si="35"/>
        <v>0.87415486785329011</v>
      </c>
      <c r="W122" s="25">
        <v>38.272820000000003</v>
      </c>
      <c r="X122" s="46">
        <f t="shared" si="28"/>
        <v>0.9143708340301504</v>
      </c>
      <c r="Z122" s="25">
        <v>7.2030499999999993</v>
      </c>
      <c r="AA122" s="46">
        <f t="shared" si="38"/>
        <v>0.22525721612408917</v>
      </c>
      <c r="AC122" s="25">
        <v>26.773340000000001</v>
      </c>
      <c r="AD122" s="46">
        <f t="shared" si="26"/>
        <v>0.94712537144474318</v>
      </c>
      <c r="AF122" s="25">
        <v>14.58544</v>
      </c>
      <c r="AG122" s="46">
        <f t="shared" si="27"/>
        <v>0.55646255388958832</v>
      </c>
      <c r="AI122" s="25">
        <v>36.251940000000005</v>
      </c>
      <c r="AJ122" s="46">
        <f t="shared" si="23"/>
        <v>1.0654814248765578</v>
      </c>
      <c r="AL122" s="25">
        <v>30.75413</v>
      </c>
      <c r="AM122" s="46">
        <f t="shared" si="24"/>
        <v>0.73062338155987927</v>
      </c>
      <c r="AO122" s="25">
        <f t="shared" si="36"/>
        <v>301.29590999999994</v>
      </c>
      <c r="AP122" s="46">
        <f t="shared" si="37"/>
        <v>0.63019169549594001</v>
      </c>
      <c r="AQ122" s="93"/>
    </row>
    <row r="123" spans="1:43" outlineLevel="2">
      <c r="A123" s="278" t="s">
        <v>445</v>
      </c>
      <c r="B123" s="9">
        <v>6666030300</v>
      </c>
      <c r="C123" s="9" t="s">
        <v>72</v>
      </c>
      <c r="D123" s="9" t="s">
        <v>80</v>
      </c>
      <c r="E123" s="11">
        <v>3.2313099999999997</v>
      </c>
      <c r="F123" s="26">
        <f>E123/$E$1*1000</f>
        <v>6.6527557596096437E-2</v>
      </c>
      <c r="H123" s="25">
        <v>3.6772900000000002</v>
      </c>
      <c r="I123" s="46">
        <f t="shared" si="31"/>
        <v>7.9883779028088547E-2</v>
      </c>
      <c r="K123" s="25">
        <f>9338.42/1000</f>
        <v>9.3384199999999993</v>
      </c>
      <c r="L123" s="46">
        <f t="shared" si="32"/>
        <v>0.20153268446381939</v>
      </c>
      <c r="N123" s="25">
        <f>((-33.4)+16.7)/1000</f>
        <v>-1.67E-2</v>
      </c>
      <c r="O123" s="46">
        <f t="shared" si="33"/>
        <v>-3.3831007029556546E-4</v>
      </c>
      <c r="Q123" s="25">
        <v>4.1329799999999999</v>
      </c>
      <c r="R123" s="46">
        <f t="shared" si="34"/>
        <v>7.6958513332340231E-2</v>
      </c>
      <c r="T123" s="25">
        <v>5.6893599999999998</v>
      </c>
      <c r="U123" s="46">
        <f t="shared" si="35"/>
        <v>0.19179341963322544</v>
      </c>
      <c r="W123" s="25">
        <v>3.82762</v>
      </c>
      <c r="X123" s="46">
        <f t="shared" si="28"/>
        <v>9.1445158515899377E-2</v>
      </c>
      <c r="Z123" s="25">
        <v>-2.0062500000000001</v>
      </c>
      <c r="AA123" s="46">
        <f t="shared" si="38"/>
        <v>-6.2740407167651752E-2</v>
      </c>
      <c r="AC123" s="25">
        <v>13.23184</v>
      </c>
      <c r="AD123" s="46">
        <f t="shared" si="26"/>
        <v>0.46808546766661951</v>
      </c>
      <c r="AF123" s="25">
        <v>14.00221</v>
      </c>
      <c r="AG123" s="46">
        <f t="shared" si="27"/>
        <v>0.53421120903437491</v>
      </c>
      <c r="AI123" s="25">
        <v>2.4342800000000002</v>
      </c>
      <c r="AJ123" s="46">
        <f t="shared" si="23"/>
        <v>7.1545967552316028E-2</v>
      </c>
      <c r="AL123" s="25">
        <v>7.6311599999999995</v>
      </c>
      <c r="AM123" s="46">
        <f t="shared" si="24"/>
        <v>0.18129285154301189</v>
      </c>
      <c r="AO123" s="25">
        <f t="shared" si="36"/>
        <v>65.173519999999996</v>
      </c>
      <c r="AP123" s="46">
        <f t="shared" si="37"/>
        <v>0.13631718754575384</v>
      </c>
      <c r="AQ123" s="93"/>
    </row>
    <row r="124" spans="1:43" outlineLevel="1">
      <c r="A124" s="278" t="s">
        <v>445</v>
      </c>
      <c r="B124" s="9">
        <v>6666091600</v>
      </c>
      <c r="C124" s="9" t="s">
        <v>122</v>
      </c>
      <c r="D124" s="9" t="s">
        <v>123</v>
      </c>
      <c r="E124" s="11">
        <v>0</v>
      </c>
      <c r="F124" s="26">
        <f t="shared" si="30"/>
        <v>0</v>
      </c>
      <c r="H124" s="25">
        <v>0.66091000000000011</v>
      </c>
      <c r="I124" s="46">
        <f t="shared" si="31"/>
        <v>1.4357308887102732E-2</v>
      </c>
      <c r="K124" s="25">
        <v>0.45872000000000002</v>
      </c>
      <c r="L124" s="46">
        <f t="shared" si="32"/>
        <v>9.8996482292768202E-3</v>
      </c>
      <c r="N124" s="25">
        <v>0.86864999999999992</v>
      </c>
      <c r="O124" s="46">
        <f t="shared" si="33"/>
        <v>1.7597188177379819E-2</v>
      </c>
      <c r="Q124" s="25">
        <v>0.52427000000000001</v>
      </c>
      <c r="R124" s="46">
        <f t="shared" si="34"/>
        <v>9.7622151050201101E-3</v>
      </c>
      <c r="T124" s="25">
        <v>0.48681000000000002</v>
      </c>
      <c r="U124" s="46">
        <f t="shared" si="35"/>
        <v>1.6410800970873787E-2</v>
      </c>
      <c r="W124" s="25">
        <v>0.49057999999999996</v>
      </c>
      <c r="X124" s="46">
        <f t="shared" si="28"/>
        <v>1.1720381298229686E-2</v>
      </c>
      <c r="Z124" s="25">
        <v>0.46849000000000002</v>
      </c>
      <c r="AA124" s="46">
        <f t="shared" si="38"/>
        <v>1.4650842793257655E-2</v>
      </c>
      <c r="AC124" s="25">
        <v>0.45711000000000002</v>
      </c>
      <c r="AD124" s="46">
        <f t="shared" si="26"/>
        <v>1.6170581576340739E-2</v>
      </c>
      <c r="AF124" s="25">
        <v>0.47410000000000002</v>
      </c>
      <c r="AG124" s="46">
        <f t="shared" si="27"/>
        <v>1.8087825722025105E-2</v>
      </c>
      <c r="AI124" s="25">
        <v>0.56572999999999996</v>
      </c>
      <c r="AJ124" s="46">
        <f t="shared" si="23"/>
        <v>1.6627380672466493E-2</v>
      </c>
      <c r="AL124" s="25">
        <v>0.34270000000000006</v>
      </c>
      <c r="AM124" s="46">
        <f t="shared" si="24"/>
        <v>8.141496210771388E-3</v>
      </c>
      <c r="AO124" s="25">
        <f t="shared" si="36"/>
        <v>5.7980700000000001</v>
      </c>
      <c r="AP124" s="46">
        <f t="shared" si="37"/>
        <v>1.2127265729907008E-2</v>
      </c>
      <c r="AQ124" s="93"/>
    </row>
    <row r="125" spans="1:43" s="24" customFormat="1">
      <c r="A125" s="278"/>
      <c r="B125" s="37" t="s">
        <v>142</v>
      </c>
      <c r="C125" s="36" t="s">
        <v>123</v>
      </c>
      <c r="D125" s="38"/>
      <c r="E125" s="97">
        <v>106.56044999999999</v>
      </c>
      <c r="F125" s="171">
        <f t="shared" si="30"/>
        <v>2.1939109756850796</v>
      </c>
      <c r="G125" s="314"/>
      <c r="H125" s="178">
        <f>SUM(H111:H124)</f>
        <v>153.96876999999998</v>
      </c>
      <c r="I125" s="171">
        <f t="shared" si="31"/>
        <v>3.3447476810114476</v>
      </c>
      <c r="J125" s="314"/>
      <c r="K125" s="178">
        <f>SUM(K111:K124)</f>
        <v>160.75323</v>
      </c>
      <c r="L125" s="171">
        <f t="shared" si="32"/>
        <v>3.469219630101215</v>
      </c>
      <c r="M125" s="186"/>
      <c r="N125" s="178">
        <f>SUM(N111:N124)</f>
        <v>126.39878</v>
      </c>
      <c r="O125" s="171">
        <f t="shared" si="33"/>
        <v>2.5605976135972286</v>
      </c>
      <c r="P125" s="16"/>
      <c r="Q125" s="178">
        <f>SUM(Q111:Q124)</f>
        <v>134.84843000000004</v>
      </c>
      <c r="R125" s="171">
        <f t="shared" si="34"/>
        <v>2.5109569119618658</v>
      </c>
      <c r="S125" s="16"/>
      <c r="T125" s="178">
        <f>SUM(T111:T124)</f>
        <v>121.74311</v>
      </c>
      <c r="U125" s="171">
        <f t="shared" si="35"/>
        <v>4.1040692421790723</v>
      </c>
      <c r="V125" s="16"/>
      <c r="W125" s="178">
        <f>SUM(W111:W124)</f>
        <v>124.63709</v>
      </c>
      <c r="X125" s="171">
        <f t="shared" si="28"/>
        <v>2.9776880808466921</v>
      </c>
      <c r="Y125" s="16"/>
      <c r="Z125" s="178">
        <f>SUM(Z111:Z124)</f>
        <v>83.612650000000016</v>
      </c>
      <c r="AA125" s="171">
        <f t="shared" si="38"/>
        <v>2.6147746818025461</v>
      </c>
      <c r="AB125" s="16"/>
      <c r="AC125" s="178">
        <f>SUM(AC111:AC124)</f>
        <v>148.55296000000001</v>
      </c>
      <c r="AD125" s="171">
        <f t="shared" si="26"/>
        <v>5.2551634356869963</v>
      </c>
      <c r="AE125" s="16"/>
      <c r="AF125" s="178">
        <f>SUM(AF111:AF124)</f>
        <v>105.02582000000001</v>
      </c>
      <c r="AG125" s="171">
        <f t="shared" si="27"/>
        <v>4.0069367822669877</v>
      </c>
      <c r="AH125" s="16"/>
      <c r="AI125" s="178">
        <f>SUM(AI111:AI124)</f>
        <v>145.71916000000002</v>
      </c>
      <c r="AJ125" s="171">
        <f t="shared" si="23"/>
        <v>4.2828344697860343</v>
      </c>
      <c r="AK125" s="186"/>
      <c r="AL125" s="178">
        <f>SUM(AL111:AL124)</f>
        <v>140.57602</v>
      </c>
      <c r="AM125" s="171">
        <f t="shared" si="24"/>
        <v>3.3396531489796404</v>
      </c>
      <c r="AN125" s="186"/>
      <c r="AO125" s="178">
        <f>SUM(AO111:AO124)</f>
        <v>1552.3964700000001</v>
      </c>
      <c r="AP125" s="171">
        <f t="shared" si="37"/>
        <v>3.2469984856787883</v>
      </c>
      <c r="AQ125" s="93"/>
    </row>
    <row r="126" spans="1:43" s="34" customFormat="1">
      <c r="A126" s="279"/>
      <c r="B126" s="13"/>
      <c r="C126" s="13"/>
      <c r="D126" s="13" t="s">
        <v>139</v>
      </c>
      <c r="E126" s="27">
        <v>1151.4446399999999</v>
      </c>
      <c r="F126" s="30">
        <f t="shared" si="30"/>
        <v>23.706422350785449</v>
      </c>
      <c r="G126" s="314"/>
      <c r="H126" s="27">
        <f>+H125+H110+H102+H94+H89+H86+H84+H82+H77+H27+H13+H22</f>
        <v>1054.2091317777777</v>
      </c>
      <c r="I126" s="30">
        <f t="shared" si="31"/>
        <v>22.90116072769052</v>
      </c>
      <c r="J126" s="314"/>
      <c r="K126" s="27">
        <f>+K125+K110+K102+K94+K89+K86+K84+K82+K77+K27+K13+K22</f>
        <v>1232.0451484444443</v>
      </c>
      <c r="L126" s="30">
        <f t="shared" si="32"/>
        <v>26.588798334903949</v>
      </c>
      <c r="M126" s="186"/>
      <c r="N126" s="27">
        <f>+N125+N110+N102+N94+N89+N86+N84+N82+N77+N27+N13+N22</f>
        <v>1069.7310500000001</v>
      </c>
      <c r="O126" s="30">
        <f>N126/$N$1*1000</f>
        <v>21.670705791787373</v>
      </c>
      <c r="P126" s="16"/>
      <c r="Q126" s="27">
        <f>+Q125+Q110+Q102+Q94+Q89+Q86+Q84+Q82+Q77+Q27+Q13+Q22</f>
        <v>1286.7463599999999</v>
      </c>
      <c r="R126" s="30">
        <f t="shared" si="34"/>
        <v>23.959972441531356</v>
      </c>
      <c r="S126" s="16"/>
      <c r="T126" s="27">
        <f>+T125+T110+T102+T94+T89+T86+T84+T82+T77+T27+T13+T22</f>
        <v>1173.0925553487182</v>
      </c>
      <c r="U126" s="30">
        <f t="shared" si="35"/>
        <v>39.54600038257545</v>
      </c>
      <c r="V126" s="16"/>
      <c r="W126" s="27">
        <f>+W125+W110+W102+W94+W89+W86+W84+W82+W77+W27+W13+W22</f>
        <v>1052.9481794275648</v>
      </c>
      <c r="X126" s="30">
        <f>W126/$W$1*1000</f>
        <v>25.15584440900124</v>
      </c>
      <c r="Y126" s="16"/>
      <c r="Z126" s="27">
        <f>+Z125+Z110+Z102+Z94+Z89+Z86+Z84+Z82+Z77+Z27+Z13+Z22</f>
        <v>958.5620677506987</v>
      </c>
      <c r="AA126" s="30">
        <f>Z126/$Z$1*1000</f>
        <v>29.976610305866675</v>
      </c>
      <c r="AB126" s="16"/>
      <c r="AC126" s="27">
        <f>+AC125+AC110+AC102+AC94+AC89+AC86+AC84+AC82+AC77+AC27+AC13+AC22</f>
        <v>1003.45794</v>
      </c>
      <c r="AD126" s="30">
        <f t="shared" si="26"/>
        <v>35.498016838828356</v>
      </c>
      <c r="AE126" s="16"/>
      <c r="AF126" s="27">
        <f>+AF125+AF110+AF102+AF94+AF89+AF86+AF84+AF82+AF77+AF27+AF13+AF22</f>
        <v>995.15087028689481</v>
      </c>
      <c r="AG126" s="30">
        <f t="shared" si="27"/>
        <v>37.966917335732887</v>
      </c>
      <c r="AH126" s="16"/>
      <c r="AI126" s="27">
        <f>+AI125+AI110+AI102+AI94+AI89+AI86+AI84+AI82+AI77+AI27+AI13+AI22</f>
        <v>1195.0974336739021</v>
      </c>
      <c r="AJ126" s="30">
        <f t="shared" si="23"/>
        <v>35.125130310189924</v>
      </c>
      <c r="AK126" s="186"/>
      <c r="AL126" s="27">
        <f>+AL125+AL110+AL102+AL94+AL89+AL86+AL84+AL82+AL77+AL27+AL13+AL22</f>
        <v>1144.9460668908032</v>
      </c>
      <c r="AM126" s="30">
        <f t="shared" si="24"/>
        <v>27.200391202594332</v>
      </c>
      <c r="AN126" s="186"/>
      <c r="AO126" s="27">
        <f>+AO125+AO110+AO102+AO94+AO89+AO86+AO84+AO82+AO77+AO27+AO13+AO22</f>
        <v>13317.431443600804</v>
      </c>
      <c r="AP126" s="30">
        <f t="shared" si="37"/>
        <v>27.854791328211981</v>
      </c>
      <c r="AQ126" s="93"/>
    </row>
    <row r="127" spans="1:43">
      <c r="E127" s="11"/>
      <c r="F127" s="18"/>
      <c r="H127" s="11"/>
      <c r="I127" s="18"/>
      <c r="K127" s="11"/>
      <c r="L127" s="18"/>
      <c r="N127" s="11"/>
      <c r="O127" s="18"/>
      <c r="P127" s="19"/>
      <c r="Q127" s="11"/>
      <c r="R127" s="18"/>
      <c r="S127" s="19"/>
      <c r="T127" s="11"/>
      <c r="U127" s="18"/>
      <c r="V127" s="19"/>
      <c r="W127" s="11"/>
      <c r="X127" s="18"/>
      <c r="Y127" s="19"/>
      <c r="Z127" s="11"/>
      <c r="AA127" s="18"/>
      <c r="AB127" s="19"/>
      <c r="AC127" s="50"/>
      <c r="AD127" s="18"/>
      <c r="AE127" s="19"/>
      <c r="AF127" s="50"/>
      <c r="AG127" s="18"/>
      <c r="AH127" s="19"/>
      <c r="AI127" s="50"/>
      <c r="AJ127" s="18"/>
      <c r="AL127" s="50"/>
      <c r="AM127" s="18"/>
      <c r="AO127" s="11"/>
      <c r="AP127" s="18"/>
    </row>
    <row r="128" spans="1:43">
      <c r="E128" s="11"/>
      <c r="F128" s="18"/>
      <c r="H128" s="11"/>
      <c r="I128" s="18"/>
      <c r="K128" s="11"/>
      <c r="L128" s="18"/>
      <c r="N128" s="11"/>
      <c r="O128" s="18"/>
      <c r="P128" s="19"/>
      <c r="Q128" s="50"/>
      <c r="R128" s="18"/>
      <c r="S128" s="19"/>
      <c r="T128" s="11"/>
      <c r="U128" s="18"/>
      <c r="V128" s="19"/>
      <c r="W128" s="11"/>
      <c r="X128" s="18"/>
      <c r="Y128" s="19"/>
      <c r="Z128" s="11"/>
      <c r="AA128" s="18"/>
      <c r="AB128" s="19"/>
      <c r="AC128" s="11"/>
      <c r="AD128" s="18"/>
      <c r="AE128" s="19"/>
      <c r="AF128" s="11"/>
      <c r="AG128" s="18"/>
      <c r="AH128" s="19"/>
      <c r="AI128" s="11"/>
      <c r="AJ128" s="18"/>
      <c r="AL128" s="11"/>
      <c r="AM128" s="18"/>
      <c r="AO128" s="11"/>
      <c r="AP128" s="18"/>
    </row>
    <row r="129" spans="1:42">
      <c r="E129" s="11"/>
      <c r="F129" s="18"/>
      <c r="H129" s="11"/>
      <c r="I129" s="18"/>
      <c r="K129" s="11"/>
      <c r="L129" s="18"/>
      <c r="N129" s="11"/>
      <c r="O129" s="18"/>
      <c r="P129" s="19"/>
      <c r="Q129" s="11"/>
      <c r="R129" s="18"/>
      <c r="S129" s="19"/>
      <c r="T129" s="11"/>
      <c r="U129" s="18"/>
      <c r="V129" s="19"/>
      <c r="W129" s="11"/>
      <c r="X129" s="18"/>
      <c r="Y129" s="19"/>
      <c r="Z129" s="11"/>
      <c r="AA129" s="18"/>
      <c r="AB129" s="19"/>
      <c r="AC129" s="11"/>
      <c r="AD129" s="18"/>
      <c r="AE129" s="19"/>
      <c r="AF129" s="11"/>
      <c r="AG129" s="18"/>
      <c r="AH129" s="19"/>
      <c r="AI129" s="11"/>
      <c r="AJ129" s="18"/>
      <c r="AL129" s="11"/>
      <c r="AM129" s="18"/>
      <c r="AO129" s="11"/>
      <c r="AP129" s="18"/>
    </row>
    <row r="130" spans="1:42" outlineLevel="1">
      <c r="A130" s="281" t="s">
        <v>446</v>
      </c>
      <c r="B130" s="54">
        <v>6666110110</v>
      </c>
      <c r="C130" s="55" t="s">
        <v>18</v>
      </c>
      <c r="D130" s="55"/>
      <c r="E130" s="61">
        <v>5.9959999999999999E-2</v>
      </c>
      <c r="F130" s="28">
        <f t="shared" ref="F130:F197" si="40">E130/$E$1*1000</f>
        <v>1.2344814807189475E-3</v>
      </c>
      <c r="H130" s="63">
        <v>5.4149999999999997E-2</v>
      </c>
      <c r="I130" s="28">
        <f t="shared" ref="I130:I198" si="41">H130/$H$1*1000</f>
        <v>1.1763300241131361E-3</v>
      </c>
      <c r="K130" s="63">
        <v>5.9950000000000003E-2</v>
      </c>
      <c r="L130" s="28">
        <f>K130/$K$1*1000</f>
        <v>1.2937825064203551E-3</v>
      </c>
      <c r="N130" s="63">
        <v>5.8029999999999998E-2</v>
      </c>
      <c r="O130" s="28">
        <f t="shared" ref="O130:O197" si="42">N130/$N$1*1000</f>
        <v>1.175576849056986E-3</v>
      </c>
      <c r="P130" s="19"/>
      <c r="Q130" s="63">
        <v>5.9959999999999999E-2</v>
      </c>
      <c r="R130" s="28">
        <f t="shared" ref="R130:R198" si="43">Q130/$Q$1*1000</f>
        <v>1.1164903917771486E-3</v>
      </c>
      <c r="S130" s="19"/>
      <c r="T130" s="63">
        <v>5.8029999999999998E-2</v>
      </c>
      <c r="U130" s="28">
        <f t="shared" ref="U130:U198" si="44">T130/$T$1*1000</f>
        <v>1.9562432578209277E-3</v>
      </c>
      <c r="V130" s="19"/>
      <c r="W130" s="63">
        <v>5.9959999999999999E-2</v>
      </c>
      <c r="X130" s="28">
        <f t="shared" ref="X130:X198" si="45">W130/$W$1*1000</f>
        <v>1.4324963566428553E-3</v>
      </c>
      <c r="Y130" s="19"/>
      <c r="Z130" s="63">
        <v>5.9950000000000003E-2</v>
      </c>
      <c r="AA130" s="28">
        <f t="shared" ref="AA130:AA198" si="46">Z130/$Z$1*1000</f>
        <v>1.8747850017199865E-3</v>
      </c>
      <c r="AB130" s="19"/>
      <c r="AC130" s="63">
        <v>5.8020000000000002E-2</v>
      </c>
      <c r="AD130" s="28">
        <f t="shared" ref="AD130:AD198" si="47">AC130/$AC$1*1000</f>
        <v>2.0524975237017126E-3</v>
      </c>
      <c r="AE130" s="19"/>
      <c r="AF130" s="63">
        <v>5.9959999999999999E-2</v>
      </c>
      <c r="AG130" s="28">
        <f>AF130/$AF$1*1000</f>
        <v>2.2875891801152188E-3</v>
      </c>
      <c r="AH130" s="19"/>
      <c r="AI130" s="63">
        <v>5.8020000000000002E-2</v>
      </c>
      <c r="AJ130" s="28">
        <f t="shared" ref="AJ130:AJ195" si="48">AI130/$AI$1*1000</f>
        <v>1.7052668704443923E-3</v>
      </c>
      <c r="AL130" s="63">
        <v>5.9959999999999999E-2</v>
      </c>
      <c r="AM130" s="28">
        <f>AL130/$AL$1*1000</f>
        <v>1.4244648753949588E-3</v>
      </c>
      <c r="AO130" s="63">
        <f t="shared" ref="AO130:AO194" si="49">H130+E130+K130+N130+Q130+T130+W130+Z130+AC130+AF130+AI130+AL130</f>
        <v>0.70594999999999997</v>
      </c>
      <c r="AP130" s="28">
        <f t="shared" ref="AP130:AP198" si="50">AO130/$AO$1*1000</f>
        <v>1.47656776169102E-3</v>
      </c>
    </row>
    <row r="131" spans="1:42" outlineLevel="1">
      <c r="A131" s="281" t="s">
        <v>446</v>
      </c>
      <c r="B131" s="56">
        <v>6666110112</v>
      </c>
      <c r="C131" t="s">
        <v>19</v>
      </c>
      <c r="E131" s="62">
        <v>6.5430000000000002E-2</v>
      </c>
      <c r="F131" s="26">
        <f t="shared" si="40"/>
        <v>1.3471001214716599E-3</v>
      </c>
      <c r="H131" s="64">
        <v>5.91E-2</v>
      </c>
      <c r="I131" s="26">
        <f t="shared" si="41"/>
        <v>1.2838615775639215E-3</v>
      </c>
      <c r="K131" s="64">
        <v>6.5450000000000008E-2</v>
      </c>
      <c r="L131" s="26">
        <f t="shared" ref="L131:L198" si="51">K131/$K$1*1000</f>
        <v>1.4124781492112137E-3</v>
      </c>
      <c r="N131" s="64">
        <v>6.3329999999999997E-2</v>
      </c>
      <c r="O131" s="26">
        <f t="shared" si="42"/>
        <v>1.2829447156777344E-3</v>
      </c>
      <c r="P131" s="19"/>
      <c r="Q131" s="64">
        <v>7.0559999999999998E-2</v>
      </c>
      <c r="R131" s="26">
        <f t="shared" si="43"/>
        <v>1.3138686131386862E-3</v>
      </c>
      <c r="S131" s="19"/>
      <c r="T131" s="64">
        <v>7.3189999999999991E-2</v>
      </c>
      <c r="U131" s="26">
        <f t="shared" si="44"/>
        <v>2.4673004314994603E-3</v>
      </c>
      <c r="V131" s="19"/>
      <c r="W131" s="64">
        <v>7.5469999999999995E-2</v>
      </c>
      <c r="X131" s="26">
        <f t="shared" si="45"/>
        <v>1.8030436963948683E-3</v>
      </c>
      <c r="Y131" s="19"/>
      <c r="Z131" s="64">
        <v>7.5459999999999999E-2</v>
      </c>
      <c r="AA131" s="26">
        <f t="shared" si="46"/>
        <v>2.3598211214310287E-3</v>
      </c>
      <c r="AB131" s="19"/>
      <c r="AC131" s="64">
        <v>7.3189999999999991E-2</v>
      </c>
      <c r="AD131" s="26">
        <f t="shared" si="47"/>
        <v>2.5891467383613977E-3</v>
      </c>
      <c r="AE131" s="19"/>
      <c r="AF131" s="64">
        <v>0</v>
      </c>
      <c r="AG131" s="26">
        <f t="shared" ref="AG131:AG196" si="52">AF131/$AF$1*1000</f>
        <v>0</v>
      </c>
      <c r="AH131" s="19"/>
      <c r="AI131" s="64">
        <v>3.8539999999999998E-2</v>
      </c>
      <c r="AJ131" s="26">
        <f t="shared" si="48"/>
        <v>1.13272983776158E-3</v>
      </c>
      <c r="AL131" s="64">
        <v>3.7990000000000003E-2</v>
      </c>
      <c r="AM131" s="26">
        <f t="shared" ref="AM131:AM195" si="53">AL131/$AL$1*1000</f>
        <v>9.0252536051124894E-4</v>
      </c>
      <c r="AO131" s="64">
        <f t="shared" si="49"/>
        <v>0.69770999999999994</v>
      </c>
      <c r="AP131" s="26">
        <f t="shared" si="50"/>
        <v>1.4593329456894133E-3</v>
      </c>
    </row>
    <row r="132" spans="1:42" outlineLevel="1">
      <c r="A132" s="281" t="s">
        <v>446</v>
      </c>
      <c r="B132" s="56">
        <v>6666110207</v>
      </c>
      <c r="C132" t="s">
        <v>21</v>
      </c>
      <c r="E132" s="62">
        <v>5.7340000000000002E-2</v>
      </c>
      <c r="F132" s="26">
        <f t="shared" si="40"/>
        <v>1.1805398282926027E-3</v>
      </c>
      <c r="H132" s="64">
        <v>5.1789999999999996E-2</v>
      </c>
      <c r="I132" s="26">
        <f t="shared" si="41"/>
        <v>1.125062455195186E-3</v>
      </c>
      <c r="K132" s="64">
        <v>2.6800000000000001E-3</v>
      </c>
      <c r="L132" s="26">
        <f t="shared" si="51"/>
        <v>5.7837149578090943E-5</v>
      </c>
      <c r="N132" s="64">
        <v>1.1299999999999999E-3</v>
      </c>
      <c r="O132" s="26">
        <f t="shared" si="42"/>
        <v>2.2891639487065208E-5</v>
      </c>
      <c r="P132" s="19"/>
      <c r="Q132" s="64">
        <v>1.16E-3</v>
      </c>
      <c r="R132" s="26">
        <f t="shared" si="43"/>
        <v>2.1599880828243705E-5</v>
      </c>
      <c r="S132" s="19"/>
      <c r="T132" s="64">
        <v>1.1299999999999999E-3</v>
      </c>
      <c r="U132" s="26">
        <f t="shared" si="44"/>
        <v>3.80933117583603E-5</v>
      </c>
      <c r="V132" s="19"/>
      <c r="W132" s="64">
        <v>1.16E-3</v>
      </c>
      <c r="X132" s="26">
        <f t="shared" si="45"/>
        <v>2.7713405165205342E-5</v>
      </c>
      <c r="Y132" s="19"/>
      <c r="Z132" s="64">
        <v>1.16E-3</v>
      </c>
      <c r="AA132" s="26">
        <f t="shared" si="46"/>
        <v>3.6276073427776219E-5</v>
      </c>
      <c r="AB132" s="19"/>
      <c r="AC132" s="64">
        <v>1.1200000000000001E-3</v>
      </c>
      <c r="AD132" s="26">
        <f t="shared" si="47"/>
        <v>3.9620772605065804E-5</v>
      </c>
      <c r="AE132" s="19"/>
      <c r="AF132" s="64">
        <v>1.16E-3</v>
      </c>
      <c r="AG132" s="26">
        <f t="shared" si="52"/>
        <v>4.4256228301094966E-5</v>
      </c>
      <c r="AH132" s="19"/>
      <c r="AI132" s="64">
        <v>1.1200000000000001E-3</v>
      </c>
      <c r="AJ132" s="26">
        <f t="shared" si="48"/>
        <v>3.2917940277451213E-5</v>
      </c>
      <c r="AL132" s="64">
        <v>1.16E-3</v>
      </c>
      <c r="AM132" s="26">
        <f t="shared" si="53"/>
        <v>2.7558026275152636E-5</v>
      </c>
      <c r="AO132" s="25">
        <f t="shared" si="49"/>
        <v>0.12210999999999998</v>
      </c>
      <c r="AP132" s="26">
        <f t="shared" si="50"/>
        <v>2.55405750237397E-4</v>
      </c>
    </row>
    <row r="133" spans="1:42" outlineLevel="1">
      <c r="A133" s="281" t="s">
        <v>446</v>
      </c>
      <c r="B133" s="56">
        <v>6666110506</v>
      </c>
      <c r="C133" t="s">
        <v>22</v>
      </c>
      <c r="E133" s="62">
        <v>6.3969999999999999E-2</v>
      </c>
      <c r="F133" s="26">
        <f t="shared" si="40"/>
        <v>1.3170410327149945E-3</v>
      </c>
      <c r="H133" s="64">
        <v>5.7770000000000002E-2</v>
      </c>
      <c r="I133" s="26">
        <f t="shared" si="41"/>
        <v>1.2549692611821953E-3</v>
      </c>
      <c r="K133" s="64">
        <v>6.3960000000000003E-2</v>
      </c>
      <c r="L133" s="26">
        <f t="shared" si="51"/>
        <v>1.3803224205278719E-3</v>
      </c>
      <c r="N133" s="64">
        <v>6.1890000000000001E-2</v>
      </c>
      <c r="O133" s="26">
        <f t="shared" si="42"/>
        <v>1.2537730688977574E-3</v>
      </c>
      <c r="P133" s="19"/>
      <c r="Q133" s="64">
        <v>6.3969999999999999E-2</v>
      </c>
      <c r="R133" s="26">
        <f t="shared" si="43"/>
        <v>1.1911589453299568E-3</v>
      </c>
      <c r="S133" s="19"/>
      <c r="T133" s="64">
        <v>6.1899999999999997E-2</v>
      </c>
      <c r="U133" s="26">
        <f t="shared" si="44"/>
        <v>2.0867044228694712E-3</v>
      </c>
      <c r="V133" s="19"/>
      <c r="W133" s="64">
        <v>6.3960000000000003E-2</v>
      </c>
      <c r="X133" s="26">
        <f t="shared" si="45"/>
        <v>1.5280598227297706E-3</v>
      </c>
      <c r="Y133" s="19"/>
      <c r="Z133" s="64">
        <v>6.3950000000000007E-2</v>
      </c>
      <c r="AA133" s="26">
        <f t="shared" si="46"/>
        <v>1.9998749100916284E-3</v>
      </c>
      <c r="AB133" s="19"/>
      <c r="AC133" s="64">
        <v>6.1899999999999997E-2</v>
      </c>
      <c r="AD133" s="26">
        <f t="shared" si="47"/>
        <v>2.1897552002264043E-3</v>
      </c>
      <c r="AE133" s="19"/>
      <c r="AF133" s="64">
        <v>6.3890000000000002E-2</v>
      </c>
      <c r="AG133" s="26">
        <f t="shared" si="52"/>
        <v>2.4375262294456523E-3</v>
      </c>
      <c r="AH133" s="19"/>
      <c r="AI133" s="64">
        <v>5.9569999999999998E-2</v>
      </c>
      <c r="AJ133" s="26">
        <f t="shared" si="48"/>
        <v>1.7508229485069362E-3</v>
      </c>
      <c r="AL133" s="64">
        <v>6.1550000000000001E-2</v>
      </c>
      <c r="AM133" s="26">
        <f t="shared" si="53"/>
        <v>1.46223837692728E-3</v>
      </c>
      <c r="AO133" s="25">
        <f t="shared" si="49"/>
        <v>0.74828000000000006</v>
      </c>
      <c r="AP133" s="321">
        <f t="shared" si="50"/>
        <v>1.5651053540876214E-3</v>
      </c>
    </row>
    <row r="134" spans="1:42">
      <c r="A134" s="281"/>
      <c r="B134" s="36" t="s">
        <v>131</v>
      </c>
      <c r="C134" s="36" t="s">
        <v>23</v>
      </c>
      <c r="D134" s="38"/>
      <c r="E134" s="22">
        <v>0.2467</v>
      </c>
      <c r="F134" s="23">
        <f t="shared" si="40"/>
        <v>5.0791624631982045E-3</v>
      </c>
      <c r="H134" s="22">
        <f>SUM(H130:H133)</f>
        <v>0.22281000000000001</v>
      </c>
      <c r="I134" s="23">
        <f t="shared" si="41"/>
        <v>4.8402233180544398E-3</v>
      </c>
      <c r="K134" s="22">
        <f>SUM(K130:K133)</f>
        <v>0.19203999999999999</v>
      </c>
      <c r="L134" s="23">
        <f t="shared" si="51"/>
        <v>4.1444202257375313E-3</v>
      </c>
      <c r="N134" s="22">
        <f>SUM(N130:N133)</f>
        <v>0.18437999999999999</v>
      </c>
      <c r="O134" s="23">
        <f t="shared" si="42"/>
        <v>3.7351862731195428E-3</v>
      </c>
      <c r="P134" s="19"/>
      <c r="Q134" s="22">
        <f>SUM(Q130:Q133)</f>
        <v>0.19564999999999999</v>
      </c>
      <c r="R134" s="23">
        <f t="shared" si="43"/>
        <v>3.6431178310740351E-3</v>
      </c>
      <c r="S134" s="19"/>
      <c r="T134" s="22">
        <f>SUM(T130:T133)</f>
        <v>0.19424999999999998</v>
      </c>
      <c r="U134" s="23">
        <f t="shared" si="44"/>
        <v>6.5483414239482195E-3</v>
      </c>
      <c r="V134" s="19"/>
      <c r="W134" s="22">
        <f>SUM(W130:W133)</f>
        <v>0.20055000000000001</v>
      </c>
      <c r="X134" s="23">
        <f t="shared" si="45"/>
        <v>4.7913132809326991E-3</v>
      </c>
      <c r="Y134" s="19"/>
      <c r="Z134" s="22">
        <f>SUM(Z130:Z133)</f>
        <v>0.20052</v>
      </c>
      <c r="AA134" s="23">
        <f t="shared" si="46"/>
        <v>6.2707571066704191E-3</v>
      </c>
      <c r="AB134" s="19"/>
      <c r="AC134" s="22">
        <f>SUM(AC130:AC133)</f>
        <v>0.19423000000000001</v>
      </c>
      <c r="AD134" s="23">
        <f t="shared" si="47"/>
        <v>6.8710202348945806E-3</v>
      </c>
      <c r="AE134" s="19"/>
      <c r="AF134" s="22">
        <f>SUM(AF130:AF133)</f>
        <v>0.12501000000000001</v>
      </c>
      <c r="AG134" s="23">
        <f t="shared" si="52"/>
        <v>4.7693716378619669E-3</v>
      </c>
      <c r="AH134" s="19"/>
      <c r="AI134" s="22">
        <f>SUM(AI130:AI133)</f>
        <v>0.15725</v>
      </c>
      <c r="AJ134" s="23">
        <f t="shared" si="48"/>
        <v>4.6217375969903598E-3</v>
      </c>
      <c r="AL134" s="22">
        <f>SUM(AL130:AL133)</f>
        <v>0.16066</v>
      </c>
      <c r="AM134" s="23">
        <f t="shared" si="53"/>
        <v>3.8167866391086405E-3</v>
      </c>
      <c r="AO134" s="22">
        <f>SUM(AO130:AO133)</f>
        <v>2.2740499999999999</v>
      </c>
      <c r="AP134" s="23">
        <f t="shared" si="50"/>
        <v>4.7564118117054523E-3</v>
      </c>
    </row>
    <row r="135" spans="1:42">
      <c r="A135" s="281" t="s">
        <v>446</v>
      </c>
      <c r="B135" s="293">
        <v>6666010380</v>
      </c>
      <c r="C135" s="1" t="s">
        <v>25</v>
      </c>
      <c r="D135" s="24"/>
      <c r="E135" s="290"/>
      <c r="F135" s="291"/>
      <c r="H135" s="292"/>
      <c r="I135" s="291"/>
      <c r="K135" s="292"/>
      <c r="L135" s="291"/>
      <c r="N135" s="292"/>
      <c r="O135" s="291"/>
      <c r="P135" s="19"/>
      <c r="Q135" s="292"/>
      <c r="R135" s="291"/>
      <c r="S135" s="19"/>
      <c r="T135" s="292"/>
      <c r="U135" s="291"/>
      <c r="V135" s="19"/>
      <c r="W135" s="292"/>
      <c r="X135" s="291"/>
      <c r="Y135" s="19"/>
      <c r="Z135" s="292"/>
      <c r="AA135" s="291"/>
      <c r="AB135" s="19"/>
      <c r="AC135" s="292">
        <f>56.91/1000</f>
        <v>5.6909999999999995E-2</v>
      </c>
      <c r="AD135" s="26">
        <f t="shared" si="47"/>
        <v>2.0132305079949057E-3</v>
      </c>
      <c r="AE135" s="19"/>
      <c r="AF135" s="292">
        <v>5.6909999999999995E-2</v>
      </c>
      <c r="AG135" s="26">
        <f t="shared" si="52"/>
        <v>2.1712258212200982E-3</v>
      </c>
      <c r="AH135" s="19"/>
      <c r="AI135" s="292">
        <f>56.91/1000</f>
        <v>5.6909999999999995E-2</v>
      </c>
      <c r="AJ135" s="26">
        <f t="shared" si="48"/>
        <v>1.6726428403479896E-3</v>
      </c>
      <c r="AL135" s="292">
        <v>5.6899999999999999E-2</v>
      </c>
      <c r="AM135" s="26">
        <f t="shared" si="53"/>
        <v>1.3517687026346422E-3</v>
      </c>
      <c r="AO135" s="25">
        <f t="shared" si="49"/>
        <v>0.22763</v>
      </c>
      <c r="AP135" s="26">
        <f>AO135/$AO$1*1000</f>
        <v>4.7611179204437543E-4</v>
      </c>
    </row>
    <row r="136" spans="1:42" outlineLevel="1">
      <c r="A136" s="281" t="s">
        <v>446</v>
      </c>
      <c r="B136" s="56">
        <v>5102040406</v>
      </c>
      <c r="C136" t="s">
        <v>168</v>
      </c>
      <c r="E136" s="62">
        <v>3.7799999999999999E-3</v>
      </c>
      <c r="F136" s="26">
        <f t="shared" si="40"/>
        <v>7.7824216096024381E-5</v>
      </c>
      <c r="H136" s="64">
        <v>0</v>
      </c>
      <c r="I136" s="26">
        <f t="shared" si="41"/>
        <v>0</v>
      </c>
      <c r="K136" s="64">
        <v>0</v>
      </c>
      <c r="L136" s="26">
        <f t="shared" si="51"/>
        <v>0</v>
      </c>
      <c r="N136" s="64"/>
      <c r="O136" s="26">
        <f t="shared" si="42"/>
        <v>0</v>
      </c>
      <c r="P136" s="19"/>
      <c r="Q136" s="64"/>
      <c r="R136" s="26">
        <f t="shared" si="43"/>
        <v>0</v>
      </c>
      <c r="S136" s="19"/>
      <c r="T136" s="64"/>
      <c r="U136" s="26">
        <f t="shared" si="44"/>
        <v>0</v>
      </c>
      <c r="V136" s="19"/>
      <c r="W136" s="64">
        <v>0</v>
      </c>
      <c r="X136" s="26">
        <f t="shared" si="45"/>
        <v>0</v>
      </c>
      <c r="Y136" s="19"/>
      <c r="Z136" s="64">
        <v>0</v>
      </c>
      <c r="AA136" s="26">
        <f t="shared" si="46"/>
        <v>0</v>
      </c>
      <c r="AB136" s="19"/>
      <c r="AC136" s="64">
        <v>0</v>
      </c>
      <c r="AD136" s="26">
        <f t="shared" si="47"/>
        <v>0</v>
      </c>
      <c r="AE136" s="19"/>
      <c r="AF136" s="64">
        <v>0</v>
      </c>
      <c r="AG136" s="26">
        <f t="shared" si="52"/>
        <v>0</v>
      </c>
      <c r="AH136" s="19"/>
      <c r="AI136" s="64">
        <v>0</v>
      </c>
      <c r="AJ136" s="26">
        <f t="shared" si="48"/>
        <v>0</v>
      </c>
      <c r="AL136" s="64">
        <v>0</v>
      </c>
      <c r="AM136" s="26">
        <f t="shared" si="53"/>
        <v>0</v>
      </c>
      <c r="AO136" s="25">
        <f t="shared" si="49"/>
        <v>3.7799999999999999E-3</v>
      </c>
      <c r="AP136" s="26">
        <f t="shared" si="50"/>
        <v>7.9062626803485457E-6</v>
      </c>
    </row>
    <row r="137" spans="1:42">
      <c r="A137" s="281"/>
      <c r="B137" s="36" t="s">
        <v>132</v>
      </c>
      <c r="C137" s="36" t="s">
        <v>32</v>
      </c>
      <c r="D137" s="38"/>
      <c r="E137" s="22">
        <v>3.7799999999999999E-3</v>
      </c>
      <c r="F137" s="23">
        <f t="shared" si="40"/>
        <v>7.7824216096024381E-5</v>
      </c>
      <c r="H137" s="22">
        <f>+H136</f>
        <v>0</v>
      </c>
      <c r="I137" s="23">
        <f t="shared" si="41"/>
        <v>0</v>
      </c>
      <c r="K137" s="22">
        <f>+K136</f>
        <v>0</v>
      </c>
      <c r="L137" s="23">
        <f t="shared" si="51"/>
        <v>0</v>
      </c>
      <c r="N137" s="22">
        <f>+N136</f>
        <v>0</v>
      </c>
      <c r="O137" s="23">
        <f t="shared" si="42"/>
        <v>0</v>
      </c>
      <c r="P137" s="19"/>
      <c r="Q137" s="22">
        <f>+Q136</f>
        <v>0</v>
      </c>
      <c r="R137" s="23">
        <f t="shared" si="43"/>
        <v>0</v>
      </c>
      <c r="S137" s="19"/>
      <c r="T137" s="22">
        <f>+T136</f>
        <v>0</v>
      </c>
      <c r="U137" s="23">
        <f t="shared" si="44"/>
        <v>0</v>
      </c>
      <c r="V137" s="19"/>
      <c r="W137" s="22">
        <f>+W136</f>
        <v>0</v>
      </c>
      <c r="X137" s="23">
        <f t="shared" si="45"/>
        <v>0</v>
      </c>
      <c r="Y137" s="19"/>
      <c r="Z137" s="22">
        <f>+Z136</f>
        <v>0</v>
      </c>
      <c r="AA137" s="23">
        <f t="shared" si="46"/>
        <v>0</v>
      </c>
      <c r="AB137" s="19"/>
      <c r="AC137" s="22">
        <f>+AC136+AC135</f>
        <v>5.6909999999999995E-2</v>
      </c>
      <c r="AD137" s="23">
        <f t="shared" si="47"/>
        <v>2.0132305079949057E-3</v>
      </c>
      <c r="AE137" s="19"/>
      <c r="AF137" s="22">
        <f>+AF136+AF135</f>
        <v>5.6909999999999995E-2</v>
      </c>
      <c r="AG137" s="23">
        <f t="shared" si="52"/>
        <v>2.1712258212200982E-3</v>
      </c>
      <c r="AH137" s="19"/>
      <c r="AI137" s="22">
        <f>+AI136+AI135</f>
        <v>5.6909999999999995E-2</v>
      </c>
      <c r="AJ137" s="23">
        <f t="shared" si="48"/>
        <v>1.6726428403479896E-3</v>
      </c>
      <c r="AL137" s="22">
        <f>+AL136+AL135</f>
        <v>5.6899999999999999E-2</v>
      </c>
      <c r="AM137" s="23">
        <f t="shared" si="53"/>
        <v>1.3517687026346422E-3</v>
      </c>
      <c r="AO137" s="22">
        <f>+AO136+AO135</f>
        <v>0.23141</v>
      </c>
      <c r="AP137" s="23">
        <f t="shared" si="50"/>
        <v>4.8401805472472406E-4</v>
      </c>
    </row>
    <row r="138" spans="1:42" outlineLevel="2">
      <c r="A138" s="281" t="s">
        <v>446</v>
      </c>
      <c r="B138" s="56">
        <v>6666029996</v>
      </c>
      <c r="C138" t="s">
        <v>169</v>
      </c>
      <c r="E138" s="62">
        <v>8.4600000000000005E-3</v>
      </c>
      <c r="F138" s="26">
        <f t="shared" si="40"/>
        <v>1.7417800745300695E-4</v>
      </c>
      <c r="H138" s="64">
        <v>7.8099999999999992E-3</v>
      </c>
      <c r="I138" s="26">
        <f t="shared" si="41"/>
        <v>1.6966089544457236E-4</v>
      </c>
      <c r="K138" s="64">
        <v>7.6500000000000005E-3</v>
      </c>
      <c r="L138" s="26">
        <f t="shared" si="51"/>
        <v>1.650948486091029E-4</v>
      </c>
      <c r="N138" s="64">
        <v>-5.8070000000000004E-2</v>
      </c>
      <c r="O138" s="26">
        <f t="shared" si="42"/>
        <v>-1.1763871725786522E-3</v>
      </c>
      <c r="P138" s="19"/>
      <c r="Q138" s="64">
        <v>6.4400000000000004E-3</v>
      </c>
      <c r="R138" s="26">
        <f t="shared" si="43"/>
        <v>1.1991657977059438E-4</v>
      </c>
      <c r="S138" s="19"/>
      <c r="T138" s="64">
        <v>6.5700000000000003E-3</v>
      </c>
      <c r="U138" s="26">
        <f t="shared" si="44"/>
        <v>2.2148058252427185E-4</v>
      </c>
      <c r="V138" s="19"/>
      <c r="W138" s="64">
        <v>6.5799999999999999E-3</v>
      </c>
      <c r="X138" s="26">
        <f t="shared" si="45"/>
        <v>1.5720190171297514E-4</v>
      </c>
      <c r="Y138" s="19"/>
      <c r="Z138" s="64">
        <v>3.1700000000000001E-3</v>
      </c>
      <c r="AA138" s="26">
        <f t="shared" si="46"/>
        <v>9.9133752384526373E-5</v>
      </c>
      <c r="AB138" s="19"/>
      <c r="AC138" s="64">
        <v>9.9700000000000014E-3</v>
      </c>
      <c r="AD138" s="26">
        <f t="shared" si="47"/>
        <v>3.5269562756473757E-4</v>
      </c>
      <c r="AE138" s="19"/>
      <c r="AF138" s="64">
        <v>6.3810000000000006E-2</v>
      </c>
      <c r="AG138" s="26">
        <f t="shared" si="52"/>
        <v>2.434474075769715E-3</v>
      </c>
      <c r="AH138" s="19"/>
      <c r="AI138" s="64">
        <v>1.3980000000000001E-2</v>
      </c>
      <c r="AJ138" s="26">
        <f t="shared" si="48"/>
        <v>4.1088643310604285E-4</v>
      </c>
      <c r="AL138" s="64">
        <v>2.4809999999999999E-2</v>
      </c>
      <c r="AM138" s="26">
        <f t="shared" si="53"/>
        <v>5.8940916541942842E-4</v>
      </c>
      <c r="AO138" s="64">
        <f t="shared" si="49"/>
        <v>0.10118000000000001</v>
      </c>
      <c r="AP138" s="26">
        <f>AO138/$AO$1*1000</f>
        <v>2.1162848095176344E-4</v>
      </c>
    </row>
    <row r="139" spans="1:42">
      <c r="A139" s="281" t="s">
        <v>446</v>
      </c>
      <c r="B139" s="56">
        <v>6666029700</v>
      </c>
      <c r="C139" s="275" t="s">
        <v>38</v>
      </c>
      <c r="E139" s="62">
        <v>39.015180000000001</v>
      </c>
      <c r="F139" s="26">
        <f t="shared" si="40"/>
        <v>0.8032607934775895</v>
      </c>
      <c r="H139" s="64">
        <v>91.643249999999995</v>
      </c>
      <c r="I139" s="26">
        <f t="shared" si="41"/>
        <v>1.9908163708643798</v>
      </c>
      <c r="K139" s="64">
        <v>57.274529999999999</v>
      </c>
      <c r="L139" s="26">
        <f t="shared" si="51"/>
        <v>1.236043118889872</v>
      </c>
      <c r="N139" s="64">
        <v>15.610749999999999</v>
      </c>
      <c r="O139" s="26">
        <f t="shared" si="42"/>
        <v>0.31624394789619753</v>
      </c>
      <c r="P139" s="19"/>
      <c r="Q139" s="64">
        <v>47.885349999999995</v>
      </c>
      <c r="R139" s="26">
        <f t="shared" si="43"/>
        <v>0.89165332191270663</v>
      </c>
      <c r="S139" s="19"/>
      <c r="T139" s="64">
        <v>40.671279999999996</v>
      </c>
      <c r="U139" s="26">
        <f t="shared" si="44"/>
        <v>1.3710652642934196</v>
      </c>
      <c r="V139" s="19"/>
      <c r="W139" s="64">
        <v>45.389060000000001</v>
      </c>
      <c r="X139" s="26">
        <f t="shared" si="45"/>
        <v>1.0843839740067371</v>
      </c>
      <c r="Y139" s="19"/>
      <c r="Z139" s="64">
        <v>34.723730000000003</v>
      </c>
      <c r="AA139" s="26">
        <f t="shared" si="46"/>
        <v>1.0858970510054105</v>
      </c>
      <c r="AB139" s="19"/>
      <c r="AC139" s="64">
        <v>46.258620000000001</v>
      </c>
      <c r="AD139" s="26">
        <f t="shared" si="47"/>
        <v>1.6364305928965615</v>
      </c>
      <c r="AE139" s="19"/>
      <c r="AF139" s="64">
        <v>56.921769999999995</v>
      </c>
      <c r="AG139" s="26">
        <f t="shared" si="52"/>
        <v>2.1716748693296704</v>
      </c>
      <c r="AH139" s="19"/>
      <c r="AI139" s="64">
        <v>44.441129999999994</v>
      </c>
      <c r="AJ139" s="26">
        <f t="shared" si="48"/>
        <v>1.3061700564307546</v>
      </c>
      <c r="AL139" s="64">
        <v>30.193000000000001</v>
      </c>
      <c r="AM139" s="26">
        <f t="shared" si="53"/>
        <v>0.71729266148765825</v>
      </c>
      <c r="AO139" s="64">
        <f t="shared" si="49"/>
        <v>550.02764999999988</v>
      </c>
      <c r="AP139" s="26">
        <f>AO139/$AO$1*1000</f>
        <v>1.150439968876934</v>
      </c>
    </row>
    <row r="140" spans="1:42" outlineLevel="3">
      <c r="A140" s="281" t="s">
        <v>446</v>
      </c>
      <c r="B140" s="56">
        <v>6666010322</v>
      </c>
      <c r="C140" t="s">
        <v>39</v>
      </c>
      <c r="E140" s="62">
        <v>2.0649999999999998E-2</v>
      </c>
      <c r="F140" s="26">
        <f t="shared" si="40"/>
        <v>4.2515081015420724E-4</v>
      </c>
      <c r="H140" s="64">
        <v>1.25E-3</v>
      </c>
      <c r="I140" s="26">
        <f t="shared" si="41"/>
        <v>2.715443268959225E-5</v>
      </c>
      <c r="K140" s="64">
        <v>0.19494</v>
      </c>
      <c r="L140" s="26">
        <f t="shared" si="51"/>
        <v>4.2070052010272571E-3</v>
      </c>
      <c r="N140" s="64">
        <v>8.6209999999999995E-2</v>
      </c>
      <c r="O140" s="26">
        <f t="shared" si="42"/>
        <v>1.7464497700707005E-3</v>
      </c>
      <c r="P140" s="19"/>
      <c r="Q140" s="64">
        <v>3.492E-2</v>
      </c>
      <c r="R140" s="26">
        <f t="shared" si="43"/>
        <v>6.5023089527781912E-4</v>
      </c>
      <c r="S140" s="19"/>
      <c r="T140" s="64">
        <v>0.31738</v>
      </c>
      <c r="U140" s="26">
        <f t="shared" si="44"/>
        <v>1.0699163969795037E-2</v>
      </c>
      <c r="V140" s="19"/>
      <c r="W140" s="64">
        <v>0.17524999999999999</v>
      </c>
      <c r="X140" s="26">
        <f t="shared" si="45"/>
        <v>4.1868743579329612E-3</v>
      </c>
      <c r="Y140" s="19"/>
      <c r="Z140" s="64">
        <v>6.1939999999999995E-2</v>
      </c>
      <c r="AA140" s="26">
        <f t="shared" si="46"/>
        <v>1.9370172311348778E-3</v>
      </c>
      <c r="AB140" s="19"/>
      <c r="AC140" s="64">
        <v>0.15581</v>
      </c>
      <c r="AD140" s="26">
        <f t="shared" si="47"/>
        <v>5.5118862317815199E-3</v>
      </c>
      <c r="AE140" s="19"/>
      <c r="AF140" s="64">
        <v>2.9999999999999997E-5</v>
      </c>
      <c r="AG140" s="26">
        <f t="shared" si="52"/>
        <v>1.1445576284765937E-6</v>
      </c>
      <c r="AH140" s="19"/>
      <c r="AI140" s="64">
        <v>8.9000000000000006E-4</v>
      </c>
      <c r="AJ140" s="26">
        <f t="shared" si="48"/>
        <v>2.6158006113331767E-5</v>
      </c>
      <c r="AL140" s="64">
        <v>0.66792999999999991</v>
      </c>
      <c r="AM140" s="26">
        <f t="shared" si="53"/>
        <v>1.5867959043071294E-2</v>
      </c>
      <c r="AO140" s="64">
        <f t="shared" si="49"/>
        <v>1.7172000000000001</v>
      </c>
      <c r="AP140" s="26">
        <f t="shared" si="50"/>
        <v>3.5917021890726247E-3</v>
      </c>
    </row>
    <row r="141" spans="1:42" outlineLevel="3">
      <c r="A141" s="281" t="s">
        <v>446</v>
      </c>
      <c r="B141" s="56">
        <v>6666020495</v>
      </c>
      <c r="C141" t="s">
        <v>40</v>
      </c>
      <c r="E141" s="62">
        <v>1.34E-3</v>
      </c>
      <c r="F141" s="26">
        <f t="shared" si="40"/>
        <v>2.7588478721871075E-5</v>
      </c>
      <c r="H141" s="64">
        <v>4.1157200000000005</v>
      </c>
      <c r="I141" s="26">
        <f t="shared" si="41"/>
        <v>8.9408033367366899E-2</v>
      </c>
      <c r="K141" s="64">
        <v>1.2670000000000001E-2</v>
      </c>
      <c r="L141" s="26">
        <f t="shared" si="51"/>
        <v>2.7343159893821356E-4</v>
      </c>
      <c r="N141" s="64">
        <v>5.5700000000000003E-3</v>
      </c>
      <c r="O141" s="26">
        <f t="shared" si="42"/>
        <v>1.1283755039199402E-4</v>
      </c>
      <c r="P141" s="19"/>
      <c r="Q141" s="64">
        <v>1.0200000000000001E-3</v>
      </c>
      <c r="R141" s="26">
        <f t="shared" si="43"/>
        <v>1.8992998659317745E-5</v>
      </c>
      <c r="S141" s="19"/>
      <c r="T141" s="64">
        <v>0</v>
      </c>
      <c r="U141" s="26">
        <f t="shared" si="44"/>
        <v>0</v>
      </c>
      <c r="V141" s="19"/>
      <c r="W141" s="64">
        <v>6.9290000000000004E-2</v>
      </c>
      <c r="X141" s="26">
        <f t="shared" si="45"/>
        <v>1.6553981412905849E-3</v>
      </c>
      <c r="Y141" s="19"/>
      <c r="Z141" s="64">
        <v>1.1999999999999999E-3</v>
      </c>
      <c r="AA141" s="26">
        <f t="shared" si="46"/>
        <v>3.7526972511492634E-5</v>
      </c>
      <c r="AB141" s="19"/>
      <c r="AC141" s="64">
        <v>5.9799999999999999E-2</v>
      </c>
      <c r="AD141" s="26">
        <f t="shared" si="47"/>
        <v>2.115466251591906E-3</v>
      </c>
      <c r="AE141" s="19"/>
      <c r="AF141" s="64">
        <v>5.5100000000000001E-3</v>
      </c>
      <c r="AG141" s="26">
        <f t="shared" si="52"/>
        <v>2.1021708443020107E-4</v>
      </c>
      <c r="AH141" s="19"/>
      <c r="AI141" s="64">
        <v>3.066E-2</v>
      </c>
      <c r="AJ141" s="26">
        <f t="shared" si="48"/>
        <v>9.0112861509522688E-4</v>
      </c>
      <c r="AL141" s="64">
        <v>0.16553000000000001</v>
      </c>
      <c r="AM141" s="26">
        <f t="shared" si="53"/>
        <v>3.9324828356258768E-3</v>
      </c>
      <c r="AO141" s="64">
        <f t="shared" si="49"/>
        <v>4.4683099999999998</v>
      </c>
      <c r="AP141" s="26">
        <f t="shared" si="50"/>
        <v>9.3459345495312714E-3</v>
      </c>
    </row>
    <row r="142" spans="1:42" outlineLevel="3">
      <c r="A142" s="281" t="s">
        <v>446</v>
      </c>
      <c r="B142" s="56">
        <v>5301999999</v>
      </c>
      <c r="C142" s="1" t="s">
        <v>47</v>
      </c>
      <c r="E142" s="62"/>
      <c r="F142" s="26"/>
      <c r="H142" s="64"/>
      <c r="I142" s="26"/>
      <c r="K142" s="64"/>
      <c r="L142" s="26"/>
      <c r="N142" s="64"/>
      <c r="O142" s="26"/>
      <c r="P142" s="19"/>
      <c r="Q142" s="64"/>
      <c r="R142" s="26"/>
      <c r="S142" s="19"/>
      <c r="T142" s="64"/>
      <c r="U142" s="26"/>
      <c r="V142" s="19"/>
      <c r="W142" s="64"/>
      <c r="X142" s="26"/>
      <c r="Y142" s="19"/>
      <c r="Z142" s="64"/>
      <c r="AA142" s="26"/>
      <c r="AB142" s="19"/>
      <c r="AC142" s="64"/>
      <c r="AD142" s="26"/>
      <c r="AE142" s="19"/>
      <c r="AF142" s="64"/>
      <c r="AG142" s="26"/>
      <c r="AH142" s="19"/>
      <c r="AI142" s="64">
        <v>-1.5089999999999999E-2</v>
      </c>
      <c r="AJ142" s="26">
        <f t="shared" si="48"/>
        <v>-4.435104632024453E-4</v>
      </c>
      <c r="AL142" s="64">
        <v>0</v>
      </c>
      <c r="AM142" s="26">
        <f t="shared" si="53"/>
        <v>0</v>
      </c>
      <c r="AO142" s="64">
        <f t="shared" si="49"/>
        <v>-1.5089999999999999E-2</v>
      </c>
      <c r="AP142" s="26">
        <f t="shared" ref="AP142" si="54">AO142/$AO$1*1000</f>
        <v>-3.156230260488348E-5</v>
      </c>
    </row>
    <row r="143" spans="1:42" outlineLevel="3">
      <c r="A143" s="281" t="s">
        <v>446</v>
      </c>
      <c r="B143" s="56">
        <v>5301060000</v>
      </c>
      <c r="C143" t="s">
        <v>46</v>
      </c>
      <c r="E143" s="62">
        <v>-3.3489999999999999E-2</v>
      </c>
      <c r="F143" s="26">
        <f t="shared" si="40"/>
        <v>-6.8950608387721073E-4</v>
      </c>
      <c r="H143" s="64">
        <v>0</v>
      </c>
      <c r="I143" s="26">
        <f t="shared" si="41"/>
        <v>0</v>
      </c>
      <c r="K143" s="64">
        <v>0</v>
      </c>
      <c r="L143" s="26">
        <f t="shared" si="51"/>
        <v>0</v>
      </c>
      <c r="N143" s="64">
        <v>0</v>
      </c>
      <c r="O143" s="26">
        <f t="shared" si="42"/>
        <v>0</v>
      </c>
      <c r="P143" s="19"/>
      <c r="Q143" s="64">
        <v>0</v>
      </c>
      <c r="R143" s="26">
        <f t="shared" si="43"/>
        <v>0</v>
      </c>
      <c r="S143" s="19"/>
      <c r="T143" s="64">
        <v>0</v>
      </c>
      <c r="U143" s="26">
        <f t="shared" si="44"/>
        <v>0</v>
      </c>
      <c r="V143" s="19"/>
      <c r="W143" s="64">
        <v>0</v>
      </c>
      <c r="X143" s="26">
        <f t="shared" si="45"/>
        <v>0</v>
      </c>
      <c r="Y143" s="19"/>
      <c r="Z143" s="64">
        <v>0</v>
      </c>
      <c r="AA143" s="26">
        <f t="shared" si="46"/>
        <v>0</v>
      </c>
      <c r="AB143" s="19"/>
      <c r="AC143" s="64">
        <v>0</v>
      </c>
      <c r="AD143" s="26">
        <f t="shared" si="47"/>
        <v>0</v>
      </c>
      <c r="AE143" s="19"/>
      <c r="AF143" s="64">
        <v>0</v>
      </c>
      <c r="AG143" s="26">
        <f t="shared" si="52"/>
        <v>0</v>
      </c>
      <c r="AH143" s="19"/>
      <c r="AI143" s="64">
        <v>0</v>
      </c>
      <c r="AJ143" s="26">
        <f t="shared" si="48"/>
        <v>0</v>
      </c>
      <c r="AL143" s="64">
        <v>0</v>
      </c>
      <c r="AM143" s="26">
        <f t="shared" si="53"/>
        <v>0</v>
      </c>
      <c r="AO143" s="64">
        <f t="shared" si="49"/>
        <v>-3.3489999999999999E-2</v>
      </c>
      <c r="AP143" s="26">
        <f t="shared" si="50"/>
        <v>-7.004781406478115E-5</v>
      </c>
    </row>
    <row r="144" spans="1:42" outlineLevel="3">
      <c r="A144" s="281" t="s">
        <v>446</v>
      </c>
      <c r="B144" s="56">
        <v>5601050000</v>
      </c>
      <c r="C144" t="s">
        <v>49</v>
      </c>
      <c r="E144" s="62"/>
      <c r="F144" s="26"/>
      <c r="H144" s="64">
        <v>7.7000000000000002E-3</v>
      </c>
      <c r="I144" s="26">
        <f t="shared" si="41"/>
        <v>1.6727130536788826E-4</v>
      </c>
      <c r="K144" s="64">
        <v>0.39409</v>
      </c>
      <c r="L144" s="26">
        <f t="shared" si="51"/>
        <v>8.5048665213544247E-3</v>
      </c>
      <c r="N144" s="64">
        <v>0</v>
      </c>
      <c r="O144" s="26">
        <f t="shared" si="42"/>
        <v>0</v>
      </c>
      <c r="P144" s="19"/>
      <c r="Q144" s="64">
        <v>6.7300000000000007E-3</v>
      </c>
      <c r="R144" s="26">
        <f t="shared" si="43"/>
        <v>1.2531654997765531E-4</v>
      </c>
      <c r="S144" s="19"/>
      <c r="T144" s="64">
        <v>6.3520000000000007E-2</v>
      </c>
      <c r="U144" s="26">
        <f t="shared" si="44"/>
        <v>2.1413160733549084E-3</v>
      </c>
      <c r="V144" s="19"/>
      <c r="W144" s="64">
        <v>0</v>
      </c>
      <c r="X144" s="26">
        <f t="shared" si="45"/>
        <v>0</v>
      </c>
      <c r="Y144" s="19"/>
      <c r="Z144" s="64">
        <v>0</v>
      </c>
      <c r="AA144" s="26">
        <f t="shared" si="46"/>
        <v>0</v>
      </c>
      <c r="AB144" s="19"/>
      <c r="AC144" s="64">
        <v>0</v>
      </c>
      <c r="AD144" s="26">
        <f t="shared" si="47"/>
        <v>0</v>
      </c>
      <c r="AE144" s="19"/>
      <c r="AF144" s="64">
        <v>0</v>
      </c>
      <c r="AG144" s="26">
        <f t="shared" si="52"/>
        <v>0</v>
      </c>
      <c r="AH144" s="19"/>
      <c r="AI144" s="64">
        <v>0</v>
      </c>
      <c r="AJ144" s="26">
        <f t="shared" si="48"/>
        <v>0</v>
      </c>
      <c r="AL144" s="64">
        <v>0</v>
      </c>
      <c r="AM144" s="26">
        <f t="shared" si="53"/>
        <v>0</v>
      </c>
      <c r="AO144" s="64">
        <f t="shared" si="49"/>
        <v>0.47204000000000002</v>
      </c>
      <c r="AP144" s="26">
        <f t="shared" si="50"/>
        <v>9.8732069725707074E-4</v>
      </c>
    </row>
    <row r="145" spans="1:42" outlineLevel="3">
      <c r="A145" s="281" t="s">
        <v>446</v>
      </c>
      <c r="B145" s="56">
        <v>5601050100</v>
      </c>
      <c r="C145" t="s">
        <v>50</v>
      </c>
      <c r="E145" s="62">
        <v>4.2000000000000003E-2</v>
      </c>
      <c r="F145" s="26">
        <f t="shared" si="40"/>
        <v>8.647135121780487E-4</v>
      </c>
      <c r="H145" s="64">
        <v>0.41842000000000001</v>
      </c>
      <c r="I145" s="26">
        <f t="shared" si="41"/>
        <v>9.0895661807833521E-3</v>
      </c>
      <c r="K145" s="64">
        <v>0</v>
      </c>
      <c r="L145" s="26">
        <f t="shared" si="51"/>
        <v>0</v>
      </c>
      <c r="N145" s="64">
        <v>2.5839999999999998E-2</v>
      </c>
      <c r="O145" s="26">
        <f t="shared" si="42"/>
        <v>5.2346899499625219E-4</v>
      </c>
      <c r="P145" s="19"/>
      <c r="Q145" s="64">
        <v>1.7690000000000001E-2</v>
      </c>
      <c r="R145" s="26">
        <f t="shared" si="43"/>
        <v>3.2939818263071655E-4</v>
      </c>
      <c r="S145" s="19"/>
      <c r="T145" s="64">
        <v>0</v>
      </c>
      <c r="U145" s="26">
        <f t="shared" si="44"/>
        <v>0</v>
      </c>
      <c r="V145" s="19"/>
      <c r="W145" s="64">
        <v>0.21227000000000001</v>
      </c>
      <c r="X145" s="26">
        <f t="shared" si="45"/>
        <v>5.0713142365673607E-3</v>
      </c>
      <c r="Y145" s="19"/>
      <c r="Z145" s="64">
        <v>6.9349999999999995E-2</v>
      </c>
      <c r="AA145" s="26">
        <f t="shared" si="46"/>
        <v>2.1687462863933453E-3</v>
      </c>
      <c r="AB145" s="19"/>
      <c r="AC145" s="64">
        <v>0.21471999999999999</v>
      </c>
      <c r="AD145" s="26">
        <f t="shared" si="47"/>
        <v>7.5958681194283287E-3</v>
      </c>
      <c r="AE145" s="19"/>
      <c r="AF145" s="64">
        <v>7.4560000000000001E-2</v>
      </c>
      <c r="AG145" s="26">
        <f t="shared" si="52"/>
        <v>2.8446072259738281E-3</v>
      </c>
      <c r="AH145" s="19"/>
      <c r="AI145" s="64">
        <v>2.4140000000000002E-2</v>
      </c>
      <c r="AJ145" s="26">
        <f t="shared" si="48"/>
        <v>7.0949917705149309E-4</v>
      </c>
      <c r="AL145" s="64">
        <v>4.9890000000000004E-2</v>
      </c>
      <c r="AM145" s="26">
        <f t="shared" si="53"/>
        <v>1.1852326990235908E-3</v>
      </c>
      <c r="AO145" s="64">
        <f t="shared" si="49"/>
        <v>1.1488800000000001</v>
      </c>
      <c r="AP145" s="26">
        <f t="shared" si="50"/>
        <v>2.4030018698938723E-3</v>
      </c>
    </row>
    <row r="146" spans="1:42">
      <c r="A146" s="281" t="s">
        <v>446</v>
      </c>
      <c r="B146" s="56">
        <v>5601080000</v>
      </c>
      <c r="C146" t="s">
        <v>170</v>
      </c>
      <c r="E146" s="62">
        <v>2.8854099999999998</v>
      </c>
      <c r="F146" s="26">
        <f t="shared" si="40"/>
        <v>5.94060241708015E-2</v>
      </c>
      <c r="H146" s="64">
        <v>2.9999999999999997E-5</v>
      </c>
      <c r="I146" s="26">
        <f t="shared" si="41"/>
        <v>6.5170638455021398E-7</v>
      </c>
      <c r="K146" s="64">
        <v>0</v>
      </c>
      <c r="L146" s="26">
        <f t="shared" si="51"/>
        <v>0</v>
      </c>
      <c r="N146" s="64">
        <v>0.24875</v>
      </c>
      <c r="O146" s="26">
        <f t="shared" si="42"/>
        <v>5.0391994003605939E-3</v>
      </c>
      <c r="P146" s="19"/>
      <c r="Q146" s="64">
        <v>1.5300000000000001E-3</v>
      </c>
      <c r="R146" s="26">
        <f t="shared" si="43"/>
        <v>2.8489497988976615E-5</v>
      </c>
      <c r="S146" s="19"/>
      <c r="T146" s="64">
        <v>0</v>
      </c>
      <c r="U146" s="26">
        <f t="shared" si="44"/>
        <v>0</v>
      </c>
      <c r="V146" s="19"/>
      <c r="W146" s="64">
        <v>0.10657999999999999</v>
      </c>
      <c r="X146" s="26">
        <f t="shared" si="45"/>
        <v>2.5462885538858494E-3</v>
      </c>
      <c r="Y146" s="19"/>
      <c r="Z146" s="64">
        <v>9.9399999999999992E-3</v>
      </c>
      <c r="AA146" s="26">
        <f t="shared" si="46"/>
        <v>3.1084842230353065E-4</v>
      </c>
      <c r="AB146" s="19"/>
      <c r="AC146" s="64">
        <v>0</v>
      </c>
      <c r="AD146" s="26">
        <f t="shared" si="47"/>
        <v>0</v>
      </c>
      <c r="AE146" s="19"/>
      <c r="AF146" s="64">
        <v>0.39966000000000002</v>
      </c>
      <c r="AG146" s="26">
        <f t="shared" si="52"/>
        <v>1.5247796726565182E-2</v>
      </c>
      <c r="AH146" s="19"/>
      <c r="AI146" s="64">
        <v>0</v>
      </c>
      <c r="AJ146" s="26">
        <f t="shared" si="48"/>
        <v>0</v>
      </c>
      <c r="AL146" s="64">
        <v>0.40014</v>
      </c>
      <c r="AM146" s="26">
        <f t="shared" si="53"/>
        <v>9.5060936497754975E-3</v>
      </c>
      <c r="AO146" s="64">
        <f t="shared" si="49"/>
        <v>4.0520399999999999</v>
      </c>
      <c r="AP146" s="26">
        <f t="shared" si="50"/>
        <v>8.475262600867596E-3</v>
      </c>
    </row>
    <row r="147" spans="1:42">
      <c r="A147" s="281" t="s">
        <v>446</v>
      </c>
      <c r="B147" s="56">
        <v>6666020101</v>
      </c>
      <c r="C147" t="s">
        <v>52</v>
      </c>
      <c r="E147" s="62"/>
      <c r="F147" s="26"/>
      <c r="H147" s="64"/>
      <c r="I147" s="26"/>
      <c r="K147" s="64">
        <v>-6.0899999999999996E-2</v>
      </c>
      <c r="L147" s="26">
        <f t="shared" si="51"/>
        <v>-1.3142844810842306E-3</v>
      </c>
      <c r="N147" s="64">
        <v>0</v>
      </c>
      <c r="O147" s="26">
        <f t="shared" si="42"/>
        <v>0</v>
      </c>
      <c r="P147" s="19"/>
      <c r="Q147" s="64">
        <v>0</v>
      </c>
      <c r="R147" s="26">
        <f t="shared" si="43"/>
        <v>0</v>
      </c>
      <c r="S147" s="19"/>
      <c r="T147" s="64">
        <v>0.24080000000000001</v>
      </c>
      <c r="U147" s="26">
        <f t="shared" si="44"/>
        <v>8.1175836030204975E-3</v>
      </c>
      <c r="V147" s="19"/>
      <c r="W147" s="64">
        <v>3.5409999999999997E-2</v>
      </c>
      <c r="X147" s="26">
        <f t="shared" si="45"/>
        <v>8.459755835344148E-4</v>
      </c>
      <c r="Y147" s="19"/>
      <c r="Z147" s="64">
        <v>0</v>
      </c>
      <c r="AA147" s="26">
        <f t="shared" si="46"/>
        <v>0</v>
      </c>
      <c r="AB147" s="19"/>
      <c r="AC147" s="64">
        <v>0.19819000000000001</v>
      </c>
      <c r="AD147" s="26">
        <f t="shared" si="47"/>
        <v>7.0111079666053486E-3</v>
      </c>
      <c r="AE147" s="19"/>
      <c r="AF147" s="64">
        <v>-7.9299999999999995E-3</v>
      </c>
      <c r="AG147" s="26">
        <f t="shared" si="52"/>
        <v>-3.0254473312731295E-4</v>
      </c>
      <c r="AH147" s="19"/>
      <c r="AI147" s="64">
        <v>0.54570000000000007</v>
      </c>
      <c r="AJ147" s="26">
        <f t="shared" si="48"/>
        <v>1.6038678579826007E-2</v>
      </c>
      <c r="AL147" s="64">
        <v>0.19416</v>
      </c>
      <c r="AM147" s="26">
        <f t="shared" si="53"/>
        <v>4.6126434323996868E-3</v>
      </c>
      <c r="AO147" s="64">
        <f t="shared" si="49"/>
        <v>1.1454300000000002</v>
      </c>
      <c r="AP147" s="26">
        <f t="shared" si="50"/>
        <v>2.3957858364951415E-3</v>
      </c>
    </row>
    <row r="148" spans="1:42" outlineLevel="1">
      <c r="A148" s="281" t="s">
        <v>446</v>
      </c>
      <c r="B148" s="56">
        <v>6666020201</v>
      </c>
      <c r="C148" t="s">
        <v>53</v>
      </c>
      <c r="E148" s="62">
        <v>3.4520000000000002E-2</v>
      </c>
      <c r="F148" s="26">
        <f t="shared" si="40"/>
        <v>7.1071215334252949E-4</v>
      </c>
      <c r="H148" s="64">
        <v>5.7000000000000002E-2</v>
      </c>
      <c r="I148" s="26">
        <f t="shared" si="41"/>
        <v>1.2382421306454067E-3</v>
      </c>
      <c r="K148" s="64">
        <v>9.5549999999999996E-2</v>
      </c>
      <c r="L148" s="26">
        <f t="shared" si="51"/>
        <v>2.062067030666638E-3</v>
      </c>
      <c r="N148" s="64">
        <v>0.26713999999999999</v>
      </c>
      <c r="O148" s="26">
        <f t="shared" si="42"/>
        <v>5.4117456394465486E-3</v>
      </c>
      <c r="P148" s="19"/>
      <c r="Q148" s="64">
        <v>3.4570000000000004E-2</v>
      </c>
      <c r="R148" s="26">
        <f t="shared" si="43"/>
        <v>6.4371368985550429E-4</v>
      </c>
      <c r="S148" s="19"/>
      <c r="T148" s="64">
        <v>0.25124000000000002</v>
      </c>
      <c r="U148" s="26">
        <f t="shared" si="44"/>
        <v>8.4695253505933134E-3</v>
      </c>
      <c r="V148" s="19"/>
      <c r="W148" s="64">
        <v>0.24512999999999999</v>
      </c>
      <c r="X148" s="26">
        <f t="shared" si="45"/>
        <v>5.8563681104713662E-3</v>
      </c>
      <c r="Y148" s="19"/>
      <c r="Z148" s="64">
        <v>8.5459999999999994E-2</v>
      </c>
      <c r="AA148" s="26">
        <f t="shared" si="46"/>
        <v>2.6725458923601338E-3</v>
      </c>
      <c r="AB148" s="19"/>
      <c r="AC148" s="64">
        <v>6.5420000000000006E-2</v>
      </c>
      <c r="AD148" s="26">
        <f t="shared" si="47"/>
        <v>2.3142776284137542E-3</v>
      </c>
      <c r="AE148" s="19"/>
      <c r="AF148" s="64">
        <v>0.33723999999999998</v>
      </c>
      <c r="AG148" s="26">
        <f t="shared" si="52"/>
        <v>1.2866353820914882E-2</v>
      </c>
      <c r="AH148" s="19"/>
      <c r="AI148" s="64">
        <v>7.5480000000000005E-2</v>
      </c>
      <c r="AJ148" s="26">
        <f t="shared" si="48"/>
        <v>2.2184340465553729E-3</v>
      </c>
      <c r="AL148" s="64">
        <v>0.14681</v>
      </c>
      <c r="AM148" s="26">
        <f t="shared" si="53"/>
        <v>3.4877533081509988E-3</v>
      </c>
      <c r="AO148" s="64">
        <f t="shared" si="49"/>
        <v>1.69556</v>
      </c>
      <c r="AP148" s="26">
        <f t="shared" si="50"/>
        <v>3.5464398810295711E-3</v>
      </c>
    </row>
    <row r="149" spans="1:42" outlineLevel="1">
      <c r="A149" s="281" t="s">
        <v>446</v>
      </c>
      <c r="B149" s="56">
        <v>6666020202</v>
      </c>
      <c r="C149" t="s">
        <v>54</v>
      </c>
      <c r="E149" s="62"/>
      <c r="F149" s="26"/>
      <c r="H149" s="64"/>
      <c r="I149" s="26"/>
      <c r="K149" s="64"/>
      <c r="L149" s="26"/>
      <c r="N149" s="64"/>
      <c r="O149" s="26"/>
      <c r="P149" s="19"/>
      <c r="Q149" s="64"/>
      <c r="R149" s="26"/>
      <c r="S149" s="19"/>
      <c r="T149" s="64"/>
      <c r="U149" s="26"/>
      <c r="V149" s="19"/>
      <c r="W149" s="64"/>
      <c r="X149" s="26"/>
      <c r="Y149" s="19"/>
      <c r="Z149" s="64"/>
      <c r="AA149" s="26"/>
      <c r="AB149" s="19"/>
      <c r="AC149" s="64">
        <f>164.55/1000</f>
        <v>0.16455</v>
      </c>
      <c r="AD149" s="26">
        <f t="shared" si="47"/>
        <v>5.8210697608603373E-3</v>
      </c>
      <c r="AE149" s="19"/>
      <c r="AF149" s="64">
        <v>1.57E-3</v>
      </c>
      <c r="AG149" s="26">
        <f t="shared" si="52"/>
        <v>5.9898515890275081E-5</v>
      </c>
      <c r="AH149" s="19"/>
      <c r="AI149" s="64">
        <v>-1.5499999999999999E-3</v>
      </c>
      <c r="AJ149" s="26">
        <f t="shared" si="48"/>
        <v>-4.5556078062544088E-5</v>
      </c>
      <c r="AL149" s="64">
        <v>2.8700000000000002E-3</v>
      </c>
      <c r="AM149" s="26">
        <f t="shared" si="53"/>
        <v>6.8182358111800066E-5</v>
      </c>
      <c r="AO149" s="64">
        <f t="shared" si="49"/>
        <v>0.16744000000000001</v>
      </c>
      <c r="AP149" s="26">
        <f t="shared" ref="AP149" si="55">AO149/$AO$1*1000</f>
        <v>3.5021815428506889E-4</v>
      </c>
    </row>
    <row r="150" spans="1:42" outlineLevel="1">
      <c r="A150" s="281" t="s">
        <v>446</v>
      </c>
      <c r="B150" s="56">
        <v>6666020204</v>
      </c>
      <c r="C150" t="s">
        <v>55</v>
      </c>
      <c r="E150" s="62">
        <v>0</v>
      </c>
      <c r="F150" s="26">
        <f t="shared" si="40"/>
        <v>0</v>
      </c>
      <c r="H150" s="64">
        <v>0</v>
      </c>
      <c r="I150" s="26">
        <f t="shared" si="41"/>
        <v>0</v>
      </c>
      <c r="K150" s="64">
        <v>0</v>
      </c>
      <c r="L150" s="26">
        <f t="shared" si="51"/>
        <v>0</v>
      </c>
      <c r="N150" s="64">
        <v>3.65E-3</v>
      </c>
      <c r="O150" s="26">
        <f t="shared" si="42"/>
        <v>7.3942021352024794E-5</v>
      </c>
      <c r="P150" s="19"/>
      <c r="Q150" s="64">
        <v>0</v>
      </c>
      <c r="R150" s="26">
        <f t="shared" si="43"/>
        <v>0</v>
      </c>
      <c r="S150" s="19"/>
      <c r="T150" s="64">
        <v>0</v>
      </c>
      <c r="U150" s="26">
        <f t="shared" si="44"/>
        <v>0</v>
      </c>
      <c r="V150" s="19"/>
      <c r="W150" s="64">
        <v>0.14958000000000002</v>
      </c>
      <c r="X150" s="26">
        <f t="shared" si="45"/>
        <v>3.5735958143201861E-3</v>
      </c>
      <c r="Y150" s="19"/>
      <c r="Z150" s="64">
        <v>0</v>
      </c>
      <c r="AA150" s="26">
        <f t="shared" si="46"/>
        <v>0</v>
      </c>
      <c r="AB150" s="19"/>
      <c r="AC150" s="64">
        <v>0.14560000000000001</v>
      </c>
      <c r="AD150" s="26">
        <f t="shared" si="47"/>
        <v>5.1507004386585542E-3</v>
      </c>
      <c r="AE150" s="19"/>
      <c r="AF150" s="64">
        <v>4.5010000000000001E-2</v>
      </c>
      <c r="AG150" s="26">
        <f t="shared" si="52"/>
        <v>1.7172179619243831E-3</v>
      </c>
      <c r="AH150" s="19"/>
      <c r="AI150" s="64">
        <v>0.41144999999999998</v>
      </c>
      <c r="AJ150" s="26">
        <f t="shared" si="48"/>
        <v>1.2092934399247589E-2</v>
      </c>
      <c r="AL150" s="64">
        <v>0.25536000000000003</v>
      </c>
      <c r="AM150" s="26">
        <f t="shared" si="53"/>
        <v>6.0665668876060163E-3</v>
      </c>
      <c r="AO150" s="64">
        <f t="shared" si="49"/>
        <v>1.01065</v>
      </c>
      <c r="AP150" s="26">
        <f t="shared" si="50"/>
        <v>2.113879465051391E-3</v>
      </c>
    </row>
    <row r="151" spans="1:42" outlineLevel="1">
      <c r="A151" s="281" t="s">
        <v>446</v>
      </c>
      <c r="B151" s="56">
        <v>6666020301</v>
      </c>
      <c r="C151" t="s">
        <v>143</v>
      </c>
      <c r="E151" s="62">
        <v>4.0099999999999997E-3</v>
      </c>
      <c r="F151" s="26">
        <f t="shared" si="40"/>
        <v>8.2559551996047009E-5</v>
      </c>
      <c r="H151" s="64">
        <v>7.7879999999999991E-2</v>
      </c>
      <c r="I151" s="26">
        <f t="shared" si="41"/>
        <v>1.6918297742923554E-3</v>
      </c>
      <c r="K151" s="64">
        <v>0.20987999999999998</v>
      </c>
      <c r="L151" s="26">
        <f t="shared" si="51"/>
        <v>4.5294257288991512E-3</v>
      </c>
      <c r="N151" s="64">
        <v>0.12946000000000002</v>
      </c>
      <c r="O151" s="26">
        <f t="shared" si="42"/>
        <v>2.622612077872091E-3</v>
      </c>
      <c r="P151" s="19"/>
      <c r="Q151" s="64">
        <v>9.7680000000000003E-2</v>
      </c>
      <c r="R151" s="26">
        <f t="shared" si="43"/>
        <v>1.8188589304334872E-3</v>
      </c>
      <c r="S151" s="19"/>
      <c r="T151" s="64">
        <v>9.5530000000000004E-2</v>
      </c>
      <c r="U151" s="26">
        <f t="shared" si="44"/>
        <v>3.2204018338727078E-3</v>
      </c>
      <c r="V151" s="19"/>
      <c r="W151" s="64">
        <v>0.10687999999999999</v>
      </c>
      <c r="X151" s="26">
        <f t="shared" si="45"/>
        <v>2.5534558138423677E-3</v>
      </c>
      <c r="Y151" s="19"/>
      <c r="Z151" s="64">
        <v>2.92E-2</v>
      </c>
      <c r="AA151" s="26">
        <f t="shared" si="46"/>
        <v>9.1315633111298754E-4</v>
      </c>
      <c r="AB151" s="19"/>
      <c r="AC151" s="64">
        <v>0.10059</v>
      </c>
      <c r="AD151" s="26">
        <f t="shared" si="47"/>
        <v>3.5584406395924718E-3</v>
      </c>
      <c r="AE151" s="19"/>
      <c r="AF151" s="64">
        <v>0.35160000000000002</v>
      </c>
      <c r="AG151" s="26">
        <f t="shared" si="52"/>
        <v>1.341421540574568E-2</v>
      </c>
      <c r="AH151" s="19"/>
      <c r="AI151" s="64">
        <v>-8.5730000000000001E-2</v>
      </c>
      <c r="AJ151" s="26">
        <f t="shared" si="48"/>
        <v>-2.5196919821302609E-3</v>
      </c>
      <c r="AL151" s="64">
        <v>0.16186</v>
      </c>
      <c r="AM151" s="26">
        <f t="shared" si="53"/>
        <v>3.8452949421519016E-3</v>
      </c>
      <c r="AO151" s="64">
        <f t="shared" si="49"/>
        <v>1.2788399999999998</v>
      </c>
      <c r="AP151" s="26">
        <f t="shared" si="50"/>
        <v>2.6748267106182356E-3</v>
      </c>
    </row>
    <row r="152" spans="1:42" outlineLevel="1">
      <c r="A152" s="281" t="s">
        <v>446</v>
      </c>
      <c r="B152" s="56">
        <v>6666020403</v>
      </c>
      <c r="C152" t="s">
        <v>401</v>
      </c>
      <c r="E152" s="62"/>
      <c r="F152" s="26"/>
      <c r="H152" s="64"/>
      <c r="I152" s="26"/>
      <c r="K152" s="64"/>
      <c r="L152" s="26"/>
      <c r="N152" s="64">
        <v>2.0000000000000002E-5</v>
      </c>
      <c r="O152" s="26">
        <f t="shared" si="42"/>
        <v>4.0516176083301258E-7</v>
      </c>
      <c r="P152" s="19"/>
      <c r="Q152" s="64">
        <v>0</v>
      </c>
      <c r="R152" s="26">
        <f t="shared" si="43"/>
        <v>0</v>
      </c>
      <c r="S152" s="19"/>
      <c r="T152" s="64">
        <v>0</v>
      </c>
      <c r="U152" s="26">
        <f t="shared" si="44"/>
        <v>0</v>
      </c>
      <c r="V152" s="19"/>
      <c r="W152" s="64">
        <v>0</v>
      </c>
      <c r="X152" s="26">
        <f t="shared" si="45"/>
        <v>0</v>
      </c>
      <c r="Y152" s="19"/>
      <c r="Z152" s="64">
        <v>0</v>
      </c>
      <c r="AA152" s="26">
        <f t="shared" si="46"/>
        <v>0</v>
      </c>
      <c r="AB152" s="19"/>
      <c r="AC152" s="64">
        <v>0</v>
      </c>
      <c r="AD152" s="26">
        <f t="shared" si="47"/>
        <v>0</v>
      </c>
      <c r="AE152" s="19"/>
      <c r="AF152" s="64">
        <v>0</v>
      </c>
      <c r="AG152" s="26">
        <f t="shared" si="52"/>
        <v>0</v>
      </c>
      <c r="AH152" s="19"/>
      <c r="AI152" s="64">
        <v>0</v>
      </c>
      <c r="AJ152" s="26">
        <f t="shared" si="48"/>
        <v>0</v>
      </c>
      <c r="AL152" s="64">
        <v>0</v>
      </c>
      <c r="AM152" s="26">
        <f t="shared" si="53"/>
        <v>0</v>
      </c>
      <c r="AO152" s="64">
        <f t="shared" si="49"/>
        <v>2.0000000000000002E-5</v>
      </c>
      <c r="AP152" s="26">
        <f t="shared" si="50"/>
        <v>4.1832077673801827E-8</v>
      </c>
    </row>
    <row r="153" spans="1:42" outlineLevel="1">
      <c r="A153" s="281" t="s">
        <v>446</v>
      </c>
      <c r="B153" s="56">
        <v>6666020504</v>
      </c>
      <c r="C153" s="1" t="s">
        <v>60</v>
      </c>
      <c r="E153" s="62"/>
      <c r="F153" s="26"/>
      <c r="H153" s="64"/>
      <c r="I153" s="26"/>
      <c r="K153" s="64"/>
      <c r="L153" s="26"/>
      <c r="N153" s="64"/>
      <c r="O153" s="26"/>
      <c r="P153" s="19"/>
      <c r="Q153" s="64"/>
      <c r="R153" s="26"/>
      <c r="S153" s="19"/>
      <c r="T153" s="64"/>
      <c r="U153" s="26"/>
      <c r="V153" s="19"/>
      <c r="W153" s="64"/>
      <c r="X153" s="26"/>
      <c r="Y153" s="19"/>
      <c r="Z153" s="64"/>
      <c r="AA153" s="26"/>
      <c r="AB153" s="19"/>
      <c r="AC153" s="64">
        <f>47.18/1000</f>
        <v>4.718E-2</v>
      </c>
      <c r="AD153" s="26">
        <f t="shared" si="47"/>
        <v>1.6690250459883967E-3</v>
      </c>
      <c r="AE153" s="19"/>
      <c r="AF153" s="64">
        <v>0</v>
      </c>
      <c r="AG153" s="26">
        <f t="shared" si="52"/>
        <v>0</v>
      </c>
      <c r="AH153" s="19"/>
      <c r="AI153" s="64">
        <v>9.3549999999999994E-2</v>
      </c>
      <c r="AJ153" s="26">
        <f t="shared" si="48"/>
        <v>2.7495297437103217E-3</v>
      </c>
      <c r="AL153" s="64">
        <v>-4.6289999999999998E-2</v>
      </c>
      <c r="AM153" s="26">
        <f t="shared" si="53"/>
        <v>-1.0997077898938065E-3</v>
      </c>
      <c r="AO153" s="64">
        <f t="shared" si="49"/>
        <v>9.4439999999999996E-2</v>
      </c>
      <c r="AP153" s="26">
        <f t="shared" ref="AP153" si="56">AO153/$AO$1*1000</f>
        <v>1.9753107077569222E-4</v>
      </c>
    </row>
    <row r="154" spans="1:42" outlineLevel="1">
      <c r="A154" s="281" t="s">
        <v>446</v>
      </c>
      <c r="B154" s="56">
        <v>6666020508</v>
      </c>
      <c r="C154" t="s">
        <v>61</v>
      </c>
      <c r="E154" s="62">
        <v>1.8120000000000001E-2</v>
      </c>
      <c r="F154" s="26">
        <f t="shared" si="40"/>
        <v>3.7306211525395814E-4</v>
      </c>
      <c r="H154" s="64">
        <v>2.99E-3</v>
      </c>
      <c r="I154" s="26">
        <f t="shared" si="41"/>
        <v>6.4953402993504669E-5</v>
      </c>
      <c r="K154" s="64">
        <v>7.6900000000000007E-3</v>
      </c>
      <c r="L154" s="26">
        <f t="shared" si="51"/>
        <v>1.6595808964758185E-4</v>
      </c>
      <c r="N154" s="64">
        <v>1.456E-2</v>
      </c>
      <c r="O154" s="26">
        <f t="shared" si="42"/>
        <v>2.9495776188643316E-4</v>
      </c>
      <c r="P154" s="19"/>
      <c r="Q154" s="64">
        <v>1.252E-2</v>
      </c>
      <c r="R154" s="26">
        <f t="shared" si="43"/>
        <v>2.3312974824966483E-4</v>
      </c>
      <c r="S154" s="19"/>
      <c r="T154" s="64">
        <v>2.65E-3</v>
      </c>
      <c r="U154" s="26">
        <f t="shared" si="44"/>
        <v>8.9333872707659116E-5</v>
      </c>
      <c r="V154" s="19"/>
      <c r="W154" s="64">
        <v>7.0499999999999998E-3</v>
      </c>
      <c r="X154" s="26">
        <f t="shared" si="45"/>
        <v>1.6843060897818763E-4</v>
      </c>
      <c r="Y154" s="19"/>
      <c r="Z154" s="64">
        <v>5.0999999999999995E-3</v>
      </c>
      <c r="AA154" s="26">
        <f t="shared" si="46"/>
        <v>1.594896331738437E-4</v>
      </c>
      <c r="AB154" s="19"/>
      <c r="AC154" s="64">
        <v>0.44749</v>
      </c>
      <c r="AD154" s="26">
        <f t="shared" si="47"/>
        <v>1.5830267440215085E-2</v>
      </c>
      <c r="AE154" s="19"/>
      <c r="AF154" s="64">
        <v>1.1039999999999999E-2</v>
      </c>
      <c r="AG154" s="26">
        <f t="shared" si="52"/>
        <v>4.2119720727938647E-4</v>
      </c>
      <c r="AH154" s="19"/>
      <c r="AI154" s="64">
        <v>3.2699999999999999E-3</v>
      </c>
      <c r="AJ154" s="26">
        <f t="shared" si="48"/>
        <v>9.6108629202915595E-5</v>
      </c>
      <c r="AL154" s="64">
        <v>2.3820000000000001E-2</v>
      </c>
      <c r="AM154" s="26">
        <f t="shared" si="53"/>
        <v>5.6588981540873779E-4</v>
      </c>
      <c r="AO154" s="64">
        <f t="shared" si="49"/>
        <v>0.55630000000000002</v>
      </c>
      <c r="AP154" s="26">
        <f t="shared" si="50"/>
        <v>1.1635592404967978E-3</v>
      </c>
    </row>
    <row r="155" spans="1:42" outlineLevel="1">
      <c r="A155" s="281" t="s">
        <v>446</v>
      </c>
      <c r="B155" s="56">
        <v>6666020602</v>
      </c>
      <c r="C155" t="s">
        <v>62</v>
      </c>
      <c r="E155" s="62"/>
      <c r="F155" s="26"/>
      <c r="H155" s="64"/>
      <c r="I155" s="26"/>
      <c r="K155" s="64">
        <v>7.3600000000000002E-3</v>
      </c>
      <c r="L155" s="26">
        <f t="shared" si="51"/>
        <v>1.5883635108013036E-4</v>
      </c>
      <c r="N155" s="64">
        <v>0</v>
      </c>
      <c r="O155" s="26">
        <f t="shared" si="42"/>
        <v>0</v>
      </c>
      <c r="P155" s="19"/>
      <c r="Q155" s="64">
        <v>0</v>
      </c>
      <c r="R155" s="26">
        <f t="shared" si="43"/>
        <v>0</v>
      </c>
      <c r="S155" s="19"/>
      <c r="T155" s="64">
        <v>0</v>
      </c>
      <c r="U155" s="26">
        <f t="shared" si="44"/>
        <v>0</v>
      </c>
      <c r="V155" s="19"/>
      <c r="W155" s="64">
        <v>0</v>
      </c>
      <c r="X155" s="26">
        <f t="shared" si="45"/>
        <v>0</v>
      </c>
      <c r="Y155" s="19"/>
      <c r="Z155" s="64">
        <v>0</v>
      </c>
      <c r="AA155" s="26">
        <f t="shared" si="46"/>
        <v>0</v>
      </c>
      <c r="AB155" s="19"/>
      <c r="AC155" s="64">
        <v>0</v>
      </c>
      <c r="AD155" s="26">
        <f t="shared" si="47"/>
        <v>0</v>
      </c>
      <c r="AE155" s="19"/>
      <c r="AF155" s="64">
        <v>0</v>
      </c>
      <c r="AG155" s="26">
        <f t="shared" si="52"/>
        <v>0</v>
      </c>
      <c r="AH155" s="19"/>
      <c r="AI155" s="64">
        <v>0</v>
      </c>
      <c r="AJ155" s="26">
        <f t="shared" si="48"/>
        <v>0</v>
      </c>
      <c r="AL155" s="64">
        <v>2.1479999999999999E-2</v>
      </c>
      <c r="AM155" s="26">
        <f t="shared" si="53"/>
        <v>5.102986244743782E-4</v>
      </c>
      <c r="AO155" s="64">
        <f t="shared" si="49"/>
        <v>2.8839999999999998E-2</v>
      </c>
      <c r="AP155" s="26">
        <f t="shared" si="50"/>
        <v>6.0321856005622227E-5</v>
      </c>
    </row>
    <row r="156" spans="1:42">
      <c r="A156" s="281" t="s">
        <v>446</v>
      </c>
      <c r="B156" s="56">
        <v>6666020701</v>
      </c>
      <c r="C156" t="s">
        <v>63</v>
      </c>
      <c r="E156" s="62">
        <v>13.990180000000001</v>
      </c>
      <c r="F156" s="26">
        <f t="shared" si="40"/>
        <v>0.28803565913816886</v>
      </c>
      <c r="H156" s="64">
        <v>10.5686</v>
      </c>
      <c r="I156" s="26">
        <f t="shared" si="41"/>
        <v>0.2295874698585797</v>
      </c>
      <c r="K156" s="64">
        <v>33.493040000000001</v>
      </c>
      <c r="L156" s="26">
        <f t="shared" si="51"/>
        <v>0.72281416578544144</v>
      </c>
      <c r="N156" s="64">
        <v>19.35061</v>
      </c>
      <c r="O156" s="26">
        <f t="shared" si="42"/>
        <v>0.39200636103964509</v>
      </c>
      <c r="P156" s="19"/>
      <c r="Q156" s="64">
        <v>19.35061</v>
      </c>
      <c r="R156" s="26">
        <f t="shared" si="43"/>
        <v>0.36031971547743186</v>
      </c>
      <c r="S156" s="19"/>
      <c r="T156" s="64">
        <v>19.35061</v>
      </c>
      <c r="U156" s="26">
        <f t="shared" si="44"/>
        <v>0.65232638888888894</v>
      </c>
      <c r="V156" s="19"/>
      <c r="W156" s="64">
        <v>19.35061</v>
      </c>
      <c r="X156" s="26">
        <f t="shared" si="45"/>
        <v>0.46230284062402943</v>
      </c>
      <c r="Y156" s="19"/>
      <c r="Z156" s="64">
        <v>19.35061</v>
      </c>
      <c r="AA156" s="26">
        <f t="shared" si="46"/>
        <v>0.60514150795884547</v>
      </c>
      <c r="AB156" s="19"/>
      <c r="AC156" s="64">
        <v>19.35061</v>
      </c>
      <c r="AD156" s="26">
        <f t="shared" si="47"/>
        <v>0.68454117730295738</v>
      </c>
      <c r="AE156" s="19"/>
      <c r="AF156" s="64">
        <v>19.35061</v>
      </c>
      <c r="AG156" s="26">
        <f t="shared" si="52"/>
        <v>0.73826294303918205</v>
      </c>
      <c r="AH156" s="19"/>
      <c r="AI156" s="64">
        <v>19.35061</v>
      </c>
      <c r="AJ156" s="26">
        <f t="shared" si="48"/>
        <v>0.56873412885022334</v>
      </c>
      <c r="AL156" s="64">
        <v>19.35061</v>
      </c>
      <c r="AM156" s="26">
        <f t="shared" si="53"/>
        <v>0.45971087829330293</v>
      </c>
      <c r="AO156" s="64">
        <f t="shared" si="49"/>
        <v>232.20730999999995</v>
      </c>
      <c r="AP156" s="26">
        <f t="shared" si="50"/>
        <v>0.48568571141722888</v>
      </c>
    </row>
    <row r="157" spans="1:42">
      <c r="A157" s="281" t="s">
        <v>446</v>
      </c>
      <c r="B157" s="56">
        <v>6666020801</v>
      </c>
      <c r="C157" t="s">
        <v>144</v>
      </c>
      <c r="E157" s="62"/>
      <c r="F157" s="26"/>
      <c r="H157" s="64"/>
      <c r="I157" s="26"/>
      <c r="K157" s="64">
        <v>5.885E-2</v>
      </c>
      <c r="L157" s="26">
        <f t="shared" si="51"/>
        <v>1.2700433778621836E-3</v>
      </c>
      <c r="N157" s="64">
        <v>0</v>
      </c>
      <c r="O157" s="26">
        <f t="shared" si="42"/>
        <v>0</v>
      </c>
      <c r="P157" s="19"/>
      <c r="Q157" s="64">
        <v>0.19672000000000001</v>
      </c>
      <c r="R157" s="26">
        <f t="shared" si="43"/>
        <v>3.663041859079398E-3</v>
      </c>
      <c r="S157" s="19"/>
      <c r="T157" s="64">
        <v>0</v>
      </c>
      <c r="U157" s="26">
        <f t="shared" si="44"/>
        <v>0</v>
      </c>
      <c r="V157" s="19"/>
      <c r="W157" s="64">
        <v>0.18114</v>
      </c>
      <c r="X157" s="26">
        <f t="shared" si="45"/>
        <v>4.3275915617459445E-3</v>
      </c>
      <c r="Y157" s="19"/>
      <c r="Z157" s="64">
        <v>4.8999999999999998E-4</v>
      </c>
      <c r="AA157" s="26">
        <f t="shared" si="46"/>
        <v>1.532351377552616E-5</v>
      </c>
      <c r="AB157" s="19"/>
      <c r="AC157" s="64">
        <v>0.26513999999999999</v>
      </c>
      <c r="AD157" s="26">
        <f t="shared" si="47"/>
        <v>9.3795104004528087E-3</v>
      </c>
      <c r="AE157" s="19"/>
      <c r="AF157" s="64">
        <v>8.8639999999999997E-2</v>
      </c>
      <c r="AG157" s="26">
        <f t="shared" si="52"/>
        <v>3.381786272938842E-3</v>
      </c>
      <c r="AH157" s="19"/>
      <c r="AI157" s="64">
        <v>9.0069999999999997E-2</v>
      </c>
      <c r="AJ157" s="26">
        <f t="shared" si="48"/>
        <v>2.6472490007053841E-3</v>
      </c>
      <c r="AL157" s="64">
        <v>0.28337000000000001</v>
      </c>
      <c r="AM157" s="26">
        <f t="shared" si="53"/>
        <v>6.7319981944741411E-3</v>
      </c>
      <c r="AO157" s="64">
        <f t="shared" si="49"/>
        <v>1.16442</v>
      </c>
      <c r="AP157" s="26">
        <f t="shared" si="50"/>
        <v>2.435505394246416E-3</v>
      </c>
    </row>
    <row r="158" spans="1:42" outlineLevel="3">
      <c r="A158" s="281" t="s">
        <v>446</v>
      </c>
      <c r="B158" s="56">
        <v>6666020803</v>
      </c>
      <c r="C158" t="s">
        <v>65</v>
      </c>
      <c r="E158" s="62">
        <v>-8.0099999999999998E-3</v>
      </c>
      <c r="F158" s="26">
        <f t="shared" si="40"/>
        <v>-1.6491321982252784E-4</v>
      </c>
      <c r="H158" s="64"/>
      <c r="I158" s="26">
        <f t="shared" si="41"/>
        <v>0</v>
      </c>
      <c r="K158" s="64">
        <v>0</v>
      </c>
      <c r="L158" s="26">
        <f t="shared" si="51"/>
        <v>0</v>
      </c>
      <c r="N158" s="64">
        <v>0.28429000000000004</v>
      </c>
      <c r="O158" s="26">
        <f t="shared" si="42"/>
        <v>5.759171849360859E-3</v>
      </c>
      <c r="P158" s="19"/>
      <c r="Q158" s="64">
        <v>-1.1130000000000001E-2</v>
      </c>
      <c r="R158" s="26">
        <f t="shared" si="43"/>
        <v>-2.0724713242961418E-4</v>
      </c>
      <c r="S158" s="19"/>
      <c r="T158" s="64">
        <v>-3.0210000000000001E-2</v>
      </c>
      <c r="U158" s="26">
        <f t="shared" si="44"/>
        <v>-1.018406148867314E-3</v>
      </c>
      <c r="V158" s="19"/>
      <c r="W158" s="64">
        <v>-1.7099999999999999E-3</v>
      </c>
      <c r="X158" s="26">
        <f t="shared" si="45"/>
        <v>-4.0853381752156149E-5</v>
      </c>
      <c r="Y158" s="19"/>
      <c r="Z158" s="64">
        <v>0.32597999999999999</v>
      </c>
      <c r="AA158" s="26">
        <f t="shared" si="46"/>
        <v>1.0194202082746974E-2</v>
      </c>
      <c r="AB158" s="19"/>
      <c r="AC158" s="64">
        <v>0.39966000000000002</v>
      </c>
      <c r="AD158" s="26">
        <f t="shared" si="47"/>
        <v>1.4138248195839819E-2</v>
      </c>
      <c r="AE158" s="19"/>
      <c r="AF158" s="64">
        <v>0.32039000000000001</v>
      </c>
      <c r="AG158" s="26">
        <f t="shared" si="52"/>
        <v>1.2223493952920529E-2</v>
      </c>
      <c r="AH158" s="19"/>
      <c r="AI158" s="64">
        <v>0.54098000000000002</v>
      </c>
      <c r="AJ158" s="26">
        <f t="shared" si="48"/>
        <v>1.589995297437103E-2</v>
      </c>
      <c r="AL158" s="64">
        <v>1.1943800000000002</v>
      </c>
      <c r="AM158" s="26">
        <f t="shared" si="53"/>
        <v>2.8374789157342081E-2</v>
      </c>
      <c r="AO158" s="64">
        <f t="shared" si="49"/>
        <v>3.0146200000000003</v>
      </c>
      <c r="AP158" s="26">
        <f t="shared" si="50"/>
        <v>6.3053908998498241E-3</v>
      </c>
    </row>
    <row r="159" spans="1:42" outlineLevel="3">
      <c r="A159" s="281" t="s">
        <v>446</v>
      </c>
      <c r="B159" s="56">
        <v>6666021100</v>
      </c>
      <c r="C159" t="s">
        <v>66</v>
      </c>
      <c r="E159" s="62"/>
      <c r="F159" s="26"/>
      <c r="H159" s="64">
        <v>0.15703999999999999</v>
      </c>
      <c r="I159" s="26">
        <f t="shared" si="41"/>
        <v>3.4114656876588533E-3</v>
      </c>
      <c r="K159" s="64">
        <v>0.58108000000000004</v>
      </c>
      <c r="L159" s="26">
        <f t="shared" si="51"/>
        <v>1.2540302565983989E-2</v>
      </c>
      <c r="N159" s="64">
        <v>0.30698999999999999</v>
      </c>
      <c r="O159" s="26">
        <f t="shared" si="42"/>
        <v>6.2190304479063261E-3</v>
      </c>
      <c r="P159" s="19"/>
      <c r="Q159" s="64">
        <v>-0.4395</v>
      </c>
      <c r="R159" s="26">
        <f t="shared" si="43"/>
        <v>-8.1837479517354386E-3</v>
      </c>
      <c r="S159" s="19"/>
      <c r="T159" s="64">
        <v>4.5270000000000005E-2</v>
      </c>
      <c r="U159" s="26">
        <f t="shared" si="44"/>
        <v>1.5260922330097089E-3</v>
      </c>
      <c r="V159" s="19"/>
      <c r="W159" s="64">
        <v>2.1364699999999996</v>
      </c>
      <c r="X159" s="26">
        <f t="shared" si="45"/>
        <v>5.10421195976778E-2</v>
      </c>
      <c r="Y159" s="19"/>
      <c r="Z159" s="64">
        <v>2.3419099999999999</v>
      </c>
      <c r="AA159" s="26">
        <f t="shared" si="46"/>
        <v>7.3237326828658092E-2</v>
      </c>
      <c r="AB159" s="19"/>
      <c r="AC159" s="64">
        <v>0.82403999999999999</v>
      </c>
      <c r="AD159" s="26">
        <f t="shared" si="47"/>
        <v>2.9150983444177162E-2</v>
      </c>
      <c r="AE159" s="19"/>
      <c r="AF159" s="64">
        <v>0.50452999999999992</v>
      </c>
      <c r="AG159" s="26">
        <f t="shared" si="52"/>
        <v>1.9248788676509858E-2</v>
      </c>
      <c r="AH159" s="19"/>
      <c r="AI159" s="64">
        <v>-0.17559</v>
      </c>
      <c r="AJ159" s="26">
        <f t="shared" si="48"/>
        <v>-5.1607688690336233E-3</v>
      </c>
      <c r="AL159" s="64">
        <v>7.3486799999999999</v>
      </c>
      <c r="AM159" s="26">
        <f t="shared" si="53"/>
        <v>0.17458199700662819</v>
      </c>
      <c r="AO159" s="64">
        <f t="shared" si="49"/>
        <v>13.63092</v>
      </c>
      <c r="AP159" s="26">
        <f t="shared" si="50"/>
        <v>2.851048521026894E-2</v>
      </c>
    </row>
    <row r="160" spans="1:42" outlineLevel="3">
      <c r="A160" s="281" t="s">
        <v>446</v>
      </c>
      <c r="B160" s="56">
        <v>6666021102</v>
      </c>
      <c r="C160" t="s">
        <v>171</v>
      </c>
      <c r="E160" s="62">
        <v>0.40227999999999997</v>
      </c>
      <c r="F160" s="26">
        <f t="shared" si="40"/>
        <v>8.2823083733091756E-3</v>
      </c>
      <c r="H160" s="64">
        <v>6.2971000000000004</v>
      </c>
      <c r="I160" s="26">
        <f t="shared" si="41"/>
        <v>0.13679534247170511</v>
      </c>
      <c r="K160" s="64">
        <v>4.1405099999999999</v>
      </c>
      <c r="L160" s="26">
        <f t="shared" si="51"/>
        <v>8.9356453805813918E-2</v>
      </c>
      <c r="N160" s="64">
        <v>3.6856499999999999</v>
      </c>
      <c r="O160" s="26">
        <f t="shared" si="42"/>
        <v>7.4664222190709645E-2</v>
      </c>
      <c r="P160" s="19"/>
      <c r="Q160" s="64">
        <v>-2.80952</v>
      </c>
      <c r="R160" s="26">
        <f t="shared" si="43"/>
        <v>-5.2314911366006259E-2</v>
      </c>
      <c r="S160" s="19"/>
      <c r="T160" s="64">
        <v>2.9254699999999998</v>
      </c>
      <c r="U160" s="26">
        <f t="shared" si="44"/>
        <v>9.8620213052858688E-2</v>
      </c>
      <c r="V160" s="19"/>
      <c r="W160" s="64">
        <v>0.76645000000000008</v>
      </c>
      <c r="X160" s="26">
        <f t="shared" si="45"/>
        <v>1.8311154645578996E-2</v>
      </c>
      <c r="Y160" s="19"/>
      <c r="Z160" s="64">
        <v>1.5657099999999999</v>
      </c>
      <c r="AA160" s="26">
        <f t="shared" si="46"/>
        <v>4.896363010914094E-2</v>
      </c>
      <c r="AB160" s="19"/>
      <c r="AC160" s="64">
        <v>1.6121700000000001</v>
      </c>
      <c r="AD160" s="26">
        <f t="shared" si="47"/>
        <v>5.7031625866704405E-2</v>
      </c>
      <c r="AE160" s="19"/>
      <c r="AF160" s="64">
        <v>1.3380999999999998</v>
      </c>
      <c r="AG160" s="26">
        <f t="shared" si="52"/>
        <v>5.1051085422150998E-2</v>
      </c>
      <c r="AH160" s="19"/>
      <c r="AI160" s="64">
        <v>1.6528</v>
      </c>
      <c r="AJ160" s="26">
        <f t="shared" si="48"/>
        <v>4.8577474723724437E-2</v>
      </c>
      <c r="AL160" s="64">
        <v>7.90327</v>
      </c>
      <c r="AM160" s="26">
        <f t="shared" si="53"/>
        <v>0.18775734682726344</v>
      </c>
      <c r="AO160" s="64">
        <f t="shared" si="49"/>
        <v>29.479990000000001</v>
      </c>
      <c r="AP160" s="26">
        <f t="shared" si="50"/>
        <v>6.1660461575145049E-2</v>
      </c>
    </row>
    <row r="161" spans="1:42" outlineLevel="3">
      <c r="A161" s="281" t="s">
        <v>446</v>
      </c>
      <c r="B161" s="56">
        <v>6666021104</v>
      </c>
      <c r="C161" t="s">
        <v>407</v>
      </c>
      <c r="E161" s="62"/>
      <c r="F161" s="26"/>
      <c r="H161" s="64"/>
      <c r="I161" s="26"/>
      <c r="K161" s="64"/>
      <c r="L161" s="26"/>
      <c r="N161" s="64"/>
      <c r="O161" s="26"/>
      <c r="P161" s="19"/>
      <c r="Q161" s="64">
        <v>3.47E-3</v>
      </c>
      <c r="R161" s="26">
        <f t="shared" si="43"/>
        <v>6.4613436615522125E-5</v>
      </c>
      <c r="S161" s="19"/>
      <c r="T161" s="64">
        <v>-2.9999999999999997E-5</v>
      </c>
      <c r="U161" s="26">
        <f t="shared" si="44"/>
        <v>-1.0113268608414237E-6</v>
      </c>
      <c r="V161" s="19"/>
      <c r="W161" s="64">
        <v>0</v>
      </c>
      <c r="X161" s="26">
        <f t="shared" si="45"/>
        <v>0</v>
      </c>
      <c r="Y161" s="19"/>
      <c r="Z161" s="64">
        <v>0</v>
      </c>
      <c r="AA161" s="26">
        <f t="shared" si="46"/>
        <v>0</v>
      </c>
      <c r="AB161" s="19"/>
      <c r="AC161" s="64">
        <v>7.640000000000001E-2</v>
      </c>
      <c r="AD161" s="26">
        <f t="shared" si="47"/>
        <v>2.7027027027027029E-3</v>
      </c>
      <c r="AE161" s="19"/>
      <c r="AF161" s="64">
        <v>5.0000000000000002E-5</v>
      </c>
      <c r="AG161" s="26">
        <f t="shared" si="52"/>
        <v>1.9075960474609895E-6</v>
      </c>
      <c r="AH161" s="19"/>
      <c r="AI161" s="64">
        <v>4.2419999999999999E-2</v>
      </c>
      <c r="AJ161" s="26">
        <f t="shared" si="48"/>
        <v>1.2467669880084646E-3</v>
      </c>
      <c r="AL161" s="64">
        <v>0.23013999999999998</v>
      </c>
      <c r="AM161" s="26">
        <f t="shared" si="53"/>
        <v>5.4674173853134717E-3</v>
      </c>
      <c r="AO161" s="64">
        <f t="shared" si="49"/>
        <v>0.35244999999999999</v>
      </c>
      <c r="AP161" s="26">
        <f t="shared" si="50"/>
        <v>7.3718578880657259E-4</v>
      </c>
    </row>
    <row r="162" spans="1:42" outlineLevel="3">
      <c r="A162" s="281" t="s">
        <v>446</v>
      </c>
      <c r="B162" s="56">
        <v>6666021300</v>
      </c>
      <c r="C162" t="s">
        <v>167</v>
      </c>
      <c r="E162" s="62">
        <v>0.27981</v>
      </c>
      <c r="F162" s="26">
        <f t="shared" si="40"/>
        <v>5.7608449486318998E-3</v>
      </c>
      <c r="H162" s="64"/>
      <c r="I162" s="26">
        <f t="shared" si="41"/>
        <v>0</v>
      </c>
      <c r="K162" s="64">
        <v>2.7449499999999998</v>
      </c>
      <c r="L162" s="26">
        <f t="shared" si="51"/>
        <v>5.9238837214321161E-2</v>
      </c>
      <c r="N162" s="64">
        <v>0.50092000000000003</v>
      </c>
      <c r="O162" s="26">
        <f t="shared" si="42"/>
        <v>1.0147681461823634E-2</v>
      </c>
      <c r="P162" s="19"/>
      <c r="Q162" s="64">
        <v>0.18137999999999999</v>
      </c>
      <c r="R162" s="26">
        <f t="shared" si="43"/>
        <v>3.3774020557127962E-3</v>
      </c>
      <c r="S162" s="19"/>
      <c r="T162" s="64">
        <v>0.77579999999999993</v>
      </c>
      <c r="U162" s="26">
        <f t="shared" si="44"/>
        <v>2.6152912621359221E-2</v>
      </c>
      <c r="V162" s="19"/>
      <c r="W162" s="64">
        <v>2.7579999999999997E-2</v>
      </c>
      <c r="X162" s="26">
        <f t="shared" si="45"/>
        <v>6.5891009866927866E-4</v>
      </c>
      <c r="Y162" s="19"/>
      <c r="Z162" s="64">
        <v>0</v>
      </c>
      <c r="AA162" s="26">
        <f t="shared" si="46"/>
        <v>0</v>
      </c>
      <c r="AB162" s="19"/>
      <c r="AC162" s="64">
        <v>0.10026</v>
      </c>
      <c r="AD162" s="26">
        <f t="shared" si="47"/>
        <v>3.5467666619499083E-3</v>
      </c>
      <c r="AE162" s="19"/>
      <c r="AF162" s="64">
        <v>-9.240000000000001E-2</v>
      </c>
      <c r="AG162" s="26">
        <f t="shared" si="52"/>
        <v>-3.5252374957079093E-3</v>
      </c>
      <c r="AH162" s="19"/>
      <c r="AI162" s="64">
        <v>0.55847999999999998</v>
      </c>
      <c r="AJ162" s="26">
        <f t="shared" si="48"/>
        <v>1.6414295791206207E-2</v>
      </c>
      <c r="AL162" s="64">
        <v>0.16782</v>
      </c>
      <c r="AM162" s="26">
        <f t="shared" si="53"/>
        <v>3.9868861806000994E-3</v>
      </c>
      <c r="AO162" s="64">
        <f t="shared" si="49"/>
        <v>5.2446000000000002</v>
      </c>
      <c r="AP162" s="26">
        <f t="shared" si="50"/>
        <v>1.0969625728401053E-2</v>
      </c>
    </row>
    <row r="163" spans="1:42" outlineLevel="3">
      <c r="A163" s="281" t="s">
        <v>446</v>
      </c>
      <c r="B163" s="56">
        <v>6666021902</v>
      </c>
      <c r="C163" t="s">
        <v>67</v>
      </c>
      <c r="E163" s="62"/>
      <c r="F163" s="26"/>
      <c r="H163" s="64"/>
      <c r="I163" s="26"/>
      <c r="K163" s="64">
        <v>3.4200000000000001E-2</v>
      </c>
      <c r="L163" s="26">
        <f t="shared" si="51"/>
        <v>7.3807108789951869E-4</v>
      </c>
      <c r="N163" s="64">
        <v>0</v>
      </c>
      <c r="O163" s="26">
        <f t="shared" si="42"/>
        <v>0</v>
      </c>
      <c r="P163" s="19"/>
      <c r="Q163" s="64">
        <v>-4.5199999999999997E-3</v>
      </c>
      <c r="R163" s="26">
        <f t="shared" si="43"/>
        <v>-8.4165052882466856E-5</v>
      </c>
      <c r="S163" s="19"/>
      <c r="T163" s="64">
        <v>-1.227E-2</v>
      </c>
      <c r="U163" s="26">
        <f t="shared" si="44"/>
        <v>-4.1363268608414239E-4</v>
      </c>
      <c r="V163" s="19"/>
      <c r="W163" s="64">
        <v>0.3347</v>
      </c>
      <c r="X163" s="26">
        <f t="shared" si="45"/>
        <v>7.9962730248226092E-3</v>
      </c>
      <c r="Y163" s="19"/>
      <c r="Z163" s="64">
        <v>0.55586000000000002</v>
      </c>
      <c r="AA163" s="26">
        <f t="shared" si="46"/>
        <v>1.7383119116865249E-2</v>
      </c>
      <c r="AB163" s="19"/>
      <c r="AC163" s="64">
        <v>1.5200000000000001E-3</v>
      </c>
      <c r="AD163" s="26">
        <f t="shared" si="47"/>
        <v>5.3771048535446445E-5</v>
      </c>
      <c r="AE163" s="19"/>
      <c r="AF163" s="64">
        <v>-0.13065000000000002</v>
      </c>
      <c r="AG163" s="26">
        <f t="shared" si="52"/>
        <v>-4.9845484720155665E-3</v>
      </c>
      <c r="AH163" s="19"/>
      <c r="AI163" s="64">
        <v>5.6640000000000003E-2</v>
      </c>
      <c r="AJ163" s="26">
        <f t="shared" si="48"/>
        <v>1.6647072654596756E-3</v>
      </c>
      <c r="AL163" s="64">
        <v>-8.1110000000000002E-2</v>
      </c>
      <c r="AM163" s="26">
        <f t="shared" si="53"/>
        <v>-1.92692371653244E-3</v>
      </c>
      <c r="AO163" s="64">
        <f t="shared" si="49"/>
        <v>0.75436999999999987</v>
      </c>
      <c r="AP163" s="26">
        <f t="shared" si="50"/>
        <v>1.5778432217392938E-3</v>
      </c>
    </row>
    <row r="164" spans="1:42" outlineLevel="3">
      <c r="A164" s="281" t="s">
        <v>446</v>
      </c>
      <c r="B164" s="56">
        <v>6666022100</v>
      </c>
      <c r="C164" t="s">
        <v>68</v>
      </c>
      <c r="E164" s="62"/>
      <c r="F164" s="26"/>
      <c r="H164" s="64">
        <v>7.0000000000000007E-5</v>
      </c>
      <c r="I164" s="26">
        <f t="shared" si="41"/>
        <v>1.5206482306171661E-6</v>
      </c>
      <c r="K164" s="64">
        <v>0.16512000000000002</v>
      </c>
      <c r="L164" s="26">
        <f t="shared" si="51"/>
        <v>3.5634590068411853E-3</v>
      </c>
      <c r="N164" s="64">
        <v>0</v>
      </c>
      <c r="O164" s="26">
        <f t="shared" si="42"/>
        <v>0</v>
      </c>
      <c r="P164" s="19"/>
      <c r="Q164" s="64">
        <v>-1.183E-2</v>
      </c>
      <c r="R164" s="26">
        <f t="shared" si="43"/>
        <v>-2.2028154327424402E-4</v>
      </c>
      <c r="S164" s="19"/>
      <c r="T164" s="64">
        <v>-0.11506999999999999</v>
      </c>
      <c r="U164" s="26">
        <f t="shared" si="44"/>
        <v>-3.8791127292340881E-3</v>
      </c>
      <c r="V164" s="19"/>
      <c r="W164" s="64">
        <v>0.45654</v>
      </c>
      <c r="X164" s="26">
        <f t="shared" si="45"/>
        <v>1.0907136201830042E-2</v>
      </c>
      <c r="Y164" s="19"/>
      <c r="Z164" s="64">
        <v>0.44848000000000005</v>
      </c>
      <c r="AA164" s="26">
        <f t="shared" si="46"/>
        <v>1.4025080526628516E-2</v>
      </c>
      <c r="AB164" s="19"/>
      <c r="AC164" s="64">
        <v>3.8999999999999998E-3</v>
      </c>
      <c r="AD164" s="26">
        <f t="shared" si="47"/>
        <v>1.3796519032121125E-4</v>
      </c>
      <c r="AE164" s="19"/>
      <c r="AF164" s="64">
        <v>-0.25506000000000001</v>
      </c>
      <c r="AG164" s="26">
        <f t="shared" si="52"/>
        <v>-9.7310289573080012E-3</v>
      </c>
      <c r="AH164" s="19"/>
      <c r="AI164" s="64">
        <v>0.15797999999999998</v>
      </c>
      <c r="AJ164" s="26">
        <f t="shared" si="48"/>
        <v>4.6431930402069128E-3</v>
      </c>
      <c r="AL164" s="64">
        <v>-0.19975999999999999</v>
      </c>
      <c r="AM164" s="26">
        <f t="shared" si="53"/>
        <v>-4.7456821799349057E-3</v>
      </c>
      <c r="AO164" s="64">
        <f t="shared" si="49"/>
        <v>0.65037000000000011</v>
      </c>
      <c r="AP164" s="26">
        <f t="shared" si="50"/>
        <v>1.3603164178355247E-3</v>
      </c>
    </row>
    <row r="165" spans="1:42">
      <c r="A165" s="281" t="s">
        <v>445</v>
      </c>
      <c r="B165" s="56">
        <v>6666022300</v>
      </c>
      <c r="C165" t="s">
        <v>69</v>
      </c>
      <c r="E165" s="62">
        <v>5.0342900000000004</v>
      </c>
      <c r="F165" s="26">
        <f t="shared" si="40"/>
        <v>0.10364806160054355</v>
      </c>
      <c r="H165" s="64">
        <v>4.9936699999999998</v>
      </c>
      <c r="I165" s="26">
        <f t="shared" si="41"/>
        <v>0.1084802207112289</v>
      </c>
      <c r="K165" s="64">
        <v>5.0112899999999998</v>
      </c>
      <c r="L165" s="26">
        <f t="shared" si="51"/>
        <v>0.10814877959298184</v>
      </c>
      <c r="N165" s="64">
        <v>5.0071199999999996</v>
      </c>
      <c r="O165" s="26">
        <f t="shared" si="42"/>
        <v>0.10143467779510969</v>
      </c>
      <c r="P165" s="19"/>
      <c r="Q165" s="64">
        <v>4.9626000000000001</v>
      </c>
      <c r="R165" s="26">
        <f t="shared" si="43"/>
        <v>9.2406524653657091E-2</v>
      </c>
      <c r="S165" s="19"/>
      <c r="T165" s="64">
        <v>4.0673200000000005</v>
      </c>
      <c r="U165" s="26">
        <f t="shared" si="44"/>
        <v>0.13711299892125137</v>
      </c>
      <c r="V165" s="19"/>
      <c r="W165" s="64">
        <v>5.1055600000000005</v>
      </c>
      <c r="X165" s="26">
        <f t="shared" si="45"/>
        <v>0.12197625247867741</v>
      </c>
      <c r="Y165" s="19"/>
      <c r="Z165" s="64">
        <v>4.1482099999999997</v>
      </c>
      <c r="AA165" s="26">
        <f t="shared" si="46"/>
        <v>0.12972480220158239</v>
      </c>
      <c r="AB165" s="19"/>
      <c r="AC165" s="64">
        <v>4.0182399999999996</v>
      </c>
      <c r="AD165" s="26">
        <f t="shared" si="47"/>
        <v>0.14214801188623177</v>
      </c>
      <c r="AE165" s="19"/>
      <c r="AF165" s="64">
        <v>4.6375999999999999</v>
      </c>
      <c r="AG165" s="26">
        <f t="shared" si="52"/>
        <v>0.1769333485941017</v>
      </c>
      <c r="AH165" s="19"/>
      <c r="AI165" s="64">
        <v>4.3486099999999999</v>
      </c>
      <c r="AJ165" s="26">
        <f t="shared" si="48"/>
        <v>0.12781007524100632</v>
      </c>
      <c r="AL165" s="64">
        <v>3.6503400000000004</v>
      </c>
      <c r="AM165" s="26">
        <f t="shared" si="53"/>
        <v>8.6720832442448867E-2</v>
      </c>
      <c r="AO165" s="64">
        <f t="shared" si="49"/>
        <v>54.984849999999994</v>
      </c>
      <c r="AP165" s="26">
        <f t="shared" si="50"/>
        <v>0.1150065258041171</v>
      </c>
    </row>
    <row r="166" spans="1:42">
      <c r="A166" s="281" t="s">
        <v>446</v>
      </c>
      <c r="B166" s="56">
        <v>6666029900</v>
      </c>
      <c r="C166" t="s">
        <v>70</v>
      </c>
      <c r="E166" s="62">
        <v>8.1019999999999995E-2</v>
      </c>
      <c r="F166" s="26">
        <f t="shared" si="40"/>
        <v>1.668073541825369E-3</v>
      </c>
      <c r="H166" s="64">
        <v>8.1920000000000007E-2</v>
      </c>
      <c r="I166" s="26">
        <f t="shared" si="41"/>
        <v>1.7795929007451176E-3</v>
      </c>
      <c r="K166" s="64">
        <v>0.11201</v>
      </c>
      <c r="L166" s="26">
        <f t="shared" si="51"/>
        <v>2.4172907180007338E-3</v>
      </c>
      <c r="N166" s="64">
        <v>3.8310000000000004E-2</v>
      </c>
      <c r="O166" s="26">
        <f t="shared" si="42"/>
        <v>7.7608735287563568E-4</v>
      </c>
      <c r="P166" s="19"/>
      <c r="Q166" s="64">
        <v>0.32491000000000003</v>
      </c>
      <c r="R166" s="26">
        <f t="shared" si="43"/>
        <v>6.0500148964695369E-3</v>
      </c>
      <c r="S166" s="19"/>
      <c r="T166" s="64">
        <v>8.2129999999999995E-2</v>
      </c>
      <c r="U166" s="26">
        <f t="shared" si="44"/>
        <v>2.7686758360302047E-3</v>
      </c>
      <c r="V166" s="19"/>
      <c r="W166" s="64">
        <v>1.1820000000000001E-2</v>
      </c>
      <c r="X166" s="26">
        <f t="shared" si="45"/>
        <v>2.8239004228683374E-4</v>
      </c>
      <c r="Y166" s="19"/>
      <c r="Z166" s="64">
        <v>5.6600000000000004E-2</v>
      </c>
      <c r="AA166" s="26">
        <f t="shared" si="46"/>
        <v>1.770022203458736E-3</v>
      </c>
      <c r="AB166" s="19"/>
      <c r="AC166" s="64">
        <v>5.638E-2</v>
      </c>
      <c r="AD166" s="26">
        <f t="shared" si="47"/>
        <v>1.9944813923871516E-3</v>
      </c>
      <c r="AE166" s="19"/>
      <c r="AF166" s="64">
        <v>3.959E-2</v>
      </c>
      <c r="AG166" s="26">
        <f t="shared" si="52"/>
        <v>1.5104345503796114E-3</v>
      </c>
      <c r="AH166" s="19"/>
      <c r="AI166" s="64">
        <v>1.8460000000000001E-2</v>
      </c>
      <c r="AJ166" s="26">
        <f t="shared" si="48"/>
        <v>5.4255819421584767E-4</v>
      </c>
      <c r="AL166" s="64">
        <v>7.1300000000000001E-3</v>
      </c>
      <c r="AM166" s="26">
        <f t="shared" si="53"/>
        <v>1.6938683391537785E-4</v>
      </c>
      <c r="AO166" s="64">
        <f t="shared" si="49"/>
        <v>0.9102800000000002</v>
      </c>
      <c r="AP166" s="26">
        <f t="shared" si="50"/>
        <v>1.9039451832454167E-3</v>
      </c>
    </row>
    <row r="167" spans="1:42">
      <c r="A167" s="281" t="s">
        <v>446</v>
      </c>
      <c r="B167" s="56">
        <v>6666029997</v>
      </c>
      <c r="C167" t="s">
        <v>71</v>
      </c>
      <c r="E167" s="62"/>
      <c r="F167" s="26"/>
      <c r="H167" s="64">
        <v>3.82707</v>
      </c>
      <c r="I167" s="26">
        <f t="shared" si="41"/>
        <v>8.3137531770686238E-2</v>
      </c>
      <c r="K167" s="64">
        <v>0</v>
      </c>
      <c r="L167" s="26">
        <f t="shared" si="51"/>
        <v>0</v>
      </c>
      <c r="N167" s="64">
        <v>0</v>
      </c>
      <c r="O167" s="26">
        <f t="shared" si="42"/>
        <v>0</v>
      </c>
      <c r="P167" s="19"/>
      <c r="Q167" s="64">
        <v>0</v>
      </c>
      <c r="R167" s="26">
        <f t="shared" si="43"/>
        <v>0</v>
      </c>
      <c r="S167" s="19"/>
      <c r="T167" s="64">
        <v>0</v>
      </c>
      <c r="U167" s="26">
        <f t="shared" si="44"/>
        <v>0</v>
      </c>
      <c r="V167" s="19"/>
      <c r="W167" s="64">
        <v>0</v>
      </c>
      <c r="X167" s="26">
        <f t="shared" si="45"/>
        <v>0</v>
      </c>
      <c r="Y167" s="19"/>
      <c r="Z167" s="64">
        <v>0</v>
      </c>
      <c r="AA167" s="26">
        <f t="shared" si="46"/>
        <v>0</v>
      </c>
      <c r="AB167" s="19"/>
      <c r="AC167" s="64">
        <v>0</v>
      </c>
      <c r="AD167" s="26">
        <f t="shared" si="47"/>
        <v>0</v>
      </c>
      <c r="AE167" s="19"/>
      <c r="AF167" s="64">
        <v>0</v>
      </c>
      <c r="AG167" s="26">
        <f t="shared" si="52"/>
        <v>0</v>
      </c>
      <c r="AH167" s="19"/>
      <c r="AI167" s="64">
        <v>0</v>
      </c>
      <c r="AJ167" s="26">
        <f t="shared" si="48"/>
        <v>0</v>
      </c>
      <c r="AL167" s="64">
        <v>0</v>
      </c>
      <c r="AM167" s="26">
        <f t="shared" si="53"/>
        <v>0</v>
      </c>
      <c r="AO167" s="64">
        <f t="shared" si="49"/>
        <v>3.82707</v>
      </c>
      <c r="AP167" s="26">
        <f t="shared" si="50"/>
        <v>8.0047144751538377E-3</v>
      </c>
    </row>
    <row r="168" spans="1:42">
      <c r="A168" s="281" t="s">
        <v>446</v>
      </c>
      <c r="B168" s="56">
        <v>6666031100</v>
      </c>
      <c r="C168" s="1" t="s">
        <v>451</v>
      </c>
      <c r="E168" s="62"/>
      <c r="F168" s="26"/>
      <c r="H168" s="64"/>
      <c r="I168" s="26"/>
      <c r="K168" s="64"/>
      <c r="L168" s="26"/>
      <c r="N168" s="64"/>
      <c r="O168" s="26"/>
      <c r="P168" s="19"/>
      <c r="Q168" s="64"/>
      <c r="R168" s="26"/>
      <c r="S168" s="19"/>
      <c r="T168" s="64"/>
      <c r="U168" s="26"/>
      <c r="V168" s="19"/>
      <c r="W168" s="64"/>
      <c r="X168" s="26"/>
      <c r="Y168" s="19"/>
      <c r="Z168" s="64"/>
      <c r="AA168" s="26"/>
      <c r="AB168" s="19"/>
      <c r="AC168" s="64">
        <f>3.49/1000</f>
        <v>3.49E-3</v>
      </c>
      <c r="AD168" s="26">
        <f t="shared" si="47"/>
        <v>1.234611574925711E-4</v>
      </c>
      <c r="AE168" s="19"/>
      <c r="AF168" s="64">
        <v>0</v>
      </c>
      <c r="AG168" s="26">
        <f t="shared" si="52"/>
        <v>0</v>
      </c>
      <c r="AH168" s="19"/>
      <c r="AI168" s="64">
        <v>-4.0000000000000003E-5</v>
      </c>
      <c r="AJ168" s="26">
        <f t="shared" si="48"/>
        <v>-1.1756407241946862E-6</v>
      </c>
      <c r="AL168" s="64">
        <v>8.9999999999999992E-5</v>
      </c>
      <c r="AM168" s="26">
        <f t="shared" si="53"/>
        <v>2.1381227282446013E-6</v>
      </c>
      <c r="AO168" s="64">
        <f t="shared" si="49"/>
        <v>3.5399999999999997E-3</v>
      </c>
      <c r="AP168" s="26">
        <f t="shared" ref="AP168" si="57">AO168/$AO$1*1000</f>
        <v>7.4042777482629222E-6</v>
      </c>
    </row>
    <row r="169" spans="1:42">
      <c r="A169" s="281" t="s">
        <v>446</v>
      </c>
      <c r="B169" s="56">
        <v>6666050107</v>
      </c>
      <c r="C169" t="s">
        <v>75</v>
      </c>
      <c r="E169" s="62"/>
      <c r="F169" s="26"/>
      <c r="H169" s="64">
        <v>6.0000000000000001E-3</v>
      </c>
      <c r="I169" s="26">
        <f t="shared" si="41"/>
        <v>1.3034127691004279E-4</v>
      </c>
      <c r="K169" s="64">
        <v>6.5199999999999998E-3</v>
      </c>
      <c r="L169" s="26">
        <f t="shared" si="51"/>
        <v>1.40708289272072E-4</v>
      </c>
      <c r="N169" s="64">
        <v>5.0599999999999994E-3</v>
      </c>
      <c r="O169" s="26">
        <f t="shared" si="42"/>
        <v>1.0250592549075217E-4</v>
      </c>
      <c r="P169" s="19"/>
      <c r="Q169" s="64">
        <v>0</v>
      </c>
      <c r="R169" s="26">
        <f t="shared" si="43"/>
        <v>0</v>
      </c>
      <c r="S169" s="19"/>
      <c r="T169" s="64">
        <v>0</v>
      </c>
      <c r="U169" s="26">
        <f t="shared" si="44"/>
        <v>0</v>
      </c>
      <c r="V169" s="19"/>
      <c r="W169" s="64">
        <v>0</v>
      </c>
      <c r="X169" s="26">
        <f t="shared" si="45"/>
        <v>0</v>
      </c>
      <c r="Y169" s="19"/>
      <c r="Z169" s="64">
        <v>0</v>
      </c>
      <c r="AA169" s="26">
        <f t="shared" si="46"/>
        <v>0</v>
      </c>
      <c r="AB169" s="19"/>
      <c r="AC169" s="64">
        <v>-1.7579999999999998E-2</v>
      </c>
      <c r="AD169" s="26">
        <f t="shared" si="47"/>
        <v>-6.2190462714022913E-4</v>
      </c>
      <c r="AE169" s="19"/>
      <c r="AF169" s="64">
        <v>0</v>
      </c>
      <c r="AG169" s="26">
        <f t="shared" si="52"/>
        <v>0</v>
      </c>
      <c r="AH169" s="19"/>
      <c r="AI169" s="64">
        <v>0</v>
      </c>
      <c r="AJ169" s="26">
        <f t="shared" si="48"/>
        <v>0</v>
      </c>
      <c r="AL169" s="64">
        <v>0</v>
      </c>
      <c r="AM169" s="26">
        <f t="shared" si="53"/>
        <v>0</v>
      </c>
      <c r="AO169" s="64">
        <f t="shared" si="49"/>
        <v>0</v>
      </c>
      <c r="AP169" s="26">
        <f t="shared" si="50"/>
        <v>0</v>
      </c>
    </row>
    <row r="170" spans="1:42">
      <c r="A170" s="281" t="s">
        <v>446</v>
      </c>
      <c r="B170" s="56">
        <v>6666070400</v>
      </c>
      <c r="C170" s="1" t="s">
        <v>79</v>
      </c>
      <c r="E170" s="62"/>
      <c r="F170" s="26"/>
      <c r="H170" s="64"/>
      <c r="I170" s="26"/>
      <c r="K170" s="64"/>
      <c r="L170" s="26"/>
      <c r="N170" s="64"/>
      <c r="O170" s="26"/>
      <c r="P170" s="19"/>
      <c r="Q170" s="64"/>
      <c r="R170" s="26"/>
      <c r="S170" s="19"/>
      <c r="T170" s="64"/>
      <c r="U170" s="26"/>
      <c r="V170" s="19"/>
      <c r="W170" s="64"/>
      <c r="X170" s="26"/>
      <c r="Y170" s="19"/>
      <c r="Z170" s="64"/>
      <c r="AA170" s="26"/>
      <c r="AB170" s="19"/>
      <c r="AC170" s="64"/>
      <c r="AD170" s="26"/>
      <c r="AE170" s="19"/>
      <c r="AF170" s="64"/>
      <c r="AG170" s="26"/>
      <c r="AH170" s="19"/>
      <c r="AI170" s="64"/>
      <c r="AJ170" s="26"/>
      <c r="AL170" s="64">
        <v>0.15550999999999998</v>
      </c>
      <c r="AM170" s="26">
        <f t="shared" si="53"/>
        <v>3.6944385052146431E-3</v>
      </c>
      <c r="AN170" s="326"/>
      <c r="AO170" s="64">
        <f t="shared" ref="AO170" si="58">H170+E170+K170+N170+Q170+T170+W170+Z170+AC170+AF170+AI170+AL170</f>
        <v>0.15550999999999998</v>
      </c>
      <c r="AP170" s="26">
        <f t="shared" ref="AP170" si="59">AO170/$AO$1*1000</f>
        <v>3.2526531995264607E-4</v>
      </c>
    </row>
    <row r="171" spans="1:42">
      <c r="A171" s="281" t="s">
        <v>446</v>
      </c>
      <c r="B171" s="56">
        <v>6666079999</v>
      </c>
      <c r="C171" t="s">
        <v>172</v>
      </c>
      <c r="E171" s="62">
        <v>100.051</v>
      </c>
      <c r="F171" s="26">
        <f t="shared" si="40"/>
        <v>2.0598917049268084</v>
      </c>
      <c r="H171" s="64">
        <v>100.68714</v>
      </c>
      <c r="I171" s="26">
        <f t="shared" si="41"/>
        <v>2.1872817326700411</v>
      </c>
      <c r="K171" s="64">
        <v>100.0265</v>
      </c>
      <c r="L171" s="26">
        <f t="shared" si="51"/>
        <v>2.1586744933854156</v>
      </c>
      <c r="N171" s="64">
        <v>100.04283</v>
      </c>
      <c r="O171" s="26">
        <f t="shared" si="42"/>
        <v>2.0266764580758867</v>
      </c>
      <c r="P171" s="19"/>
      <c r="Q171" s="64">
        <v>110.01524000000001</v>
      </c>
      <c r="R171" s="26">
        <f t="shared" si="43"/>
        <v>2.0485483390436467</v>
      </c>
      <c r="S171" s="19"/>
      <c r="T171" s="64">
        <v>100.04283</v>
      </c>
      <c r="U171" s="26">
        <f t="shared" si="44"/>
        <v>3.3725333737864078</v>
      </c>
      <c r="V171" s="19"/>
      <c r="W171" s="64">
        <v>100.04283</v>
      </c>
      <c r="X171" s="26">
        <f t="shared" si="45"/>
        <v>2.390109897986</v>
      </c>
      <c r="Y171" s="19"/>
      <c r="Z171" s="64">
        <v>100.04283</v>
      </c>
      <c r="AA171" s="26">
        <f t="shared" si="46"/>
        <v>3.1285871094849425</v>
      </c>
      <c r="AB171" s="19"/>
      <c r="AC171" s="64">
        <v>110.01524000000001</v>
      </c>
      <c r="AD171" s="26">
        <f t="shared" si="47"/>
        <v>3.8918650063676243</v>
      </c>
      <c r="AE171" s="19"/>
      <c r="AF171" s="64">
        <v>110.01524000000001</v>
      </c>
      <c r="AG171" s="26">
        <f t="shared" si="52"/>
        <v>4.1972927396894431</v>
      </c>
      <c r="AH171" s="19"/>
      <c r="AI171" s="64">
        <v>100.04283</v>
      </c>
      <c r="AJ171" s="26">
        <f t="shared" si="48"/>
        <v>2.9403606277921468</v>
      </c>
      <c r="AL171" s="64">
        <v>-118.98588000000001</v>
      </c>
      <c r="AM171" s="26">
        <f t="shared" si="53"/>
        <v>-2.8267379374242751</v>
      </c>
      <c r="AO171" s="64">
        <f t="shared" si="49"/>
        <v>1012.03863</v>
      </c>
      <c r="AP171" s="26">
        <f t="shared" si="50"/>
        <v>2.1167839289523993</v>
      </c>
    </row>
    <row r="172" spans="1:42">
      <c r="A172" s="281" t="s">
        <v>446</v>
      </c>
      <c r="B172" s="56">
        <v>6666090100</v>
      </c>
      <c r="C172" t="s">
        <v>452</v>
      </c>
      <c r="E172" s="62"/>
      <c r="F172" s="26"/>
      <c r="H172" s="64"/>
      <c r="I172" s="26"/>
      <c r="K172" s="64"/>
      <c r="L172" s="26"/>
      <c r="N172" s="64"/>
      <c r="O172" s="26"/>
      <c r="P172" s="19"/>
      <c r="Q172" s="64"/>
      <c r="R172" s="26"/>
      <c r="S172" s="19"/>
      <c r="T172" s="64"/>
      <c r="U172" s="26"/>
      <c r="V172" s="19"/>
      <c r="W172" s="64"/>
      <c r="X172" s="26"/>
      <c r="Y172" s="19"/>
      <c r="Z172" s="64"/>
      <c r="AA172" s="26"/>
      <c r="AB172" s="19"/>
      <c r="AC172" s="64">
        <f>4392.02/1000</f>
        <v>4.3920200000000005</v>
      </c>
      <c r="AD172" s="26">
        <f t="shared" si="47"/>
        <v>0.155370737229376</v>
      </c>
      <c r="AE172" s="19"/>
      <c r="AF172" s="64">
        <v>0</v>
      </c>
      <c r="AG172" s="26">
        <f t="shared" si="52"/>
        <v>0</v>
      </c>
      <c r="AH172" s="19"/>
      <c r="AI172" s="64">
        <v>0</v>
      </c>
      <c r="AJ172" s="26">
        <f t="shared" si="48"/>
        <v>0</v>
      </c>
      <c r="AL172" s="64">
        <v>0</v>
      </c>
      <c r="AM172" s="26">
        <f t="shared" si="53"/>
        <v>0</v>
      </c>
      <c r="AO172" s="64">
        <f t="shared" si="49"/>
        <v>4.3920200000000005</v>
      </c>
      <c r="AP172" s="26">
        <f t="shared" ref="AP172" si="60">AO172/$AO$1*1000</f>
        <v>9.1863660892445558E-3</v>
      </c>
    </row>
    <row r="173" spans="1:42">
      <c r="A173" s="281" t="s">
        <v>446</v>
      </c>
      <c r="B173" s="56">
        <v>6666093800</v>
      </c>
      <c r="C173" t="s">
        <v>173</v>
      </c>
      <c r="E173" s="62">
        <v>6.2979999999999994E-2</v>
      </c>
      <c r="F173" s="26">
        <f t="shared" si="40"/>
        <v>1.2966584999279404E-3</v>
      </c>
      <c r="H173" s="64">
        <v>7.8079999999999997E-2</v>
      </c>
      <c r="I173" s="26">
        <f t="shared" si="41"/>
        <v>1.6961744835226901E-3</v>
      </c>
      <c r="K173" s="64">
        <v>6.4409999999999995E-2</v>
      </c>
      <c r="L173" s="26">
        <f t="shared" si="51"/>
        <v>1.3900338822107601E-3</v>
      </c>
      <c r="N173" s="64">
        <v>7.4700000000000003E-2</v>
      </c>
      <c r="O173" s="26">
        <f t="shared" si="42"/>
        <v>1.513279176711302E-3</v>
      </c>
      <c r="P173" s="19"/>
      <c r="Q173" s="64">
        <v>3.6289999999999996E-2</v>
      </c>
      <c r="R173" s="26">
        <f t="shared" si="43"/>
        <v>6.7574109935945176E-4</v>
      </c>
      <c r="S173" s="19"/>
      <c r="T173" s="64">
        <v>2.5530000000000001E-2</v>
      </c>
      <c r="U173" s="26">
        <f t="shared" si="44"/>
        <v>8.6063915857605177E-4</v>
      </c>
      <c r="V173" s="19"/>
      <c r="W173" s="64">
        <v>2.2940000000000002E-2</v>
      </c>
      <c r="X173" s="26">
        <f t="shared" si="45"/>
        <v>5.4805647800845736E-4</v>
      </c>
      <c r="Y173" s="19"/>
      <c r="Z173" s="64">
        <v>2.4160000000000001E-2</v>
      </c>
      <c r="AA173" s="26">
        <f t="shared" si="46"/>
        <v>7.5554304656471846E-4</v>
      </c>
      <c r="AB173" s="19"/>
      <c r="AC173" s="64">
        <v>3.2159999999999994E-2</v>
      </c>
      <c r="AD173" s="26">
        <f t="shared" si="47"/>
        <v>1.1376821848026034E-3</v>
      </c>
      <c r="AE173" s="19"/>
      <c r="AF173" s="64">
        <v>2.6109999999999998E-2</v>
      </c>
      <c r="AG173" s="26">
        <f t="shared" si="52"/>
        <v>9.9614665598412862E-4</v>
      </c>
      <c r="AH173" s="19"/>
      <c r="AI173" s="64">
        <v>2.7809999999999998E-2</v>
      </c>
      <c r="AJ173" s="26">
        <f t="shared" si="48"/>
        <v>8.1736421349635547E-4</v>
      </c>
      <c r="AL173" s="64">
        <v>0</v>
      </c>
      <c r="AM173" s="26">
        <f t="shared" si="53"/>
        <v>0</v>
      </c>
      <c r="AO173" s="64">
        <f t="shared" si="49"/>
        <v>0.47517000000000004</v>
      </c>
      <c r="AP173" s="26">
        <f t="shared" si="50"/>
        <v>9.9386741741302066E-4</v>
      </c>
    </row>
    <row r="174" spans="1:42">
      <c r="A174" s="281" t="s">
        <v>446</v>
      </c>
      <c r="B174" s="56">
        <v>5401050201</v>
      </c>
      <c r="C174" s="294" t="s">
        <v>453</v>
      </c>
      <c r="E174" s="62"/>
      <c r="F174" s="26"/>
      <c r="H174" s="64"/>
      <c r="I174" s="26"/>
      <c r="K174" s="64"/>
      <c r="L174" s="26"/>
      <c r="N174" s="64"/>
      <c r="O174" s="26"/>
      <c r="P174" s="19"/>
      <c r="Q174" s="64"/>
      <c r="R174" s="26"/>
      <c r="S174" s="19"/>
      <c r="T174" s="64"/>
      <c r="U174" s="26"/>
      <c r="V174" s="19"/>
      <c r="W174" s="64"/>
      <c r="X174" s="26"/>
      <c r="Y174" s="19"/>
      <c r="Z174" s="64"/>
      <c r="AA174" s="26"/>
      <c r="AB174" s="19"/>
      <c r="AC174" s="64">
        <f>17.58/1000</f>
        <v>1.7579999999999998E-2</v>
      </c>
      <c r="AD174" s="26">
        <f t="shared" si="47"/>
        <v>6.2190462714022913E-4</v>
      </c>
      <c r="AE174" s="19"/>
      <c r="AF174" s="64">
        <v>0</v>
      </c>
      <c r="AG174" s="26">
        <f t="shared" si="52"/>
        <v>0</v>
      </c>
      <c r="AH174" s="19"/>
      <c r="AI174" s="64">
        <v>0</v>
      </c>
      <c r="AJ174" s="26">
        <f t="shared" si="48"/>
        <v>0</v>
      </c>
      <c r="AL174" s="64">
        <v>0</v>
      </c>
      <c r="AM174" s="26">
        <f t="shared" si="53"/>
        <v>0</v>
      </c>
      <c r="AO174" s="64">
        <f t="shared" si="49"/>
        <v>1.7579999999999998E-2</v>
      </c>
      <c r="AP174" s="26">
        <f t="shared" ref="AP174" si="61">AO174/$AO$1*1000</f>
        <v>3.6770396275271802E-5</v>
      </c>
    </row>
    <row r="175" spans="1:42">
      <c r="A175" s="281"/>
      <c r="B175" s="36" t="s">
        <v>133</v>
      </c>
      <c r="C175" s="36" t="s">
        <v>80</v>
      </c>
      <c r="D175" s="38"/>
      <c r="E175" s="22">
        <f>SUM(E138:E174)</f>
        <v>161.88975000000002</v>
      </c>
      <c r="F175" s="23">
        <f t="shared" si="40"/>
        <v>3.3330536740030063</v>
      </c>
      <c r="H175" s="22">
        <f>SUM(H138:H173)</f>
        <v>223.02873999999997</v>
      </c>
      <c r="I175" s="23">
        <f t="shared" si="41"/>
        <v>4.8449751265396559</v>
      </c>
      <c r="K175" s="22">
        <f>SUM(K138:K173)</f>
        <v>204.58194000000003</v>
      </c>
      <c r="L175" s="23">
        <f t="shared" si="51"/>
        <v>4.4150881584910557</v>
      </c>
      <c r="N175" s="22">
        <f>SUM(N138:N173)</f>
        <v>145.63036</v>
      </c>
      <c r="O175" s="23">
        <f t="shared" si="42"/>
        <v>2.9501926544172759</v>
      </c>
      <c r="P175" s="19"/>
      <c r="Q175" s="22">
        <f>SUM(Q138:Q173)</f>
        <v>179.89317</v>
      </c>
      <c r="R175" s="23">
        <f t="shared" si="43"/>
        <v>3.3497164084611946</v>
      </c>
      <c r="S175" s="19"/>
      <c r="T175" s="22">
        <f>SUM(T138:T173)</f>
        <v>168.80635000000001</v>
      </c>
      <c r="U175" s="23">
        <f t="shared" si="44"/>
        <v>5.6906132011866237</v>
      </c>
      <c r="V175" s="19"/>
      <c r="W175" s="22">
        <f>SUM(W138:W173)</f>
        <v>174.93801000000002</v>
      </c>
      <c r="X175" s="23">
        <f t="shared" si="45"/>
        <v>4.1794206464868493</v>
      </c>
      <c r="Y175" s="19"/>
      <c r="Z175" s="22">
        <f>SUM(Z138:Z173)</f>
        <v>163.84993</v>
      </c>
      <c r="AA175" s="23">
        <f t="shared" si="46"/>
        <v>5.1239931825999934</v>
      </c>
      <c r="AB175" s="19"/>
      <c r="AC175" s="22">
        <f>SUM(AC138:AC174)</f>
        <v>189.01917000000006</v>
      </c>
      <c r="AD175" s="23">
        <f t="shared" si="47"/>
        <v>6.6866835290788194</v>
      </c>
      <c r="AE175" s="19"/>
      <c r="AF175" s="22">
        <f>SUM(AF138:AF174)</f>
        <v>194.04661999999999</v>
      </c>
      <c r="AG175" s="23">
        <f t="shared" si="52"/>
        <v>7.4032513067032921</v>
      </c>
      <c r="AH175" s="19"/>
      <c r="AI175" s="22">
        <f>SUM(AI138:AI174)</f>
        <v>172.24993999999998</v>
      </c>
      <c r="AJ175" s="23">
        <f t="shared" si="48"/>
        <v>5.0626011051022797</v>
      </c>
      <c r="AL175" s="22">
        <f>SUM(AL138:AL174)</f>
        <v>-46.714039999999969</v>
      </c>
      <c r="AM175" s="23">
        <f t="shared" si="53"/>
        <v>-1.1097816739125264</v>
      </c>
      <c r="AO175" s="22">
        <f>SUM(AO138:AO174)</f>
        <v>1931.2199399999997</v>
      </c>
      <c r="AP175" s="23">
        <f t="shared" si="50"/>
        <v>4.0393471267637437</v>
      </c>
    </row>
    <row r="176" spans="1:42" outlineLevel="1">
      <c r="A176" s="281" t="s">
        <v>446</v>
      </c>
      <c r="B176" s="56">
        <v>5102040000</v>
      </c>
      <c r="C176" t="s">
        <v>82</v>
      </c>
      <c r="E176" s="62">
        <v>-2.2690000000000002E-2</v>
      </c>
      <c r="F176" s="26">
        <f t="shared" si="40"/>
        <v>-4.6715118074571252E-4</v>
      </c>
      <c r="H176" s="64">
        <v>0</v>
      </c>
      <c r="I176" s="26">
        <f t="shared" si="41"/>
        <v>0</v>
      </c>
      <c r="K176" s="64">
        <v>-0.18253</v>
      </c>
      <c r="L176" s="26">
        <f t="shared" si="51"/>
        <v>-3.9391846688391569E-3</v>
      </c>
      <c r="N176" s="64"/>
      <c r="O176" s="26">
        <f t="shared" si="42"/>
        <v>0</v>
      </c>
      <c r="P176" s="19"/>
      <c r="Q176" s="64"/>
      <c r="R176" s="26">
        <f t="shared" si="43"/>
        <v>0</v>
      </c>
      <c r="S176" s="19"/>
      <c r="T176" s="64"/>
      <c r="U176" s="26">
        <f t="shared" si="44"/>
        <v>0</v>
      </c>
      <c r="V176" s="19"/>
      <c r="W176" s="64">
        <v>0</v>
      </c>
      <c r="X176" s="26">
        <f t="shared" si="45"/>
        <v>0</v>
      </c>
      <c r="Y176" s="19"/>
      <c r="Z176" s="64">
        <v>0</v>
      </c>
      <c r="AA176" s="26">
        <f t="shared" si="46"/>
        <v>0</v>
      </c>
      <c r="AB176" s="19"/>
      <c r="AC176" s="64">
        <v>0</v>
      </c>
      <c r="AD176" s="26">
        <f t="shared" si="47"/>
        <v>0</v>
      </c>
      <c r="AE176" s="19"/>
      <c r="AF176" s="64">
        <v>0</v>
      </c>
      <c r="AG176" s="26">
        <f t="shared" si="52"/>
        <v>0</v>
      </c>
      <c r="AH176" s="19"/>
      <c r="AI176" s="64">
        <v>0</v>
      </c>
      <c r="AJ176" s="26">
        <f t="shared" si="48"/>
        <v>0</v>
      </c>
      <c r="AL176" s="64">
        <v>-0.34067999999999998</v>
      </c>
      <c r="AM176" s="26">
        <f t="shared" si="53"/>
        <v>-8.0935072339818961E-3</v>
      </c>
      <c r="AO176" s="64">
        <f t="shared" si="49"/>
        <v>-0.54590000000000005</v>
      </c>
      <c r="AP176" s="26">
        <f t="shared" si="50"/>
        <v>-1.1418065601064209E-3</v>
      </c>
    </row>
    <row r="177" spans="1:42">
      <c r="A177" s="281"/>
      <c r="B177" s="36" t="s">
        <v>134</v>
      </c>
      <c r="C177" s="36" t="s">
        <v>84</v>
      </c>
      <c r="D177" s="38"/>
      <c r="E177" s="22">
        <v>-2.2690000000000002E-2</v>
      </c>
      <c r="F177" s="23">
        <f t="shared" si="40"/>
        <v>-4.6715118074571252E-4</v>
      </c>
      <c r="H177" s="22">
        <f>+H176</f>
        <v>0</v>
      </c>
      <c r="I177" s="23">
        <f t="shared" si="41"/>
        <v>0</v>
      </c>
      <c r="K177" s="22">
        <f>+K176</f>
        <v>-0.18253</v>
      </c>
      <c r="L177" s="23">
        <f t="shared" si="51"/>
        <v>-3.9391846688391569E-3</v>
      </c>
      <c r="N177" s="22">
        <f>+N176</f>
        <v>0</v>
      </c>
      <c r="O177" s="23">
        <f t="shared" si="42"/>
        <v>0</v>
      </c>
      <c r="P177" s="19"/>
      <c r="Q177" s="22">
        <f>+Q176</f>
        <v>0</v>
      </c>
      <c r="R177" s="23">
        <f t="shared" si="43"/>
        <v>0</v>
      </c>
      <c r="S177" s="19"/>
      <c r="T177" s="22">
        <f>+T176</f>
        <v>0</v>
      </c>
      <c r="U177" s="23">
        <f t="shared" si="44"/>
        <v>0</v>
      </c>
      <c r="V177" s="19"/>
      <c r="W177" s="22">
        <f>+W176</f>
        <v>0</v>
      </c>
      <c r="X177" s="23">
        <f t="shared" si="45"/>
        <v>0</v>
      </c>
      <c r="Y177" s="19"/>
      <c r="Z177" s="22">
        <f>+Z176</f>
        <v>0</v>
      </c>
      <c r="AA177" s="23">
        <f t="shared" si="46"/>
        <v>0</v>
      </c>
      <c r="AB177" s="19"/>
      <c r="AC177" s="22">
        <f>+AC176</f>
        <v>0</v>
      </c>
      <c r="AD177" s="23">
        <f t="shared" si="47"/>
        <v>0</v>
      </c>
      <c r="AE177" s="19"/>
      <c r="AF177" s="22">
        <f>+AF176</f>
        <v>0</v>
      </c>
      <c r="AG177" s="23">
        <f t="shared" si="52"/>
        <v>0</v>
      </c>
      <c r="AH177" s="19"/>
      <c r="AI177" s="22">
        <f>+AI176</f>
        <v>0</v>
      </c>
      <c r="AJ177" s="23">
        <f t="shared" si="48"/>
        <v>0</v>
      </c>
      <c r="AL177" s="22">
        <f>+AL176</f>
        <v>-0.34067999999999998</v>
      </c>
      <c r="AM177" s="23">
        <f t="shared" si="53"/>
        <v>-8.0935072339818961E-3</v>
      </c>
      <c r="AO177" s="22">
        <f>+AO176</f>
        <v>-0.54590000000000005</v>
      </c>
      <c r="AP177" s="23">
        <f t="shared" si="50"/>
        <v>-1.1418065601064209E-3</v>
      </c>
    </row>
    <row r="178" spans="1:42" outlineLevel="1">
      <c r="A178" s="281" t="s">
        <v>446</v>
      </c>
      <c r="B178" s="56">
        <v>6666021600</v>
      </c>
      <c r="C178" t="s">
        <v>91</v>
      </c>
      <c r="E178" s="62">
        <v>0.36404000000000003</v>
      </c>
      <c r="F178" s="26">
        <f t="shared" si="40"/>
        <v>7.4950073088880199E-3</v>
      </c>
      <c r="H178" s="64">
        <v>2.7648699999999997</v>
      </c>
      <c r="I178" s="26">
        <f t="shared" si="41"/>
        <v>6.0062781048378332E-2</v>
      </c>
      <c r="K178" s="64">
        <v>2.2376399999999999</v>
      </c>
      <c r="L178" s="26">
        <f t="shared" si="51"/>
        <v>4.829056693355202E-2</v>
      </c>
      <c r="N178" s="64">
        <v>2.04386</v>
      </c>
      <c r="O178" s="26">
        <f t="shared" si="42"/>
        <v>4.1404695824808053E-2</v>
      </c>
      <c r="P178" s="19"/>
      <c r="Q178" s="64">
        <v>0.96011999999999997</v>
      </c>
      <c r="R178" s="26">
        <f t="shared" si="43"/>
        <v>1.7877997914494265E-2</v>
      </c>
      <c r="S178" s="19"/>
      <c r="T178" s="64">
        <v>0.96225000000000005</v>
      </c>
      <c r="U178" s="26">
        <f t="shared" si="44"/>
        <v>3.2438309061488674E-2</v>
      </c>
      <c r="V178" s="19"/>
      <c r="W178" s="64">
        <v>1.13158</v>
      </c>
      <c r="X178" s="26">
        <f t="shared" si="45"/>
        <v>2.7034426738657812E-2</v>
      </c>
      <c r="Y178" s="19"/>
      <c r="Z178" s="64">
        <v>1.18693</v>
      </c>
      <c r="AA178" s="26">
        <f t="shared" si="46"/>
        <v>3.7118241235888291E-2</v>
      </c>
      <c r="AB178" s="19"/>
      <c r="AC178" s="64">
        <v>1.13357</v>
      </c>
      <c r="AD178" s="26">
        <f t="shared" si="47"/>
        <v>4.010082071600396E-2</v>
      </c>
      <c r="AE178" s="19"/>
      <c r="AF178" s="64">
        <v>1.0625</v>
      </c>
      <c r="AG178" s="26">
        <f t="shared" si="52"/>
        <v>4.0536416008546031E-2</v>
      </c>
      <c r="AH178" s="19"/>
      <c r="AI178" s="64">
        <v>0.77616999999999992</v>
      </c>
      <c r="AJ178" s="26">
        <f t="shared" si="48"/>
        <v>2.2812426522454736E-2</v>
      </c>
      <c r="AL178" s="64">
        <v>1.7902400000000001</v>
      </c>
      <c r="AM178" s="26">
        <f t="shared" si="53"/>
        <v>4.2530587033473503E-2</v>
      </c>
      <c r="AO178" s="64">
        <f t="shared" si="49"/>
        <v>16.41377</v>
      </c>
      <c r="AP178" s="26">
        <f t="shared" si="50"/>
        <v>3.4331105077995909E-2</v>
      </c>
    </row>
    <row r="179" spans="1:42" outlineLevel="1">
      <c r="A179" s="281" t="s">
        <v>446</v>
      </c>
      <c r="B179" s="56">
        <v>6666021604</v>
      </c>
      <c r="C179" t="s">
        <v>93</v>
      </c>
      <c r="E179" s="62"/>
      <c r="F179" s="26"/>
      <c r="H179" s="64"/>
      <c r="I179" s="26"/>
      <c r="K179" s="64"/>
      <c r="L179" s="26"/>
      <c r="N179" s="64"/>
      <c r="O179" s="26"/>
      <c r="P179" s="19"/>
      <c r="Q179" s="64"/>
      <c r="R179" s="26"/>
      <c r="S179" s="19"/>
      <c r="T179" s="64"/>
      <c r="U179" s="26"/>
      <c r="V179" s="19"/>
      <c r="W179" s="64">
        <v>4.6149999999999997E-2</v>
      </c>
      <c r="X179" s="26">
        <f t="shared" si="45"/>
        <v>1.1025634899777814E-3</v>
      </c>
      <c r="Y179" s="19"/>
      <c r="Z179" s="64">
        <v>-7.6000000000000004E-4</v>
      </c>
      <c r="AA179" s="26">
        <f t="shared" si="46"/>
        <v>-2.3767082590612004E-5</v>
      </c>
      <c r="AB179" s="19"/>
      <c r="AC179" s="64">
        <v>-8.9000000000000006E-4</v>
      </c>
      <c r="AD179" s="26">
        <f t="shared" si="47"/>
        <v>-3.1484363945096932E-5</v>
      </c>
      <c r="AE179" s="19"/>
      <c r="AF179" s="64">
        <v>2.026E-2</v>
      </c>
      <c r="AG179" s="26">
        <f t="shared" si="52"/>
        <v>7.7295791843119297E-4</v>
      </c>
      <c r="AH179" s="19"/>
      <c r="AI179" s="64">
        <v>2.7550000000000002E-2</v>
      </c>
      <c r="AJ179" s="26">
        <f t="shared" si="48"/>
        <v>8.0972254878909004E-4</v>
      </c>
      <c r="AL179" s="64">
        <v>3.8429999999999999E-2</v>
      </c>
      <c r="AM179" s="26">
        <f t="shared" si="53"/>
        <v>9.1297840496044468E-4</v>
      </c>
      <c r="AO179" s="64">
        <f t="shared" si="49"/>
        <v>0.13074</v>
      </c>
      <c r="AP179" s="26">
        <f t="shared" ref="AP179" si="62">AO179/$AO$1*1000</f>
        <v>2.7345629175364256E-4</v>
      </c>
    </row>
    <row r="180" spans="1:42">
      <c r="A180" s="281"/>
      <c r="B180" s="36" t="s">
        <v>134</v>
      </c>
      <c r="C180" s="36" t="s">
        <v>94</v>
      </c>
      <c r="D180" s="38"/>
      <c r="E180" s="22">
        <v>0.36404000000000003</v>
      </c>
      <c r="F180" s="23">
        <f t="shared" si="40"/>
        <v>7.4950073088880199E-3</v>
      </c>
      <c r="H180" s="22">
        <f>+H178</f>
        <v>2.7648699999999997</v>
      </c>
      <c r="I180" s="23">
        <f t="shared" si="41"/>
        <v>6.0062781048378332E-2</v>
      </c>
      <c r="K180" s="22">
        <f>+K178</f>
        <v>2.2376399999999999</v>
      </c>
      <c r="L180" s="23">
        <f t="shared" si="51"/>
        <v>4.829056693355202E-2</v>
      </c>
      <c r="N180" s="22">
        <f>+N178</f>
        <v>2.04386</v>
      </c>
      <c r="O180" s="23">
        <f t="shared" si="42"/>
        <v>4.1404695824808053E-2</v>
      </c>
      <c r="P180" s="19"/>
      <c r="Q180" s="22">
        <f>+Q178</f>
        <v>0.96011999999999997</v>
      </c>
      <c r="R180" s="23">
        <f t="shared" si="43"/>
        <v>1.7877997914494265E-2</v>
      </c>
      <c r="S180" s="19"/>
      <c r="T180" s="22">
        <f>+T178</f>
        <v>0.96225000000000005</v>
      </c>
      <c r="U180" s="23">
        <f t="shared" si="44"/>
        <v>3.2438309061488674E-2</v>
      </c>
      <c r="V180" s="19"/>
      <c r="W180" s="22">
        <f>+SUM(W178:W179)</f>
        <v>1.1777299999999999</v>
      </c>
      <c r="X180" s="23">
        <f t="shared" si="45"/>
        <v>2.813699022863559E-2</v>
      </c>
      <c r="Y180" s="19"/>
      <c r="Z180" s="22">
        <f>+SUM(Z178:Z179)</f>
        <v>1.1861699999999999</v>
      </c>
      <c r="AA180" s="23">
        <f t="shared" si="46"/>
        <v>3.7094474153297682E-2</v>
      </c>
      <c r="AB180" s="19"/>
      <c r="AC180" s="22">
        <f>+SUM(AC178:AC179)</f>
        <v>1.1326799999999999</v>
      </c>
      <c r="AD180" s="23">
        <f t="shared" si="47"/>
        <v>4.0069336352058858E-2</v>
      </c>
      <c r="AE180" s="19"/>
      <c r="AF180" s="22">
        <f>+SUM(AF178:AF179)</f>
        <v>1.0827599999999999</v>
      </c>
      <c r="AG180" s="23">
        <f t="shared" si="52"/>
        <v>4.1309373926977221E-2</v>
      </c>
      <c r="AH180" s="19"/>
      <c r="AI180" s="22">
        <f>+SUM(AI178:AI179)</f>
        <v>0.80371999999999988</v>
      </c>
      <c r="AJ180" s="23">
        <f t="shared" si="48"/>
        <v>2.3622149071243825E-2</v>
      </c>
      <c r="AL180" s="22">
        <f>+SUM(AL178:AL179)</f>
        <v>1.82867</v>
      </c>
      <c r="AM180" s="23">
        <f t="shared" si="53"/>
        <v>4.3443565438433945E-2</v>
      </c>
      <c r="AO180" s="22">
        <f>+SUM(AO178:AO179)</f>
        <v>16.544509999999999</v>
      </c>
      <c r="AP180" s="23">
        <f t="shared" si="50"/>
        <v>3.4604561369749549E-2</v>
      </c>
    </row>
    <row r="181" spans="1:42" outlineLevel="2">
      <c r="A181" s="281" t="s">
        <v>446</v>
      </c>
      <c r="B181" s="56">
        <v>6666010012</v>
      </c>
      <c r="C181" t="s">
        <v>99</v>
      </c>
      <c r="E181" s="62">
        <v>1.9269999999999999E-2</v>
      </c>
      <c r="F181" s="26">
        <f t="shared" si="40"/>
        <v>3.9673879475407136E-4</v>
      </c>
      <c r="H181" s="64">
        <v>2.3179999999999999E-2</v>
      </c>
      <c r="I181" s="26">
        <f t="shared" si="41"/>
        <v>5.0355179979579869E-4</v>
      </c>
      <c r="K181" s="64">
        <v>1.9480000000000001E-2</v>
      </c>
      <c r="L181" s="26">
        <f t="shared" si="51"/>
        <v>4.2039838573925808E-4</v>
      </c>
      <c r="N181" s="64">
        <v>1.077E-2</v>
      </c>
      <c r="O181" s="26">
        <f t="shared" si="42"/>
        <v>2.1817960820857726E-4</v>
      </c>
      <c r="P181" s="19"/>
      <c r="Q181" s="64"/>
      <c r="R181" s="26">
        <f t="shared" si="43"/>
        <v>0</v>
      </c>
      <c r="S181" s="19"/>
      <c r="T181" s="64"/>
      <c r="U181" s="26">
        <f t="shared" si="44"/>
        <v>0</v>
      </c>
      <c r="V181" s="19"/>
      <c r="W181" s="64">
        <v>0</v>
      </c>
      <c r="X181" s="26">
        <f t="shared" si="45"/>
        <v>0</v>
      </c>
      <c r="Y181" s="19"/>
      <c r="Z181" s="64">
        <v>0</v>
      </c>
      <c r="AA181" s="26">
        <f t="shared" si="46"/>
        <v>0</v>
      </c>
      <c r="AB181" s="19"/>
      <c r="AC181" s="64">
        <v>0</v>
      </c>
      <c r="AD181" s="26">
        <f t="shared" si="47"/>
        <v>0</v>
      </c>
      <c r="AE181" s="19"/>
      <c r="AF181" s="64">
        <v>2.9100000000000003E-3</v>
      </c>
      <c r="AG181" s="26">
        <f t="shared" si="52"/>
        <v>1.1102208996222961E-4</v>
      </c>
      <c r="AH181" s="19"/>
      <c r="AI181" s="64">
        <v>0</v>
      </c>
      <c r="AJ181" s="26">
        <f t="shared" si="48"/>
        <v>0</v>
      </c>
      <c r="AL181" s="64">
        <v>0</v>
      </c>
      <c r="AM181" s="26">
        <f t="shared" si="53"/>
        <v>0</v>
      </c>
      <c r="AO181" s="64">
        <f t="shared" si="49"/>
        <v>7.5609999999999997E-2</v>
      </c>
      <c r="AP181" s="26">
        <f t="shared" si="50"/>
        <v>1.581461696458078E-4</v>
      </c>
    </row>
    <row r="182" spans="1:42" outlineLevel="2">
      <c r="A182" s="281" t="s">
        <v>446</v>
      </c>
      <c r="B182" s="56">
        <v>6666010102</v>
      </c>
      <c r="C182" t="s">
        <v>160</v>
      </c>
      <c r="E182" s="62">
        <v>0.11033</v>
      </c>
      <c r="F182" s="26">
        <f t="shared" si="40"/>
        <v>2.2715200428239071E-3</v>
      </c>
      <c r="H182" s="64">
        <v>0.12140999999999999</v>
      </c>
      <c r="I182" s="26">
        <f t="shared" si="41"/>
        <v>2.6374557382747156E-3</v>
      </c>
      <c r="K182" s="64">
        <v>0.10595</v>
      </c>
      <c r="L182" s="26">
        <f t="shared" si="51"/>
        <v>2.2865097006711699E-3</v>
      </c>
      <c r="N182" s="64">
        <v>7.0040000000000005E-2</v>
      </c>
      <c r="O182" s="26">
        <f t="shared" si="42"/>
        <v>1.4188764864372101E-3</v>
      </c>
      <c r="P182" s="19"/>
      <c r="Q182" s="64">
        <v>2.547E-2</v>
      </c>
      <c r="R182" s="26">
        <f t="shared" si="43"/>
        <v>4.7426634887531654E-4</v>
      </c>
      <c r="S182" s="19"/>
      <c r="T182" s="64">
        <v>1.678E-2</v>
      </c>
      <c r="U182" s="26">
        <f t="shared" si="44"/>
        <v>5.6566882416396978E-4</v>
      </c>
      <c r="V182" s="19"/>
      <c r="W182" s="64">
        <v>0</v>
      </c>
      <c r="X182" s="26">
        <f t="shared" si="45"/>
        <v>0</v>
      </c>
      <c r="Y182" s="19"/>
      <c r="Z182" s="64">
        <v>0</v>
      </c>
      <c r="AA182" s="26">
        <f t="shared" si="46"/>
        <v>0</v>
      </c>
      <c r="AB182" s="19"/>
      <c r="AC182" s="64">
        <v>2.5389999999999999E-2</v>
      </c>
      <c r="AD182" s="26">
        <f t="shared" si="47"/>
        <v>8.9818876468091132E-4</v>
      </c>
      <c r="AE182" s="19"/>
      <c r="AF182" s="64">
        <v>5.8209999999999998E-2</v>
      </c>
      <c r="AG182" s="26">
        <f t="shared" si="52"/>
        <v>2.2208233184540841E-3</v>
      </c>
      <c r="AH182" s="19"/>
      <c r="AI182" s="64">
        <v>4.2779999999999999E-2</v>
      </c>
      <c r="AJ182" s="26">
        <f t="shared" si="48"/>
        <v>1.2573477545262167E-3</v>
      </c>
      <c r="AL182" s="64">
        <v>3.304E-2</v>
      </c>
      <c r="AM182" s="26">
        <f t="shared" si="53"/>
        <v>7.8492861045779581E-4</v>
      </c>
      <c r="AO182" s="64">
        <f t="shared" si="49"/>
        <v>0.60940000000000005</v>
      </c>
      <c r="AP182" s="26">
        <f t="shared" si="50"/>
        <v>1.2746234067207416E-3</v>
      </c>
    </row>
    <row r="183" spans="1:42">
      <c r="A183" s="281"/>
      <c r="B183" s="36" t="s">
        <v>135</v>
      </c>
      <c r="C183" s="36" t="s">
        <v>102</v>
      </c>
      <c r="D183" s="38"/>
      <c r="E183" s="22">
        <v>0.12959999999999999</v>
      </c>
      <c r="F183" s="23">
        <f t="shared" si="40"/>
        <v>2.6682588375779785E-3</v>
      </c>
      <c r="H183" s="22">
        <f>SUM(H181:H182)</f>
        <v>0.14459</v>
      </c>
      <c r="I183" s="23">
        <f t="shared" si="41"/>
        <v>3.1410075380705147E-3</v>
      </c>
      <c r="K183" s="22">
        <f>SUM(K181:K182)</f>
        <v>0.12543000000000001</v>
      </c>
      <c r="L183" s="23">
        <f t="shared" si="51"/>
        <v>2.7069080864104283E-3</v>
      </c>
      <c r="N183" s="22">
        <f>SUM(N181:N182)</f>
        <v>8.0810000000000007E-2</v>
      </c>
      <c r="O183" s="23">
        <f t="shared" si="42"/>
        <v>1.6370560946457873E-3</v>
      </c>
      <c r="P183" s="19"/>
      <c r="Q183" s="22">
        <f>SUM(Q181:Q182)</f>
        <v>2.547E-2</v>
      </c>
      <c r="R183" s="23">
        <f t="shared" si="43"/>
        <v>4.7426634887531654E-4</v>
      </c>
      <c r="S183" s="19"/>
      <c r="T183" s="22">
        <f>SUM(T181:T182)</f>
        <v>1.678E-2</v>
      </c>
      <c r="U183" s="23">
        <f t="shared" si="44"/>
        <v>5.6566882416396978E-4</v>
      </c>
      <c r="V183" s="19"/>
      <c r="W183" s="22">
        <f>SUM(W181:W182)</f>
        <v>0</v>
      </c>
      <c r="X183" s="23">
        <f t="shared" si="45"/>
        <v>0</v>
      </c>
      <c r="Y183" s="19"/>
      <c r="Z183" s="22">
        <f>SUM(Z181:Z182)</f>
        <v>0</v>
      </c>
      <c r="AA183" s="23">
        <f t="shared" si="46"/>
        <v>0</v>
      </c>
      <c r="AB183" s="19"/>
      <c r="AC183" s="22">
        <f>SUM(AC181:AC182)</f>
        <v>2.5389999999999999E-2</v>
      </c>
      <c r="AD183" s="23">
        <f t="shared" si="47"/>
        <v>8.9818876468091132E-4</v>
      </c>
      <c r="AE183" s="19"/>
      <c r="AF183" s="22">
        <f>SUM(AF181:AF182)</f>
        <v>6.1120000000000001E-2</v>
      </c>
      <c r="AG183" s="23">
        <f t="shared" si="52"/>
        <v>2.3318454084163141E-3</v>
      </c>
      <c r="AH183" s="19"/>
      <c r="AI183" s="22">
        <f>SUM(AI181:AI182)</f>
        <v>4.2779999999999999E-2</v>
      </c>
      <c r="AJ183" s="23">
        <f t="shared" si="48"/>
        <v>1.2573477545262167E-3</v>
      </c>
      <c r="AL183" s="22">
        <f>SUM(AL181:AL182)</f>
        <v>3.304E-2</v>
      </c>
      <c r="AM183" s="23">
        <f t="shared" si="53"/>
        <v>7.8492861045779581E-4</v>
      </c>
      <c r="AO183" s="22">
        <f>+SUM(AO181:AO182)</f>
        <v>0.68501000000000001</v>
      </c>
      <c r="AP183" s="23">
        <f t="shared" si="50"/>
        <v>1.4327695763665495E-3</v>
      </c>
    </row>
    <row r="184" spans="1:42" outlineLevel="2">
      <c r="A184" s="281" t="s">
        <v>446</v>
      </c>
      <c r="B184" s="56">
        <v>6666010196</v>
      </c>
      <c r="C184" t="s">
        <v>103</v>
      </c>
      <c r="E184" s="62">
        <v>1.3216199999999998</v>
      </c>
      <c r="F184" s="26">
        <f t="shared" si="40"/>
        <v>2.721006361820839E-2</v>
      </c>
      <c r="H184" s="64">
        <v>1.3128499999999999</v>
      </c>
      <c r="I184" s="26">
        <f t="shared" si="41"/>
        <v>2.8519757565224943E-2</v>
      </c>
      <c r="K184" s="64">
        <v>1.4501199999999999</v>
      </c>
      <c r="L184" s="26">
        <f t="shared" si="51"/>
        <v>3.1295077367978069E-2</v>
      </c>
      <c r="N184" s="64">
        <v>1.3219000000000001</v>
      </c>
      <c r="O184" s="26">
        <f t="shared" si="42"/>
        <v>2.6779166582257968E-2</v>
      </c>
      <c r="P184" s="19"/>
      <c r="Q184" s="64">
        <v>1.6442399999999999</v>
      </c>
      <c r="R184" s="26">
        <f t="shared" si="43"/>
        <v>3.0616713838820201E-2</v>
      </c>
      <c r="S184" s="19"/>
      <c r="T184" s="64">
        <v>1.58609</v>
      </c>
      <c r="U184" s="26">
        <f t="shared" si="44"/>
        <v>5.3468514023732469E-2</v>
      </c>
      <c r="V184" s="19"/>
      <c r="W184" s="64">
        <v>1.5159400000000001</v>
      </c>
      <c r="X184" s="26">
        <f t="shared" si="45"/>
        <v>3.6217120194949472E-2</v>
      </c>
      <c r="Y184" s="19"/>
      <c r="Z184" s="64">
        <v>1.46061</v>
      </c>
      <c r="AA184" s="26">
        <f t="shared" si="46"/>
        <v>4.5676892766676046E-2</v>
      </c>
      <c r="AB184" s="19"/>
      <c r="AC184" s="64">
        <v>1.4432199999999999</v>
      </c>
      <c r="AD184" s="26">
        <f t="shared" si="47"/>
        <v>5.1054903070609871E-2</v>
      </c>
      <c r="AE184" s="19"/>
      <c r="AF184" s="64">
        <v>1.4546300000000001</v>
      </c>
      <c r="AG184" s="26">
        <f t="shared" si="52"/>
        <v>5.5496928770363593E-2</v>
      </c>
      <c r="AH184" s="19"/>
      <c r="AI184" s="64">
        <v>1.4334500000000001</v>
      </c>
      <c r="AJ184" s="26">
        <f t="shared" si="48"/>
        <v>4.2130554902421818E-2</v>
      </c>
      <c r="AL184" s="64">
        <v>1.3778599999999999</v>
      </c>
      <c r="AM184" s="26">
        <f t="shared" si="53"/>
        <v>3.2733708692656731E-2</v>
      </c>
      <c r="AO184" s="64">
        <f t="shared" si="49"/>
        <v>17.32253</v>
      </c>
      <c r="AP184" s="26">
        <f t="shared" si="50"/>
        <v>3.6231871023338115E-2</v>
      </c>
    </row>
    <row r="185" spans="1:42" outlineLevel="2">
      <c r="A185" s="281" t="s">
        <v>446</v>
      </c>
      <c r="B185" s="56">
        <v>6666010101</v>
      </c>
      <c r="C185" t="s">
        <v>104</v>
      </c>
      <c r="E185" s="62">
        <v>8.9942700000000002</v>
      </c>
      <c r="F185" s="26">
        <f t="shared" si="40"/>
        <v>0.1851777809804204</v>
      </c>
      <c r="H185" s="64">
        <v>15.95228</v>
      </c>
      <c r="I185" s="26">
        <f t="shared" si="41"/>
        <v>0.34654009080442288</v>
      </c>
      <c r="K185" s="64">
        <v>9.6525599999999994</v>
      </c>
      <c r="L185" s="26">
        <f t="shared" si="51"/>
        <v>0.208312147959514</v>
      </c>
      <c r="N185" s="64">
        <v>11.96964</v>
      </c>
      <c r="O185" s="26">
        <f t="shared" si="42"/>
        <v>0.24248202094686302</v>
      </c>
      <c r="P185" s="19"/>
      <c r="Q185" s="64">
        <v>12.512259999999999</v>
      </c>
      <c r="R185" s="26">
        <f t="shared" si="43"/>
        <v>0.23298562490689706</v>
      </c>
      <c r="S185" s="19"/>
      <c r="T185" s="64">
        <v>10.87839</v>
      </c>
      <c r="U185" s="26">
        <f t="shared" si="44"/>
        <v>0.36672026699029125</v>
      </c>
      <c r="V185" s="19"/>
      <c r="W185" s="64">
        <v>10.389940000000001</v>
      </c>
      <c r="X185" s="26">
        <f t="shared" si="45"/>
        <v>0.24822466970877038</v>
      </c>
      <c r="Y185" s="19"/>
      <c r="Z185" s="64">
        <v>10.039059999999999</v>
      </c>
      <c r="AA185" s="26">
        <f t="shared" si="46"/>
        <v>0.31394627388435431</v>
      </c>
      <c r="AB185" s="19"/>
      <c r="AC185" s="64">
        <v>9.9798500000000008</v>
      </c>
      <c r="AD185" s="26">
        <f t="shared" si="47"/>
        <v>0.35304407810952315</v>
      </c>
      <c r="AE185" s="19"/>
      <c r="AF185" s="64">
        <v>10.47415</v>
      </c>
      <c r="AG185" s="26">
        <f t="shared" si="52"/>
        <v>0.39960894281027048</v>
      </c>
      <c r="AH185" s="19"/>
      <c r="AI185" s="64">
        <v>9.8790800000000001</v>
      </c>
      <c r="AJ185" s="26">
        <f t="shared" si="48"/>
        <v>0.29035621913943099</v>
      </c>
      <c r="AL185" s="64">
        <v>10.18553</v>
      </c>
      <c r="AM185" s="26">
        <f t="shared" si="53"/>
        <v>0.24197681324685816</v>
      </c>
      <c r="AO185" s="64">
        <f t="shared" si="49"/>
        <v>130.90700999999999</v>
      </c>
      <c r="AP185" s="26">
        <f>AO185/$AO$1*1000</f>
        <v>0.27380561051825758</v>
      </c>
    </row>
    <row r="186" spans="1:42" outlineLevel="2">
      <c r="A186" s="281" t="s">
        <v>446</v>
      </c>
      <c r="B186" s="56">
        <v>6666010199</v>
      </c>
      <c r="C186" t="s">
        <v>105</v>
      </c>
      <c r="E186" s="62">
        <v>1.25339</v>
      </c>
      <c r="F186" s="26">
        <f t="shared" si="40"/>
        <v>2.58053159292582E-2</v>
      </c>
      <c r="H186" s="64">
        <v>0.11014</v>
      </c>
      <c r="I186" s="26">
        <f t="shared" si="41"/>
        <v>2.392631373145352E-3</v>
      </c>
      <c r="K186" s="64">
        <v>0.52390999999999999</v>
      </c>
      <c r="L186" s="26">
        <f t="shared" si="51"/>
        <v>1.130651531173792E-2</v>
      </c>
      <c r="N186" s="64">
        <v>-0.28255999999999998</v>
      </c>
      <c r="O186" s="26">
        <f t="shared" si="42"/>
        <v>-5.7241253570488012E-3</v>
      </c>
      <c r="P186" s="19"/>
      <c r="Q186" s="64">
        <v>1.51593</v>
      </c>
      <c r="R186" s="26">
        <f t="shared" si="43"/>
        <v>2.8227506330999554E-2</v>
      </c>
      <c r="S186" s="19"/>
      <c r="T186" s="64">
        <v>0.6635700000000001</v>
      </c>
      <c r="U186" s="26">
        <f t="shared" si="44"/>
        <v>2.236953883495146E-2</v>
      </c>
      <c r="V186" s="19"/>
      <c r="W186" s="64">
        <v>0.20505999999999999</v>
      </c>
      <c r="X186" s="26">
        <f t="shared" si="45"/>
        <v>4.899061088945696E-3</v>
      </c>
      <c r="Y186" s="19"/>
      <c r="Z186" s="64">
        <v>0.15050999999999998</v>
      </c>
      <c r="AA186" s="26">
        <f t="shared" si="46"/>
        <v>4.7068205272539632E-3</v>
      </c>
      <c r="AB186" s="19"/>
      <c r="AC186" s="64">
        <v>9.5549999999999996E-2</v>
      </c>
      <c r="AD186" s="26">
        <f t="shared" si="47"/>
        <v>3.3801471628696757E-3</v>
      </c>
      <c r="AE186" s="19"/>
      <c r="AF186" s="64">
        <v>0.10721</v>
      </c>
      <c r="AG186" s="26">
        <f t="shared" si="52"/>
        <v>4.0902674449658548E-3</v>
      </c>
      <c r="AH186" s="19"/>
      <c r="AI186" s="64">
        <v>1.4809400000000001</v>
      </c>
      <c r="AJ186" s="26">
        <f t="shared" si="48"/>
        <v>4.3526334352221967E-2</v>
      </c>
      <c r="AL186" s="64">
        <v>-0.56444000000000005</v>
      </c>
      <c r="AM186" s="26">
        <f t="shared" si="53"/>
        <v>-1.3409355474782031E-2</v>
      </c>
      <c r="AO186" s="64">
        <f t="shared" si="49"/>
        <v>5.2592100000000004</v>
      </c>
      <c r="AP186" s="26">
        <f t="shared" si="50"/>
        <v>1.1000184061141765E-2</v>
      </c>
    </row>
    <row r="187" spans="1:42" outlineLevel="2">
      <c r="A187" s="281" t="s">
        <v>446</v>
      </c>
      <c r="B187" s="56">
        <v>6666010207</v>
      </c>
      <c r="C187" t="s">
        <v>107</v>
      </c>
      <c r="E187" s="62">
        <v>0.16783000000000001</v>
      </c>
      <c r="F187" s="26">
        <f t="shared" si="40"/>
        <v>3.4553540178295693E-3</v>
      </c>
      <c r="H187" s="64">
        <v>0.16511000000000001</v>
      </c>
      <c r="I187" s="26">
        <f t="shared" si="41"/>
        <v>3.5867747051028611E-3</v>
      </c>
      <c r="K187" s="64">
        <v>0.16841</v>
      </c>
      <c r="L187" s="26">
        <f t="shared" si="51"/>
        <v>3.6344605822560805E-3</v>
      </c>
      <c r="N187" s="64">
        <v>0.15402000000000002</v>
      </c>
      <c r="O187" s="26">
        <f t="shared" si="42"/>
        <v>3.1201507201750302E-3</v>
      </c>
      <c r="P187" s="19"/>
      <c r="Q187" s="64">
        <v>0.16028000000000001</v>
      </c>
      <c r="R187" s="26">
        <f t="shared" si="43"/>
        <v>2.9845076716818117E-3</v>
      </c>
      <c r="S187" s="19"/>
      <c r="T187" s="64">
        <v>0.15618000000000001</v>
      </c>
      <c r="U187" s="26">
        <f t="shared" si="44"/>
        <v>5.2649676375404533E-3</v>
      </c>
      <c r="V187" s="19"/>
      <c r="W187" s="64">
        <v>0.14712999999999998</v>
      </c>
      <c r="X187" s="26">
        <f t="shared" si="45"/>
        <v>3.5150631913419498E-3</v>
      </c>
      <c r="Y187" s="19"/>
      <c r="Z187" s="64">
        <v>0.14152000000000001</v>
      </c>
      <c r="AA187" s="26">
        <f t="shared" si="46"/>
        <v>4.4256809581886981E-3</v>
      </c>
      <c r="AB187" s="19"/>
      <c r="AC187" s="64">
        <v>0.14008999999999999</v>
      </c>
      <c r="AD187" s="26">
        <f t="shared" si="47"/>
        <v>4.9557803877175602E-3</v>
      </c>
      <c r="AE187" s="19"/>
      <c r="AF187" s="64">
        <v>0.14133000000000001</v>
      </c>
      <c r="AG187" s="26">
        <f t="shared" si="52"/>
        <v>5.3920109877532334E-3</v>
      </c>
      <c r="AH187" s="19"/>
      <c r="AI187" s="64">
        <v>0.13918</v>
      </c>
      <c r="AJ187" s="26">
        <f t="shared" si="48"/>
        <v>4.0906418998354101E-3</v>
      </c>
      <c r="AL187" s="64">
        <v>0.13322000000000001</v>
      </c>
      <c r="AM187" s="26">
        <f t="shared" si="53"/>
        <v>3.1648967761860646E-3</v>
      </c>
      <c r="AO187" s="64">
        <f t="shared" si="49"/>
        <v>1.8143000000000002</v>
      </c>
      <c r="AP187" s="26">
        <f t="shared" si="50"/>
        <v>3.794796926178933E-3</v>
      </c>
    </row>
    <row r="188" spans="1:42" outlineLevel="2">
      <c r="A188" s="281" t="s">
        <v>446</v>
      </c>
      <c r="B188" s="56">
        <v>6666010227</v>
      </c>
      <c r="C188" t="s">
        <v>162</v>
      </c>
      <c r="E188" s="62">
        <v>0.17133000000000001</v>
      </c>
      <c r="F188" s="26">
        <f t="shared" si="40"/>
        <v>3.5274134771777401E-3</v>
      </c>
      <c r="H188" s="64">
        <v>0.14968000000000001</v>
      </c>
      <c r="I188" s="26">
        <f t="shared" si="41"/>
        <v>3.2515803879825346E-3</v>
      </c>
      <c r="K188" s="64">
        <v>0.15500999999999998</v>
      </c>
      <c r="L188" s="26">
        <f t="shared" si="51"/>
        <v>3.3452748343656257E-3</v>
      </c>
      <c r="N188" s="64">
        <v>0.1467</v>
      </c>
      <c r="O188" s="26">
        <f t="shared" si="42"/>
        <v>2.971861515710147E-3</v>
      </c>
      <c r="P188" s="19"/>
      <c r="Q188" s="64">
        <v>0.15111000000000002</v>
      </c>
      <c r="R188" s="26">
        <f t="shared" si="43"/>
        <v>2.8137568896171613E-3</v>
      </c>
      <c r="S188" s="19"/>
      <c r="T188" s="64">
        <v>0.14893000000000001</v>
      </c>
      <c r="U188" s="26">
        <f t="shared" si="44"/>
        <v>5.0205636461704431E-3</v>
      </c>
      <c r="V188" s="19"/>
      <c r="W188" s="64">
        <v>0.13103000000000001</v>
      </c>
      <c r="X188" s="26">
        <f t="shared" si="45"/>
        <v>3.1304202403421174E-3</v>
      </c>
      <c r="Y188" s="19"/>
      <c r="Z188" s="64">
        <v>0.15394999999999998</v>
      </c>
      <c r="AA188" s="26">
        <f t="shared" si="46"/>
        <v>4.8143978484535745E-3</v>
      </c>
      <c r="AB188" s="19"/>
      <c r="AC188" s="64">
        <v>0.15566999999999998</v>
      </c>
      <c r="AD188" s="26">
        <f t="shared" si="47"/>
        <v>5.5069336352058856E-3</v>
      </c>
      <c r="AE188" s="19"/>
      <c r="AF188" s="64">
        <v>0.15887999999999999</v>
      </c>
      <c r="AG188" s="26">
        <f t="shared" si="52"/>
        <v>6.0615772004120405E-3</v>
      </c>
      <c r="AH188" s="19"/>
      <c r="AI188" s="64">
        <v>0.16854</v>
      </c>
      <c r="AJ188" s="26">
        <f t="shared" si="48"/>
        <v>4.95356219139431E-3</v>
      </c>
      <c r="AL188" s="64">
        <v>0.16793</v>
      </c>
      <c r="AM188" s="26">
        <f t="shared" si="53"/>
        <v>3.9894994417123981E-3</v>
      </c>
      <c r="AO188" s="64">
        <f t="shared" si="49"/>
        <v>1.8587599999999997</v>
      </c>
      <c r="AP188" s="26">
        <f t="shared" si="50"/>
        <v>3.8877896348477933E-3</v>
      </c>
    </row>
    <row r="189" spans="1:42">
      <c r="A189" s="281"/>
      <c r="B189" s="36" t="s">
        <v>136</v>
      </c>
      <c r="C189" s="36" t="s">
        <v>109</v>
      </c>
      <c r="D189" s="38"/>
      <c r="E189" s="22">
        <v>11.908439999999999</v>
      </c>
      <c r="F189" s="23">
        <f t="shared" si="40"/>
        <v>0.24517592802289431</v>
      </c>
      <c r="H189" s="22">
        <f>SUM(H184:H188)</f>
        <v>17.690059999999999</v>
      </c>
      <c r="I189" s="23">
        <f t="shared" si="41"/>
        <v>0.38429083483587856</v>
      </c>
      <c r="K189" s="22">
        <f>SUM(K184:K188)</f>
        <v>11.950010000000001</v>
      </c>
      <c r="L189" s="23">
        <f t="shared" si="51"/>
        <v>0.25789347605585172</v>
      </c>
      <c r="N189" s="22">
        <f>SUM(N184:N188)</f>
        <v>13.309699999999998</v>
      </c>
      <c r="O189" s="23">
        <f t="shared" si="42"/>
        <v>0.26962907440795736</v>
      </c>
      <c r="P189" s="19"/>
      <c r="Q189" s="22">
        <f>SUM(Q184:Q188)</f>
        <v>15.983819999999998</v>
      </c>
      <c r="R189" s="23">
        <f t="shared" si="43"/>
        <v>0.29762810963801578</v>
      </c>
      <c r="S189" s="19"/>
      <c r="T189" s="22">
        <f>SUM(T184:T188)</f>
        <v>13.433160000000001</v>
      </c>
      <c r="U189" s="23">
        <f t="shared" si="44"/>
        <v>0.4528438511326861</v>
      </c>
      <c r="V189" s="19"/>
      <c r="W189" s="22">
        <f>SUM(W184:W188)</f>
        <v>12.389100000000003</v>
      </c>
      <c r="X189" s="23">
        <f t="shared" si="45"/>
        <v>0.29598633442434963</v>
      </c>
      <c r="Y189" s="19"/>
      <c r="Z189" s="22">
        <f>SUM(Z184:Z188)</f>
        <v>11.945649999999999</v>
      </c>
      <c r="AA189" s="23">
        <f t="shared" si="46"/>
        <v>0.37357006598492659</v>
      </c>
      <c r="AB189" s="19"/>
      <c r="AC189" s="22">
        <f>SUM(AC184:AC188)</f>
        <v>11.814380000000002</v>
      </c>
      <c r="AD189" s="23">
        <f t="shared" si="47"/>
        <v>0.41794184236592624</v>
      </c>
      <c r="AE189" s="19"/>
      <c r="AF189" s="22">
        <f>SUM(AF184:AF188)</f>
        <v>12.3362</v>
      </c>
      <c r="AG189" s="23">
        <f t="shared" si="52"/>
        <v>0.47064972721376519</v>
      </c>
      <c r="AH189" s="19"/>
      <c r="AI189" s="22">
        <f>SUM(AI184:AI188)</f>
        <v>13.101190000000001</v>
      </c>
      <c r="AJ189" s="23">
        <f t="shared" si="48"/>
        <v>0.3850573124853045</v>
      </c>
      <c r="AL189" s="22">
        <f>SUM(AL184:AL188)</f>
        <v>11.3001</v>
      </c>
      <c r="AM189" s="23">
        <f t="shared" si="53"/>
        <v>0.26845556268263138</v>
      </c>
      <c r="AO189" s="22">
        <f>SUM(AO184:AO188)</f>
        <v>157.16180999999997</v>
      </c>
      <c r="AP189" s="23">
        <f t="shared" si="50"/>
        <v>0.32872025216376416</v>
      </c>
    </row>
    <row r="190" spans="1:42" outlineLevel="2">
      <c r="A190" s="281" t="s">
        <v>446</v>
      </c>
      <c r="B190" s="56">
        <v>6666010314</v>
      </c>
      <c r="C190" t="s">
        <v>112</v>
      </c>
      <c r="E190" s="62">
        <v>9.8310000000000008E-2</v>
      </c>
      <c r="F190" s="26">
        <f t="shared" si="40"/>
        <v>2.0240472710053325E-3</v>
      </c>
      <c r="H190" s="64"/>
      <c r="I190" s="26">
        <f t="shared" si="41"/>
        <v>0</v>
      </c>
      <c r="K190" s="64"/>
      <c r="L190" s="26">
        <f t="shared" si="51"/>
        <v>0</v>
      </c>
      <c r="N190" s="64"/>
      <c r="O190" s="26">
        <f t="shared" si="42"/>
        <v>0</v>
      </c>
      <c r="P190" s="19"/>
      <c r="Q190" s="64"/>
      <c r="R190" s="26">
        <f t="shared" si="43"/>
        <v>0</v>
      </c>
      <c r="S190" s="19"/>
      <c r="T190" s="64">
        <v>0</v>
      </c>
      <c r="U190" s="26">
        <f t="shared" si="44"/>
        <v>0</v>
      </c>
      <c r="V190" s="19"/>
      <c r="W190" s="64">
        <v>0</v>
      </c>
      <c r="X190" s="26">
        <f t="shared" si="45"/>
        <v>0</v>
      </c>
      <c r="Y190" s="19"/>
      <c r="Z190" s="64">
        <v>0</v>
      </c>
      <c r="AA190" s="26">
        <f t="shared" si="46"/>
        <v>0</v>
      </c>
      <c r="AB190" s="19"/>
      <c r="AC190" s="64">
        <v>1.10659</v>
      </c>
      <c r="AD190" s="26">
        <f t="shared" si="47"/>
        <v>3.9146384604499783E-2</v>
      </c>
      <c r="AE190" s="19"/>
      <c r="AF190" s="64">
        <v>-1.0000000000000001E-5</v>
      </c>
      <c r="AG190" s="26">
        <f t="shared" si="52"/>
        <v>-3.8151920949219796E-7</v>
      </c>
      <c r="AH190" s="19"/>
      <c r="AI190" s="64">
        <v>1.883E-2</v>
      </c>
      <c r="AJ190" s="26">
        <f t="shared" si="48"/>
        <v>5.5343287091464853E-4</v>
      </c>
      <c r="AL190" s="64">
        <v>0</v>
      </c>
      <c r="AM190" s="26">
        <f t="shared" si="53"/>
        <v>0</v>
      </c>
      <c r="AO190" s="64">
        <f t="shared" si="49"/>
        <v>1.2237199999999997</v>
      </c>
      <c r="AP190" s="26">
        <f>AO190/$AO$1*1000</f>
        <v>2.5595375045492376E-3</v>
      </c>
    </row>
    <row r="191" spans="1:42" outlineLevel="2">
      <c r="A191" s="281" t="s">
        <v>446</v>
      </c>
      <c r="B191" s="56">
        <v>6666020401</v>
      </c>
      <c r="C191" t="s">
        <v>113</v>
      </c>
      <c r="E191" s="62">
        <v>0</v>
      </c>
      <c r="F191" s="26">
        <f t="shared" si="40"/>
        <v>0</v>
      </c>
      <c r="H191" s="64">
        <v>0</v>
      </c>
      <c r="I191" s="26">
        <f t="shared" si="41"/>
        <v>0</v>
      </c>
      <c r="K191" s="64">
        <v>7.0000000000000007E-5</v>
      </c>
      <c r="L191" s="26">
        <f t="shared" si="51"/>
        <v>1.5106718173381965E-6</v>
      </c>
      <c r="N191" s="64">
        <v>-1.0000000000000001E-5</v>
      </c>
      <c r="O191" s="26">
        <f t="shared" si="42"/>
        <v>-2.0258088041650629E-7</v>
      </c>
      <c r="P191" s="19"/>
      <c r="Q191" s="64">
        <v>9.042E-2</v>
      </c>
      <c r="R191" s="26">
        <f t="shared" si="43"/>
        <v>1.6836734693877551E-3</v>
      </c>
      <c r="S191" s="19"/>
      <c r="T191" s="64">
        <v>0</v>
      </c>
      <c r="U191" s="26">
        <f t="shared" si="44"/>
        <v>0</v>
      </c>
      <c r="V191" s="19"/>
      <c r="W191" s="64">
        <v>-0.70410000000000006</v>
      </c>
      <c r="X191" s="26">
        <f t="shared" si="45"/>
        <v>-1.6821559117949209E-2</v>
      </c>
      <c r="Y191" s="19"/>
      <c r="Z191" s="64">
        <v>0</v>
      </c>
      <c r="AA191" s="26">
        <f t="shared" si="46"/>
        <v>0</v>
      </c>
      <c r="AB191" s="19"/>
      <c r="AC191" s="64">
        <v>0</v>
      </c>
      <c r="AD191" s="26">
        <f t="shared" si="47"/>
        <v>0</v>
      </c>
      <c r="AE191" s="19"/>
      <c r="AF191" s="64">
        <v>8.5819999999999994E-2</v>
      </c>
      <c r="AG191" s="26">
        <f t="shared" si="52"/>
        <v>3.2741978558620422E-3</v>
      </c>
      <c r="AH191" s="19"/>
      <c r="AI191" s="64">
        <v>-0.17787999999999998</v>
      </c>
      <c r="AJ191" s="26">
        <f t="shared" si="48"/>
        <v>-5.2280743004937688E-3</v>
      </c>
      <c r="AL191" s="64">
        <v>8.7400000000000005E-2</v>
      </c>
      <c r="AM191" s="26">
        <f t="shared" si="53"/>
        <v>2.076354738317535E-3</v>
      </c>
      <c r="AO191" s="64">
        <f t="shared" si="49"/>
        <v>-0.61828000000000005</v>
      </c>
      <c r="AP191" s="26">
        <f t="shared" si="50"/>
        <v>-1.2931968492079099E-3</v>
      </c>
    </row>
    <row r="192" spans="1:42" outlineLevel="2">
      <c r="A192" s="281" t="s">
        <v>446</v>
      </c>
      <c r="B192" s="56">
        <v>6666020502</v>
      </c>
      <c r="C192" t="s">
        <v>115</v>
      </c>
      <c r="E192" s="62">
        <v>0.27814</v>
      </c>
      <c r="F192" s="26">
        <f t="shared" si="40"/>
        <v>5.7264622923143445E-3</v>
      </c>
      <c r="H192" s="64">
        <v>-0.59184000000000003</v>
      </c>
      <c r="I192" s="26">
        <f t="shared" si="41"/>
        <v>-1.2856863554406623E-2</v>
      </c>
      <c r="K192" s="64">
        <v>-0.56352999999999998</v>
      </c>
      <c r="L192" s="26">
        <f t="shared" si="51"/>
        <v>-1.2161555560351339E-2</v>
      </c>
      <c r="N192" s="64">
        <v>-3.8700000000000005E-2</v>
      </c>
      <c r="O192" s="26">
        <f t="shared" si="42"/>
        <v>-7.8398800721187943E-4</v>
      </c>
      <c r="P192" s="19"/>
      <c r="Q192" s="64">
        <v>-0.29135</v>
      </c>
      <c r="R192" s="26">
        <f t="shared" si="43"/>
        <v>-5.4251079994041412E-3</v>
      </c>
      <c r="S192" s="19"/>
      <c r="T192" s="64">
        <v>0.62023000000000006</v>
      </c>
      <c r="U192" s="26">
        <f t="shared" si="44"/>
        <v>2.0908508629989216E-2</v>
      </c>
      <c r="V192" s="19"/>
      <c r="W192" s="64">
        <v>-2.8649999999999998E-2</v>
      </c>
      <c r="X192" s="26">
        <f t="shared" si="45"/>
        <v>-6.8447332584752843E-4</v>
      </c>
      <c r="Y192" s="19"/>
      <c r="Z192" s="64">
        <v>-0.37680000000000002</v>
      </c>
      <c r="AA192" s="26">
        <f t="shared" si="46"/>
        <v>-1.1783469368608688E-2</v>
      </c>
      <c r="AB192" s="19"/>
      <c r="AC192" s="64">
        <v>-0.24262</v>
      </c>
      <c r="AD192" s="26">
        <f t="shared" si="47"/>
        <v>-8.5828498655723777E-3</v>
      </c>
      <c r="AE192" s="19"/>
      <c r="AF192" s="64">
        <v>7.2209999999999996E-2</v>
      </c>
      <c r="AG192" s="26">
        <f t="shared" si="52"/>
        <v>2.7549502117431611E-3</v>
      </c>
      <c r="AH192" s="19"/>
      <c r="AI192" s="64">
        <v>1.10141</v>
      </c>
      <c r="AJ192" s="26">
        <f t="shared" si="48"/>
        <v>3.2371561250881732E-2</v>
      </c>
      <c r="AL192" s="64">
        <v>0.44499</v>
      </c>
      <c r="AM192" s="26">
        <f t="shared" si="53"/>
        <v>1.0571591476017389E-2</v>
      </c>
      <c r="AO192" s="64">
        <f t="shared" si="49"/>
        <v>0.38349000000000033</v>
      </c>
      <c r="AP192" s="26">
        <f t="shared" si="50"/>
        <v>8.0210917335631375E-4</v>
      </c>
    </row>
    <row r="193" spans="1:42" outlineLevel="2">
      <c r="A193" s="281" t="s">
        <v>446</v>
      </c>
      <c r="B193" s="56">
        <v>6666020503</v>
      </c>
      <c r="C193" t="s">
        <v>116</v>
      </c>
      <c r="E193" s="62"/>
      <c r="F193" s="26"/>
      <c r="H193" s="64">
        <v>3.0800000000000003E-3</v>
      </c>
      <c r="I193" s="26">
        <f t="shared" si="41"/>
        <v>6.690852214715531E-5</v>
      </c>
      <c r="K193" s="64">
        <v>4.0000000000000002E-4</v>
      </c>
      <c r="L193" s="26">
        <f t="shared" si="51"/>
        <v>8.6324103847896932E-6</v>
      </c>
      <c r="N193" s="64">
        <v>0</v>
      </c>
      <c r="O193" s="26">
        <f t="shared" si="42"/>
        <v>0</v>
      </c>
      <c r="P193" s="19"/>
      <c r="Q193" s="64">
        <v>3.3999999999999998E-3</v>
      </c>
      <c r="R193" s="26">
        <f t="shared" si="43"/>
        <v>6.3309995531059133E-5</v>
      </c>
      <c r="S193" s="19"/>
      <c r="T193" s="64">
        <v>0</v>
      </c>
      <c r="U193" s="26">
        <f t="shared" si="44"/>
        <v>0</v>
      </c>
      <c r="V193" s="19"/>
      <c r="W193" s="64">
        <v>0</v>
      </c>
      <c r="X193" s="26">
        <f t="shared" si="45"/>
        <v>0</v>
      </c>
      <c r="Y193" s="19"/>
      <c r="Z193" s="64">
        <v>8.2019999999999996E-2</v>
      </c>
      <c r="AA193" s="26">
        <f t="shared" si="46"/>
        <v>2.5649685711605216E-3</v>
      </c>
      <c r="AB193" s="19"/>
      <c r="AC193" s="64">
        <v>3.0370000000000001E-2</v>
      </c>
      <c r="AD193" s="26">
        <f t="shared" si="47"/>
        <v>1.0743597000141504E-3</v>
      </c>
      <c r="AE193" s="19"/>
      <c r="AF193" s="64">
        <v>0</v>
      </c>
      <c r="AG193" s="26">
        <f t="shared" si="52"/>
        <v>0</v>
      </c>
      <c r="AH193" s="19"/>
      <c r="AI193" s="64">
        <v>5.2749999999999998E-2</v>
      </c>
      <c r="AJ193" s="26">
        <f t="shared" si="48"/>
        <v>1.5503762050317422E-3</v>
      </c>
      <c r="AL193" s="64">
        <v>1.6070000000000001E-2</v>
      </c>
      <c r="AM193" s="26">
        <f t="shared" si="53"/>
        <v>3.8177369158767495E-4</v>
      </c>
      <c r="AO193" s="64">
        <f t="shared" si="49"/>
        <v>0.18808999999999998</v>
      </c>
      <c r="AP193" s="26">
        <f t="shared" si="50"/>
        <v>3.9340977448326918E-4</v>
      </c>
    </row>
    <row r="194" spans="1:42" outlineLevel="2">
      <c r="A194" s="281" t="s">
        <v>446</v>
      </c>
      <c r="B194" s="56">
        <v>6666021502</v>
      </c>
      <c r="C194" t="s">
        <v>118</v>
      </c>
      <c r="E194" s="62"/>
      <c r="F194" s="26"/>
      <c r="H194" s="64">
        <v>0.53509000000000007</v>
      </c>
      <c r="I194" s="26">
        <f t="shared" si="41"/>
        <v>1.1624052310299135E-2</v>
      </c>
      <c r="K194" s="64">
        <v>0.97094000000000003</v>
      </c>
      <c r="L194" s="26">
        <f t="shared" si="51"/>
        <v>2.095388134751926E-2</v>
      </c>
      <c r="N194" s="64">
        <v>3.8719999999999997E-2</v>
      </c>
      <c r="O194" s="26">
        <f t="shared" si="42"/>
        <v>7.8439316897271222E-4</v>
      </c>
      <c r="P194" s="19"/>
      <c r="Q194" s="64">
        <v>-5.9999999999999995E-4</v>
      </c>
      <c r="R194" s="26">
        <f t="shared" si="43"/>
        <v>-1.1172352152539848E-5</v>
      </c>
      <c r="S194" s="19"/>
      <c r="T194" s="64">
        <v>-4.1200000000000004E-3</v>
      </c>
      <c r="U194" s="26">
        <f t="shared" si="44"/>
        <v>-1.3888888888888892E-4</v>
      </c>
      <c r="V194" s="19"/>
      <c r="W194" s="64">
        <v>0.30964999999999998</v>
      </c>
      <c r="X194" s="26">
        <f t="shared" si="45"/>
        <v>7.397806818453305E-3</v>
      </c>
      <c r="Y194" s="19"/>
      <c r="Z194" s="64">
        <v>9.4049999999999995E-2</v>
      </c>
      <c r="AA194" s="26">
        <f t="shared" si="46"/>
        <v>2.9411764705882353E-3</v>
      </c>
      <c r="AB194" s="19"/>
      <c r="AC194" s="64">
        <v>0.26027999999999996</v>
      </c>
      <c r="AD194" s="26">
        <f t="shared" si="47"/>
        <v>9.2075845478986826E-3</v>
      </c>
      <c r="AE194" s="19"/>
      <c r="AF194" s="64">
        <v>-1.1699999999999999E-2</v>
      </c>
      <c r="AG194" s="26">
        <f t="shared" si="52"/>
        <v>-4.4637747510587155E-4</v>
      </c>
      <c r="AH194" s="19"/>
      <c r="AI194" s="64">
        <v>0</v>
      </c>
      <c r="AJ194" s="26">
        <f t="shared" si="48"/>
        <v>0</v>
      </c>
      <c r="AL194" s="64">
        <v>0.13019</v>
      </c>
      <c r="AM194" s="26">
        <f t="shared" si="53"/>
        <v>3.0929133110018294E-3</v>
      </c>
      <c r="AO194" s="64">
        <f t="shared" si="49"/>
        <v>2.3225000000000002</v>
      </c>
      <c r="AP194" s="26">
        <f t="shared" si="50"/>
        <v>4.8577500198702375E-3</v>
      </c>
    </row>
    <row r="195" spans="1:42" outlineLevel="2">
      <c r="A195" s="281" t="s">
        <v>446</v>
      </c>
      <c r="B195" s="56">
        <v>6666021505</v>
      </c>
      <c r="C195" t="s">
        <v>120</v>
      </c>
      <c r="E195" s="62"/>
      <c r="F195" s="26"/>
      <c r="H195" s="64"/>
      <c r="I195" s="26"/>
      <c r="K195" s="64"/>
      <c r="L195" s="26"/>
      <c r="N195" s="64"/>
      <c r="O195" s="26"/>
      <c r="P195" s="19"/>
      <c r="Q195" s="64">
        <v>2.4750000000000001E-2</v>
      </c>
      <c r="R195" s="26">
        <f t="shared" si="43"/>
        <v>4.6085952629226876E-4</v>
      </c>
      <c r="S195" s="19"/>
      <c r="T195" s="64">
        <v>0</v>
      </c>
      <c r="U195" s="26">
        <f t="shared" si="44"/>
        <v>0</v>
      </c>
      <c r="V195" s="19"/>
      <c r="W195" s="64">
        <v>0</v>
      </c>
      <c r="X195" s="26">
        <f t="shared" si="45"/>
        <v>0</v>
      </c>
      <c r="Y195" s="19"/>
      <c r="Z195" s="64">
        <v>0</v>
      </c>
      <c r="AA195" s="26">
        <f t="shared" si="46"/>
        <v>0</v>
      </c>
      <c r="AB195" s="19"/>
      <c r="AC195" s="64">
        <v>0</v>
      </c>
      <c r="AD195" s="26">
        <f t="shared" si="47"/>
        <v>0</v>
      </c>
      <c r="AE195" s="19"/>
      <c r="AF195" s="64">
        <v>0</v>
      </c>
      <c r="AG195" s="26">
        <f t="shared" si="52"/>
        <v>0</v>
      </c>
      <c r="AH195" s="19"/>
      <c r="AI195" s="64">
        <v>0</v>
      </c>
      <c r="AJ195" s="26">
        <f t="shared" si="48"/>
        <v>0</v>
      </c>
      <c r="AL195" s="64">
        <v>1.3820000000000001E-2</v>
      </c>
      <c r="AM195" s="26">
        <f t="shared" si="53"/>
        <v>3.2832062338155991E-4</v>
      </c>
      <c r="AO195" s="64">
        <f t="shared" ref="AO195:AO196" si="63">H195+E195+K195+N195+Q195+T195+W195+Z195+AC195+AF195+AI195+AL195</f>
        <v>3.857E-2</v>
      </c>
      <c r="AP195" s="26">
        <f t="shared" si="50"/>
        <v>8.0673161793926813E-5</v>
      </c>
    </row>
    <row r="196" spans="1:42" outlineLevel="2">
      <c r="A196" s="281" t="s">
        <v>446</v>
      </c>
      <c r="B196" s="56">
        <v>6666091600</v>
      </c>
      <c r="C196" t="s">
        <v>122</v>
      </c>
      <c r="E196" s="62"/>
      <c r="F196" s="26"/>
      <c r="H196" s="64">
        <v>7.3999999999999999E-4</v>
      </c>
      <c r="I196" s="26">
        <f t="shared" si="41"/>
        <v>1.6075424152238612E-5</v>
      </c>
      <c r="K196" s="64">
        <v>1.3799999999999999E-3</v>
      </c>
      <c r="L196" s="26">
        <f t="shared" si="51"/>
        <v>2.9781815827524441E-5</v>
      </c>
      <c r="N196" s="64">
        <v>1.3990000000000001E-2</v>
      </c>
      <c r="O196" s="26">
        <f>N196/$N$1*1000</f>
        <v>2.8341065170269235E-4</v>
      </c>
      <c r="P196" s="19"/>
      <c r="Q196" s="64"/>
      <c r="R196" s="26">
        <f t="shared" si="43"/>
        <v>0</v>
      </c>
      <c r="S196" s="19"/>
      <c r="T196" s="64">
        <v>7.7999999999999999E-4</v>
      </c>
      <c r="U196" s="26">
        <f t="shared" si="44"/>
        <v>2.6294498381877023E-5</v>
      </c>
      <c r="V196" s="19"/>
      <c r="W196" s="64">
        <v>0</v>
      </c>
      <c r="X196" s="26">
        <f t="shared" si="45"/>
        <v>0</v>
      </c>
      <c r="Y196" s="19"/>
      <c r="Z196" s="64">
        <v>1.9199999999999998E-3</v>
      </c>
      <c r="AA196" s="26">
        <f t="shared" si="46"/>
        <v>6.0043156018388212E-5</v>
      </c>
      <c r="AB196" s="19"/>
      <c r="AC196" s="64">
        <v>0</v>
      </c>
      <c r="AD196" s="26">
        <f t="shared" si="47"/>
        <v>0</v>
      </c>
      <c r="AE196" s="19"/>
      <c r="AF196" s="64">
        <v>2.0200000000000001E-3</v>
      </c>
      <c r="AG196" s="26">
        <f t="shared" si="52"/>
        <v>7.7066880317423975E-5</v>
      </c>
      <c r="AH196" s="19"/>
      <c r="AI196" s="64">
        <v>1.74E-3</v>
      </c>
      <c r="AJ196" s="26">
        <f>AI196/$AI$1*1000</f>
        <v>5.1140371502468845E-5</v>
      </c>
      <c r="AL196" s="64">
        <v>2.66E-3</v>
      </c>
      <c r="AM196" s="26">
        <f t="shared" ref="AM196:AM197" si="64">AL196/$AL$1*1000</f>
        <v>6.3193405079229318E-5</v>
      </c>
      <c r="AO196" s="64">
        <f t="shared" si="63"/>
        <v>2.5229999999999999E-2</v>
      </c>
      <c r="AP196" s="26">
        <f t="shared" si="50"/>
        <v>5.2771165985501006E-5</v>
      </c>
    </row>
    <row r="197" spans="1:42">
      <c r="A197" s="281"/>
      <c r="B197" s="36" t="s">
        <v>137</v>
      </c>
      <c r="C197" s="36" t="s">
        <v>123</v>
      </c>
      <c r="D197" s="38"/>
      <c r="E197" s="22">
        <v>0.37645000000000001</v>
      </c>
      <c r="F197" s="23">
        <f t="shared" si="40"/>
        <v>7.7505095633196757E-3</v>
      </c>
      <c r="H197" s="22">
        <f>SUM(H190:H196)</f>
        <v>-5.2929999999999998E-2</v>
      </c>
      <c r="I197" s="23">
        <f t="shared" si="41"/>
        <v>-1.1498272978080941E-3</v>
      </c>
      <c r="K197" s="22">
        <f>SUM(K190:K196)</f>
        <v>0.40926000000000001</v>
      </c>
      <c r="L197" s="23">
        <f t="shared" si="51"/>
        <v>8.8322506851975756E-3</v>
      </c>
      <c r="N197" s="22">
        <f>SUM(N190:N196)</f>
        <v>1.399999999999999E-2</v>
      </c>
      <c r="O197" s="23">
        <f t="shared" si="42"/>
        <v>2.8361323258310859E-4</v>
      </c>
      <c r="P197" s="19"/>
      <c r="Q197" s="22">
        <f>SUM(Q190:Q196)</f>
        <v>-0.17338000000000001</v>
      </c>
      <c r="R197" s="23">
        <f t="shared" si="43"/>
        <v>-3.2284373603455982E-3</v>
      </c>
      <c r="S197" s="19"/>
      <c r="T197" s="22">
        <f>SUM(T190:T196)</f>
        <v>0.61689000000000005</v>
      </c>
      <c r="U197" s="23">
        <f t="shared" si="44"/>
        <v>2.07959142394822E-2</v>
      </c>
      <c r="V197" s="19"/>
      <c r="W197" s="22">
        <f>SUM(W190:W196)</f>
        <v>-0.42310000000000003</v>
      </c>
      <c r="X197" s="23">
        <f t="shared" si="45"/>
        <v>-1.0108225625343432E-2</v>
      </c>
      <c r="Y197" s="19"/>
      <c r="Z197" s="22">
        <f>SUM(Z190:Z196)</f>
        <v>-0.19881000000000004</v>
      </c>
      <c r="AA197" s="23">
        <f t="shared" si="46"/>
        <v>-6.2172811708415439E-3</v>
      </c>
      <c r="AB197" s="19"/>
      <c r="AC197" s="22">
        <f>SUM(AC190:AC196)</f>
        <v>1.15462</v>
      </c>
      <c r="AD197" s="23">
        <f t="shared" si="47"/>
        <v>4.0845478986840239E-2</v>
      </c>
      <c r="AE197" s="19"/>
      <c r="AF197" s="22">
        <f>SUM(AF190:AF196)</f>
        <v>0.14834</v>
      </c>
      <c r="AG197" s="23">
        <f t="shared" ref="AG197:AG198" si="65">AF197/$AF$1*1000</f>
        <v>5.6594559536072633E-3</v>
      </c>
      <c r="AH197" s="19"/>
      <c r="AI197" s="22">
        <f>SUM(AI190:AI196)</f>
        <v>0.99685000000000001</v>
      </c>
      <c r="AJ197" s="23">
        <f t="shared" ref="AJ197:AJ198" si="66">AI197/$AI$1*1000</f>
        <v>2.9298436397836823E-2</v>
      </c>
      <c r="AL197" s="22">
        <f>SUM(AL190:AL196)</f>
        <v>0.69513000000000014</v>
      </c>
      <c r="AM197" s="23">
        <f t="shared" si="64"/>
        <v>1.6514147245385222E-2</v>
      </c>
      <c r="AO197" s="22">
        <f>SUM(AO190:AO196)</f>
        <v>3.5633200000000005</v>
      </c>
      <c r="AP197" s="23">
        <f t="shared" si="50"/>
        <v>7.4530539508305769E-3</v>
      </c>
    </row>
    <row r="198" spans="1:42" s="34" customFormat="1">
      <c r="A198" s="281"/>
      <c r="B198" s="57"/>
      <c r="C198" s="58"/>
      <c r="D198" s="58" t="s">
        <v>174</v>
      </c>
      <c r="E198" s="59">
        <v>174.89607000000004</v>
      </c>
      <c r="F198" s="60">
        <f>E198/$E$1*1000</f>
        <v>3.6008332132342353</v>
      </c>
      <c r="G198" s="314"/>
      <c r="H198" s="20">
        <f>+H134+H137+H175+H177+H180+H183+H189+H197</f>
        <v>243.79813999999996</v>
      </c>
      <c r="I198" s="49">
        <f t="shared" si="41"/>
        <v>5.2961601459822294</v>
      </c>
      <c r="J198" s="314"/>
      <c r="K198" s="20">
        <f>+K134+K137+K175+K177+K180+K183+K189+K197</f>
        <v>219.31378999999998</v>
      </c>
      <c r="L198" s="49">
        <f t="shared" si="51"/>
        <v>4.7330165958089641</v>
      </c>
      <c r="M198" s="186"/>
      <c r="N198" s="20">
        <f>+N134+N137+N175+N177+N180+N183+N189+N197</f>
        <v>161.26311000000001</v>
      </c>
      <c r="O198" s="49">
        <f>N198/$N$1*1000</f>
        <v>3.2668822802503903</v>
      </c>
      <c r="P198" s="21"/>
      <c r="Q198" s="20">
        <f>+Q134+Q137+Q175+Q177+Q180+Q183+Q189+Q197</f>
        <v>196.88485</v>
      </c>
      <c r="R198" s="49">
        <f t="shared" si="43"/>
        <v>3.6661114628333085</v>
      </c>
      <c r="S198" s="21"/>
      <c r="T198" s="20">
        <f>+T134+T137+T175+T177+T180+T183+T189+T197</f>
        <v>184.02968000000004</v>
      </c>
      <c r="U198" s="49">
        <f t="shared" si="44"/>
        <v>6.2038052858683939</v>
      </c>
      <c r="V198" s="21"/>
      <c r="W198" s="20">
        <f>+W134+W137+W175+W177+W180+W183+W189+W197</f>
        <v>188.28229000000002</v>
      </c>
      <c r="X198" s="49">
        <f t="shared" si="45"/>
        <v>4.4982270587954227</v>
      </c>
      <c r="Y198" s="21"/>
      <c r="Z198" s="20">
        <f>+Z134+Z137+Z175+Z177+Z180+Z183+Z189+Z197</f>
        <v>176.98346000000001</v>
      </c>
      <c r="AA198" s="49">
        <f t="shared" si="46"/>
        <v>5.5347111986740476</v>
      </c>
      <c r="AB198" s="21"/>
      <c r="AC198" s="20">
        <f>+AC134+AC137+AC175+AC177+AC180+AC183+AC189+AC197</f>
        <v>203.39738000000003</v>
      </c>
      <c r="AD198" s="49">
        <f t="shared" si="47"/>
        <v>7.1953226262912136</v>
      </c>
      <c r="AE198" s="21"/>
      <c r="AF198" s="49">
        <f>+AF134+AF137+AF175+AF177+AF180+AF183+AF189+AF197</f>
        <v>207.85695999999996</v>
      </c>
      <c r="AG198" s="49">
        <f t="shared" si="65"/>
        <v>7.9301423066651386</v>
      </c>
      <c r="AH198" s="21"/>
      <c r="AI198" s="49">
        <f>+AI134+AI137+AI175+AI177+AI180+AI183+AI189+AI197</f>
        <v>187.40863999999996</v>
      </c>
      <c r="AJ198" s="49">
        <f t="shared" si="66"/>
        <v>5.5081307312485297</v>
      </c>
      <c r="AK198" s="301"/>
      <c r="AL198" s="49">
        <f>+AL134+AL137+AL175+AL177+AL180+AL183+AL189+AL197</f>
        <v>-32.980219999999967</v>
      </c>
      <c r="AM198" s="49">
        <f>AL198/$AL$1*1000</f>
        <v>-0.78350842182785652</v>
      </c>
      <c r="AN198" s="301"/>
      <c r="AO198" s="20">
        <f>+AO134+AO137+AO175+AO177+AO180+AO183+AO189+AO197</f>
        <v>2111.1341499999999</v>
      </c>
      <c r="AP198" s="49">
        <f t="shared" si="50"/>
        <v>4.4156563871307792</v>
      </c>
    </row>
    <row r="199" spans="1:42">
      <c r="E199" s="50">
        <f>+E198*1000</f>
        <v>174896.07000000004</v>
      </c>
      <c r="F199" s="18"/>
      <c r="H199" s="11"/>
      <c r="I199" s="18"/>
      <c r="K199" s="11"/>
      <c r="L199" s="18"/>
      <c r="N199" s="11"/>
      <c r="O199" s="18"/>
      <c r="P199" s="19"/>
      <c r="Q199" s="50"/>
      <c r="R199" s="18"/>
      <c r="S199" s="19"/>
      <c r="T199" s="11"/>
      <c r="U199" s="18"/>
      <c r="V199" s="19"/>
      <c r="W199" s="11"/>
      <c r="X199" s="18"/>
      <c r="Y199" s="19"/>
      <c r="Z199" s="11"/>
      <c r="AA199" s="18"/>
      <c r="AB199" s="19"/>
      <c r="AC199" s="11"/>
      <c r="AD199" s="18"/>
      <c r="AE199" s="19"/>
      <c r="AF199" s="11"/>
      <c r="AG199" s="18"/>
      <c r="AH199" s="19"/>
      <c r="AI199" s="11"/>
      <c r="AJ199" s="18"/>
      <c r="AL199" s="11"/>
      <c r="AM199" s="18"/>
      <c r="AO199" s="11"/>
      <c r="AP199" s="18"/>
    </row>
    <row r="200" spans="1:42">
      <c r="E200" s="11"/>
      <c r="F200" s="18"/>
      <c r="H200" s="11"/>
      <c r="I200" s="18"/>
      <c r="K200" s="11"/>
      <c r="L200" s="18"/>
      <c r="N200" s="11"/>
      <c r="O200" s="18"/>
      <c r="P200" s="19"/>
      <c r="Q200" s="11"/>
      <c r="R200" s="18"/>
      <c r="S200" s="19"/>
      <c r="T200" s="11"/>
      <c r="U200" s="18"/>
      <c r="V200" s="19"/>
      <c r="W200" s="11"/>
      <c r="X200" s="18"/>
      <c r="Y200" s="19"/>
      <c r="Z200" s="11"/>
      <c r="AA200" s="18"/>
      <c r="AB200" s="19"/>
      <c r="AC200" s="11"/>
      <c r="AD200" s="18"/>
      <c r="AE200" s="19"/>
      <c r="AF200" s="11"/>
      <c r="AG200" s="18"/>
      <c r="AH200" s="19"/>
      <c r="AI200" s="11"/>
      <c r="AJ200" s="18"/>
      <c r="AL200" s="11"/>
      <c r="AM200" s="18"/>
      <c r="AO200" s="11"/>
      <c r="AP200" s="18"/>
    </row>
    <row r="201" spans="1:42">
      <c r="E201" s="11"/>
      <c r="F201" s="18"/>
      <c r="H201" s="11"/>
      <c r="I201" s="18"/>
      <c r="K201" s="11"/>
      <c r="L201" s="18"/>
      <c r="N201" s="11"/>
      <c r="O201" s="18"/>
      <c r="P201" s="19"/>
      <c r="Q201" s="11"/>
      <c r="R201" s="18"/>
      <c r="S201" s="19"/>
      <c r="T201" s="11"/>
      <c r="U201" s="18"/>
      <c r="V201" s="19"/>
      <c r="W201" s="11"/>
      <c r="X201" s="18"/>
      <c r="Y201" s="19"/>
      <c r="Z201" s="11"/>
      <c r="AA201" s="18"/>
      <c r="AB201" s="19"/>
      <c r="AC201" s="11"/>
      <c r="AD201" s="18"/>
      <c r="AE201" s="19"/>
      <c r="AF201" s="11"/>
      <c r="AG201" s="18"/>
      <c r="AH201" s="19"/>
      <c r="AI201" s="11"/>
      <c r="AJ201" s="18"/>
      <c r="AL201" s="11"/>
      <c r="AM201" s="18"/>
      <c r="AO201" s="11"/>
      <c r="AP201" s="18"/>
    </row>
    <row r="202" spans="1:42" s="34" customFormat="1">
      <c r="A202" s="281"/>
      <c r="B202" s="12"/>
      <c r="C202" s="12"/>
      <c r="D202" s="12" t="s">
        <v>140</v>
      </c>
      <c r="E202" s="20">
        <f>E198+E126</f>
        <v>1326.3407099999999</v>
      </c>
      <c r="F202" s="49">
        <f>E202/$E$1*1000</f>
        <v>27.30725556401968</v>
      </c>
      <c r="G202" s="315"/>
      <c r="H202" s="20">
        <f>H198+H126</f>
        <v>1298.0072717777775</v>
      </c>
      <c r="I202" s="49">
        <f>H202/$H$1*1000</f>
        <v>28.197320873672748</v>
      </c>
      <c r="J202" s="315"/>
      <c r="K202" s="20">
        <f>K198+K126</f>
        <v>1451.3589384444442</v>
      </c>
      <c r="L202" s="49">
        <f>K202/$K$1*1000</f>
        <v>31.321814930712915</v>
      </c>
      <c r="M202" s="301"/>
      <c r="N202" s="20">
        <f>N198+N126</f>
        <v>1230.9941600000002</v>
      </c>
      <c r="O202" s="49">
        <f>N202/$N$1*1000</f>
        <v>24.937588072037766</v>
      </c>
      <c r="P202" s="21"/>
      <c r="Q202" s="20">
        <f>Q198+Q126</f>
        <v>1483.6312099999998</v>
      </c>
      <c r="R202" s="49">
        <f t="shared" ref="R202" si="67">Q202/$Q$1*1000</f>
        <v>27.626083904364663</v>
      </c>
      <c r="S202" s="21"/>
      <c r="T202" s="20">
        <f>T198+T126</f>
        <v>1357.1222353487183</v>
      </c>
      <c r="U202" s="30">
        <f t="shared" ref="U202" si="68">T202/$T$1*1000</f>
        <v>45.749805668443848</v>
      </c>
      <c r="V202" s="21"/>
      <c r="W202" s="20">
        <f>W198+W126</f>
        <v>1241.2304694275649</v>
      </c>
      <c r="X202" s="30">
        <f t="shared" ref="X202" si="69">W202/$W$1*1000</f>
        <v>29.654071467796662</v>
      </c>
      <c r="Y202" s="21"/>
      <c r="Z202" s="20">
        <f>Z198+Z126</f>
        <v>1135.5455277506987</v>
      </c>
      <c r="AA202" s="30">
        <f t="shared" ref="AA202" si="70">Z202/$Z$1*1000</f>
        <v>35.511321504540724</v>
      </c>
      <c r="AB202" s="21"/>
      <c r="AC202" s="20">
        <f>AC198+AC126</f>
        <v>1206.8553200000001</v>
      </c>
      <c r="AD202" s="30">
        <f t="shared" ref="AD202" si="71">AC202/$AC$1*1000</f>
        <v>42.693339465119571</v>
      </c>
      <c r="AE202" s="21"/>
      <c r="AF202" s="49">
        <f>AF198+AF126</f>
        <v>1203.0078302868947</v>
      </c>
      <c r="AG202" s="298">
        <f>AF202/$AF$1*1000</f>
        <v>45.897059642398027</v>
      </c>
      <c r="AH202" s="21"/>
      <c r="AI202" s="49">
        <f>AI198+AI126</f>
        <v>1382.5060736739019</v>
      </c>
      <c r="AJ202" s="298">
        <f t="shared" ref="AJ202" si="72">AI202/$AI$1*1000</f>
        <v>40.633261041438452</v>
      </c>
      <c r="AK202" s="301"/>
      <c r="AL202" s="49">
        <f>AL198+AL126</f>
        <v>1111.9658468908033</v>
      </c>
      <c r="AM202" s="298">
        <f>AL202/$AL$1*1000</f>
        <v>26.416882780766475</v>
      </c>
      <c r="AN202" s="301"/>
      <c r="AO202" s="20">
        <f>+E202+H202+K202+N202+Q202+T202+W202+Z202+AC202+AF202+AI202</f>
        <v>14316.599746710001</v>
      </c>
      <c r="AP202" s="30">
        <f>AO202/$AO$1*1000</f>
        <v>29.944655631455216</v>
      </c>
    </row>
    <row r="203" spans="1:42">
      <c r="E203" s="11"/>
      <c r="F203" s="11"/>
      <c r="H203" s="11"/>
      <c r="I203" s="11"/>
      <c r="K203" s="11"/>
      <c r="L203" s="11"/>
      <c r="N203" s="11"/>
      <c r="O203" s="11"/>
      <c r="P203" s="19"/>
      <c r="Q203" s="11"/>
      <c r="R203" s="11"/>
      <c r="S203" s="19"/>
      <c r="T203" s="11"/>
      <c r="U203" s="11"/>
      <c r="V203" s="19"/>
      <c r="W203" s="11"/>
      <c r="X203" s="11"/>
      <c r="Y203" s="19"/>
      <c r="Z203" s="11"/>
      <c r="AA203" s="11"/>
      <c r="AB203" s="19"/>
      <c r="AC203" s="11"/>
      <c r="AD203" s="11"/>
      <c r="AE203" s="19"/>
      <c r="AF203" s="11"/>
      <c r="AG203" s="11"/>
      <c r="AH203" s="19"/>
      <c r="AI203" s="11"/>
      <c r="AJ203" s="11"/>
      <c r="AL203" s="11"/>
      <c r="AM203" s="11"/>
      <c r="AO203" s="11"/>
      <c r="AP203" s="11"/>
    </row>
    <row r="204" spans="1:42">
      <c r="E204" s="50"/>
      <c r="F204" s="180"/>
      <c r="H204" s="50"/>
      <c r="K204" s="50"/>
      <c r="N204" s="50"/>
      <c r="Q204" s="50"/>
      <c r="S204" s="19"/>
      <c r="T204" s="50"/>
      <c r="V204" s="19"/>
      <c r="W204" s="50"/>
      <c r="Y204" s="19"/>
      <c r="Z204" s="50"/>
      <c r="AB204" s="19"/>
      <c r="AC204" s="50"/>
      <c r="AE204" s="19"/>
      <c r="AF204" s="50"/>
      <c r="AH204" s="19"/>
      <c r="AI204" s="50"/>
      <c r="AL204" s="50"/>
      <c r="AO204" s="50"/>
    </row>
    <row r="205" spans="1:42">
      <c r="C205" s="105"/>
      <c r="F205" s="50"/>
      <c r="H205" s="50"/>
      <c r="K205" s="50"/>
      <c r="N205" s="50"/>
      <c r="Q205" s="50"/>
      <c r="T205" s="50"/>
      <c r="W205" s="50"/>
      <c r="Z205" s="50"/>
      <c r="AC205" s="50"/>
      <c r="AF205" s="50"/>
      <c r="AI205" s="50"/>
      <c r="AL205" s="50"/>
      <c r="AO205" s="50"/>
    </row>
    <row r="206" spans="1:42">
      <c r="C206" s="105"/>
      <c r="E206" s="50"/>
      <c r="F206" s="50"/>
      <c r="H206" s="50"/>
      <c r="K206" s="50"/>
      <c r="N206" s="50"/>
      <c r="O206" s="50"/>
      <c r="Q206" s="50"/>
      <c r="R206" s="50"/>
      <c r="T206" s="50"/>
      <c r="U206" s="50"/>
      <c r="W206" s="50"/>
      <c r="X206" s="50"/>
      <c r="Z206" s="50"/>
      <c r="AA206" s="50"/>
      <c r="AC206" s="50"/>
      <c r="AD206" s="50"/>
      <c r="AF206" s="50"/>
      <c r="AG206" s="50"/>
      <c r="AI206" s="50"/>
      <c r="AJ206" s="50"/>
      <c r="AL206" s="50"/>
      <c r="AM206" s="50"/>
      <c r="AO206" s="50"/>
      <c r="AP206" s="50"/>
    </row>
    <row r="207" spans="1:42">
      <c r="E207" s="50"/>
    </row>
    <row r="208" spans="1:42" s="3" customFormat="1">
      <c r="A208" s="35"/>
      <c r="B208" s="8"/>
      <c r="C208" s="182"/>
      <c r="D208" s="65" t="s">
        <v>189</v>
      </c>
      <c r="E208" s="6" t="s">
        <v>191</v>
      </c>
      <c r="F208" s="7" t="s">
        <v>129</v>
      </c>
      <c r="G208" s="316"/>
      <c r="H208" s="6" t="s">
        <v>191</v>
      </c>
      <c r="I208" s="7" t="s">
        <v>129</v>
      </c>
      <c r="J208" s="316"/>
      <c r="K208" s="6" t="s">
        <v>191</v>
      </c>
      <c r="L208" s="7" t="s">
        <v>129</v>
      </c>
      <c r="M208" s="302"/>
      <c r="N208" s="6" t="s">
        <v>191</v>
      </c>
      <c r="O208" s="7" t="s">
        <v>129</v>
      </c>
      <c r="P208" s="2"/>
      <c r="Q208" s="6" t="s">
        <v>191</v>
      </c>
      <c r="R208" s="7" t="s">
        <v>129</v>
      </c>
      <c r="S208" s="2"/>
      <c r="T208" s="6" t="s">
        <v>191</v>
      </c>
      <c r="U208" s="7" t="s">
        <v>129</v>
      </c>
      <c r="V208" s="2"/>
      <c r="W208" s="6" t="s">
        <v>191</v>
      </c>
      <c r="X208" s="7" t="s">
        <v>129</v>
      </c>
      <c r="Y208" s="2"/>
      <c r="Z208" s="6" t="s">
        <v>191</v>
      </c>
      <c r="AA208" s="7" t="s">
        <v>129</v>
      </c>
      <c r="AB208" s="2"/>
      <c r="AC208" s="6" t="s">
        <v>191</v>
      </c>
      <c r="AD208" s="7" t="s">
        <v>129</v>
      </c>
      <c r="AE208" s="2"/>
      <c r="AF208" s="6" t="s">
        <v>191</v>
      </c>
      <c r="AG208" s="7" t="s">
        <v>129</v>
      </c>
      <c r="AH208" s="2"/>
      <c r="AI208" s="6" t="s">
        <v>191</v>
      </c>
      <c r="AJ208" s="7" t="s">
        <v>129</v>
      </c>
      <c r="AK208" s="302"/>
      <c r="AL208" s="6" t="s">
        <v>191</v>
      </c>
      <c r="AM208" s="7" t="s">
        <v>129</v>
      </c>
      <c r="AN208" s="302"/>
      <c r="AO208" s="6" t="s">
        <v>191</v>
      </c>
      <c r="AP208" s="7" t="s">
        <v>129</v>
      </c>
    </row>
    <row r="209" spans="1:42" s="3" customFormat="1">
      <c r="A209" s="35"/>
      <c r="B209" s="8"/>
      <c r="C209" s="181"/>
      <c r="D209" s="66" t="s">
        <v>2</v>
      </c>
      <c r="E209" s="67">
        <f>E22</f>
        <v>471.95896999999997</v>
      </c>
      <c r="F209" s="68">
        <f>F22</f>
        <v>9.7168880607770074</v>
      </c>
      <c r="G209" s="317"/>
      <c r="H209" s="67">
        <f>H22</f>
        <v>343.39069000000001</v>
      </c>
      <c r="I209" s="68">
        <f>I22</f>
        <v>7.4596635022701108</v>
      </c>
      <c r="J209" s="317"/>
      <c r="K209" s="67">
        <f>K22</f>
        <v>517.21307000000002</v>
      </c>
      <c r="L209" s="68">
        <f>L22</f>
        <v>11.161988691542396</v>
      </c>
      <c r="M209" s="303"/>
      <c r="N209" s="67">
        <f>N22</f>
        <v>469.10102000000001</v>
      </c>
      <c r="O209" s="68">
        <f>O22</f>
        <v>9.5030897635881129</v>
      </c>
      <c r="P209" s="4"/>
      <c r="Q209" s="67">
        <f>Q22</f>
        <v>563.01002999999992</v>
      </c>
      <c r="R209" s="68">
        <f>R22</f>
        <v>10.483577200953373</v>
      </c>
      <c r="S209" s="4"/>
      <c r="T209" s="67">
        <f>T22</f>
        <v>382.06162</v>
      </c>
      <c r="U209" s="68">
        <f>U22</f>
        <v>12.879639293419634</v>
      </c>
      <c r="V209" s="4"/>
      <c r="W209" s="67">
        <f>W22</f>
        <v>445.15222</v>
      </c>
      <c r="X209" s="68">
        <f>X22</f>
        <v>10.635072269871229</v>
      </c>
      <c r="Y209" s="4"/>
      <c r="Z209" s="67">
        <f>Z22</f>
        <v>351.77623000000006</v>
      </c>
      <c r="AA209" s="68">
        <f>AA22</f>
        <v>11.000914094505429</v>
      </c>
      <c r="AB209" s="4"/>
      <c r="AC209" s="67">
        <f>AC22</f>
        <v>348.81103999999993</v>
      </c>
      <c r="AD209" s="68">
        <f>AD22</f>
        <v>12.339431158907598</v>
      </c>
      <c r="AE209" s="4"/>
      <c r="AF209" s="67">
        <f>AF22</f>
        <v>383.24932000000001</v>
      </c>
      <c r="AG209" s="68">
        <f>AG22</f>
        <v>14.62169776048224</v>
      </c>
      <c r="AH209" s="4"/>
      <c r="AI209" s="67">
        <f>AI22</f>
        <v>479.35477000000003</v>
      </c>
      <c r="AJ209" s="68">
        <f>AJ22</f>
        <v>14.088724723724431</v>
      </c>
      <c r="AK209" s="303"/>
      <c r="AL209" s="67">
        <f>AL22</f>
        <v>425.92802</v>
      </c>
      <c r="AM209" s="68">
        <f>AM22</f>
        <v>10.118737557313567</v>
      </c>
      <c r="AN209" s="303"/>
      <c r="AO209" s="67">
        <f>AO22</f>
        <v>5181.0069999999996</v>
      </c>
      <c r="AP209" s="68">
        <f>AP22</f>
        <v>10.836614362625546</v>
      </c>
    </row>
    <row r="210" spans="1:42" s="3" customFormat="1">
      <c r="A210" s="35"/>
      <c r="B210" s="8"/>
      <c r="C210" s="8"/>
      <c r="D210" s="66" t="s">
        <v>3</v>
      </c>
      <c r="E210" s="67">
        <f>E27+E94+E82+E86</f>
        <v>3.783929999999998</v>
      </c>
      <c r="F210" s="68">
        <f>F27+F94+F82+F86</f>
        <v>7.7905128574663918E-2</v>
      </c>
      <c r="G210" s="317"/>
      <c r="H210" s="67">
        <f>H27+H94+H82+H86</f>
        <v>24.698160000000001</v>
      </c>
      <c r="I210" s="68">
        <f>I27+I94+I82+I86</f>
        <v>0.53653161862142373</v>
      </c>
      <c r="J210" s="317"/>
      <c r="K210" s="67">
        <f>K27+K94+K82+K86</f>
        <v>31.623069999999998</v>
      </c>
      <c r="L210" s="68">
        <f>L27+L94+L82+L86</f>
        <v>0.68245829466732855</v>
      </c>
      <c r="M210" s="303"/>
      <c r="N210" s="67">
        <f>N27+N94+N82+N86</f>
        <v>-30.826480000000011</v>
      </c>
      <c r="O210" s="68">
        <f>O27+O94+O82+O86</f>
        <v>-0.62448554585418226</v>
      </c>
      <c r="P210" s="4"/>
      <c r="Q210" s="67">
        <f>Q27+Q94+Q82+Q86</f>
        <v>23.365929999999992</v>
      </c>
      <c r="R210" s="68">
        <f>R27+R94+R82+R86</f>
        <v>0.4350873305526588</v>
      </c>
      <c r="S210" s="4"/>
      <c r="T210" s="67">
        <f>T27+T94+T82+T86</f>
        <v>12.234160000000003</v>
      </c>
      <c r="U210" s="68">
        <f>U27+U94+U82+U86</f>
        <v>0.41242448759439032</v>
      </c>
      <c r="V210" s="4"/>
      <c r="W210" s="67">
        <f>W27+W94+W82+W86</f>
        <v>2.1162800000000033</v>
      </c>
      <c r="X210" s="68">
        <f>X27+X94+X82+X86</f>
        <v>5.055976300260423E-2</v>
      </c>
      <c r="Y210" s="4"/>
      <c r="Z210" s="67">
        <f>Z27+Z94+Z82+Z86</f>
        <v>3.800849999999997</v>
      </c>
      <c r="AA210" s="68">
        <f>AA27+AA94+AA82+AA86</f>
        <v>0.1188619945585887</v>
      </c>
      <c r="AB210" s="4"/>
      <c r="AC210" s="67">
        <f>AC27+AC94+AC82+AC86</f>
        <v>10.166410000000006</v>
      </c>
      <c r="AD210" s="68">
        <f>AD27+AD94+AD82+AD86</f>
        <v>0.35964376680345267</v>
      </c>
      <c r="AE210" s="4"/>
      <c r="AF210" s="67">
        <f>AF27+AF94+AF82+AF86</f>
        <v>11.969200000000001</v>
      </c>
      <c r="AG210" s="68">
        <f>AG27+AG94+AG82+AG86</f>
        <v>0.45664797222540154</v>
      </c>
      <c r="AH210" s="4"/>
      <c r="AI210" s="67">
        <f>AI27+AI94+AI82+AI86</f>
        <v>7.2597200000000015</v>
      </c>
      <c r="AJ210" s="68">
        <f>AJ27+AJ94+AJ82+AJ86</f>
        <v>0.2133705619562658</v>
      </c>
      <c r="AK210" s="303"/>
      <c r="AL210" s="67">
        <f>AL27+AL94+AL82+AL86</f>
        <v>-27.913290000000018</v>
      </c>
      <c r="AM210" s="68">
        <f>AM27+AM94+AM82+AM86</f>
        <v>-0.66313377521203098</v>
      </c>
      <c r="AN210" s="303"/>
      <c r="AO210" s="67">
        <f>AO27+AO94+AO82+AO86</f>
        <v>72.277940000000171</v>
      </c>
      <c r="AP210" s="68">
        <f>AP27+AP94+AP82+AP86</f>
        <v>0.15117682000911947</v>
      </c>
    </row>
    <row r="211" spans="1:42" s="3" customFormat="1">
      <c r="A211" s="35"/>
      <c r="B211" s="8"/>
      <c r="C211" s="8"/>
      <c r="D211" s="69" t="s">
        <v>5</v>
      </c>
      <c r="E211" s="70">
        <f>E102</f>
        <v>208.04046999999997</v>
      </c>
      <c r="F211" s="71">
        <f>F102</f>
        <v>4.2832239402112364</v>
      </c>
      <c r="G211" s="317"/>
      <c r="H211" s="70">
        <f>H102</f>
        <v>161.36901</v>
      </c>
      <c r="I211" s="71">
        <f>I102</f>
        <v>3.5055071361849106</v>
      </c>
      <c r="J211" s="317"/>
      <c r="K211" s="70">
        <f>K102</f>
        <v>245.62475999999998</v>
      </c>
      <c r="L211" s="71">
        <f>L102</f>
        <v>5.3008343224636896</v>
      </c>
      <c r="M211" s="303"/>
      <c r="N211" s="70">
        <f>N102</f>
        <v>210.35834</v>
      </c>
      <c r="O211" s="71">
        <f>O102</f>
        <v>4.2614577720154774</v>
      </c>
      <c r="P211" s="4"/>
      <c r="Q211" s="70">
        <f>Q102</f>
        <v>241.29694999999998</v>
      </c>
      <c r="R211" s="71">
        <f>R102</f>
        <v>4.4930908312230002</v>
      </c>
      <c r="S211" s="4"/>
      <c r="T211" s="70">
        <f>T102</f>
        <v>266.21334999999999</v>
      </c>
      <c r="U211" s="71">
        <f>U102</f>
        <v>8.9742903856526421</v>
      </c>
      <c r="V211" s="4"/>
      <c r="W211" s="70">
        <f>W102</f>
        <v>155.68707000000003</v>
      </c>
      <c r="X211" s="71">
        <f>X102</f>
        <v>3.71949900852904</v>
      </c>
      <c r="Y211" s="4"/>
      <c r="Z211" s="70">
        <f>Z102</f>
        <v>193.16379000000001</v>
      </c>
      <c r="AA211" s="71">
        <f>AA102</f>
        <v>6.0407101979547804</v>
      </c>
      <c r="AB211" s="4"/>
      <c r="AC211" s="70">
        <f>AC102</f>
        <v>188.38296</v>
      </c>
      <c r="AD211" s="71">
        <f>AD102</f>
        <v>6.6641771614546483</v>
      </c>
      <c r="AE211" s="4"/>
      <c r="AF211" s="70">
        <f>AF102</f>
        <v>209.28684999999999</v>
      </c>
      <c r="AG211" s="71">
        <f>AG102</f>
        <v>7.9846953569112191</v>
      </c>
      <c r="AH211" s="4"/>
      <c r="AI211" s="70">
        <f>AI102</f>
        <v>225.24053999999995</v>
      </c>
      <c r="AJ211" s="71">
        <f>AJ102</f>
        <v>6.6200487890900526</v>
      </c>
      <c r="AK211" s="303"/>
      <c r="AL211" s="70">
        <f>AL102</f>
        <v>270.27383000000003</v>
      </c>
      <c r="AM211" s="71">
        <f>AM102</f>
        <v>6.420873541919085</v>
      </c>
      <c r="AN211" s="303"/>
      <c r="AO211" s="70">
        <f>AO102</f>
        <v>2574.9379199999994</v>
      </c>
      <c r="AP211" s="71">
        <f>AP102</f>
        <v>5.385750153732884</v>
      </c>
    </row>
    <row r="212" spans="1:42" s="3" customFormat="1">
      <c r="A212" s="35"/>
      <c r="B212" s="8"/>
      <c r="C212" s="8"/>
      <c r="D212" s="69" t="s">
        <v>6</v>
      </c>
      <c r="E212" s="70">
        <f>E110</f>
        <v>134.31695999999999</v>
      </c>
      <c r="F212" s="71">
        <f>F110</f>
        <v>2.7653735768256777</v>
      </c>
      <c r="G212" s="317"/>
      <c r="H212" s="70">
        <f>H110</f>
        <v>123.20661999999999</v>
      </c>
      <c r="I212" s="71">
        <f>I110</f>
        <v>2.6764846957617356</v>
      </c>
      <c r="J212" s="317"/>
      <c r="K212" s="70">
        <f>K110</f>
        <v>35.081430000000005</v>
      </c>
      <c r="L212" s="71">
        <f>L110</f>
        <v>0.75709325161318186</v>
      </c>
      <c r="M212" s="303"/>
      <c r="N212" s="70">
        <f>N110</f>
        <v>56.464709999999997</v>
      </c>
      <c r="O212" s="71">
        <f>O110</f>
        <v>1.1438670664262705</v>
      </c>
      <c r="P212" s="4"/>
      <c r="Q212" s="70">
        <f>Q110</f>
        <v>81.278919999999999</v>
      </c>
      <c r="R212" s="71">
        <f>R110</f>
        <v>1.5134611946968568</v>
      </c>
      <c r="S212" s="4"/>
      <c r="T212" s="70">
        <f>T110</f>
        <v>104.58228999999997</v>
      </c>
      <c r="U212" s="71">
        <f>U110</f>
        <v>3.5255626348435802</v>
      </c>
      <c r="V212" s="4"/>
      <c r="W212" s="70">
        <f>W110</f>
        <v>98.922650000000004</v>
      </c>
      <c r="X212" s="71">
        <f>X110</f>
        <v>2.3633478271256898</v>
      </c>
      <c r="Y212" s="4"/>
      <c r="Z212" s="70">
        <f>Z110</f>
        <v>86.212860000000006</v>
      </c>
      <c r="AA212" s="71">
        <f>AA110</f>
        <v>2.6960896894643027</v>
      </c>
      <c r="AB212" s="4"/>
      <c r="AC212" s="70">
        <f>AC110</f>
        <v>83.67801</v>
      </c>
      <c r="AD212" s="71">
        <f>AD110</f>
        <v>2.960167327012877</v>
      </c>
      <c r="AE212" s="4"/>
      <c r="AF212" s="70">
        <f>AF110</f>
        <v>80.271170000000012</v>
      </c>
      <c r="AG212" s="71">
        <f>AG110</f>
        <v>3.0624993323413836</v>
      </c>
      <c r="AH212" s="4"/>
      <c r="AI212" s="70">
        <f>AI110</f>
        <v>81.651740000000004</v>
      </c>
      <c r="AJ212" s="71">
        <f>AJ110</f>
        <v>2.3998277686339056</v>
      </c>
      <c r="AK212" s="303"/>
      <c r="AL212" s="70">
        <f>AL110</f>
        <v>81.003579999999999</v>
      </c>
      <c r="AM212" s="71">
        <f>AM110</f>
        <v>1.924395505190887</v>
      </c>
      <c r="AN212" s="303"/>
      <c r="AO212" s="70">
        <f>AO110</f>
        <v>1046.67094</v>
      </c>
      <c r="AP212" s="71">
        <f>AP110</f>
        <v>2.1892210030495582</v>
      </c>
    </row>
    <row r="213" spans="1:42" s="3" customFormat="1">
      <c r="A213" s="35"/>
      <c r="B213" s="8"/>
      <c r="C213" s="8"/>
      <c r="D213" s="69" t="s">
        <v>7</v>
      </c>
      <c r="E213" s="70">
        <f>E77+E125+E84+E89</f>
        <v>163.66525999999996</v>
      </c>
      <c r="F213" s="71">
        <f>F77+F125+F84+F89</f>
        <v>3.369608614193655</v>
      </c>
      <c r="G213" s="317"/>
      <c r="H213" s="70">
        <f>H77+H125+H84+H89</f>
        <v>223.45214999999996</v>
      </c>
      <c r="I213" s="71">
        <f>I77+I125+I84+I89</f>
        <v>4.8541730932157359</v>
      </c>
      <c r="J213" s="317"/>
      <c r="K213" s="70">
        <f>K77+K125+K84+K89</f>
        <v>216.79639</v>
      </c>
      <c r="L213" s="71">
        <f>L77+L125+L84+L89</f>
        <v>4.6786885210522913</v>
      </c>
      <c r="M213" s="303"/>
      <c r="N213" s="70">
        <f>N77+N125+N84+N89</f>
        <v>175.66660999999999</v>
      </c>
      <c r="O213" s="71">
        <f>O77+O125+O84+O89</f>
        <v>3.5586696513583047</v>
      </c>
      <c r="P213" s="4"/>
      <c r="Q213" s="70">
        <f>Q77+Q125+Q84+Q89</f>
        <v>183.35094000000001</v>
      </c>
      <c r="R213" s="71">
        <f>R77+R125+R84+R89</f>
        <v>3.4141021152986748</v>
      </c>
      <c r="S213" s="4"/>
      <c r="T213" s="70">
        <f>T77+T125+T84+T89</f>
        <v>224.77716000000004</v>
      </c>
      <c r="U213" s="71">
        <f>U77+U125+U84+U89</f>
        <v>7.5774393203883497</v>
      </c>
      <c r="V213" s="4"/>
      <c r="W213" s="70">
        <f>W77+W125+W84+W89</f>
        <v>168.29805000000002</v>
      </c>
      <c r="X213" s="71">
        <f>X77+X125+X84+X89</f>
        <v>4.0207862484172301</v>
      </c>
      <c r="Y213" s="4"/>
      <c r="Z213" s="70">
        <f>Z77+Z125+Z84+Z89</f>
        <v>144.25119000000001</v>
      </c>
      <c r="AA213" s="71">
        <f>AA77+AA125+AA84+AA89</f>
        <v>4.5110920349000851</v>
      </c>
      <c r="AB213" s="4"/>
      <c r="AC213" s="70">
        <f>AC77+AC125+AC84+AC89</f>
        <v>198.76821000000001</v>
      </c>
      <c r="AD213" s="71">
        <f>AD77+AD125+AD84+AD89</f>
        <v>7.0315625442196126</v>
      </c>
      <c r="AE213" s="4"/>
      <c r="AF213" s="70">
        <f>AF77+AF125+AF84+AF89</f>
        <v>180.16941</v>
      </c>
      <c r="AG213" s="71">
        <f>AG77+AG125+AG84+AG89</f>
        <v>6.8738090877875706</v>
      </c>
      <c r="AH213" s="4"/>
      <c r="AI213" s="70">
        <f>AI77+AI125+AI84+AI89</f>
        <v>231.15127000000004</v>
      </c>
      <c r="AJ213" s="71">
        <f>AJ77+AJ125+AJ84+AJ89</f>
        <v>6.7937711615330363</v>
      </c>
      <c r="AK213" s="303"/>
      <c r="AL213" s="70">
        <f>AL77+AL125+AL84+AL89</f>
        <v>223.99091999999999</v>
      </c>
      <c r="AM213" s="71">
        <f>AM77+AM125+AM84+AM89</f>
        <v>5.3213341885824246</v>
      </c>
      <c r="AN213" s="303"/>
      <c r="AO213" s="70">
        <f>AO77+AO125+AO84+AO89</f>
        <v>2334.3375599999999</v>
      </c>
      <c r="AP213" s="71">
        <f>AP77+AP125+AP84+AP89</f>
        <v>4.8825095063396518</v>
      </c>
    </row>
    <row r="214" spans="1:42" s="3" customFormat="1">
      <c r="A214" s="35"/>
      <c r="B214" s="8"/>
      <c r="C214" s="8"/>
      <c r="D214" s="69" t="s">
        <v>10</v>
      </c>
      <c r="E214" s="70">
        <f>E13</f>
        <v>169.67905000000002</v>
      </c>
      <c r="F214" s="71">
        <f>F13</f>
        <v>3.4934230302032079</v>
      </c>
      <c r="G214" s="317"/>
      <c r="H214" s="70">
        <f>H13</f>
        <v>178.09250177777767</v>
      </c>
      <c r="I214" s="71">
        <f>I13</f>
        <v>3.8688006816366012</v>
      </c>
      <c r="J214" s="317"/>
      <c r="K214" s="70">
        <f>K13</f>
        <v>185.70642844444438</v>
      </c>
      <c r="L214" s="71">
        <f>L13</f>
        <v>4.0077352535650643</v>
      </c>
      <c r="M214" s="303"/>
      <c r="N214" s="70">
        <f>N13</f>
        <v>188.96685000000002</v>
      </c>
      <c r="O214" s="71">
        <f>O13</f>
        <v>3.8281070842533884</v>
      </c>
      <c r="P214" s="4"/>
      <c r="Q214" s="70">
        <f>Q13</f>
        <v>194.44359000000003</v>
      </c>
      <c r="R214" s="71">
        <f>R13</f>
        <v>3.6206537688067932</v>
      </c>
      <c r="S214" s="4"/>
      <c r="T214" s="70">
        <f>T13</f>
        <v>183.2239753487184</v>
      </c>
      <c r="U214" s="71">
        <f>U13</f>
        <v>6.1766442606768601</v>
      </c>
      <c r="V214" s="4"/>
      <c r="W214" s="70">
        <f>W13</f>
        <v>182.77190942756491</v>
      </c>
      <c r="X214" s="71">
        <f>X13</f>
        <v>4.366579292055448</v>
      </c>
      <c r="Y214" s="4"/>
      <c r="Z214" s="70">
        <f>Z13</f>
        <v>179.35714775069863</v>
      </c>
      <c r="AA214" s="71">
        <f>AA13</f>
        <v>5.6089422944834917</v>
      </c>
      <c r="AB214" s="4"/>
      <c r="AC214" s="70">
        <f>AC13</f>
        <v>173.65131000000005</v>
      </c>
      <c r="AD214" s="71">
        <f>AD13</f>
        <v>6.1430348804301698</v>
      </c>
      <c r="AE214" s="4"/>
      <c r="AF214" s="70">
        <f>AF13</f>
        <v>130.20492028689475</v>
      </c>
      <c r="AG214" s="71">
        <f>AG13</f>
        <v>4.9675678259850731</v>
      </c>
      <c r="AH214" s="4"/>
      <c r="AI214" s="70">
        <f>AI13</f>
        <v>170.43939367390212</v>
      </c>
      <c r="AJ214" s="71">
        <f>AJ13</f>
        <v>5.0093873052522371</v>
      </c>
      <c r="AK214" s="303"/>
      <c r="AL214" s="70">
        <f>AL13</f>
        <v>171.66300689080305</v>
      </c>
      <c r="AM214" s="71">
        <f>AM13</f>
        <v>4.0781841848003957</v>
      </c>
      <c r="AN214" s="303"/>
      <c r="AO214" s="70">
        <f>AO13</f>
        <v>2108.2000836008033</v>
      </c>
      <c r="AP214" s="71">
        <f>AP13</f>
        <v>4.4095194824552149</v>
      </c>
    </row>
    <row r="215" spans="1:42" s="3" customFormat="1">
      <c r="A215" s="35"/>
      <c r="B215" s="8"/>
      <c r="C215" s="8"/>
      <c r="D215" s="72" t="s">
        <v>9</v>
      </c>
      <c r="E215" s="73">
        <f>E198</f>
        <v>174.89607000000004</v>
      </c>
      <c r="F215" s="74">
        <f>F198</f>
        <v>3.6008332132342353</v>
      </c>
      <c r="G215" s="317"/>
      <c r="H215" s="73">
        <f>H198</f>
        <v>243.79813999999996</v>
      </c>
      <c r="I215" s="74">
        <f>I198</f>
        <v>5.2961601459822294</v>
      </c>
      <c r="J215" s="317"/>
      <c r="K215" s="73">
        <f>K198</f>
        <v>219.31378999999998</v>
      </c>
      <c r="L215" s="74">
        <f>L198</f>
        <v>4.7330165958089641</v>
      </c>
      <c r="M215" s="303"/>
      <c r="N215" s="73">
        <f>N198</f>
        <v>161.26311000000001</v>
      </c>
      <c r="O215" s="74">
        <f>O198</f>
        <v>3.2668822802503903</v>
      </c>
      <c r="P215" s="4"/>
      <c r="Q215" s="73">
        <f>Q198</f>
        <v>196.88485</v>
      </c>
      <c r="R215" s="74">
        <f>R198</f>
        <v>3.6661114628333085</v>
      </c>
      <c r="S215" s="4"/>
      <c r="T215" s="73">
        <f>T198</f>
        <v>184.02968000000004</v>
      </c>
      <c r="U215" s="74">
        <f>U198</f>
        <v>6.2038052858683939</v>
      </c>
      <c r="V215" s="4"/>
      <c r="W215" s="73">
        <f>W198</f>
        <v>188.28229000000002</v>
      </c>
      <c r="X215" s="74">
        <f>X198</f>
        <v>4.4982270587954227</v>
      </c>
      <c r="Y215" s="4"/>
      <c r="Z215" s="73">
        <f>Z198</f>
        <v>176.98346000000001</v>
      </c>
      <c r="AA215" s="74">
        <f>AA198</f>
        <v>5.5347111986740476</v>
      </c>
      <c r="AB215" s="4"/>
      <c r="AC215" s="73">
        <f>AC198</f>
        <v>203.39738000000003</v>
      </c>
      <c r="AD215" s="74">
        <f>AD198</f>
        <v>7.1953226262912136</v>
      </c>
      <c r="AE215" s="4"/>
      <c r="AF215" s="73">
        <f>AF198</f>
        <v>207.85695999999996</v>
      </c>
      <c r="AG215" s="74">
        <f>AG198</f>
        <v>7.9301423066651386</v>
      </c>
      <c r="AH215" s="4"/>
      <c r="AI215" s="73">
        <f>AI198</f>
        <v>187.40863999999996</v>
      </c>
      <c r="AJ215" s="74">
        <f>AJ198</f>
        <v>5.5081307312485297</v>
      </c>
      <c r="AK215" s="303"/>
      <c r="AL215" s="73">
        <f>AL198</f>
        <v>-32.980219999999967</v>
      </c>
      <c r="AM215" s="74">
        <f>AM198</f>
        <v>-0.78350842182785652</v>
      </c>
      <c r="AN215" s="303"/>
      <c r="AO215" s="73">
        <f>AO198</f>
        <v>2111.1341499999999</v>
      </c>
      <c r="AP215" s="74">
        <f>AP198</f>
        <v>4.4156563871307792</v>
      </c>
    </row>
    <row r="216" spans="1:42" s="35" customFormat="1">
      <c r="B216" s="8"/>
      <c r="C216" s="8"/>
      <c r="D216" s="75" t="s">
        <v>0</v>
      </c>
      <c r="E216" s="76">
        <f>SUM(E209:E215)</f>
        <v>1326.3407099999999</v>
      </c>
      <c r="F216" s="77">
        <f>SUM(F209:F215)</f>
        <v>27.307255564019684</v>
      </c>
      <c r="G216" s="317"/>
      <c r="H216" s="76">
        <f>SUM(H209:H215)</f>
        <v>1298.0072717777775</v>
      </c>
      <c r="I216" s="77">
        <f>SUM(I209:I215)</f>
        <v>28.197320873672744</v>
      </c>
      <c r="J216" s="317"/>
      <c r="K216" s="267">
        <f>SUM(K209:K215)</f>
        <v>1451.3589384444442</v>
      </c>
      <c r="L216" s="77">
        <f>SUM(L209:L215)</f>
        <v>31.321814930712911</v>
      </c>
      <c r="M216" s="303"/>
      <c r="N216" s="267">
        <f>SUM(N209:N215)</f>
        <v>1230.99416</v>
      </c>
      <c r="O216" s="77">
        <f>SUM(O209:O215)</f>
        <v>24.937588072037762</v>
      </c>
      <c r="P216" s="4"/>
      <c r="Q216" s="267">
        <f>SUM(Q209:Q215)</f>
        <v>1483.6312099999998</v>
      </c>
      <c r="R216" s="77">
        <f>SUM(R209:R215)</f>
        <v>27.626083904364663</v>
      </c>
      <c r="S216" s="4"/>
      <c r="T216" s="267">
        <f>SUM(T209:T215)</f>
        <v>1357.1222353487185</v>
      </c>
      <c r="U216" s="77">
        <f>SUM(U209:U215)</f>
        <v>45.749805668443848</v>
      </c>
      <c r="V216" s="4"/>
      <c r="W216" s="267">
        <f>SUM(W209:W215)</f>
        <v>1241.2304694275651</v>
      </c>
      <c r="X216" s="77">
        <f>SUM(X209:X215)</f>
        <v>29.654071467796662</v>
      </c>
      <c r="Y216" s="4"/>
      <c r="Z216" s="267">
        <f>SUM(Z209:Z215)</f>
        <v>1135.5455277506987</v>
      </c>
      <c r="AA216" s="77">
        <f>SUM(AA209:AA215)</f>
        <v>35.511321504540724</v>
      </c>
      <c r="AB216" s="4"/>
      <c r="AC216" s="267">
        <f>SUM(AC209:AC215)</f>
        <v>1206.8553199999999</v>
      </c>
      <c r="AD216" s="77">
        <f>SUM(AD209:AD215)</f>
        <v>42.693339465119571</v>
      </c>
      <c r="AE216" s="4"/>
      <c r="AF216" s="267">
        <f>SUM(AF209:AF215)</f>
        <v>1203.0078302868947</v>
      </c>
      <c r="AG216" s="77">
        <f>SUM(AG209:AG215)</f>
        <v>45.897059642398027</v>
      </c>
      <c r="AH216" s="4"/>
      <c r="AI216" s="267">
        <f>SUM(AI209:AI215)</f>
        <v>1382.5060736739019</v>
      </c>
      <c r="AJ216" s="77">
        <f>SUM(AJ209:AJ215)</f>
        <v>40.633261041438459</v>
      </c>
      <c r="AK216" s="303"/>
      <c r="AL216" s="267">
        <f>SUM(AL209:AL215)</f>
        <v>1111.965846890803</v>
      </c>
      <c r="AM216" s="77">
        <f>SUM(AM209:AM215)</f>
        <v>26.416882780766471</v>
      </c>
      <c r="AN216" s="303"/>
      <c r="AO216" s="267">
        <f>SUM(AO209:AO215)</f>
        <v>15428.565593600801</v>
      </c>
      <c r="AP216" s="77">
        <f>SUM(AP209:AP215)</f>
        <v>32.270447715342755</v>
      </c>
    </row>
    <row r="217" spans="1:42">
      <c r="E217" s="11">
        <f t="shared" ref="E217:F217" si="73">SUM(E209:E215)-E216</f>
        <v>0</v>
      </c>
      <c r="F217" s="11">
        <f t="shared" si="73"/>
        <v>0</v>
      </c>
      <c r="H217" s="11">
        <f t="shared" ref="H217:I217" si="74">SUM(H209:H215)-H216</f>
        <v>0</v>
      </c>
      <c r="I217" s="11">
        <f t="shared" si="74"/>
        <v>0</v>
      </c>
      <c r="K217" s="11">
        <f t="shared" ref="K217:L217" si="75">SUM(K209:K215)-K216</f>
        <v>0</v>
      </c>
      <c r="L217" s="11">
        <f t="shared" si="75"/>
        <v>0</v>
      </c>
      <c r="N217" s="11">
        <f t="shared" ref="N217:O217" si="76">SUM(N209:N215)-N216</f>
        <v>0</v>
      </c>
      <c r="O217" s="11">
        <f t="shared" si="76"/>
        <v>0</v>
      </c>
      <c r="Q217" s="11">
        <f t="shared" ref="Q217:R217" si="77">SUM(Q209:Q215)-Q216</f>
        <v>0</v>
      </c>
      <c r="R217" s="11">
        <f t="shared" si="77"/>
        <v>0</v>
      </c>
      <c r="T217" s="11">
        <f t="shared" ref="T217:U217" si="78">SUM(T209:T215)-T216</f>
        <v>0</v>
      </c>
      <c r="U217" s="11">
        <f t="shared" si="78"/>
        <v>0</v>
      </c>
      <c r="W217" s="11">
        <f t="shared" ref="W217:X217" si="79">SUM(W209:W215)-W216</f>
        <v>0</v>
      </c>
      <c r="X217" s="11">
        <f t="shared" si="79"/>
        <v>0</v>
      </c>
      <c r="Z217" s="11">
        <f t="shared" ref="Z217:AA217" si="80">SUM(Z209:Z215)-Z216</f>
        <v>0</v>
      </c>
      <c r="AA217" s="11">
        <f t="shared" si="80"/>
        <v>0</v>
      </c>
      <c r="AC217" s="11">
        <f t="shared" ref="AC217:AD217" si="81">SUM(AC209:AC215)-AC216</f>
        <v>0</v>
      </c>
      <c r="AD217" s="11">
        <f t="shared" si="81"/>
        <v>0</v>
      </c>
      <c r="AF217" s="11">
        <f t="shared" ref="AF217:AG217" si="82">SUM(AF209:AF215)-AF216</f>
        <v>0</v>
      </c>
      <c r="AG217" s="11">
        <f t="shared" si="82"/>
        <v>0</v>
      </c>
      <c r="AI217" s="11">
        <f t="shared" ref="AI217:AJ217" si="83">SUM(AI209:AI215)-AI216</f>
        <v>0</v>
      </c>
      <c r="AJ217" s="11">
        <f t="shared" si="83"/>
        <v>0</v>
      </c>
      <c r="AL217" s="11">
        <f t="shared" ref="AL217:AM217" si="84">SUM(AL209:AL215)-AL216</f>
        <v>0</v>
      </c>
      <c r="AM217" s="11">
        <f t="shared" si="84"/>
        <v>0</v>
      </c>
      <c r="AO217" s="11">
        <f>SUM(AO209:AO215)-AO216</f>
        <v>0</v>
      </c>
      <c r="AP217" s="11">
        <f t="shared" ref="AP217" si="85">SUM(AP209:AP215)-AP216</f>
        <v>0</v>
      </c>
    </row>
    <row r="219" spans="1:42">
      <c r="D219" s="39"/>
      <c r="E219" s="78"/>
      <c r="F219" s="79"/>
      <c r="H219" s="78"/>
      <c r="I219" s="79"/>
      <c r="K219" s="78"/>
      <c r="L219" s="79"/>
      <c r="N219" s="78"/>
      <c r="O219" s="79"/>
      <c r="Q219" s="78"/>
      <c r="R219" s="79"/>
      <c r="T219" s="78"/>
      <c r="U219" s="79"/>
      <c r="W219" s="78"/>
      <c r="X219" s="79"/>
      <c r="Z219" s="78"/>
      <c r="AA219" s="79"/>
      <c r="AC219" s="78"/>
      <c r="AD219" s="79"/>
      <c r="AF219" s="78"/>
      <c r="AG219" s="79"/>
      <c r="AI219" s="78"/>
      <c r="AJ219" s="79"/>
      <c r="AL219" s="78"/>
      <c r="AM219" s="79"/>
      <c r="AO219" s="78"/>
      <c r="AP219" s="79"/>
    </row>
    <row r="220" spans="1:42">
      <c r="D220" s="40" t="s">
        <v>1</v>
      </c>
      <c r="E220" s="80">
        <f>E22+E27+E82+E86+E94</f>
        <v>475.74289999999996</v>
      </c>
      <c r="F220" s="81">
        <f>F22+F27+F82+F86+F94</f>
        <v>9.7947931893516724</v>
      </c>
      <c r="H220" s="80">
        <f>H22+H27+H82+H86+H94</f>
        <v>368.08884999999998</v>
      </c>
      <c r="I220" s="81">
        <f>I22+I27+I82+I86+I94</f>
        <v>7.9961951208915343</v>
      </c>
      <c r="K220" s="80">
        <f>K22+K27+K82+K86+K94</f>
        <v>548.83614</v>
      </c>
      <c r="L220" s="81">
        <f>L22+L27+L82+L86+L94</f>
        <v>11.844446986209723</v>
      </c>
      <c r="N220" s="80">
        <f>N22+N27+N82+N86+N94</f>
        <v>438.27453999999994</v>
      </c>
      <c r="O220" s="81">
        <f>O22+O27+O82+O86+O94</f>
        <v>8.8786042177339297</v>
      </c>
      <c r="Q220" s="80">
        <f>Q22+Q27+Q82+Q86+Q94</f>
        <v>586.37595999999985</v>
      </c>
      <c r="R220" s="81">
        <f>R22+R27+R82+R86+R94</f>
        <v>10.918664531506032</v>
      </c>
      <c r="T220" s="80">
        <f>T22+T27+T82+T86+T94</f>
        <v>394.29577999999992</v>
      </c>
      <c r="U220" s="81">
        <f>U22+U27+U82+U86+U94</f>
        <v>13.292063781014026</v>
      </c>
      <c r="W220" s="80">
        <f>W22+W27+W82+W86+W94</f>
        <v>447.26849999999996</v>
      </c>
      <c r="X220" s="81">
        <f>X22+X27+X82+X86+X94</f>
        <v>10.685632032873832</v>
      </c>
      <c r="Z220" s="80">
        <f>Z22+Z27+Z82+Z86+Z94</f>
        <v>355.57708000000008</v>
      </c>
      <c r="AA220" s="81">
        <f>AA22+AA27+AA82+AA86+AA94</f>
        <v>11.119776089064016</v>
      </c>
      <c r="AC220" s="80">
        <f>AC22+AC27+AC82+AC86+AC94</f>
        <v>358.97744999999998</v>
      </c>
      <c r="AD220" s="81">
        <f>AD22+AD27+AD82+AD86+AD94</f>
        <v>12.69907492571105</v>
      </c>
      <c r="AF220" s="80">
        <f>AF22+AF27+AF82+AF86+AF94</f>
        <v>395.21852000000001</v>
      </c>
      <c r="AG220" s="81">
        <f>AG22+AG27+AG82+AG86+AG94</f>
        <v>15.078345732707643</v>
      </c>
      <c r="AI220" s="80">
        <f>AI22+AI27+AI82+AI86+AI94</f>
        <v>486.61449000000005</v>
      </c>
      <c r="AJ220" s="81">
        <f>AJ22+AJ27+AJ82+AJ86+AJ94</f>
        <v>14.302095285680696</v>
      </c>
      <c r="AL220" s="80">
        <f>AL22+AL27+AL82+AL86+AL94</f>
        <v>398.01472999999999</v>
      </c>
      <c r="AM220" s="81">
        <f>AM22+AM27+AM82+AM86+AM94</f>
        <v>9.4556037821015373</v>
      </c>
      <c r="AO220" s="80">
        <f>AO22+AO27+AO82+AO86+AO94</f>
        <v>5253.2849399999996</v>
      </c>
      <c r="AP220" s="81">
        <f>AP22+AP27+AP82+AP86+AP94</f>
        <v>10.987791182634666</v>
      </c>
    </row>
    <row r="221" spans="1:42">
      <c r="D221" s="41" t="s">
        <v>4</v>
      </c>
      <c r="E221" s="82">
        <f>SUM(E13,E77,E84,E89,E102,E110,E125)</f>
        <v>675.70173999999997</v>
      </c>
      <c r="F221" s="83">
        <f>SUM(F13,F77,F84,F89,F102,F110,F125)</f>
        <v>13.911629161433776</v>
      </c>
      <c r="H221" s="82">
        <f>SUM(H13,H77,H84,H89,H102,H110,H125)</f>
        <v>686.12028177777756</v>
      </c>
      <c r="I221" s="83">
        <f>SUM(I13,I77,I84,I89,I102,I110,I125)</f>
        <v>14.904965606798985</v>
      </c>
      <c r="K221" s="82">
        <f>SUM(K13,K77,K84,K89,K102,K110,K125)</f>
        <v>683.20900844444441</v>
      </c>
      <c r="L221" s="83">
        <f>SUM(L13,L77,L84,L89,L102,L110,L125)</f>
        <v>14.744351348694227</v>
      </c>
      <c r="N221" s="82">
        <f>SUM(N13,N77,N84,N89,N102,N110,N125)</f>
        <v>631.45650999999998</v>
      </c>
      <c r="O221" s="83">
        <f>SUM(O13,O77,O84,O89,O102,O110,O125)</f>
        <v>12.79210157405344</v>
      </c>
      <c r="Q221" s="82">
        <f>SUM(Q13,Q77,Q84,Q89,Q102,Q110,Q125)</f>
        <v>700.37040000000002</v>
      </c>
      <c r="R221" s="83">
        <f>SUM(R13,R77,R84,R89,R102,R110,R125)</f>
        <v>13.041307910025326</v>
      </c>
      <c r="T221" s="82">
        <f>SUM(T13,T77,T84,T89,T102,T110,T125)</f>
        <v>778.79677534871837</v>
      </c>
      <c r="U221" s="83">
        <f>SUM(U13,U77,U84,U89,U102,U110,U125)</f>
        <v>26.253936601561435</v>
      </c>
      <c r="W221" s="82">
        <f>SUM(W13,W77,W84,W89,W102,W110,W125)</f>
        <v>605.67967942756491</v>
      </c>
      <c r="X221" s="83">
        <f>SUM(X13,X77,X84,X89,X102,X110,X125)</f>
        <v>14.470212376127407</v>
      </c>
      <c r="Z221" s="82">
        <f>SUM(Z13,Z77,Z84,Z89,Z102,Z110,Z125)</f>
        <v>602.98498775069868</v>
      </c>
      <c r="AA221" s="83">
        <f>SUM(AA13,AA77,AA84,AA89,AA102,AA110,AA125)</f>
        <v>18.85683421680266</v>
      </c>
      <c r="AC221" s="82">
        <f>SUM(AC13,AC77,AC84,AC89,AC102,AC110,AC125)</f>
        <v>644.48049000000003</v>
      </c>
      <c r="AD221" s="83">
        <f>SUM(AD13,AD77,AD84,AD89,AD102,AD110,AD125)</f>
        <v>22.798941913117307</v>
      </c>
      <c r="AF221" s="82">
        <f>SUM(AF13,AF77,AF84,AF89,AF102,AF110,AF125)</f>
        <v>599.93235028689469</v>
      </c>
      <c r="AG221" s="83">
        <f>SUM(AG13,AG77,AG84,AG89,AG102,AG110,AG125)</f>
        <v>22.888571603025245</v>
      </c>
      <c r="AI221" s="82">
        <f>SUM(AI13,AI77,AI84,AI89,AI102,AI110,AI125)</f>
        <v>708.48294367390213</v>
      </c>
      <c r="AJ221" s="83">
        <f>SUM(AJ13,AJ77,AJ84,AJ89,AJ102,AJ110,AJ125)</f>
        <v>20.823035024509231</v>
      </c>
      <c r="AL221" s="82">
        <f>SUM(AL13,AL77,AL84,AL89,AL102,AL110,AL125)</f>
        <v>746.9313368908031</v>
      </c>
      <c r="AM221" s="83">
        <f>SUM(AM13,AM77,AM84,AM89,AM102,AM110,AM125)</f>
        <v>17.744787420492791</v>
      </c>
      <c r="AO221" s="82">
        <f>SUM(AO13,AO77,AO84,AO89,AO102,AO110,AO125)</f>
        <v>8064.146503600803</v>
      </c>
      <c r="AP221" s="83">
        <f>SUM(AP13,AP77,AP84,AP89,AP102,AP110,AP125)</f>
        <v>16.867000145577308</v>
      </c>
    </row>
    <row r="222" spans="1:42">
      <c r="D222" s="42" t="s">
        <v>8</v>
      </c>
      <c r="E222" s="84">
        <f>E215</f>
        <v>174.89607000000004</v>
      </c>
      <c r="F222" s="85">
        <f>F215</f>
        <v>3.6008332132342353</v>
      </c>
      <c r="H222" s="84">
        <f>H215</f>
        <v>243.79813999999996</v>
      </c>
      <c r="I222" s="85">
        <f>I215</f>
        <v>5.2961601459822294</v>
      </c>
      <c r="K222" s="84">
        <f>K215</f>
        <v>219.31378999999998</v>
      </c>
      <c r="L222" s="85">
        <f>L215</f>
        <v>4.7330165958089641</v>
      </c>
      <c r="N222" s="84">
        <f>N215</f>
        <v>161.26311000000001</v>
      </c>
      <c r="O222" s="85">
        <f>O215</f>
        <v>3.2668822802503903</v>
      </c>
      <c r="Q222" s="84">
        <f>Q215</f>
        <v>196.88485</v>
      </c>
      <c r="R222" s="85">
        <f>R215</f>
        <v>3.6661114628333085</v>
      </c>
      <c r="T222" s="84">
        <f>T215</f>
        <v>184.02968000000004</v>
      </c>
      <c r="U222" s="85">
        <f>U215</f>
        <v>6.2038052858683939</v>
      </c>
      <c r="W222" s="84">
        <f>W215</f>
        <v>188.28229000000002</v>
      </c>
      <c r="X222" s="85">
        <f>X215</f>
        <v>4.4982270587954227</v>
      </c>
      <c r="Z222" s="84">
        <f>Z215</f>
        <v>176.98346000000001</v>
      </c>
      <c r="AA222" s="85">
        <f>AA215</f>
        <v>5.5347111986740476</v>
      </c>
      <c r="AC222" s="84">
        <f>AC215</f>
        <v>203.39738000000003</v>
      </c>
      <c r="AD222" s="85">
        <f>AD215</f>
        <v>7.1953226262912136</v>
      </c>
      <c r="AF222" s="84">
        <f>AF215</f>
        <v>207.85695999999996</v>
      </c>
      <c r="AG222" s="85">
        <f>AG215</f>
        <v>7.9301423066651386</v>
      </c>
      <c r="AI222" s="84">
        <f>AI215</f>
        <v>187.40863999999996</v>
      </c>
      <c r="AJ222" s="85">
        <f>AJ215</f>
        <v>5.5081307312485297</v>
      </c>
      <c r="AL222" s="84">
        <f>AL215</f>
        <v>-32.980219999999967</v>
      </c>
      <c r="AM222" s="85">
        <f>AM215</f>
        <v>-0.78350842182785652</v>
      </c>
      <c r="AO222" s="84">
        <f>AO215</f>
        <v>2111.1341499999999</v>
      </c>
      <c r="AP222" s="85">
        <f>AP215</f>
        <v>4.4156563871307792</v>
      </c>
    </row>
    <row r="223" spans="1:42">
      <c r="D223" s="43"/>
      <c r="E223" s="86"/>
      <c r="F223" s="87"/>
      <c r="H223" s="86"/>
      <c r="I223" s="87"/>
      <c r="K223" s="86"/>
      <c r="L223" s="87"/>
      <c r="N223" s="86"/>
      <c r="O223" s="87"/>
      <c r="Q223" s="86"/>
      <c r="R223" s="87"/>
      <c r="T223" s="86"/>
      <c r="U223" s="87"/>
      <c r="W223" s="86"/>
      <c r="X223" s="87"/>
      <c r="Z223" s="86"/>
      <c r="AA223" s="87"/>
      <c r="AC223" s="86"/>
      <c r="AD223" s="87"/>
      <c r="AF223" s="86"/>
      <c r="AG223" s="87"/>
      <c r="AI223" s="86"/>
      <c r="AJ223" s="87"/>
      <c r="AL223" s="86"/>
      <c r="AM223" s="87"/>
      <c r="AO223" s="86"/>
      <c r="AP223" s="87"/>
    </row>
    <row r="224" spans="1:42">
      <c r="D224" s="44" t="s">
        <v>11</v>
      </c>
      <c r="E224" s="88">
        <f>SUM(E219:E223)</f>
        <v>1326.3407099999999</v>
      </c>
      <c r="F224" s="89">
        <f>SUM(F219:F223)</f>
        <v>27.307255564019684</v>
      </c>
      <c r="H224" s="88">
        <f>SUM(H219:H223)</f>
        <v>1298.0072717777775</v>
      </c>
      <c r="I224" s="89">
        <f>SUM(I219:I223)</f>
        <v>28.197320873672751</v>
      </c>
      <c r="K224" s="88">
        <f>SUM(K219:K223)</f>
        <v>1451.3589384444442</v>
      </c>
      <c r="L224" s="89">
        <f>SUM(L219:L223)</f>
        <v>31.321814930712911</v>
      </c>
      <c r="N224" s="88">
        <f>SUM(N219:N223)</f>
        <v>1230.99416</v>
      </c>
      <c r="O224" s="89">
        <f>SUM(O219:O223)</f>
        <v>24.937588072037759</v>
      </c>
      <c r="Q224" s="88">
        <f>SUM(Q219:Q223)</f>
        <v>1483.6312099999998</v>
      </c>
      <c r="R224" s="89">
        <f>SUM(R219:R223)</f>
        <v>27.626083904364663</v>
      </c>
      <c r="T224" s="88">
        <f>SUM(T219:T223)</f>
        <v>1357.1222353487183</v>
      </c>
      <c r="U224" s="273">
        <f>SUM(U219:U223)</f>
        <v>45.749805668443848</v>
      </c>
      <c r="W224" s="88">
        <f>SUM(W219:W223)</f>
        <v>1241.2304694275649</v>
      </c>
      <c r="X224" s="273">
        <f>SUM(X219:X223)</f>
        <v>29.654071467796662</v>
      </c>
      <c r="Z224" s="88">
        <f>SUM(Z219:Z223)</f>
        <v>1135.5455277506987</v>
      </c>
      <c r="AA224" s="273">
        <f>SUM(AA219:AA223)</f>
        <v>35.511321504540724</v>
      </c>
      <c r="AC224" s="88">
        <f>SUM(AC219:AC223)</f>
        <v>1206.8553200000001</v>
      </c>
      <c r="AD224" s="273">
        <f>SUM(AD219:AD223)</f>
        <v>42.693339465119571</v>
      </c>
      <c r="AF224" s="88">
        <f>SUM(AF219:AF223)</f>
        <v>1203.0078302868947</v>
      </c>
      <c r="AG224" s="273">
        <f>SUM(AG219:AG223)</f>
        <v>45.897059642398027</v>
      </c>
      <c r="AI224" s="88">
        <f>SUM(AI219:AI223)</f>
        <v>1382.5060736739022</v>
      </c>
      <c r="AJ224" s="273">
        <f>SUM(AJ219:AJ223)</f>
        <v>40.633261041438459</v>
      </c>
      <c r="AL224" s="88">
        <f>SUM(AL219:AL223)</f>
        <v>1111.9658468908033</v>
      </c>
      <c r="AM224" s="273">
        <f>SUM(AM219:AM223)</f>
        <v>26.416882780766471</v>
      </c>
      <c r="AO224" s="88">
        <f>SUM(AO219:AO223)</f>
        <v>15428.565593600802</v>
      </c>
      <c r="AP224" s="273">
        <f>SUM(AP219:AP223)</f>
        <v>32.270447715342755</v>
      </c>
    </row>
    <row r="225" spans="1:42">
      <c r="T225" s="50"/>
      <c r="W225" s="50"/>
      <c r="Z225" s="50"/>
      <c r="AC225" s="50"/>
      <c r="AF225" s="50"/>
      <c r="AI225" s="50"/>
      <c r="AL225" s="50"/>
      <c r="AO225" s="50"/>
    </row>
    <row r="226" spans="1:42" s="268" customFormat="1">
      <c r="A226" s="280"/>
      <c r="B226" s="105"/>
      <c r="C226" s="105"/>
      <c r="D226" t="s">
        <v>404</v>
      </c>
      <c r="E226" s="50">
        <f>+E224*1000</f>
        <v>1326340.71</v>
      </c>
      <c r="F226" s="50"/>
      <c r="G226" s="314"/>
      <c r="H226" s="50">
        <f>+H224*1000</f>
        <v>1298007.2717777775</v>
      </c>
      <c r="I226" s="50"/>
      <c r="J226" s="314"/>
      <c r="K226" s="50">
        <f>+K224*1000</f>
        <v>1451358.9384444442</v>
      </c>
      <c r="L226" s="50"/>
      <c r="M226" s="186"/>
      <c r="N226" s="50">
        <f>+N224*1000</f>
        <v>1230994.1599999999</v>
      </c>
      <c r="O226" s="50"/>
      <c r="Q226" s="50">
        <f>+Q224*1000</f>
        <v>1483631.2099999997</v>
      </c>
      <c r="R226" s="50"/>
      <c r="T226" s="50">
        <f>+T224*1000</f>
        <v>1357122.2353487182</v>
      </c>
      <c r="U226" s="50"/>
      <c r="W226" s="50">
        <f>+W224*1000</f>
        <v>1241230.4694275649</v>
      </c>
      <c r="X226" s="50"/>
      <c r="Z226" s="50">
        <f>+Z224*1000</f>
        <v>1135545.5277506988</v>
      </c>
      <c r="AA226" s="50"/>
      <c r="AC226" s="50">
        <f>+AC224*1000</f>
        <v>1206855.32</v>
      </c>
      <c r="AD226" s="50"/>
      <c r="AF226" s="50">
        <f>+AF224*1000</f>
        <v>1203007.8302868947</v>
      </c>
      <c r="AG226" s="50"/>
      <c r="AI226" s="50">
        <f>+AI224*1000</f>
        <v>1382506.0736739021</v>
      </c>
      <c r="AJ226" s="50"/>
      <c r="AK226" s="186"/>
      <c r="AL226" s="50">
        <f>+AL224*1000</f>
        <v>1111965.8468908032</v>
      </c>
      <c r="AM226" s="50"/>
      <c r="AN226" s="186"/>
      <c r="AO226" s="50">
        <f>+AO224*1000</f>
        <v>15428565.593600802</v>
      </c>
      <c r="AP226" s="50"/>
    </row>
    <row r="227" spans="1:42">
      <c r="D227" t="s">
        <v>402</v>
      </c>
      <c r="E227" s="50">
        <v>50714304.590000004</v>
      </c>
      <c r="H227" s="50">
        <v>50685612.950000003</v>
      </c>
      <c r="K227" s="50">
        <v>60404153.090000004</v>
      </c>
      <c r="N227" s="50">
        <v>54034824.07</v>
      </c>
      <c r="Q227" s="50">
        <v>66370862.899999999</v>
      </c>
      <c r="T227" s="50">
        <v>63021450.469999999</v>
      </c>
      <c r="W227" s="50">
        <v>57059140.189999998</v>
      </c>
      <c r="Z227" s="50">
        <v>54133161.859999999</v>
      </c>
      <c r="AC227" s="50">
        <v>59467519.799999997</v>
      </c>
      <c r="AF227" s="50">
        <v>56919234.719999999</v>
      </c>
      <c r="AI227" s="50">
        <v>66415933.609999999</v>
      </c>
      <c r="AL227" s="50">
        <v>54051473.649999999</v>
      </c>
      <c r="AO227" s="50">
        <f>+SUM(Q227,N227,K227,H227,E227,T227,W227,Z227,AC227,AF227,AI227,AL227)</f>
        <v>693277671.9000001</v>
      </c>
    </row>
    <row r="228" spans="1:42">
      <c r="E228" s="11"/>
      <c r="H228" s="50"/>
      <c r="I228" s="185"/>
      <c r="K228" s="50"/>
      <c r="L228" s="185"/>
      <c r="N228" s="50"/>
      <c r="O228" s="185"/>
      <c r="Q228" s="50"/>
      <c r="R228" s="185"/>
      <c r="T228" s="50"/>
      <c r="U228" s="185"/>
      <c r="W228" s="50"/>
      <c r="X228" s="185"/>
      <c r="Z228" s="50"/>
      <c r="AA228" s="185"/>
      <c r="AC228" s="50"/>
      <c r="AD228" s="185"/>
      <c r="AF228" s="50"/>
      <c r="AG228" s="185"/>
      <c r="AI228" s="50"/>
      <c r="AJ228" s="185"/>
      <c r="AL228" s="50"/>
      <c r="AM228" s="185"/>
      <c r="AO228" s="50"/>
      <c r="AP228" s="185"/>
    </row>
    <row r="229" spans="1:42">
      <c r="D229" t="s">
        <v>403</v>
      </c>
      <c r="E229" s="184">
        <f>+E227/E226</f>
        <v>38.236257250974376</v>
      </c>
      <c r="F229" s="184"/>
      <c r="H229" s="184">
        <f>+H227/H226</f>
        <v>39.048789673250404</v>
      </c>
      <c r="I229" s="184"/>
      <c r="K229" s="184">
        <f>+K227/K226</f>
        <v>41.619031302305359</v>
      </c>
      <c r="N229" s="184">
        <f>+N227/N226</f>
        <v>43.89527247635359</v>
      </c>
      <c r="Q229" s="184">
        <f>+Q227/Q226</f>
        <v>44.735418379342406</v>
      </c>
      <c r="T229" s="184">
        <f>+T227/T226</f>
        <v>46.437563860123753</v>
      </c>
      <c r="W229" s="184">
        <f>+W227/W226</f>
        <v>45.969819139482404</v>
      </c>
      <c r="Z229" s="184">
        <f>+Z227/Z226</f>
        <v>47.6715028478229</v>
      </c>
      <c r="AC229" s="184">
        <f>+AC227/AC226</f>
        <v>49.274771229412977</v>
      </c>
      <c r="AF229" s="184">
        <f>+AF227/AF226</f>
        <v>47.314101610149812</v>
      </c>
      <c r="AI229" s="184">
        <f>+AI227/AI226</f>
        <v>48.040247254397109</v>
      </c>
      <c r="AL229" s="184">
        <f>+AL227/AL226</f>
        <v>48.608933269969341</v>
      </c>
      <c r="AO229" s="184">
        <f>+AO227/AO226</f>
        <v>44.934680913405586</v>
      </c>
    </row>
    <row r="230" spans="1:42">
      <c r="E230" s="183"/>
      <c r="H230" s="50"/>
      <c r="K230" s="50"/>
      <c r="N230" s="50"/>
      <c r="P230" s="186"/>
      <c r="Q230" s="50"/>
      <c r="T230" s="50"/>
      <c r="W230" s="50"/>
      <c r="Z230" s="50"/>
      <c r="AC230" s="50"/>
      <c r="AF230" s="50"/>
      <c r="AI230" s="50"/>
      <c r="AL230" s="50"/>
      <c r="AO230" s="50"/>
    </row>
    <row r="231" spans="1:42">
      <c r="E231" s="50"/>
    </row>
    <row r="232" spans="1:42">
      <c r="E232" s="184"/>
      <c r="H232" s="50"/>
      <c r="K232" s="50"/>
      <c r="N232" s="50"/>
      <c r="Q232" s="50"/>
      <c r="T232" s="50"/>
      <c r="W232" s="50"/>
      <c r="Z232" s="50"/>
      <c r="AC232" s="50"/>
      <c r="AF232" s="50"/>
      <c r="AI232" s="50"/>
      <c r="AL232" s="50"/>
      <c r="AO232" s="50"/>
    </row>
    <row r="233" spans="1:42">
      <c r="E233" s="50"/>
    </row>
    <row r="234" spans="1:42" ht="18">
      <c r="B234" s="385" t="s">
        <v>405</v>
      </c>
      <c r="C234" s="385"/>
      <c r="D234" s="385"/>
      <c r="E234" s="50"/>
    </row>
    <row r="235" spans="1:42">
      <c r="A235" s="281" t="s">
        <v>445</v>
      </c>
      <c r="B235" s="9">
        <v>6666110101</v>
      </c>
      <c r="C235" s="9" t="s">
        <v>15</v>
      </c>
      <c r="D235" s="9" t="s">
        <v>23</v>
      </c>
      <c r="E235" s="269">
        <f>21.3282004444444</f>
        <v>21.328200444444398</v>
      </c>
      <c r="F235" s="79"/>
      <c r="H235" s="269">
        <f>18.6560404444444</f>
        <v>18.6560404444444</v>
      </c>
      <c r="I235" s="79"/>
      <c r="K235" s="269">
        <f>21.3282004444444</f>
        <v>21.328200444444398</v>
      </c>
      <c r="L235" s="79"/>
      <c r="N235" s="269">
        <f>20.445</f>
        <v>20.445</v>
      </c>
      <c r="O235" s="79"/>
      <c r="Q235" s="269">
        <v>21.153078328690039</v>
      </c>
      <c r="R235" s="79"/>
      <c r="T235" s="269">
        <v>20.736537448570143</v>
      </c>
      <c r="U235" s="79"/>
      <c r="W235" s="269">
        <v>21.672019635084659</v>
      </c>
      <c r="X235" s="79"/>
      <c r="Z235" s="269">
        <v>21.737229710937029</v>
      </c>
      <c r="AA235" s="79"/>
      <c r="AC235" s="269">
        <f>21820.88/1000</f>
        <v>21.820880000000002</v>
      </c>
      <c r="AD235" s="79"/>
      <c r="AF235" s="269">
        <v>22.569400956082486</v>
      </c>
      <c r="AG235" s="79"/>
      <c r="AI235" s="269">
        <v>21.880936358578698</v>
      </c>
      <c r="AJ235" s="79"/>
      <c r="AL235" s="269">
        <v>22.822934486436726</v>
      </c>
      <c r="AM235" s="79"/>
      <c r="AO235" s="269">
        <f>+E235+H235+K235+N235+Q235+T235+W235+Z235+AC235+AF235+AI235+AL235</f>
        <v>256.15045825771296</v>
      </c>
      <c r="AP235" s="79"/>
    </row>
    <row r="236" spans="1:42">
      <c r="A236" s="281" t="s">
        <v>445</v>
      </c>
      <c r="B236" s="9">
        <v>6666110106</v>
      </c>
      <c r="C236" s="9" t="s">
        <v>16</v>
      </c>
      <c r="D236" s="9" t="s">
        <v>23</v>
      </c>
      <c r="E236" s="25">
        <v>0</v>
      </c>
      <c r="F236" s="270"/>
      <c r="H236" s="25">
        <v>0</v>
      </c>
      <c r="I236" s="270"/>
      <c r="K236" s="25">
        <v>0</v>
      </c>
      <c r="L236" s="270"/>
      <c r="N236" s="25">
        <v>0</v>
      </c>
      <c r="O236" s="270"/>
      <c r="Q236" s="25">
        <v>0</v>
      </c>
      <c r="R236" s="270"/>
      <c r="T236" s="25">
        <v>0</v>
      </c>
      <c r="U236" s="270"/>
      <c r="W236" s="25"/>
      <c r="X236" s="270"/>
      <c r="Z236" s="25">
        <v>0</v>
      </c>
      <c r="AA236" s="270"/>
      <c r="AC236" s="25"/>
      <c r="AD236" s="270"/>
      <c r="AF236" s="25">
        <v>0</v>
      </c>
      <c r="AG236" s="270"/>
      <c r="AI236" s="25">
        <v>0</v>
      </c>
      <c r="AJ236" s="270"/>
      <c r="AL236" s="25">
        <v>0</v>
      </c>
      <c r="AM236" s="270"/>
      <c r="AO236" s="25">
        <f t="shared" ref="AO236:AO242" si="86">+E236+H236+K236+N236+Q236+T236+W236+Z236+AC236+AF236+AI236+AL236</f>
        <v>0</v>
      </c>
      <c r="AP236" s="270"/>
    </row>
    <row r="237" spans="1:42">
      <c r="A237" s="281" t="s">
        <v>445</v>
      </c>
      <c r="B237" s="9">
        <v>6666110107</v>
      </c>
      <c r="C237" s="9" t="s">
        <v>17</v>
      </c>
      <c r="D237" s="9" t="s">
        <v>23</v>
      </c>
      <c r="E237" s="25">
        <v>120.32286000000001</v>
      </c>
      <c r="F237" s="270"/>
      <c r="H237" s="25">
        <f>109.209985777778</f>
        <v>109.209985777778</v>
      </c>
      <c r="I237" s="270"/>
      <c r="K237" s="25">
        <f>119.675125777778</f>
        <v>119.67512577777801</v>
      </c>
      <c r="L237" s="270"/>
      <c r="N237" s="25">
        <f>117.086</f>
        <v>117.086</v>
      </c>
      <c r="O237" s="270"/>
      <c r="Q237" s="25">
        <v>126.57761579902612</v>
      </c>
      <c r="R237" s="270"/>
      <c r="T237" s="25">
        <v>128.31791951999705</v>
      </c>
      <c r="U237" s="270"/>
      <c r="W237" s="25">
        <v>134.49480980929482</v>
      </c>
      <c r="X237" s="270"/>
      <c r="Z237" s="25">
        <v>135.74776671030324</v>
      </c>
      <c r="AA237" s="270"/>
      <c r="AC237" s="25">
        <f>134789.77/1000</f>
        <v>134.78976999999998</v>
      </c>
      <c r="AD237" s="270"/>
      <c r="AF237" s="320">
        <f>126.850888051804-82.86761</f>
        <v>43.983278051804007</v>
      </c>
      <c r="AG237" s="270"/>
      <c r="AI237" s="25">
        <v>126.23435191561578</v>
      </c>
      <c r="AJ237" s="270"/>
      <c r="AL237" s="25">
        <v>130.4830171367536</v>
      </c>
      <c r="AM237" s="270"/>
      <c r="AO237" s="25">
        <f t="shared" si="86"/>
        <v>1426.9225004983507</v>
      </c>
      <c r="AP237" s="270"/>
    </row>
    <row r="238" spans="1:42">
      <c r="A238" s="281" t="s">
        <v>445</v>
      </c>
      <c r="B238" s="9">
        <v>6666110110</v>
      </c>
      <c r="C238" s="9" t="s">
        <v>18</v>
      </c>
      <c r="D238" s="9" t="s">
        <v>23</v>
      </c>
      <c r="E238" s="25">
        <f>225.680081111111</f>
        <v>225.68008111111101</v>
      </c>
      <c r="F238" s="270"/>
      <c r="H238" s="25">
        <f>198.482281111111</f>
        <v>198.48228111111101</v>
      </c>
      <c r="I238" s="270"/>
      <c r="K238" s="25">
        <f>225.680081111111</f>
        <v>225.68008111111101</v>
      </c>
      <c r="L238" s="270"/>
      <c r="N238" s="25">
        <f>216.6537</f>
        <v>216.65369999999999</v>
      </c>
      <c r="O238" s="270"/>
      <c r="Q238" s="25">
        <v>228.57031018825873</v>
      </c>
      <c r="R238" s="270"/>
      <c r="T238" s="25">
        <v>222.79534490567897</v>
      </c>
      <c r="U238" s="270"/>
      <c r="W238" s="25">
        <v>232.18713282929113</v>
      </c>
      <c r="X238" s="270"/>
      <c r="Z238" s="25">
        <v>233.13673445270661</v>
      </c>
      <c r="AA238" s="270"/>
      <c r="AC238" s="25">
        <f>227902.81/1000</f>
        <v>227.90280999999999</v>
      </c>
      <c r="AD238" s="270"/>
      <c r="AF238" s="320">
        <f>228.861264957898-61.24974</f>
        <v>167.61152495789798</v>
      </c>
      <c r="AG238" s="270"/>
      <c r="AI238" s="25">
        <v>222.05559499644107</v>
      </c>
      <c r="AJ238" s="270"/>
      <c r="AL238" s="25">
        <v>231.02932541290204</v>
      </c>
      <c r="AM238" s="270"/>
      <c r="AO238" s="25">
        <f t="shared" si="86"/>
        <v>2631.7849210765094</v>
      </c>
      <c r="AP238" s="270"/>
    </row>
    <row r="239" spans="1:42">
      <c r="A239" s="281" t="s">
        <v>445</v>
      </c>
      <c r="B239" s="9">
        <v>6666110112</v>
      </c>
      <c r="C239" s="9" t="s">
        <v>19</v>
      </c>
      <c r="D239" s="9" t="s">
        <v>23</v>
      </c>
      <c r="E239" s="25">
        <f>4.13525311111111</f>
        <v>4.1352531111111102</v>
      </c>
      <c r="F239" s="270"/>
      <c r="H239" s="25">
        <f>3.61013311111111</f>
        <v>3.6101331111111099</v>
      </c>
      <c r="I239" s="270"/>
      <c r="K239" s="25">
        <f>4.13525311111111</f>
        <v>4.1352531111111102</v>
      </c>
      <c r="L239" s="270"/>
      <c r="N239" s="25">
        <f>3.8942</f>
        <v>3.8942000000000001</v>
      </c>
      <c r="O239" s="270"/>
      <c r="Q239" s="25">
        <v>5.2122847603606308</v>
      </c>
      <c r="R239" s="270"/>
      <c r="T239" s="25">
        <v>5.3611481362261344</v>
      </c>
      <c r="U239" s="270"/>
      <c r="W239" s="25">
        <v>5.6851892821948136</v>
      </c>
      <c r="X239" s="270"/>
      <c r="Z239" s="25">
        <v>6.3117767291671498</v>
      </c>
      <c r="AA239" s="270"/>
      <c r="AC239" s="25">
        <f>5050.16/1000</f>
        <v>5.05016</v>
      </c>
      <c r="AD239" s="270"/>
      <c r="AF239" s="320">
        <f>5.18900861534227-(455.16/1000)</f>
        <v>4.7338486153422696</v>
      </c>
      <c r="AG239" s="270"/>
      <c r="AI239" s="25">
        <v>5.0575698718777318</v>
      </c>
      <c r="AJ239" s="270"/>
      <c r="AL239" s="25">
        <v>4.6326759549325081</v>
      </c>
      <c r="AM239" s="270"/>
      <c r="AO239" s="25">
        <f t="shared" si="86"/>
        <v>57.819492683434568</v>
      </c>
      <c r="AP239" s="270"/>
    </row>
    <row r="240" spans="1:42">
      <c r="A240" s="281" t="s">
        <v>445</v>
      </c>
      <c r="B240" s="9">
        <v>6666110204</v>
      </c>
      <c r="C240" s="9" t="s">
        <v>20</v>
      </c>
      <c r="D240" s="9" t="s">
        <v>23</v>
      </c>
      <c r="E240" s="25">
        <f>0.0561666666666667</f>
        <v>5.6166666666666698E-2</v>
      </c>
      <c r="F240" s="270"/>
      <c r="H240" s="25">
        <f>-0.0561566666666667</f>
        <v>-5.6156666666666702E-2</v>
      </c>
      <c r="I240" s="270"/>
      <c r="K240" s="25">
        <f>0.0561666666666667</f>
        <v>5.6166666666666698E-2</v>
      </c>
      <c r="L240" s="270"/>
      <c r="N240" s="25">
        <f>0.0562</f>
        <v>5.62E-2</v>
      </c>
      <c r="O240" s="270"/>
      <c r="Q240" s="25">
        <v>5.0734969628323738E-2</v>
      </c>
      <c r="R240" s="270"/>
      <c r="T240" s="25">
        <v>5.8045496166820899E-2</v>
      </c>
      <c r="U240" s="270"/>
      <c r="W240" s="25">
        <v>6.4456105228431287E-2</v>
      </c>
      <c r="X240" s="270"/>
      <c r="Z240" s="25">
        <v>6.648439487307968E-2</v>
      </c>
      <c r="AA240" s="270"/>
      <c r="AC240" s="25">
        <f>70.3/1000</f>
        <v>7.0300000000000001E-2</v>
      </c>
      <c r="AD240" s="270"/>
      <c r="AF240" s="25">
        <v>7.1009766823678808E-2</v>
      </c>
      <c r="AG240" s="270"/>
      <c r="AI240" s="25">
        <v>7.1782746610814283E-2</v>
      </c>
      <c r="AJ240" s="270"/>
      <c r="AL240" s="25">
        <v>7.5694136223096078E-2</v>
      </c>
      <c r="AM240" s="270"/>
      <c r="AO240" s="25">
        <f t="shared" si="86"/>
        <v>0.64088428222091143</v>
      </c>
      <c r="AP240" s="270"/>
    </row>
    <row r="241" spans="1:42">
      <c r="A241" s="281" t="s">
        <v>445</v>
      </c>
      <c r="B241" s="9">
        <v>6666110207</v>
      </c>
      <c r="C241" s="9" t="s">
        <v>21</v>
      </c>
      <c r="D241" s="9" t="s">
        <v>23</v>
      </c>
      <c r="E241" s="25">
        <f>4.67692644444444</f>
        <v>4.6769264444444403</v>
      </c>
      <c r="F241" s="270"/>
      <c r="H241" s="25">
        <f>4.05927644444445</f>
        <v>4.0592764444444498</v>
      </c>
      <c r="I241" s="270"/>
      <c r="K241" s="25">
        <f>4.67692644444444</f>
        <v>4.6769264444444403</v>
      </c>
      <c r="L241" s="270"/>
      <c r="N241" s="25">
        <f>3.2851</f>
        <v>3.2850999999999999</v>
      </c>
      <c r="O241" s="270"/>
      <c r="Q241" s="25">
        <v>3.3089025014386579</v>
      </c>
      <c r="R241" s="270"/>
      <c r="T241" s="25">
        <v>3.2516345500669344</v>
      </c>
      <c r="U241" s="270"/>
      <c r="W241" s="25">
        <v>1.7994235914736025</v>
      </c>
      <c r="X241" s="270"/>
      <c r="Z241" s="25">
        <v>0.77868568826673767</v>
      </c>
      <c r="AA241" s="270"/>
      <c r="AC241" s="25">
        <f>1081.81/1000</f>
        <v>1.0818099999999999</v>
      </c>
      <c r="AD241" s="270"/>
      <c r="AF241" s="25">
        <v>1.1129073651548174</v>
      </c>
      <c r="AG241" s="270"/>
      <c r="AI241" s="25">
        <v>1.1000504369738271</v>
      </c>
      <c r="AJ241" s="270"/>
      <c r="AL241" s="25">
        <v>1.2092259819489888</v>
      </c>
      <c r="AM241" s="270"/>
      <c r="AO241" s="25">
        <f t="shared" si="86"/>
        <v>30.3408694486569</v>
      </c>
      <c r="AP241" s="270"/>
    </row>
    <row r="242" spans="1:42">
      <c r="A242" s="281" t="s">
        <v>445</v>
      </c>
      <c r="B242" s="9">
        <v>6666110506</v>
      </c>
      <c r="C242" s="9" t="s">
        <v>22</v>
      </c>
      <c r="D242" s="9" t="s">
        <v>23</v>
      </c>
      <c r="E242" s="25">
        <f>0.250798</f>
        <v>0.25079800000000002</v>
      </c>
      <c r="F242" s="270"/>
      <c r="H242" s="25">
        <f>0.250798</f>
        <v>0.25079800000000002</v>
      </c>
      <c r="I242" s="270"/>
      <c r="K242" s="25">
        <f>0.250798</f>
        <v>0.25079800000000002</v>
      </c>
      <c r="L242" s="270"/>
      <c r="N242" s="25">
        <f>0.2508</f>
        <v>0.25080000000000002</v>
      </c>
      <c r="O242" s="270"/>
      <c r="Q242" s="25">
        <v>0.23248277163239767</v>
      </c>
      <c r="R242" s="270"/>
      <c r="T242" s="25">
        <v>0.25714459457555916</v>
      </c>
      <c r="U242" s="270"/>
      <c r="W242" s="25">
        <v>0.27879931986761314</v>
      </c>
      <c r="X242" s="270"/>
      <c r="Z242" s="25">
        <v>0.28569456304751961</v>
      </c>
      <c r="AA242" s="270"/>
      <c r="AC242" s="25"/>
      <c r="AD242" s="270"/>
      <c r="AF242" s="25"/>
      <c r="AG242" s="270"/>
      <c r="AI242" s="25"/>
      <c r="AJ242" s="270"/>
      <c r="AL242" s="25"/>
      <c r="AM242" s="270"/>
      <c r="AO242" s="25">
        <f t="shared" si="86"/>
        <v>2.0573152491230897</v>
      </c>
      <c r="AP242" s="270"/>
    </row>
    <row r="243" spans="1:42">
      <c r="E243" s="318">
        <f>SUM(E235:E242)</f>
        <v>376.45028577777765</v>
      </c>
      <c r="F243" s="23">
        <f>E243/$E$1*1000</f>
        <v>7.7505154470317192</v>
      </c>
      <c r="H243" s="22">
        <f>SUM(H235:H242)</f>
        <v>334.21235822222229</v>
      </c>
      <c r="I243" s="23">
        <f>H243/$H$1*1000</f>
        <v>7.2602775883001822</v>
      </c>
      <c r="K243" s="22">
        <f>SUM(K235:K242)</f>
        <v>375.80255155555568</v>
      </c>
      <c r="L243" s="23">
        <f>K243/$K$1*1000</f>
        <v>8.1102046216966066</v>
      </c>
      <c r="N243" s="22">
        <f>SUM(N235:N242)</f>
        <v>361.67100000000005</v>
      </c>
      <c r="O243" s="23">
        <f>N243/$N$1*1000</f>
        <v>7.326762960111826</v>
      </c>
      <c r="Q243" s="22">
        <f>SUM(Q235:Q242)</f>
        <v>385.10540931903483</v>
      </c>
      <c r="R243" s="23">
        <f>Q243/$Q$1*1000</f>
        <v>7.1708887479337635</v>
      </c>
      <c r="T243" s="22">
        <f>SUM(T235:T242)</f>
        <v>380.77777465128156</v>
      </c>
      <c r="U243" s="274">
        <f>T243/$T$1*1000</f>
        <v>12.836359717208792</v>
      </c>
      <c r="W243" s="22">
        <f>SUM(W235:W242)</f>
        <v>396.1818305724351</v>
      </c>
      <c r="X243" s="274">
        <f>W243/$W$1*1000</f>
        <v>9.4651272325401994</v>
      </c>
      <c r="Z243" s="22">
        <f>SUM(Z235:Z242)</f>
        <v>398.06437224930141</v>
      </c>
      <c r="AA243" s="274">
        <f>Z243/$Z$1*1000</f>
        <v>12.448458962670088</v>
      </c>
      <c r="AC243" s="22">
        <f>SUM(AC235:AC242)</f>
        <v>390.71572999999995</v>
      </c>
      <c r="AD243" s="274">
        <f>AC243/$AC$1*1000</f>
        <v>13.821838474600252</v>
      </c>
      <c r="AF243" s="22">
        <f>SUM(AF235:AF242)</f>
        <v>240.08196971310528</v>
      </c>
      <c r="AG243" s="274">
        <f>AF243/$AF$1*1000</f>
        <v>9.1595883298273737</v>
      </c>
      <c r="AI243" s="22">
        <f>SUM(AI235:AI242)</f>
        <v>376.40028632609796</v>
      </c>
      <c r="AJ243" s="274">
        <f>AI243/$AI$1*1000</f>
        <v>11.062787630087525</v>
      </c>
      <c r="AL243" s="22">
        <f>SUM(AL235:AL242)</f>
        <v>390.25287310919697</v>
      </c>
      <c r="AM243" s="274">
        <f>AL243/$AL$1*1000</f>
        <v>9.2712059750836708</v>
      </c>
      <c r="AO243" s="22">
        <f>SUM(AO235:AO242)</f>
        <v>4405.7164414960089</v>
      </c>
      <c r="AP243" s="274">
        <f>AO243/$AO$1*1000</f>
        <v>9.2150136194703407</v>
      </c>
    </row>
    <row r="245" spans="1:42">
      <c r="AO245" s="180"/>
    </row>
    <row r="248" spans="1:42">
      <c r="C248" s="283" t="s">
        <v>447</v>
      </c>
      <c r="D248" s="283" t="s">
        <v>445</v>
      </c>
      <c r="E248" s="285">
        <f>+SUMIF($A$5:$A$242,D248,E5:E243)</f>
        <v>1565.0227757777777</v>
      </c>
      <c r="F248" s="287">
        <f>+E248*1000/E$1</f>
        <v>32.221341454320019</v>
      </c>
      <c r="H248" s="285">
        <f>+SUMIF($A$5:$A$242,$D$248,H5:H243)</f>
        <v>1403.55799</v>
      </c>
      <c r="I248" s="287">
        <f>+H248*1000/H$1</f>
        <v>30.490256772315512</v>
      </c>
      <c r="K248" s="285">
        <f>+SUMIF($A$5:$A$242,$D$248,K5:K243)</f>
        <v>1626.5010600000003</v>
      </c>
      <c r="L248" s="287">
        <f>+K248*1000/K$1</f>
        <v>35.101561603038611</v>
      </c>
      <c r="N248" s="285">
        <f>+SUMIF($A$5:$A$242,$D$248,N5:N243)</f>
        <v>1502.1595000000004</v>
      </c>
      <c r="O248" s="287">
        <f>+N248*1000/N$1</f>
        <v>30.430879403601896</v>
      </c>
      <c r="Q248" s="285">
        <f>+SUMIF($A$5:$A$242,$D$248,Q5:Q243)</f>
        <v>1710.3230093190352</v>
      </c>
      <c r="R248" s="287">
        <f>+Q248*1000/Q$1</f>
        <v>31.847218257839923</v>
      </c>
      <c r="T248" s="285">
        <f>+SUMIF($A$5:$A$242,$D$248,T5:T243)</f>
        <v>1505.6420900000001</v>
      </c>
      <c r="U248" s="287">
        <f>+T248*1000/T$1</f>
        <v>50.756542947680693</v>
      </c>
      <c r="W248" s="285">
        <f>+SUMIF($A$5:$A$242,$D$248,W5:W243)</f>
        <v>1496.6851799999997</v>
      </c>
      <c r="X248" s="287">
        <f>+W248*1000/W$1</f>
        <v>35.757105860429547</v>
      </c>
      <c r="Z248" s="285">
        <f>+SUMIF($A$5:$A$242,$D$248,Z5:Z243)</f>
        <v>1394.9887799999999</v>
      </c>
      <c r="AA248" s="287">
        <f>+Z248*1000/Z$1</f>
        <v>43.6247546674172</v>
      </c>
      <c r="AC248" s="285">
        <f>+SUMIF($A$5:$A$242,$D$248,AC5:AC243)</f>
        <v>1423.9780200000002</v>
      </c>
      <c r="AD248" s="287">
        <f>+AC248*1000/AC$1</f>
        <v>50.374204754492723</v>
      </c>
      <c r="AF248" s="285">
        <f>+SUMIF($A$5:$A$242,$D$248,AF5:AF243)</f>
        <v>1227.1701799999998</v>
      </c>
      <c r="AG248" s="287">
        <f>+AF248*1000/AF$1</f>
        <v>46.818899698599822</v>
      </c>
      <c r="AI248" s="285">
        <f>+SUMIF($A$5:$A$242,$D$248,AI5:AI243)</f>
        <v>1564.4146300000004</v>
      </c>
      <c r="AJ248" s="287">
        <f>+AI248*1000/AI$1</f>
        <v>45.979738713849059</v>
      </c>
      <c r="AL248" s="285">
        <f>+SUMIF($A$5:$A$242,$D$248,AL5:AL243)</f>
        <v>1492.5651699999999</v>
      </c>
      <c r="AM248" s="287">
        <f>+AL248*1000/AL$1</f>
        <v>35.458750148480746</v>
      </c>
      <c r="AO248" s="304">
        <f>+E248+H248+K248+N248+Q248+T248+W248+Z248+AC248+AF248+AI248+AL248</f>
        <v>17913.008385096815</v>
      </c>
      <c r="AP248" s="287">
        <f>+AO248*1000/AO1</f>
        <v>37.466917906841665</v>
      </c>
    </row>
    <row r="249" spans="1:42">
      <c r="C249" s="283" t="s">
        <v>448</v>
      </c>
      <c r="D249" s="283" t="s">
        <v>446</v>
      </c>
      <c r="E249" s="286">
        <f>+SUMIF($A$5:$A$243,D249,E5:E244)</f>
        <v>137.76822000000001</v>
      </c>
      <c r="F249" s="288">
        <f>+E249*1000/E$1</f>
        <v>2.8364295567313831</v>
      </c>
      <c r="H249" s="286">
        <f>+SUMIF($A$5:$A$243,$D$249,H5:H244)</f>
        <v>228.66164000000001</v>
      </c>
      <c r="I249" s="288">
        <f>+H249*1000/H$1</f>
        <v>4.9673416896574203</v>
      </c>
      <c r="K249" s="286">
        <f>+SUMIF($A$5:$A$243,$D$249,K5:K244)</f>
        <v>200.66043000000005</v>
      </c>
      <c r="L249" s="288">
        <f>+K249*1000/K$1</f>
        <v>4.3304579493709143</v>
      </c>
      <c r="N249" s="286">
        <f>+SUMIF($A$5:$A$243,$D$249,N5:N244)</f>
        <v>90.505659999999963</v>
      </c>
      <c r="O249" s="288">
        <f>+N249*1000/N$1</f>
        <v>1.8334716285476969</v>
      </c>
      <c r="Q249" s="286">
        <f>+SUMIF($A$5:$A$243,$D$249,Q5:Q244)</f>
        <v>158.41361000000001</v>
      </c>
      <c r="R249" s="288">
        <f>+Q249*1000/Q$1</f>
        <v>2.9497543944585134</v>
      </c>
      <c r="T249" s="286">
        <f>+SUMIF($A$5:$A$243,$D$249,T5:T244)</f>
        <v>232.25792000000004</v>
      </c>
      <c r="U249" s="288">
        <f>+T249*1000/T$1</f>
        <v>7.8296224379719543</v>
      </c>
      <c r="W249" s="286">
        <f>+SUMIF($A$5:$A$243,$D$249,W5:W244)</f>
        <v>140.72712000000004</v>
      </c>
      <c r="X249" s="288">
        <f>+W249*1000/W$1</f>
        <v>3.3620928399073047</v>
      </c>
      <c r="Z249" s="286">
        <f>+SUMIF($A$5:$A$243,$D$249,Z5:Z244)</f>
        <v>138.62112000000005</v>
      </c>
      <c r="AA249" s="288">
        <f>+Z249*1000/Z$1</f>
        <v>4.3350257997936037</v>
      </c>
      <c r="AC249" s="286">
        <f>+SUMIF($A$5:$A$243,$D$249,AC5:AC244)</f>
        <v>173.59302999999997</v>
      </c>
      <c r="AD249" s="288">
        <f>+AC249*1000/AC$1</f>
        <v>6.1409731852271108</v>
      </c>
      <c r="AF249" s="286">
        <f>+SUMIF($A$5:$A$243,$D$249,AF5:AF244)</f>
        <v>215.91962000000009</v>
      </c>
      <c r="AG249" s="288">
        <f>+AF249*1000/AF$1</f>
        <v>8.2377482736255807</v>
      </c>
      <c r="AI249" s="286">
        <f>+SUMIF($A$5:$A$243,$D$249,AI5:AI244)</f>
        <v>194.49173000000002</v>
      </c>
      <c r="AJ249" s="288">
        <f>+AI249*1000/AI$1</f>
        <v>5.7163099576769341</v>
      </c>
      <c r="AL249" s="286">
        <f>+SUMIF($A$5:$A$243,$D$249,AL5:AL244)</f>
        <v>9.6535499999999956</v>
      </c>
      <c r="AM249" s="288">
        <f>+AL249*1000/AL$1</f>
        <v>0.22933860736939624</v>
      </c>
      <c r="AO249" s="305">
        <f>+E249+H249+K249+N249+Q249+T249+W249+Z249+AC249+AF249+AI249+AL249</f>
        <v>1921.2736500000001</v>
      </c>
      <c r="AP249" s="288">
        <f>+AO249*1000/AO1</f>
        <v>4.0185434279714372</v>
      </c>
    </row>
    <row r="250" spans="1:42">
      <c r="C250" s="283" t="s">
        <v>0</v>
      </c>
      <c r="E250" s="284">
        <f>+E249+E248</f>
        <v>1702.7909957777777</v>
      </c>
      <c r="F250" s="284">
        <f>+F249+F248</f>
        <v>35.0577710110514</v>
      </c>
      <c r="H250" s="284">
        <f>+H249+H248</f>
        <v>1632.2196300000001</v>
      </c>
      <c r="I250" s="284">
        <f>+I249+I248</f>
        <v>35.457598461972935</v>
      </c>
      <c r="K250" s="284">
        <f>+K249+K248</f>
        <v>1827.1614900000004</v>
      </c>
      <c r="L250" s="284">
        <f>+L249+L248</f>
        <v>39.432019552409528</v>
      </c>
      <c r="N250" s="284">
        <f>+N249+N248</f>
        <v>1592.6651600000005</v>
      </c>
      <c r="O250" s="284">
        <f>+O249+O248</f>
        <v>32.264351032149591</v>
      </c>
      <c r="P250" s="268"/>
      <c r="Q250" s="284">
        <f>+Q249+Q248</f>
        <v>1868.7366193190353</v>
      </c>
      <c r="R250" s="284">
        <f>+R249+R248</f>
        <v>34.796972652298436</v>
      </c>
      <c r="T250" s="284">
        <f>+T249+T248</f>
        <v>1737.9000100000001</v>
      </c>
      <c r="U250" s="284">
        <f>+U249+U248</f>
        <v>58.586165385652649</v>
      </c>
      <c r="W250" s="284">
        <f>+W249+W248</f>
        <v>1637.4122999999997</v>
      </c>
      <c r="X250" s="284">
        <f>+X249+X248</f>
        <v>39.119198700336852</v>
      </c>
      <c r="Z250" s="284">
        <f>+Z249+Z248</f>
        <v>1533.6098999999999</v>
      </c>
      <c r="AA250" s="284">
        <f>+AA249+AA248</f>
        <v>47.959780467210805</v>
      </c>
      <c r="AC250" s="284">
        <f>+AC249+AC248</f>
        <v>1597.5710500000002</v>
      </c>
      <c r="AD250" s="284">
        <f>+AD249+AD248</f>
        <v>56.515177939719834</v>
      </c>
      <c r="AE250" s="296"/>
      <c r="AF250" s="284">
        <f>+AF249+AF248</f>
        <v>1443.0898</v>
      </c>
      <c r="AG250" s="284">
        <f>+AG249+AG248</f>
        <v>55.056647972225406</v>
      </c>
      <c r="AH250" s="296"/>
      <c r="AI250" s="284">
        <f>+AI249+AI248</f>
        <v>1758.9063600000004</v>
      </c>
      <c r="AJ250" s="284">
        <f>+AJ249+AJ248</f>
        <v>51.696048671525993</v>
      </c>
      <c r="AK250" s="323"/>
      <c r="AL250" s="284">
        <f>+AL249+AL248</f>
        <v>1502.2187199999998</v>
      </c>
      <c r="AM250" s="284">
        <f>+AM249+AM248</f>
        <v>35.688088755850146</v>
      </c>
      <c r="AN250" s="323"/>
      <c r="AO250" s="306">
        <f>+AO249+AO248</f>
        <v>19834.282035096814</v>
      </c>
      <c r="AP250" s="284">
        <f>+AP249+AP248</f>
        <v>41.485461334813102</v>
      </c>
    </row>
    <row r="251" spans="1:42">
      <c r="H251" s="50"/>
      <c r="K251" s="50"/>
      <c r="N251" s="50"/>
      <c r="Q251" s="50"/>
      <c r="T251" s="50"/>
      <c r="W251" s="50"/>
      <c r="Z251" s="50"/>
      <c r="AC251" s="50"/>
      <c r="AF251" s="50"/>
      <c r="AI251" s="50"/>
      <c r="AL251" s="50"/>
      <c r="AO251" s="11"/>
    </row>
    <row r="252" spans="1:42" s="268" customFormat="1">
      <c r="A252" s="280"/>
      <c r="B252" s="105"/>
      <c r="C252" s="105"/>
      <c r="D252" s="289" t="s">
        <v>436</v>
      </c>
      <c r="E252" s="284">
        <f>+E224+E243</f>
        <v>1702.7909957777777</v>
      </c>
      <c r="F252" s="284">
        <f>+F224+F243</f>
        <v>35.0577710110514</v>
      </c>
      <c r="G252" s="314"/>
      <c r="H252" s="284">
        <f>+H224+H243</f>
        <v>1632.2196299999998</v>
      </c>
      <c r="I252" s="284">
        <f>+I224+I243</f>
        <v>35.457598461972935</v>
      </c>
      <c r="J252" s="314"/>
      <c r="K252" s="284">
        <f>+K224+K243</f>
        <v>1827.16149</v>
      </c>
      <c r="L252" s="284">
        <f>+L224+L243</f>
        <v>39.432019552409514</v>
      </c>
      <c r="M252" s="186"/>
      <c r="N252" s="284">
        <f>+N224+N243</f>
        <v>1592.66516</v>
      </c>
      <c r="O252" s="284">
        <f>+O224+O243</f>
        <v>32.264351032149584</v>
      </c>
      <c r="Q252" s="284">
        <f>+Q224+Q243</f>
        <v>1868.7366193190346</v>
      </c>
      <c r="R252" s="284">
        <f>+R224+R243</f>
        <v>34.796972652298429</v>
      </c>
      <c r="T252" s="284">
        <f>+T224+T243</f>
        <v>1737.9000099999998</v>
      </c>
      <c r="U252" s="284">
        <f>+U224+U243</f>
        <v>58.586165385652642</v>
      </c>
      <c r="W252" s="284">
        <f>+W224+W243</f>
        <v>1637.4123</v>
      </c>
      <c r="X252" s="284">
        <f>+X224+X243</f>
        <v>39.11919870033686</v>
      </c>
      <c r="Z252" s="284">
        <f>+Z224+Z243</f>
        <v>1533.6099000000002</v>
      </c>
      <c r="AA252" s="284">
        <f>+AA224+AA243</f>
        <v>47.959780467210813</v>
      </c>
      <c r="AC252" s="284">
        <f>+AC224+AC243</f>
        <v>1597.57105</v>
      </c>
      <c r="AD252" s="284">
        <f>+AD224+AD243</f>
        <v>56.51517793971982</v>
      </c>
      <c r="AF252" s="284">
        <f>+AF224+AF243</f>
        <v>1443.0898</v>
      </c>
      <c r="AG252" s="284">
        <f>+AG224+AG243</f>
        <v>55.056647972225399</v>
      </c>
      <c r="AI252" s="284">
        <f>+AI224+AI243</f>
        <v>1758.9063600000002</v>
      </c>
      <c r="AJ252" s="284">
        <f>+AJ224+AJ243</f>
        <v>51.696048671525986</v>
      </c>
      <c r="AK252" s="186"/>
      <c r="AL252" s="284">
        <f>+AL224+AL243</f>
        <v>1502.2187200000003</v>
      </c>
      <c r="AM252" s="284">
        <f>+AM224+AM243</f>
        <v>35.688088755850146</v>
      </c>
      <c r="AN252" s="186"/>
      <c r="AO252" s="306">
        <f>+AO224+AO243</f>
        <v>19834.28203509681</v>
      </c>
      <c r="AP252" s="284">
        <f>+AP224+AP243</f>
        <v>41.485461334813095</v>
      </c>
    </row>
    <row r="253" spans="1:42">
      <c r="D253" s="282" t="s">
        <v>437</v>
      </c>
      <c r="E253" s="284">
        <f>+E252-E250</f>
        <v>0</v>
      </c>
      <c r="F253" s="284">
        <f>+F252-F250</f>
        <v>0</v>
      </c>
      <c r="H253" s="284">
        <f>+H252-H250</f>
        <v>0</v>
      </c>
      <c r="I253" s="284">
        <f>+I252-I250</f>
        <v>0</v>
      </c>
      <c r="K253" s="284">
        <f>+K252-K250</f>
        <v>0</v>
      </c>
      <c r="L253" s="284">
        <f>+L252-L250</f>
        <v>0</v>
      </c>
      <c r="N253" s="284">
        <f>+N252-N250</f>
        <v>0</v>
      </c>
      <c r="O253" s="284">
        <f>+O252-O250</f>
        <v>0</v>
      </c>
      <c r="Q253" s="284">
        <f>+Q252-Q250</f>
        <v>0</v>
      </c>
      <c r="R253" s="284">
        <f>+R252-R250</f>
        <v>0</v>
      </c>
      <c r="T253" s="284">
        <f>+T252-T250</f>
        <v>0</v>
      </c>
      <c r="U253" s="284">
        <f>+U252-U250</f>
        <v>0</v>
      </c>
      <c r="W253" s="284">
        <f>+W252-W250</f>
        <v>0</v>
      </c>
      <c r="X253" s="284">
        <f>+X252-X250</f>
        <v>0</v>
      </c>
      <c r="Z253" s="284">
        <f>+Z252-Z250</f>
        <v>0</v>
      </c>
      <c r="AA253" s="284">
        <f>+AA252-AA250</f>
        <v>0</v>
      </c>
      <c r="AC253" s="284">
        <f>+AC252-AC250</f>
        <v>0</v>
      </c>
      <c r="AD253" s="284">
        <f>+AD252-AD250</f>
        <v>0</v>
      </c>
      <c r="AF253" s="284">
        <f>+AF252-AF250</f>
        <v>0</v>
      </c>
      <c r="AG253" s="284">
        <f>+AG252-AG250</f>
        <v>0</v>
      </c>
      <c r="AI253" s="284">
        <f>+AI252-AI250</f>
        <v>0</v>
      </c>
      <c r="AJ253" s="284">
        <f>+AJ252-AJ250</f>
        <v>0</v>
      </c>
      <c r="AL253" s="284">
        <f>+AL252-AL250</f>
        <v>0</v>
      </c>
      <c r="AM253" s="284">
        <f>+AM252-AM250</f>
        <v>0</v>
      </c>
      <c r="AO253" s="306">
        <f>+AO252-AO250</f>
        <v>0</v>
      </c>
      <c r="AP253" s="284">
        <f>+AP252-AP250</f>
        <v>0</v>
      </c>
    </row>
    <row r="255" spans="1:42">
      <c r="E255" s="180"/>
      <c r="H255" s="50"/>
      <c r="K255" s="50"/>
      <c r="N255" s="50"/>
      <c r="Q255" s="50"/>
      <c r="T255" s="50"/>
      <c r="W255" s="50"/>
      <c r="Z255" s="50"/>
      <c r="AC255" s="50"/>
      <c r="AF255" s="50"/>
      <c r="AI255" s="50"/>
      <c r="AL255" s="50"/>
      <c r="AO255" s="50"/>
    </row>
    <row r="256" spans="1:42" s="268" customFormat="1">
      <c r="A256" s="280"/>
      <c r="B256" s="105"/>
      <c r="C256" s="105"/>
      <c r="D256" s="105"/>
      <c r="E256" s="50"/>
      <c r="F256" s="50"/>
      <c r="G256" s="314"/>
      <c r="H256" s="50"/>
      <c r="I256" s="50"/>
      <c r="J256" s="314"/>
      <c r="K256" s="50"/>
      <c r="L256" s="50"/>
      <c r="M256" s="186"/>
      <c r="N256" s="50"/>
      <c r="O256" s="50"/>
      <c r="Q256" s="50"/>
      <c r="R256" s="50"/>
      <c r="T256" s="50"/>
      <c r="U256" s="50"/>
      <c r="W256" s="50"/>
      <c r="X256" s="50"/>
      <c r="Z256" s="50"/>
      <c r="AA256" s="50"/>
      <c r="AC256" s="50"/>
      <c r="AD256" s="50"/>
      <c r="AF256" s="50"/>
      <c r="AG256" s="50"/>
      <c r="AI256" s="50"/>
      <c r="AJ256" s="50"/>
      <c r="AK256" s="186"/>
      <c r="AL256" s="50"/>
      <c r="AM256" s="50"/>
      <c r="AN256" s="186"/>
      <c r="AO256" s="180"/>
      <c r="AP256" s="50"/>
    </row>
    <row r="257" spans="5:41">
      <c r="H257" s="50"/>
      <c r="K257" s="50"/>
    </row>
    <row r="258" spans="5:41">
      <c r="E258" s="180"/>
      <c r="F258" s="180"/>
      <c r="H258" s="311"/>
      <c r="I258" s="180"/>
      <c r="K258" s="180"/>
      <c r="L258" s="180"/>
      <c r="N258" s="180"/>
      <c r="Q258" s="50"/>
      <c r="AO258" s="180"/>
    </row>
    <row r="259" spans="5:41">
      <c r="H259" s="50"/>
      <c r="K259" s="310"/>
      <c r="AO259" s="50"/>
    </row>
    <row r="260" spans="5:41">
      <c r="E260" s="180"/>
      <c r="H260" s="180"/>
      <c r="K260" s="180"/>
      <c r="N260" s="180"/>
    </row>
    <row r="262" spans="5:41">
      <c r="E262" s="180"/>
    </row>
    <row r="264" spans="5:41">
      <c r="E264" s="310"/>
    </row>
  </sheetData>
  <autoFilter ref="A1:AR243" xr:uid="{87A5B1DC-DFB9-4A4F-B96B-2FE2536B9648}"/>
  <mergeCells count="1">
    <mergeCell ref="B234:D234"/>
  </mergeCells>
  <pageMargins left="0.7" right="0.7" top="0.75" bottom="0.75" header="0.3" footer="0.3"/>
  <pageSetup orientation="portrait" r:id="rId1"/>
  <headerFooter>
    <oddFooter>&amp;C_x000D_&amp;1#&amp;"Aptos"&amp;10&amp;K0000FF Haier Europe - Internal and trusted parties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E1B2-F6B3-4ACD-A4FF-DD66DCDD4080}">
  <sheetPr>
    <tabColor rgb="FF92D050"/>
  </sheetPr>
  <dimension ref="A1:BC199"/>
  <sheetViews>
    <sheetView showGridLines="0" zoomScale="80" zoomScaleNormal="8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AT2" sqref="AT2"/>
    </sheetView>
  </sheetViews>
  <sheetFormatPr defaultColWidth="8.77734375" defaultRowHeight="14.4" outlineLevelRow="2"/>
  <cols>
    <col min="1" max="1" width="12.33203125" style="167" hidden="1" customWidth="1"/>
    <col min="2" max="2" width="13.88671875" style="167" customWidth="1"/>
    <col min="3" max="3" width="51.88671875" style="167" bestFit="1" customWidth="1"/>
    <col min="4" max="4" width="47.44140625" style="167" customWidth="1"/>
    <col min="5" max="6" width="12.5546875" style="220" bestFit="1" customWidth="1"/>
    <col min="7" max="7" width="17.88671875" style="220" customWidth="1"/>
    <col min="8" max="8" width="3.21875" style="187" customWidth="1"/>
    <col min="9" max="10" width="12.5546875" style="220" bestFit="1" customWidth="1"/>
    <col min="11" max="11" width="17.88671875" style="220" customWidth="1"/>
    <col min="12" max="12" width="5.109375" style="187" customWidth="1"/>
    <col min="13" max="14" width="12.5546875" style="220" bestFit="1" customWidth="1"/>
    <col min="15" max="15" width="17.88671875" style="220" customWidth="1"/>
    <col min="16" max="16" width="4.88671875" style="187" customWidth="1"/>
    <col min="17" max="18" width="12.5546875" style="220" bestFit="1" customWidth="1"/>
    <col min="19" max="19" width="17.88671875" style="220" customWidth="1"/>
    <col min="20" max="20" width="8.77734375" style="187"/>
    <col min="21" max="22" width="12.5546875" style="220" bestFit="1" customWidth="1"/>
    <col min="23" max="23" width="17.88671875" style="220" customWidth="1"/>
    <col min="24" max="24" width="8.77734375" style="187"/>
    <col min="25" max="26" width="12.5546875" style="220" bestFit="1" customWidth="1"/>
    <col min="27" max="27" width="17.88671875" style="220" customWidth="1"/>
    <col min="28" max="28" width="8.77734375" style="187"/>
    <col min="29" max="30" width="12.5546875" style="220" bestFit="1" customWidth="1"/>
    <col min="31" max="31" width="17.88671875" style="220" customWidth="1"/>
    <col min="32" max="32" width="8.77734375" style="187"/>
    <col min="33" max="34" width="12.5546875" style="220" bestFit="1" customWidth="1"/>
    <col min="35" max="35" width="17.88671875" style="220" customWidth="1"/>
    <col min="36" max="36" width="8.77734375" style="187"/>
    <col min="37" max="38" width="12.5546875" style="220" bestFit="1" customWidth="1"/>
    <col min="39" max="39" width="17.88671875" style="220" customWidth="1"/>
    <col min="40" max="40" width="8.77734375" style="187"/>
    <col min="41" max="42" width="12.5546875" style="220" bestFit="1" customWidth="1"/>
    <col min="43" max="43" width="17.88671875" style="220" customWidth="1"/>
    <col min="44" max="44" width="8.77734375" style="187"/>
    <col min="45" max="46" width="12.5546875" style="220" bestFit="1" customWidth="1"/>
    <col min="47" max="47" width="17.88671875" style="220" customWidth="1"/>
    <col min="48" max="48" width="8.77734375" style="187"/>
    <col min="49" max="50" width="12.5546875" style="220" bestFit="1" customWidth="1"/>
    <col min="51" max="51" width="17.88671875" style="220" customWidth="1"/>
    <col min="52" max="52" width="8.77734375" style="187"/>
    <col min="53" max="53" width="14" style="187" bestFit="1" customWidth="1"/>
    <col min="54" max="54" width="15.44140625" style="187" customWidth="1"/>
    <col min="55" max="16384" width="8.77734375" style="187"/>
  </cols>
  <sheetData>
    <row r="1" spans="1:55" s="29" customFormat="1">
      <c r="A1" s="14"/>
      <c r="B1" s="96" t="s">
        <v>190</v>
      </c>
      <c r="C1" s="14"/>
      <c r="D1" s="5" t="s">
        <v>128</v>
      </c>
      <c r="E1" s="31"/>
      <c r="F1" s="255">
        <f>'2024_ACT@ACT FX old format '!E3</f>
        <v>16045</v>
      </c>
      <c r="G1" s="15"/>
      <c r="H1" s="95"/>
      <c r="I1" s="31"/>
      <c r="J1" s="255">
        <f>'2024_ACT@ACT FX old format '!F3</f>
        <v>19752</v>
      </c>
      <c r="K1" s="15"/>
      <c r="M1" s="31"/>
      <c r="N1" s="255">
        <f>'2024_ACT@ACT FX old format '!G3</f>
        <v>20037</v>
      </c>
      <c r="O1" s="15"/>
      <c r="Q1" s="31"/>
      <c r="R1" s="255">
        <f>'2024_ACT@ACT FX old format '!H3</f>
        <v>28043</v>
      </c>
      <c r="S1" s="15"/>
      <c r="U1" s="31"/>
      <c r="V1" s="255">
        <f>'2024_ACT@ACT FX old format '!I3</f>
        <v>40794</v>
      </c>
      <c r="W1" s="15"/>
      <c r="Y1" s="31"/>
      <c r="Z1" s="255">
        <f>'2024_ACT@ACT FX old format '!J3</f>
        <v>30976</v>
      </c>
      <c r="AA1" s="15"/>
      <c r="AC1" s="31"/>
      <c r="AD1" s="255">
        <f>'2024_ACT@ACT FX old format '!K3</f>
        <v>34477</v>
      </c>
      <c r="AE1" s="15"/>
      <c r="AG1" s="31"/>
      <c r="AH1" s="255">
        <f>'2024_ACT@ACT FX old format '!L3</f>
        <v>25578</v>
      </c>
      <c r="AI1" s="15"/>
      <c r="AK1" s="31"/>
      <c r="AL1" s="255">
        <f>'2024_ACT@ACT FX old format '!M3</f>
        <v>40104</v>
      </c>
      <c r="AM1" s="15"/>
      <c r="AO1" s="31"/>
      <c r="AP1" s="255">
        <f>'2024_ACT@ACT FX old format '!N3</f>
        <v>41187</v>
      </c>
      <c r="AQ1" s="15"/>
      <c r="AS1" s="31"/>
      <c r="AT1" s="255">
        <f>'2024_ACT@ACT FX old format '!O3</f>
        <v>43110</v>
      </c>
      <c r="AU1" s="15"/>
      <c r="AW1" s="31"/>
      <c r="AX1" s="255">
        <f>'2024_ACT@ACT FX old format '!P3</f>
        <v>26153</v>
      </c>
      <c r="AY1" s="15"/>
      <c r="BB1" s="176">
        <f>SUM(E1:AX1)</f>
        <v>366256</v>
      </c>
    </row>
    <row r="2" spans="1:55" s="29" customFormat="1">
      <c r="A2" s="14"/>
      <c r="B2" s="14"/>
      <c r="C2" s="14"/>
      <c r="D2" s="5" t="s">
        <v>130</v>
      </c>
      <c r="E2" s="31"/>
      <c r="F2" s="31">
        <v>32.816499999999998</v>
      </c>
      <c r="G2" s="31"/>
      <c r="H2" s="32"/>
      <c r="I2" s="31"/>
      <c r="J2" s="31">
        <f>'2024_ACT@ACT FX old format '!F2</f>
        <v>33.264400000000002</v>
      </c>
      <c r="K2" s="31"/>
      <c r="M2" s="31"/>
      <c r="N2" s="31">
        <f>'2024_ACT@ACT FX old format '!G2</f>
        <v>34.822899999999997</v>
      </c>
      <c r="O2" s="31"/>
      <c r="Q2" s="31"/>
      <c r="R2" s="31">
        <f>'2024_ACT@ACT FX old format '!H2</f>
        <v>34.692599999999999</v>
      </c>
      <c r="S2" s="31"/>
      <c r="U2" s="31"/>
      <c r="V2" s="31">
        <f>'2024_ACT@ACT FX old format '!I2</f>
        <v>34.860500000000002</v>
      </c>
      <c r="W2" s="31"/>
      <c r="Y2" s="31"/>
      <c r="Z2" s="31">
        <f>'2024_ACT@ACT FX old format '!J2</f>
        <v>35.066699999999997</v>
      </c>
      <c r="AA2" s="31"/>
      <c r="AC2" s="31"/>
      <c r="AD2" s="31">
        <f>'2024_ACT@ACT FX old format '!K2</f>
        <v>35.696899999999999</v>
      </c>
      <c r="AE2" s="31"/>
      <c r="AG2" s="31"/>
      <c r="AH2" s="31">
        <f>'2024_ACT@ACT FX old format '!L2</f>
        <v>37.1098</v>
      </c>
      <c r="AI2" s="31"/>
      <c r="AK2" s="31"/>
      <c r="AL2" s="31">
        <f>'2024_ACT@ACT FX old format '!M2</f>
        <v>37.823823809523816</v>
      </c>
      <c r="AM2" s="31"/>
      <c r="AO2" s="31"/>
      <c r="AP2" s="31">
        <f>'2024_ACT@ACT FX old format '!N2</f>
        <v>37.347308695652181</v>
      </c>
      <c r="AQ2" s="31"/>
      <c r="AS2" s="31"/>
      <c r="AT2" s="325">
        <f>'2024_ACT@ACT FX old format '!O2</f>
        <v>36.623699999999999</v>
      </c>
      <c r="AU2" s="31"/>
      <c r="AW2" s="31"/>
      <c r="AX2" s="31">
        <f>'2024_ACT@ACT FX old format '!P2</f>
        <v>36.658839999999998</v>
      </c>
      <c r="AY2" s="31"/>
      <c r="BB2" s="168">
        <f>BA191/BB191</f>
        <v>35.655612354343184</v>
      </c>
    </row>
    <row r="4" spans="1:55">
      <c r="A4" s="167" t="s">
        <v>12</v>
      </c>
      <c r="E4" s="17" t="s">
        <v>193</v>
      </c>
      <c r="F4" s="17" t="s">
        <v>192</v>
      </c>
      <c r="G4" s="17" t="s">
        <v>138</v>
      </c>
      <c r="I4" s="17" t="s">
        <v>323</v>
      </c>
      <c r="J4" s="17" t="s">
        <v>349</v>
      </c>
      <c r="K4" s="17" t="s">
        <v>328</v>
      </c>
      <c r="M4" s="17" t="s">
        <v>324</v>
      </c>
      <c r="N4" s="17" t="s">
        <v>326</v>
      </c>
      <c r="O4" s="17" t="s">
        <v>129</v>
      </c>
      <c r="Q4" s="17" t="s">
        <v>325</v>
      </c>
      <c r="R4" s="17" t="s">
        <v>327</v>
      </c>
      <c r="S4" s="17" t="s">
        <v>129</v>
      </c>
      <c r="U4" s="17" t="s">
        <v>329</v>
      </c>
      <c r="V4" s="17" t="s">
        <v>330</v>
      </c>
      <c r="W4" s="17" t="s">
        <v>129</v>
      </c>
      <c r="Y4" s="17" t="s">
        <v>331</v>
      </c>
      <c r="Z4" s="17" t="s">
        <v>332</v>
      </c>
      <c r="AA4" s="17" t="s">
        <v>129</v>
      </c>
      <c r="AC4" s="17" t="s">
        <v>333</v>
      </c>
      <c r="AD4" s="17" t="s">
        <v>334</v>
      </c>
      <c r="AE4" s="17" t="s">
        <v>129</v>
      </c>
      <c r="AG4" s="17" t="s">
        <v>335</v>
      </c>
      <c r="AH4" s="17" t="s">
        <v>336</v>
      </c>
      <c r="AI4" s="17" t="s">
        <v>129</v>
      </c>
      <c r="AK4" s="17" t="s">
        <v>337</v>
      </c>
      <c r="AL4" s="17" t="s">
        <v>338</v>
      </c>
      <c r="AM4" s="17" t="s">
        <v>129</v>
      </c>
      <c r="AO4" s="17" t="s">
        <v>339</v>
      </c>
      <c r="AP4" s="17" t="s">
        <v>340</v>
      </c>
      <c r="AQ4" s="17" t="s">
        <v>129</v>
      </c>
      <c r="AS4" s="17" t="s">
        <v>341</v>
      </c>
      <c r="AT4" s="17" t="s">
        <v>342</v>
      </c>
      <c r="AU4" s="17" t="s">
        <v>129</v>
      </c>
      <c r="AW4" s="17" t="s">
        <v>343</v>
      </c>
      <c r="AX4" s="17" t="s">
        <v>344</v>
      </c>
      <c r="AY4" s="17" t="s">
        <v>129</v>
      </c>
      <c r="BA4" s="17" t="s">
        <v>346</v>
      </c>
      <c r="BB4" s="17" t="s">
        <v>347</v>
      </c>
      <c r="BC4" s="17" t="s">
        <v>129</v>
      </c>
    </row>
    <row r="5" spans="1:55" outlineLevel="1">
      <c r="A5" s="188">
        <v>6666110101</v>
      </c>
      <c r="B5" s="188">
        <v>6666110101</v>
      </c>
      <c r="C5" s="188" t="s">
        <v>15</v>
      </c>
      <c r="D5" s="188" t="s">
        <v>23</v>
      </c>
      <c r="E5" s="189">
        <f>VLOOKUP(B5,'2024 by account '!$A$2:$M$102,2,0)/1000</f>
        <v>229.04796000000002</v>
      </c>
      <c r="F5" s="189">
        <f>E5/$F$2</f>
        <v>6.9796584035469973</v>
      </c>
      <c r="G5" s="190">
        <f>F5/$F$1*1000</f>
        <v>0.43500519810202537</v>
      </c>
      <c r="H5" s="167"/>
      <c r="I5" s="191">
        <f>VLOOKUP(B5,'2024 by account '!$A$2:$M$102,3,0)/1000</f>
        <v>215.43536</v>
      </c>
      <c r="J5" s="189">
        <f>I5/$J$2</f>
        <v>6.4764541070934687</v>
      </c>
      <c r="K5" s="190">
        <f>J5/$J$1*1000</f>
        <v>0.32788852304037408</v>
      </c>
      <c r="L5" s="192"/>
      <c r="M5" s="189">
        <f>VLOOKUP(B5,'2024 by account '!$A$2:$M$102,4,0)/1000</f>
        <v>244.15648000000002</v>
      </c>
      <c r="N5" s="189">
        <f>M5/$N$2</f>
        <v>7.0113769961720607</v>
      </c>
      <c r="O5" s="190">
        <f>N5/$N$1*1000</f>
        <v>0.34992149504277392</v>
      </c>
      <c r="P5" s="192"/>
      <c r="Q5" s="189">
        <f>VLOOKUP(B5,'2024 by account '!$A$2:$M$102,5,0)/1000</f>
        <v>249.92684000000003</v>
      </c>
      <c r="R5" s="189">
        <f>Q5/$R$2</f>
        <v>7.2040389016677917</v>
      </c>
      <c r="S5" s="190">
        <f>R5/$R$1*1000</f>
        <v>0.25689259001061915</v>
      </c>
      <c r="T5" s="192"/>
      <c r="U5" s="189">
        <f>VLOOKUP(B5,'2024 by account '!$A$2:$M$102,6,0)/1000</f>
        <v>244.15646999999998</v>
      </c>
      <c r="V5" s="189">
        <f>U5/$V$2</f>
        <v>7.0038143457494861</v>
      </c>
      <c r="W5" s="190">
        <f>V5/$V$1*1000</f>
        <v>0.17168736445922161</v>
      </c>
      <c r="X5" s="192"/>
      <c r="Y5" s="189">
        <f>VLOOKUP(B5,'2024 by account '!$A$2:$M$102,7,0)/1000</f>
        <v>236.28043000000002</v>
      </c>
      <c r="Z5" s="189">
        <f>Y5/$Z$2</f>
        <v>6.7380286710754085</v>
      </c>
      <c r="AA5" s="190">
        <f>Z5/$Z$1*1000</f>
        <v>0.21752416939163896</v>
      </c>
      <c r="AB5" s="192"/>
      <c r="AC5" s="189">
        <f>VLOOKUP(B5,'2024 by account '!$A$2:$M$102,8,0)/1000</f>
        <v>244.15648000000002</v>
      </c>
      <c r="AD5" s="189">
        <f>AC5/$AD$2</f>
        <v>6.8397110113203112</v>
      </c>
      <c r="AE5" s="190">
        <f>AD5/$AD$1*1000</f>
        <v>0.19838474958146912</v>
      </c>
      <c r="AF5" s="192"/>
      <c r="AG5" s="189">
        <f>VLOOKUP(B5,'2024 by account '!$A$2:$M$102,9,0)/1000</f>
        <v>244.15646999999998</v>
      </c>
      <c r="AH5" s="189">
        <f>AG5/$AH$2</f>
        <v>6.5792989991861983</v>
      </c>
      <c r="AI5" s="190">
        <f>AH5/$AH$1*1000</f>
        <v>0.25722491982118217</v>
      </c>
      <c r="AJ5" s="192"/>
      <c r="AK5" s="189">
        <f>VLOOKUP(B5,'2024 by account '!$A$2:$M$102,10,0)/1000</f>
        <v>236.28045</v>
      </c>
      <c r="AL5" s="189">
        <f>AK5/$AL$2</f>
        <v>6.2468684073265477</v>
      </c>
      <c r="AM5" s="190">
        <f>AL5/$AL$1*1000</f>
        <v>0.1557667167196925</v>
      </c>
      <c r="AN5" s="192"/>
      <c r="AO5" s="189">
        <f>VLOOKUP(B5,'2024 by account '!$A$2:$M$102,11,0)/1000</f>
        <v>263.51746000000003</v>
      </c>
      <c r="AP5" s="189">
        <f>AO5/$AP$2</f>
        <v>7.0558621010000016</v>
      </c>
      <c r="AQ5" s="190">
        <f>AP5/$AP$1*1000</f>
        <v>0.17131284388277859</v>
      </c>
      <c r="AR5" s="192"/>
      <c r="AS5" s="189">
        <f>VLOOKUP(B5,'2024 by account '!$A$2:$M$102,12,0)/1000</f>
        <v>325.48604000000006</v>
      </c>
      <c r="AT5" s="189">
        <f>AS5/$AT$2</f>
        <v>8.8873063071180702</v>
      </c>
      <c r="AU5" s="190">
        <f>AT5/$AT$1*1000</f>
        <v>0.20615417089116378</v>
      </c>
      <c r="AV5" s="192"/>
      <c r="AW5" s="193">
        <f>VLOOKUP(B5,'2024 by account '!$A$2:$M$102,13,0)/1000</f>
        <v>341.79169999999993</v>
      </c>
      <c r="AX5" s="194">
        <f>AW5/$AX$2</f>
        <v>9.3235819791351808</v>
      </c>
      <c r="AY5" s="195">
        <f>AX5/$AX$1*1000</f>
        <v>0.35650143307212101</v>
      </c>
      <c r="AZ5" s="167"/>
      <c r="BA5" s="193">
        <f t="shared" ref="BA5:BA36" si="0">SUM(AW5,AS5,AO5,AK5,AG5,AC5,Y5,U5,Q5,M5,I5,E5)</f>
        <v>3074.3921399999999</v>
      </c>
      <c r="BB5" s="194">
        <f t="shared" ref="BB5:BB36" si="1">SUM(AX5,AT5,AP5,AL5,AH5,AD5,Z5,V5,R5,N5,J5,F5)</f>
        <v>86.346000230391525</v>
      </c>
      <c r="BC5" s="195">
        <f>BB5/$BB$1*1000</f>
        <v>0.23575313504868597</v>
      </c>
    </row>
    <row r="6" spans="1:55" outlineLevel="1">
      <c r="A6" s="188">
        <v>6666110106</v>
      </c>
      <c r="B6" s="188">
        <v>6666110106</v>
      </c>
      <c r="C6" s="188" t="s">
        <v>16</v>
      </c>
      <c r="D6" s="188" t="s">
        <v>23</v>
      </c>
      <c r="E6" s="189">
        <f>VLOOKUP(B6,'2024 by account '!$A$2:$M$102,2,0)/1000</f>
        <v>119.52378999999999</v>
      </c>
      <c r="F6" s="189">
        <f t="shared" ref="F6:F69" si="2">E6/$F$2</f>
        <v>3.6421857906845641</v>
      </c>
      <c r="G6" s="190">
        <f t="shared" ref="G6:G69" si="3">F6/$F$1*1000</f>
        <v>0.2269981795378351</v>
      </c>
      <c r="H6" s="167"/>
      <c r="I6" s="191">
        <f>VLOOKUP(B6,'2024 by account '!$A$2:$M$102,3,0)/1000</f>
        <v>111.81259</v>
      </c>
      <c r="J6" s="189">
        <f>I6/$J$2</f>
        <v>3.3613289282235663</v>
      </c>
      <c r="K6" s="190">
        <f t="shared" ref="K6:K69" si="4">J6/$J$1*1000</f>
        <v>0.1701766367063369</v>
      </c>
      <c r="L6" s="192"/>
      <c r="M6" s="189">
        <f>VLOOKUP(B6,'2024 by account '!$A$2:$M$102,4,0)/1000</f>
        <v>119.52378999999999</v>
      </c>
      <c r="N6" s="189">
        <f t="shared" ref="N6:N12" si="5">M6/$N$2</f>
        <v>3.4323330337220623</v>
      </c>
      <c r="O6" s="190">
        <f t="shared" ref="O6:O69" si="6">N6/$N$1*1000</f>
        <v>0.17129974715386845</v>
      </c>
      <c r="P6" s="192"/>
      <c r="Q6" s="189">
        <f>VLOOKUP(B6,'2024 by account '!$A$2:$M$102,5,0)/1000</f>
        <v>115.66819</v>
      </c>
      <c r="R6" s="189">
        <f t="shared" ref="R6:R69" si="7">Q6/$R$2</f>
        <v>3.3340882493673001</v>
      </c>
      <c r="S6" s="190">
        <f t="shared" ref="S6:S69" si="8">R6/$R$1*1000</f>
        <v>0.1188919961975288</v>
      </c>
      <c r="T6" s="192"/>
      <c r="U6" s="189">
        <f>VLOOKUP(B6,'2024 by account '!$A$2:$M$102,6,0)/1000</f>
        <v>119.52378999999999</v>
      </c>
      <c r="V6" s="189">
        <f t="shared" ref="V6:V69" si="9">U6/$V$2</f>
        <v>3.4286309720170389</v>
      </c>
      <c r="W6" s="190">
        <f t="shared" ref="W6:W69" si="10">V6/$V$1*1000</f>
        <v>8.404743276013725E-2</v>
      </c>
      <c r="X6" s="192"/>
      <c r="Y6" s="189">
        <f>VLOOKUP(B6,'2024 by account '!$A$2:$M$102,7,0)/1000</f>
        <v>115.66819</v>
      </c>
      <c r="Z6" s="189">
        <f t="shared" ref="Z6:Z69" si="11">Y6/$Z$2</f>
        <v>3.2985193930424024</v>
      </c>
      <c r="AA6" s="190">
        <f t="shared" ref="AA6:AA69" si="12">Z6/$Z$1*1000</f>
        <v>0.10648629238902384</v>
      </c>
      <c r="AB6" s="192"/>
      <c r="AC6" s="189">
        <f>VLOOKUP(B6,'2024 by account '!$A$2:$M$102,8,0)/1000</f>
        <v>119.52380000000001</v>
      </c>
      <c r="AD6" s="189">
        <f t="shared" ref="AD6:AD69" si="13">AC6/$AD$2</f>
        <v>3.3482963506635035</v>
      </c>
      <c r="AE6" s="190">
        <f t="shared" ref="AE6:AE69" si="14">AD6/$AD$1*1000</f>
        <v>9.7116812676958653E-2</v>
      </c>
      <c r="AF6" s="192"/>
      <c r="AG6" s="189">
        <f>VLOOKUP(B6,'2024 by account '!$A$2:$M$102,9,0)/1000</f>
        <v>119.52378999999999</v>
      </c>
      <c r="AH6" s="189">
        <f t="shared" ref="AH6:AH69" si="15">AG6/$AH$2</f>
        <v>3.2208147174061836</v>
      </c>
      <c r="AI6" s="190">
        <f t="shared" ref="AI6:AI69" si="16">AH6/$AH$1*1000</f>
        <v>0.12592128850598888</v>
      </c>
      <c r="AJ6" s="192"/>
      <c r="AK6" s="189">
        <f>VLOOKUP(B6,'2024 by account '!$A$2:$M$102,10,0)/1000</f>
        <v>-940.76793000000009</v>
      </c>
      <c r="AL6" s="189">
        <f t="shared" ref="AL6:AL69" si="17">AK6/$AL$2</f>
        <v>-24.872364431940916</v>
      </c>
      <c r="AM6" s="190">
        <f t="shared" ref="AM6:AM69" si="18">AL6/$AL$1*1000</f>
        <v>-0.62019659963946028</v>
      </c>
      <c r="AN6" s="192"/>
      <c r="AO6" s="189">
        <f>VLOOKUP(B6,'2024 by account '!$A$2:$M$102,11,0)/1000</f>
        <v>0</v>
      </c>
      <c r="AP6" s="189">
        <f t="shared" ref="AP6:AP69" si="19">AO6/$AP$2</f>
        <v>0</v>
      </c>
      <c r="AQ6" s="190">
        <f t="shared" ref="AQ6:AQ69" si="20">AP6/$AP$1*1000</f>
        <v>0</v>
      </c>
      <c r="AR6" s="192"/>
      <c r="AS6" s="189">
        <f>VLOOKUP(B6,'2024 by account '!$A$2:$M$102,12,0)/1000</f>
        <v>0</v>
      </c>
      <c r="AT6" s="189">
        <f t="shared" ref="AT6:AT69" si="21">AS6/$AT$2</f>
        <v>0</v>
      </c>
      <c r="AU6" s="190">
        <f t="shared" ref="AU6:AU69" si="22">AT6/$AT$1*1000</f>
        <v>0</v>
      </c>
      <c r="AV6" s="192"/>
      <c r="AW6" s="191">
        <f>VLOOKUP(B6,'2024 by account '!$A$2:$M$102,13,0)/1000</f>
        <v>0</v>
      </c>
      <c r="AX6" s="189">
        <f t="shared" ref="AX6:AX69" si="23">AW6/$AX$2</f>
        <v>0</v>
      </c>
      <c r="AY6" s="190">
        <f t="shared" ref="AY6:AY69" si="24">AX6/$AX$1*1000</f>
        <v>0</v>
      </c>
      <c r="AZ6" s="167"/>
      <c r="BA6" s="191">
        <f t="shared" si="0"/>
        <v>-1.7053025658242404E-13</v>
      </c>
      <c r="BB6" s="189">
        <f t="shared" si="1"/>
        <v>2.1938330031857065</v>
      </c>
      <c r="BC6" s="190">
        <f t="shared" ref="BC6:BC69" si="25">BB6/$BB$1*1000</f>
        <v>5.9898895941246193E-3</v>
      </c>
    </row>
    <row r="7" spans="1:55" outlineLevel="1">
      <c r="A7" s="188">
        <v>6666110107</v>
      </c>
      <c r="B7" s="188">
        <v>6666110107</v>
      </c>
      <c r="C7" s="188" t="s">
        <v>17</v>
      </c>
      <c r="D7" s="188" t="s">
        <v>23</v>
      </c>
      <c r="E7" s="189">
        <f>VLOOKUP(B7,'2024 by account '!$A$2:$M$102,2,0)/1000</f>
        <v>1169.8779000000002</v>
      </c>
      <c r="F7" s="189">
        <f t="shared" si="2"/>
        <v>35.649075922173303</v>
      </c>
      <c r="G7" s="190">
        <f t="shared" si="3"/>
        <v>2.2218183809394394</v>
      </c>
      <c r="H7" s="167"/>
      <c r="I7" s="191">
        <f>VLOOKUP(B7,'2024 by account '!$A$2:$M$102,3,0)/1000</f>
        <v>1865.9821600000002</v>
      </c>
      <c r="J7" s="189">
        <f t="shared" ref="J7:J12" si="26">I7/$J$2</f>
        <v>56.09547023244069</v>
      </c>
      <c r="K7" s="190">
        <f t="shared" si="4"/>
        <v>2.8399893799332063</v>
      </c>
      <c r="L7" s="192"/>
      <c r="M7" s="189">
        <f>VLOOKUP(B7,'2024 by account '!$A$2:$M$102,4,0)/1000</f>
        <v>1963.7317600000003</v>
      </c>
      <c r="N7" s="189">
        <f t="shared" si="5"/>
        <v>56.391965057476561</v>
      </c>
      <c r="O7" s="190">
        <f t="shared" si="6"/>
        <v>2.8143916283613599</v>
      </c>
      <c r="P7" s="192"/>
      <c r="Q7" s="189">
        <f>VLOOKUP(B7,'2024 by account '!$A$2:$M$102,5,0)/1000</f>
        <v>2713.8393200000005</v>
      </c>
      <c r="R7" s="189">
        <f t="shared" si="7"/>
        <v>78.225307990753095</v>
      </c>
      <c r="S7" s="190">
        <f t="shared" si="8"/>
        <v>2.7894771597458581</v>
      </c>
      <c r="T7" s="192"/>
      <c r="U7" s="189">
        <f>VLOOKUP(B7,'2024 by account '!$A$2:$M$102,6,0)/1000</f>
        <v>2884.2665400000001</v>
      </c>
      <c r="V7" s="189">
        <f t="shared" si="9"/>
        <v>82.73738299794897</v>
      </c>
      <c r="W7" s="190">
        <f t="shared" si="10"/>
        <v>2.0281752953362986</v>
      </c>
      <c r="X7" s="192"/>
      <c r="Y7" s="189">
        <f>VLOOKUP(B7,'2024 by account '!$A$2:$M$102,7,0)/1000</f>
        <v>3089.3214499999999</v>
      </c>
      <c r="Z7" s="189">
        <f t="shared" si="11"/>
        <v>88.098436693501242</v>
      </c>
      <c r="AA7" s="190">
        <f t="shared" si="12"/>
        <v>2.8440869283800763</v>
      </c>
      <c r="AB7" s="192"/>
      <c r="AC7" s="189">
        <f>VLOOKUP(B7,'2024 by account '!$A$2:$M$102,8,0)/1000</f>
        <v>3173.6355899999999</v>
      </c>
      <c r="AD7" s="189">
        <f t="shared" si="13"/>
        <v>88.905075510758635</v>
      </c>
      <c r="AE7" s="190">
        <f t="shared" si="14"/>
        <v>2.578677829009445</v>
      </c>
      <c r="AF7" s="192"/>
      <c r="AG7" s="189">
        <f>VLOOKUP(B7,'2024 by account '!$A$2:$M$102,9,0)/1000</f>
        <v>3413.3499500000003</v>
      </c>
      <c r="AH7" s="189">
        <f t="shared" si="15"/>
        <v>91.979745242496605</v>
      </c>
      <c r="AI7" s="190">
        <f t="shared" si="16"/>
        <v>3.5960491532761201</v>
      </c>
      <c r="AJ7" s="192"/>
      <c r="AK7" s="189">
        <f>VLOOKUP(B7,'2024 by account '!$A$2:$M$102,10,0)/1000</f>
        <v>3336.5312900000004</v>
      </c>
      <c r="AL7" s="189">
        <f t="shared" si="17"/>
        <v>88.212426823960655</v>
      </c>
      <c r="AM7" s="190">
        <f t="shared" si="18"/>
        <v>2.199591732095568</v>
      </c>
      <c r="AN7" s="192"/>
      <c r="AO7" s="189">
        <f>VLOOKUP(B7,'2024 by account '!$A$2:$M$102,11,0)/1000</f>
        <v>3703.6766399999997</v>
      </c>
      <c r="AP7" s="189">
        <f t="shared" si="19"/>
        <v>99.168501542687238</v>
      </c>
      <c r="AQ7" s="190">
        <f t="shared" si="20"/>
        <v>2.4077621954181474</v>
      </c>
      <c r="AR7" s="192"/>
      <c r="AS7" s="189">
        <f>VLOOKUP(B7,'2024 by account '!$A$2:$M$102,12,0)/1000</f>
        <v>4072.31403</v>
      </c>
      <c r="AT7" s="189">
        <f t="shared" si="21"/>
        <v>111.19340836671336</v>
      </c>
      <c r="AU7" s="190">
        <f t="shared" si="22"/>
        <v>2.5792950212645178</v>
      </c>
      <c r="AV7" s="192"/>
      <c r="AW7" s="191">
        <f>VLOOKUP(B7,'2024 by account '!$A$2:$M$102,13,0)/1000</f>
        <v>4067.6831400000005</v>
      </c>
      <c r="AX7" s="189">
        <f t="shared" si="23"/>
        <v>110.96049793174036</v>
      </c>
      <c r="AY7" s="190">
        <f t="shared" si="24"/>
        <v>4.2427445391251615</v>
      </c>
      <c r="AZ7" s="167"/>
      <c r="BA7" s="191">
        <f t="shared" si="0"/>
        <v>35454.209770000001</v>
      </c>
      <c r="BB7" s="189">
        <f t="shared" si="1"/>
        <v>987.61729431265076</v>
      </c>
      <c r="BC7" s="190">
        <f t="shared" si="25"/>
        <v>2.6965218161959141</v>
      </c>
    </row>
    <row r="8" spans="1:55" outlineLevel="1">
      <c r="A8" s="188">
        <v>6666110110</v>
      </c>
      <c r="B8" s="188">
        <v>6666110110</v>
      </c>
      <c r="C8" s="188" t="s">
        <v>18</v>
      </c>
      <c r="D8" s="188" t="s">
        <v>23</v>
      </c>
      <c r="E8" s="189">
        <f>VLOOKUP(B8,'2024 by account '!$A$2:$M$102,2,0)/1000</f>
        <v>2547.0652700000001</v>
      </c>
      <c r="F8" s="189">
        <f t="shared" si="2"/>
        <v>77.615384638824992</v>
      </c>
      <c r="G8" s="190">
        <f t="shared" si="3"/>
        <v>4.8373564748410711</v>
      </c>
      <c r="H8" s="167"/>
      <c r="I8" s="191">
        <f>VLOOKUP(B8,'2024 by account '!$A$2:$M$102,3,0)/1000</f>
        <v>2536.5940300000002</v>
      </c>
      <c r="J8" s="189">
        <f t="shared" si="26"/>
        <v>76.255517309796659</v>
      </c>
      <c r="K8" s="190">
        <f t="shared" si="4"/>
        <v>3.8606478994429252</v>
      </c>
      <c r="L8" s="192"/>
      <c r="M8" s="189">
        <f>VLOOKUP(B8,'2024 by account '!$A$2:$M$102,4,0)/1000</f>
        <v>2822.7837999999997</v>
      </c>
      <c r="N8" s="189">
        <f t="shared" si="5"/>
        <v>81.061135057677561</v>
      </c>
      <c r="O8" s="190">
        <f t="shared" si="6"/>
        <v>4.0455724438627323</v>
      </c>
      <c r="P8" s="192"/>
      <c r="Q8" s="189">
        <f>VLOOKUP(B8,'2024 by account '!$A$2:$M$102,5,0)/1000</f>
        <v>2745.5951500000001</v>
      </c>
      <c r="R8" s="189">
        <f t="shared" si="7"/>
        <v>79.140656797126766</v>
      </c>
      <c r="S8" s="190">
        <f t="shared" si="8"/>
        <v>2.8221180614458787</v>
      </c>
      <c r="T8" s="192"/>
      <c r="U8" s="189">
        <f>VLOOKUP(B8,'2024 by account '!$A$2:$M$102,6,0)/1000</f>
        <v>2888.1313</v>
      </c>
      <c r="V8" s="189">
        <f t="shared" si="9"/>
        <v>82.848246582808613</v>
      </c>
      <c r="W8" s="190">
        <f t="shared" si="10"/>
        <v>2.0308929397168365</v>
      </c>
      <c r="X8" s="192"/>
      <c r="Y8" s="189">
        <f>VLOOKUP(B8,'2024 by account '!$A$2:$M$102,7,0)/1000</f>
        <v>2815.4893699999998</v>
      </c>
      <c r="Z8" s="189">
        <f t="shared" si="11"/>
        <v>80.289544496630711</v>
      </c>
      <c r="AA8" s="190">
        <f t="shared" si="12"/>
        <v>2.5919920098344109</v>
      </c>
      <c r="AB8" s="192"/>
      <c r="AC8" s="189">
        <f>VLOOKUP(B8,'2024 by account '!$A$2:$M$102,8,0)/1000</f>
        <v>2907.51926</v>
      </c>
      <c r="AD8" s="189">
        <f t="shared" si="13"/>
        <v>81.450189232118191</v>
      </c>
      <c r="AE8" s="190">
        <f t="shared" si="14"/>
        <v>2.3624500168842473</v>
      </c>
      <c r="AF8" s="192"/>
      <c r="AG8" s="189">
        <f>VLOOKUP(B8,'2024 by account '!$A$2:$M$102,9,0)/1000</f>
        <v>2915.6696200000001</v>
      </c>
      <c r="AH8" s="189">
        <f t="shared" si="15"/>
        <v>78.568723625565212</v>
      </c>
      <c r="AI8" s="190">
        <f t="shared" si="16"/>
        <v>3.0717305350522017</v>
      </c>
      <c r="AJ8" s="192"/>
      <c r="AK8" s="189">
        <f>VLOOKUP(B8,'2024 by account '!$A$2:$M$102,10,0)/1000</f>
        <v>2825.8864299999996</v>
      </c>
      <c r="AL8" s="189">
        <f t="shared" si="17"/>
        <v>74.711812434163733</v>
      </c>
      <c r="AM8" s="190">
        <f t="shared" si="18"/>
        <v>1.8629516365989363</v>
      </c>
      <c r="AN8" s="192"/>
      <c r="AO8" s="189">
        <f>VLOOKUP(B8,'2024 by account '!$A$2:$M$102,11,0)/1000</f>
        <v>2983.01406</v>
      </c>
      <c r="AP8" s="189">
        <f t="shared" si="19"/>
        <v>79.872262933560989</v>
      </c>
      <c r="AQ8" s="190">
        <f t="shared" si="20"/>
        <v>1.9392590607123847</v>
      </c>
      <c r="AR8" s="192"/>
      <c r="AS8" s="189">
        <f>VLOOKUP(B8,'2024 by account '!$A$2:$M$102,12,0)/1000</f>
        <v>2675.1701899999998</v>
      </c>
      <c r="AT8" s="189">
        <f t="shared" si="21"/>
        <v>73.044782203873439</v>
      </c>
      <c r="AU8" s="190">
        <f t="shared" si="22"/>
        <v>1.6943814011568878</v>
      </c>
      <c r="AV8" s="192"/>
      <c r="AW8" s="191">
        <f>VLOOKUP(B8,'2024 by account '!$A$2:$M$102,13,0)/1000</f>
        <v>2750.0646699999998</v>
      </c>
      <c r="AX8" s="189">
        <f t="shared" si="23"/>
        <v>75.017776612680592</v>
      </c>
      <c r="AY8" s="190">
        <f t="shared" si="24"/>
        <v>2.8684195546469082</v>
      </c>
      <c r="AZ8" s="167"/>
      <c r="BA8" s="191">
        <f t="shared" si="0"/>
        <v>33412.983150000007</v>
      </c>
      <c r="BB8" s="189">
        <f t="shared" si="1"/>
        <v>939.87603192482766</v>
      </c>
      <c r="BC8" s="190">
        <f t="shared" si="25"/>
        <v>2.5661723819536815</v>
      </c>
    </row>
    <row r="9" spans="1:55" outlineLevel="1">
      <c r="A9" s="188">
        <v>6666110112</v>
      </c>
      <c r="B9" s="188">
        <v>6666110112</v>
      </c>
      <c r="C9" s="188" t="s">
        <v>19</v>
      </c>
      <c r="D9" s="188" t="s">
        <v>23</v>
      </c>
      <c r="E9" s="189">
        <f>VLOOKUP(B9,'2024 by account '!$A$2:$M$102,2,0)/1000</f>
        <v>89.089780000000005</v>
      </c>
      <c r="F9" s="189">
        <f t="shared" si="2"/>
        <v>2.714786159401521</v>
      </c>
      <c r="G9" s="190">
        <f t="shared" si="3"/>
        <v>0.16919826484272488</v>
      </c>
      <c r="H9" s="167"/>
      <c r="I9" s="191">
        <f>VLOOKUP(B9,'2024 by account '!$A$2:$M$102,3,0)/1000</f>
        <v>88.557389999999984</v>
      </c>
      <c r="J9" s="189">
        <f t="shared" si="26"/>
        <v>2.6622271858202757</v>
      </c>
      <c r="K9" s="190">
        <f t="shared" si="4"/>
        <v>0.13478266432868954</v>
      </c>
      <c r="L9" s="192"/>
      <c r="M9" s="189">
        <f>VLOOKUP(B9,'2024 by account '!$A$2:$M$102,4,0)/1000</f>
        <v>213.36808000000002</v>
      </c>
      <c r="N9" s="189">
        <f t="shared" si="5"/>
        <v>6.1272346645454583</v>
      </c>
      <c r="O9" s="190">
        <f t="shared" si="6"/>
        <v>0.30579601060764877</v>
      </c>
      <c r="P9" s="192"/>
      <c r="Q9" s="189">
        <f>VLOOKUP(B9,'2024 by account '!$A$2:$M$102,5,0)/1000</f>
        <v>206.48512999999997</v>
      </c>
      <c r="R9" s="189">
        <f t="shared" si="7"/>
        <v>5.9518493857479688</v>
      </c>
      <c r="S9" s="190">
        <f t="shared" si="8"/>
        <v>0.21224010932310983</v>
      </c>
      <c r="T9" s="192"/>
      <c r="U9" s="189">
        <f>VLOOKUP(B9,'2024 by account '!$A$2:$M$102,6,0)/1000</f>
        <v>-119.77734</v>
      </c>
      <c r="V9" s="189">
        <f t="shared" si="9"/>
        <v>-3.4359042469270373</v>
      </c>
      <c r="W9" s="190">
        <f t="shared" si="10"/>
        <v>-8.4225725521572717E-2</v>
      </c>
      <c r="X9" s="192"/>
      <c r="Y9" s="189">
        <f>VLOOKUP(B9,'2024 by account '!$A$2:$M$102,7,0)/1000</f>
        <v>99.151210000000006</v>
      </c>
      <c r="Z9" s="189">
        <f t="shared" si="11"/>
        <v>2.827503300852376</v>
      </c>
      <c r="AA9" s="190">
        <f t="shared" si="12"/>
        <v>9.1280452635988371E-2</v>
      </c>
      <c r="AB9" s="192"/>
      <c r="AC9" s="189">
        <f>VLOOKUP(B9,'2024 by account '!$A$2:$M$102,8,0)/1000</f>
        <v>102.44981999999999</v>
      </c>
      <c r="AD9" s="189">
        <f t="shared" si="13"/>
        <v>2.8699920721407177</v>
      </c>
      <c r="AE9" s="190">
        <f t="shared" si="14"/>
        <v>8.3243671785268952E-2</v>
      </c>
      <c r="AF9" s="192"/>
      <c r="AG9" s="189">
        <f>VLOOKUP(B9,'2024 by account '!$A$2:$M$102,9,0)/1000</f>
        <v>102.44981</v>
      </c>
      <c r="AH9" s="189">
        <f t="shared" si="15"/>
        <v>2.7607211572145363</v>
      </c>
      <c r="AI9" s="190">
        <f t="shared" si="16"/>
        <v>0.10793342549122434</v>
      </c>
      <c r="AJ9" s="192"/>
      <c r="AK9" s="189">
        <f>VLOOKUP(B9,'2024 by account '!$A$2:$M$102,10,0)/1000</f>
        <v>99.000899999999987</v>
      </c>
      <c r="AL9" s="189">
        <f t="shared" si="17"/>
        <v>2.6174217736037608</v>
      </c>
      <c r="AM9" s="190">
        <f t="shared" si="18"/>
        <v>6.5265853121976872E-2</v>
      </c>
      <c r="AN9" s="192"/>
      <c r="AO9" s="189">
        <f>VLOOKUP(B9,'2024 by account '!$A$2:$M$102,11,0)/1000</f>
        <v>131.91101</v>
      </c>
      <c r="AP9" s="189">
        <f t="shared" si="19"/>
        <v>3.5320084527364228</v>
      </c>
      <c r="AQ9" s="190">
        <f t="shared" si="20"/>
        <v>8.5755419252104365E-2</v>
      </c>
      <c r="AR9" s="192"/>
      <c r="AS9" s="189">
        <f>VLOOKUP(B9,'2024 by account '!$A$2:$M$102,12,0)/1000</f>
        <v>140.72117</v>
      </c>
      <c r="AT9" s="189">
        <f t="shared" si="21"/>
        <v>3.8423526295813915</v>
      </c>
      <c r="AU9" s="190">
        <f t="shared" si="22"/>
        <v>8.9129033393212515E-2</v>
      </c>
      <c r="AV9" s="192"/>
      <c r="AW9" s="191">
        <f>VLOOKUP(B9,'2024 by account '!$A$2:$M$102,13,0)/1000</f>
        <v>143.98686999999998</v>
      </c>
      <c r="AX9" s="189">
        <f t="shared" si="23"/>
        <v>3.9277530331019745</v>
      </c>
      <c r="AY9" s="190">
        <f t="shared" si="24"/>
        <v>0.1501836513249713</v>
      </c>
      <c r="AZ9" s="167"/>
      <c r="BA9" s="191">
        <f t="shared" si="0"/>
        <v>1297.3938299999998</v>
      </c>
      <c r="BB9" s="189">
        <f t="shared" si="1"/>
        <v>36.397945567819363</v>
      </c>
      <c r="BC9" s="190">
        <f t="shared" si="25"/>
        <v>9.9378428115360185E-2</v>
      </c>
    </row>
    <row r="10" spans="1:55" outlineLevel="1">
      <c r="A10" s="188">
        <v>6666110204</v>
      </c>
      <c r="B10" s="188">
        <v>6666110204</v>
      </c>
      <c r="C10" s="188" t="s">
        <v>20</v>
      </c>
      <c r="D10" s="188" t="s">
        <v>23</v>
      </c>
      <c r="E10" s="189">
        <f>VLOOKUP(B10,'2024 by account '!$A$2:$M$102,2,0)/1000</f>
        <v>0</v>
      </c>
      <c r="F10" s="189">
        <f t="shared" si="2"/>
        <v>0</v>
      </c>
      <c r="G10" s="190">
        <f t="shared" si="3"/>
        <v>0</v>
      </c>
      <c r="H10" s="167"/>
      <c r="I10" s="191">
        <f>VLOOKUP(B10,'2024 by account '!$A$2:$M$102,3,0)/1000</f>
        <v>0</v>
      </c>
      <c r="J10" s="189">
        <f t="shared" si="26"/>
        <v>0</v>
      </c>
      <c r="K10" s="190">
        <f t="shared" si="4"/>
        <v>0</v>
      </c>
      <c r="L10" s="192"/>
      <c r="M10" s="189">
        <f>VLOOKUP(B10,'2024 by account '!$A$2:$M$102,4,0)/1000</f>
        <v>0</v>
      </c>
      <c r="N10" s="189">
        <f t="shared" si="5"/>
        <v>0</v>
      </c>
      <c r="O10" s="190">
        <f t="shared" si="6"/>
        <v>0</v>
      </c>
      <c r="P10" s="192"/>
      <c r="Q10" s="189">
        <f>VLOOKUP(B10,'2024 by account '!$A$2:$M$102,5,0)/1000</f>
        <v>0</v>
      </c>
      <c r="R10" s="189">
        <f t="shared" si="7"/>
        <v>0</v>
      </c>
      <c r="S10" s="190">
        <f t="shared" si="8"/>
        <v>0</v>
      </c>
      <c r="T10" s="192"/>
      <c r="U10" s="189">
        <f>VLOOKUP(B10,'2024 by account '!$A$2:$M$102,6,0)/1000</f>
        <v>0</v>
      </c>
      <c r="V10" s="189">
        <f t="shared" si="9"/>
        <v>0</v>
      </c>
      <c r="W10" s="190">
        <f t="shared" si="10"/>
        <v>0</v>
      </c>
      <c r="X10" s="192"/>
      <c r="Y10" s="189">
        <f>VLOOKUP(B10,'2024 by account '!$A$2:$M$102,7,0)/1000</f>
        <v>8.8358999999999988</v>
      </c>
      <c r="Z10" s="189">
        <f t="shared" si="11"/>
        <v>0.25197409508165863</v>
      </c>
      <c r="AA10" s="190">
        <f t="shared" si="12"/>
        <v>8.1344942885349519E-3</v>
      </c>
      <c r="AB10" s="192"/>
      <c r="AC10" s="189">
        <f>VLOOKUP(B10,'2024 by account '!$A$2:$M$102,8,0)/1000</f>
        <v>8.8358999999999988</v>
      </c>
      <c r="AD10" s="189">
        <f t="shared" si="13"/>
        <v>0.24752569550857353</v>
      </c>
      <c r="AE10" s="190">
        <f t="shared" si="14"/>
        <v>7.1794441369194975E-3</v>
      </c>
      <c r="AF10" s="192"/>
      <c r="AG10" s="189">
        <f>VLOOKUP(B10,'2024 by account '!$A$2:$M$102,9,0)/1000</f>
        <v>8.8358999999999988</v>
      </c>
      <c r="AH10" s="189">
        <f t="shared" si="15"/>
        <v>0.23810152574252619</v>
      </c>
      <c r="AI10" s="190">
        <f t="shared" si="16"/>
        <v>9.3088406342374773E-3</v>
      </c>
      <c r="AJ10" s="192"/>
      <c r="AK10" s="189">
        <f>VLOOKUP(B10,'2024 by account '!$A$2:$M$102,10,0)/1000</f>
        <v>8.8358999999999988</v>
      </c>
      <c r="AL10" s="189">
        <f t="shared" si="17"/>
        <v>0.2336067353871073</v>
      </c>
      <c r="AM10" s="190">
        <f t="shared" si="18"/>
        <v>5.8250233240351914E-3</v>
      </c>
      <c r="AN10" s="192"/>
      <c r="AO10" s="189">
        <f>VLOOKUP(B10,'2024 by account '!$A$2:$M$102,11,0)/1000</f>
        <v>8.8358999999999988</v>
      </c>
      <c r="AP10" s="189">
        <f t="shared" si="19"/>
        <v>0.23658732874180671</v>
      </c>
      <c r="AQ10" s="190">
        <f t="shared" si="20"/>
        <v>5.7442233894628575E-3</v>
      </c>
      <c r="AR10" s="192"/>
      <c r="AS10" s="189">
        <f>VLOOKUP(B10,'2024 by account '!$A$2:$M$102,12,0)/1000</f>
        <v>8.8358899999999991</v>
      </c>
      <c r="AT10" s="189">
        <f t="shared" si="21"/>
        <v>0.24126153283256468</v>
      </c>
      <c r="AU10" s="190">
        <f t="shared" si="22"/>
        <v>5.5964169063457362E-3</v>
      </c>
      <c r="AV10" s="192"/>
      <c r="AW10" s="191">
        <f>VLOOKUP(B10,'2024 by account '!$A$2:$M$102,13,0)/1000</f>
        <v>8.8358999999999988</v>
      </c>
      <c r="AX10" s="189">
        <f t="shared" si="23"/>
        <v>0.24103053997344159</v>
      </c>
      <c r="AY10" s="190">
        <f t="shared" si="24"/>
        <v>9.2161717574825684E-3</v>
      </c>
      <c r="AZ10" s="167"/>
      <c r="BA10" s="191">
        <f t="shared" si="0"/>
        <v>61.851289999999977</v>
      </c>
      <c r="BB10" s="189">
        <f t="shared" si="1"/>
        <v>1.6900874532676788</v>
      </c>
      <c r="BC10" s="190">
        <f t="shared" si="25"/>
        <v>4.6144976553767827E-3</v>
      </c>
    </row>
    <row r="11" spans="1:55" outlineLevel="1">
      <c r="A11" s="188">
        <v>6666110207</v>
      </c>
      <c r="B11" s="188">
        <v>6666110207</v>
      </c>
      <c r="C11" s="188" t="s">
        <v>21</v>
      </c>
      <c r="D11" s="188" t="s">
        <v>23</v>
      </c>
      <c r="E11" s="189">
        <f>VLOOKUP(B11,'2024 by account '!$A$2:$M$102,2,0)/1000</f>
        <v>42.952549999999995</v>
      </c>
      <c r="F11" s="189">
        <f t="shared" si="2"/>
        <v>1.3088705376868344</v>
      </c>
      <c r="G11" s="190">
        <f t="shared" si="3"/>
        <v>8.157497897705418E-2</v>
      </c>
      <c r="H11" s="167"/>
      <c r="I11" s="191">
        <f>VLOOKUP(B11,'2024 by account '!$A$2:$M$102,3,0)/1000</f>
        <v>231.95092</v>
      </c>
      <c r="J11" s="189">
        <f t="shared" si="26"/>
        <v>6.9729476557520949</v>
      </c>
      <c r="K11" s="190">
        <f t="shared" si="4"/>
        <v>0.35302489144147908</v>
      </c>
      <c r="L11" s="192"/>
      <c r="M11" s="189">
        <f>VLOOKUP(B11,'2024 by account '!$A$2:$M$102,4,0)/1000</f>
        <v>142.03350999999998</v>
      </c>
      <c r="N11" s="189">
        <f t="shared" si="5"/>
        <v>4.0787387035542704</v>
      </c>
      <c r="O11" s="190">
        <f t="shared" si="6"/>
        <v>0.20356034853292759</v>
      </c>
      <c r="P11" s="192"/>
      <c r="Q11" s="189">
        <f>VLOOKUP(B11,'2024 by account '!$A$2:$M$102,5,0)/1000</f>
        <v>137.45174000000006</v>
      </c>
      <c r="R11" s="189">
        <f t="shared" si="7"/>
        <v>3.9619901650496088</v>
      </c>
      <c r="S11" s="190">
        <f t="shared" si="8"/>
        <v>0.14128267892342505</v>
      </c>
      <c r="T11" s="192"/>
      <c r="U11" s="189">
        <f>VLOOKUP(B11,'2024 by account '!$A$2:$M$102,6,0)/1000</f>
        <v>147.71370999999999</v>
      </c>
      <c r="V11" s="189">
        <f t="shared" si="9"/>
        <v>4.2372803029216444</v>
      </c>
      <c r="W11" s="190">
        <f t="shared" si="10"/>
        <v>0.10387018441245389</v>
      </c>
      <c r="X11" s="192"/>
      <c r="Y11" s="189">
        <f>VLOOKUP(B11,'2024 by account '!$A$2:$M$102,7,0)/1000</f>
        <v>143.13192000000001</v>
      </c>
      <c r="Z11" s="189">
        <f t="shared" si="11"/>
        <v>4.0817048652995584</v>
      </c>
      <c r="AA11" s="190">
        <f t="shared" si="12"/>
        <v>0.13176991429815205</v>
      </c>
      <c r="AB11" s="192"/>
      <c r="AC11" s="189">
        <f>VLOOKUP(B11,'2024 by account '!$A$2:$M$102,8,0)/1000</f>
        <v>147.71372000000002</v>
      </c>
      <c r="AD11" s="189">
        <f t="shared" si="13"/>
        <v>4.137998537688147</v>
      </c>
      <c r="AE11" s="190">
        <f t="shared" si="14"/>
        <v>0.12002200126716787</v>
      </c>
      <c r="AF11" s="192"/>
      <c r="AG11" s="189">
        <f>VLOOKUP(B11,'2024 by account '!$A$2:$M$102,9,0)/1000</f>
        <v>147.71367999999998</v>
      </c>
      <c r="AH11" s="189">
        <f t="shared" si="15"/>
        <v>3.9804493691693295</v>
      </c>
      <c r="AI11" s="190">
        <f t="shared" si="16"/>
        <v>0.15562003945458322</v>
      </c>
      <c r="AJ11" s="192"/>
      <c r="AK11" s="189">
        <f>VLOOKUP(B11,'2024 by account '!$A$2:$M$102,10,0)/1000</f>
        <v>143.13196999999997</v>
      </c>
      <c r="AL11" s="189">
        <f t="shared" si="17"/>
        <v>3.7841750405986234</v>
      </c>
      <c r="AM11" s="190">
        <f t="shared" si="18"/>
        <v>9.4359042504453997E-2</v>
      </c>
      <c r="AN11" s="192"/>
      <c r="AO11" s="189">
        <f>VLOOKUP(B11,'2024 by account '!$A$2:$M$102,11,0)/1000</f>
        <v>147.71368000000001</v>
      </c>
      <c r="AP11" s="189">
        <f t="shared" si="19"/>
        <v>3.9551358627668991</v>
      </c>
      <c r="AQ11" s="190">
        <f t="shared" si="20"/>
        <v>9.602874360276055E-2</v>
      </c>
      <c r="AR11" s="192"/>
      <c r="AS11" s="189">
        <f>VLOOKUP(B11,'2024 by account '!$A$2:$M$102,12,0)/1000</f>
        <v>157.90803</v>
      </c>
      <c r="AT11" s="189">
        <f t="shared" si="21"/>
        <v>4.3116350887540031</v>
      </c>
      <c r="AU11" s="190">
        <f t="shared" si="22"/>
        <v>0.10001473181985626</v>
      </c>
      <c r="AV11" s="192"/>
      <c r="AW11" s="191">
        <f>VLOOKUP(B11,'2024 by account '!$A$2:$M$102,13,0)/1000</f>
        <v>162.48976000000005</v>
      </c>
      <c r="AX11" s="189">
        <f t="shared" si="23"/>
        <v>4.4324850431710345</v>
      </c>
      <c r="AY11" s="190">
        <f t="shared" si="24"/>
        <v>0.16948285256647552</v>
      </c>
      <c r="AZ11" s="167"/>
      <c r="BA11" s="191">
        <f t="shared" si="0"/>
        <v>1751.9051899999999</v>
      </c>
      <c r="BB11" s="189">
        <f t="shared" si="1"/>
        <v>49.243411172412046</v>
      </c>
      <c r="BC11" s="190">
        <f t="shared" si="25"/>
        <v>0.13445079718123948</v>
      </c>
    </row>
    <row r="12" spans="1:55" outlineLevel="1">
      <c r="A12" s="188">
        <v>6666110506</v>
      </c>
      <c r="B12" s="188">
        <v>6666110506</v>
      </c>
      <c r="C12" s="188" t="s">
        <v>22</v>
      </c>
      <c r="D12" s="188" t="s">
        <v>23</v>
      </c>
      <c r="E12" s="189">
        <f>VLOOKUP(B12,'2024 by account '!$A$2:$M$102,2,0)/1000</f>
        <v>0</v>
      </c>
      <c r="F12" s="189">
        <f t="shared" si="2"/>
        <v>0</v>
      </c>
      <c r="G12" s="190">
        <f t="shared" si="3"/>
        <v>0</v>
      </c>
      <c r="H12" s="167"/>
      <c r="I12" s="191">
        <f>VLOOKUP(B12,'2024 by account '!$A$2:$M$102,3,0)/1000</f>
        <v>0</v>
      </c>
      <c r="J12" s="189">
        <f t="shared" si="26"/>
        <v>0</v>
      </c>
      <c r="K12" s="190">
        <f t="shared" si="4"/>
        <v>0</v>
      </c>
      <c r="L12" s="192"/>
      <c r="M12" s="189">
        <f>VLOOKUP(B12,'2024 by account '!$A$2:$M$102,4,0)/1000</f>
        <v>0</v>
      </c>
      <c r="N12" s="189">
        <f t="shared" si="5"/>
        <v>0</v>
      </c>
      <c r="O12" s="190">
        <f t="shared" si="6"/>
        <v>0</v>
      </c>
      <c r="P12" s="192"/>
      <c r="Q12" s="189">
        <f>VLOOKUP(B12,'2024 by account '!$A$2:$M$102,5,0)/1000</f>
        <v>0</v>
      </c>
      <c r="R12" s="189">
        <f t="shared" si="7"/>
        <v>0</v>
      </c>
      <c r="S12" s="190">
        <f t="shared" si="8"/>
        <v>0</v>
      </c>
      <c r="T12" s="192"/>
      <c r="U12" s="189">
        <f>VLOOKUP(B12,'2024 by account '!$A$2:$M$102,6,0)/1000</f>
        <v>29.847240000000003</v>
      </c>
      <c r="V12" s="189">
        <f t="shared" si="9"/>
        <v>0.85619081768764083</v>
      </c>
      <c r="W12" s="190">
        <f t="shared" si="10"/>
        <v>2.0988155554435475E-2</v>
      </c>
      <c r="X12" s="192"/>
      <c r="Y12" s="189">
        <f>VLOOKUP(B12,'2024 by account '!$A$2:$M$102,7,0)/1000</f>
        <v>29.847240000000003</v>
      </c>
      <c r="Z12" s="189">
        <f t="shared" si="11"/>
        <v>0.85115622513666822</v>
      </c>
      <c r="AA12" s="190">
        <f t="shared" si="12"/>
        <v>2.7477925656529834E-2</v>
      </c>
      <c r="AB12" s="192"/>
      <c r="AC12" s="189">
        <f>VLOOKUP(B12,'2024 by account '!$A$2:$M$102,8,0)/1000</f>
        <v>29.847240000000003</v>
      </c>
      <c r="AD12" s="189">
        <f t="shared" si="13"/>
        <v>0.83612974796130768</v>
      </c>
      <c r="AE12" s="190">
        <f t="shared" si="14"/>
        <v>2.4251812743606105E-2</v>
      </c>
      <c r="AF12" s="192"/>
      <c r="AG12" s="189">
        <f>VLOOKUP(B12,'2024 by account '!$A$2:$M$102,9,0)/1000</f>
        <v>29.847240000000003</v>
      </c>
      <c r="AH12" s="189">
        <f t="shared" si="15"/>
        <v>0.80429536133312507</v>
      </c>
      <c r="AI12" s="190">
        <f t="shared" si="16"/>
        <v>3.144481043604367E-2</v>
      </c>
      <c r="AJ12" s="192"/>
      <c r="AK12" s="189">
        <f>VLOOKUP(B12,'2024 by account '!$A$2:$M$102,10,0)/1000</f>
        <v>29.847240000000003</v>
      </c>
      <c r="AL12" s="189">
        <f t="shared" si="17"/>
        <v>0.78911217835370318</v>
      </c>
      <c r="AM12" s="190">
        <f t="shared" si="18"/>
        <v>1.9676645181371015E-2</v>
      </c>
      <c r="AN12" s="192"/>
      <c r="AO12" s="189">
        <f>VLOOKUP(B12,'2024 by account '!$A$2:$M$102,11,0)/1000</f>
        <v>29.847240000000003</v>
      </c>
      <c r="AP12" s="189">
        <f t="shared" si="19"/>
        <v>0.79918047758752409</v>
      </c>
      <c r="AQ12" s="190">
        <f t="shared" si="20"/>
        <v>1.940370693635186E-2</v>
      </c>
      <c r="AR12" s="192"/>
      <c r="AS12" s="189">
        <f>VLOOKUP(B12,'2024 by account '!$A$2:$M$102,12,0)/1000</f>
        <v>29.847249999999999</v>
      </c>
      <c r="AT12" s="189">
        <f t="shared" si="21"/>
        <v>0.81497090681717033</v>
      </c>
      <c r="AU12" s="190">
        <f t="shared" si="22"/>
        <v>1.8904451561521003E-2</v>
      </c>
      <c r="AV12" s="192"/>
      <c r="AW12" s="191">
        <f>VLOOKUP(B12,'2024 by account '!$A$2:$M$102,13,0)/1000</f>
        <v>29.847240000000003</v>
      </c>
      <c r="AX12" s="189">
        <f t="shared" si="23"/>
        <v>0.81418942879807443</v>
      </c>
      <c r="AY12" s="190">
        <f t="shared" si="24"/>
        <v>3.1131779482203744E-2</v>
      </c>
      <c r="AZ12" s="167"/>
      <c r="BA12" s="191">
        <f t="shared" si="0"/>
        <v>238.77793</v>
      </c>
      <c r="BB12" s="189">
        <f t="shared" si="1"/>
        <v>6.5652251436752138</v>
      </c>
      <c r="BC12" s="190">
        <f t="shared" si="25"/>
        <v>1.7925235746786984E-2</v>
      </c>
    </row>
    <row r="13" spans="1:55" s="24" customFormat="1">
      <c r="B13" s="37" t="s">
        <v>4</v>
      </c>
      <c r="C13" s="36" t="s">
        <v>23</v>
      </c>
      <c r="D13" s="38"/>
      <c r="E13" s="97">
        <f>SUM(E5:E12)</f>
        <v>4197.5572500000007</v>
      </c>
      <c r="F13" s="97">
        <f t="shared" si="2"/>
        <v>127.90996145231823</v>
      </c>
      <c r="G13" s="171">
        <f t="shared" si="3"/>
        <v>7.9719514772401512</v>
      </c>
      <c r="H13" s="167"/>
      <c r="I13" s="97">
        <f>SUM(I5:I12)</f>
        <v>5050.3324500000008</v>
      </c>
      <c r="J13" s="97">
        <f>SUM(J5:J12)</f>
        <v>151.82394541912677</v>
      </c>
      <c r="K13" s="171">
        <f t="shared" si="4"/>
        <v>7.6865099948930116</v>
      </c>
      <c r="L13" s="172"/>
      <c r="M13" s="173">
        <f>SUM(M5:M12)</f>
        <v>5505.597420000001</v>
      </c>
      <c r="N13" s="97">
        <f>SUM(N5:N12)</f>
        <v>158.10278351314798</v>
      </c>
      <c r="O13" s="171">
        <f t="shared" si="6"/>
        <v>7.8905416735613096</v>
      </c>
      <c r="P13" s="172"/>
      <c r="Q13" s="97">
        <f>SUM(Q5:Q12)</f>
        <v>6168.966370000001</v>
      </c>
      <c r="R13" s="97">
        <f t="shared" si="7"/>
        <v>177.81793148971255</v>
      </c>
      <c r="S13" s="171">
        <f t="shared" si="8"/>
        <v>6.34090259564642</v>
      </c>
      <c r="T13" s="172"/>
      <c r="U13" s="97">
        <f>SUM(U5:U12)</f>
        <v>6193.861710000001</v>
      </c>
      <c r="V13" s="97">
        <f t="shared" si="9"/>
        <v>177.67564177220638</v>
      </c>
      <c r="W13" s="171">
        <f t="shared" si="10"/>
        <v>4.3554356467178108</v>
      </c>
      <c r="X13" s="172"/>
      <c r="Y13" s="97">
        <f>SUM(Y5:Y12)</f>
        <v>6537.7257099999997</v>
      </c>
      <c r="Z13" s="97">
        <f t="shared" si="11"/>
        <v>186.43686774062002</v>
      </c>
      <c r="AA13" s="171">
        <f t="shared" si="12"/>
        <v>6.0187521868743552</v>
      </c>
      <c r="AB13" s="172"/>
      <c r="AC13" s="97">
        <f>SUM(AC5:AC12)</f>
        <v>6733.6818099999991</v>
      </c>
      <c r="AD13" s="97">
        <f t="shared" si="13"/>
        <v>188.63491815815937</v>
      </c>
      <c r="AE13" s="171">
        <f t="shared" si="14"/>
        <v>5.4713263380850821</v>
      </c>
      <c r="AF13" s="172"/>
      <c r="AG13" s="97">
        <f>SUM(AG5:AG12)</f>
        <v>6981.5464600000005</v>
      </c>
      <c r="AH13" s="97">
        <f t="shared" si="15"/>
        <v>188.13214999811373</v>
      </c>
      <c r="AI13" s="171">
        <f t="shared" si="16"/>
        <v>7.355233012671583</v>
      </c>
      <c r="AJ13" s="172"/>
      <c r="AK13" s="97">
        <f>SUM(AK5:AK12)</f>
        <v>5738.7462500000001</v>
      </c>
      <c r="AL13" s="97">
        <f t="shared" si="17"/>
        <v>151.72305896145323</v>
      </c>
      <c r="AM13" s="171">
        <f t="shared" si="18"/>
        <v>3.7832400499065737</v>
      </c>
      <c r="AN13" s="172"/>
      <c r="AO13" s="97">
        <f>SUM(AO5:AO12)</f>
        <v>7268.5159899999999</v>
      </c>
      <c r="AP13" s="97">
        <f t="shared" si="19"/>
        <v>194.61953869908089</v>
      </c>
      <c r="AQ13" s="171">
        <f t="shared" si="20"/>
        <v>4.725266193193991</v>
      </c>
      <c r="AR13" s="172"/>
      <c r="AS13" s="97">
        <f>SUM(AS5:AS12)</f>
        <v>7410.2825999999995</v>
      </c>
      <c r="AT13" s="97">
        <f t="shared" si="21"/>
        <v>202.33571703568998</v>
      </c>
      <c r="AU13" s="171">
        <f t="shared" si="22"/>
        <v>4.6934752269935043</v>
      </c>
      <c r="AV13" s="172"/>
      <c r="AW13" s="97">
        <f>SUM(AW5:AW12)</f>
        <v>7504.6992800000007</v>
      </c>
      <c r="AX13" s="97">
        <f t="shared" si="23"/>
        <v>204.71731456860067</v>
      </c>
      <c r="AY13" s="171">
        <f t="shared" si="24"/>
        <v>7.8276799819753249</v>
      </c>
      <c r="AZ13" s="45"/>
      <c r="BA13" s="97">
        <f t="shared" si="0"/>
        <v>75291.513300000006</v>
      </c>
      <c r="BB13" s="97">
        <f t="shared" si="1"/>
        <v>2109.9298288082296</v>
      </c>
      <c r="BC13" s="171">
        <f t="shared" si="25"/>
        <v>5.7608061814911684</v>
      </c>
    </row>
    <row r="14" spans="1:55" outlineLevel="1">
      <c r="A14" s="188">
        <v>5001010205</v>
      </c>
      <c r="B14" s="188">
        <v>5001010205</v>
      </c>
      <c r="C14" s="188" t="s">
        <v>24</v>
      </c>
      <c r="D14" s="188" t="s">
        <v>32</v>
      </c>
      <c r="E14" s="189">
        <f>VLOOKUP(B14,'2024 by account '!$A$2:$M$102,2,0)/1000</f>
        <v>93.639960000000002</v>
      </c>
      <c r="F14" s="189">
        <f t="shared" si="2"/>
        <v>2.8534414090472784</v>
      </c>
      <c r="G14" s="190">
        <f t="shared" si="3"/>
        <v>0.17783991330927257</v>
      </c>
      <c r="H14" s="167"/>
      <c r="I14" s="191">
        <f>VLOOKUP(B14,'2024 by account '!$A$2:$M$102,3,0)/1000</f>
        <v>278.32026999999999</v>
      </c>
      <c r="J14" s="189">
        <f t="shared" ref="J14:J21" si="27">I14/$J$2</f>
        <v>8.3669108716826397</v>
      </c>
      <c r="K14" s="190">
        <f t="shared" si="4"/>
        <v>0.4235981607777764</v>
      </c>
      <c r="L14" s="192"/>
      <c r="M14" s="189">
        <f>VLOOKUP(B14,'2024 by account '!$A$2:$M$102,4,0)/1000</f>
        <v>127.67943</v>
      </c>
      <c r="N14" s="189">
        <f t="shared" ref="N14:N21" si="28">M14/$N$2</f>
        <v>3.6665363884110747</v>
      </c>
      <c r="O14" s="190">
        <f t="shared" si="6"/>
        <v>0.18298829108205195</v>
      </c>
      <c r="P14" s="192"/>
      <c r="Q14" s="189">
        <f>VLOOKUP(B14,'2024 by account '!$A$2:$M$102,5,0)/1000</f>
        <v>219.87926999999999</v>
      </c>
      <c r="R14" s="189">
        <f t="shared" si="7"/>
        <v>6.3379299908337803</v>
      </c>
      <c r="S14" s="190">
        <f t="shared" si="8"/>
        <v>0.22600755949198661</v>
      </c>
      <c r="T14" s="192"/>
      <c r="U14" s="189">
        <f>VLOOKUP(B14,'2024 by account '!$A$2:$M$102,6,0)/1000</f>
        <v>219.76398</v>
      </c>
      <c r="V14" s="189">
        <f t="shared" si="9"/>
        <v>6.3040971873610534</v>
      </c>
      <c r="W14" s="190">
        <f t="shared" si="10"/>
        <v>0.15453491168703862</v>
      </c>
      <c r="X14" s="192"/>
      <c r="Y14" s="189">
        <f>VLOOKUP(B14,'2024 by account '!$A$2:$M$102,7,0)/1000</f>
        <v>-1233.5907099999999</v>
      </c>
      <c r="Z14" s="189">
        <f t="shared" si="11"/>
        <v>-35.178408860828078</v>
      </c>
      <c r="AA14" s="190">
        <f t="shared" si="12"/>
        <v>-1.1356666083686751</v>
      </c>
      <c r="AB14" s="192"/>
      <c r="AC14" s="189">
        <f>VLOOKUP(B14,'2024 by account '!$A$2:$M$102,8,0)/1000</f>
        <v>127.96846000000001</v>
      </c>
      <c r="AD14" s="189">
        <f t="shared" si="13"/>
        <v>3.5848619908171302</v>
      </c>
      <c r="AE14" s="190">
        <f t="shared" si="14"/>
        <v>0.10397836212017085</v>
      </c>
      <c r="AF14" s="192"/>
      <c r="AG14" s="189">
        <f>VLOOKUP(B14,'2024 by account '!$A$2:$M$102,9,0)/1000</f>
        <v>216.4907</v>
      </c>
      <c r="AH14" s="189">
        <f t="shared" si="15"/>
        <v>5.8337878404087329</v>
      </c>
      <c r="AI14" s="190">
        <f t="shared" si="16"/>
        <v>0.2280783423414158</v>
      </c>
      <c r="AJ14" s="192"/>
      <c r="AK14" s="189">
        <f>VLOOKUP(B14,'2024 by account '!$A$2:$M$102,10,0)/1000</f>
        <v>267.50367999999997</v>
      </c>
      <c r="AL14" s="189">
        <f t="shared" si="17"/>
        <v>7.0723595093694396</v>
      </c>
      <c r="AM14" s="190">
        <f t="shared" si="18"/>
        <v>0.1763504764953481</v>
      </c>
      <c r="AN14" s="192"/>
      <c r="AO14" s="189">
        <f>VLOOKUP(B14,'2024 by account '!$A$2:$M$102,11,0)/1000</f>
        <v>273.72953000000001</v>
      </c>
      <c r="AP14" s="189">
        <f t="shared" si="19"/>
        <v>7.3292973325241633</v>
      </c>
      <c r="AQ14" s="190">
        <f t="shared" si="20"/>
        <v>0.17795171613674612</v>
      </c>
      <c r="AR14" s="192"/>
      <c r="AS14" s="189">
        <f>VLOOKUP(B14,'2024 by account '!$A$2:$M$102,12,0)/1000</f>
        <v>255.52615</v>
      </c>
      <c r="AT14" s="189">
        <f t="shared" si="21"/>
        <v>6.9770708584878101</v>
      </c>
      <c r="AU14" s="190">
        <f t="shared" si="22"/>
        <v>0.16184344371347276</v>
      </c>
      <c r="AV14" s="192"/>
      <c r="AW14" s="191">
        <f>VLOOKUP(B14,'2024 by account '!$A$2:$M$102,13,0)/1000</f>
        <v>256.71132999999998</v>
      </c>
      <c r="AX14" s="189">
        <f t="shared" si="23"/>
        <v>7.0027128517978197</v>
      </c>
      <c r="AY14" s="190">
        <f t="shared" si="24"/>
        <v>0.26775944831559745</v>
      </c>
      <c r="AZ14" s="167"/>
      <c r="BA14" s="191">
        <f t="shared" si="0"/>
        <v>1103.6220500000002</v>
      </c>
      <c r="BB14" s="189">
        <f t="shared" si="1"/>
        <v>30.150597369912845</v>
      </c>
      <c r="BC14" s="190">
        <f t="shared" si="25"/>
        <v>8.2321101551682013E-2</v>
      </c>
    </row>
    <row r="15" spans="1:55" outlineLevel="1">
      <c r="A15" s="188">
        <v>6666010380</v>
      </c>
      <c r="B15" s="188">
        <v>6666010380</v>
      </c>
      <c r="C15" s="188" t="s">
        <v>25</v>
      </c>
      <c r="D15" s="188" t="s">
        <v>32</v>
      </c>
      <c r="E15" s="189">
        <f>VLOOKUP(B15,'2024 by account '!$A$2:$M$102,2,0)/1000</f>
        <v>-15.295209999999999</v>
      </c>
      <c r="F15" s="189">
        <f t="shared" si="2"/>
        <v>-0.46608291560647847</v>
      </c>
      <c r="G15" s="190">
        <f t="shared" si="3"/>
        <v>-2.9048483365938203E-2</v>
      </c>
      <c r="H15" s="167"/>
      <c r="I15" s="191">
        <f>VLOOKUP(B15,'2024 by account '!$A$2:$M$102,3,0)/1000</f>
        <v>-15.295200000000001</v>
      </c>
      <c r="J15" s="189">
        <f t="shared" si="27"/>
        <v>-0.4598068806291411</v>
      </c>
      <c r="K15" s="190">
        <f t="shared" si="4"/>
        <v>-2.3279003677052507E-2</v>
      </c>
      <c r="L15" s="192"/>
      <c r="M15" s="189">
        <f>VLOOKUP(B15,'2024 by account '!$A$2:$M$102,4,0)/1000</f>
        <v>-14.261760000000001</v>
      </c>
      <c r="N15" s="189">
        <f t="shared" si="28"/>
        <v>-0.40955118614474961</v>
      </c>
      <c r="O15" s="190">
        <f t="shared" si="6"/>
        <v>-2.0439745777549014E-2</v>
      </c>
      <c r="P15" s="192"/>
      <c r="Q15" s="189">
        <f>VLOOKUP(B15,'2024 by account '!$A$2:$M$102,5,0)/1000</f>
        <v>-51.17454</v>
      </c>
      <c r="R15" s="189">
        <f t="shared" si="7"/>
        <v>-1.4750851766659172</v>
      </c>
      <c r="S15" s="190">
        <f t="shared" si="8"/>
        <v>-5.260083360075303E-2</v>
      </c>
      <c r="T15" s="192"/>
      <c r="U15" s="189">
        <f>VLOOKUP(B15,'2024 by account '!$A$2:$M$102,6,0)/1000</f>
        <v>-43.874730000000007</v>
      </c>
      <c r="V15" s="189">
        <f t="shared" si="9"/>
        <v>-1.2585800547898052</v>
      </c>
      <c r="W15" s="190">
        <f t="shared" si="10"/>
        <v>-3.0852087434176723E-2</v>
      </c>
      <c r="X15" s="192"/>
      <c r="Y15" s="189">
        <f>VLOOKUP(B15,'2024 by account '!$A$2:$M$102,7,0)/1000</f>
        <v>-44.253629999999994</v>
      </c>
      <c r="Z15" s="189">
        <f t="shared" si="11"/>
        <v>-1.2619844467828452</v>
      </c>
      <c r="AA15" s="190">
        <f t="shared" si="12"/>
        <v>-4.074071690285528E-2</v>
      </c>
      <c r="AB15" s="192"/>
      <c r="AC15" s="189">
        <f>VLOOKUP(B15,'2024 by account '!$A$2:$M$102,8,0)/1000</f>
        <v>-45.882539999999999</v>
      </c>
      <c r="AD15" s="189">
        <f t="shared" si="13"/>
        <v>-1.2853368219649326</v>
      </c>
      <c r="AE15" s="190">
        <f t="shared" si="14"/>
        <v>-3.7280993762941458E-2</v>
      </c>
      <c r="AF15" s="192"/>
      <c r="AG15" s="189">
        <f>VLOOKUP(B15,'2024 by account '!$A$2:$M$102,9,0)/1000</f>
        <v>-47.3294</v>
      </c>
      <c r="AH15" s="189">
        <f t="shared" si="15"/>
        <v>-1.2753881723965099</v>
      </c>
      <c r="AI15" s="190">
        <f t="shared" si="16"/>
        <v>-4.9862701243119471E-2</v>
      </c>
      <c r="AJ15" s="192"/>
      <c r="AK15" s="189">
        <f>VLOOKUP(B15,'2024 by account '!$A$2:$M$102,10,0)/1000</f>
        <v>-50.989899999999999</v>
      </c>
      <c r="AL15" s="189">
        <f t="shared" si="17"/>
        <v>-1.3480895072052721</v>
      </c>
      <c r="AM15" s="190">
        <f t="shared" si="18"/>
        <v>-3.361483909847577E-2</v>
      </c>
      <c r="AN15" s="192"/>
      <c r="AO15" s="189">
        <f>VLOOKUP(B15,'2024 by account '!$A$2:$M$102,11,0)/1000</f>
        <v>-49.406829999999999</v>
      </c>
      <c r="AP15" s="189">
        <f t="shared" si="19"/>
        <v>-1.3229020169196752</v>
      </c>
      <c r="AQ15" s="190">
        <f t="shared" si="20"/>
        <v>-3.2119407019682793E-2</v>
      </c>
      <c r="AR15" s="192"/>
      <c r="AS15" s="189">
        <f>VLOOKUP(B15,'2024 by account '!$A$2:$M$102,12,0)/1000</f>
        <v>-45.20467</v>
      </c>
      <c r="AT15" s="189">
        <f t="shared" si="21"/>
        <v>-1.2343010127321925</v>
      </c>
      <c r="AU15" s="190">
        <f t="shared" si="22"/>
        <v>-2.8631431517796159E-2</v>
      </c>
      <c r="AV15" s="192"/>
      <c r="AW15" s="191">
        <f>VLOOKUP(B15,'2024 by account '!$A$2:$M$102,13,0)/1000</f>
        <v>-47.040620000000004</v>
      </c>
      <c r="AX15" s="189">
        <f t="shared" si="23"/>
        <v>-1.2831999048524179</v>
      </c>
      <c r="AY15" s="190">
        <f t="shared" si="24"/>
        <v>-4.9065113174489271E-2</v>
      </c>
      <c r="AZ15" s="167"/>
      <c r="BA15" s="191">
        <f t="shared" si="0"/>
        <v>-470.00903</v>
      </c>
      <c r="BB15" s="189">
        <f t="shared" si="1"/>
        <v>-13.080308096689937</v>
      </c>
      <c r="BC15" s="190">
        <f t="shared" si="25"/>
        <v>-3.5713566731166005E-2</v>
      </c>
    </row>
    <row r="16" spans="1:55" outlineLevel="1">
      <c r="A16" s="188">
        <v>6666010019</v>
      </c>
      <c r="B16" s="188">
        <v>6666010019</v>
      </c>
      <c r="C16" s="188" t="s">
        <v>26</v>
      </c>
      <c r="D16" s="188" t="s">
        <v>32</v>
      </c>
      <c r="E16" s="189">
        <f>VLOOKUP(B16,'2024 by account '!$A$2:$M$102,2,0)/1000</f>
        <v>735.87608</v>
      </c>
      <c r="F16" s="189">
        <f t="shared" si="2"/>
        <v>22.423965992717079</v>
      </c>
      <c r="G16" s="190">
        <f t="shared" si="3"/>
        <v>1.3975672167477147</v>
      </c>
      <c r="H16" s="167"/>
      <c r="I16" s="191">
        <f>VLOOKUP(B16,'2024 by account '!$A$2:$M$102,3,0)/1000</f>
        <v>2185.2993300000003</v>
      </c>
      <c r="J16" s="189">
        <f t="shared" si="27"/>
        <v>65.694836822549036</v>
      </c>
      <c r="K16" s="190">
        <f t="shared" si="4"/>
        <v>3.3259840432639241</v>
      </c>
      <c r="L16" s="192"/>
      <c r="M16" s="189">
        <f>VLOOKUP(B16,'2024 by account '!$A$2:$M$102,4,0)/1000</f>
        <v>1003.32412</v>
      </c>
      <c r="N16" s="189">
        <f t="shared" si="28"/>
        <v>28.812193125787918</v>
      </c>
      <c r="O16" s="190">
        <f t="shared" si="6"/>
        <v>1.4379494498072525</v>
      </c>
      <c r="P16" s="192"/>
      <c r="Q16" s="189">
        <f>VLOOKUP(B16,'2024 by account '!$A$2:$M$102,5,0)/1000</f>
        <v>1730.1726899999999</v>
      </c>
      <c r="R16" s="189">
        <f t="shared" si="7"/>
        <v>49.87151986302554</v>
      </c>
      <c r="S16" s="190">
        <f t="shared" si="8"/>
        <v>1.7783946033956972</v>
      </c>
      <c r="T16" s="192"/>
      <c r="U16" s="189">
        <f>VLOOKUP(B16,'2024 by account '!$A$2:$M$102,6,0)/1000</f>
        <v>1728.70857</v>
      </c>
      <c r="V16" s="189">
        <f t="shared" si="9"/>
        <v>49.589322298876951</v>
      </c>
      <c r="W16" s="190">
        <f t="shared" si="10"/>
        <v>1.215603331344731</v>
      </c>
      <c r="X16" s="192"/>
      <c r="Y16" s="189">
        <f>VLOOKUP(B16,'2024 by account '!$A$2:$M$102,7,0)/1000</f>
        <v>1955.0051599999999</v>
      </c>
      <c r="Z16" s="189">
        <f t="shared" si="11"/>
        <v>55.751044723341522</v>
      </c>
      <c r="AA16" s="190">
        <f t="shared" si="12"/>
        <v>1.7998142020706844</v>
      </c>
      <c r="AB16" s="192"/>
      <c r="AC16" s="189">
        <f>VLOOKUP(B16,'2024 by account '!$A$2:$M$102,8,0)/1000</f>
        <v>1727.4339199999999</v>
      </c>
      <c r="AD16" s="189">
        <f t="shared" si="13"/>
        <v>48.391706842891118</v>
      </c>
      <c r="AE16" s="190">
        <f t="shared" si="14"/>
        <v>1.4035938986249128</v>
      </c>
      <c r="AF16" s="192"/>
      <c r="AG16" s="189">
        <f>VLOOKUP(B16,'2024 by account '!$A$2:$M$102,9,0)/1000</f>
        <v>1704.20145</v>
      </c>
      <c r="AH16" s="189">
        <f t="shared" si="15"/>
        <v>45.923218395140907</v>
      </c>
      <c r="AI16" s="190">
        <f t="shared" si="16"/>
        <v>1.7954186564680938</v>
      </c>
      <c r="AJ16" s="192"/>
      <c r="AK16" s="189">
        <f>VLOOKUP(B16,'2024 by account '!$A$2:$M$102,10,0)/1000</f>
        <v>2143.2483700000003</v>
      </c>
      <c r="AL16" s="189">
        <f t="shared" si="17"/>
        <v>56.663979316135219</v>
      </c>
      <c r="AM16" s="190">
        <f t="shared" si="18"/>
        <v>1.4129258756267511</v>
      </c>
      <c r="AN16" s="192"/>
      <c r="AO16" s="189">
        <f>VLOOKUP(B16,'2024 by account '!$A$2:$M$102,11,0)/1000</f>
        <v>2190.4237000000003</v>
      </c>
      <c r="AP16" s="189">
        <f t="shared" si="19"/>
        <v>58.650108307670379</v>
      </c>
      <c r="AQ16" s="190">
        <f t="shared" si="20"/>
        <v>1.4239956371590641</v>
      </c>
      <c r="AR16" s="192"/>
      <c r="AS16" s="189">
        <f>VLOOKUP(B16,'2024 by account '!$A$2:$M$102,12,0)/1000</f>
        <v>2043.1771000000001</v>
      </c>
      <c r="AT16" s="189">
        <f t="shared" si="21"/>
        <v>55.788385662835815</v>
      </c>
      <c r="AU16" s="190">
        <f t="shared" si="22"/>
        <v>1.2940938451133337</v>
      </c>
      <c r="AV16" s="192"/>
      <c r="AW16" s="191">
        <f>VLOOKUP(B16,'2024 by account '!$A$2:$M$102,13,0)/1000</f>
        <v>2052.7159700000002</v>
      </c>
      <c r="AX16" s="189">
        <f t="shared" si="23"/>
        <v>55.995115230050935</v>
      </c>
      <c r="AY16" s="190">
        <f t="shared" si="24"/>
        <v>2.1410589695274322</v>
      </c>
      <c r="AZ16" s="167"/>
      <c r="BA16" s="191">
        <f t="shared" si="0"/>
        <v>21199.586460000006</v>
      </c>
      <c r="BB16" s="189">
        <f t="shared" si="1"/>
        <v>593.55539658102236</v>
      </c>
      <c r="BC16" s="190">
        <f t="shared" si="25"/>
        <v>1.6206025200434189</v>
      </c>
    </row>
    <row r="17" spans="1:55" outlineLevel="1">
      <c r="A17" s="188">
        <v>6666010183</v>
      </c>
      <c r="B17" s="188">
        <v>6666010183</v>
      </c>
      <c r="C17" s="188" t="s">
        <v>27</v>
      </c>
      <c r="D17" s="188" t="s">
        <v>32</v>
      </c>
      <c r="E17" s="189">
        <f>VLOOKUP(B17,'2024 by account '!$A$2:$M$102,2,0)/1000</f>
        <v>3.0031999999999996</v>
      </c>
      <c r="F17" s="189">
        <f t="shared" si="2"/>
        <v>9.1514939131229711E-2</v>
      </c>
      <c r="G17" s="190">
        <f t="shared" si="3"/>
        <v>5.7036422020087076E-3</v>
      </c>
      <c r="H17" s="167"/>
      <c r="I17" s="191">
        <f>VLOOKUP(B17,'2024 by account '!$A$2:$M$102,3,0)/1000</f>
        <v>384.55486999999999</v>
      </c>
      <c r="J17" s="189">
        <f t="shared" si="27"/>
        <v>11.560553324274599</v>
      </c>
      <c r="K17" s="190">
        <f t="shared" si="4"/>
        <v>0.58528520272755158</v>
      </c>
      <c r="L17" s="192"/>
      <c r="M17" s="189">
        <f>VLOOKUP(B17,'2024 by account '!$A$2:$M$102,4,0)/1000</f>
        <v>241.26001000000002</v>
      </c>
      <c r="N17" s="189">
        <f t="shared" si="28"/>
        <v>6.9281998340172715</v>
      </c>
      <c r="O17" s="190">
        <f t="shared" si="6"/>
        <v>0.34577031661512558</v>
      </c>
      <c r="P17" s="192"/>
      <c r="Q17" s="189">
        <f>VLOOKUP(B17,'2024 by account '!$A$2:$M$102,5,0)/1000</f>
        <v>1361.69037</v>
      </c>
      <c r="R17" s="189">
        <f t="shared" si="7"/>
        <v>39.250167759118661</v>
      </c>
      <c r="S17" s="190">
        <f t="shared" si="8"/>
        <v>1.3996422550767984</v>
      </c>
      <c r="T17" s="192"/>
      <c r="U17" s="189">
        <f>VLOOKUP(B17,'2024 by account '!$A$2:$M$102,6,0)/1000</f>
        <v>756.53928000000008</v>
      </c>
      <c r="V17" s="189">
        <f t="shared" si="9"/>
        <v>21.701905595157843</v>
      </c>
      <c r="W17" s="190">
        <f t="shared" si="10"/>
        <v>0.53198768434470367</v>
      </c>
      <c r="X17" s="192"/>
      <c r="Y17" s="189">
        <f>VLOOKUP(B17,'2024 by account '!$A$2:$M$102,7,0)/1000</f>
        <v>326.00621999999998</v>
      </c>
      <c r="Z17" s="189">
        <f t="shared" si="11"/>
        <v>9.2967464859824283</v>
      </c>
      <c r="AA17" s="190">
        <f t="shared" si="12"/>
        <v>0.30012740463527982</v>
      </c>
      <c r="AB17" s="192"/>
      <c r="AC17" s="189">
        <f>VLOOKUP(B17,'2024 by account '!$A$2:$M$102,8,0)/1000</f>
        <v>555.05243000000007</v>
      </c>
      <c r="AD17" s="189">
        <f t="shared" si="13"/>
        <v>15.549037311363174</v>
      </c>
      <c r="AE17" s="190">
        <f t="shared" si="14"/>
        <v>0.45099739859509741</v>
      </c>
      <c r="AF17" s="192"/>
      <c r="AG17" s="189">
        <f>VLOOKUP(B17,'2024 by account '!$A$2:$M$102,9,0)/1000</f>
        <v>277.24708000000004</v>
      </c>
      <c r="AH17" s="189">
        <f t="shared" si="15"/>
        <v>7.4709936458832988</v>
      </c>
      <c r="AI17" s="190">
        <f t="shared" si="16"/>
        <v>0.29208670130124709</v>
      </c>
      <c r="AJ17" s="192"/>
      <c r="AK17" s="189">
        <f>VLOOKUP(B17,'2024 by account '!$A$2:$M$102,10,0)/1000</f>
        <v>517.45020999999997</v>
      </c>
      <c r="AL17" s="189">
        <f t="shared" si="17"/>
        <v>13.680536706331344</v>
      </c>
      <c r="AM17" s="190">
        <f t="shared" si="18"/>
        <v>0.34112648878743629</v>
      </c>
      <c r="AN17" s="192"/>
      <c r="AO17" s="189">
        <f>VLOOKUP(B17,'2024 by account '!$A$2:$M$102,11,0)/1000</f>
        <v>953.19511</v>
      </c>
      <c r="AP17" s="189">
        <f t="shared" si="19"/>
        <v>25.522457796563184</v>
      </c>
      <c r="AQ17" s="190">
        <f t="shared" si="20"/>
        <v>0.61967265876522171</v>
      </c>
      <c r="AR17" s="192"/>
      <c r="AS17" s="189">
        <f>VLOOKUP(B17,'2024 by account '!$A$2:$M$102,12,0)/1000</f>
        <v>782.80507999999998</v>
      </c>
      <c r="AT17" s="189">
        <f t="shared" si="21"/>
        <v>21.374276220043306</v>
      </c>
      <c r="AU17" s="190">
        <f t="shared" si="22"/>
        <v>0.49580784551248674</v>
      </c>
      <c r="AV17" s="192"/>
      <c r="AW17" s="191">
        <f>VLOOKUP(B17,'2024 by account '!$A$2:$M$102,13,0)/1000</f>
        <v>439.80430000000001</v>
      </c>
      <c r="AX17" s="189">
        <f t="shared" si="23"/>
        <v>11.997223589180674</v>
      </c>
      <c r="AY17" s="190">
        <f t="shared" si="24"/>
        <v>0.45873221386382723</v>
      </c>
      <c r="AZ17" s="167"/>
      <c r="BA17" s="191">
        <f t="shared" si="0"/>
        <v>6598.6081600000007</v>
      </c>
      <c r="BB17" s="189">
        <f t="shared" si="1"/>
        <v>184.423613207047</v>
      </c>
      <c r="BC17" s="190">
        <f t="shared" si="25"/>
        <v>0.50353745251148652</v>
      </c>
    </row>
    <row r="18" spans="1:55" outlineLevel="1">
      <c r="A18" s="188">
        <v>6666010229</v>
      </c>
      <c r="B18" s="188">
        <v>6666010229</v>
      </c>
      <c r="C18" s="188" t="s">
        <v>28</v>
      </c>
      <c r="D18" s="188" t="s">
        <v>32</v>
      </c>
      <c r="E18" s="189">
        <f>VLOOKUP(B18,'2024 by account '!$A$2:$M$102,2,0)/1000</f>
        <v>422.93959999999998</v>
      </c>
      <c r="F18" s="189">
        <f t="shared" si="2"/>
        <v>12.888016698916704</v>
      </c>
      <c r="G18" s="190">
        <f t="shared" si="3"/>
        <v>0.803241925766077</v>
      </c>
      <c r="H18" s="167"/>
      <c r="I18" s="191">
        <f>VLOOKUP(B18,'2024 by account '!$A$2:$M$102,3,0)/1000</f>
        <v>650.58636999999999</v>
      </c>
      <c r="J18" s="189">
        <f t="shared" si="27"/>
        <v>19.558037120765743</v>
      </c>
      <c r="K18" s="190">
        <f t="shared" si="4"/>
        <v>0.99018008914366862</v>
      </c>
      <c r="L18" s="192"/>
      <c r="M18" s="189">
        <f>VLOOKUP(B18,'2024 by account '!$A$2:$M$102,4,0)/1000</f>
        <v>65.752319999999997</v>
      </c>
      <c r="N18" s="189">
        <f t="shared" si="28"/>
        <v>1.8881919656318114</v>
      </c>
      <c r="O18" s="190">
        <f t="shared" si="6"/>
        <v>9.4235263044957399E-2</v>
      </c>
      <c r="P18" s="192"/>
      <c r="Q18" s="189">
        <f>VLOOKUP(B18,'2024 by account '!$A$2:$M$102,5,0)/1000</f>
        <v>356.45789000000002</v>
      </c>
      <c r="R18" s="189">
        <f t="shared" si="7"/>
        <v>10.274752829133591</v>
      </c>
      <c r="S18" s="190">
        <f t="shared" si="8"/>
        <v>0.36639278355145993</v>
      </c>
      <c r="T18" s="192"/>
      <c r="U18" s="189">
        <f>VLOOKUP(B18,'2024 by account '!$A$2:$M$102,6,0)/1000</f>
        <v>272.91219000000001</v>
      </c>
      <c r="V18" s="189">
        <f t="shared" si="9"/>
        <v>7.8286940806930483</v>
      </c>
      <c r="W18" s="190">
        <f t="shared" si="10"/>
        <v>0.19190797864129647</v>
      </c>
      <c r="X18" s="192"/>
      <c r="Y18" s="189">
        <f>VLOOKUP(B18,'2024 by account '!$A$2:$M$102,7,0)/1000</f>
        <v>318.15728000000001</v>
      </c>
      <c r="Z18" s="189">
        <f t="shared" si="11"/>
        <v>9.0729176112950469</v>
      </c>
      <c r="AA18" s="190">
        <f t="shared" si="12"/>
        <v>0.29290152412496923</v>
      </c>
      <c r="AB18" s="192"/>
      <c r="AC18" s="189">
        <f>VLOOKUP(B18,'2024 by account '!$A$2:$M$102,8,0)/1000</f>
        <v>330.71258</v>
      </c>
      <c r="AD18" s="189">
        <f t="shared" si="13"/>
        <v>9.2644621801893159</v>
      </c>
      <c r="AE18" s="190">
        <f t="shared" si="14"/>
        <v>0.26871427851000135</v>
      </c>
      <c r="AF18" s="192"/>
      <c r="AG18" s="189">
        <f>VLOOKUP(B18,'2024 by account '!$A$2:$M$102,9,0)/1000</f>
        <v>355.12885999999997</v>
      </c>
      <c r="AH18" s="189">
        <f t="shared" si="15"/>
        <v>9.5696786293647502</v>
      </c>
      <c r="AI18" s="190">
        <f t="shared" si="16"/>
        <v>0.37413709552602825</v>
      </c>
      <c r="AJ18" s="192"/>
      <c r="AK18" s="189">
        <f>VLOOKUP(B18,'2024 by account '!$A$2:$M$102,10,0)/1000</f>
        <v>361.58152000000001</v>
      </c>
      <c r="AL18" s="189">
        <f t="shared" si="17"/>
        <v>9.5596236335300375</v>
      </c>
      <c r="AM18" s="190">
        <f t="shared" si="18"/>
        <v>0.23837082668885989</v>
      </c>
      <c r="AN18" s="192"/>
      <c r="AO18" s="189">
        <f>VLOOKUP(B18,'2024 by account '!$A$2:$M$102,11,0)/1000</f>
        <v>391.85944000000001</v>
      </c>
      <c r="AP18" s="189">
        <f t="shared" si="19"/>
        <v>10.49230730903024</v>
      </c>
      <c r="AQ18" s="190">
        <f t="shared" si="20"/>
        <v>0.2547480347932658</v>
      </c>
      <c r="AR18" s="192"/>
      <c r="AS18" s="189">
        <f>VLOOKUP(B18,'2024 by account '!$A$2:$M$102,12,0)/1000</f>
        <v>397.85932000000003</v>
      </c>
      <c r="AT18" s="189">
        <f t="shared" si="21"/>
        <v>10.863438702261105</v>
      </c>
      <c r="AU18" s="190">
        <f t="shared" si="22"/>
        <v>0.25199347488427526</v>
      </c>
      <c r="AV18" s="192"/>
      <c r="AW18" s="191">
        <f>VLOOKUP(B18,'2024 by account '!$A$2:$M$102,13,0)/1000</f>
        <v>415.06652000000003</v>
      </c>
      <c r="AX18" s="189">
        <f t="shared" si="23"/>
        <v>11.322412820482047</v>
      </c>
      <c r="AY18" s="190">
        <f t="shared" si="24"/>
        <v>0.43292979086460626</v>
      </c>
      <c r="AZ18" s="167"/>
      <c r="BA18" s="191">
        <f t="shared" si="0"/>
        <v>4339.0138900000002</v>
      </c>
      <c r="BB18" s="189">
        <f t="shared" si="1"/>
        <v>122.58253358129343</v>
      </c>
      <c r="BC18" s="190">
        <f t="shared" si="25"/>
        <v>0.33469085443322005</v>
      </c>
    </row>
    <row r="19" spans="1:55" outlineLevel="1">
      <c r="A19" s="188">
        <v>6666010188</v>
      </c>
      <c r="B19" s="188">
        <v>6666010188</v>
      </c>
      <c r="C19" s="188" t="s">
        <v>29</v>
      </c>
      <c r="D19" s="188" t="s">
        <v>32</v>
      </c>
      <c r="E19" s="189">
        <f>VLOOKUP(B19,'2024 by account '!$A$2:$M$102,2,0)/1000</f>
        <v>4465.9793600000003</v>
      </c>
      <c r="F19" s="189">
        <f t="shared" si="2"/>
        <v>136.0894476863773</v>
      </c>
      <c r="G19" s="190">
        <f t="shared" si="3"/>
        <v>8.4817355990263188</v>
      </c>
      <c r="H19" s="167"/>
      <c r="I19" s="191">
        <f>VLOOKUP(B19,'2024 by account '!$A$2:$M$102,3,0)/1000</f>
        <v>13639.447040000001</v>
      </c>
      <c r="J19" s="189">
        <f t="shared" si="27"/>
        <v>410.03135604429963</v>
      </c>
      <c r="K19" s="190">
        <f t="shared" si="4"/>
        <v>20.758979143595568</v>
      </c>
      <c r="L19" s="192"/>
      <c r="M19" s="189">
        <f>VLOOKUP(B19,'2024 by account '!$A$2:$M$102,4,0)/1000</f>
        <v>4580.1427599999997</v>
      </c>
      <c r="N19" s="189">
        <f t="shared" si="28"/>
        <v>131.52674705438088</v>
      </c>
      <c r="O19" s="190">
        <f t="shared" si="6"/>
        <v>6.5641935945690912</v>
      </c>
      <c r="P19" s="192"/>
      <c r="Q19" s="189">
        <f>VLOOKUP(B19,'2024 by account '!$A$2:$M$102,5,0)/1000</f>
        <v>9638.4983800000009</v>
      </c>
      <c r="R19" s="189">
        <f t="shared" si="7"/>
        <v>277.82577206666554</v>
      </c>
      <c r="S19" s="190">
        <f t="shared" si="8"/>
        <v>9.9071344744380259</v>
      </c>
      <c r="T19" s="192"/>
      <c r="U19" s="189">
        <f>VLOOKUP(B19,'2024 by account '!$A$2:$M$102,6,0)/1000</f>
        <v>10259.971289999999</v>
      </c>
      <c r="V19" s="189">
        <f t="shared" si="9"/>
        <v>294.31509272672508</v>
      </c>
      <c r="W19" s="190">
        <f t="shared" si="10"/>
        <v>7.2146661942129988</v>
      </c>
      <c r="X19" s="192"/>
      <c r="Y19" s="189">
        <f>VLOOKUP(B19,'2024 by account '!$A$2:$M$102,7,0)/1000</f>
        <v>12027.993869999998</v>
      </c>
      <c r="Z19" s="189">
        <f t="shared" si="11"/>
        <v>343.00330142271724</v>
      </c>
      <c r="AA19" s="190">
        <f t="shared" si="12"/>
        <v>11.073195422995779</v>
      </c>
      <c r="AB19" s="192"/>
      <c r="AC19" s="189">
        <f>VLOOKUP(B19,'2024 by account '!$A$2:$M$102,8,0)/1000</f>
        <v>9147.0945299999985</v>
      </c>
      <c r="AD19" s="189">
        <f t="shared" si="13"/>
        <v>256.24338612036337</v>
      </c>
      <c r="AE19" s="190">
        <f t="shared" si="14"/>
        <v>7.4322993914889164</v>
      </c>
      <c r="AF19" s="192"/>
      <c r="AG19" s="189">
        <f>VLOOKUP(B19,'2024 by account '!$A$2:$M$102,9,0)/1000</f>
        <v>10575.98214</v>
      </c>
      <c r="AH19" s="189">
        <f t="shared" si="15"/>
        <v>284.99162323698863</v>
      </c>
      <c r="AI19" s="190">
        <f t="shared" si="16"/>
        <v>11.142060490929261</v>
      </c>
      <c r="AJ19" s="192"/>
      <c r="AK19" s="189">
        <f>VLOOKUP(B19,'2024 by account '!$A$2:$M$102,10,0)/1000</f>
        <v>12607.75585</v>
      </c>
      <c r="AL19" s="189">
        <f t="shared" si="17"/>
        <v>333.32843113618355</v>
      </c>
      <c r="AM19" s="190">
        <f t="shared" si="18"/>
        <v>8.3116006168009058</v>
      </c>
      <c r="AN19" s="192"/>
      <c r="AO19" s="189">
        <f>VLOOKUP(B19,'2024 by account '!$A$2:$M$102,11,0)/1000</f>
        <v>12454.578099999999</v>
      </c>
      <c r="AP19" s="189">
        <f t="shared" si="19"/>
        <v>333.47993563589523</v>
      </c>
      <c r="AQ19" s="190">
        <f t="shared" si="20"/>
        <v>8.0967279878577028</v>
      </c>
      <c r="AR19" s="192"/>
      <c r="AS19" s="189">
        <f>VLOOKUP(B19,'2024 by account '!$A$2:$M$102,12,0)/1000</f>
        <v>11929.46996</v>
      </c>
      <c r="AT19" s="189">
        <f t="shared" si="21"/>
        <v>325.73087809260124</v>
      </c>
      <c r="AU19" s="190">
        <f t="shared" si="22"/>
        <v>7.5558078889492286</v>
      </c>
      <c r="AV19" s="192"/>
      <c r="AW19" s="191">
        <f>VLOOKUP(B19,'2024 by account '!$A$2:$M$102,13,0)/1000</f>
        <v>10234.57322</v>
      </c>
      <c r="AX19" s="189">
        <f t="shared" si="23"/>
        <v>279.18431734337474</v>
      </c>
      <c r="AY19" s="190">
        <f t="shared" si="24"/>
        <v>10.67503985559495</v>
      </c>
      <c r="AZ19" s="167"/>
      <c r="BA19" s="191">
        <f t="shared" si="0"/>
        <v>121561.4865</v>
      </c>
      <c r="BB19" s="189">
        <f t="shared" si="1"/>
        <v>3405.7502885665726</v>
      </c>
      <c r="BC19" s="190">
        <f t="shared" si="25"/>
        <v>9.2988245614176215</v>
      </c>
    </row>
    <row r="20" spans="1:55" s="167" customFormat="1" outlineLevel="1">
      <c r="A20" s="188">
        <v>5102040406</v>
      </c>
      <c r="B20" s="188">
        <v>5102040406</v>
      </c>
      <c r="C20" s="188" t="s">
        <v>30</v>
      </c>
      <c r="D20" s="188" t="s">
        <v>32</v>
      </c>
      <c r="E20" s="189"/>
      <c r="F20" s="189">
        <f t="shared" si="2"/>
        <v>0</v>
      </c>
      <c r="G20" s="190">
        <f t="shared" si="3"/>
        <v>0</v>
      </c>
      <c r="I20" s="191"/>
      <c r="J20" s="189"/>
      <c r="K20" s="190">
        <f t="shared" si="4"/>
        <v>0</v>
      </c>
      <c r="L20" s="192"/>
      <c r="M20" s="189"/>
      <c r="N20" s="189"/>
      <c r="O20" s="190">
        <f t="shared" si="6"/>
        <v>0</v>
      </c>
      <c r="P20" s="192"/>
      <c r="Q20" s="189"/>
      <c r="R20" s="189">
        <f t="shared" si="7"/>
        <v>0</v>
      </c>
      <c r="S20" s="190">
        <f t="shared" si="8"/>
        <v>0</v>
      </c>
      <c r="T20" s="192"/>
      <c r="U20" s="189"/>
      <c r="V20" s="189">
        <f t="shared" si="9"/>
        <v>0</v>
      </c>
      <c r="W20" s="190">
        <f t="shared" si="10"/>
        <v>0</v>
      </c>
      <c r="X20" s="192"/>
      <c r="Y20" s="189"/>
      <c r="Z20" s="189">
        <f t="shared" si="11"/>
        <v>0</v>
      </c>
      <c r="AA20" s="190">
        <f t="shared" si="12"/>
        <v>0</v>
      </c>
      <c r="AB20" s="192"/>
      <c r="AC20" s="189"/>
      <c r="AD20" s="189">
        <f t="shared" si="13"/>
        <v>0</v>
      </c>
      <c r="AE20" s="190">
        <f t="shared" si="14"/>
        <v>0</v>
      </c>
      <c r="AF20" s="192"/>
      <c r="AG20" s="189"/>
      <c r="AH20" s="189">
        <f t="shared" si="15"/>
        <v>0</v>
      </c>
      <c r="AI20" s="190">
        <f t="shared" si="16"/>
        <v>0</v>
      </c>
      <c r="AJ20" s="192"/>
      <c r="AK20" s="189"/>
      <c r="AL20" s="189">
        <f t="shared" si="17"/>
        <v>0</v>
      </c>
      <c r="AM20" s="190">
        <f t="shared" si="18"/>
        <v>0</v>
      </c>
      <c r="AN20" s="192"/>
      <c r="AO20" s="189"/>
      <c r="AP20" s="189">
        <f t="shared" si="19"/>
        <v>0</v>
      </c>
      <c r="AQ20" s="190">
        <f t="shared" si="20"/>
        <v>0</v>
      </c>
      <c r="AR20" s="192"/>
      <c r="AS20" s="189"/>
      <c r="AT20" s="189">
        <f t="shared" si="21"/>
        <v>0</v>
      </c>
      <c r="AU20" s="190">
        <f t="shared" si="22"/>
        <v>0</v>
      </c>
      <c r="AV20" s="192"/>
      <c r="AW20" s="191"/>
      <c r="AX20" s="189">
        <f t="shared" si="23"/>
        <v>0</v>
      </c>
      <c r="AY20" s="190">
        <f t="shared" si="24"/>
        <v>0</v>
      </c>
      <c r="BA20" s="191">
        <f t="shared" si="0"/>
        <v>0</v>
      </c>
      <c r="BB20" s="189">
        <f t="shared" si="1"/>
        <v>0</v>
      </c>
      <c r="BC20" s="190">
        <f t="shared" si="25"/>
        <v>0</v>
      </c>
    </row>
    <row r="21" spans="1:55" outlineLevel="1">
      <c r="A21" s="188">
        <v>6666010115</v>
      </c>
      <c r="B21" s="188">
        <v>6666010115</v>
      </c>
      <c r="C21" s="188" t="s">
        <v>31</v>
      </c>
      <c r="D21" s="188" t="s">
        <v>32</v>
      </c>
      <c r="E21" s="189">
        <f>VLOOKUP(B21,'2024 by account '!$A$2:$M$102,2,0)/1000</f>
        <v>76.87885</v>
      </c>
      <c r="F21" s="189">
        <f t="shared" si="2"/>
        <v>2.3426888912589705</v>
      </c>
      <c r="G21" s="190">
        <f t="shared" si="3"/>
        <v>0.14600740986344474</v>
      </c>
      <c r="H21" s="167"/>
      <c r="I21" s="191">
        <f>VLOOKUP(B21,'2024 by account '!$A$2:$M$102,3,0)/1000</f>
        <v>-10888.23451</v>
      </c>
      <c r="J21" s="189">
        <f t="shared" si="27"/>
        <v>-327.32394121042313</v>
      </c>
      <c r="K21" s="190">
        <f t="shared" si="4"/>
        <v>-16.571685966505829</v>
      </c>
      <c r="L21" s="192"/>
      <c r="M21" s="189">
        <f>VLOOKUP(B21,'2024 by account '!$A$2:$M$102,4,0)/1000</f>
        <v>-366.10808000000003</v>
      </c>
      <c r="N21" s="189">
        <f t="shared" si="28"/>
        <v>-10.513428806905802</v>
      </c>
      <c r="O21" s="190">
        <f t="shared" si="6"/>
        <v>-0.5247007439689475</v>
      </c>
      <c r="P21" s="192"/>
      <c r="Q21" s="189">
        <f>VLOOKUP(B21,'2024 by account '!$A$2:$M$102,5,0)/1000</f>
        <v>-8.3323499999999999</v>
      </c>
      <c r="R21" s="189">
        <f t="shared" si="7"/>
        <v>-0.2401765794434548</v>
      </c>
      <c r="S21" s="190">
        <f t="shared" si="8"/>
        <v>-8.5645822288433759E-3</v>
      </c>
      <c r="T21" s="192"/>
      <c r="U21" s="189">
        <f>VLOOKUP(B21,'2024 by account '!$A$2:$M$102,6,0)/1000</f>
        <v>35.239429999999999</v>
      </c>
      <c r="V21" s="189">
        <f t="shared" si="9"/>
        <v>1.0108698957272557</v>
      </c>
      <c r="W21" s="190">
        <f t="shared" si="10"/>
        <v>2.4779867032584588E-2</v>
      </c>
      <c r="X21" s="192"/>
      <c r="Y21" s="189">
        <f>VLOOKUP(B21,'2024 by account '!$A$2:$M$102,7,0)/1000</f>
        <v>-3.6016500000000002</v>
      </c>
      <c r="Z21" s="189">
        <f t="shared" si="11"/>
        <v>-0.10270855255841013</v>
      </c>
      <c r="AA21" s="190">
        <f t="shared" si="12"/>
        <v>-3.3157461440602443E-3</v>
      </c>
      <c r="AB21" s="192"/>
      <c r="AC21" s="189">
        <f>VLOOKUP(B21,'2024 by account '!$A$2:$M$102,8,0)/1000</f>
        <v>140.22935999999999</v>
      </c>
      <c r="AD21" s="189">
        <f t="shared" si="13"/>
        <v>3.9283343931826011</v>
      </c>
      <c r="AE21" s="190">
        <f t="shared" si="14"/>
        <v>0.11394072550345451</v>
      </c>
      <c r="AF21" s="192"/>
      <c r="AG21" s="189">
        <f>VLOOKUP(B21,'2024 by account '!$A$2:$M$102,9,0)/1000</f>
        <v>-135.88477</v>
      </c>
      <c r="AH21" s="189">
        <f t="shared" si="15"/>
        <v>-3.6616950239559363</v>
      </c>
      <c r="AI21" s="190">
        <f t="shared" si="16"/>
        <v>-0.14315798826944781</v>
      </c>
      <c r="AJ21" s="192"/>
      <c r="AK21" s="189">
        <f>VLOOKUP(B21,'2024 by account '!$A$2:$M$102,10,0)/1000</f>
        <v>25.779979999999998</v>
      </c>
      <c r="AL21" s="189">
        <f t="shared" si="17"/>
        <v>0.68158048032966856</v>
      </c>
      <c r="AM21" s="190">
        <f t="shared" si="18"/>
        <v>1.6995324165411645E-2</v>
      </c>
      <c r="AN21" s="192"/>
      <c r="AO21" s="189">
        <f>VLOOKUP(B21,'2024 by account '!$A$2:$M$102,11,0)/1000</f>
        <v>74.725399999999993</v>
      </c>
      <c r="AP21" s="189">
        <f t="shared" si="19"/>
        <v>2.00082422562082</v>
      </c>
      <c r="AQ21" s="190">
        <f t="shared" si="20"/>
        <v>4.8579023129162596E-2</v>
      </c>
      <c r="AR21" s="192"/>
      <c r="AS21" s="189">
        <f>VLOOKUP(B21,'2024 by account '!$A$2:$M$102,12,0)/1000</f>
        <v>-58.980699999999999</v>
      </c>
      <c r="AT21" s="189">
        <f t="shared" si="21"/>
        <v>-1.6104517020399358</v>
      </c>
      <c r="AU21" s="190">
        <f t="shared" si="22"/>
        <v>-3.7356801253535972E-2</v>
      </c>
      <c r="AV21" s="192"/>
      <c r="AW21" s="191">
        <f>VLOOKUP(B21,'2024 by account '!$A$2:$M$102,13,0)/1000</f>
        <v>-47.450019999999995</v>
      </c>
      <c r="AX21" s="189">
        <f t="shared" si="23"/>
        <v>-1.2943677432237353</v>
      </c>
      <c r="AY21" s="190">
        <f t="shared" si="24"/>
        <v>-4.9492132574608473E-2</v>
      </c>
      <c r="AZ21" s="167"/>
      <c r="BA21" s="191">
        <f t="shared" si="0"/>
        <v>-11155.739060000002</v>
      </c>
      <c r="BB21" s="189">
        <f t="shared" si="1"/>
        <v>-334.78247173243113</v>
      </c>
      <c r="BC21" s="190">
        <f t="shared" si="25"/>
        <v>-0.91406685960757272</v>
      </c>
    </row>
    <row r="22" spans="1:55" s="33" customFormat="1">
      <c r="B22" s="37" t="s">
        <v>1</v>
      </c>
      <c r="C22" s="36" t="s">
        <v>32</v>
      </c>
      <c r="D22" s="38"/>
      <c r="E22" s="97">
        <f>SUM(E14:E21)</f>
        <v>5783.0218400000003</v>
      </c>
      <c r="F22" s="97">
        <f t="shared" si="2"/>
        <v>176.22299270184209</v>
      </c>
      <c r="G22" s="171">
        <f t="shared" si="3"/>
        <v>10.983047223548899</v>
      </c>
      <c r="H22" s="167"/>
      <c r="I22" s="97">
        <f>SUM(I14:I21)</f>
        <v>6234.678170000001</v>
      </c>
      <c r="J22" s="97">
        <f>SUM(J14:J21)</f>
        <v>187.42794609251933</v>
      </c>
      <c r="K22" s="171">
        <f t="shared" si="4"/>
        <v>9.4890616693256042</v>
      </c>
      <c r="L22" s="174"/>
      <c r="M22" s="173">
        <f>SUM(M14:M21)</f>
        <v>5637.7888000000003</v>
      </c>
      <c r="N22" s="97">
        <f>SUM(N14:N21)</f>
        <v>161.89888837517839</v>
      </c>
      <c r="O22" s="171">
        <f t="shared" si="6"/>
        <v>8.0799964253719807</v>
      </c>
      <c r="P22" s="174"/>
      <c r="Q22" s="97">
        <f>SUM(Q14:Q21)</f>
        <v>13247.191710000001</v>
      </c>
      <c r="R22" s="97">
        <f t="shared" si="7"/>
        <v>381.84488075266773</v>
      </c>
      <c r="S22" s="171">
        <f t="shared" si="8"/>
        <v>13.616406260124371</v>
      </c>
      <c r="T22" s="174"/>
      <c r="U22" s="97">
        <f>SUM(U14:U21)</f>
        <v>13229.26001</v>
      </c>
      <c r="V22" s="97">
        <f t="shared" si="9"/>
        <v>379.49140172975143</v>
      </c>
      <c r="W22" s="171">
        <f t="shared" si="10"/>
        <v>9.3026278798291777</v>
      </c>
      <c r="X22" s="174"/>
      <c r="Y22" s="97">
        <f>SUM(Y14:Y21)</f>
        <v>13345.716539999998</v>
      </c>
      <c r="Z22" s="97">
        <f t="shared" si="11"/>
        <v>380.5809083831669</v>
      </c>
      <c r="AA22" s="171">
        <f t="shared" si="12"/>
        <v>12.286315482411123</v>
      </c>
      <c r="AB22" s="174"/>
      <c r="AC22" s="97">
        <f>SUM(AC14:AC21)</f>
        <v>11982.608739999998</v>
      </c>
      <c r="AD22" s="97">
        <f t="shared" si="13"/>
        <v>335.67645201684172</v>
      </c>
      <c r="AE22" s="171">
        <f t="shared" si="14"/>
        <v>9.7362430610796107</v>
      </c>
      <c r="AF22" s="174"/>
      <c r="AG22" s="97">
        <f>SUM(AG14:AG21)</f>
        <v>12945.83606</v>
      </c>
      <c r="AH22" s="97">
        <f t="shared" si="15"/>
        <v>348.85221855143385</v>
      </c>
      <c r="AI22" s="171">
        <f t="shared" si="16"/>
        <v>13.638760597053478</v>
      </c>
      <c r="AJ22" s="174"/>
      <c r="AK22" s="97">
        <f>SUM(AK14:AK21)</f>
        <v>15872.329709999998</v>
      </c>
      <c r="AL22" s="97">
        <f t="shared" si="17"/>
        <v>419.63842127467393</v>
      </c>
      <c r="AM22" s="171">
        <f t="shared" si="18"/>
        <v>10.463754769466236</v>
      </c>
      <c r="AN22" s="174"/>
      <c r="AO22" s="97">
        <f>SUM(AO14:AO21)</f>
        <v>16289.104449999999</v>
      </c>
      <c r="AP22" s="97">
        <f t="shared" si="19"/>
        <v>436.1520285903843</v>
      </c>
      <c r="AQ22" s="171">
        <f t="shared" si="20"/>
        <v>10.589555650821481</v>
      </c>
      <c r="AR22" s="174"/>
      <c r="AS22" s="97">
        <f>SUM(AS14:AS21)</f>
        <v>15304.652239999999</v>
      </c>
      <c r="AT22" s="97">
        <f t="shared" si="21"/>
        <v>417.88929682145715</v>
      </c>
      <c r="AU22" s="171">
        <f t="shared" si="22"/>
        <v>9.6935582654014638</v>
      </c>
      <c r="AV22" s="174"/>
      <c r="AW22" s="97">
        <f>SUM(AW14:AW21)</f>
        <v>13304.3807</v>
      </c>
      <c r="AX22" s="97">
        <f t="shared" si="23"/>
        <v>362.92421418681005</v>
      </c>
      <c r="AY22" s="171">
        <f t="shared" si="24"/>
        <v>13.876963032417315</v>
      </c>
      <c r="AZ22" s="103"/>
      <c r="BA22" s="97">
        <f t="shared" si="0"/>
        <v>143176.56896999999</v>
      </c>
      <c r="BB22" s="97">
        <f t="shared" si="1"/>
        <v>3988.5996494767273</v>
      </c>
      <c r="BC22" s="171">
        <f t="shared" si="25"/>
        <v>10.890196063618692</v>
      </c>
    </row>
    <row r="23" spans="1:55" outlineLevel="2">
      <c r="A23" s="188">
        <v>8701530201</v>
      </c>
      <c r="B23" s="188">
        <v>8701530201</v>
      </c>
      <c r="C23" s="188" t="s">
        <v>33</v>
      </c>
      <c r="D23" s="188" t="s">
        <v>37</v>
      </c>
      <c r="E23" s="189">
        <f>VLOOKUP(B23,'2024 by account '!$A$2:$M$102,2,0)/1000</f>
        <v>0</v>
      </c>
      <c r="F23" s="189">
        <f t="shared" si="2"/>
        <v>0</v>
      </c>
      <c r="G23" s="190">
        <f t="shared" si="3"/>
        <v>0</v>
      </c>
      <c r="H23" s="167"/>
      <c r="I23" s="191">
        <f>VLOOKUP(B23,'2024 by account '!$A$2:$M$102,3,0)/1000</f>
        <v>0</v>
      </c>
      <c r="J23" s="189">
        <f t="shared" ref="J23:J26" si="29">I23/$J$2</f>
        <v>0</v>
      </c>
      <c r="K23" s="190">
        <f t="shared" si="4"/>
        <v>0</v>
      </c>
      <c r="L23" s="192"/>
      <c r="M23" s="189">
        <f>VLOOKUP(B23,'2024 by account '!$A$2:$M$102,4,0)/1000</f>
        <v>0</v>
      </c>
      <c r="N23" s="189">
        <f t="shared" ref="N23:N26" si="30">M23/$N$2</f>
        <v>0</v>
      </c>
      <c r="O23" s="190">
        <f t="shared" si="6"/>
        <v>0</v>
      </c>
      <c r="P23" s="192"/>
      <c r="Q23" s="189">
        <f>VLOOKUP(B23,'2024 by account '!$A$2:$M$102,5,0)/1000</f>
        <v>0</v>
      </c>
      <c r="R23" s="189">
        <f t="shared" si="7"/>
        <v>0</v>
      </c>
      <c r="S23" s="190">
        <f t="shared" si="8"/>
        <v>0</v>
      </c>
      <c r="T23" s="192"/>
      <c r="U23" s="189">
        <f>VLOOKUP(B23,'2024 by account '!$A$2:$M$102,6,0)/1000</f>
        <v>0</v>
      </c>
      <c r="V23" s="189">
        <f t="shared" si="9"/>
        <v>0</v>
      </c>
      <c r="W23" s="190">
        <f t="shared" si="10"/>
        <v>0</v>
      </c>
      <c r="X23" s="192"/>
      <c r="Y23" s="189">
        <f>VLOOKUP(B23,'2024 by account '!$A$2:$M$102,7,0)/1000</f>
        <v>0</v>
      </c>
      <c r="Z23" s="189">
        <f t="shared" si="11"/>
        <v>0</v>
      </c>
      <c r="AA23" s="190">
        <f t="shared" si="12"/>
        <v>0</v>
      </c>
      <c r="AB23" s="192"/>
      <c r="AC23" s="189">
        <f>VLOOKUP(B23,'2024 by account '!$A$2:$M$102,8,0)/1000</f>
        <v>0</v>
      </c>
      <c r="AD23" s="189">
        <f t="shared" si="13"/>
        <v>0</v>
      </c>
      <c r="AE23" s="190">
        <f t="shared" si="14"/>
        <v>0</v>
      </c>
      <c r="AF23" s="192"/>
      <c r="AG23" s="189">
        <f>VLOOKUP(B23,'2024 by account '!$A$2:$M$102,9,0)/1000</f>
        <v>0</v>
      </c>
      <c r="AH23" s="189">
        <f t="shared" si="15"/>
        <v>0</v>
      </c>
      <c r="AI23" s="190">
        <f t="shared" si="16"/>
        <v>0</v>
      </c>
      <c r="AJ23" s="192"/>
      <c r="AK23" s="189">
        <f>VLOOKUP(B23,'2024 by account '!$A$2:$M$102,10,0)/1000</f>
        <v>0</v>
      </c>
      <c r="AL23" s="189">
        <f t="shared" si="17"/>
        <v>0</v>
      </c>
      <c r="AM23" s="190">
        <f t="shared" si="18"/>
        <v>0</v>
      </c>
      <c r="AN23" s="192"/>
      <c r="AO23" s="189">
        <f>VLOOKUP(B23,'2024 by account '!$A$2:$M$102,11,0)/1000</f>
        <v>0</v>
      </c>
      <c r="AP23" s="189">
        <f t="shared" si="19"/>
        <v>0</v>
      </c>
      <c r="AQ23" s="190">
        <f t="shared" si="20"/>
        <v>0</v>
      </c>
      <c r="AR23" s="192"/>
      <c r="AS23" s="189">
        <f>VLOOKUP(B23,'2024 by account '!$A$2:$M$102,12,0)/1000</f>
        <v>0</v>
      </c>
      <c r="AT23" s="189">
        <f t="shared" si="21"/>
        <v>0</v>
      </c>
      <c r="AU23" s="190">
        <f t="shared" si="22"/>
        <v>0</v>
      </c>
      <c r="AV23" s="192"/>
      <c r="AW23" s="191">
        <f>VLOOKUP(B23,'2024 by account '!$A$2:$M$102,13,0)/1000</f>
        <v>0</v>
      </c>
      <c r="AX23" s="189">
        <f t="shared" si="23"/>
        <v>0</v>
      </c>
      <c r="AY23" s="190">
        <f t="shared" si="24"/>
        <v>0</v>
      </c>
      <c r="AZ23" s="167"/>
      <c r="BA23" s="191">
        <f t="shared" si="0"/>
        <v>0</v>
      </c>
      <c r="BB23" s="189">
        <f t="shared" si="1"/>
        <v>0</v>
      </c>
      <c r="BC23" s="190">
        <f t="shared" si="25"/>
        <v>0</v>
      </c>
    </row>
    <row r="24" spans="1:55" outlineLevel="2">
      <c r="A24" s="188">
        <v>6666050309</v>
      </c>
      <c r="B24" s="188">
        <v>6666050309</v>
      </c>
      <c r="C24" s="188" t="s">
        <v>34</v>
      </c>
      <c r="D24" s="188" t="s">
        <v>37</v>
      </c>
      <c r="E24" s="189">
        <f>VLOOKUP(B24,'2024 by account '!$A$2:$M$102,2,0)/1000</f>
        <v>248.52800000000002</v>
      </c>
      <c r="F24" s="189">
        <f t="shared" si="2"/>
        <v>7.5732634497889793</v>
      </c>
      <c r="G24" s="190">
        <f t="shared" si="3"/>
        <v>0.4720014615013387</v>
      </c>
      <c r="H24" s="167"/>
      <c r="I24" s="191">
        <f>VLOOKUP(B24,'2024 by account '!$A$2:$M$102,3,0)/1000</f>
        <v>213.31730000000005</v>
      </c>
      <c r="J24" s="189">
        <f t="shared" si="29"/>
        <v>6.4127806303435513</v>
      </c>
      <c r="K24" s="190">
        <f t="shared" si="4"/>
        <v>0.32466487597932114</v>
      </c>
      <c r="L24" s="192"/>
      <c r="M24" s="189">
        <f>VLOOKUP(B24,'2024 by account '!$A$2:$M$102,4,0)/1000</f>
        <v>200.72754</v>
      </c>
      <c r="N24" s="189">
        <f t="shared" si="30"/>
        <v>5.7642396239256355</v>
      </c>
      <c r="O24" s="190">
        <f t="shared" si="6"/>
        <v>0.28767977361509384</v>
      </c>
      <c r="P24" s="192"/>
      <c r="Q24" s="189">
        <f>VLOOKUP(B24,'2024 by account '!$A$2:$M$102,5,0)/1000</f>
        <v>439.46483999999998</v>
      </c>
      <c r="R24" s="189">
        <f t="shared" si="7"/>
        <v>12.66739419933934</v>
      </c>
      <c r="S24" s="190">
        <f t="shared" si="8"/>
        <v>0.45171323322538026</v>
      </c>
      <c r="T24" s="192"/>
      <c r="U24" s="189">
        <f>VLOOKUP(B24,'2024 by account '!$A$2:$M$102,6,0)/1000</f>
        <v>622.70351000000005</v>
      </c>
      <c r="V24" s="189">
        <f t="shared" si="9"/>
        <v>17.862724573657864</v>
      </c>
      <c r="W24" s="190">
        <f t="shared" si="10"/>
        <v>0.43787627037451249</v>
      </c>
      <c r="X24" s="192"/>
      <c r="Y24" s="189">
        <f>VLOOKUP(B24,'2024 by account '!$A$2:$M$102,7,0)/1000</f>
        <v>678.06636000000003</v>
      </c>
      <c r="Z24" s="189">
        <f t="shared" si="11"/>
        <v>19.336474775214093</v>
      </c>
      <c r="AA24" s="190">
        <f t="shared" si="12"/>
        <v>0.62424053380727307</v>
      </c>
      <c r="AB24" s="192"/>
      <c r="AC24" s="189">
        <f>VLOOKUP(B24,'2024 by account '!$A$2:$M$102,8,0)/1000</f>
        <v>463.74725000000007</v>
      </c>
      <c r="AD24" s="189">
        <f t="shared" si="13"/>
        <v>12.991247139107319</v>
      </c>
      <c r="AE24" s="190">
        <f t="shared" si="14"/>
        <v>0.37680909415283581</v>
      </c>
      <c r="AF24" s="192"/>
      <c r="AG24" s="189">
        <f>VLOOKUP(B24,'2024 by account '!$A$2:$M$102,9,0)/1000</f>
        <v>497.21587</v>
      </c>
      <c r="AH24" s="189">
        <f t="shared" si="15"/>
        <v>13.398505785533739</v>
      </c>
      <c r="AI24" s="190">
        <f t="shared" si="16"/>
        <v>0.52382929805042378</v>
      </c>
      <c r="AJ24" s="192"/>
      <c r="AK24" s="189">
        <f>VLOOKUP(B24,'2024 by account '!$A$2:$M$102,10,0)/1000</f>
        <v>528.54885000000002</v>
      </c>
      <c r="AL24" s="189">
        <f t="shared" si="17"/>
        <v>13.973966584174775</v>
      </c>
      <c r="AM24" s="190">
        <f t="shared" si="18"/>
        <v>0.34844321225251285</v>
      </c>
      <c r="AN24" s="192"/>
      <c r="AO24" s="189">
        <f>VLOOKUP(B24,'2024 by account '!$A$2:$M$102,11,0)/1000</f>
        <v>998.42047000000002</v>
      </c>
      <c r="AP24" s="189">
        <f t="shared" si="19"/>
        <v>26.73339806453663</v>
      </c>
      <c r="AQ24" s="190">
        <f t="shared" si="20"/>
        <v>0.64907368986662373</v>
      </c>
      <c r="AR24" s="192"/>
      <c r="AS24" s="189">
        <f>VLOOKUP(B24,'2024 by account '!$A$2:$M$102,12,0)/1000</f>
        <v>498.71390999999994</v>
      </c>
      <c r="AT24" s="189">
        <f t="shared" si="21"/>
        <v>13.617245390280063</v>
      </c>
      <c r="AU24" s="190">
        <f t="shared" si="22"/>
        <v>0.31587208049826171</v>
      </c>
      <c r="AV24" s="192"/>
      <c r="AW24" s="191">
        <f>VLOOKUP(B24,'2024 by account '!$A$2:$M$102,13,0)/1000</f>
        <v>356.59040999999996</v>
      </c>
      <c r="AX24" s="189">
        <f t="shared" si="23"/>
        <v>9.7272693298533177</v>
      </c>
      <c r="AY24" s="190">
        <f t="shared" si="24"/>
        <v>0.37193703704559011</v>
      </c>
      <c r="AZ24" s="167"/>
      <c r="BA24" s="191">
        <f t="shared" si="0"/>
        <v>5746.0443099999993</v>
      </c>
      <c r="BB24" s="189">
        <f t="shared" si="1"/>
        <v>160.0585095457553</v>
      </c>
      <c r="BC24" s="190">
        <f t="shared" si="25"/>
        <v>0.43701266203353745</v>
      </c>
    </row>
    <row r="25" spans="1:55" outlineLevel="2">
      <c r="A25" s="188">
        <v>6666050308</v>
      </c>
      <c r="B25" s="188">
        <v>6666050308</v>
      </c>
      <c r="C25" s="188" t="s">
        <v>35</v>
      </c>
      <c r="D25" s="188" t="s">
        <v>37</v>
      </c>
      <c r="E25" s="189">
        <f>VLOOKUP(B25,'2024 by account '!$A$2:$M$102,2,0)/1000</f>
        <v>-45.794380000000004</v>
      </c>
      <c r="F25" s="189">
        <f t="shared" si="2"/>
        <v>-1.3954681334084991</v>
      </c>
      <c r="G25" s="190">
        <f t="shared" si="3"/>
        <v>-8.69721491684948E-2</v>
      </c>
      <c r="H25" s="167"/>
      <c r="I25" s="191">
        <f>VLOOKUP(B25,'2024 by account '!$A$2:$M$102,3,0)/1000</f>
        <v>25.181039999999999</v>
      </c>
      <c r="J25" s="189">
        <f t="shared" si="29"/>
        <v>0.75699666911172303</v>
      </c>
      <c r="K25" s="190">
        <f t="shared" si="4"/>
        <v>3.8325064252314855E-2</v>
      </c>
      <c r="L25" s="192"/>
      <c r="M25" s="189">
        <f>VLOOKUP(B25,'2024 by account '!$A$2:$M$102,4,0)/1000</f>
        <v>87.066430000000025</v>
      </c>
      <c r="N25" s="189">
        <f t="shared" si="30"/>
        <v>2.5002636196296124</v>
      </c>
      <c r="O25" s="190">
        <f t="shared" si="6"/>
        <v>0.12478233366420186</v>
      </c>
      <c r="P25" s="192"/>
      <c r="Q25" s="189">
        <f>VLOOKUP(B25,'2024 by account '!$A$2:$M$102,5,0)/1000</f>
        <v>-18.991980000000002</v>
      </c>
      <c r="R25" s="189">
        <f t="shared" si="7"/>
        <v>-0.54743605264523276</v>
      </c>
      <c r="S25" s="190">
        <f t="shared" si="8"/>
        <v>-1.9521308442222041E-2</v>
      </c>
      <c r="T25" s="192"/>
      <c r="U25" s="189">
        <f>VLOOKUP(B25,'2024 by account '!$A$2:$M$102,6,0)/1000</f>
        <v>-35.119390000000003</v>
      </c>
      <c r="V25" s="189">
        <f t="shared" si="9"/>
        <v>-1.0074264568781286</v>
      </c>
      <c r="W25" s="190">
        <f t="shared" si="10"/>
        <v>-2.469545660827888E-2</v>
      </c>
      <c r="X25" s="192"/>
      <c r="Y25" s="189">
        <f>VLOOKUP(B25,'2024 by account '!$A$2:$M$102,7,0)/1000</f>
        <v>282.19544000000002</v>
      </c>
      <c r="Z25" s="189">
        <f t="shared" si="11"/>
        <v>8.0473908294763987</v>
      </c>
      <c r="AA25" s="190">
        <f t="shared" si="12"/>
        <v>0.25979438369952218</v>
      </c>
      <c r="AB25" s="192"/>
      <c r="AC25" s="189">
        <f>VLOOKUP(B25,'2024 by account '!$A$2:$M$102,8,0)/1000</f>
        <v>61.047800000000016</v>
      </c>
      <c r="AD25" s="189">
        <f t="shared" si="13"/>
        <v>1.7101709111995724</v>
      </c>
      <c r="AE25" s="190">
        <f t="shared" si="14"/>
        <v>4.9603240165895311E-2</v>
      </c>
      <c r="AF25" s="192"/>
      <c r="AG25" s="189">
        <f>VLOOKUP(B25,'2024 by account '!$A$2:$M$102,9,0)/1000</f>
        <v>69.446989999999985</v>
      </c>
      <c r="AH25" s="189">
        <f t="shared" si="15"/>
        <v>1.8713921928978325</v>
      </c>
      <c r="AI25" s="190">
        <f t="shared" si="16"/>
        <v>7.3164132961835673E-2</v>
      </c>
      <c r="AJ25" s="192"/>
      <c r="AK25" s="189">
        <f>VLOOKUP(B25,'2024 by account '!$A$2:$M$102,10,0)/1000</f>
        <v>141.58386999999999</v>
      </c>
      <c r="AL25" s="189">
        <f t="shared" si="17"/>
        <v>3.7432458101803552</v>
      </c>
      <c r="AM25" s="190">
        <f t="shared" si="18"/>
        <v>9.3338465244872215E-2</v>
      </c>
      <c r="AN25" s="192"/>
      <c r="AO25" s="189">
        <f>VLOOKUP(B25,'2024 by account '!$A$2:$M$102,11,0)/1000</f>
        <v>-284.19874999999996</v>
      </c>
      <c r="AP25" s="189">
        <f t="shared" si="19"/>
        <v>-7.6096179330074509</v>
      </c>
      <c r="AQ25" s="190">
        <f t="shared" si="20"/>
        <v>-0.18475776174539177</v>
      </c>
      <c r="AR25" s="192"/>
      <c r="AS25" s="189">
        <f>VLOOKUP(B25,'2024 by account '!$A$2:$M$102,12,0)/1000</f>
        <v>327.33226999999994</v>
      </c>
      <c r="AT25" s="189">
        <f t="shared" si="21"/>
        <v>8.9377171066822836</v>
      </c>
      <c r="AU25" s="190">
        <f t="shared" si="22"/>
        <v>0.20732352369942667</v>
      </c>
      <c r="AV25" s="192"/>
      <c r="AW25" s="191">
        <f>VLOOKUP(B25,'2024 by account '!$A$2:$M$102,13,0)/1000</f>
        <v>605.26308999999992</v>
      </c>
      <c r="AX25" s="189">
        <f t="shared" si="23"/>
        <v>16.510699465667763</v>
      </c>
      <c r="AY25" s="190">
        <f t="shared" si="24"/>
        <v>0.63131187495383945</v>
      </c>
      <c r="AZ25" s="167"/>
      <c r="BA25" s="191">
        <f t="shared" si="0"/>
        <v>1215.0124299999998</v>
      </c>
      <c r="BB25" s="189">
        <f t="shared" si="1"/>
        <v>33.517928028906233</v>
      </c>
      <c r="BC25" s="190">
        <f t="shared" si="25"/>
        <v>9.1515027819083467E-2</v>
      </c>
    </row>
    <row r="26" spans="1:55" outlineLevel="2">
      <c r="A26" s="188">
        <v>6666050306</v>
      </c>
      <c r="B26" s="188">
        <v>6666050306</v>
      </c>
      <c r="C26" s="188" t="s">
        <v>36</v>
      </c>
      <c r="D26" s="188" t="s">
        <v>37</v>
      </c>
      <c r="E26" s="189">
        <f>VLOOKUP(B26,'2024 by account '!$A$2:$M$102,2,0)/1000</f>
        <v>0</v>
      </c>
      <c r="F26" s="189">
        <f t="shared" si="2"/>
        <v>0</v>
      </c>
      <c r="G26" s="190">
        <f t="shared" si="3"/>
        <v>0</v>
      </c>
      <c r="H26" s="167"/>
      <c r="I26" s="191">
        <f>VLOOKUP(B26,'2024 by account '!$A$2:$M$102,3,0)/1000</f>
        <v>56.56561</v>
      </c>
      <c r="J26" s="189">
        <f t="shared" si="29"/>
        <v>1.7004849027789468</v>
      </c>
      <c r="K26" s="190">
        <f t="shared" si="4"/>
        <v>8.6091783251263002E-2</v>
      </c>
      <c r="L26" s="192"/>
      <c r="M26" s="189">
        <f>VLOOKUP(B26,'2024 by account '!$A$2:$M$102,4,0)/1000</f>
        <v>19.647879999999997</v>
      </c>
      <c r="N26" s="189">
        <f t="shared" si="30"/>
        <v>0.56422296821918905</v>
      </c>
      <c r="O26" s="190">
        <f t="shared" si="6"/>
        <v>2.8159054160762042E-2</v>
      </c>
      <c r="P26" s="192"/>
      <c r="Q26" s="189">
        <f>VLOOKUP(B26,'2024 by account '!$A$2:$M$102,5,0)/1000</f>
        <v>0</v>
      </c>
      <c r="R26" s="189">
        <f t="shared" si="7"/>
        <v>0</v>
      </c>
      <c r="S26" s="190">
        <f t="shared" si="8"/>
        <v>0</v>
      </c>
      <c r="T26" s="192"/>
      <c r="U26" s="189">
        <f>VLOOKUP(B26,'2024 by account '!$A$2:$M$102,6,0)/1000</f>
        <v>8.9912899999999993</v>
      </c>
      <c r="V26" s="189">
        <f t="shared" si="9"/>
        <v>0.25792200341360561</v>
      </c>
      <c r="W26" s="190">
        <f t="shared" si="10"/>
        <v>6.3225475171252042E-3</v>
      </c>
      <c r="X26" s="192"/>
      <c r="Y26" s="189">
        <f>VLOOKUP(B26,'2024 by account '!$A$2:$M$102,7,0)/1000</f>
        <v>9.2952799999999982</v>
      </c>
      <c r="Z26" s="189">
        <f t="shared" si="11"/>
        <v>0.2650742727430867</v>
      </c>
      <c r="AA26" s="190">
        <f t="shared" si="12"/>
        <v>8.5574080818403512E-3</v>
      </c>
      <c r="AB26" s="192"/>
      <c r="AC26" s="189">
        <f>VLOOKUP(B26,'2024 by account '!$A$2:$M$102,8,0)/1000</f>
        <v>194.08080999999999</v>
      </c>
      <c r="AD26" s="189">
        <f t="shared" si="13"/>
        <v>5.436909367480089</v>
      </c>
      <c r="AE26" s="190">
        <f t="shared" si="14"/>
        <v>0.15769670700699276</v>
      </c>
      <c r="AF26" s="192"/>
      <c r="AG26" s="189">
        <f>VLOOKUP(B26,'2024 by account '!$A$2:$M$102,9,0)/1000</f>
        <v>0</v>
      </c>
      <c r="AH26" s="189">
        <f t="shared" si="15"/>
        <v>0</v>
      </c>
      <c r="AI26" s="190">
        <f t="shared" si="16"/>
        <v>0</v>
      </c>
      <c r="AJ26" s="192"/>
      <c r="AK26" s="189">
        <f>VLOOKUP(B26,'2024 by account '!$A$2:$M$102,10,0)/1000</f>
        <v>9.4216700000000024</v>
      </c>
      <c r="AL26" s="189">
        <f t="shared" si="17"/>
        <v>0.24909353553057959</v>
      </c>
      <c r="AM26" s="190">
        <f t="shared" si="18"/>
        <v>6.2111892960946434E-3</v>
      </c>
      <c r="AN26" s="192"/>
      <c r="AO26" s="189">
        <f>VLOOKUP(B26,'2024 by account '!$A$2:$M$102,11,0)/1000</f>
        <v>26.25826</v>
      </c>
      <c r="AP26" s="189">
        <f t="shared" si="19"/>
        <v>0.70308305784445657</v>
      </c>
      <c r="AQ26" s="190">
        <f t="shared" si="20"/>
        <v>1.7070509088898355E-2</v>
      </c>
      <c r="AR26" s="192"/>
      <c r="AS26" s="189">
        <f>VLOOKUP(B26,'2024 by account '!$A$2:$M$102,12,0)/1000</f>
        <v>8.3503800000000012</v>
      </c>
      <c r="AT26" s="189">
        <f t="shared" si="21"/>
        <v>0.22800481655321558</v>
      </c>
      <c r="AU26" s="190">
        <f t="shared" si="22"/>
        <v>5.2889078300444349E-3</v>
      </c>
      <c r="AV26" s="192"/>
      <c r="AW26" s="191">
        <f>VLOOKUP(B26,'2024 by account '!$A$2:$M$102,13,0)/1000</f>
        <v>130.14099999999999</v>
      </c>
      <c r="AX26" s="189">
        <f t="shared" si="23"/>
        <v>3.5500577759689067</v>
      </c>
      <c r="AY26" s="190">
        <f t="shared" si="24"/>
        <v>0.13574189484835036</v>
      </c>
      <c r="AZ26" s="167"/>
      <c r="BA26" s="191">
        <f t="shared" si="0"/>
        <v>462.75217999999995</v>
      </c>
      <c r="BB26" s="189">
        <f t="shared" si="1"/>
        <v>12.954852700532076</v>
      </c>
      <c r="BC26" s="190">
        <f t="shared" si="25"/>
        <v>3.5371032011849837E-2</v>
      </c>
    </row>
    <row r="27" spans="1:55" s="24" customFormat="1">
      <c r="B27" s="37" t="s">
        <v>1</v>
      </c>
      <c r="C27" s="36" t="s">
        <v>37</v>
      </c>
      <c r="D27" s="38"/>
      <c r="E27" s="97">
        <f>SUM(E23:E26)</f>
        <v>202.73362000000003</v>
      </c>
      <c r="F27" s="97">
        <f t="shared" si="2"/>
        <v>6.1777953163804806</v>
      </c>
      <c r="G27" s="171">
        <f t="shared" si="3"/>
        <v>0.38502931233284388</v>
      </c>
      <c r="H27" s="167"/>
      <c r="I27" s="97">
        <f>SUM(I23:I26)</f>
        <v>295.06395000000003</v>
      </c>
      <c r="J27" s="97">
        <f>SUM(J23:J26)</f>
        <v>8.8702622022342208</v>
      </c>
      <c r="K27" s="171">
        <f t="shared" si="4"/>
        <v>0.44908172348289899</v>
      </c>
      <c r="L27" s="172"/>
      <c r="M27" s="173">
        <f>SUM(M23:M26)</f>
        <v>307.44185000000004</v>
      </c>
      <c r="N27" s="97">
        <f>SUM(N23:N26)</f>
        <v>8.8287262117744376</v>
      </c>
      <c r="O27" s="171">
        <f t="shared" si="6"/>
        <v>0.44062116144005775</v>
      </c>
      <c r="P27" s="172"/>
      <c r="Q27" s="97">
        <f>SUM(Q23:Q26)</f>
        <v>420.47285999999997</v>
      </c>
      <c r="R27" s="97">
        <f t="shared" si="7"/>
        <v>12.119958146694108</v>
      </c>
      <c r="S27" s="171">
        <f t="shared" si="8"/>
        <v>0.43219192478315832</v>
      </c>
      <c r="T27" s="172"/>
      <c r="U27" s="97">
        <f>SUM(U23:U26)</f>
        <v>596.57541000000015</v>
      </c>
      <c r="V27" s="97">
        <f t="shared" si="9"/>
        <v>17.113220120193347</v>
      </c>
      <c r="W27" s="171">
        <f t="shared" si="10"/>
        <v>0.41950336128335902</v>
      </c>
      <c r="X27" s="172"/>
      <c r="Y27" s="97">
        <f>SUM(Y23:Y26)</f>
        <v>969.55708000000004</v>
      </c>
      <c r="Z27" s="97">
        <f t="shared" si="11"/>
        <v>27.64893987743358</v>
      </c>
      <c r="AA27" s="171">
        <f t="shared" si="12"/>
        <v>0.89259232558863566</v>
      </c>
      <c r="AB27" s="172"/>
      <c r="AC27" s="97">
        <f>SUM(AC23:AC26)</f>
        <v>718.8758600000001</v>
      </c>
      <c r="AD27" s="97">
        <f t="shared" si="13"/>
        <v>20.138327417786982</v>
      </c>
      <c r="AE27" s="171">
        <f t="shared" si="14"/>
        <v>0.58410904132572383</v>
      </c>
      <c r="AF27" s="172"/>
      <c r="AG27" s="97">
        <f>SUM(AG23:AG26)</f>
        <v>566.66286000000002</v>
      </c>
      <c r="AH27" s="97">
        <f t="shared" si="15"/>
        <v>15.269897978431574</v>
      </c>
      <c r="AI27" s="171">
        <f t="shared" si="16"/>
        <v>0.59699343101225955</v>
      </c>
      <c r="AJ27" s="172"/>
      <c r="AK27" s="97">
        <f>SUM(AK23:AK26)</f>
        <v>679.55439000000001</v>
      </c>
      <c r="AL27" s="97">
        <f t="shared" si="17"/>
        <v>17.96630592988571</v>
      </c>
      <c r="AM27" s="171">
        <f t="shared" si="18"/>
        <v>0.44799286679347966</v>
      </c>
      <c r="AN27" s="172"/>
      <c r="AO27" s="97">
        <f>SUM(AO23:AO26)</f>
        <v>740.47997999999995</v>
      </c>
      <c r="AP27" s="97">
        <f t="shared" si="19"/>
        <v>19.826863189373633</v>
      </c>
      <c r="AQ27" s="171">
        <f t="shared" si="20"/>
        <v>0.48138643721013025</v>
      </c>
      <c r="AR27" s="172"/>
      <c r="AS27" s="97">
        <f>SUM(AS23:AS26)</f>
        <v>834.39655999999979</v>
      </c>
      <c r="AT27" s="97">
        <f t="shared" si="21"/>
        <v>22.782967313515559</v>
      </c>
      <c r="AU27" s="171">
        <f t="shared" si="22"/>
        <v>0.52848451202773283</v>
      </c>
      <c r="AV27" s="172"/>
      <c r="AW27" s="97">
        <f>SUM(AW23:AW26)</f>
        <v>1091.9945</v>
      </c>
      <c r="AX27" s="97">
        <f t="shared" si="23"/>
        <v>29.78802657148999</v>
      </c>
      <c r="AY27" s="171">
        <f t="shared" si="24"/>
        <v>1.1389908068477799</v>
      </c>
      <c r="AZ27" s="45"/>
      <c r="BA27" s="97">
        <f t="shared" si="0"/>
        <v>7423.8089200000004</v>
      </c>
      <c r="BB27" s="97">
        <f t="shared" si="1"/>
        <v>206.53129027519358</v>
      </c>
      <c r="BC27" s="171">
        <f t="shared" si="25"/>
        <v>0.56389872186447076</v>
      </c>
    </row>
    <row r="28" spans="1:55" outlineLevel="2">
      <c r="A28" s="188">
        <v>5102010151</v>
      </c>
      <c r="B28" s="188">
        <v>5102010151</v>
      </c>
      <c r="C28" s="188" t="s">
        <v>41</v>
      </c>
      <c r="D28" s="188" t="s">
        <v>80</v>
      </c>
      <c r="E28" s="189">
        <f>VLOOKUP(B28,'2024 by account '!$A$2:$M$102,2,0)/1000</f>
        <v>0</v>
      </c>
      <c r="F28" s="189">
        <f t="shared" si="2"/>
        <v>0</v>
      </c>
      <c r="G28" s="190">
        <f t="shared" si="3"/>
        <v>0</v>
      </c>
      <c r="H28" s="167"/>
      <c r="I28" s="191">
        <f>VLOOKUP(B28,'2024 by account '!$A$2:$M$102,3,0)/1000</f>
        <v>0</v>
      </c>
      <c r="J28" s="189">
        <f t="shared" ref="J28:J68" si="31">I28/$J$2</f>
        <v>0</v>
      </c>
      <c r="K28" s="190">
        <f t="shared" si="4"/>
        <v>0</v>
      </c>
      <c r="L28" s="192"/>
      <c r="M28" s="189">
        <f>VLOOKUP(B28,'2024 by account '!$A$2:$M$102,4,0)/1000</f>
        <v>0</v>
      </c>
      <c r="N28" s="189">
        <f t="shared" ref="N28:N68" si="32">M28/$N$2</f>
        <v>0</v>
      </c>
      <c r="O28" s="190">
        <f t="shared" si="6"/>
        <v>0</v>
      </c>
      <c r="P28" s="192"/>
      <c r="Q28" s="189">
        <f>VLOOKUP(B28,'2024 by account '!$A$2:$M$102,5,0)/1000</f>
        <v>0</v>
      </c>
      <c r="R28" s="189">
        <f t="shared" si="7"/>
        <v>0</v>
      </c>
      <c r="S28" s="190">
        <f t="shared" si="8"/>
        <v>0</v>
      </c>
      <c r="T28" s="192"/>
      <c r="U28" s="189">
        <f>VLOOKUP(B28,'2024 by account '!$A$2:$M$102,6,0)/1000</f>
        <v>0</v>
      </c>
      <c r="V28" s="189">
        <f t="shared" si="9"/>
        <v>0</v>
      </c>
      <c r="W28" s="190">
        <f t="shared" si="10"/>
        <v>0</v>
      </c>
      <c r="X28" s="192"/>
      <c r="Y28" s="189">
        <f>VLOOKUP(B28,'2024 by account '!$A$2:$M$102,7,0)/1000</f>
        <v>0</v>
      </c>
      <c r="Z28" s="189">
        <f t="shared" si="11"/>
        <v>0</v>
      </c>
      <c r="AA28" s="190">
        <f t="shared" si="12"/>
        <v>0</v>
      </c>
      <c r="AB28" s="192"/>
      <c r="AC28" s="189">
        <f>VLOOKUP(B28,'2024 by account '!$A$2:$M$102,8,0)/1000</f>
        <v>0</v>
      </c>
      <c r="AD28" s="189">
        <f t="shared" si="13"/>
        <v>0</v>
      </c>
      <c r="AE28" s="190">
        <f t="shared" si="14"/>
        <v>0</v>
      </c>
      <c r="AF28" s="192"/>
      <c r="AG28" s="189">
        <f>VLOOKUP(B28,'2024 by account '!$A$2:$M$102,9,0)/1000</f>
        <v>1.0000000000000001E-5</v>
      </c>
      <c r="AH28" s="189">
        <f t="shared" si="15"/>
        <v>2.6947059806304534E-7</v>
      </c>
      <c r="AI28" s="190">
        <f t="shared" si="16"/>
        <v>1.0535248966418224E-8</v>
      </c>
      <c r="AJ28" s="192"/>
      <c r="AK28" s="189">
        <f>VLOOKUP(B28,'2024 by account '!$A$2:$M$102,10,0)/1000</f>
        <v>0</v>
      </c>
      <c r="AL28" s="189">
        <f t="shared" si="17"/>
        <v>0</v>
      </c>
      <c r="AM28" s="190">
        <f t="shared" si="18"/>
        <v>0</v>
      </c>
      <c r="AN28" s="192"/>
      <c r="AO28" s="189">
        <f>VLOOKUP(B28,'2024 by account '!$A$2:$M$102,11,0)/1000</f>
        <v>0</v>
      </c>
      <c r="AP28" s="189">
        <f t="shared" si="19"/>
        <v>0</v>
      </c>
      <c r="AQ28" s="190">
        <f t="shared" si="20"/>
        <v>0</v>
      </c>
      <c r="AR28" s="192"/>
      <c r="AS28" s="189">
        <f>VLOOKUP(B28,'2024 by account '!$A$2:$M$102,12,0)/1000</f>
        <v>0</v>
      </c>
      <c r="AT28" s="189">
        <f t="shared" si="21"/>
        <v>0</v>
      </c>
      <c r="AU28" s="190">
        <f t="shared" si="22"/>
        <v>0</v>
      </c>
      <c r="AV28" s="192"/>
      <c r="AW28" s="191">
        <f>VLOOKUP(B28,'2024 by account '!$A$2:$M$102,13,0)/1000</f>
        <v>0</v>
      </c>
      <c r="AX28" s="189">
        <f t="shared" si="23"/>
        <v>0</v>
      </c>
      <c r="AY28" s="190">
        <f t="shared" si="24"/>
        <v>0</v>
      </c>
      <c r="AZ28" s="167"/>
      <c r="BA28" s="191">
        <f t="shared" si="0"/>
        <v>1.0000000000000001E-5</v>
      </c>
      <c r="BB28" s="189">
        <f t="shared" si="1"/>
        <v>2.6947059806304534E-7</v>
      </c>
      <c r="BC28" s="190">
        <f t="shared" si="25"/>
        <v>7.3574384600674214E-10</v>
      </c>
    </row>
    <row r="29" spans="1:55" outlineLevel="2">
      <c r="A29" s="188"/>
      <c r="B29" s="188">
        <v>5102040893</v>
      </c>
      <c r="C29" s="188" t="s">
        <v>345</v>
      </c>
      <c r="D29" s="188" t="s">
        <v>80</v>
      </c>
      <c r="E29" s="189">
        <f>VLOOKUP(B29,'2024 by account '!$A$2:$M$102,2,0)/1000</f>
        <v>-130.99260000000001</v>
      </c>
      <c r="F29" s="189">
        <f t="shared" si="2"/>
        <v>-3.9916688251336985</v>
      </c>
      <c r="G29" s="190">
        <f t="shared" si="3"/>
        <v>-0.24877960892076648</v>
      </c>
      <c r="H29" s="167"/>
      <c r="I29" s="191">
        <f>VLOOKUP(B29,'2024 by account '!$A$2:$M$102,3,0)/1000</f>
        <v>0</v>
      </c>
      <c r="J29" s="189">
        <f t="shared" si="31"/>
        <v>0</v>
      </c>
      <c r="K29" s="190">
        <f t="shared" si="4"/>
        <v>0</v>
      </c>
      <c r="L29" s="192"/>
      <c r="M29" s="189">
        <f>VLOOKUP(B29,'2024 by account '!$A$2:$M$102,4,0)/1000</f>
        <v>0</v>
      </c>
      <c r="N29" s="189">
        <f t="shared" si="32"/>
        <v>0</v>
      </c>
      <c r="O29" s="190">
        <f t="shared" si="6"/>
        <v>0</v>
      </c>
      <c r="P29" s="192"/>
      <c r="Q29" s="189">
        <f>VLOOKUP(B29,'2024 by account '!$A$2:$M$102,5,0)/1000</f>
        <v>0</v>
      </c>
      <c r="R29" s="189">
        <f t="shared" si="7"/>
        <v>0</v>
      </c>
      <c r="S29" s="190">
        <f t="shared" si="8"/>
        <v>0</v>
      </c>
      <c r="T29" s="192"/>
      <c r="U29" s="189">
        <f>VLOOKUP(B29,'2024 by account '!$A$2:$M$102,6,0)/1000</f>
        <v>0</v>
      </c>
      <c r="V29" s="189">
        <f t="shared" si="9"/>
        <v>0</v>
      </c>
      <c r="W29" s="190">
        <f t="shared" si="10"/>
        <v>0</v>
      </c>
      <c r="X29" s="192"/>
      <c r="Y29" s="189">
        <f>VLOOKUP(B29,'2024 by account '!$A$2:$M$102,7,0)/1000</f>
        <v>0</v>
      </c>
      <c r="Z29" s="189">
        <f t="shared" si="11"/>
        <v>0</v>
      </c>
      <c r="AA29" s="190">
        <f t="shared" si="12"/>
        <v>0</v>
      </c>
      <c r="AB29" s="192"/>
      <c r="AC29" s="189">
        <f>VLOOKUP(B29,'2024 by account '!$A$2:$M$102,8,0)/1000</f>
        <v>0</v>
      </c>
      <c r="AD29" s="189">
        <f t="shared" si="13"/>
        <v>0</v>
      </c>
      <c r="AE29" s="190">
        <f t="shared" si="14"/>
        <v>0</v>
      </c>
      <c r="AF29" s="192"/>
      <c r="AG29" s="189">
        <f>VLOOKUP(B29,'2024 by account '!$A$2:$M$102,9,0)/1000</f>
        <v>0</v>
      </c>
      <c r="AH29" s="189">
        <f t="shared" si="15"/>
        <v>0</v>
      </c>
      <c r="AI29" s="190">
        <f t="shared" si="16"/>
        <v>0</v>
      </c>
      <c r="AJ29" s="192"/>
      <c r="AK29" s="189">
        <f>VLOOKUP(B29,'2024 by account '!$A$2:$M$102,10,0)/1000</f>
        <v>0</v>
      </c>
      <c r="AL29" s="189">
        <f t="shared" si="17"/>
        <v>0</v>
      </c>
      <c r="AM29" s="190">
        <f t="shared" si="18"/>
        <v>0</v>
      </c>
      <c r="AN29" s="192"/>
      <c r="AO29" s="189">
        <f>VLOOKUP(B29,'2024 by account '!$A$2:$M$102,11,0)/1000</f>
        <v>0</v>
      </c>
      <c r="AP29" s="189">
        <f t="shared" si="19"/>
        <v>0</v>
      </c>
      <c r="AQ29" s="190">
        <f t="shared" si="20"/>
        <v>0</v>
      </c>
      <c r="AR29" s="192"/>
      <c r="AS29" s="189">
        <f>VLOOKUP(B29,'2024 by account '!$A$2:$M$102,12,0)/1000</f>
        <v>0</v>
      </c>
      <c r="AT29" s="189">
        <f t="shared" si="21"/>
        <v>0</v>
      </c>
      <c r="AU29" s="190">
        <f t="shared" si="22"/>
        <v>0</v>
      </c>
      <c r="AV29" s="192"/>
      <c r="AW29" s="191">
        <f>VLOOKUP(B29,'2024 by account '!$A$2:$M$102,13,0)/1000</f>
        <v>0.1</v>
      </c>
      <c r="AX29" s="189">
        <f t="shared" si="23"/>
        <v>2.727855000321887E-3</v>
      </c>
      <c r="AY29" s="190">
        <f t="shared" si="24"/>
        <v>1.0430371277948562E-4</v>
      </c>
      <c r="AZ29" s="167"/>
      <c r="BA29" s="191">
        <f t="shared" si="0"/>
        <v>-130.89260000000002</v>
      </c>
      <c r="BB29" s="189">
        <f t="shared" si="1"/>
        <v>-3.9889409701333767</v>
      </c>
      <c r="BC29" s="190">
        <f t="shared" si="25"/>
        <v>-1.0891127981885284E-2</v>
      </c>
    </row>
    <row r="30" spans="1:55" outlineLevel="2">
      <c r="A30" s="188">
        <v>5001010200</v>
      </c>
      <c r="B30" s="188">
        <v>5001010200</v>
      </c>
      <c r="C30" s="188" t="s">
        <v>42</v>
      </c>
      <c r="D30" s="188" t="s">
        <v>80</v>
      </c>
      <c r="E30" s="189">
        <f>VLOOKUP(B30,'2024 by account '!$A$2:$M$102,2,0)/1000</f>
        <v>0</v>
      </c>
      <c r="F30" s="189">
        <f t="shared" si="2"/>
        <v>0</v>
      </c>
      <c r="G30" s="190">
        <f t="shared" si="3"/>
        <v>0</v>
      </c>
      <c r="H30" s="167"/>
      <c r="I30" s="191">
        <f>VLOOKUP(B30,'2024 by account '!$A$2:$M$102,3,0)/1000</f>
        <v>-36.323980000000006</v>
      </c>
      <c r="J30" s="189">
        <f t="shared" si="31"/>
        <v>-1.0919776096968532</v>
      </c>
      <c r="K30" s="190">
        <f t="shared" si="4"/>
        <v>-5.5284407133295521E-2</v>
      </c>
      <c r="L30" s="192"/>
      <c r="M30" s="189">
        <f>VLOOKUP(B30,'2024 by account '!$A$2:$M$102,4,0)/1000</f>
        <v>4.035000000000001</v>
      </c>
      <c r="N30" s="189">
        <f t="shared" si="32"/>
        <v>0.11587202674102391</v>
      </c>
      <c r="O30" s="190">
        <f t="shared" si="6"/>
        <v>5.7829029665630539E-3</v>
      </c>
      <c r="P30" s="192"/>
      <c r="Q30" s="189">
        <f>VLOOKUP(B30,'2024 by account '!$A$2:$M$102,5,0)/1000</f>
        <v>0</v>
      </c>
      <c r="R30" s="189">
        <f t="shared" si="7"/>
        <v>0</v>
      </c>
      <c r="S30" s="190">
        <f t="shared" si="8"/>
        <v>0</v>
      </c>
      <c r="T30" s="192"/>
      <c r="U30" s="189">
        <f>VLOOKUP(B30,'2024 by account '!$A$2:$M$102,6,0)/1000</f>
        <v>3.0709700000000004</v>
      </c>
      <c r="V30" s="189">
        <f t="shared" si="9"/>
        <v>8.8093113982874602E-2</v>
      </c>
      <c r="W30" s="190">
        <f t="shared" si="10"/>
        <v>2.1594625185780898E-3</v>
      </c>
      <c r="X30" s="192"/>
      <c r="Y30" s="189">
        <f>VLOOKUP(B30,'2024 by account '!$A$2:$M$102,7,0)/1000</f>
        <v>0</v>
      </c>
      <c r="Z30" s="189">
        <f t="shared" si="11"/>
        <v>0</v>
      </c>
      <c r="AA30" s="190">
        <f t="shared" si="12"/>
        <v>0</v>
      </c>
      <c r="AB30" s="192"/>
      <c r="AC30" s="189">
        <f>VLOOKUP(B30,'2024 by account '!$A$2:$M$102,8,0)/1000</f>
        <v>0</v>
      </c>
      <c r="AD30" s="189">
        <f t="shared" si="13"/>
        <v>0</v>
      </c>
      <c r="AE30" s="190">
        <f t="shared" si="14"/>
        <v>0</v>
      </c>
      <c r="AF30" s="192"/>
      <c r="AG30" s="189">
        <f>VLOOKUP(B30,'2024 by account '!$A$2:$M$102,9,0)/1000</f>
        <v>0</v>
      </c>
      <c r="AH30" s="189">
        <f t="shared" si="15"/>
        <v>0</v>
      </c>
      <c r="AI30" s="190">
        <f t="shared" si="16"/>
        <v>0</v>
      </c>
      <c r="AJ30" s="192"/>
      <c r="AK30" s="189">
        <f>VLOOKUP(B30,'2024 by account '!$A$2:$M$102,10,0)/1000</f>
        <v>0.66792999999999991</v>
      </c>
      <c r="AL30" s="189">
        <f t="shared" si="17"/>
        <v>1.7658976082471575E-2</v>
      </c>
      <c r="AM30" s="190">
        <f t="shared" si="18"/>
        <v>4.4032954524415456E-4</v>
      </c>
      <c r="AN30" s="192"/>
      <c r="AO30" s="189">
        <f>VLOOKUP(B30,'2024 by account '!$A$2:$M$102,11,0)/1000</f>
        <v>0.43733999999999995</v>
      </c>
      <c r="AP30" s="189">
        <f t="shared" si="19"/>
        <v>1.171008073336522E-2</v>
      </c>
      <c r="AQ30" s="190">
        <f t="shared" si="20"/>
        <v>2.8431497155328669E-4</v>
      </c>
      <c r="AR30" s="192"/>
      <c r="AS30" s="189">
        <f>VLOOKUP(B30,'2024 by account '!$A$2:$M$102,12,0)/1000</f>
        <v>3.2442199999999999</v>
      </c>
      <c r="AT30" s="189">
        <f t="shared" si="21"/>
        <v>8.8582529891845993E-2</v>
      </c>
      <c r="AU30" s="190">
        <f t="shared" si="22"/>
        <v>2.0548023635315704E-3</v>
      </c>
      <c r="AV30" s="192"/>
      <c r="AW30" s="191">
        <f>VLOOKUP(B30,'2024 by account '!$A$2:$M$102,13,0)/1000</f>
        <v>0</v>
      </c>
      <c r="AX30" s="189">
        <f t="shared" si="23"/>
        <v>0</v>
      </c>
      <c r="AY30" s="190">
        <f t="shared" si="24"/>
        <v>0</v>
      </c>
      <c r="AZ30" s="167"/>
      <c r="BA30" s="191">
        <f t="shared" si="0"/>
        <v>-24.868520000000004</v>
      </c>
      <c r="BB30" s="189">
        <f t="shared" si="1"/>
        <v>-0.77006088226527192</v>
      </c>
      <c r="BC30" s="190">
        <f t="shared" si="25"/>
        <v>-2.1025208659114715E-3</v>
      </c>
    </row>
    <row r="31" spans="1:55" outlineLevel="2">
      <c r="A31" s="188">
        <v>5001010201</v>
      </c>
      <c r="B31" s="188">
        <v>5001010201</v>
      </c>
      <c r="C31" s="188" t="s">
        <v>43</v>
      </c>
      <c r="D31" s="188" t="s">
        <v>80</v>
      </c>
      <c r="E31" s="189">
        <f>VLOOKUP(B31,'2024 by account '!$A$2:$M$102,2,0)/1000</f>
        <v>0</v>
      </c>
      <c r="F31" s="189">
        <f t="shared" si="2"/>
        <v>0</v>
      </c>
      <c r="G31" s="190">
        <f t="shared" si="3"/>
        <v>0</v>
      </c>
      <c r="H31" s="167"/>
      <c r="I31" s="191">
        <f>VLOOKUP(B31,'2024 by account '!$A$2:$M$102,3,0)/1000</f>
        <v>0</v>
      </c>
      <c r="J31" s="189">
        <f t="shared" si="31"/>
        <v>0</v>
      </c>
      <c r="K31" s="190">
        <f t="shared" si="4"/>
        <v>0</v>
      </c>
      <c r="L31" s="192"/>
      <c r="M31" s="189">
        <f>VLOOKUP(B31,'2024 by account '!$A$2:$M$102,4,0)/1000</f>
        <v>0.59101999999999999</v>
      </c>
      <c r="N31" s="189">
        <f t="shared" si="32"/>
        <v>1.6972164868520427E-2</v>
      </c>
      <c r="O31" s="190">
        <f t="shared" si="6"/>
        <v>8.4704121717424895E-4</v>
      </c>
      <c r="P31" s="192"/>
      <c r="Q31" s="189">
        <f>VLOOKUP(B31,'2024 by account '!$A$2:$M$102,5,0)/1000</f>
        <v>0.62926999999999988</v>
      </c>
      <c r="R31" s="189">
        <f t="shared" si="7"/>
        <v>1.8138450274698348E-2</v>
      </c>
      <c r="S31" s="190">
        <f t="shared" si="8"/>
        <v>6.4680848249824732E-4</v>
      </c>
      <c r="T31" s="192"/>
      <c r="U31" s="189">
        <f>VLOOKUP(B31,'2024 by account '!$A$2:$M$102,6,0)/1000</f>
        <v>0</v>
      </c>
      <c r="V31" s="189">
        <f t="shared" si="9"/>
        <v>0</v>
      </c>
      <c r="W31" s="190">
        <f t="shared" si="10"/>
        <v>0</v>
      </c>
      <c r="X31" s="192"/>
      <c r="Y31" s="189">
        <f>VLOOKUP(B31,'2024 by account '!$A$2:$M$102,7,0)/1000</f>
        <v>0.56262999999999985</v>
      </c>
      <c r="Z31" s="189">
        <f t="shared" si="11"/>
        <v>1.6044566497560361E-2</v>
      </c>
      <c r="AA31" s="190">
        <f t="shared" si="12"/>
        <v>5.1796766843880293E-4</v>
      </c>
      <c r="AB31" s="192"/>
      <c r="AC31" s="189">
        <f>VLOOKUP(B31,'2024 by account '!$A$2:$M$102,8,0)/1000</f>
        <v>0</v>
      </c>
      <c r="AD31" s="189">
        <f t="shared" si="13"/>
        <v>0</v>
      </c>
      <c r="AE31" s="190">
        <f t="shared" si="14"/>
        <v>0</v>
      </c>
      <c r="AF31" s="192"/>
      <c r="AG31" s="189">
        <f>VLOOKUP(B31,'2024 by account '!$A$2:$M$102,9,0)/1000</f>
        <v>0</v>
      </c>
      <c r="AH31" s="189">
        <f t="shared" si="15"/>
        <v>0</v>
      </c>
      <c r="AI31" s="190">
        <f t="shared" si="16"/>
        <v>0</v>
      </c>
      <c r="AJ31" s="192"/>
      <c r="AK31" s="189">
        <f>VLOOKUP(B31,'2024 by account '!$A$2:$M$102,10,0)/1000</f>
        <v>0.34287000000000001</v>
      </c>
      <c r="AL31" s="189">
        <f t="shared" si="17"/>
        <v>9.0649216675355651E-3</v>
      </c>
      <c r="AM31" s="190">
        <f t="shared" si="18"/>
        <v>2.2603534977896382E-4</v>
      </c>
      <c r="AN31" s="192"/>
      <c r="AO31" s="189">
        <f>VLOOKUP(B31,'2024 by account '!$A$2:$M$102,11,0)/1000</f>
        <v>0</v>
      </c>
      <c r="AP31" s="189">
        <f t="shared" si="19"/>
        <v>0</v>
      </c>
      <c r="AQ31" s="190">
        <f t="shared" si="20"/>
        <v>0</v>
      </c>
      <c r="AR31" s="192"/>
      <c r="AS31" s="189">
        <f>VLOOKUP(B31,'2024 by account '!$A$2:$M$102,12,0)/1000</f>
        <v>6.8080000000000002E-2</v>
      </c>
      <c r="AT31" s="189">
        <f t="shared" si="21"/>
        <v>1.8589055720749134E-3</v>
      </c>
      <c r="AU31" s="190">
        <f t="shared" si="22"/>
        <v>4.3120055023774376E-5</v>
      </c>
      <c r="AV31" s="192"/>
      <c r="AW31" s="191">
        <f>VLOOKUP(B31,'2024 by account '!$A$2:$M$102,13,0)/1000</f>
        <v>0</v>
      </c>
      <c r="AX31" s="189">
        <f t="shared" si="23"/>
        <v>0</v>
      </c>
      <c r="AY31" s="190">
        <f t="shared" si="24"/>
        <v>0</v>
      </c>
      <c r="AZ31" s="167"/>
      <c r="BA31" s="191">
        <f t="shared" si="0"/>
        <v>2.1938699999999995</v>
      </c>
      <c r="BB31" s="189">
        <f t="shared" si="1"/>
        <v>6.2079008880389613E-2</v>
      </c>
      <c r="BC31" s="190">
        <f t="shared" si="25"/>
        <v>1.6949622362606923E-4</v>
      </c>
    </row>
    <row r="32" spans="1:55" outlineLevel="2">
      <c r="A32" s="188">
        <v>5207000011</v>
      </c>
      <c r="B32" s="188">
        <v>5207000011</v>
      </c>
      <c r="C32" s="188" t="s">
        <v>125</v>
      </c>
      <c r="D32" s="188" t="s">
        <v>80</v>
      </c>
      <c r="E32" s="189">
        <f>VLOOKUP(B32,'2024 by account '!$A$2:$M$102,2,0)/1000</f>
        <v>0</v>
      </c>
      <c r="F32" s="189">
        <f t="shared" si="2"/>
        <v>0</v>
      </c>
      <c r="G32" s="190">
        <f t="shared" si="3"/>
        <v>0</v>
      </c>
      <c r="H32" s="167"/>
      <c r="I32" s="191">
        <f>VLOOKUP(B32,'2024 by account '!$A$2:$M$102,3,0)/1000</f>
        <v>0</v>
      </c>
      <c r="J32" s="189">
        <f t="shared" si="31"/>
        <v>0</v>
      </c>
      <c r="K32" s="190">
        <f t="shared" si="4"/>
        <v>0</v>
      </c>
      <c r="L32" s="192"/>
      <c r="M32" s="189">
        <f>VLOOKUP(B32,'2024 by account '!$A$2:$M$102,4,0)/1000</f>
        <v>-109.88594999999998</v>
      </c>
      <c r="N32" s="189">
        <f t="shared" si="32"/>
        <v>-3.155565734042828</v>
      </c>
      <c r="O32" s="190">
        <f t="shared" si="6"/>
        <v>-0.15748693587078044</v>
      </c>
      <c r="P32" s="192"/>
      <c r="Q32" s="189">
        <f>VLOOKUP(B32,'2024 by account '!$A$2:$M$102,5,0)/1000</f>
        <v>0</v>
      </c>
      <c r="R32" s="189">
        <f t="shared" si="7"/>
        <v>0</v>
      </c>
      <c r="S32" s="190">
        <f t="shared" si="8"/>
        <v>0</v>
      </c>
      <c r="T32" s="192"/>
      <c r="U32" s="189">
        <f>VLOOKUP(B32,'2024 by account '!$A$2:$M$102,6,0)/1000</f>
        <v>0</v>
      </c>
      <c r="V32" s="189">
        <f t="shared" si="9"/>
        <v>0</v>
      </c>
      <c r="W32" s="190">
        <f t="shared" si="10"/>
        <v>0</v>
      </c>
      <c r="X32" s="192"/>
      <c r="Y32" s="189">
        <f>VLOOKUP(B32,'2024 by account '!$A$2:$M$102,7,0)/1000</f>
        <v>0</v>
      </c>
      <c r="Z32" s="189">
        <f t="shared" si="11"/>
        <v>0</v>
      </c>
      <c r="AA32" s="190">
        <f t="shared" si="12"/>
        <v>0</v>
      </c>
      <c r="AB32" s="192"/>
      <c r="AC32" s="189">
        <f>VLOOKUP(B32,'2024 by account '!$A$2:$M$102,8,0)/1000</f>
        <v>0</v>
      </c>
      <c r="AD32" s="189">
        <f t="shared" si="13"/>
        <v>0</v>
      </c>
      <c r="AE32" s="190">
        <f t="shared" si="14"/>
        <v>0</v>
      </c>
      <c r="AF32" s="192"/>
      <c r="AG32" s="189">
        <f>VLOOKUP(B32,'2024 by account '!$A$2:$M$102,9,0)/1000</f>
        <v>0</v>
      </c>
      <c r="AH32" s="189">
        <f t="shared" si="15"/>
        <v>0</v>
      </c>
      <c r="AI32" s="190">
        <f t="shared" si="16"/>
        <v>0</v>
      </c>
      <c r="AJ32" s="192"/>
      <c r="AK32" s="189">
        <f>VLOOKUP(B32,'2024 by account '!$A$2:$M$102,10,0)/1000</f>
        <v>0</v>
      </c>
      <c r="AL32" s="189">
        <f t="shared" si="17"/>
        <v>0</v>
      </c>
      <c r="AM32" s="190">
        <f t="shared" si="18"/>
        <v>0</v>
      </c>
      <c r="AN32" s="192"/>
      <c r="AO32" s="189">
        <f>VLOOKUP(B32,'2024 by account '!$A$2:$M$102,11,0)/1000</f>
        <v>0</v>
      </c>
      <c r="AP32" s="189">
        <f t="shared" si="19"/>
        <v>0</v>
      </c>
      <c r="AQ32" s="190">
        <f t="shared" si="20"/>
        <v>0</v>
      </c>
      <c r="AR32" s="192"/>
      <c r="AS32" s="189">
        <f>VLOOKUP(B32,'2024 by account '!$A$2:$M$102,12,0)/1000</f>
        <v>-39.355820000000001</v>
      </c>
      <c r="AT32" s="189">
        <f t="shared" si="21"/>
        <v>-1.0745997810161181</v>
      </c>
      <c r="AU32" s="190">
        <f t="shared" si="22"/>
        <v>-2.4926926026817862E-2</v>
      </c>
      <c r="AV32" s="192"/>
      <c r="AW32" s="191">
        <f>VLOOKUP(B32,'2024 by account '!$A$2:$M$102,13,0)/1000</f>
        <v>0</v>
      </c>
      <c r="AX32" s="189">
        <f t="shared" si="23"/>
        <v>0</v>
      </c>
      <c r="AY32" s="190">
        <f t="shared" si="24"/>
        <v>0</v>
      </c>
      <c r="AZ32" s="167"/>
      <c r="BA32" s="191">
        <f t="shared" si="0"/>
        <v>-149.24176999999997</v>
      </c>
      <c r="BB32" s="189">
        <f t="shared" si="1"/>
        <v>-4.2301655150589461</v>
      </c>
      <c r="BC32" s="190">
        <f t="shared" si="25"/>
        <v>-1.1549750761923208E-2</v>
      </c>
    </row>
    <row r="33" spans="1:55" outlineLevel="2">
      <c r="A33" s="188">
        <v>5207000012</v>
      </c>
      <c r="B33" s="188">
        <v>5207000012</v>
      </c>
      <c r="C33" s="188" t="s">
        <v>44</v>
      </c>
      <c r="D33" s="188" t="s">
        <v>80</v>
      </c>
      <c r="E33" s="189">
        <f>VLOOKUP(B33,'2024 by account '!$A$2:$M$102,2,0)/1000</f>
        <v>0</v>
      </c>
      <c r="F33" s="189">
        <f t="shared" si="2"/>
        <v>0</v>
      </c>
      <c r="G33" s="190">
        <f t="shared" si="3"/>
        <v>0</v>
      </c>
      <c r="H33" s="167"/>
      <c r="I33" s="191">
        <f>VLOOKUP(B33,'2024 by account '!$A$2:$M$102,3,0)/1000</f>
        <v>0</v>
      </c>
      <c r="J33" s="189">
        <f t="shared" si="31"/>
        <v>0</v>
      </c>
      <c r="K33" s="190">
        <f t="shared" si="4"/>
        <v>0</v>
      </c>
      <c r="L33" s="192"/>
      <c r="M33" s="189">
        <f>VLOOKUP(B33,'2024 by account '!$A$2:$M$102,4,0)/1000</f>
        <v>0</v>
      </c>
      <c r="N33" s="189">
        <f t="shared" si="32"/>
        <v>0</v>
      </c>
      <c r="O33" s="190">
        <f t="shared" si="6"/>
        <v>0</v>
      </c>
      <c r="P33" s="192"/>
      <c r="Q33" s="189">
        <f>VLOOKUP(B33,'2024 by account '!$A$2:$M$102,5,0)/1000</f>
        <v>-28.810119999999998</v>
      </c>
      <c r="R33" s="189">
        <f t="shared" si="7"/>
        <v>-0.8304399209053227</v>
      </c>
      <c r="S33" s="190">
        <f t="shared" si="8"/>
        <v>-2.961309135632146E-2</v>
      </c>
      <c r="T33" s="192"/>
      <c r="U33" s="189">
        <f>VLOOKUP(B33,'2024 by account '!$A$2:$M$102,6,0)/1000</f>
        <v>0</v>
      </c>
      <c r="V33" s="189">
        <f t="shared" si="9"/>
        <v>0</v>
      </c>
      <c r="W33" s="190">
        <f t="shared" si="10"/>
        <v>0</v>
      </c>
      <c r="X33" s="192"/>
      <c r="Y33" s="189">
        <f>VLOOKUP(B33,'2024 by account '!$A$2:$M$102,7,0)/1000</f>
        <v>0</v>
      </c>
      <c r="Z33" s="189">
        <f t="shared" si="11"/>
        <v>0</v>
      </c>
      <c r="AA33" s="190">
        <f t="shared" si="12"/>
        <v>0</v>
      </c>
      <c r="AB33" s="192"/>
      <c r="AC33" s="189">
        <f>VLOOKUP(B33,'2024 by account '!$A$2:$M$102,8,0)/1000</f>
        <v>0</v>
      </c>
      <c r="AD33" s="189">
        <f t="shared" si="13"/>
        <v>0</v>
      </c>
      <c r="AE33" s="190">
        <f t="shared" si="14"/>
        <v>0</v>
      </c>
      <c r="AF33" s="192"/>
      <c r="AG33" s="189">
        <f>VLOOKUP(B33,'2024 by account '!$A$2:$M$102,9,0)/1000</f>
        <v>0</v>
      </c>
      <c r="AH33" s="189">
        <f t="shared" si="15"/>
        <v>0</v>
      </c>
      <c r="AI33" s="190">
        <f t="shared" si="16"/>
        <v>0</v>
      </c>
      <c r="AJ33" s="192"/>
      <c r="AK33" s="189">
        <f>VLOOKUP(B33,'2024 by account '!$A$2:$M$102,10,0)/1000</f>
        <v>0</v>
      </c>
      <c r="AL33" s="189">
        <f t="shared" si="17"/>
        <v>0</v>
      </c>
      <c r="AM33" s="190">
        <f t="shared" si="18"/>
        <v>0</v>
      </c>
      <c r="AN33" s="192"/>
      <c r="AO33" s="189">
        <f>VLOOKUP(B33,'2024 by account '!$A$2:$M$102,11,0)/1000</f>
        <v>0</v>
      </c>
      <c r="AP33" s="189">
        <f t="shared" si="19"/>
        <v>0</v>
      </c>
      <c r="AQ33" s="190">
        <f t="shared" si="20"/>
        <v>0</v>
      </c>
      <c r="AR33" s="192"/>
      <c r="AS33" s="189">
        <f>VLOOKUP(B33,'2024 by account '!$A$2:$M$102,12,0)/1000</f>
        <v>33.95411</v>
      </c>
      <c r="AT33" s="189">
        <f t="shared" si="21"/>
        <v>0.9271075833408422</v>
      </c>
      <c r="AU33" s="190">
        <f t="shared" si="22"/>
        <v>2.1505627078191654E-2</v>
      </c>
      <c r="AV33" s="192"/>
      <c r="AW33" s="191">
        <f>VLOOKUP(B33,'2024 by account '!$A$2:$M$102,13,0)/1000</f>
        <v>0</v>
      </c>
      <c r="AX33" s="189">
        <f t="shared" si="23"/>
        <v>0</v>
      </c>
      <c r="AY33" s="190">
        <f t="shared" si="24"/>
        <v>0</v>
      </c>
      <c r="AZ33" s="167"/>
      <c r="BA33" s="191">
        <f t="shared" si="0"/>
        <v>5.1439900000000023</v>
      </c>
      <c r="BB33" s="189">
        <f t="shared" si="1"/>
        <v>9.6667662435519497E-2</v>
      </c>
      <c r="BC33" s="190">
        <f t="shared" si="25"/>
        <v>2.6393468621816298E-4</v>
      </c>
    </row>
    <row r="34" spans="1:55" outlineLevel="2">
      <c r="A34" s="188">
        <v>5207000022</v>
      </c>
      <c r="B34" s="188">
        <v>5207000022</v>
      </c>
      <c r="C34" s="188" t="s">
        <v>45</v>
      </c>
      <c r="D34" s="188" t="s">
        <v>80</v>
      </c>
      <c r="E34" s="189"/>
      <c r="F34" s="189">
        <f t="shared" si="2"/>
        <v>0</v>
      </c>
      <c r="G34" s="190">
        <f t="shared" si="3"/>
        <v>0</v>
      </c>
      <c r="H34" s="167"/>
      <c r="I34" s="191"/>
      <c r="J34" s="189"/>
      <c r="K34" s="190">
        <f t="shared" si="4"/>
        <v>0</v>
      </c>
      <c r="L34" s="192"/>
      <c r="M34" s="189"/>
      <c r="N34" s="189"/>
      <c r="O34" s="190">
        <f t="shared" si="6"/>
        <v>0</v>
      </c>
      <c r="P34" s="192"/>
      <c r="Q34" s="189"/>
      <c r="R34" s="189">
        <f t="shared" si="7"/>
        <v>0</v>
      </c>
      <c r="S34" s="190">
        <f t="shared" si="8"/>
        <v>0</v>
      </c>
      <c r="T34" s="192"/>
      <c r="U34" s="189"/>
      <c r="V34" s="189">
        <f t="shared" si="9"/>
        <v>0</v>
      </c>
      <c r="W34" s="190">
        <f t="shared" si="10"/>
        <v>0</v>
      </c>
      <c r="X34" s="192"/>
      <c r="Y34" s="189"/>
      <c r="Z34" s="189">
        <f t="shared" si="11"/>
        <v>0</v>
      </c>
      <c r="AA34" s="190">
        <f t="shared" si="12"/>
        <v>0</v>
      </c>
      <c r="AB34" s="192"/>
      <c r="AC34" s="189"/>
      <c r="AD34" s="189">
        <f t="shared" si="13"/>
        <v>0</v>
      </c>
      <c r="AE34" s="190">
        <f t="shared" si="14"/>
        <v>0</v>
      </c>
      <c r="AF34" s="192"/>
      <c r="AG34" s="189"/>
      <c r="AH34" s="189">
        <f t="shared" si="15"/>
        <v>0</v>
      </c>
      <c r="AI34" s="190">
        <f t="shared" si="16"/>
        <v>0</v>
      </c>
      <c r="AJ34" s="192"/>
      <c r="AK34" s="189"/>
      <c r="AL34" s="189">
        <f t="shared" si="17"/>
        <v>0</v>
      </c>
      <c r="AM34" s="190">
        <f t="shared" si="18"/>
        <v>0</v>
      </c>
      <c r="AN34" s="192"/>
      <c r="AO34" s="189"/>
      <c r="AP34" s="189">
        <f t="shared" si="19"/>
        <v>0</v>
      </c>
      <c r="AQ34" s="190">
        <f t="shared" si="20"/>
        <v>0</v>
      </c>
      <c r="AR34" s="192"/>
      <c r="AS34" s="189"/>
      <c r="AT34" s="189">
        <f t="shared" si="21"/>
        <v>0</v>
      </c>
      <c r="AU34" s="190">
        <f t="shared" si="22"/>
        <v>0</v>
      </c>
      <c r="AV34" s="192"/>
      <c r="AW34" s="191"/>
      <c r="AX34" s="189">
        <f t="shared" si="23"/>
        <v>0</v>
      </c>
      <c r="AY34" s="190">
        <f t="shared" si="24"/>
        <v>0</v>
      </c>
      <c r="AZ34" s="167"/>
      <c r="BA34" s="191">
        <f t="shared" si="0"/>
        <v>0</v>
      </c>
      <c r="BB34" s="189">
        <f t="shared" si="1"/>
        <v>0</v>
      </c>
      <c r="BC34" s="190">
        <f t="shared" si="25"/>
        <v>0</v>
      </c>
    </row>
    <row r="35" spans="1:55" outlineLevel="2">
      <c r="A35" s="188">
        <v>5301060000</v>
      </c>
      <c r="B35" s="188">
        <v>5301060000</v>
      </c>
      <c r="C35" s="188" t="s">
        <v>46</v>
      </c>
      <c r="D35" s="188" t="s">
        <v>80</v>
      </c>
      <c r="E35" s="189"/>
      <c r="F35" s="189">
        <f t="shared" si="2"/>
        <v>0</v>
      </c>
      <c r="G35" s="190">
        <f t="shared" si="3"/>
        <v>0</v>
      </c>
      <c r="H35" s="167"/>
      <c r="I35" s="191"/>
      <c r="J35" s="189"/>
      <c r="K35" s="190">
        <f t="shared" si="4"/>
        <v>0</v>
      </c>
      <c r="L35" s="192"/>
      <c r="M35" s="189"/>
      <c r="N35" s="189"/>
      <c r="O35" s="190">
        <f t="shared" si="6"/>
        <v>0</v>
      </c>
      <c r="P35" s="192"/>
      <c r="Q35" s="189"/>
      <c r="R35" s="189">
        <f t="shared" si="7"/>
        <v>0</v>
      </c>
      <c r="S35" s="190">
        <f t="shared" si="8"/>
        <v>0</v>
      </c>
      <c r="T35" s="192"/>
      <c r="U35" s="189"/>
      <c r="V35" s="189">
        <f t="shared" si="9"/>
        <v>0</v>
      </c>
      <c r="W35" s="190">
        <f t="shared" si="10"/>
        <v>0</v>
      </c>
      <c r="X35" s="192"/>
      <c r="Y35" s="189"/>
      <c r="Z35" s="189">
        <f t="shared" si="11"/>
        <v>0</v>
      </c>
      <c r="AA35" s="190">
        <f t="shared" si="12"/>
        <v>0</v>
      </c>
      <c r="AB35" s="192"/>
      <c r="AC35" s="189"/>
      <c r="AD35" s="189">
        <f t="shared" si="13"/>
        <v>0</v>
      </c>
      <c r="AE35" s="190">
        <f t="shared" si="14"/>
        <v>0</v>
      </c>
      <c r="AF35" s="192"/>
      <c r="AG35" s="189"/>
      <c r="AH35" s="189">
        <f t="shared" si="15"/>
        <v>0</v>
      </c>
      <c r="AI35" s="190">
        <f t="shared" si="16"/>
        <v>0</v>
      </c>
      <c r="AJ35" s="192"/>
      <c r="AK35" s="189"/>
      <c r="AL35" s="189">
        <f t="shared" si="17"/>
        <v>0</v>
      </c>
      <c r="AM35" s="190">
        <f t="shared" si="18"/>
        <v>0</v>
      </c>
      <c r="AN35" s="192"/>
      <c r="AO35" s="189"/>
      <c r="AP35" s="189">
        <f t="shared" si="19"/>
        <v>0</v>
      </c>
      <c r="AQ35" s="190">
        <f t="shared" si="20"/>
        <v>0</v>
      </c>
      <c r="AR35" s="192"/>
      <c r="AS35" s="189"/>
      <c r="AT35" s="189">
        <f t="shared" si="21"/>
        <v>0</v>
      </c>
      <c r="AU35" s="190">
        <f t="shared" si="22"/>
        <v>0</v>
      </c>
      <c r="AV35" s="192"/>
      <c r="AW35" s="191"/>
      <c r="AX35" s="189">
        <f t="shared" si="23"/>
        <v>0</v>
      </c>
      <c r="AY35" s="190">
        <f t="shared" si="24"/>
        <v>0</v>
      </c>
      <c r="AZ35" s="167"/>
      <c r="BA35" s="191">
        <f t="shared" si="0"/>
        <v>0</v>
      </c>
      <c r="BB35" s="189">
        <f t="shared" si="1"/>
        <v>0</v>
      </c>
      <c r="BC35" s="190">
        <f t="shared" si="25"/>
        <v>0</v>
      </c>
    </row>
    <row r="36" spans="1:55" outlineLevel="2">
      <c r="A36" s="188">
        <v>5301999999</v>
      </c>
      <c r="B36" s="188">
        <v>5301999999</v>
      </c>
      <c r="C36" s="188" t="s">
        <v>47</v>
      </c>
      <c r="D36" s="188" t="s">
        <v>80</v>
      </c>
      <c r="E36" s="189">
        <f>VLOOKUP(B36,'2024 by account '!$A$2:$M$102,2,0)/1000</f>
        <v>0</v>
      </c>
      <c r="F36" s="189">
        <f t="shared" si="2"/>
        <v>0</v>
      </c>
      <c r="G36" s="190">
        <f t="shared" si="3"/>
        <v>0</v>
      </c>
      <c r="H36" s="167"/>
      <c r="I36" s="191">
        <f>VLOOKUP(B36,'2024 by account '!$A$2:$M$102,3,0)/1000</f>
        <v>0</v>
      </c>
      <c r="J36" s="189">
        <f t="shared" si="31"/>
        <v>0</v>
      </c>
      <c r="K36" s="190">
        <f t="shared" si="4"/>
        <v>0</v>
      </c>
      <c r="L36" s="192"/>
      <c r="M36" s="189">
        <f>VLOOKUP(B36,'2024 by account '!$A$2:$M$102,4,0)/1000</f>
        <v>0</v>
      </c>
      <c r="N36" s="189">
        <f t="shared" si="32"/>
        <v>0</v>
      </c>
      <c r="O36" s="190">
        <f t="shared" si="6"/>
        <v>0</v>
      </c>
      <c r="P36" s="192"/>
      <c r="Q36" s="189">
        <f>VLOOKUP(B36,'2024 by account '!$A$2:$M$102,5,0)/1000</f>
        <v>0</v>
      </c>
      <c r="R36" s="189">
        <f t="shared" si="7"/>
        <v>0</v>
      </c>
      <c r="S36" s="190">
        <f t="shared" si="8"/>
        <v>0</v>
      </c>
      <c r="T36" s="192"/>
      <c r="U36" s="189">
        <f>VLOOKUP(B36,'2024 by account '!$A$2:$M$102,6,0)/1000</f>
        <v>-2.9999999999999997E-5</v>
      </c>
      <c r="V36" s="189">
        <f t="shared" si="9"/>
        <v>-8.6057285466358759E-7</v>
      </c>
      <c r="W36" s="190">
        <f t="shared" si="10"/>
        <v>-2.1095574218355335E-8</v>
      </c>
      <c r="X36" s="192"/>
      <c r="Y36" s="189">
        <f>VLOOKUP(B36,'2024 by account '!$A$2:$M$102,7,0)/1000</f>
        <v>0</v>
      </c>
      <c r="Z36" s="189">
        <f t="shared" si="11"/>
        <v>0</v>
      </c>
      <c r="AA36" s="190">
        <f t="shared" si="12"/>
        <v>0</v>
      </c>
      <c r="AB36" s="192"/>
      <c r="AC36" s="189">
        <f>VLOOKUP(B36,'2024 by account '!$A$2:$M$102,8,0)/1000</f>
        <v>0.17348</v>
      </c>
      <c r="AD36" s="189">
        <f t="shared" si="13"/>
        <v>4.8598057534407751E-3</v>
      </c>
      <c r="AE36" s="190">
        <f t="shared" si="14"/>
        <v>1.4095790682022147E-4</v>
      </c>
      <c r="AF36" s="192"/>
      <c r="AG36" s="189">
        <f>VLOOKUP(B36,'2024 by account '!$A$2:$M$102,9,0)/1000</f>
        <v>0</v>
      </c>
      <c r="AH36" s="189">
        <f t="shared" si="15"/>
        <v>0</v>
      </c>
      <c r="AI36" s="190">
        <f t="shared" si="16"/>
        <v>0</v>
      </c>
      <c r="AJ36" s="192"/>
      <c r="AK36" s="189">
        <f>VLOOKUP(B36,'2024 by account '!$A$2:$M$102,10,0)/1000</f>
        <v>-0.23161999999999999</v>
      </c>
      <c r="AL36" s="189">
        <f t="shared" si="17"/>
        <v>-6.1236537365024274E-3</v>
      </c>
      <c r="AM36" s="190">
        <f t="shared" si="18"/>
        <v>-1.526943381334138E-4</v>
      </c>
      <c r="AN36" s="192"/>
      <c r="AO36" s="189">
        <f>VLOOKUP(B36,'2024 by account '!$A$2:$M$102,11,0)/1000</f>
        <v>3.0000000000000001E-5</v>
      </c>
      <c r="AP36" s="189">
        <f t="shared" si="19"/>
        <v>8.0327073215566065E-7</v>
      </c>
      <c r="AQ36" s="190">
        <f t="shared" si="20"/>
        <v>1.9503016295327667E-8</v>
      </c>
      <c r="AR36" s="192"/>
      <c r="AS36" s="189">
        <f>VLOOKUP(B36,'2024 by account '!$A$2:$M$102,12,0)/1000</f>
        <v>0</v>
      </c>
      <c r="AT36" s="189">
        <f t="shared" si="21"/>
        <v>0</v>
      </c>
      <c r="AU36" s="190">
        <f t="shared" si="22"/>
        <v>0</v>
      </c>
      <c r="AV36" s="192"/>
      <c r="AW36" s="191">
        <f>VLOOKUP(B36,'2024 by account '!$A$2:$M$102,13,0)/1000</f>
        <v>0</v>
      </c>
      <c r="AX36" s="189">
        <f t="shared" si="23"/>
        <v>0</v>
      </c>
      <c r="AY36" s="190">
        <f t="shared" si="24"/>
        <v>0</v>
      </c>
      <c r="AZ36" s="167"/>
      <c r="BA36" s="191">
        <f t="shared" si="0"/>
        <v>-5.8139999999999997E-2</v>
      </c>
      <c r="BB36" s="189">
        <f t="shared" si="1"/>
        <v>-1.2639052851841598E-3</v>
      </c>
      <c r="BC36" s="190">
        <f t="shared" si="25"/>
        <v>-3.4508793990655711E-6</v>
      </c>
    </row>
    <row r="37" spans="1:55" outlineLevel="2">
      <c r="A37" s="188">
        <v>5405030000</v>
      </c>
      <c r="B37" s="188">
        <v>5405030000</v>
      </c>
      <c r="C37" s="188" t="s">
        <v>48</v>
      </c>
      <c r="D37" s="188" t="s">
        <v>80</v>
      </c>
      <c r="E37" s="189">
        <f>VLOOKUP(B37,'2024 by account '!$A$2:$M$102,2,0)/1000</f>
        <v>0</v>
      </c>
      <c r="F37" s="189">
        <f t="shared" si="2"/>
        <v>0</v>
      </c>
      <c r="G37" s="190">
        <f t="shared" si="3"/>
        <v>0</v>
      </c>
      <c r="H37" s="167"/>
      <c r="I37" s="191">
        <f>VLOOKUP(B37,'2024 by account '!$A$2:$M$102,3,0)/1000</f>
        <v>0</v>
      </c>
      <c r="J37" s="189">
        <f t="shared" si="31"/>
        <v>0</v>
      </c>
      <c r="K37" s="190">
        <f t="shared" si="4"/>
        <v>0</v>
      </c>
      <c r="L37" s="192"/>
      <c r="M37" s="189">
        <f>VLOOKUP(B37,'2024 by account '!$A$2:$M$102,4,0)/1000</f>
        <v>0</v>
      </c>
      <c r="N37" s="189">
        <f t="shared" si="32"/>
        <v>0</v>
      </c>
      <c r="O37" s="190">
        <f t="shared" si="6"/>
        <v>0</v>
      </c>
      <c r="P37" s="192"/>
      <c r="Q37" s="189">
        <f>VLOOKUP(B37,'2024 by account '!$A$2:$M$102,5,0)/1000</f>
        <v>0</v>
      </c>
      <c r="R37" s="189">
        <f t="shared" si="7"/>
        <v>0</v>
      </c>
      <c r="S37" s="190">
        <f t="shared" si="8"/>
        <v>0</v>
      </c>
      <c r="T37" s="192"/>
      <c r="U37" s="189">
        <f>VLOOKUP(B37,'2024 by account '!$A$2:$M$102,6,0)/1000</f>
        <v>0</v>
      </c>
      <c r="V37" s="189">
        <f t="shared" si="9"/>
        <v>0</v>
      </c>
      <c r="W37" s="190">
        <f t="shared" si="10"/>
        <v>0</v>
      </c>
      <c r="X37" s="192"/>
      <c r="Y37" s="189">
        <f>VLOOKUP(B37,'2024 by account '!$A$2:$M$102,7,0)/1000</f>
        <v>0</v>
      </c>
      <c r="Z37" s="189">
        <f t="shared" si="11"/>
        <v>0</v>
      </c>
      <c r="AA37" s="190">
        <f t="shared" si="12"/>
        <v>0</v>
      </c>
      <c r="AB37" s="192"/>
      <c r="AC37" s="189">
        <f>VLOOKUP(B37,'2024 by account '!$A$2:$M$102,8,0)/1000</f>
        <v>-2.5000000000000001E-4</v>
      </c>
      <c r="AD37" s="189">
        <f t="shared" si="13"/>
        <v>-7.0034092596275866E-6</v>
      </c>
      <c r="AE37" s="190">
        <f t="shared" si="14"/>
        <v>-2.0313279170541481E-7</v>
      </c>
      <c r="AF37" s="192"/>
      <c r="AG37" s="189">
        <f>VLOOKUP(B37,'2024 by account '!$A$2:$M$102,9,0)/1000</f>
        <v>1.0000000000000001E-5</v>
      </c>
      <c r="AH37" s="189">
        <f t="shared" si="15"/>
        <v>2.6947059806304534E-7</v>
      </c>
      <c r="AI37" s="190">
        <f t="shared" si="16"/>
        <v>1.0535248966418224E-8</v>
      </c>
      <c r="AJ37" s="192"/>
      <c r="AK37" s="189">
        <f>VLOOKUP(B37,'2024 by account '!$A$2:$M$102,10,0)/1000</f>
        <v>1.0000000000000001E-5</v>
      </c>
      <c r="AL37" s="189">
        <f t="shared" si="17"/>
        <v>2.6438363425016958E-7</v>
      </c>
      <c r="AM37" s="190">
        <f t="shared" si="18"/>
        <v>6.5924504849932571E-9</v>
      </c>
      <c r="AN37" s="192"/>
      <c r="AO37" s="189">
        <f>VLOOKUP(B37,'2024 by account '!$A$2:$M$102,11,0)/1000</f>
        <v>1.0000000000000001E-5</v>
      </c>
      <c r="AP37" s="189">
        <f t="shared" si="19"/>
        <v>2.6775691071855358E-7</v>
      </c>
      <c r="AQ37" s="190">
        <f t="shared" si="20"/>
        <v>6.50100543177589E-9</v>
      </c>
      <c r="AR37" s="192"/>
      <c r="AS37" s="189">
        <f>VLOOKUP(B37,'2024 by account '!$A$2:$M$102,12,0)/1000</f>
        <v>0</v>
      </c>
      <c r="AT37" s="189">
        <f t="shared" si="21"/>
        <v>0</v>
      </c>
      <c r="AU37" s="190">
        <f t="shared" si="22"/>
        <v>0</v>
      </c>
      <c r="AV37" s="192"/>
      <c r="AW37" s="191">
        <f>VLOOKUP(B37,'2024 by account '!$A$2:$M$102,13,0)/1000</f>
        <v>1.0000000000000001E-5</v>
      </c>
      <c r="AX37" s="189">
        <f t="shared" si="23"/>
        <v>2.7278550003218871E-7</v>
      </c>
      <c r="AY37" s="190">
        <f t="shared" si="24"/>
        <v>1.0430371277948562E-8</v>
      </c>
      <c r="AZ37" s="167"/>
      <c r="BA37" s="191">
        <f t="shared" ref="BA37:BA68" si="33">SUM(AW37,AS37,AO37,AK37,AG37,AC37,Y37,U37,Q37,M37,I37,E37)</f>
        <v>-2.1000000000000001E-4</v>
      </c>
      <c r="BB37" s="189">
        <f t="shared" ref="BB37:BB68" si="34">SUM(AX37,AT37,AP37,AL37,AH37,AD37,Z37,V37,R37,N37,J37,F37)</f>
        <v>-5.9290126165636296E-6</v>
      </c>
      <c r="BC37" s="190">
        <f t="shared" si="25"/>
        <v>-1.6188165153782136E-8</v>
      </c>
    </row>
    <row r="38" spans="1:55" outlineLevel="2">
      <c r="A38" s="188">
        <v>5601050000</v>
      </c>
      <c r="B38" s="188">
        <v>5601050000</v>
      </c>
      <c r="C38" s="188" t="s">
        <v>49</v>
      </c>
      <c r="D38" s="188" t="s">
        <v>80</v>
      </c>
      <c r="E38" s="189">
        <f>VLOOKUP(B38,'2024 by account '!$A$2:$M$102,2,0)/1000</f>
        <v>0</v>
      </c>
      <c r="F38" s="189">
        <f t="shared" si="2"/>
        <v>0</v>
      </c>
      <c r="G38" s="190">
        <f t="shared" si="3"/>
        <v>0</v>
      </c>
      <c r="H38" s="167"/>
      <c r="I38" s="191">
        <f>VLOOKUP(B38,'2024 by account '!$A$2:$M$102,3,0)/1000</f>
        <v>0.16512000000000002</v>
      </c>
      <c r="J38" s="189">
        <f t="shared" si="31"/>
        <v>4.9638652733853608E-3</v>
      </c>
      <c r="K38" s="190">
        <f t="shared" si="4"/>
        <v>2.5130950148771574E-4</v>
      </c>
      <c r="L38" s="192"/>
      <c r="M38" s="189">
        <f>VLOOKUP(B38,'2024 by account '!$A$2:$M$102,4,0)/1000</f>
        <v>0</v>
      </c>
      <c r="N38" s="189">
        <f t="shared" si="32"/>
        <v>0</v>
      </c>
      <c r="O38" s="190">
        <f t="shared" si="6"/>
        <v>0</v>
      </c>
      <c r="P38" s="192"/>
      <c r="Q38" s="189">
        <f>VLOOKUP(B38,'2024 by account '!$A$2:$M$102,5,0)/1000</f>
        <v>0</v>
      </c>
      <c r="R38" s="189">
        <f t="shared" si="7"/>
        <v>0</v>
      </c>
      <c r="S38" s="190">
        <f t="shared" si="8"/>
        <v>0</v>
      </c>
      <c r="T38" s="192"/>
      <c r="U38" s="189">
        <f>VLOOKUP(B38,'2024 by account '!$A$2:$M$102,6,0)/1000</f>
        <v>0</v>
      </c>
      <c r="V38" s="189">
        <f t="shared" si="9"/>
        <v>0</v>
      </c>
      <c r="W38" s="190">
        <f t="shared" si="10"/>
        <v>0</v>
      </c>
      <c r="X38" s="192"/>
      <c r="Y38" s="189">
        <f>VLOOKUP(B38,'2024 by account '!$A$2:$M$102,7,0)/1000</f>
        <v>0</v>
      </c>
      <c r="Z38" s="189">
        <f t="shared" si="11"/>
        <v>0</v>
      </c>
      <c r="AA38" s="190">
        <f t="shared" si="12"/>
        <v>0</v>
      </c>
      <c r="AB38" s="192"/>
      <c r="AC38" s="189">
        <f>VLOOKUP(B38,'2024 by account '!$A$2:$M$102,8,0)/1000</f>
        <v>0</v>
      </c>
      <c r="AD38" s="189">
        <f t="shared" si="13"/>
        <v>0</v>
      </c>
      <c r="AE38" s="190">
        <f t="shared" si="14"/>
        <v>0</v>
      </c>
      <c r="AF38" s="192"/>
      <c r="AG38" s="189">
        <f>VLOOKUP(B38,'2024 by account '!$A$2:$M$102,9,0)/1000</f>
        <v>0</v>
      </c>
      <c r="AH38" s="189">
        <f t="shared" si="15"/>
        <v>0</v>
      </c>
      <c r="AI38" s="190">
        <f t="shared" si="16"/>
        <v>0</v>
      </c>
      <c r="AJ38" s="192"/>
      <c r="AK38" s="189">
        <f>VLOOKUP(B38,'2024 by account '!$A$2:$M$102,10,0)/1000</f>
        <v>0.10417</v>
      </c>
      <c r="AL38" s="189">
        <f t="shared" si="17"/>
        <v>2.7540843179840162E-3</v>
      </c>
      <c r="AM38" s="190">
        <f t="shared" si="18"/>
        <v>6.8673556702174754E-5</v>
      </c>
      <c r="AN38" s="192"/>
      <c r="AO38" s="189">
        <f>VLOOKUP(B38,'2024 by account '!$A$2:$M$102,11,0)/1000</f>
        <v>0</v>
      </c>
      <c r="AP38" s="189">
        <f t="shared" si="19"/>
        <v>0</v>
      </c>
      <c r="AQ38" s="190">
        <f t="shared" si="20"/>
        <v>0</v>
      </c>
      <c r="AR38" s="192"/>
      <c r="AS38" s="189">
        <f>VLOOKUP(B38,'2024 by account '!$A$2:$M$102,12,0)/1000</f>
        <v>1.1E-4</v>
      </c>
      <c r="AT38" s="189">
        <f t="shared" si="21"/>
        <v>3.0035195788519459E-6</v>
      </c>
      <c r="AU38" s="190">
        <f t="shared" si="22"/>
        <v>6.9671064227602553E-8</v>
      </c>
      <c r="AV38" s="192"/>
      <c r="AW38" s="191">
        <f>VLOOKUP(B38,'2024 by account '!$A$2:$M$102,13,0)/1000</f>
        <v>0</v>
      </c>
      <c r="AX38" s="189">
        <f t="shared" si="23"/>
        <v>0</v>
      </c>
      <c r="AY38" s="190">
        <f t="shared" si="24"/>
        <v>0</v>
      </c>
      <c r="AZ38" s="167"/>
      <c r="BA38" s="191">
        <f t="shared" si="33"/>
        <v>0.26940000000000003</v>
      </c>
      <c r="BB38" s="189">
        <f t="shared" si="34"/>
        <v>7.7209531109482289E-3</v>
      </c>
      <c r="BC38" s="190">
        <f t="shared" si="25"/>
        <v>2.1080755293969872E-5</v>
      </c>
    </row>
    <row r="39" spans="1:55" outlineLevel="2">
      <c r="A39" s="188">
        <v>5601050100</v>
      </c>
      <c r="B39" s="188">
        <v>5601050100</v>
      </c>
      <c r="C39" s="188" t="s">
        <v>50</v>
      </c>
      <c r="D39" s="188" t="s">
        <v>80</v>
      </c>
      <c r="E39" s="189">
        <f>VLOOKUP(B39,'2024 by account '!$A$2:$M$102,2,0)/1000</f>
        <v>5.8459999999999998E-2</v>
      </c>
      <c r="F39" s="189">
        <f t="shared" si="2"/>
        <v>1.7814209315435833E-3</v>
      </c>
      <c r="G39" s="190">
        <f t="shared" si="3"/>
        <v>1.110265460606783E-4</v>
      </c>
      <c r="H39" s="167"/>
      <c r="I39" s="191">
        <f>VLOOKUP(B39,'2024 by account '!$A$2:$M$102,3,0)/1000</f>
        <v>1.038E-2</v>
      </c>
      <c r="J39" s="189">
        <f t="shared" si="31"/>
        <v>3.1204530970046053E-4</v>
      </c>
      <c r="K39" s="190">
        <f t="shared" si="4"/>
        <v>1.5798162702534453E-5</v>
      </c>
      <c r="L39" s="192"/>
      <c r="M39" s="189">
        <f>VLOOKUP(B39,'2024 by account '!$A$2:$M$102,4,0)/1000</f>
        <v>1.042E-2</v>
      </c>
      <c r="N39" s="189">
        <f t="shared" si="32"/>
        <v>2.9922838132378409E-4</v>
      </c>
      <c r="O39" s="190">
        <f t="shared" si="6"/>
        <v>1.4933791551818341E-5</v>
      </c>
      <c r="P39" s="192"/>
      <c r="Q39" s="189">
        <f>VLOOKUP(B39,'2024 by account '!$A$2:$M$102,5,0)/1000</f>
        <v>1.0012699999999999</v>
      </c>
      <c r="R39" s="189">
        <f t="shared" si="7"/>
        <v>2.8861198065293459E-2</v>
      </c>
      <c r="S39" s="190">
        <f t="shared" si="8"/>
        <v>1.0291765526260906E-3</v>
      </c>
      <c r="T39" s="192"/>
      <c r="U39" s="189">
        <f>VLOOKUP(B39,'2024 by account '!$A$2:$M$102,6,0)/1000</f>
        <v>0</v>
      </c>
      <c r="V39" s="189">
        <f t="shared" si="9"/>
        <v>0</v>
      </c>
      <c r="W39" s="190">
        <f t="shared" si="10"/>
        <v>0</v>
      </c>
      <c r="X39" s="192"/>
      <c r="Y39" s="189">
        <f>VLOOKUP(B39,'2024 by account '!$A$2:$M$102,7,0)/1000</f>
        <v>0.30395999999999995</v>
      </c>
      <c r="Z39" s="189">
        <f t="shared" si="11"/>
        <v>8.6680525969081764E-3</v>
      </c>
      <c r="AA39" s="190">
        <f t="shared" si="12"/>
        <v>2.7983124344357489E-4</v>
      </c>
      <c r="AB39" s="192"/>
      <c r="AC39" s="189">
        <f>VLOOKUP(B39,'2024 by account '!$A$2:$M$102,8,0)/1000</f>
        <v>8.566E-2</v>
      </c>
      <c r="AD39" s="189">
        <f t="shared" si="13"/>
        <v>2.3996481487187963E-3</v>
      </c>
      <c r="AE39" s="190">
        <f t="shared" si="14"/>
        <v>6.9601419749943326E-5</v>
      </c>
      <c r="AF39" s="192"/>
      <c r="AG39" s="189">
        <f>VLOOKUP(B39,'2024 by account '!$A$2:$M$102,9,0)/1000</f>
        <v>0.36623</v>
      </c>
      <c r="AH39" s="189">
        <f t="shared" si="15"/>
        <v>9.8688217128629092E-3</v>
      </c>
      <c r="AI39" s="190">
        <f t="shared" si="16"/>
        <v>3.8583242289713464E-4</v>
      </c>
      <c r="AJ39" s="192"/>
      <c r="AK39" s="189">
        <f>VLOOKUP(B39,'2024 by account '!$A$2:$M$102,10,0)/1000</f>
        <v>0</v>
      </c>
      <c r="AL39" s="189">
        <f t="shared" si="17"/>
        <v>0</v>
      </c>
      <c r="AM39" s="190">
        <f t="shared" si="18"/>
        <v>0</v>
      </c>
      <c r="AN39" s="192"/>
      <c r="AO39" s="189">
        <f>VLOOKUP(B39,'2024 by account '!$A$2:$M$102,11,0)/1000</f>
        <v>1.3178200000000002</v>
      </c>
      <c r="AP39" s="189">
        <f t="shared" si="19"/>
        <v>3.5285541208312433E-2</v>
      </c>
      <c r="AQ39" s="190">
        <f t="shared" si="20"/>
        <v>8.5671549781029047E-4</v>
      </c>
      <c r="AR39" s="192"/>
      <c r="AS39" s="189">
        <f>VLOOKUP(B39,'2024 by account '!$A$2:$M$102,12,0)/1000</f>
        <v>0</v>
      </c>
      <c r="AT39" s="189">
        <f t="shared" si="21"/>
        <v>0</v>
      </c>
      <c r="AU39" s="190">
        <f t="shared" si="22"/>
        <v>0</v>
      </c>
      <c r="AV39" s="192"/>
      <c r="AW39" s="191">
        <f>VLOOKUP(B39,'2024 by account '!$A$2:$M$102,13,0)/1000</f>
        <v>0</v>
      </c>
      <c r="AX39" s="189">
        <f t="shared" si="23"/>
        <v>0</v>
      </c>
      <c r="AY39" s="190">
        <f t="shared" si="24"/>
        <v>0</v>
      </c>
      <c r="AZ39" s="167"/>
      <c r="BA39" s="191">
        <f t="shared" si="33"/>
        <v>3.1542000000000003</v>
      </c>
      <c r="BB39" s="189">
        <f t="shared" si="34"/>
        <v>8.7475956354663612E-2</v>
      </c>
      <c r="BC39" s="190">
        <f t="shared" si="25"/>
        <v>2.3883828894178828E-4</v>
      </c>
    </row>
    <row r="40" spans="1:55" outlineLevel="2">
      <c r="A40" s="188">
        <v>801000041</v>
      </c>
      <c r="B40" s="188">
        <v>5801000041</v>
      </c>
      <c r="C40" s="188" t="s">
        <v>51</v>
      </c>
      <c r="D40" s="188" t="s">
        <v>80</v>
      </c>
      <c r="E40" s="189">
        <f>VLOOKUP(B40,'2024 by account '!$A$2:$M$102,2,0)/1000</f>
        <v>0</v>
      </c>
      <c r="F40" s="189">
        <f t="shared" si="2"/>
        <v>0</v>
      </c>
      <c r="G40" s="190">
        <f t="shared" si="3"/>
        <v>0</v>
      </c>
      <c r="H40" s="167"/>
      <c r="I40" s="191">
        <f>VLOOKUP(B40,'2024 by account '!$A$2:$M$102,3,0)/1000</f>
        <v>0</v>
      </c>
      <c r="J40" s="189"/>
      <c r="K40" s="190">
        <f t="shared" si="4"/>
        <v>0</v>
      </c>
      <c r="L40" s="192"/>
      <c r="M40" s="189"/>
      <c r="N40" s="189"/>
      <c r="O40" s="190">
        <f t="shared" si="6"/>
        <v>0</v>
      </c>
      <c r="P40" s="192"/>
      <c r="Q40" s="189"/>
      <c r="R40" s="189">
        <f t="shared" si="7"/>
        <v>0</v>
      </c>
      <c r="S40" s="190">
        <f t="shared" si="8"/>
        <v>0</v>
      </c>
      <c r="T40" s="192"/>
      <c r="U40" s="189"/>
      <c r="V40" s="189">
        <f t="shared" si="9"/>
        <v>0</v>
      </c>
      <c r="W40" s="190">
        <f t="shared" si="10"/>
        <v>0</v>
      </c>
      <c r="X40" s="192"/>
      <c r="Y40" s="189"/>
      <c r="Z40" s="189">
        <f t="shared" si="11"/>
        <v>0</v>
      </c>
      <c r="AA40" s="190">
        <f t="shared" si="12"/>
        <v>0</v>
      </c>
      <c r="AB40" s="192"/>
      <c r="AC40" s="189"/>
      <c r="AD40" s="189">
        <f t="shared" si="13"/>
        <v>0</v>
      </c>
      <c r="AE40" s="190">
        <f t="shared" si="14"/>
        <v>0</v>
      </c>
      <c r="AF40" s="192"/>
      <c r="AG40" s="189"/>
      <c r="AH40" s="189">
        <f t="shared" si="15"/>
        <v>0</v>
      </c>
      <c r="AI40" s="190">
        <f t="shared" si="16"/>
        <v>0</v>
      </c>
      <c r="AJ40" s="192"/>
      <c r="AK40" s="189"/>
      <c r="AL40" s="189">
        <f t="shared" si="17"/>
        <v>0</v>
      </c>
      <c r="AM40" s="190">
        <f t="shared" si="18"/>
        <v>0</v>
      </c>
      <c r="AN40" s="192"/>
      <c r="AO40" s="189"/>
      <c r="AP40" s="189">
        <f t="shared" si="19"/>
        <v>0</v>
      </c>
      <c r="AQ40" s="190">
        <f t="shared" si="20"/>
        <v>0</v>
      </c>
      <c r="AR40" s="192"/>
      <c r="AS40" s="189"/>
      <c r="AT40" s="189">
        <f t="shared" si="21"/>
        <v>0</v>
      </c>
      <c r="AU40" s="190">
        <f t="shared" si="22"/>
        <v>0</v>
      </c>
      <c r="AV40" s="192"/>
      <c r="AW40" s="191"/>
      <c r="AX40" s="189">
        <f t="shared" si="23"/>
        <v>0</v>
      </c>
      <c r="AY40" s="190">
        <f t="shared" si="24"/>
        <v>0</v>
      </c>
      <c r="AZ40" s="167"/>
      <c r="BA40" s="191">
        <f t="shared" si="33"/>
        <v>0</v>
      </c>
      <c r="BB40" s="189">
        <f t="shared" si="34"/>
        <v>0</v>
      </c>
      <c r="BC40" s="190">
        <f t="shared" si="25"/>
        <v>0</v>
      </c>
    </row>
    <row r="41" spans="1:55" outlineLevel="2">
      <c r="A41" s="188">
        <v>6666010322</v>
      </c>
      <c r="B41" s="188">
        <v>6666010322</v>
      </c>
      <c r="C41" s="188" t="s">
        <v>39</v>
      </c>
      <c r="D41" s="188" t="s">
        <v>80</v>
      </c>
      <c r="E41" s="189">
        <f>VLOOKUP(B41,'2024 by account '!$A$2:$M$102,2,0)/1000</f>
        <v>79.380390000000006</v>
      </c>
      <c r="F41" s="189">
        <f t="shared" si="2"/>
        <v>2.4189170082123326</v>
      </c>
      <c r="G41" s="190">
        <f t="shared" si="3"/>
        <v>0.15075830527967171</v>
      </c>
      <c r="H41" s="167"/>
      <c r="I41" s="191">
        <f>VLOOKUP(B41,'2024 by account '!$A$2:$M$102,3,0)/1000</f>
        <v>58.342280000000009</v>
      </c>
      <c r="J41" s="189">
        <f t="shared" si="31"/>
        <v>1.7538954558025999</v>
      </c>
      <c r="K41" s="190">
        <f t="shared" si="4"/>
        <v>8.8795841221273791E-2</v>
      </c>
      <c r="L41" s="192"/>
      <c r="M41" s="189">
        <f>VLOOKUP(B41,'2024 by account '!$A$2:$M$102,4,0)/1000</f>
        <v>60.64517</v>
      </c>
      <c r="N41" s="189">
        <f t="shared" si="32"/>
        <v>1.7415312911905674</v>
      </c>
      <c r="O41" s="190">
        <f t="shared" si="6"/>
        <v>8.6915770384317373E-2</v>
      </c>
      <c r="P41" s="192"/>
      <c r="Q41" s="189">
        <f>VLOOKUP(B41,'2024 by account '!$A$2:$M$102,5,0)/1000</f>
        <v>40.691030000000005</v>
      </c>
      <c r="R41" s="189">
        <f t="shared" si="7"/>
        <v>1.1729022904019879</v>
      </c>
      <c r="S41" s="190">
        <f t="shared" si="8"/>
        <v>4.1825136055414464E-2</v>
      </c>
      <c r="T41" s="192"/>
      <c r="U41" s="189">
        <f>VLOOKUP(B41,'2024 by account '!$A$2:$M$102,6,0)/1000</f>
        <v>80.005440000000007</v>
      </c>
      <c r="V41" s="189">
        <f t="shared" si="9"/>
        <v>2.2950169963138798</v>
      </c>
      <c r="W41" s="190">
        <f t="shared" si="10"/>
        <v>5.6258689913072507E-2</v>
      </c>
      <c r="X41" s="192"/>
      <c r="Y41" s="189">
        <f>VLOOKUP(B41,'2024 by account '!$A$2:$M$102,7,0)/1000</f>
        <v>20.582440000000002</v>
      </c>
      <c r="Z41" s="189">
        <f t="shared" si="11"/>
        <v>0.58695115308825763</v>
      </c>
      <c r="AA41" s="190">
        <f t="shared" si="12"/>
        <v>1.8948578031000054E-2</v>
      </c>
      <c r="AB41" s="192"/>
      <c r="AC41" s="189">
        <f>VLOOKUP(B41,'2024 by account '!$A$2:$M$102,8,0)/1000</f>
        <v>43.400990000000007</v>
      </c>
      <c r="AD41" s="189">
        <f t="shared" si="13"/>
        <v>1.2158195809720174</v>
      </c>
      <c r="AE41" s="190">
        <f t="shared" si="14"/>
        <v>3.5264657045915172E-2</v>
      </c>
      <c r="AF41" s="192"/>
      <c r="AG41" s="189">
        <f>VLOOKUP(B41,'2024 by account '!$A$2:$M$102,9,0)/1000</f>
        <v>43.767950000000006</v>
      </c>
      <c r="AH41" s="189">
        <f t="shared" si="15"/>
        <v>1.1794175662493467</v>
      </c>
      <c r="AI41" s="190">
        <f t="shared" si="16"/>
        <v>4.611062499997446E-2</v>
      </c>
      <c r="AJ41" s="192"/>
      <c r="AK41" s="189">
        <f>VLOOKUP(B41,'2024 by account '!$A$2:$M$102,10,0)/1000</f>
        <v>38.963900000000002</v>
      </c>
      <c r="AL41" s="189">
        <f t="shared" si="17"/>
        <v>1.0301417486560183</v>
      </c>
      <c r="AM41" s="190">
        <f t="shared" si="18"/>
        <v>2.5686758145222879E-2</v>
      </c>
      <c r="AN41" s="192"/>
      <c r="AO41" s="189">
        <f>VLOOKUP(B41,'2024 by account '!$A$2:$M$102,11,0)/1000</f>
        <v>29.115739999999999</v>
      </c>
      <c r="AP41" s="189">
        <f t="shared" si="19"/>
        <v>0.77959405956846184</v>
      </c>
      <c r="AQ41" s="190">
        <f t="shared" si="20"/>
        <v>1.8928158389017454E-2</v>
      </c>
      <c r="AR41" s="192"/>
      <c r="AS41" s="189">
        <f>VLOOKUP(B41,'2024 by account '!$A$2:$M$102,12,0)/1000</f>
        <v>32.564300000000003</v>
      </c>
      <c r="AT41" s="189">
        <f t="shared" si="21"/>
        <v>0.88915920565098561</v>
      </c>
      <c r="AU41" s="190">
        <f t="shared" si="22"/>
        <v>2.0625358516608343E-2</v>
      </c>
      <c r="AV41" s="192"/>
      <c r="AW41" s="191">
        <f>VLOOKUP(B41,'2024 by account '!$A$2:$M$102,13,0)/1000</f>
        <v>28.272290000000002</v>
      </c>
      <c r="AX41" s="189">
        <f t="shared" si="23"/>
        <v>0.77122707647050492</v>
      </c>
      <c r="AY41" s="190">
        <f t="shared" si="24"/>
        <v>2.9489048157783235E-2</v>
      </c>
      <c r="AZ41" s="167"/>
      <c r="BA41" s="191">
        <f t="shared" si="33"/>
        <v>555.73192000000006</v>
      </c>
      <c r="BB41" s="189">
        <f t="shared" si="34"/>
        <v>15.834573432576958</v>
      </c>
      <c r="BC41" s="190">
        <f t="shared" si="25"/>
        <v>4.3233621927222923E-2</v>
      </c>
    </row>
    <row r="42" spans="1:55" outlineLevel="2">
      <c r="A42" s="188">
        <v>6666020101</v>
      </c>
      <c r="B42" s="188">
        <v>6666020101</v>
      </c>
      <c r="C42" s="188" t="s">
        <v>52</v>
      </c>
      <c r="D42" s="188" t="s">
        <v>80</v>
      </c>
      <c r="E42" s="189">
        <f>VLOOKUP(B42,'2024 by account '!$A$2:$M$102,2,0)/1000</f>
        <v>0</v>
      </c>
      <c r="F42" s="189">
        <f t="shared" si="2"/>
        <v>0</v>
      </c>
      <c r="G42" s="190">
        <f t="shared" si="3"/>
        <v>0</v>
      </c>
      <c r="H42" s="167"/>
      <c r="I42" s="191">
        <f>VLOOKUP(B42,'2024 by account '!$A$2:$M$102,3,0)/1000</f>
        <v>86.509059999999991</v>
      </c>
      <c r="J42" s="189">
        <f t="shared" si="31"/>
        <v>2.600649944084366</v>
      </c>
      <c r="K42" s="190">
        <f t="shared" si="4"/>
        <v>0.13166514500224616</v>
      </c>
      <c r="L42" s="192"/>
      <c r="M42" s="189">
        <f>VLOOKUP(B42,'2024 by account '!$A$2:$M$102,4,0)/1000</f>
        <v>87.927199999999985</v>
      </c>
      <c r="N42" s="189">
        <f t="shared" si="32"/>
        <v>2.5249821238323054</v>
      </c>
      <c r="O42" s="190">
        <f t="shared" si="6"/>
        <v>0.12601597663484082</v>
      </c>
      <c r="P42" s="192"/>
      <c r="Q42" s="189">
        <f>VLOOKUP(B42,'2024 by account '!$A$2:$M$102,5,0)/1000</f>
        <v>85.090929999999986</v>
      </c>
      <c r="R42" s="189">
        <f t="shared" si="7"/>
        <v>2.4527112410139336</v>
      </c>
      <c r="S42" s="190">
        <f t="shared" si="8"/>
        <v>8.7462512606138201E-2</v>
      </c>
      <c r="T42" s="192"/>
      <c r="U42" s="189">
        <f>VLOOKUP(B42,'2024 by account '!$A$2:$M$102,6,0)/1000</f>
        <v>86.509070000000008</v>
      </c>
      <c r="V42" s="189">
        <f t="shared" si="9"/>
        <v>2.4815785774730714</v>
      </c>
      <c r="W42" s="190">
        <f t="shared" si="10"/>
        <v>6.0831950224863256E-2</v>
      </c>
      <c r="X42" s="192"/>
      <c r="Y42" s="189">
        <f>VLOOKUP(B42,'2024 by account '!$A$2:$M$102,7,0)/1000</f>
        <v>86.509059999999991</v>
      </c>
      <c r="Z42" s="189">
        <f t="shared" si="11"/>
        <v>2.4669860579980436</v>
      </c>
      <c r="AA42" s="190">
        <f t="shared" si="12"/>
        <v>7.9641853628552542E-2</v>
      </c>
      <c r="AB42" s="192"/>
      <c r="AC42" s="189">
        <f>VLOOKUP(B42,'2024 by account '!$A$2:$M$102,8,0)/1000</f>
        <v>86.509059999999991</v>
      </c>
      <c r="AD42" s="189">
        <f t="shared" si="13"/>
        <v>2.4234334073827135</v>
      </c>
      <c r="AE42" s="190">
        <f t="shared" si="14"/>
        <v>7.0291307462444913E-2</v>
      </c>
      <c r="AF42" s="192"/>
      <c r="AG42" s="189">
        <f>VLOOKUP(B42,'2024 by account '!$A$2:$M$102,9,0)/1000</f>
        <v>86.509059999999991</v>
      </c>
      <c r="AH42" s="189">
        <f t="shared" si="15"/>
        <v>2.3311648136071872</v>
      </c>
      <c r="AI42" s="190">
        <f t="shared" si="16"/>
        <v>9.113944849508121E-2</v>
      </c>
      <c r="AJ42" s="192"/>
      <c r="AK42" s="189">
        <f>VLOOKUP(B42,'2024 by account '!$A$2:$M$102,10,0)/1000</f>
        <v>86.509059999999991</v>
      </c>
      <c r="AL42" s="189">
        <f t="shared" si="17"/>
        <v>2.2871579678365972</v>
      </c>
      <c r="AM42" s="190">
        <f t="shared" si="18"/>
        <v>5.7030669455331071E-2</v>
      </c>
      <c r="AN42" s="192"/>
      <c r="AO42" s="189">
        <f>VLOOKUP(B42,'2024 by account '!$A$2:$M$102,11,0)/1000</f>
        <v>-51.93694</v>
      </c>
      <c r="AP42" s="189">
        <f t="shared" si="19"/>
        <v>-1.3906474606574872</v>
      </c>
      <c r="AQ42" s="190">
        <f t="shared" si="20"/>
        <v>-3.3764232904981845E-2</v>
      </c>
      <c r="AR42" s="192"/>
      <c r="AS42" s="189">
        <f>VLOOKUP(B42,'2024 by account '!$A$2:$M$102,12,0)/1000</f>
        <v>-51.93694</v>
      </c>
      <c r="AT42" s="189">
        <f t="shared" si="21"/>
        <v>-1.4181237832332616</v>
      </c>
      <c r="AU42" s="190">
        <f t="shared" si="22"/>
        <v>-3.2895471659319456E-2</v>
      </c>
      <c r="AV42" s="192"/>
      <c r="AW42" s="191">
        <f>VLOOKUP(B42,'2024 by account '!$A$2:$M$102,13,0)/1000</f>
        <v>-570.99010999999996</v>
      </c>
      <c r="AX42" s="189">
        <f t="shared" si="23"/>
        <v>-15.575782266978441</v>
      </c>
      <c r="AY42" s="190">
        <f t="shared" si="24"/>
        <v>-0.5955638843336688</v>
      </c>
      <c r="AZ42" s="167"/>
      <c r="BA42" s="191">
        <f t="shared" si="33"/>
        <v>17.208509999999819</v>
      </c>
      <c r="BB42" s="189">
        <f t="shared" si="34"/>
        <v>1.1841106223590314</v>
      </c>
      <c r="BC42" s="190">
        <f t="shared" si="25"/>
        <v>3.2330135816451646E-3</v>
      </c>
    </row>
    <row r="43" spans="1:55" outlineLevel="2">
      <c r="A43" s="188">
        <v>6666020201</v>
      </c>
      <c r="B43" s="188">
        <v>6666020201</v>
      </c>
      <c r="C43" s="188" t="s">
        <v>53</v>
      </c>
      <c r="D43" s="188" t="s">
        <v>80</v>
      </c>
      <c r="E43" s="189">
        <f>VLOOKUP(B43,'2024 by account '!$A$2:$M$102,2,0)/1000</f>
        <v>0.97675999999999996</v>
      </c>
      <c r="F43" s="189">
        <f t="shared" si="2"/>
        <v>2.9764295400179788E-2</v>
      </c>
      <c r="G43" s="190">
        <f t="shared" si="3"/>
        <v>1.8550511312047234E-3</v>
      </c>
      <c r="H43" s="167"/>
      <c r="I43" s="191">
        <f>VLOOKUP(B43,'2024 by account '!$A$2:$M$102,3,0)/1000</f>
        <v>3.0079800000000003</v>
      </c>
      <c r="J43" s="189">
        <f t="shared" si="31"/>
        <v>9.042640179892017E-2</v>
      </c>
      <c r="K43" s="190">
        <f t="shared" si="4"/>
        <v>4.5780883859315603E-3</v>
      </c>
      <c r="L43" s="192"/>
      <c r="M43" s="189">
        <f>VLOOKUP(B43,'2024 by account '!$A$2:$M$102,4,0)/1000</f>
        <v>2.2391200000000002</v>
      </c>
      <c r="N43" s="189">
        <f t="shared" si="32"/>
        <v>6.4300216237016455E-2</v>
      </c>
      <c r="O43" s="190">
        <f t="shared" si="6"/>
        <v>3.209074024904749E-3</v>
      </c>
      <c r="P43" s="192"/>
      <c r="Q43" s="189">
        <f>VLOOKUP(B43,'2024 by account '!$A$2:$M$102,5,0)/1000</f>
        <v>5.3826800000000006</v>
      </c>
      <c r="R43" s="189">
        <f t="shared" si="7"/>
        <v>0.15515354859537772</v>
      </c>
      <c r="S43" s="190">
        <f t="shared" si="8"/>
        <v>5.5327015153648941E-3</v>
      </c>
      <c r="T43" s="192"/>
      <c r="U43" s="189">
        <f>VLOOKUP(B43,'2024 by account '!$A$2:$M$102,6,0)/1000</f>
        <v>5.5712600000000005</v>
      </c>
      <c r="V43" s="189">
        <f t="shared" si="9"/>
        <v>0.15981583740910199</v>
      </c>
      <c r="W43" s="190">
        <f t="shared" si="10"/>
        <v>3.9176309606584791E-3</v>
      </c>
      <c r="X43" s="192"/>
      <c r="Y43" s="189">
        <f>VLOOKUP(B43,'2024 by account '!$A$2:$M$102,7,0)/1000</f>
        <v>7.9533899999999997</v>
      </c>
      <c r="Z43" s="189">
        <f t="shared" si="11"/>
        <v>0.22680748402330417</v>
      </c>
      <c r="AA43" s="190">
        <f t="shared" si="12"/>
        <v>7.3220391278184449E-3</v>
      </c>
      <c r="AB43" s="192"/>
      <c r="AC43" s="189">
        <f>VLOOKUP(B43,'2024 by account '!$A$2:$M$102,8,0)/1000</f>
        <v>9.7467900000000007</v>
      </c>
      <c r="AD43" s="189">
        <f t="shared" si="13"/>
        <v>0.27304303735058227</v>
      </c>
      <c r="AE43" s="190">
        <f t="shared" si="14"/>
        <v>7.9195706514656808E-3</v>
      </c>
      <c r="AF43" s="192"/>
      <c r="AG43" s="189">
        <f>VLOOKUP(B43,'2024 by account '!$A$2:$M$102,9,0)/1000</f>
        <v>1.43889</v>
      </c>
      <c r="AH43" s="189">
        <f t="shared" si="15"/>
        <v>3.877385488469353E-2</v>
      </c>
      <c r="AI43" s="190">
        <f t="shared" si="16"/>
        <v>1.5159064385289517E-3</v>
      </c>
      <c r="AJ43" s="192"/>
      <c r="AK43" s="189">
        <f>VLOOKUP(B43,'2024 by account '!$A$2:$M$102,10,0)/1000</f>
        <v>7.3036500000000002</v>
      </c>
      <c r="AL43" s="189">
        <f t="shared" si="17"/>
        <v>0.1930965530291251</v>
      </c>
      <c r="AM43" s="190">
        <f t="shared" si="18"/>
        <v>4.8148950984720999E-3</v>
      </c>
      <c r="AN43" s="192"/>
      <c r="AO43" s="189">
        <f>VLOOKUP(B43,'2024 by account '!$A$2:$M$102,11,0)/1000</f>
        <v>5.3967800000000006</v>
      </c>
      <c r="AP43" s="189">
        <f t="shared" si="19"/>
        <v>0.14450251406276757</v>
      </c>
      <c r="AQ43" s="190">
        <f t="shared" si="20"/>
        <v>3.508449609409949E-3</v>
      </c>
      <c r="AR43" s="192"/>
      <c r="AS43" s="189">
        <f>VLOOKUP(B43,'2024 by account '!$A$2:$M$102,12,0)/1000</f>
        <v>2.3065600000000006</v>
      </c>
      <c r="AT43" s="189">
        <f t="shared" si="21"/>
        <v>6.2979982907243146E-2</v>
      </c>
      <c r="AU43" s="190">
        <f t="shared" si="22"/>
        <v>1.4609135445892633E-3</v>
      </c>
      <c r="AV43" s="192"/>
      <c r="AW43" s="191">
        <f>VLOOKUP(B43,'2024 by account '!$A$2:$M$102,13,0)/1000</f>
        <v>2.9616500000000001</v>
      </c>
      <c r="AX43" s="189">
        <f t="shared" si="23"/>
        <v>8.0789517617033166E-2</v>
      </c>
      <c r="AY43" s="190">
        <f t="shared" si="24"/>
        <v>3.0891109095336354E-3</v>
      </c>
      <c r="AZ43" s="167"/>
      <c r="BA43" s="191">
        <f t="shared" si="33"/>
        <v>54.285510000000009</v>
      </c>
      <c r="BB43" s="189">
        <f t="shared" si="34"/>
        <v>1.5194532433153451</v>
      </c>
      <c r="BC43" s="190">
        <f t="shared" si="25"/>
        <v>4.1486098338739709E-3</v>
      </c>
    </row>
    <row r="44" spans="1:55" outlineLevel="2">
      <c r="A44" s="188">
        <v>6666020202</v>
      </c>
      <c r="B44" s="188">
        <v>6666020202</v>
      </c>
      <c r="C44" s="188" t="s">
        <v>54</v>
      </c>
      <c r="D44" s="188" t="s">
        <v>80</v>
      </c>
      <c r="E44" s="189">
        <f>VLOOKUP(B44,'2024 by account '!$A$2:$M$102,2,0)/1000</f>
        <v>2.103E-2</v>
      </c>
      <c r="F44" s="189">
        <f t="shared" si="2"/>
        <v>6.4083616473420391E-4</v>
      </c>
      <c r="G44" s="190">
        <f t="shared" si="3"/>
        <v>3.9939929244886501E-5</v>
      </c>
      <c r="H44" s="167"/>
      <c r="I44" s="191">
        <f>VLOOKUP(B44,'2024 by account '!$A$2:$M$102,3,0)/1000</f>
        <v>0</v>
      </c>
      <c r="J44" s="189">
        <f t="shared" si="31"/>
        <v>0</v>
      </c>
      <c r="K44" s="190">
        <f t="shared" si="4"/>
        <v>0</v>
      </c>
      <c r="L44" s="192"/>
      <c r="M44" s="189">
        <f>VLOOKUP(B44,'2024 by account '!$A$2:$M$102,4,0)/1000</f>
        <v>10.594799999999999</v>
      </c>
      <c r="N44" s="189">
        <f t="shared" si="32"/>
        <v>0.30424806664579918</v>
      </c>
      <c r="O44" s="190">
        <f t="shared" si="6"/>
        <v>1.5184312354434256E-2</v>
      </c>
      <c r="P44" s="192"/>
      <c r="Q44" s="189">
        <f>VLOOKUP(B44,'2024 by account '!$A$2:$M$102,5,0)/1000</f>
        <v>8.0616000000000003</v>
      </c>
      <c r="R44" s="189">
        <f t="shared" si="7"/>
        <v>0.23237232147489667</v>
      </c>
      <c r="S44" s="190">
        <f t="shared" si="8"/>
        <v>8.2862861132866183E-3</v>
      </c>
      <c r="T44" s="192"/>
      <c r="U44" s="189">
        <f>VLOOKUP(B44,'2024 by account '!$A$2:$M$102,6,0)/1000</f>
        <v>0</v>
      </c>
      <c r="V44" s="189">
        <f t="shared" si="9"/>
        <v>0</v>
      </c>
      <c r="W44" s="190">
        <f t="shared" si="10"/>
        <v>0</v>
      </c>
      <c r="X44" s="192"/>
      <c r="Y44" s="189">
        <f>VLOOKUP(B44,'2024 by account '!$A$2:$M$102,7,0)/1000</f>
        <v>1.56772</v>
      </c>
      <c r="Z44" s="189">
        <f t="shared" si="11"/>
        <v>4.4706801609504174E-2</v>
      </c>
      <c r="AA44" s="190">
        <f t="shared" si="12"/>
        <v>1.443272262703518E-3</v>
      </c>
      <c r="AB44" s="192"/>
      <c r="AC44" s="189">
        <f>VLOOKUP(B44,'2024 by account '!$A$2:$M$102,8,0)/1000</f>
        <v>0</v>
      </c>
      <c r="AD44" s="189">
        <f t="shared" si="13"/>
        <v>0</v>
      </c>
      <c r="AE44" s="190">
        <f t="shared" si="14"/>
        <v>0</v>
      </c>
      <c r="AF44" s="192"/>
      <c r="AG44" s="189">
        <f>VLOOKUP(B44,'2024 by account '!$A$2:$M$102,9,0)/1000</f>
        <v>0</v>
      </c>
      <c r="AH44" s="189">
        <f t="shared" si="15"/>
        <v>0</v>
      </c>
      <c r="AI44" s="190">
        <f t="shared" si="16"/>
        <v>0</v>
      </c>
      <c r="AJ44" s="192"/>
      <c r="AK44" s="189">
        <f>VLOOKUP(B44,'2024 by account '!$A$2:$M$102,10,0)/1000</f>
        <v>28</v>
      </c>
      <c r="AL44" s="189">
        <f t="shared" si="17"/>
        <v>0.74027417590047484</v>
      </c>
      <c r="AM44" s="190">
        <f t="shared" si="18"/>
        <v>1.845886135798112E-2</v>
      </c>
      <c r="AN44" s="192"/>
      <c r="AO44" s="189">
        <f>VLOOKUP(B44,'2024 by account '!$A$2:$M$102,11,0)/1000</f>
        <v>0</v>
      </c>
      <c r="AP44" s="189">
        <f t="shared" si="19"/>
        <v>0</v>
      </c>
      <c r="AQ44" s="190">
        <f t="shared" si="20"/>
        <v>0</v>
      </c>
      <c r="AR44" s="192"/>
      <c r="AS44" s="189">
        <f>VLOOKUP(B44,'2024 by account '!$A$2:$M$102,12,0)/1000</f>
        <v>4.4112</v>
      </c>
      <c r="AT44" s="189">
        <f t="shared" si="21"/>
        <v>0.12044659605665184</v>
      </c>
      <c r="AU44" s="190">
        <f t="shared" si="22"/>
        <v>2.7939363501890938E-3</v>
      </c>
      <c r="AV44" s="192"/>
      <c r="AW44" s="191">
        <f>VLOOKUP(B44,'2024 by account '!$A$2:$M$102,13,0)/1000</f>
        <v>1.76125</v>
      </c>
      <c r="AX44" s="189">
        <f t="shared" si="23"/>
        <v>4.8044346193169232E-2</v>
      </c>
      <c r="AY44" s="190">
        <f t="shared" si="24"/>
        <v>1.8370491413286902E-3</v>
      </c>
      <c r="AZ44" s="167"/>
      <c r="BA44" s="191">
        <f t="shared" si="33"/>
        <v>54.4176</v>
      </c>
      <c r="BB44" s="189">
        <f t="shared" si="34"/>
        <v>1.4907331440452301</v>
      </c>
      <c r="BC44" s="190">
        <f t="shared" si="25"/>
        <v>4.0701944651971031E-3</v>
      </c>
    </row>
    <row r="45" spans="1:55" outlineLevel="2">
      <c r="A45" s="188">
        <v>6666020204</v>
      </c>
      <c r="B45" s="188">
        <v>6666020204</v>
      </c>
      <c r="C45" s="188" t="s">
        <v>55</v>
      </c>
      <c r="D45" s="188" t="s">
        <v>80</v>
      </c>
      <c r="E45" s="189">
        <f>VLOOKUP(B45,'2024 by account '!$A$2:$M$102,2,0)/1000</f>
        <v>8.36</v>
      </c>
      <c r="F45" s="189">
        <f t="shared" si="2"/>
        <v>0.25474989715539437</v>
      </c>
      <c r="G45" s="190">
        <f t="shared" si="3"/>
        <v>1.5877213908095631E-2</v>
      </c>
      <c r="H45" s="167"/>
      <c r="I45" s="191">
        <f>VLOOKUP(B45,'2024 by account '!$A$2:$M$102,3,0)/1000</f>
        <v>18.367099999999997</v>
      </c>
      <c r="J45" s="189">
        <f t="shared" si="31"/>
        <v>0.55215485624270977</v>
      </c>
      <c r="K45" s="190">
        <f t="shared" si="4"/>
        <v>2.7954377088027022E-2</v>
      </c>
      <c r="L45" s="192"/>
      <c r="M45" s="189">
        <f>VLOOKUP(B45,'2024 by account '!$A$2:$M$102,4,0)/1000</f>
        <v>16.741</v>
      </c>
      <c r="N45" s="189">
        <f t="shared" si="32"/>
        <v>0.48074686485042889</v>
      </c>
      <c r="O45" s="190">
        <f t="shared" si="6"/>
        <v>2.3992956273415626E-2</v>
      </c>
      <c r="P45" s="192"/>
      <c r="Q45" s="189">
        <f>VLOOKUP(B45,'2024 by account '!$A$2:$M$102,5,0)/1000</f>
        <v>10.96421</v>
      </c>
      <c r="R45" s="189">
        <f t="shared" si="7"/>
        <v>0.31603886707828183</v>
      </c>
      <c r="S45" s="190">
        <f t="shared" si="8"/>
        <v>1.1269795210151619E-2</v>
      </c>
      <c r="T45" s="192"/>
      <c r="U45" s="189">
        <f>VLOOKUP(B45,'2024 by account '!$A$2:$M$102,6,0)/1000</f>
        <v>6.9497799999999996</v>
      </c>
      <c r="V45" s="189">
        <f t="shared" si="9"/>
        <v>0.19935973379613026</v>
      </c>
      <c r="W45" s="190">
        <f t="shared" si="10"/>
        <v>4.8869866597080515E-3</v>
      </c>
      <c r="X45" s="192"/>
      <c r="Y45" s="189">
        <f>VLOOKUP(B45,'2024 by account '!$A$2:$M$102,7,0)/1000</f>
        <v>11.789800000000001</v>
      </c>
      <c r="Z45" s="189">
        <f t="shared" si="11"/>
        <v>0.33621070702404282</v>
      </c>
      <c r="AA45" s="190">
        <f t="shared" si="12"/>
        <v>1.0853909705063365E-2</v>
      </c>
      <c r="AB45" s="192"/>
      <c r="AC45" s="189">
        <f>VLOOKUP(B45,'2024 by account '!$A$2:$M$102,8,0)/1000</f>
        <v>16.353269999999998</v>
      </c>
      <c r="AD45" s="189">
        <f t="shared" si="13"/>
        <v>0.45811457017276008</v>
      </c>
      <c r="AE45" s="190">
        <f t="shared" si="14"/>
        <v>1.3287541554449635E-2</v>
      </c>
      <c r="AF45" s="192"/>
      <c r="AG45" s="189">
        <f>VLOOKUP(B45,'2024 by account '!$A$2:$M$102,9,0)/1000</f>
        <v>0</v>
      </c>
      <c r="AH45" s="189">
        <f t="shared" si="15"/>
        <v>0</v>
      </c>
      <c r="AI45" s="190">
        <f t="shared" si="16"/>
        <v>0</v>
      </c>
      <c r="AJ45" s="192"/>
      <c r="AK45" s="189">
        <f>VLOOKUP(B45,'2024 by account '!$A$2:$M$102,10,0)/1000</f>
        <v>1.7553699999999999</v>
      </c>
      <c r="AL45" s="189">
        <f t="shared" si="17"/>
        <v>4.6409110005372012E-2</v>
      </c>
      <c r="AM45" s="190">
        <f t="shared" si="18"/>
        <v>1.1572189807842611E-3</v>
      </c>
      <c r="AN45" s="192"/>
      <c r="AO45" s="189">
        <f>VLOOKUP(B45,'2024 by account '!$A$2:$M$102,11,0)/1000</f>
        <v>0</v>
      </c>
      <c r="AP45" s="189">
        <f t="shared" si="19"/>
        <v>0</v>
      </c>
      <c r="AQ45" s="190">
        <f t="shared" si="20"/>
        <v>0</v>
      </c>
      <c r="AR45" s="192"/>
      <c r="AS45" s="189">
        <f>VLOOKUP(B45,'2024 by account '!$A$2:$M$102,12,0)/1000</f>
        <v>14.852699999999999</v>
      </c>
      <c r="AT45" s="189">
        <f t="shared" si="21"/>
        <v>0.40554886589831174</v>
      </c>
      <c r="AU45" s="190">
        <f t="shared" si="22"/>
        <v>9.4073037786664756E-3</v>
      </c>
      <c r="AV45" s="192"/>
      <c r="AW45" s="191">
        <f>VLOOKUP(B45,'2024 by account '!$A$2:$M$102,13,0)/1000</f>
        <v>5.4313500000000001</v>
      </c>
      <c r="AX45" s="189">
        <f t="shared" si="23"/>
        <v>0.1481593525599828</v>
      </c>
      <c r="AY45" s="190">
        <f t="shared" si="24"/>
        <v>5.665099704048591E-3</v>
      </c>
      <c r="AZ45" s="167"/>
      <c r="BA45" s="191">
        <f t="shared" si="33"/>
        <v>111.56457999999999</v>
      </c>
      <c r="BB45" s="189">
        <f t="shared" si="34"/>
        <v>3.1974928247834145</v>
      </c>
      <c r="BC45" s="190">
        <f t="shared" si="25"/>
        <v>8.7302128150348775E-3</v>
      </c>
    </row>
    <row r="46" spans="1:55" outlineLevel="2">
      <c r="A46" s="188">
        <v>6666020205</v>
      </c>
      <c r="B46" s="188">
        <v>6666020205</v>
      </c>
      <c r="C46" s="188" t="s">
        <v>56</v>
      </c>
      <c r="D46" s="188" t="s">
        <v>80</v>
      </c>
      <c r="E46" s="189">
        <f>VLOOKUP(B46,'2024 by account '!$A$2:$M$102,2,0)/1000</f>
        <v>0</v>
      </c>
      <c r="F46" s="189">
        <f t="shared" si="2"/>
        <v>0</v>
      </c>
      <c r="G46" s="190">
        <f t="shared" si="3"/>
        <v>0</v>
      </c>
      <c r="H46" s="167"/>
      <c r="I46" s="191">
        <f>VLOOKUP(B46,'2024 by account '!$A$2:$M$102,3,0)/1000</f>
        <v>0</v>
      </c>
      <c r="J46" s="189">
        <f t="shared" si="31"/>
        <v>0</v>
      </c>
      <c r="K46" s="190">
        <f t="shared" si="4"/>
        <v>0</v>
      </c>
      <c r="L46" s="192"/>
      <c r="M46" s="189">
        <f>VLOOKUP(B46,'2024 by account '!$A$2:$M$102,4,0)/1000</f>
        <v>0</v>
      </c>
      <c r="N46" s="189">
        <f t="shared" si="32"/>
        <v>0</v>
      </c>
      <c r="O46" s="190">
        <f t="shared" si="6"/>
        <v>0</v>
      </c>
      <c r="P46" s="192"/>
      <c r="Q46" s="189">
        <f>VLOOKUP(B46,'2024 by account '!$A$2:$M$102,5,0)/1000</f>
        <v>0</v>
      </c>
      <c r="R46" s="189">
        <f t="shared" si="7"/>
        <v>0</v>
      </c>
      <c r="S46" s="190">
        <f t="shared" si="8"/>
        <v>0</v>
      </c>
      <c r="T46" s="192"/>
      <c r="U46" s="189">
        <f>VLOOKUP(B46,'2024 by account '!$A$2:$M$102,6,0)/1000</f>
        <v>0</v>
      </c>
      <c r="V46" s="189">
        <f t="shared" si="9"/>
        <v>0</v>
      </c>
      <c r="W46" s="190">
        <f t="shared" si="10"/>
        <v>0</v>
      </c>
      <c r="X46" s="192"/>
      <c r="Y46" s="189">
        <f>VLOOKUP(B46,'2024 by account '!$A$2:$M$102,7,0)/1000</f>
        <v>0</v>
      </c>
      <c r="Z46" s="189">
        <f t="shared" si="11"/>
        <v>0</v>
      </c>
      <c r="AA46" s="190">
        <f t="shared" si="12"/>
        <v>0</v>
      </c>
      <c r="AB46" s="192"/>
      <c r="AC46" s="189">
        <f>VLOOKUP(B46,'2024 by account '!$A$2:$M$102,8,0)/1000</f>
        <v>0.33332999999999996</v>
      </c>
      <c r="AD46" s="189">
        <f t="shared" si="13"/>
        <v>9.3377856340466532E-3</v>
      </c>
      <c r="AE46" s="190">
        <f t="shared" si="14"/>
        <v>2.7084101383666366E-4</v>
      </c>
      <c r="AF46" s="192"/>
      <c r="AG46" s="189">
        <f>VLOOKUP(B46,'2024 by account '!$A$2:$M$102,9,0)/1000</f>
        <v>0</v>
      </c>
      <c r="AH46" s="189">
        <f t="shared" si="15"/>
        <v>0</v>
      </c>
      <c r="AI46" s="190">
        <f t="shared" si="16"/>
        <v>0</v>
      </c>
      <c r="AJ46" s="192"/>
      <c r="AK46" s="189">
        <f>VLOOKUP(B46,'2024 by account '!$A$2:$M$102,10,0)/1000</f>
        <v>0</v>
      </c>
      <c r="AL46" s="189">
        <f t="shared" si="17"/>
        <v>0</v>
      </c>
      <c r="AM46" s="190">
        <f t="shared" si="18"/>
        <v>0</v>
      </c>
      <c r="AN46" s="192"/>
      <c r="AO46" s="189">
        <f>VLOOKUP(B46,'2024 by account '!$A$2:$M$102,11,0)/1000</f>
        <v>0</v>
      </c>
      <c r="AP46" s="189">
        <f t="shared" si="19"/>
        <v>0</v>
      </c>
      <c r="AQ46" s="190">
        <f t="shared" si="20"/>
        <v>0</v>
      </c>
      <c r="AR46" s="192"/>
      <c r="AS46" s="189">
        <f>VLOOKUP(B46,'2024 by account '!$A$2:$M$102,12,0)/1000</f>
        <v>0</v>
      </c>
      <c r="AT46" s="189">
        <f t="shared" si="21"/>
        <v>0</v>
      </c>
      <c r="AU46" s="190">
        <f t="shared" si="22"/>
        <v>0</v>
      </c>
      <c r="AV46" s="192"/>
      <c r="AW46" s="191">
        <f>VLOOKUP(B46,'2024 by account '!$A$2:$M$102,13,0)/1000</f>
        <v>0</v>
      </c>
      <c r="AX46" s="189">
        <f t="shared" si="23"/>
        <v>0</v>
      </c>
      <c r="AY46" s="190">
        <f t="shared" si="24"/>
        <v>0</v>
      </c>
      <c r="AZ46" s="167"/>
      <c r="BA46" s="191">
        <f t="shared" si="33"/>
        <v>0.33332999999999996</v>
      </c>
      <c r="BB46" s="189">
        <f t="shared" si="34"/>
        <v>9.3377856340466532E-3</v>
      </c>
      <c r="BC46" s="190">
        <f t="shared" si="25"/>
        <v>2.5495242764751029E-5</v>
      </c>
    </row>
    <row r="47" spans="1:55" outlineLevel="2">
      <c r="A47" s="188">
        <v>6666020301</v>
      </c>
      <c r="B47" s="188">
        <v>6666020301</v>
      </c>
      <c r="C47" s="188" t="s">
        <v>57</v>
      </c>
      <c r="D47" s="188" t="s">
        <v>80</v>
      </c>
      <c r="E47" s="189">
        <f>VLOOKUP(B47,'2024 by account '!$A$2:$M$102,2,0)/1000</f>
        <v>0</v>
      </c>
      <c r="F47" s="189">
        <f t="shared" si="2"/>
        <v>0</v>
      </c>
      <c r="G47" s="190">
        <f t="shared" si="3"/>
        <v>0</v>
      </c>
      <c r="H47" s="167"/>
      <c r="I47" s="191">
        <f>VLOOKUP(B47,'2024 by account '!$A$2:$M$102,3,0)/1000</f>
        <v>0</v>
      </c>
      <c r="J47" s="189">
        <f t="shared" si="31"/>
        <v>0</v>
      </c>
      <c r="K47" s="190">
        <f t="shared" si="4"/>
        <v>0</v>
      </c>
      <c r="L47" s="192"/>
      <c r="M47" s="189">
        <f>VLOOKUP(B47,'2024 by account '!$A$2:$M$102,4,0)/1000</f>
        <v>0</v>
      </c>
      <c r="N47" s="189">
        <f t="shared" si="32"/>
        <v>0</v>
      </c>
      <c r="O47" s="190">
        <f t="shared" si="6"/>
        <v>0</v>
      </c>
      <c r="P47" s="192"/>
      <c r="Q47" s="189">
        <f>VLOOKUP(B47,'2024 by account '!$A$2:$M$102,5,0)/1000</f>
        <v>0</v>
      </c>
      <c r="R47" s="189">
        <f t="shared" si="7"/>
        <v>0</v>
      </c>
      <c r="S47" s="190">
        <f t="shared" si="8"/>
        <v>0</v>
      </c>
      <c r="T47" s="192"/>
      <c r="U47" s="189">
        <f>VLOOKUP(B47,'2024 by account '!$A$2:$M$102,6,0)/1000</f>
        <v>0</v>
      </c>
      <c r="V47" s="189">
        <f t="shared" si="9"/>
        <v>0</v>
      </c>
      <c r="W47" s="190">
        <f t="shared" si="10"/>
        <v>0</v>
      </c>
      <c r="X47" s="192"/>
      <c r="Y47" s="189">
        <f>VLOOKUP(B47,'2024 by account '!$A$2:$M$102,7,0)/1000</f>
        <v>0</v>
      </c>
      <c r="Z47" s="189">
        <f t="shared" si="11"/>
        <v>0</v>
      </c>
      <c r="AA47" s="190">
        <f t="shared" si="12"/>
        <v>0</v>
      </c>
      <c r="AB47" s="192"/>
      <c r="AC47" s="189">
        <f>VLOOKUP(B47,'2024 by account '!$A$2:$M$102,8,0)/1000</f>
        <v>0</v>
      </c>
      <c r="AD47" s="189">
        <f t="shared" si="13"/>
        <v>0</v>
      </c>
      <c r="AE47" s="190">
        <f t="shared" si="14"/>
        <v>0</v>
      </c>
      <c r="AF47" s="192"/>
      <c r="AG47" s="189">
        <f>VLOOKUP(B47,'2024 by account '!$A$2:$M$102,9,0)/1000</f>
        <v>147.43108999999995</v>
      </c>
      <c r="AH47" s="189">
        <f t="shared" si="15"/>
        <v>3.972834399538665</v>
      </c>
      <c r="AI47" s="190">
        <f t="shared" si="16"/>
        <v>0.15532232385404116</v>
      </c>
      <c r="AJ47" s="192"/>
      <c r="AK47" s="189">
        <f>VLOOKUP(B47,'2024 by account '!$A$2:$M$102,10,0)/1000</f>
        <v>0</v>
      </c>
      <c r="AL47" s="189">
        <f t="shared" si="17"/>
        <v>0</v>
      </c>
      <c r="AM47" s="190">
        <f t="shared" si="18"/>
        <v>0</v>
      </c>
      <c r="AN47" s="192"/>
      <c r="AO47" s="189">
        <f>VLOOKUP(B47,'2024 by account '!$A$2:$M$102,11,0)/1000</f>
        <v>92.909620000000004</v>
      </c>
      <c r="AP47" s="189">
        <f t="shared" si="19"/>
        <v>2.4877192827234738</v>
      </c>
      <c r="AQ47" s="190">
        <f t="shared" si="20"/>
        <v>6.0400594428423382E-2</v>
      </c>
      <c r="AR47" s="192"/>
      <c r="AS47" s="189">
        <f>VLOOKUP(B47,'2024 by account '!$A$2:$M$102,12,0)/1000</f>
        <v>32.500579999999999</v>
      </c>
      <c r="AT47" s="189">
        <f t="shared" si="21"/>
        <v>0.887419348673127</v>
      </c>
      <c r="AU47" s="190">
        <f t="shared" si="22"/>
        <v>2.0584999969221224E-2</v>
      </c>
      <c r="AV47" s="192"/>
      <c r="AW47" s="191">
        <f>VLOOKUP(B47,'2024 by account '!$A$2:$M$102,13,0)/1000</f>
        <v>32.064950000000003</v>
      </c>
      <c r="AX47" s="189">
        <f t="shared" si="23"/>
        <v>0.87468534192571301</v>
      </c>
      <c r="AY47" s="190">
        <f t="shared" si="24"/>
        <v>3.3444933350885678E-2</v>
      </c>
      <c r="AZ47" s="167"/>
      <c r="BA47" s="191">
        <f t="shared" si="33"/>
        <v>304.90623999999991</v>
      </c>
      <c r="BB47" s="189">
        <f t="shared" si="34"/>
        <v>8.2226583728609786</v>
      </c>
      <c r="BC47" s="190">
        <f t="shared" si="25"/>
        <v>2.2450576571744839E-2</v>
      </c>
    </row>
    <row r="48" spans="1:55" outlineLevel="2">
      <c r="A48" s="188">
        <v>6666020302</v>
      </c>
      <c r="B48" s="188">
        <v>6666020302</v>
      </c>
      <c r="C48" s="188" t="s">
        <v>58</v>
      </c>
      <c r="D48" s="188" t="s">
        <v>80</v>
      </c>
      <c r="E48" s="189">
        <f>VLOOKUP(B48,'2024 by account '!$A$2:$M$102,2,0)/1000</f>
        <v>0</v>
      </c>
      <c r="F48" s="189">
        <f t="shared" si="2"/>
        <v>0</v>
      </c>
      <c r="G48" s="190">
        <f t="shared" si="3"/>
        <v>0</v>
      </c>
      <c r="H48" s="167"/>
      <c r="I48" s="191">
        <f>VLOOKUP(B48,'2024 by account '!$A$2:$M$102,3,0)/1000</f>
        <v>0</v>
      </c>
      <c r="J48" s="189">
        <f t="shared" si="31"/>
        <v>0</v>
      </c>
      <c r="K48" s="190">
        <f t="shared" si="4"/>
        <v>0</v>
      </c>
      <c r="L48" s="192"/>
      <c r="M48" s="189">
        <f>VLOOKUP(B48,'2024 by account '!$A$2:$M$102,4,0)/1000</f>
        <v>0</v>
      </c>
      <c r="N48" s="189">
        <f t="shared" si="32"/>
        <v>0</v>
      </c>
      <c r="O48" s="190">
        <f t="shared" si="6"/>
        <v>0</v>
      </c>
      <c r="P48" s="192"/>
      <c r="Q48" s="189">
        <f>VLOOKUP(B48,'2024 by account '!$A$2:$M$102,5,0)/1000</f>
        <v>0</v>
      </c>
      <c r="R48" s="189">
        <f t="shared" si="7"/>
        <v>0</v>
      </c>
      <c r="S48" s="190">
        <f t="shared" si="8"/>
        <v>0</v>
      </c>
      <c r="T48" s="192"/>
      <c r="U48" s="189">
        <f>VLOOKUP(B48,'2024 by account '!$A$2:$M$102,6,0)/1000</f>
        <v>0</v>
      </c>
      <c r="V48" s="189">
        <f t="shared" si="9"/>
        <v>0</v>
      </c>
      <c r="W48" s="190">
        <f t="shared" si="10"/>
        <v>0</v>
      </c>
      <c r="X48" s="192"/>
      <c r="Y48" s="189">
        <f>VLOOKUP(B48,'2024 by account '!$A$2:$M$102,7,0)/1000</f>
        <v>0</v>
      </c>
      <c r="Z48" s="189">
        <f t="shared" si="11"/>
        <v>0</v>
      </c>
      <c r="AA48" s="190">
        <f t="shared" si="12"/>
        <v>0</v>
      </c>
      <c r="AB48" s="192"/>
      <c r="AC48" s="189">
        <f>VLOOKUP(B48,'2024 by account '!$A$2:$M$102,8,0)/1000</f>
        <v>0</v>
      </c>
      <c r="AD48" s="189">
        <f t="shared" si="13"/>
        <v>0</v>
      </c>
      <c r="AE48" s="190">
        <f t="shared" si="14"/>
        <v>0</v>
      </c>
      <c r="AF48" s="192"/>
      <c r="AG48" s="189">
        <f>VLOOKUP(B48,'2024 by account '!$A$2:$M$102,9,0)/1000</f>
        <v>0</v>
      </c>
      <c r="AH48" s="189">
        <f t="shared" si="15"/>
        <v>0</v>
      </c>
      <c r="AI48" s="190">
        <f t="shared" si="16"/>
        <v>0</v>
      </c>
      <c r="AJ48" s="192"/>
      <c r="AK48" s="189">
        <f>VLOOKUP(B48,'2024 by account '!$A$2:$M$102,10,0)/1000</f>
        <v>0</v>
      </c>
      <c r="AL48" s="189">
        <f t="shared" si="17"/>
        <v>0</v>
      </c>
      <c r="AM48" s="190">
        <f t="shared" si="18"/>
        <v>0</v>
      </c>
      <c r="AN48" s="192"/>
      <c r="AO48" s="189">
        <f>VLOOKUP(B48,'2024 by account '!$A$2:$M$102,11,0)/1000</f>
        <v>0</v>
      </c>
      <c r="AP48" s="189">
        <f t="shared" si="19"/>
        <v>0</v>
      </c>
      <c r="AQ48" s="190">
        <f t="shared" si="20"/>
        <v>0</v>
      </c>
      <c r="AR48" s="192"/>
      <c r="AS48" s="189">
        <f>VLOOKUP(B48,'2024 by account '!$A$2:$M$102,12,0)/1000</f>
        <v>0</v>
      </c>
      <c r="AT48" s="189">
        <f t="shared" si="21"/>
        <v>0</v>
      </c>
      <c r="AU48" s="190">
        <f t="shared" si="22"/>
        <v>0</v>
      </c>
      <c r="AV48" s="192"/>
      <c r="AW48" s="191">
        <f>VLOOKUP(B48,'2024 by account '!$A$2:$M$102,13,0)/1000</f>
        <v>0</v>
      </c>
      <c r="AX48" s="189">
        <f t="shared" si="23"/>
        <v>0</v>
      </c>
      <c r="AY48" s="190">
        <f t="shared" si="24"/>
        <v>0</v>
      </c>
      <c r="AZ48" s="167"/>
      <c r="BA48" s="191">
        <f t="shared" si="33"/>
        <v>0</v>
      </c>
      <c r="BB48" s="189">
        <f t="shared" si="34"/>
        <v>0</v>
      </c>
      <c r="BC48" s="190">
        <f t="shared" si="25"/>
        <v>0</v>
      </c>
    </row>
    <row r="49" spans="1:55" outlineLevel="2">
      <c r="A49" s="188">
        <v>6666020405</v>
      </c>
      <c r="B49" s="188">
        <v>6666020405</v>
      </c>
      <c r="C49" s="188" t="s">
        <v>59</v>
      </c>
      <c r="D49" s="188" t="s">
        <v>80</v>
      </c>
      <c r="E49" s="189">
        <f>VLOOKUP(B49,'2024 by account '!$A$2:$M$102,2,0)/1000</f>
        <v>0</v>
      </c>
      <c r="F49" s="189">
        <f t="shared" si="2"/>
        <v>0</v>
      </c>
      <c r="G49" s="190">
        <f t="shared" si="3"/>
        <v>0</v>
      </c>
      <c r="H49" s="167"/>
      <c r="I49" s="191">
        <f>VLOOKUP(B49,'2024 by account '!$A$2:$M$102,3,0)/1000</f>
        <v>0</v>
      </c>
      <c r="J49" s="189">
        <f t="shared" si="31"/>
        <v>0</v>
      </c>
      <c r="K49" s="190">
        <f t="shared" si="4"/>
        <v>0</v>
      </c>
      <c r="L49" s="192"/>
      <c r="M49" s="189">
        <f>VLOOKUP(B49,'2024 by account '!$A$2:$M$102,4,0)/1000</f>
        <v>0.27</v>
      </c>
      <c r="N49" s="189">
        <f t="shared" si="32"/>
        <v>7.7535185179867282E-3</v>
      </c>
      <c r="O49" s="190">
        <f t="shared" si="6"/>
        <v>3.8696004980719309E-4</v>
      </c>
      <c r="P49" s="192"/>
      <c r="Q49" s="189">
        <f>VLOOKUP(B49,'2024 by account '!$A$2:$M$102,5,0)/1000</f>
        <v>0</v>
      </c>
      <c r="R49" s="189">
        <f t="shared" si="7"/>
        <v>0</v>
      </c>
      <c r="S49" s="190">
        <f t="shared" si="8"/>
        <v>0</v>
      </c>
      <c r="T49" s="192"/>
      <c r="U49" s="189">
        <f>VLOOKUP(B49,'2024 by account '!$A$2:$M$102,6,0)/1000</f>
        <v>0</v>
      </c>
      <c r="V49" s="189">
        <f t="shared" si="9"/>
        <v>0</v>
      </c>
      <c r="W49" s="190">
        <f t="shared" si="10"/>
        <v>0</v>
      </c>
      <c r="X49" s="192"/>
      <c r="Y49" s="189">
        <f>VLOOKUP(B49,'2024 by account '!$A$2:$M$102,7,0)/1000</f>
        <v>0</v>
      </c>
      <c r="Z49" s="189">
        <f t="shared" si="11"/>
        <v>0</v>
      </c>
      <c r="AA49" s="190">
        <f t="shared" si="12"/>
        <v>0</v>
      </c>
      <c r="AB49" s="192"/>
      <c r="AC49" s="189">
        <f>VLOOKUP(B49,'2024 by account '!$A$2:$M$102,8,0)/1000</f>
        <v>0</v>
      </c>
      <c r="AD49" s="189">
        <f t="shared" si="13"/>
        <v>0</v>
      </c>
      <c r="AE49" s="190">
        <f t="shared" si="14"/>
        <v>0</v>
      </c>
      <c r="AF49" s="192"/>
      <c r="AG49" s="189">
        <f>VLOOKUP(B49,'2024 by account '!$A$2:$M$102,9,0)/1000</f>
        <v>0</v>
      </c>
      <c r="AH49" s="189">
        <f t="shared" si="15"/>
        <v>0</v>
      </c>
      <c r="AI49" s="190">
        <f t="shared" si="16"/>
        <v>0</v>
      </c>
      <c r="AJ49" s="192"/>
      <c r="AK49" s="189">
        <f>VLOOKUP(B49,'2024 by account '!$A$2:$M$102,10,0)/1000</f>
        <v>0</v>
      </c>
      <c r="AL49" s="189">
        <f t="shared" si="17"/>
        <v>0</v>
      </c>
      <c r="AM49" s="190">
        <f t="shared" si="18"/>
        <v>0</v>
      </c>
      <c r="AN49" s="192"/>
      <c r="AO49" s="189">
        <f>VLOOKUP(B49,'2024 by account '!$A$2:$M$102,11,0)/1000</f>
        <v>0</v>
      </c>
      <c r="AP49" s="189">
        <f t="shared" si="19"/>
        <v>0</v>
      </c>
      <c r="AQ49" s="190">
        <f t="shared" si="20"/>
        <v>0</v>
      </c>
      <c r="AR49" s="192"/>
      <c r="AS49" s="189">
        <f>VLOOKUP(B49,'2024 by account '!$A$2:$M$102,12,0)/1000</f>
        <v>0</v>
      </c>
      <c r="AT49" s="189">
        <f t="shared" si="21"/>
        <v>0</v>
      </c>
      <c r="AU49" s="190">
        <f t="shared" si="22"/>
        <v>0</v>
      </c>
      <c r="AV49" s="192"/>
      <c r="AW49" s="191">
        <f>VLOOKUP(B49,'2024 by account '!$A$2:$M$102,13,0)/1000</f>
        <v>0</v>
      </c>
      <c r="AX49" s="189">
        <f t="shared" si="23"/>
        <v>0</v>
      </c>
      <c r="AY49" s="190">
        <f t="shared" si="24"/>
        <v>0</v>
      </c>
      <c r="AZ49" s="167"/>
      <c r="BA49" s="191">
        <f t="shared" si="33"/>
        <v>0.27</v>
      </c>
      <c r="BB49" s="189">
        <f t="shared" si="34"/>
        <v>7.7535185179867282E-3</v>
      </c>
      <c r="BC49" s="190">
        <f t="shared" si="25"/>
        <v>2.1169669624488685E-5</v>
      </c>
    </row>
    <row r="50" spans="1:55" outlineLevel="2">
      <c r="A50" s="188">
        <v>6666020495</v>
      </c>
      <c r="B50" s="188">
        <v>6666020495</v>
      </c>
      <c r="C50" s="188" t="s">
        <v>40</v>
      </c>
      <c r="D50" s="188" t="s">
        <v>80</v>
      </c>
      <c r="E50" s="189">
        <f>VLOOKUP(B50,'2024 by account '!$A$2:$M$102,2,0)/1000</f>
        <v>1.3133900000000001</v>
      </c>
      <c r="F50" s="189">
        <f t="shared" si="2"/>
        <v>4.0022244907287494E-2</v>
      </c>
      <c r="G50" s="190">
        <f t="shared" si="3"/>
        <v>2.4943748773628852E-3</v>
      </c>
      <c r="H50" s="167"/>
      <c r="I50" s="191">
        <f>VLOOKUP(B50,'2024 by account '!$A$2:$M$102,3,0)/1000</f>
        <v>2.18716</v>
      </c>
      <c r="J50" s="189">
        <f t="shared" si="31"/>
        <v>6.5750772597732113E-2</v>
      </c>
      <c r="K50" s="190">
        <f t="shared" si="4"/>
        <v>3.3288159476373082E-3</v>
      </c>
      <c r="L50" s="192"/>
      <c r="M50" s="189">
        <f>VLOOKUP(B50,'2024 by account '!$A$2:$M$102,4,0)/1000</f>
        <v>0</v>
      </c>
      <c r="N50" s="189">
        <f t="shared" si="32"/>
        <v>0</v>
      </c>
      <c r="O50" s="190">
        <f t="shared" si="6"/>
        <v>0</v>
      </c>
      <c r="P50" s="192"/>
      <c r="Q50" s="189">
        <f>VLOOKUP(B50,'2024 by account '!$A$2:$M$102,5,0)/1000</f>
        <v>6.0374000000000008</v>
      </c>
      <c r="R50" s="189">
        <f t="shared" si="7"/>
        <v>0.17402558470682511</v>
      </c>
      <c r="S50" s="190">
        <f t="shared" si="8"/>
        <v>6.2056693187898977E-3</v>
      </c>
      <c r="T50" s="192"/>
      <c r="U50" s="189">
        <f>VLOOKUP(B50,'2024 by account '!$A$2:$M$102,6,0)/1000</f>
        <v>7.4481900000000003</v>
      </c>
      <c r="V50" s="189">
        <f t="shared" si="9"/>
        <v>0.21365700434589291</v>
      </c>
      <c r="W50" s="190">
        <f t="shared" si="10"/>
        <v>5.2374614979137351E-3</v>
      </c>
      <c r="X50" s="192"/>
      <c r="Y50" s="189">
        <f>VLOOKUP(B50,'2024 by account '!$A$2:$M$102,7,0)/1000</f>
        <v>4.9498500000000005</v>
      </c>
      <c r="Z50" s="189">
        <f t="shared" si="11"/>
        <v>0.14115528407292391</v>
      </c>
      <c r="AA50" s="190">
        <f t="shared" si="12"/>
        <v>4.5569242017343718E-3</v>
      </c>
      <c r="AB50" s="192"/>
      <c r="AC50" s="189">
        <f>VLOOKUP(B50,'2024 by account '!$A$2:$M$102,8,0)/1000</f>
        <v>7.27386</v>
      </c>
      <c r="AD50" s="189">
        <f t="shared" si="13"/>
        <v>0.20376727390893887</v>
      </c>
      <c r="AE50" s="190">
        <f t="shared" si="14"/>
        <v>5.910237953097394E-3</v>
      </c>
      <c r="AF50" s="192"/>
      <c r="AG50" s="189">
        <f>VLOOKUP(B50,'2024 by account '!$A$2:$M$102,9,0)/1000</f>
        <v>9.9004599999999989</v>
      </c>
      <c r="AH50" s="189">
        <f t="shared" si="15"/>
        <v>0.26678828772992574</v>
      </c>
      <c r="AI50" s="190">
        <f t="shared" si="16"/>
        <v>1.0430381098206496E-2</v>
      </c>
      <c r="AJ50" s="192"/>
      <c r="AK50" s="189">
        <f>VLOOKUP(B50,'2024 by account '!$A$2:$M$102,10,0)/1000</f>
        <v>3.2378400000000003</v>
      </c>
      <c r="AL50" s="189">
        <f t="shared" si="17"/>
        <v>8.5603190632056916E-2</v>
      </c>
      <c r="AM50" s="190">
        <f t="shared" si="18"/>
        <v>2.1345299878330571E-3</v>
      </c>
      <c r="AN50" s="192"/>
      <c r="AO50" s="189">
        <f>VLOOKUP(B50,'2024 by account '!$A$2:$M$102,11,0)/1000</f>
        <v>9.7751399999999986</v>
      </c>
      <c r="AP50" s="189">
        <f t="shared" si="19"/>
        <v>0.26173612882413611</v>
      </c>
      <c r="AQ50" s="190">
        <f t="shared" si="20"/>
        <v>6.3548238236369754E-3</v>
      </c>
      <c r="AR50" s="192"/>
      <c r="AS50" s="189">
        <f>VLOOKUP(B50,'2024 by account '!$A$2:$M$102,12,0)/1000</f>
        <v>8.3375299999999992</v>
      </c>
      <c r="AT50" s="189">
        <f t="shared" si="21"/>
        <v>0.22765395085695872</v>
      </c>
      <c r="AU50" s="190">
        <f t="shared" si="22"/>
        <v>5.2807689829960265E-3</v>
      </c>
      <c r="AV50" s="192"/>
      <c r="AW50" s="191">
        <f>VLOOKUP(B50,'2024 by account '!$A$2:$M$102,13,0)/1000</f>
        <v>8.472290000000001</v>
      </c>
      <c r="AX50" s="189">
        <f t="shared" si="23"/>
        <v>0.23111178640677124</v>
      </c>
      <c r="AY50" s="190">
        <f t="shared" si="24"/>
        <v>8.8369130274450827E-3</v>
      </c>
      <c r="AZ50" s="167"/>
      <c r="BA50" s="191">
        <f t="shared" si="33"/>
        <v>68.933109999999999</v>
      </c>
      <c r="BB50" s="189">
        <f t="shared" si="34"/>
        <v>1.9112715089894494</v>
      </c>
      <c r="BC50" s="190">
        <f t="shared" si="25"/>
        <v>5.2184032725455676E-3</v>
      </c>
    </row>
    <row r="51" spans="1:55" outlineLevel="2">
      <c r="A51" s="188">
        <v>6666020504</v>
      </c>
      <c r="B51" s="188">
        <v>6666020504</v>
      </c>
      <c r="C51" s="188" t="s">
        <v>60</v>
      </c>
      <c r="D51" s="188" t="s">
        <v>80</v>
      </c>
      <c r="E51" s="189">
        <f>VLOOKUP(B51,'2024 by account '!$A$2:$M$102,2,0)/1000</f>
        <v>0</v>
      </c>
      <c r="F51" s="189">
        <f t="shared" si="2"/>
        <v>0</v>
      </c>
      <c r="G51" s="190">
        <f t="shared" si="3"/>
        <v>0</v>
      </c>
      <c r="H51" s="167"/>
      <c r="I51" s="191">
        <f>VLOOKUP(B51,'2024 by account '!$A$2:$M$102,3,0)/1000</f>
        <v>0</v>
      </c>
      <c r="J51" s="189">
        <f t="shared" si="31"/>
        <v>0</v>
      </c>
      <c r="K51" s="190">
        <f t="shared" si="4"/>
        <v>0</v>
      </c>
      <c r="L51" s="192"/>
      <c r="M51" s="189">
        <f>VLOOKUP(B51,'2024 by account '!$A$2:$M$102,4,0)/1000</f>
        <v>0</v>
      </c>
      <c r="N51" s="189">
        <f t="shared" si="32"/>
        <v>0</v>
      </c>
      <c r="O51" s="190">
        <f t="shared" si="6"/>
        <v>0</v>
      </c>
      <c r="P51" s="192"/>
      <c r="Q51" s="189">
        <f>VLOOKUP(B51,'2024 by account '!$A$2:$M$102,5,0)/1000</f>
        <v>0</v>
      </c>
      <c r="R51" s="189">
        <f t="shared" si="7"/>
        <v>0</v>
      </c>
      <c r="S51" s="190">
        <f t="shared" si="8"/>
        <v>0</v>
      </c>
      <c r="T51" s="192"/>
      <c r="U51" s="189">
        <f>VLOOKUP(B51,'2024 by account '!$A$2:$M$102,6,0)/1000</f>
        <v>4.5</v>
      </c>
      <c r="V51" s="189">
        <f t="shared" si="9"/>
        <v>0.12908592819953815</v>
      </c>
      <c r="W51" s="190">
        <f t="shared" si="10"/>
        <v>3.1643361327533008E-3</v>
      </c>
      <c r="X51" s="192"/>
      <c r="Y51" s="189">
        <f>VLOOKUP(B51,'2024 by account '!$A$2:$M$102,7,0)/1000</f>
        <v>0</v>
      </c>
      <c r="Z51" s="189">
        <f t="shared" si="11"/>
        <v>0</v>
      </c>
      <c r="AA51" s="190">
        <f t="shared" si="12"/>
        <v>0</v>
      </c>
      <c r="AB51" s="192"/>
      <c r="AC51" s="189">
        <f>VLOOKUP(B51,'2024 by account '!$A$2:$M$102,8,0)/1000</f>
        <v>0</v>
      </c>
      <c r="AD51" s="189">
        <f t="shared" si="13"/>
        <v>0</v>
      </c>
      <c r="AE51" s="190">
        <f t="shared" si="14"/>
        <v>0</v>
      </c>
      <c r="AF51" s="192"/>
      <c r="AG51" s="189">
        <f>VLOOKUP(B51,'2024 by account '!$A$2:$M$102,9,0)/1000</f>
        <v>0</v>
      </c>
      <c r="AH51" s="189">
        <f t="shared" si="15"/>
        <v>0</v>
      </c>
      <c r="AI51" s="190">
        <f t="shared" si="16"/>
        <v>0</v>
      </c>
      <c r="AJ51" s="192"/>
      <c r="AK51" s="189">
        <f>VLOOKUP(B51,'2024 by account '!$A$2:$M$102,10,0)/1000</f>
        <v>0</v>
      </c>
      <c r="AL51" s="189">
        <f t="shared" si="17"/>
        <v>0</v>
      </c>
      <c r="AM51" s="190">
        <f t="shared" si="18"/>
        <v>0</v>
      </c>
      <c r="AN51" s="192"/>
      <c r="AO51" s="189">
        <f>VLOOKUP(B51,'2024 by account '!$A$2:$M$102,11,0)/1000</f>
        <v>0</v>
      </c>
      <c r="AP51" s="189">
        <f t="shared" si="19"/>
        <v>0</v>
      </c>
      <c r="AQ51" s="190">
        <f t="shared" si="20"/>
        <v>0</v>
      </c>
      <c r="AR51" s="192"/>
      <c r="AS51" s="189">
        <f>VLOOKUP(B51,'2024 by account '!$A$2:$M$102,12,0)/1000</f>
        <v>0</v>
      </c>
      <c r="AT51" s="189">
        <f t="shared" si="21"/>
        <v>0</v>
      </c>
      <c r="AU51" s="190">
        <f t="shared" si="22"/>
        <v>0</v>
      </c>
      <c r="AV51" s="192"/>
      <c r="AW51" s="191">
        <f>VLOOKUP(B51,'2024 by account '!$A$2:$M$102,13,0)/1000</f>
        <v>0</v>
      </c>
      <c r="AX51" s="189">
        <f t="shared" si="23"/>
        <v>0</v>
      </c>
      <c r="AY51" s="190">
        <f t="shared" si="24"/>
        <v>0</v>
      </c>
      <c r="AZ51" s="167"/>
      <c r="BA51" s="191">
        <f t="shared" si="33"/>
        <v>4.5</v>
      </c>
      <c r="BB51" s="189">
        <f t="shared" si="34"/>
        <v>0.12908592819953815</v>
      </c>
      <c r="BC51" s="190">
        <f t="shared" si="25"/>
        <v>3.5244727239837207E-4</v>
      </c>
    </row>
    <row r="52" spans="1:55" outlineLevel="2">
      <c r="A52" s="188">
        <v>6666020508</v>
      </c>
      <c r="B52" s="188">
        <v>6666020508</v>
      </c>
      <c r="C52" s="188" t="s">
        <v>61</v>
      </c>
      <c r="D52" s="188" t="s">
        <v>80</v>
      </c>
      <c r="E52" s="189">
        <f>VLOOKUP(B52,'2024 by account '!$A$2:$M$102,2,0)/1000</f>
        <v>0</v>
      </c>
      <c r="F52" s="189">
        <f t="shared" si="2"/>
        <v>0</v>
      </c>
      <c r="G52" s="190">
        <f t="shared" si="3"/>
        <v>0</v>
      </c>
      <c r="H52" s="167"/>
      <c r="I52" s="191">
        <f>VLOOKUP(B52,'2024 by account '!$A$2:$M$102,3,0)/1000</f>
        <v>0</v>
      </c>
      <c r="J52" s="189">
        <f t="shared" si="31"/>
        <v>0</v>
      </c>
      <c r="K52" s="190">
        <f t="shared" si="4"/>
        <v>0</v>
      </c>
      <c r="L52" s="192"/>
      <c r="M52" s="189">
        <f>VLOOKUP(B52,'2024 by account '!$A$2:$M$102,4,0)/1000</f>
        <v>0</v>
      </c>
      <c r="N52" s="189">
        <f t="shared" si="32"/>
        <v>0</v>
      </c>
      <c r="O52" s="190">
        <f t="shared" si="6"/>
        <v>0</v>
      </c>
      <c r="P52" s="192"/>
      <c r="Q52" s="189">
        <f>VLOOKUP(B52,'2024 by account '!$A$2:$M$102,5,0)/1000</f>
        <v>0</v>
      </c>
      <c r="R52" s="189">
        <f t="shared" si="7"/>
        <v>0</v>
      </c>
      <c r="S52" s="190">
        <f t="shared" si="8"/>
        <v>0</v>
      </c>
      <c r="T52" s="192"/>
      <c r="U52" s="189">
        <f>VLOOKUP(B52,'2024 by account '!$A$2:$M$102,6,0)/1000</f>
        <v>0</v>
      </c>
      <c r="V52" s="189">
        <f t="shared" si="9"/>
        <v>0</v>
      </c>
      <c r="W52" s="190">
        <f t="shared" si="10"/>
        <v>0</v>
      </c>
      <c r="X52" s="192"/>
      <c r="Y52" s="189">
        <f>VLOOKUP(B52,'2024 by account '!$A$2:$M$102,7,0)/1000</f>
        <v>0</v>
      </c>
      <c r="Z52" s="189">
        <f t="shared" si="11"/>
        <v>0</v>
      </c>
      <c r="AA52" s="190">
        <f t="shared" si="12"/>
        <v>0</v>
      </c>
      <c r="AB52" s="192"/>
      <c r="AC52" s="189">
        <f>VLOOKUP(B52,'2024 by account '!$A$2:$M$102,8,0)/1000</f>
        <v>0</v>
      </c>
      <c r="AD52" s="189">
        <f t="shared" si="13"/>
        <v>0</v>
      </c>
      <c r="AE52" s="190">
        <f t="shared" si="14"/>
        <v>0</v>
      </c>
      <c r="AF52" s="192"/>
      <c r="AG52" s="189">
        <f>VLOOKUP(B52,'2024 by account '!$A$2:$M$102,9,0)/1000</f>
        <v>0</v>
      </c>
      <c r="AH52" s="189">
        <f t="shared" si="15"/>
        <v>0</v>
      </c>
      <c r="AI52" s="190">
        <f t="shared" si="16"/>
        <v>0</v>
      </c>
      <c r="AJ52" s="192"/>
      <c r="AK52" s="189">
        <f>VLOOKUP(B52,'2024 by account '!$A$2:$M$102,10,0)/1000</f>
        <v>0</v>
      </c>
      <c r="AL52" s="189">
        <f t="shared" si="17"/>
        <v>0</v>
      </c>
      <c r="AM52" s="190">
        <f t="shared" si="18"/>
        <v>0</v>
      </c>
      <c r="AN52" s="192"/>
      <c r="AO52" s="189">
        <f>VLOOKUP(B52,'2024 by account '!$A$2:$M$102,11,0)/1000</f>
        <v>0</v>
      </c>
      <c r="AP52" s="189">
        <f t="shared" si="19"/>
        <v>0</v>
      </c>
      <c r="AQ52" s="190">
        <f t="shared" si="20"/>
        <v>0</v>
      </c>
      <c r="AR52" s="192"/>
      <c r="AS52" s="189">
        <f>VLOOKUP(B52,'2024 by account '!$A$2:$M$102,12,0)/1000</f>
        <v>0</v>
      </c>
      <c r="AT52" s="189">
        <f t="shared" si="21"/>
        <v>0</v>
      </c>
      <c r="AU52" s="190">
        <f t="shared" si="22"/>
        <v>0</v>
      </c>
      <c r="AV52" s="192"/>
      <c r="AW52" s="191">
        <f>VLOOKUP(B52,'2024 by account '!$A$2:$M$102,13,0)/1000</f>
        <v>0</v>
      </c>
      <c r="AX52" s="189">
        <f t="shared" si="23"/>
        <v>0</v>
      </c>
      <c r="AY52" s="190">
        <f t="shared" si="24"/>
        <v>0</v>
      </c>
      <c r="AZ52" s="167"/>
      <c r="BA52" s="191">
        <f t="shared" si="33"/>
        <v>0</v>
      </c>
      <c r="BB52" s="189">
        <f t="shared" si="34"/>
        <v>0</v>
      </c>
      <c r="BC52" s="190">
        <f t="shared" si="25"/>
        <v>0</v>
      </c>
    </row>
    <row r="53" spans="1:55" outlineLevel="2">
      <c r="A53" s="188">
        <v>6666020602</v>
      </c>
      <c r="B53" s="188">
        <v>6666020602</v>
      </c>
      <c r="C53" s="188" t="s">
        <v>62</v>
      </c>
      <c r="D53" s="188" t="s">
        <v>80</v>
      </c>
      <c r="E53" s="189">
        <f>VLOOKUP(B53,'2024 by account '!$A$2:$M$102,2,0)/1000</f>
        <v>37.049999999999997</v>
      </c>
      <c r="F53" s="189">
        <f t="shared" si="2"/>
        <v>1.1290052260295889</v>
      </c>
      <c r="G53" s="190">
        <f t="shared" si="3"/>
        <v>7.0364925274514725E-2</v>
      </c>
      <c r="H53" s="167"/>
      <c r="I53" s="191">
        <f>VLOOKUP(B53,'2024 by account '!$A$2:$M$102,3,0)/1000</f>
        <v>17.388999999999999</v>
      </c>
      <c r="J53" s="189">
        <f t="shared" si="31"/>
        <v>0.52275104916968285</v>
      </c>
      <c r="K53" s="190">
        <f t="shared" si="4"/>
        <v>2.6465727479226552E-2</v>
      </c>
      <c r="L53" s="192"/>
      <c r="M53" s="189">
        <f>VLOOKUP(B53,'2024 by account '!$A$2:$M$102,4,0)/1000</f>
        <v>0.6</v>
      </c>
      <c r="N53" s="189">
        <f t="shared" si="32"/>
        <v>1.7230041151081617E-2</v>
      </c>
      <c r="O53" s="190">
        <f t="shared" si="6"/>
        <v>8.5991122179376238E-4</v>
      </c>
      <c r="P53" s="192"/>
      <c r="Q53" s="189">
        <f>VLOOKUP(B53,'2024 by account '!$A$2:$M$102,5,0)/1000</f>
        <v>232.32941</v>
      </c>
      <c r="R53" s="189">
        <f t="shared" si="7"/>
        <v>6.6968001821714145</v>
      </c>
      <c r="S53" s="190">
        <f t="shared" si="8"/>
        <v>0.23880469928935613</v>
      </c>
      <c r="T53" s="192"/>
      <c r="U53" s="189">
        <f>VLOOKUP(B53,'2024 by account '!$A$2:$M$102,6,0)/1000</f>
        <v>0</v>
      </c>
      <c r="V53" s="189">
        <f t="shared" si="9"/>
        <v>0</v>
      </c>
      <c r="W53" s="190">
        <f t="shared" si="10"/>
        <v>0</v>
      </c>
      <c r="X53" s="192"/>
      <c r="Y53" s="189">
        <f>VLOOKUP(B53,'2024 by account '!$A$2:$M$102,7,0)/1000</f>
        <v>0</v>
      </c>
      <c r="Z53" s="189">
        <f t="shared" si="11"/>
        <v>0</v>
      </c>
      <c r="AA53" s="190">
        <f t="shared" si="12"/>
        <v>0</v>
      </c>
      <c r="AB53" s="192"/>
      <c r="AC53" s="189">
        <f>VLOOKUP(B53,'2024 by account '!$A$2:$M$102,8,0)/1000</f>
        <v>49.428599999999996</v>
      </c>
      <c r="AD53" s="189">
        <f t="shared" si="13"/>
        <v>1.3846748597217124</v>
      </c>
      <c r="AE53" s="190">
        <f t="shared" si="14"/>
        <v>4.0162278032361061E-2</v>
      </c>
      <c r="AF53" s="192"/>
      <c r="AG53" s="189">
        <f>VLOOKUP(B53,'2024 by account '!$A$2:$M$102,9,0)/1000</f>
        <v>10.5</v>
      </c>
      <c r="AH53" s="189">
        <f t="shared" si="15"/>
        <v>0.28294412796619761</v>
      </c>
      <c r="AI53" s="190">
        <f t="shared" si="16"/>
        <v>1.1062011414739135E-2</v>
      </c>
      <c r="AJ53" s="192"/>
      <c r="AK53" s="189">
        <f>VLOOKUP(B53,'2024 by account '!$A$2:$M$102,10,0)/1000</f>
        <v>-228</v>
      </c>
      <c r="AL53" s="189">
        <f t="shared" si="17"/>
        <v>-6.0279468609038664</v>
      </c>
      <c r="AM53" s="190">
        <f t="shared" si="18"/>
        <v>-0.15030787105784627</v>
      </c>
      <c r="AN53" s="192"/>
      <c r="AO53" s="189">
        <f>VLOOKUP(B53,'2024 by account '!$A$2:$M$102,11,0)/1000</f>
        <v>0</v>
      </c>
      <c r="AP53" s="189">
        <f t="shared" si="19"/>
        <v>0</v>
      </c>
      <c r="AQ53" s="190">
        <f t="shared" si="20"/>
        <v>0</v>
      </c>
      <c r="AR53" s="192"/>
      <c r="AS53" s="189">
        <f>VLOOKUP(B53,'2024 by account '!$A$2:$M$102,12,0)/1000</f>
        <v>-3.2794099999999999</v>
      </c>
      <c r="AT53" s="189">
        <f t="shared" si="21"/>
        <v>-8.9543383109844166E-2</v>
      </c>
      <c r="AU53" s="190">
        <f t="shared" si="22"/>
        <v>-2.0770907703512916E-3</v>
      </c>
      <c r="AV53" s="192"/>
      <c r="AW53" s="191">
        <f>VLOOKUP(B53,'2024 by account '!$A$2:$M$102,13,0)/1000</f>
        <v>-7.6793999999999993</v>
      </c>
      <c r="AX53" s="189">
        <f t="shared" si="23"/>
        <v>-0.20948289689471897</v>
      </c>
      <c r="AY53" s="190">
        <f t="shared" si="24"/>
        <v>-8.0098993191878159E-3</v>
      </c>
      <c r="AZ53" s="167"/>
      <c r="BA53" s="191">
        <f t="shared" si="33"/>
        <v>108.33819999999999</v>
      </c>
      <c r="BB53" s="189">
        <f t="shared" si="34"/>
        <v>3.7064323453012484</v>
      </c>
      <c r="BC53" s="190">
        <f t="shared" si="25"/>
        <v>1.011978601115408E-2</v>
      </c>
    </row>
    <row r="54" spans="1:55" outlineLevel="2">
      <c r="A54" s="188">
        <v>6666020701</v>
      </c>
      <c r="B54" s="188">
        <v>6666020701</v>
      </c>
      <c r="C54" s="188" t="s">
        <v>63</v>
      </c>
      <c r="D54" s="188" t="s">
        <v>80</v>
      </c>
      <c r="E54" s="189">
        <f>VLOOKUP(B54,'2024 by account '!$A$2:$M$102,2,0)/1000</f>
        <v>0</v>
      </c>
      <c r="F54" s="189">
        <f t="shared" si="2"/>
        <v>0</v>
      </c>
      <c r="G54" s="190">
        <f t="shared" si="3"/>
        <v>0</v>
      </c>
      <c r="H54" s="167"/>
      <c r="I54" s="191">
        <f>VLOOKUP(B54,'2024 by account '!$A$2:$M$102,3,0)/1000</f>
        <v>0</v>
      </c>
      <c r="J54" s="189">
        <f t="shared" si="31"/>
        <v>0</v>
      </c>
      <c r="K54" s="190">
        <f t="shared" si="4"/>
        <v>0</v>
      </c>
      <c r="L54" s="192"/>
      <c r="M54" s="189">
        <f>VLOOKUP(B54,'2024 by account '!$A$2:$M$102,4,0)/1000</f>
        <v>0</v>
      </c>
      <c r="N54" s="189">
        <f t="shared" si="32"/>
        <v>0</v>
      </c>
      <c r="O54" s="190">
        <f t="shared" si="6"/>
        <v>0</v>
      </c>
      <c r="P54" s="192"/>
      <c r="Q54" s="189">
        <f>VLOOKUP(B54,'2024 by account '!$A$2:$M$102,5,0)/1000</f>
        <v>0</v>
      </c>
      <c r="R54" s="189">
        <f t="shared" si="7"/>
        <v>0</v>
      </c>
      <c r="S54" s="190">
        <f t="shared" si="8"/>
        <v>0</v>
      </c>
      <c r="T54" s="192"/>
      <c r="U54" s="189">
        <f>VLOOKUP(B54,'2024 by account '!$A$2:$M$102,6,0)/1000</f>
        <v>0</v>
      </c>
      <c r="V54" s="189">
        <f t="shared" si="9"/>
        <v>0</v>
      </c>
      <c r="W54" s="190">
        <f t="shared" si="10"/>
        <v>0</v>
      </c>
      <c r="X54" s="192"/>
      <c r="Y54" s="189">
        <f>VLOOKUP(B54,'2024 by account '!$A$2:$M$102,7,0)/1000</f>
        <v>0</v>
      </c>
      <c r="Z54" s="189">
        <f t="shared" si="11"/>
        <v>0</v>
      </c>
      <c r="AA54" s="190">
        <f t="shared" si="12"/>
        <v>0</v>
      </c>
      <c r="AB54" s="192"/>
      <c r="AC54" s="189">
        <f>VLOOKUP(B54,'2024 by account '!$A$2:$M$102,8,0)/1000</f>
        <v>0</v>
      </c>
      <c r="AD54" s="189">
        <f t="shared" si="13"/>
        <v>0</v>
      </c>
      <c r="AE54" s="190">
        <f t="shared" si="14"/>
        <v>0</v>
      </c>
      <c r="AF54" s="192"/>
      <c r="AG54" s="189">
        <f>VLOOKUP(B54,'2024 by account '!$A$2:$M$102,9,0)/1000</f>
        <v>0</v>
      </c>
      <c r="AH54" s="189">
        <f t="shared" si="15"/>
        <v>0</v>
      </c>
      <c r="AI54" s="190">
        <f t="shared" si="16"/>
        <v>0</v>
      </c>
      <c r="AJ54" s="192"/>
      <c r="AK54" s="189">
        <f>VLOOKUP(B54,'2024 by account '!$A$2:$M$102,10,0)/1000</f>
        <v>0</v>
      </c>
      <c r="AL54" s="189">
        <f t="shared" si="17"/>
        <v>0</v>
      </c>
      <c r="AM54" s="190">
        <f t="shared" si="18"/>
        <v>0</v>
      </c>
      <c r="AN54" s="192"/>
      <c r="AO54" s="189">
        <f>VLOOKUP(B54,'2024 by account '!$A$2:$M$102,11,0)/1000</f>
        <v>0</v>
      </c>
      <c r="AP54" s="189">
        <f t="shared" si="19"/>
        <v>0</v>
      </c>
      <c r="AQ54" s="190">
        <f t="shared" si="20"/>
        <v>0</v>
      </c>
      <c r="AR54" s="192"/>
      <c r="AS54" s="189">
        <f>VLOOKUP(B54,'2024 by account '!$A$2:$M$102,12,0)/1000</f>
        <v>0</v>
      </c>
      <c r="AT54" s="189">
        <f t="shared" si="21"/>
        <v>0</v>
      </c>
      <c r="AU54" s="190">
        <f t="shared" si="22"/>
        <v>0</v>
      </c>
      <c r="AV54" s="192"/>
      <c r="AW54" s="191">
        <f>VLOOKUP(B54,'2024 by account '!$A$2:$M$102,13,0)/1000</f>
        <v>0</v>
      </c>
      <c r="AX54" s="189">
        <f t="shared" si="23"/>
        <v>0</v>
      </c>
      <c r="AY54" s="190">
        <f t="shared" si="24"/>
        <v>0</v>
      </c>
      <c r="AZ54" s="167"/>
      <c r="BA54" s="191">
        <f t="shared" si="33"/>
        <v>0</v>
      </c>
      <c r="BB54" s="189">
        <f t="shared" si="34"/>
        <v>0</v>
      </c>
      <c r="BC54" s="190">
        <f t="shared" si="25"/>
        <v>0</v>
      </c>
    </row>
    <row r="55" spans="1:55" outlineLevel="2">
      <c r="A55" s="188">
        <v>6666020802</v>
      </c>
      <c r="B55" s="188">
        <v>6666020802</v>
      </c>
      <c r="C55" s="188" t="s">
        <v>64</v>
      </c>
      <c r="D55" s="188" t="s">
        <v>80</v>
      </c>
      <c r="E55" s="189">
        <f>VLOOKUP(B55,'2024 by account '!$A$2:$M$102,2,0)/1000</f>
        <v>386.04138</v>
      </c>
      <c r="F55" s="189">
        <f t="shared" si="2"/>
        <v>11.763636585254369</v>
      </c>
      <c r="G55" s="190">
        <f t="shared" si="3"/>
        <v>0.73316525928665432</v>
      </c>
      <c r="H55" s="167"/>
      <c r="I55" s="191">
        <f>VLOOKUP(B55,'2024 by account '!$A$2:$M$102,3,0)/1000</f>
        <v>396.10611999999998</v>
      </c>
      <c r="J55" s="189">
        <f t="shared" si="31"/>
        <v>11.907808948906338</v>
      </c>
      <c r="K55" s="190">
        <f t="shared" si="4"/>
        <v>0.60286598566759497</v>
      </c>
      <c r="L55" s="192"/>
      <c r="M55" s="189">
        <f>VLOOKUP(B55,'2024 by account '!$A$2:$M$102,4,0)/1000</f>
        <v>427.37945000000002</v>
      </c>
      <c r="N55" s="189">
        <f t="shared" si="32"/>
        <v>12.272942517711048</v>
      </c>
      <c r="O55" s="190">
        <f t="shared" si="6"/>
        <v>0.61251397503174365</v>
      </c>
      <c r="P55" s="192"/>
      <c r="Q55" s="189">
        <f>VLOOKUP(B55,'2024 by account '!$A$2:$M$102,5,0)/1000</f>
        <v>381.76364000000001</v>
      </c>
      <c r="R55" s="189">
        <f t="shared" si="7"/>
        <v>11.0041807186547</v>
      </c>
      <c r="S55" s="190">
        <f t="shared" si="8"/>
        <v>0.39240383406392682</v>
      </c>
      <c r="T55" s="192"/>
      <c r="U55" s="189">
        <f>VLOOKUP(B55,'2024 by account '!$A$2:$M$102,6,0)/1000</f>
        <v>373.125</v>
      </c>
      <c r="V55" s="189">
        <f t="shared" si="9"/>
        <v>10.703374879878371</v>
      </c>
      <c r="W55" s="190">
        <f t="shared" si="10"/>
        <v>0.26237620434079451</v>
      </c>
      <c r="X55" s="192"/>
      <c r="Y55" s="189">
        <f>VLOOKUP(B55,'2024 by account '!$A$2:$M$102,7,0)/1000</f>
        <v>501.41</v>
      </c>
      <c r="Z55" s="189">
        <f t="shared" si="11"/>
        <v>14.298750666586821</v>
      </c>
      <c r="AA55" s="190">
        <f t="shared" si="12"/>
        <v>0.46160739496987413</v>
      </c>
      <c r="AB55" s="192"/>
      <c r="AC55" s="189">
        <f>VLOOKUP(B55,'2024 by account '!$A$2:$M$102,8,0)/1000</f>
        <v>502.45092999999997</v>
      </c>
      <c r="AD55" s="189">
        <f t="shared" si="13"/>
        <v>14.075477982681969</v>
      </c>
      <c r="AE55" s="190">
        <f t="shared" si="14"/>
        <v>0.40825704042352784</v>
      </c>
      <c r="AF55" s="192"/>
      <c r="AG55" s="189">
        <f>VLOOKUP(B55,'2024 by account '!$A$2:$M$102,9,0)/1000</f>
        <v>352.45</v>
      </c>
      <c r="AH55" s="189">
        <f t="shared" si="15"/>
        <v>9.4974912287320326</v>
      </c>
      <c r="AI55" s="190">
        <f t="shared" si="16"/>
        <v>0.37131484982141033</v>
      </c>
      <c r="AJ55" s="192"/>
      <c r="AK55" s="189">
        <f>VLOOKUP(B55,'2024 by account '!$A$2:$M$102,10,0)/1000</f>
        <v>352.45</v>
      </c>
      <c r="AL55" s="189">
        <f t="shared" si="17"/>
        <v>9.3182011891472261</v>
      </c>
      <c r="AM55" s="190">
        <f t="shared" si="18"/>
        <v>0.23235091734358734</v>
      </c>
      <c r="AN55" s="192"/>
      <c r="AO55" s="189">
        <f>VLOOKUP(B55,'2024 by account '!$A$2:$M$102,11,0)/1000</f>
        <v>352.45</v>
      </c>
      <c r="AP55" s="189">
        <f t="shared" si="19"/>
        <v>9.4370923182754201</v>
      </c>
      <c r="AQ55" s="190">
        <f t="shared" si="20"/>
        <v>0.22912793644294124</v>
      </c>
      <c r="AR55" s="192"/>
      <c r="AS55" s="189">
        <f>VLOOKUP(B55,'2024 by account '!$A$2:$M$102,12,0)/1000</f>
        <v>352.45</v>
      </c>
      <c r="AT55" s="189">
        <f t="shared" si="21"/>
        <v>9.6235497778760752</v>
      </c>
      <c r="AU55" s="190">
        <f t="shared" si="22"/>
        <v>0.22323242351835015</v>
      </c>
      <c r="AV55" s="192"/>
      <c r="AW55" s="191">
        <f>VLOOKUP(B55,'2024 by account '!$A$2:$M$102,13,0)/1000</f>
        <v>385.19650000000001</v>
      </c>
      <c r="AX55" s="189">
        <f t="shared" si="23"/>
        <v>10.507601986314898</v>
      </c>
      <c r="AY55" s="190">
        <f t="shared" si="24"/>
        <v>0.40177425099663128</v>
      </c>
      <c r="AZ55" s="167"/>
      <c r="BA55" s="191">
        <f t="shared" si="33"/>
        <v>4763.2730199999996</v>
      </c>
      <c r="BB55" s="189">
        <f t="shared" si="34"/>
        <v>134.41010880001926</v>
      </c>
      <c r="BC55" s="190">
        <f t="shared" si="25"/>
        <v>0.36698404613172009</v>
      </c>
    </row>
    <row r="56" spans="1:55" outlineLevel="2">
      <c r="A56" s="188">
        <v>6666020803</v>
      </c>
      <c r="B56" s="188">
        <v>6666020803</v>
      </c>
      <c r="C56" s="188" t="s">
        <v>65</v>
      </c>
      <c r="D56" s="188" t="s">
        <v>80</v>
      </c>
      <c r="E56" s="189">
        <f>VLOOKUP(B56,'2024 by account '!$A$2:$M$102,2,0)/1000</f>
        <v>242</v>
      </c>
      <c r="F56" s="189">
        <f t="shared" si="2"/>
        <v>7.3743391281824699</v>
      </c>
      <c r="G56" s="190">
        <f t="shared" si="3"/>
        <v>0.45960356049750511</v>
      </c>
      <c r="H56" s="167"/>
      <c r="I56" s="191">
        <f>VLOOKUP(B56,'2024 by account '!$A$2:$M$102,3,0)/1000</f>
        <v>372.32319000000007</v>
      </c>
      <c r="J56" s="189">
        <f t="shared" si="31"/>
        <v>11.192842498286458</v>
      </c>
      <c r="K56" s="190">
        <f t="shared" si="4"/>
        <v>0.56666881826075621</v>
      </c>
      <c r="L56" s="192"/>
      <c r="M56" s="189">
        <f>VLOOKUP(B56,'2024 by account '!$A$2:$M$102,4,0)/1000</f>
        <v>235.48511999999999</v>
      </c>
      <c r="N56" s="189">
        <f t="shared" si="32"/>
        <v>6.7623638467789879</v>
      </c>
      <c r="O56" s="190">
        <f t="shared" si="6"/>
        <v>0.33749382875575129</v>
      </c>
      <c r="P56" s="192"/>
      <c r="Q56" s="189">
        <f>VLOOKUP(B56,'2024 by account '!$A$2:$M$102,5,0)/1000</f>
        <v>97.36896999999999</v>
      </c>
      <c r="R56" s="189">
        <f t="shared" si="7"/>
        <v>2.8066207202688758</v>
      </c>
      <c r="S56" s="190">
        <f t="shared" si="8"/>
        <v>0.1000827557775158</v>
      </c>
      <c r="T56" s="192"/>
      <c r="U56" s="189">
        <f>VLOOKUP(B56,'2024 by account '!$A$2:$M$102,6,0)/1000</f>
        <v>242.10091999999997</v>
      </c>
      <c r="V56" s="189">
        <f t="shared" si="9"/>
        <v>6.9448493280360282</v>
      </c>
      <c r="W56" s="190">
        <f t="shared" si="10"/>
        <v>0.17024193087307027</v>
      </c>
      <c r="X56" s="192"/>
      <c r="Y56" s="189">
        <f>VLOOKUP(B56,'2024 by account '!$A$2:$M$102,7,0)/1000</f>
        <v>119.36525</v>
      </c>
      <c r="Z56" s="189">
        <f t="shared" si="11"/>
        <v>3.403948760504981</v>
      </c>
      <c r="AA56" s="190">
        <f t="shared" si="12"/>
        <v>0.10988987475803787</v>
      </c>
      <c r="AB56" s="192"/>
      <c r="AC56" s="189">
        <f>VLOOKUP(B56,'2024 by account '!$A$2:$M$102,8,0)/1000</f>
        <v>128.83310999999998</v>
      </c>
      <c r="AD56" s="189">
        <f t="shared" si="13"/>
        <v>3.6090839820824772</v>
      </c>
      <c r="AE56" s="190">
        <f t="shared" si="14"/>
        <v>0.10468091719356316</v>
      </c>
      <c r="AF56" s="192"/>
      <c r="AG56" s="189">
        <f>VLOOKUP(B56,'2024 by account '!$A$2:$M$102,9,0)/1000</f>
        <v>197.94415999999998</v>
      </c>
      <c r="AH56" s="189">
        <f t="shared" si="15"/>
        <v>5.3340131178287136</v>
      </c>
      <c r="AI56" s="190">
        <f t="shared" si="16"/>
        <v>0.20853910070485235</v>
      </c>
      <c r="AJ56" s="192"/>
      <c r="AK56" s="189">
        <f>VLOOKUP(B56,'2024 by account '!$A$2:$M$102,10,0)/1000</f>
        <v>157.87857</v>
      </c>
      <c r="AL56" s="189">
        <f t="shared" si="17"/>
        <v>4.1740510106819793</v>
      </c>
      <c r="AM56" s="190">
        <f t="shared" si="18"/>
        <v>0.10408066553665418</v>
      </c>
      <c r="AN56" s="192"/>
      <c r="AO56" s="189">
        <f>VLOOKUP(B56,'2024 by account '!$A$2:$M$102,11,0)/1000</f>
        <v>235.19533000000001</v>
      </c>
      <c r="AP56" s="189">
        <f t="shared" si="19"/>
        <v>6.2975174976230743</v>
      </c>
      <c r="AQ56" s="190">
        <f t="shared" si="20"/>
        <v>0.15290061178583228</v>
      </c>
      <c r="AR56" s="192"/>
      <c r="AS56" s="189">
        <f>VLOOKUP(B56,'2024 by account '!$A$2:$M$102,12,0)/1000</f>
        <v>144.74238</v>
      </c>
      <c r="AT56" s="189">
        <f t="shared" si="21"/>
        <v>3.952150656542075</v>
      </c>
      <c r="AU56" s="190">
        <f t="shared" si="22"/>
        <v>9.1675960485782304E-2</v>
      </c>
      <c r="AV56" s="192"/>
      <c r="AW56" s="191">
        <f>VLOOKUP(B56,'2024 by account '!$A$2:$M$102,13,0)/1000</f>
        <v>27.325600000000005</v>
      </c>
      <c r="AX56" s="189">
        <f t="shared" si="23"/>
        <v>0.74540274596795775</v>
      </c>
      <c r="AY56" s="190">
        <f t="shared" si="24"/>
        <v>2.8501615339271126E-2</v>
      </c>
      <c r="AZ56" s="167"/>
      <c r="BA56" s="191">
        <f t="shared" si="33"/>
        <v>2200.5626000000002</v>
      </c>
      <c r="BB56" s="189">
        <f t="shared" si="34"/>
        <v>62.597183292784081</v>
      </c>
      <c r="BC56" s="190">
        <f t="shared" si="25"/>
        <v>0.17091101113096871</v>
      </c>
    </row>
    <row r="57" spans="1:55" outlineLevel="2">
      <c r="A57" s="188">
        <v>6666021100</v>
      </c>
      <c r="B57" s="188">
        <v>6666021100</v>
      </c>
      <c r="C57" s="188" t="s">
        <v>66</v>
      </c>
      <c r="D57" s="188" t="s">
        <v>80</v>
      </c>
      <c r="E57" s="189">
        <f>VLOOKUP(B57,'2024 by account '!$A$2:$M$102,2,0)/1000</f>
        <v>150.8075</v>
      </c>
      <c r="F57" s="189">
        <f t="shared" si="2"/>
        <v>4.5954778846007347</v>
      </c>
      <c r="G57" s="190">
        <f t="shared" si="3"/>
        <v>0.28641183450300622</v>
      </c>
      <c r="H57" s="167"/>
      <c r="I57" s="191">
        <f>VLOOKUP(B57,'2024 by account '!$A$2:$M$102,3,0)/1000</f>
        <v>233.404</v>
      </c>
      <c r="J57" s="189">
        <f t="shared" si="31"/>
        <v>7.0166303916499313</v>
      </c>
      <c r="K57" s="190">
        <f t="shared" si="4"/>
        <v>0.35523645158211481</v>
      </c>
      <c r="L57" s="192"/>
      <c r="M57" s="189">
        <f>VLOOKUP(B57,'2024 by account '!$A$2:$M$102,4,0)/1000</f>
        <v>320.60739000000001</v>
      </c>
      <c r="N57" s="189">
        <f t="shared" si="32"/>
        <v>9.2067975384014549</v>
      </c>
      <c r="O57" s="190">
        <f t="shared" si="6"/>
        <v>0.45948982075168215</v>
      </c>
      <c r="P57" s="192"/>
      <c r="Q57" s="189">
        <f>VLOOKUP(B57,'2024 by account '!$A$2:$M$102,5,0)/1000</f>
        <v>234.93962999999999</v>
      </c>
      <c r="R57" s="189">
        <f t="shared" si="7"/>
        <v>6.7720387056605729</v>
      </c>
      <c r="S57" s="190">
        <f t="shared" si="8"/>
        <v>0.24148766913884295</v>
      </c>
      <c r="T57" s="192"/>
      <c r="U57" s="189">
        <f>VLOOKUP(B57,'2024 by account '!$A$2:$M$102,6,0)/1000</f>
        <v>234.93962999999999</v>
      </c>
      <c r="V57" s="189">
        <f t="shared" si="9"/>
        <v>6.7394222687569023</v>
      </c>
      <c r="W57" s="190">
        <f t="shared" si="10"/>
        <v>0.16520621338326474</v>
      </c>
      <c r="X57" s="192"/>
      <c r="Y57" s="189">
        <f>VLOOKUP(B57,'2024 by account '!$A$2:$M$102,7,0)/1000</f>
        <v>234.93962999999999</v>
      </c>
      <c r="Z57" s="189">
        <f t="shared" si="11"/>
        <v>6.6997929659762683</v>
      </c>
      <c r="AA57" s="190">
        <f t="shared" si="12"/>
        <v>0.21628980391194047</v>
      </c>
      <c r="AB57" s="192"/>
      <c r="AC57" s="189">
        <f>VLOOKUP(B57,'2024 by account '!$A$2:$M$102,8,0)/1000</f>
        <v>242.93257</v>
      </c>
      <c r="AD57" s="189">
        <f t="shared" si="13"/>
        <v>6.805424840812508</v>
      </c>
      <c r="AE57" s="190">
        <f t="shared" si="14"/>
        <v>0.19739028456108446</v>
      </c>
      <c r="AF57" s="192"/>
      <c r="AG57" s="189">
        <f>VLOOKUP(B57,'2024 by account '!$A$2:$M$102,9,0)/1000</f>
        <v>234.93962999999999</v>
      </c>
      <c r="AH57" s="189">
        <f t="shared" si="15"/>
        <v>6.3309322604810587</v>
      </c>
      <c r="AI57" s="190">
        <f t="shared" si="16"/>
        <v>0.24751474941281798</v>
      </c>
      <c r="AJ57" s="192"/>
      <c r="AK57" s="189">
        <f>VLOOKUP(B57,'2024 by account '!$A$2:$M$102,10,0)/1000</f>
        <v>234.93962999999999</v>
      </c>
      <c r="AL57" s="189">
        <f t="shared" si="17"/>
        <v>6.211419320879016</v>
      </c>
      <c r="AM57" s="190">
        <f t="shared" si="18"/>
        <v>0.1548827877737636</v>
      </c>
      <c r="AN57" s="192"/>
      <c r="AO57" s="189">
        <f>VLOOKUP(B57,'2024 by account '!$A$2:$M$102,11,0)/1000</f>
        <v>234.93962999999999</v>
      </c>
      <c r="AP57" s="189">
        <f t="shared" si="19"/>
        <v>6.2906709534160008</v>
      </c>
      <c r="AQ57" s="190">
        <f t="shared" si="20"/>
        <v>0.15273438107694179</v>
      </c>
      <c r="AR57" s="192"/>
      <c r="AS57" s="189">
        <f>VLOOKUP(B57,'2024 by account '!$A$2:$M$102,12,0)/1000</f>
        <v>234.93962999999999</v>
      </c>
      <c r="AT57" s="189">
        <f t="shared" si="21"/>
        <v>6.414961623211199</v>
      </c>
      <c r="AU57" s="190">
        <f t="shared" si="22"/>
        <v>0.1488044913758107</v>
      </c>
      <c r="AV57" s="192"/>
      <c r="AW57" s="191">
        <f>VLOOKUP(B57,'2024 by account '!$A$2:$M$102,13,0)/1000</f>
        <v>-407.12678000000005</v>
      </c>
      <c r="AX57" s="189">
        <f t="shared" si="23"/>
        <v>-11.10582822587949</v>
      </c>
      <c r="AY57" s="190">
        <f t="shared" si="24"/>
        <v>-0.42464834725956829</v>
      </c>
      <c r="AZ57" s="167"/>
      <c r="BA57" s="191">
        <f t="shared" si="33"/>
        <v>2185.2020899999998</v>
      </c>
      <c r="BB57" s="189">
        <f t="shared" si="34"/>
        <v>61.977740527966148</v>
      </c>
      <c r="BC57" s="190">
        <f t="shared" si="25"/>
        <v>0.16921972753474657</v>
      </c>
    </row>
    <row r="58" spans="1:55" outlineLevel="2">
      <c r="A58" s="188">
        <v>6666021902</v>
      </c>
      <c r="B58" s="188">
        <v>6666021902</v>
      </c>
      <c r="C58" s="188" t="s">
        <v>67</v>
      </c>
      <c r="D58" s="188" t="s">
        <v>80</v>
      </c>
      <c r="E58" s="189">
        <f>VLOOKUP(B58,'2024 by account '!$A$2:$M$102,2,0)/1000</f>
        <v>208.16604000000001</v>
      </c>
      <c r="F58" s="189">
        <f t="shared" si="2"/>
        <v>6.343334603019823</v>
      </c>
      <c r="G58" s="190">
        <f t="shared" si="3"/>
        <v>0.39534650065564497</v>
      </c>
      <c r="H58" s="167"/>
      <c r="I58" s="191">
        <f>VLOOKUP(B58,'2024 by account '!$A$2:$M$102,3,0)/1000</f>
        <v>237.23542999999998</v>
      </c>
      <c r="J58" s="189">
        <f t="shared" si="31"/>
        <v>7.1318114861533637</v>
      </c>
      <c r="K58" s="190">
        <f t="shared" si="4"/>
        <v>0.36106781521635095</v>
      </c>
      <c r="L58" s="192"/>
      <c r="M58" s="189">
        <f>VLOOKUP(B58,'2024 by account '!$A$2:$M$102,4,0)/1000</f>
        <v>273.97052000000002</v>
      </c>
      <c r="N58" s="189">
        <f t="shared" si="32"/>
        <v>7.8675388896387162</v>
      </c>
      <c r="O58" s="190">
        <f t="shared" si="6"/>
        <v>0.39265054098112073</v>
      </c>
      <c r="P58" s="192"/>
      <c r="Q58" s="189">
        <f>VLOOKUP(B58,'2024 by account '!$A$2:$M$102,5,0)/1000</f>
        <v>316.33921999999995</v>
      </c>
      <c r="R58" s="189">
        <f t="shared" si="7"/>
        <v>9.1183485815418841</v>
      </c>
      <c r="S58" s="190">
        <f t="shared" si="8"/>
        <v>0.32515595983104101</v>
      </c>
      <c r="T58" s="192"/>
      <c r="U58" s="189">
        <f>VLOOKUP(B58,'2024 by account '!$A$2:$M$102,6,0)/1000</f>
        <v>240.02211</v>
      </c>
      <c r="V58" s="189">
        <f t="shared" si="9"/>
        <v>6.8852170795025884</v>
      </c>
      <c r="W58" s="190">
        <f t="shared" si="10"/>
        <v>0.16878014118504162</v>
      </c>
      <c r="X58" s="192"/>
      <c r="Y58" s="189">
        <f>VLOOKUP(B58,'2024 by account '!$A$2:$M$102,7,0)/1000</f>
        <v>198.21817000000001</v>
      </c>
      <c r="Z58" s="189">
        <f t="shared" si="11"/>
        <v>5.6526040374486346</v>
      </c>
      <c r="AA58" s="190">
        <f t="shared" si="12"/>
        <v>0.1824833431511052</v>
      </c>
      <c r="AB58" s="192"/>
      <c r="AC58" s="189">
        <f>VLOOKUP(B58,'2024 by account '!$A$2:$M$102,8,0)/1000</f>
        <v>229.75470000000001</v>
      </c>
      <c r="AD58" s="189">
        <f t="shared" si="13"/>
        <v>6.4362647736918337</v>
      </c>
      <c r="AE58" s="190">
        <f t="shared" si="14"/>
        <v>0.18668285447376029</v>
      </c>
      <c r="AF58" s="192"/>
      <c r="AG58" s="189">
        <f>VLOOKUP(B58,'2024 by account '!$A$2:$M$102,9,0)/1000</f>
        <v>260.16275000000002</v>
      </c>
      <c r="AH58" s="189">
        <f t="shared" si="15"/>
        <v>7.0106211836226553</v>
      </c>
      <c r="AI58" s="190">
        <f t="shared" si="16"/>
        <v>0.27408793430380229</v>
      </c>
      <c r="AJ58" s="192"/>
      <c r="AK58" s="189">
        <f>VLOOKUP(B58,'2024 by account '!$A$2:$M$102,10,0)/1000</f>
        <v>269.68529000000001</v>
      </c>
      <c r="AL58" s="189">
        <f t="shared" si="17"/>
        <v>7.1300377074010912</v>
      </c>
      <c r="AM58" s="190">
        <f t="shared" si="18"/>
        <v>0.17778869208560472</v>
      </c>
      <c r="AN58" s="192"/>
      <c r="AO58" s="189">
        <f>VLOOKUP(B58,'2024 by account '!$A$2:$M$102,11,0)/1000</f>
        <v>304.19079999999997</v>
      </c>
      <c r="AP58" s="189">
        <f t="shared" si="19"/>
        <v>8.1449188877005376</v>
      </c>
      <c r="AQ58" s="190">
        <f t="shared" si="20"/>
        <v>0.1977546043096253</v>
      </c>
      <c r="AR58" s="192"/>
      <c r="AS58" s="189">
        <f>VLOOKUP(B58,'2024 by account '!$A$2:$M$102,12,0)/1000</f>
        <v>333.94372999999996</v>
      </c>
      <c r="AT58" s="189">
        <f t="shared" si="21"/>
        <v>9.1182411935440708</v>
      </c>
      <c r="AU58" s="190">
        <f t="shared" si="22"/>
        <v>0.21151104601122875</v>
      </c>
      <c r="AV58" s="192"/>
      <c r="AW58" s="191">
        <f>VLOOKUP(B58,'2024 by account '!$A$2:$M$102,13,0)/1000</f>
        <v>342.31552999999997</v>
      </c>
      <c r="AX58" s="189">
        <f t="shared" si="23"/>
        <v>9.3378713019833679</v>
      </c>
      <c r="AY58" s="190">
        <f t="shared" si="24"/>
        <v>0.35704780721077384</v>
      </c>
      <c r="AZ58" s="167"/>
      <c r="BA58" s="191">
        <f t="shared" si="33"/>
        <v>3214.0042899999999</v>
      </c>
      <c r="BB58" s="189">
        <f t="shared" si="34"/>
        <v>90.176809725248575</v>
      </c>
      <c r="BC58" s="190">
        <f t="shared" si="25"/>
        <v>0.24621251180935894</v>
      </c>
    </row>
    <row r="59" spans="1:55" outlineLevel="2">
      <c r="A59" s="188">
        <v>6666022100</v>
      </c>
      <c r="B59" s="188">
        <v>6666022100</v>
      </c>
      <c r="C59" s="188" t="s">
        <v>68</v>
      </c>
      <c r="D59" s="188" t="s">
        <v>80</v>
      </c>
      <c r="E59" s="189">
        <f>VLOOKUP(B59,'2024 by account '!$A$2:$M$102,2,0)/1000</f>
        <v>37.124250000000004</v>
      </c>
      <c r="F59" s="189">
        <f t="shared" si="2"/>
        <v>1.1312678073530085</v>
      </c>
      <c r="G59" s="190">
        <f t="shared" si="3"/>
        <v>7.0505940003303735E-2</v>
      </c>
      <c r="H59" s="167"/>
      <c r="I59" s="191">
        <f>VLOOKUP(B59,'2024 by account '!$A$2:$M$102,3,0)/1000</f>
        <v>39.776910000000001</v>
      </c>
      <c r="J59" s="189">
        <f t="shared" si="31"/>
        <v>1.1957801733985882</v>
      </c>
      <c r="K59" s="190">
        <f t="shared" si="4"/>
        <v>6.053970096185643E-2</v>
      </c>
      <c r="L59" s="192"/>
      <c r="M59" s="189">
        <f>VLOOKUP(B59,'2024 by account '!$A$2:$M$102,4,0)/1000</f>
        <v>37.16075</v>
      </c>
      <c r="N59" s="189">
        <f t="shared" si="32"/>
        <v>1.0671354195084271</v>
      </c>
      <c r="O59" s="190">
        <f t="shared" si="6"/>
        <v>5.3258243225454263E-2</v>
      </c>
      <c r="P59" s="192"/>
      <c r="Q59" s="189">
        <f>VLOOKUP(B59,'2024 by account '!$A$2:$M$102,5,0)/1000</f>
        <v>70.100080000000005</v>
      </c>
      <c r="R59" s="189">
        <f t="shared" si="7"/>
        <v>2.0206061234960773</v>
      </c>
      <c r="S59" s="190">
        <f t="shared" si="8"/>
        <v>7.205385028335333E-2</v>
      </c>
      <c r="T59" s="192"/>
      <c r="U59" s="189">
        <f>VLOOKUP(B59,'2024 by account '!$A$2:$M$102,6,0)/1000</f>
        <v>35.941050000000004</v>
      </c>
      <c r="V59" s="189">
        <f t="shared" si="9"/>
        <v>1.0309963999368914</v>
      </c>
      <c r="W59" s="190">
        <f t="shared" si="10"/>
        <v>2.527323625868734E-2</v>
      </c>
      <c r="X59" s="192"/>
      <c r="Y59" s="189">
        <f>VLOOKUP(B59,'2024 by account '!$A$2:$M$102,7,0)/1000</f>
        <v>43.115360000000003</v>
      </c>
      <c r="Z59" s="189">
        <f t="shared" si="11"/>
        <v>1.2295243065358306</v>
      </c>
      <c r="AA59" s="190">
        <f t="shared" si="12"/>
        <v>3.9692804317401555E-2</v>
      </c>
      <c r="AB59" s="192"/>
      <c r="AC59" s="189">
        <f>VLOOKUP(B59,'2024 by account '!$A$2:$M$102,8,0)/1000</f>
        <v>30.330029999999997</v>
      </c>
      <c r="AD59" s="189">
        <f t="shared" si="13"/>
        <v>0.84965445178712995</v>
      </c>
      <c r="AE59" s="190">
        <f t="shared" si="14"/>
        <v>2.464409466563593E-2</v>
      </c>
      <c r="AF59" s="192"/>
      <c r="AG59" s="189">
        <f>VLOOKUP(B59,'2024 by account '!$A$2:$M$102,9,0)/1000</f>
        <v>40.93656</v>
      </c>
      <c r="AH59" s="189">
        <f t="shared" si="15"/>
        <v>1.103119930584374</v>
      </c>
      <c r="AI59" s="190">
        <f t="shared" si="16"/>
        <v>4.3127685142871762E-2</v>
      </c>
      <c r="AJ59" s="192"/>
      <c r="AK59" s="189">
        <f>VLOOKUP(B59,'2024 by account '!$A$2:$M$102,10,0)/1000</f>
        <v>41.056959999999997</v>
      </c>
      <c r="AL59" s="189">
        <f t="shared" si="17"/>
        <v>1.0854788296063842</v>
      </c>
      <c r="AM59" s="190">
        <f t="shared" si="18"/>
        <v>2.7066597586434874E-2</v>
      </c>
      <c r="AN59" s="192"/>
      <c r="AO59" s="189">
        <f>VLOOKUP(B59,'2024 by account '!$A$2:$M$102,11,0)/1000</f>
        <v>42.878779999999999</v>
      </c>
      <c r="AP59" s="189">
        <f t="shared" si="19"/>
        <v>1.14810896681805</v>
      </c>
      <c r="AQ59" s="190">
        <f t="shared" si="20"/>
        <v>2.7875518168792336E-2</v>
      </c>
      <c r="AR59" s="192"/>
      <c r="AS59" s="189">
        <f>VLOOKUP(B59,'2024 by account '!$A$2:$M$102,12,0)/1000</f>
        <v>36.146680000000003</v>
      </c>
      <c r="AT59" s="189">
        <f t="shared" si="21"/>
        <v>0.98697510082269146</v>
      </c>
      <c r="AU59" s="190">
        <f t="shared" si="22"/>
        <v>2.2894342399041787E-2</v>
      </c>
      <c r="AV59" s="192"/>
      <c r="AW59" s="191">
        <f>VLOOKUP(B59,'2024 by account '!$A$2:$M$102,13,0)/1000</f>
        <v>38.801010000000005</v>
      </c>
      <c r="AX59" s="189">
        <f t="shared" si="23"/>
        <v>1.0584352914603956</v>
      </c>
      <c r="AY59" s="190">
        <f t="shared" si="24"/>
        <v>4.0470894025939494E-2</v>
      </c>
      <c r="AZ59" s="167"/>
      <c r="BA59" s="191">
        <f t="shared" si="33"/>
        <v>493.36842000000001</v>
      </c>
      <c r="BB59" s="189">
        <f t="shared" si="34"/>
        <v>13.907082801307849</v>
      </c>
      <c r="BC59" s="190">
        <f t="shared" si="25"/>
        <v>3.7970935087228194E-2</v>
      </c>
    </row>
    <row r="60" spans="1:55" outlineLevel="2">
      <c r="A60" s="188">
        <v>6666022300</v>
      </c>
      <c r="B60" s="188">
        <v>6666022300</v>
      </c>
      <c r="C60" s="188" t="s">
        <v>69</v>
      </c>
      <c r="D60" s="188" t="s">
        <v>80</v>
      </c>
      <c r="E60" s="189">
        <f>VLOOKUP(B60,'2024 by account '!$A$2:$M$102,2,0)/1000</f>
        <v>0</v>
      </c>
      <c r="F60" s="189">
        <f t="shared" si="2"/>
        <v>0</v>
      </c>
      <c r="G60" s="190">
        <f t="shared" si="3"/>
        <v>0</v>
      </c>
      <c r="H60" s="167"/>
      <c r="I60" s="191">
        <f>VLOOKUP(B60,'2024 by account '!$A$2:$M$102,3,0)/1000</f>
        <v>0</v>
      </c>
      <c r="J60" s="189">
        <f t="shared" si="31"/>
        <v>0</v>
      </c>
      <c r="K60" s="190">
        <f t="shared" si="4"/>
        <v>0</v>
      </c>
      <c r="L60" s="192"/>
      <c r="M60" s="189">
        <f>VLOOKUP(B60,'2024 by account '!$A$2:$M$102,4,0)/1000</f>
        <v>0</v>
      </c>
      <c r="N60" s="189">
        <f t="shared" si="32"/>
        <v>0</v>
      </c>
      <c r="O60" s="190">
        <f t="shared" si="6"/>
        <v>0</v>
      </c>
      <c r="P60" s="192"/>
      <c r="Q60" s="189">
        <f>VLOOKUP(B60,'2024 by account '!$A$2:$M$102,5,0)/1000</f>
        <v>0</v>
      </c>
      <c r="R60" s="189">
        <f t="shared" si="7"/>
        <v>0</v>
      </c>
      <c r="S60" s="190">
        <f t="shared" si="8"/>
        <v>0</v>
      </c>
      <c r="T60" s="192"/>
      <c r="U60" s="189">
        <f>VLOOKUP(B60,'2024 by account '!$A$2:$M$102,6,0)/1000</f>
        <v>0</v>
      </c>
      <c r="V60" s="189">
        <f t="shared" si="9"/>
        <v>0</v>
      </c>
      <c r="W60" s="190">
        <f t="shared" si="10"/>
        <v>0</v>
      </c>
      <c r="X60" s="192"/>
      <c r="Y60" s="189">
        <f>VLOOKUP(B60,'2024 by account '!$A$2:$M$102,7,0)/1000</f>
        <v>0</v>
      </c>
      <c r="Z60" s="189">
        <f t="shared" si="11"/>
        <v>0</v>
      </c>
      <c r="AA60" s="190">
        <f t="shared" si="12"/>
        <v>0</v>
      </c>
      <c r="AB60" s="192"/>
      <c r="AC60" s="189">
        <f>VLOOKUP(B60,'2024 by account '!$A$2:$M$102,8,0)/1000</f>
        <v>0</v>
      </c>
      <c r="AD60" s="189">
        <f t="shared" si="13"/>
        <v>0</v>
      </c>
      <c r="AE60" s="190">
        <f t="shared" si="14"/>
        <v>0</v>
      </c>
      <c r="AF60" s="192"/>
      <c r="AG60" s="189">
        <f>VLOOKUP(B60,'2024 by account '!$A$2:$M$102,9,0)/1000</f>
        <v>0</v>
      </c>
      <c r="AH60" s="189">
        <f t="shared" si="15"/>
        <v>0</v>
      </c>
      <c r="AI60" s="190">
        <f t="shared" si="16"/>
        <v>0</v>
      </c>
      <c r="AJ60" s="192"/>
      <c r="AK60" s="189">
        <f>VLOOKUP(B60,'2024 by account '!$A$2:$M$102,10,0)/1000</f>
        <v>0</v>
      </c>
      <c r="AL60" s="189">
        <f t="shared" si="17"/>
        <v>0</v>
      </c>
      <c r="AM60" s="190">
        <f t="shared" si="18"/>
        <v>0</v>
      </c>
      <c r="AN60" s="192"/>
      <c r="AO60" s="189">
        <f>VLOOKUP(B60,'2024 by account '!$A$2:$M$102,11,0)/1000</f>
        <v>0</v>
      </c>
      <c r="AP60" s="189">
        <f t="shared" si="19"/>
        <v>0</v>
      </c>
      <c r="AQ60" s="190">
        <f t="shared" si="20"/>
        <v>0</v>
      </c>
      <c r="AR60" s="192"/>
      <c r="AS60" s="189">
        <f>VLOOKUP(B60,'2024 by account '!$A$2:$M$102,12,0)/1000</f>
        <v>0</v>
      </c>
      <c r="AT60" s="189">
        <f t="shared" si="21"/>
        <v>0</v>
      </c>
      <c r="AU60" s="190">
        <f t="shared" si="22"/>
        <v>0</v>
      </c>
      <c r="AV60" s="192"/>
      <c r="AW60" s="191">
        <f>VLOOKUP(B60,'2024 by account '!$A$2:$M$102,13,0)/1000</f>
        <v>0</v>
      </c>
      <c r="AX60" s="189">
        <f t="shared" si="23"/>
        <v>0</v>
      </c>
      <c r="AY60" s="190">
        <f t="shared" si="24"/>
        <v>0</v>
      </c>
      <c r="AZ60" s="167"/>
      <c r="BA60" s="191">
        <f t="shared" si="33"/>
        <v>0</v>
      </c>
      <c r="BB60" s="189">
        <f t="shared" si="34"/>
        <v>0</v>
      </c>
      <c r="BC60" s="190">
        <f t="shared" si="25"/>
        <v>0</v>
      </c>
    </row>
    <row r="61" spans="1:55" outlineLevel="2">
      <c r="A61" s="188">
        <v>6666029900</v>
      </c>
      <c r="B61" s="188">
        <v>6666029900</v>
      </c>
      <c r="C61" s="188" t="s">
        <v>70</v>
      </c>
      <c r="D61" s="188" t="s">
        <v>80</v>
      </c>
      <c r="E61" s="189">
        <f>VLOOKUP(B61,'2024 by account '!$A$2:$M$102,2,0)/1000</f>
        <v>0</v>
      </c>
      <c r="F61" s="189">
        <f t="shared" si="2"/>
        <v>0</v>
      </c>
      <c r="G61" s="190">
        <f t="shared" si="3"/>
        <v>0</v>
      </c>
      <c r="H61" s="167"/>
      <c r="I61" s="191">
        <f>VLOOKUP(B61,'2024 by account '!$A$2:$M$102,3,0)/1000</f>
        <v>26.711369999999999</v>
      </c>
      <c r="J61" s="189">
        <f t="shared" si="31"/>
        <v>0.80300170753117439</v>
      </c>
      <c r="K61" s="190">
        <f t="shared" si="4"/>
        <v>4.0654197424624061E-2</v>
      </c>
      <c r="L61" s="192"/>
      <c r="M61" s="189">
        <f>VLOOKUP(B61,'2024 by account '!$A$2:$M$102,4,0)/1000</f>
        <v>-17.80011</v>
      </c>
      <c r="N61" s="189">
        <f t="shared" si="32"/>
        <v>-0.51116104632296566</v>
      </c>
      <c r="O61" s="190">
        <f t="shared" si="6"/>
        <v>-2.5510857230272278E-2</v>
      </c>
      <c r="P61" s="192"/>
      <c r="Q61" s="189">
        <f>VLOOKUP(B61,'2024 by account '!$A$2:$M$102,5,0)/1000</f>
        <v>0</v>
      </c>
      <c r="R61" s="189">
        <f t="shared" si="7"/>
        <v>0</v>
      </c>
      <c r="S61" s="190">
        <f t="shared" si="8"/>
        <v>0</v>
      </c>
      <c r="T61" s="192"/>
      <c r="U61" s="189">
        <f>VLOOKUP(B61,'2024 by account '!$A$2:$M$102,6,0)/1000</f>
        <v>0</v>
      </c>
      <c r="V61" s="189">
        <f t="shared" si="9"/>
        <v>0</v>
      </c>
      <c r="W61" s="190">
        <f t="shared" si="10"/>
        <v>0</v>
      </c>
      <c r="X61" s="192"/>
      <c r="Y61" s="189">
        <f>VLOOKUP(B61,'2024 by account '!$A$2:$M$102,7,0)/1000</f>
        <v>0</v>
      </c>
      <c r="Z61" s="189">
        <f t="shared" si="11"/>
        <v>0</v>
      </c>
      <c r="AA61" s="190">
        <f t="shared" si="12"/>
        <v>0</v>
      </c>
      <c r="AB61" s="192"/>
      <c r="AC61" s="189">
        <f>VLOOKUP(B61,'2024 by account '!$A$2:$M$102,8,0)/1000</f>
        <v>0</v>
      </c>
      <c r="AD61" s="189">
        <f t="shared" si="13"/>
        <v>0</v>
      </c>
      <c r="AE61" s="190">
        <f t="shared" si="14"/>
        <v>0</v>
      </c>
      <c r="AF61" s="192"/>
      <c r="AG61" s="189">
        <f>VLOOKUP(B61,'2024 by account '!$A$2:$M$102,9,0)/1000</f>
        <v>0</v>
      </c>
      <c r="AH61" s="189">
        <f t="shared" si="15"/>
        <v>0</v>
      </c>
      <c r="AI61" s="190">
        <f t="shared" si="16"/>
        <v>0</v>
      </c>
      <c r="AJ61" s="192"/>
      <c r="AK61" s="189">
        <f>VLOOKUP(B61,'2024 by account '!$A$2:$M$102,10,0)/1000</f>
        <v>0</v>
      </c>
      <c r="AL61" s="189">
        <f t="shared" si="17"/>
        <v>0</v>
      </c>
      <c r="AM61" s="190">
        <f t="shared" si="18"/>
        <v>0</v>
      </c>
      <c r="AN61" s="192"/>
      <c r="AO61" s="189">
        <f>VLOOKUP(B61,'2024 by account '!$A$2:$M$102,11,0)/1000</f>
        <v>0</v>
      </c>
      <c r="AP61" s="189">
        <f t="shared" si="19"/>
        <v>0</v>
      </c>
      <c r="AQ61" s="190">
        <f t="shared" si="20"/>
        <v>0</v>
      </c>
      <c r="AR61" s="192"/>
      <c r="AS61" s="189">
        <f>VLOOKUP(B61,'2024 by account '!$A$2:$M$102,12,0)/1000</f>
        <v>0</v>
      </c>
      <c r="AT61" s="189">
        <f t="shared" si="21"/>
        <v>0</v>
      </c>
      <c r="AU61" s="190">
        <f t="shared" si="22"/>
        <v>0</v>
      </c>
      <c r="AV61" s="192"/>
      <c r="AW61" s="191">
        <f>VLOOKUP(B61,'2024 by account '!$A$2:$M$102,13,0)/1000</f>
        <v>0</v>
      </c>
      <c r="AX61" s="189">
        <f t="shared" si="23"/>
        <v>0</v>
      </c>
      <c r="AY61" s="190">
        <f t="shared" si="24"/>
        <v>0</v>
      </c>
      <c r="AZ61" s="167"/>
      <c r="BA61" s="191">
        <f t="shared" si="33"/>
        <v>8.9112599999999986</v>
      </c>
      <c r="BB61" s="189">
        <f t="shared" si="34"/>
        <v>0.29184066120820873</v>
      </c>
      <c r="BC61" s="190">
        <f t="shared" si="25"/>
        <v>7.9682151612044236E-4</v>
      </c>
    </row>
    <row r="62" spans="1:55" outlineLevel="2">
      <c r="A62" s="188">
        <v>6666029997</v>
      </c>
      <c r="B62" s="188">
        <v>6666029997</v>
      </c>
      <c r="C62" s="188" t="s">
        <v>71</v>
      </c>
      <c r="D62" s="188" t="s">
        <v>80</v>
      </c>
      <c r="E62" s="189">
        <f>VLOOKUP(B62,'2024 by account '!$A$2:$M$102,2,0)/1000</f>
        <v>19</v>
      </c>
      <c r="F62" s="189">
        <f t="shared" si="2"/>
        <v>0.57897703898953279</v>
      </c>
      <c r="G62" s="190">
        <f t="shared" si="3"/>
        <v>3.6084577063853707E-2</v>
      </c>
      <c r="H62" s="167"/>
      <c r="I62" s="191">
        <f>VLOOKUP(B62,'2024 by account '!$A$2:$M$102,3,0)/1000</f>
        <v>19</v>
      </c>
      <c r="J62" s="189">
        <f t="shared" si="31"/>
        <v>0.57118120272723993</v>
      </c>
      <c r="K62" s="190">
        <f t="shared" si="4"/>
        <v>2.8917638858203722E-2</v>
      </c>
      <c r="L62" s="192"/>
      <c r="M62" s="189">
        <f>VLOOKUP(B62,'2024 by account '!$A$2:$M$102,4,0)/1000</f>
        <v>18.963000000000001</v>
      </c>
      <c r="N62" s="189">
        <f t="shared" si="32"/>
        <v>0.5445554505799346</v>
      </c>
      <c r="O62" s="190">
        <f t="shared" si="6"/>
        <v>2.7177494164791864E-2</v>
      </c>
      <c r="P62" s="192"/>
      <c r="Q62" s="189">
        <f>VLOOKUP(B62,'2024 by account '!$A$2:$M$102,5,0)/1000</f>
        <v>18.986999999999998</v>
      </c>
      <c r="R62" s="189">
        <f t="shared" si="7"/>
        <v>0.54729250618287473</v>
      </c>
      <c r="S62" s="190">
        <f t="shared" si="8"/>
        <v>1.9516189643863875E-2</v>
      </c>
      <c r="T62" s="192"/>
      <c r="U62" s="189">
        <f>VLOOKUP(B62,'2024 by account '!$A$2:$M$102,6,0)/1000</f>
        <v>18.987500000000001</v>
      </c>
      <c r="V62" s="189">
        <f t="shared" si="9"/>
        <v>0.54467090259749573</v>
      </c>
      <c r="W62" s="190">
        <f t="shared" si="10"/>
        <v>1.3351740515700733E-2</v>
      </c>
      <c r="X62" s="192"/>
      <c r="Y62" s="189">
        <f>VLOOKUP(B62,'2024 by account '!$A$2:$M$102,7,0)/1000</f>
        <v>18.987500000000001</v>
      </c>
      <c r="Z62" s="189">
        <f t="shared" si="11"/>
        <v>0.54146811647517457</v>
      </c>
      <c r="AA62" s="190">
        <f t="shared" si="12"/>
        <v>1.7480246528769838E-2</v>
      </c>
      <c r="AB62" s="192"/>
      <c r="AC62" s="189">
        <f>VLOOKUP(B62,'2024 by account '!$A$2:$M$102,8,0)/1000</f>
        <v>18.987500000000001</v>
      </c>
      <c r="AD62" s="189">
        <f t="shared" si="13"/>
        <v>0.53190893326871524</v>
      </c>
      <c r="AE62" s="190">
        <f t="shared" si="14"/>
        <v>1.5427935530026256E-2</v>
      </c>
      <c r="AF62" s="192"/>
      <c r="AG62" s="189">
        <f>VLOOKUP(B62,'2024 by account '!$A$2:$M$102,9,0)/1000</f>
        <v>18.987500000000001</v>
      </c>
      <c r="AH62" s="189">
        <f t="shared" si="15"/>
        <v>0.51165729807220739</v>
      </c>
      <c r="AI62" s="190">
        <f t="shared" si="16"/>
        <v>2.0003803974986606E-2</v>
      </c>
      <c r="AJ62" s="192"/>
      <c r="AK62" s="189">
        <f>VLOOKUP(B62,'2024 by account '!$A$2:$M$102,10,0)/1000</f>
        <v>18.987500000000001</v>
      </c>
      <c r="AL62" s="189">
        <f t="shared" si="17"/>
        <v>0.50199842553250951</v>
      </c>
      <c r="AM62" s="190">
        <f t="shared" si="18"/>
        <v>1.2517415358380947E-2</v>
      </c>
      <c r="AN62" s="192"/>
      <c r="AO62" s="189">
        <f>VLOOKUP(B62,'2024 by account '!$A$2:$M$102,11,0)/1000</f>
        <v>18.987500000000001</v>
      </c>
      <c r="AP62" s="189">
        <f t="shared" si="19"/>
        <v>0.50840343422685363</v>
      </c>
      <c r="AQ62" s="190">
        <f t="shared" si="20"/>
        <v>1.2343784063584471E-2</v>
      </c>
      <c r="AR62" s="192"/>
      <c r="AS62" s="189">
        <f>VLOOKUP(B62,'2024 by account '!$A$2:$M$102,12,0)/1000</f>
        <v>18.987500000000001</v>
      </c>
      <c r="AT62" s="189">
        <f t="shared" si="21"/>
        <v>0.51844843639501204</v>
      </c>
      <c r="AU62" s="190">
        <f t="shared" si="22"/>
        <v>1.202617574565094E-2</v>
      </c>
      <c r="AV62" s="192"/>
      <c r="AW62" s="191">
        <f>VLOOKUP(B62,'2024 by account '!$A$2:$M$102,13,0)/1000</f>
        <v>-208.86250000000001</v>
      </c>
      <c r="AX62" s="189">
        <f t="shared" si="23"/>
        <v>-5.6974661500473021</v>
      </c>
      <c r="AY62" s="190">
        <f t="shared" si="24"/>
        <v>-0.21785134210405316</v>
      </c>
      <c r="AZ62" s="167"/>
      <c r="BA62" s="191">
        <f t="shared" si="33"/>
        <v>0</v>
      </c>
      <c r="BB62" s="189">
        <f t="shared" si="34"/>
        <v>0.2030955950002481</v>
      </c>
      <c r="BC62" s="190">
        <f t="shared" si="25"/>
        <v>5.5451813758750188E-4</v>
      </c>
    </row>
    <row r="63" spans="1:55" outlineLevel="2">
      <c r="A63" s="188">
        <v>6666030702</v>
      </c>
      <c r="B63" s="188">
        <v>6666030702</v>
      </c>
      <c r="C63" s="188" t="s">
        <v>73</v>
      </c>
      <c r="D63" s="188" t="s">
        <v>80</v>
      </c>
      <c r="E63" s="189"/>
      <c r="F63" s="189">
        <f t="shared" si="2"/>
        <v>0</v>
      </c>
      <c r="G63" s="190">
        <f t="shared" si="3"/>
        <v>0</v>
      </c>
      <c r="H63" s="167"/>
      <c r="I63" s="191"/>
      <c r="J63" s="189"/>
      <c r="K63" s="190">
        <f t="shared" si="4"/>
        <v>0</v>
      </c>
      <c r="L63" s="192"/>
      <c r="M63" s="189"/>
      <c r="N63" s="189"/>
      <c r="O63" s="190">
        <f t="shared" si="6"/>
        <v>0</v>
      </c>
      <c r="P63" s="192"/>
      <c r="Q63" s="189"/>
      <c r="R63" s="189">
        <f t="shared" si="7"/>
        <v>0</v>
      </c>
      <c r="S63" s="190">
        <f t="shared" si="8"/>
        <v>0</v>
      </c>
      <c r="T63" s="192"/>
      <c r="U63" s="189"/>
      <c r="V63" s="189">
        <f t="shared" si="9"/>
        <v>0</v>
      </c>
      <c r="W63" s="190">
        <f t="shared" si="10"/>
        <v>0</v>
      </c>
      <c r="X63" s="192"/>
      <c r="Y63" s="189"/>
      <c r="Z63" s="189">
        <f t="shared" si="11"/>
        <v>0</v>
      </c>
      <c r="AA63" s="190">
        <f t="shared" si="12"/>
        <v>0</v>
      </c>
      <c r="AB63" s="192"/>
      <c r="AC63" s="189"/>
      <c r="AD63" s="189">
        <f t="shared" si="13"/>
        <v>0</v>
      </c>
      <c r="AE63" s="190">
        <f t="shared" si="14"/>
        <v>0</v>
      </c>
      <c r="AF63" s="192"/>
      <c r="AG63" s="189"/>
      <c r="AH63" s="189">
        <f t="shared" si="15"/>
        <v>0</v>
      </c>
      <c r="AI63" s="190">
        <f t="shared" si="16"/>
        <v>0</v>
      </c>
      <c r="AJ63" s="192"/>
      <c r="AK63" s="189"/>
      <c r="AL63" s="189">
        <f t="shared" si="17"/>
        <v>0</v>
      </c>
      <c r="AM63" s="190">
        <f t="shared" si="18"/>
        <v>0</v>
      </c>
      <c r="AN63" s="192"/>
      <c r="AO63" s="189"/>
      <c r="AP63" s="189">
        <f t="shared" si="19"/>
        <v>0</v>
      </c>
      <c r="AQ63" s="190">
        <f t="shared" si="20"/>
        <v>0</v>
      </c>
      <c r="AR63" s="192"/>
      <c r="AS63" s="189"/>
      <c r="AT63" s="189">
        <f t="shared" si="21"/>
        <v>0</v>
      </c>
      <c r="AU63" s="190">
        <f t="shared" si="22"/>
        <v>0</v>
      </c>
      <c r="AV63" s="192"/>
      <c r="AW63" s="191"/>
      <c r="AX63" s="189">
        <f t="shared" si="23"/>
        <v>0</v>
      </c>
      <c r="AY63" s="190">
        <f t="shared" si="24"/>
        <v>0</v>
      </c>
      <c r="AZ63" s="167"/>
      <c r="BA63" s="191">
        <f t="shared" si="33"/>
        <v>0</v>
      </c>
      <c r="BB63" s="189">
        <f t="shared" si="34"/>
        <v>0</v>
      </c>
      <c r="BC63" s="190">
        <f t="shared" si="25"/>
        <v>0</v>
      </c>
    </row>
    <row r="64" spans="1:55" outlineLevel="2">
      <c r="A64" s="188">
        <v>6666031200</v>
      </c>
      <c r="B64" s="188">
        <v>6666031200</v>
      </c>
      <c r="C64" s="188" t="s">
        <v>74</v>
      </c>
      <c r="D64" s="188" t="s">
        <v>80</v>
      </c>
      <c r="E64" s="189">
        <f>VLOOKUP(B64,'2024 by account '!$A$2:$M$102,2,0)/1000</f>
        <v>4.2990000000000004</v>
      </c>
      <c r="F64" s="189">
        <f t="shared" si="2"/>
        <v>0.13100117319031587</v>
      </c>
      <c r="G64" s="190">
        <f t="shared" si="3"/>
        <v>8.1646103577635316E-3</v>
      </c>
      <c r="H64" s="167"/>
      <c r="I64" s="191">
        <f>VLOOKUP(B64,'2024 by account '!$A$2:$M$102,3,0)/1000</f>
        <v>48.484259999999999</v>
      </c>
      <c r="J64" s="189">
        <f t="shared" si="31"/>
        <v>1.4575419968494847</v>
      </c>
      <c r="K64" s="190">
        <f t="shared" si="4"/>
        <v>7.3792122157223819E-2</v>
      </c>
      <c r="L64" s="192"/>
      <c r="M64" s="189">
        <f>VLOOKUP(B64,'2024 by account '!$A$2:$M$102,4,0)/1000</f>
        <v>-12.48386</v>
      </c>
      <c r="N64" s="189">
        <f t="shared" si="32"/>
        <v>-0.35849570254056962</v>
      </c>
      <c r="O64" s="190">
        <f t="shared" si="6"/>
        <v>-1.7891685508837133E-2</v>
      </c>
      <c r="P64" s="192"/>
      <c r="Q64" s="189">
        <f>VLOOKUP(B64,'2024 by account '!$A$2:$M$102,5,0)/1000</f>
        <v>0</v>
      </c>
      <c r="R64" s="189">
        <f t="shared" si="7"/>
        <v>0</v>
      </c>
      <c r="S64" s="190">
        <f t="shared" si="8"/>
        <v>0</v>
      </c>
      <c r="T64" s="192"/>
      <c r="U64" s="189">
        <f>VLOOKUP(B64,'2024 by account '!$A$2:$M$102,6,0)/1000</f>
        <v>0</v>
      </c>
      <c r="V64" s="189">
        <f t="shared" si="9"/>
        <v>0</v>
      </c>
      <c r="W64" s="190">
        <f t="shared" si="10"/>
        <v>0</v>
      </c>
      <c r="X64" s="192"/>
      <c r="Y64" s="189">
        <f>VLOOKUP(B64,'2024 by account '!$A$2:$M$102,7,0)/1000</f>
        <v>35.812739999999998</v>
      </c>
      <c r="Z64" s="189">
        <f t="shared" si="11"/>
        <v>1.0212748847196913</v>
      </c>
      <c r="AA64" s="190">
        <f t="shared" si="12"/>
        <v>3.2969876185423921E-2</v>
      </c>
      <c r="AB64" s="192"/>
      <c r="AC64" s="189">
        <f>VLOOKUP(B64,'2024 by account '!$A$2:$M$102,8,0)/1000</f>
        <v>0</v>
      </c>
      <c r="AD64" s="189">
        <f t="shared" si="13"/>
        <v>0</v>
      </c>
      <c r="AE64" s="190">
        <f t="shared" si="14"/>
        <v>0</v>
      </c>
      <c r="AF64" s="192"/>
      <c r="AG64" s="189">
        <f>VLOOKUP(B64,'2024 by account '!$A$2:$M$102,9,0)/1000</f>
        <v>22.812000000000001</v>
      </c>
      <c r="AH64" s="189">
        <f t="shared" si="15"/>
        <v>0.61471632830141909</v>
      </c>
      <c r="AI64" s="190">
        <f t="shared" si="16"/>
        <v>2.4033009942193255E-2</v>
      </c>
      <c r="AJ64" s="192"/>
      <c r="AK64" s="189">
        <f>VLOOKUP(B64,'2024 by account '!$A$2:$M$102,10,0)/1000</f>
        <v>0</v>
      </c>
      <c r="AL64" s="189">
        <f t="shared" si="17"/>
        <v>0</v>
      </c>
      <c r="AM64" s="190">
        <f t="shared" si="18"/>
        <v>0</v>
      </c>
      <c r="AN64" s="192"/>
      <c r="AO64" s="189">
        <f>VLOOKUP(B64,'2024 by account '!$A$2:$M$102,11,0)/1000</f>
        <v>0</v>
      </c>
      <c r="AP64" s="189">
        <f t="shared" si="19"/>
        <v>0</v>
      </c>
      <c r="AQ64" s="190">
        <f t="shared" si="20"/>
        <v>0</v>
      </c>
      <c r="AR64" s="192"/>
      <c r="AS64" s="189">
        <f>VLOOKUP(B64,'2024 by account '!$A$2:$M$102,12,0)/1000</f>
        <v>0</v>
      </c>
      <c r="AT64" s="189">
        <f t="shared" si="21"/>
        <v>0</v>
      </c>
      <c r="AU64" s="190">
        <f t="shared" si="22"/>
        <v>0</v>
      </c>
      <c r="AV64" s="192"/>
      <c r="AW64" s="191">
        <f>VLOOKUP(B64,'2024 by account '!$A$2:$M$102,13,0)/1000</f>
        <v>0</v>
      </c>
      <c r="AX64" s="189">
        <f t="shared" si="23"/>
        <v>0</v>
      </c>
      <c r="AY64" s="190">
        <f t="shared" si="24"/>
        <v>0</v>
      </c>
      <c r="AZ64" s="167"/>
      <c r="BA64" s="191">
        <f t="shared" si="33"/>
        <v>98.924140000000008</v>
      </c>
      <c r="BB64" s="189">
        <f t="shared" si="34"/>
        <v>2.8660386805203411</v>
      </c>
      <c r="BC64" s="190">
        <f t="shared" si="25"/>
        <v>7.8252333900887382E-3</v>
      </c>
    </row>
    <row r="65" spans="1:55" outlineLevel="2">
      <c r="A65" s="188">
        <v>6666050107</v>
      </c>
      <c r="B65" s="188">
        <v>6666050107</v>
      </c>
      <c r="C65" s="188" t="s">
        <v>75</v>
      </c>
      <c r="D65" s="188" t="s">
        <v>80</v>
      </c>
      <c r="E65" s="189">
        <f>VLOOKUP(B65,'2024 by account '!$A$2:$M$102,2,0)/1000</f>
        <v>0</v>
      </c>
      <c r="F65" s="189">
        <f t="shared" si="2"/>
        <v>0</v>
      </c>
      <c r="G65" s="190">
        <f t="shared" si="3"/>
        <v>0</v>
      </c>
      <c r="H65" s="167"/>
      <c r="I65" s="191">
        <f>VLOOKUP(B65,'2024 by account '!$A$2:$M$102,3,0)/1000</f>
        <v>0</v>
      </c>
      <c r="J65" s="189">
        <f t="shared" si="31"/>
        <v>0</v>
      </c>
      <c r="K65" s="190">
        <f t="shared" si="4"/>
        <v>0</v>
      </c>
      <c r="L65" s="192"/>
      <c r="M65" s="189">
        <f>VLOOKUP(B65,'2024 by account '!$A$2:$M$102,4,0)/1000</f>
        <v>0</v>
      </c>
      <c r="N65" s="189">
        <f t="shared" si="32"/>
        <v>0</v>
      </c>
      <c r="O65" s="190">
        <f t="shared" si="6"/>
        <v>0</v>
      </c>
      <c r="P65" s="192"/>
      <c r="Q65" s="189">
        <f>VLOOKUP(B65,'2024 by account '!$A$2:$M$102,5,0)/1000</f>
        <v>1.0000000000000001E-5</v>
      </c>
      <c r="R65" s="189">
        <f t="shared" si="7"/>
        <v>2.8824590834933103E-7</v>
      </c>
      <c r="S65" s="190">
        <f t="shared" si="8"/>
        <v>1.0278711562576438E-8</v>
      </c>
      <c r="T65" s="192"/>
      <c r="U65" s="189">
        <f>VLOOKUP(B65,'2024 by account '!$A$2:$M$102,6,0)/1000</f>
        <v>0</v>
      </c>
      <c r="V65" s="189">
        <f t="shared" si="9"/>
        <v>0</v>
      </c>
      <c r="W65" s="190">
        <f t="shared" si="10"/>
        <v>0</v>
      </c>
      <c r="X65" s="192"/>
      <c r="Y65" s="189">
        <f>VLOOKUP(B65,'2024 by account '!$A$2:$M$102,7,0)/1000</f>
        <v>0</v>
      </c>
      <c r="Z65" s="189">
        <f t="shared" si="11"/>
        <v>0</v>
      </c>
      <c r="AA65" s="190">
        <f t="shared" si="12"/>
        <v>0</v>
      </c>
      <c r="AB65" s="192"/>
      <c r="AC65" s="189">
        <f>VLOOKUP(B65,'2024 by account '!$A$2:$M$102,8,0)/1000</f>
        <v>3.9620700000000002</v>
      </c>
      <c r="AD65" s="189">
        <f t="shared" si="13"/>
        <v>0.11099199090117069</v>
      </c>
      <c r="AE65" s="190">
        <f t="shared" si="14"/>
        <v>3.2193053601290919E-3</v>
      </c>
      <c r="AF65" s="192"/>
      <c r="AG65" s="189">
        <f>VLOOKUP(B65,'2024 by account '!$A$2:$M$102,9,0)/1000</f>
        <v>-3.9620700000000002</v>
      </c>
      <c r="AH65" s="189">
        <f t="shared" si="15"/>
        <v>-0.10676613724676501</v>
      </c>
      <c r="AI65" s="190">
        <f t="shared" si="16"/>
        <v>-4.1741393872376659E-3</v>
      </c>
      <c r="AJ65" s="192"/>
      <c r="AK65" s="189">
        <f>VLOOKUP(B65,'2024 by account '!$A$2:$M$102,10,0)/1000</f>
        <v>9.1E-4</v>
      </c>
      <c r="AL65" s="189">
        <f t="shared" si="17"/>
        <v>2.4058910716765431E-5</v>
      </c>
      <c r="AM65" s="190">
        <f t="shared" si="18"/>
        <v>5.9991299413438631E-7</v>
      </c>
      <c r="AN65" s="192"/>
      <c r="AO65" s="189">
        <f>VLOOKUP(B65,'2024 by account '!$A$2:$M$102,11,0)/1000</f>
        <v>2.3462299999999994</v>
      </c>
      <c r="AP65" s="189">
        <f t="shared" si="19"/>
        <v>6.2821929663519169E-2</v>
      </c>
      <c r="AQ65" s="190">
        <f t="shared" si="20"/>
        <v>1.525285397419554E-3</v>
      </c>
      <c r="AR65" s="192"/>
      <c r="AS65" s="189">
        <f>VLOOKUP(B65,'2024 by account '!$A$2:$M$102,12,0)/1000</f>
        <v>0</v>
      </c>
      <c r="AT65" s="189">
        <f t="shared" si="21"/>
        <v>0</v>
      </c>
      <c r="AU65" s="190">
        <f t="shared" si="22"/>
        <v>0</v>
      </c>
      <c r="AV65" s="192"/>
      <c r="AW65" s="191">
        <f>VLOOKUP(B65,'2024 by account '!$A$2:$M$102,13,0)/1000</f>
        <v>3.0033099999999999</v>
      </c>
      <c r="AX65" s="189">
        <f t="shared" si="23"/>
        <v>8.1925942010167258E-2</v>
      </c>
      <c r="AY65" s="190">
        <f t="shared" si="24"/>
        <v>3.132563836277569E-3</v>
      </c>
      <c r="AZ65" s="167"/>
      <c r="BA65" s="191">
        <f t="shared" si="33"/>
        <v>5.3504599999999991</v>
      </c>
      <c r="BB65" s="189">
        <f t="shared" si="34"/>
        <v>0.14899807248471722</v>
      </c>
      <c r="BC65" s="190">
        <f t="shared" si="25"/>
        <v>4.0681401119631408E-4</v>
      </c>
    </row>
    <row r="66" spans="1:55" outlineLevel="2">
      <c r="A66" s="188">
        <v>6666070100</v>
      </c>
      <c r="B66" s="188">
        <v>6666070100</v>
      </c>
      <c r="C66" s="188" t="s">
        <v>77</v>
      </c>
      <c r="D66" s="188" t="s">
        <v>80</v>
      </c>
      <c r="E66" s="189">
        <f>VLOOKUP(B66,'2024 by account '!$A$2:$M$102,2,0)/1000</f>
        <v>0</v>
      </c>
      <c r="F66" s="189">
        <f t="shared" si="2"/>
        <v>0</v>
      </c>
      <c r="G66" s="190">
        <f t="shared" si="3"/>
        <v>0</v>
      </c>
      <c r="H66" s="167"/>
      <c r="I66" s="191">
        <f>VLOOKUP(B66,'2024 by account '!$A$2:$M$102,3,0)/1000</f>
        <v>0</v>
      </c>
      <c r="J66" s="189">
        <f t="shared" si="31"/>
        <v>0</v>
      </c>
      <c r="K66" s="190">
        <f t="shared" si="4"/>
        <v>0</v>
      </c>
      <c r="L66" s="192"/>
      <c r="M66" s="189">
        <f>VLOOKUP(B66,'2024 by account '!$A$2:$M$102,4,0)/1000</f>
        <v>0</v>
      </c>
      <c r="N66" s="189">
        <f t="shared" si="32"/>
        <v>0</v>
      </c>
      <c r="O66" s="190">
        <f t="shared" si="6"/>
        <v>0</v>
      </c>
      <c r="P66" s="192"/>
      <c r="Q66" s="189">
        <f>VLOOKUP(B66,'2024 by account '!$A$2:$M$102,5,0)/1000</f>
        <v>0</v>
      </c>
      <c r="R66" s="189">
        <f t="shared" si="7"/>
        <v>0</v>
      </c>
      <c r="S66" s="190">
        <f t="shared" si="8"/>
        <v>0</v>
      </c>
      <c r="T66" s="192"/>
      <c r="U66" s="189">
        <f>VLOOKUP(B66,'2024 by account '!$A$2:$M$102,6,0)/1000</f>
        <v>0</v>
      </c>
      <c r="V66" s="189">
        <f t="shared" si="9"/>
        <v>0</v>
      </c>
      <c r="W66" s="190">
        <f t="shared" si="10"/>
        <v>0</v>
      </c>
      <c r="X66" s="192"/>
      <c r="Y66" s="189">
        <f>VLOOKUP(B66,'2024 by account '!$A$2:$M$102,7,0)/1000</f>
        <v>0</v>
      </c>
      <c r="Z66" s="189">
        <f t="shared" si="11"/>
        <v>0</v>
      </c>
      <c r="AA66" s="190">
        <f t="shared" si="12"/>
        <v>0</v>
      </c>
      <c r="AB66" s="192"/>
      <c r="AC66" s="189">
        <f>VLOOKUP(B66,'2024 by account '!$A$2:$M$102,8,0)/1000</f>
        <v>0</v>
      </c>
      <c r="AD66" s="189">
        <f t="shared" si="13"/>
        <v>0</v>
      </c>
      <c r="AE66" s="190">
        <f t="shared" si="14"/>
        <v>0</v>
      </c>
      <c r="AF66" s="192"/>
      <c r="AG66" s="189">
        <f>VLOOKUP(B66,'2024 by account '!$A$2:$M$102,9,0)/1000</f>
        <v>0</v>
      </c>
      <c r="AH66" s="189">
        <f t="shared" si="15"/>
        <v>0</v>
      </c>
      <c r="AI66" s="190">
        <f t="shared" si="16"/>
        <v>0</v>
      </c>
      <c r="AJ66" s="192"/>
      <c r="AK66" s="189">
        <f>VLOOKUP(B66,'2024 by account '!$A$2:$M$102,10,0)/1000</f>
        <v>0</v>
      </c>
      <c r="AL66" s="189">
        <f t="shared" si="17"/>
        <v>0</v>
      </c>
      <c r="AM66" s="190">
        <f t="shared" si="18"/>
        <v>0</v>
      </c>
      <c r="AN66" s="192"/>
      <c r="AO66" s="189">
        <f>VLOOKUP(B66,'2024 by account '!$A$2:$M$102,11,0)/1000</f>
        <v>0</v>
      </c>
      <c r="AP66" s="189">
        <f t="shared" si="19"/>
        <v>0</v>
      </c>
      <c r="AQ66" s="190">
        <f t="shared" si="20"/>
        <v>0</v>
      </c>
      <c r="AR66" s="192"/>
      <c r="AS66" s="189">
        <f>VLOOKUP(B66,'2024 by account '!$A$2:$M$102,12,0)/1000</f>
        <v>3.372E-2</v>
      </c>
      <c r="AT66" s="189">
        <f t="shared" si="21"/>
        <v>9.2071527453534184E-4</v>
      </c>
      <c r="AU66" s="190">
        <f t="shared" si="22"/>
        <v>2.1357348052315981E-5</v>
      </c>
      <c r="AV66" s="192"/>
      <c r="AW66" s="191">
        <f>VLOOKUP(B66,'2024 by account '!$A$2:$M$102,13,0)/1000</f>
        <v>0</v>
      </c>
      <c r="AX66" s="189">
        <f t="shared" si="23"/>
        <v>0</v>
      </c>
      <c r="AY66" s="190">
        <f t="shared" si="24"/>
        <v>0</v>
      </c>
      <c r="AZ66" s="167"/>
      <c r="BA66" s="191">
        <f t="shared" si="33"/>
        <v>3.372E-2</v>
      </c>
      <c r="BB66" s="189">
        <f t="shared" si="34"/>
        <v>9.2071527453534184E-4</v>
      </c>
      <c r="BC66" s="190">
        <f t="shared" si="25"/>
        <v>2.5138571778628663E-6</v>
      </c>
    </row>
    <row r="67" spans="1:55" outlineLevel="2">
      <c r="A67" s="188">
        <v>6666070300</v>
      </c>
      <c r="B67" s="188">
        <v>6666070300</v>
      </c>
      <c r="C67" s="188" t="s">
        <v>78</v>
      </c>
      <c r="D67" s="188" t="s">
        <v>80</v>
      </c>
      <c r="E67" s="189">
        <f>VLOOKUP(B67,'2024 by account '!$A$2:$M$102,2,0)/1000</f>
        <v>0</v>
      </c>
      <c r="F67" s="189">
        <f t="shared" si="2"/>
        <v>0</v>
      </c>
      <c r="G67" s="190">
        <f t="shared" si="3"/>
        <v>0</v>
      </c>
      <c r="H67" s="167"/>
      <c r="I67" s="191">
        <f>VLOOKUP(B67,'2024 by account '!$A$2:$M$102,3,0)/1000</f>
        <v>-11.41056</v>
      </c>
      <c r="J67" s="189">
        <f t="shared" si="31"/>
        <v>-0.34302617813638603</v>
      </c>
      <c r="K67" s="190">
        <f t="shared" si="4"/>
        <v>-1.7366655434203425E-2</v>
      </c>
      <c r="L67" s="192"/>
      <c r="M67" s="189">
        <f>VLOOKUP(B67,'2024 by account '!$A$2:$M$102,4,0)/1000</f>
        <v>0</v>
      </c>
      <c r="N67" s="189">
        <f t="shared" si="32"/>
        <v>0</v>
      </c>
      <c r="O67" s="190">
        <f t="shared" si="6"/>
        <v>0</v>
      </c>
      <c r="P67" s="192"/>
      <c r="Q67" s="189">
        <f>VLOOKUP(B67,'2024 by account '!$A$2:$M$102,5,0)/1000</f>
        <v>0</v>
      </c>
      <c r="R67" s="189">
        <f t="shared" si="7"/>
        <v>0</v>
      </c>
      <c r="S67" s="190">
        <f t="shared" si="8"/>
        <v>0</v>
      </c>
      <c r="T67" s="192"/>
      <c r="U67" s="189">
        <f>VLOOKUP(B67,'2024 by account '!$A$2:$M$102,6,0)/1000</f>
        <v>0</v>
      </c>
      <c r="V67" s="189">
        <f t="shared" si="9"/>
        <v>0</v>
      </c>
      <c r="W67" s="190">
        <f t="shared" si="10"/>
        <v>0</v>
      </c>
      <c r="X67" s="192"/>
      <c r="Y67" s="189">
        <f>VLOOKUP(B67,'2024 by account '!$A$2:$M$102,7,0)/1000</f>
        <v>0</v>
      </c>
      <c r="Z67" s="189">
        <f t="shared" si="11"/>
        <v>0</v>
      </c>
      <c r="AA67" s="190">
        <f t="shared" si="12"/>
        <v>0</v>
      </c>
      <c r="AB67" s="192"/>
      <c r="AC67" s="189">
        <f>VLOOKUP(B67,'2024 by account '!$A$2:$M$102,8,0)/1000</f>
        <v>0</v>
      </c>
      <c r="AD67" s="189">
        <f t="shared" si="13"/>
        <v>0</v>
      </c>
      <c r="AE67" s="190">
        <f t="shared" si="14"/>
        <v>0</v>
      </c>
      <c r="AF67" s="192"/>
      <c r="AG67" s="189">
        <f>VLOOKUP(B67,'2024 by account '!$A$2:$M$102,9,0)/1000</f>
        <v>0</v>
      </c>
      <c r="AH67" s="189">
        <f t="shared" si="15"/>
        <v>0</v>
      </c>
      <c r="AI67" s="190">
        <f t="shared" si="16"/>
        <v>0</v>
      </c>
      <c r="AJ67" s="192"/>
      <c r="AK67" s="189">
        <f>VLOOKUP(B67,'2024 by account '!$A$2:$M$102,10,0)/1000</f>
        <v>0</v>
      </c>
      <c r="AL67" s="189">
        <f t="shared" si="17"/>
        <v>0</v>
      </c>
      <c r="AM67" s="190">
        <f t="shared" si="18"/>
        <v>0</v>
      </c>
      <c r="AN67" s="192"/>
      <c r="AO67" s="189">
        <f>VLOOKUP(B67,'2024 by account '!$A$2:$M$102,11,0)/1000</f>
        <v>0</v>
      </c>
      <c r="AP67" s="189">
        <f t="shared" si="19"/>
        <v>0</v>
      </c>
      <c r="AQ67" s="190">
        <f t="shared" si="20"/>
        <v>0</v>
      </c>
      <c r="AR67" s="192"/>
      <c r="AS67" s="189">
        <f>VLOOKUP(B67,'2024 by account '!$A$2:$M$102,12,0)/1000</f>
        <v>0</v>
      </c>
      <c r="AT67" s="189">
        <f t="shared" si="21"/>
        <v>0</v>
      </c>
      <c r="AU67" s="190">
        <f t="shared" si="22"/>
        <v>0</v>
      </c>
      <c r="AV67" s="192"/>
      <c r="AW67" s="191">
        <f>VLOOKUP(B67,'2024 by account '!$A$2:$M$102,13,0)/1000</f>
        <v>0</v>
      </c>
      <c r="AX67" s="189">
        <f t="shared" si="23"/>
        <v>0</v>
      </c>
      <c r="AY67" s="190">
        <f t="shared" si="24"/>
        <v>0</v>
      </c>
      <c r="AZ67" s="167"/>
      <c r="BA67" s="191">
        <f t="shared" si="33"/>
        <v>-11.41056</v>
      </c>
      <c r="BB67" s="189">
        <f t="shared" si="34"/>
        <v>-0.34302617813638603</v>
      </c>
      <c r="BC67" s="190">
        <f t="shared" si="25"/>
        <v>-9.3657490426473841E-4</v>
      </c>
    </row>
    <row r="68" spans="1:55" outlineLevel="2">
      <c r="A68" s="188">
        <v>6666070400</v>
      </c>
      <c r="B68" s="188">
        <v>6666070400</v>
      </c>
      <c r="C68" s="188" t="s">
        <v>79</v>
      </c>
      <c r="D68" s="188" t="s">
        <v>80</v>
      </c>
      <c r="E68" s="189">
        <f>VLOOKUP(B68,'2024 by account '!$A$2:$M$102,2,0)/1000</f>
        <v>324.13294999999999</v>
      </c>
      <c r="F68" s="189">
        <f t="shared" si="2"/>
        <v>9.8771334542074882</v>
      </c>
      <c r="G68" s="190">
        <f t="shared" si="3"/>
        <v>0.61558949543206531</v>
      </c>
      <c r="H68" s="167"/>
      <c r="I68" s="191">
        <f>VLOOKUP(B68,'2024 by account '!$A$2:$M$102,3,0)/1000</f>
        <v>323.46465000000001</v>
      </c>
      <c r="J68" s="189">
        <f t="shared" si="31"/>
        <v>9.7240488329866164</v>
      </c>
      <c r="K68" s="190">
        <f t="shared" si="4"/>
        <v>0.49230704905764561</v>
      </c>
      <c r="L68" s="192"/>
      <c r="M68" s="189">
        <f>VLOOKUP(B68,'2024 by account '!$A$2:$M$102,4,0)/1000</f>
        <v>324.80490999999995</v>
      </c>
      <c r="N68" s="189">
        <f t="shared" si="32"/>
        <v>9.3273366089555996</v>
      </c>
      <c r="O68" s="190">
        <f t="shared" si="6"/>
        <v>0.46550564500452157</v>
      </c>
      <c r="P68" s="192"/>
      <c r="Q68" s="189">
        <f>VLOOKUP(B68,'2024 by account '!$A$2:$M$102,5,0)/1000</f>
        <v>322.79268999999999</v>
      </c>
      <c r="R68" s="189">
        <f t="shared" si="7"/>
        <v>9.3043672137574003</v>
      </c>
      <c r="S68" s="190">
        <f t="shared" si="8"/>
        <v>0.33178929550181513</v>
      </c>
      <c r="T68" s="192"/>
      <c r="U68" s="189">
        <f>VLOOKUP(B68,'2024 by account '!$A$2:$M$102,6,0)/1000</f>
        <v>323.79879</v>
      </c>
      <c r="V68" s="189">
        <f t="shared" si="9"/>
        <v>9.2884149682305175</v>
      </c>
      <c r="W68" s="190">
        <f t="shared" si="10"/>
        <v>0.22769071354195514</v>
      </c>
      <c r="X68" s="192"/>
      <c r="Y68" s="189">
        <f>VLOOKUP(B68,'2024 by account '!$A$2:$M$102,7,0)/1000</f>
        <v>323.79879999999997</v>
      </c>
      <c r="Z68" s="189">
        <f t="shared" si="11"/>
        <v>9.2337973062763243</v>
      </c>
      <c r="AA68" s="190">
        <f t="shared" si="12"/>
        <v>0.29809521262513961</v>
      </c>
      <c r="AB68" s="192"/>
      <c r="AC68" s="189">
        <f>VLOOKUP(B68,'2024 by account '!$A$2:$M$102,8,0)/1000</f>
        <v>323.79879999999997</v>
      </c>
      <c r="AD68" s="189">
        <f t="shared" si="13"/>
        <v>9.0707820567052035</v>
      </c>
      <c r="AE68" s="190">
        <f t="shared" si="14"/>
        <v>0.26309661677945306</v>
      </c>
      <c r="AF68" s="192"/>
      <c r="AG68" s="189">
        <f>VLOOKUP(B68,'2024 by account '!$A$2:$M$102,9,0)/1000</f>
        <v>323.79879999999997</v>
      </c>
      <c r="AH68" s="189">
        <f t="shared" si="15"/>
        <v>8.7254256288096403</v>
      </c>
      <c r="AI68" s="190">
        <f t="shared" si="16"/>
        <v>0.34113009730274613</v>
      </c>
      <c r="AJ68" s="192"/>
      <c r="AK68" s="189">
        <f>VLOOKUP(B68,'2024 by account '!$A$2:$M$102,10,0)/1000</f>
        <v>323.79879999999997</v>
      </c>
      <c r="AL68" s="189">
        <f t="shared" si="17"/>
        <v>8.5607103509843796</v>
      </c>
      <c r="AM68" s="190">
        <f t="shared" si="18"/>
        <v>0.21346275561002342</v>
      </c>
      <c r="AN68" s="192"/>
      <c r="AO68" s="189">
        <f>VLOOKUP(B68,'2024 by account '!$A$2:$M$102,11,0)/1000</f>
        <v>-285.02620000000002</v>
      </c>
      <c r="AP68" s="189">
        <f t="shared" si="19"/>
        <v>-7.6317734785848597</v>
      </c>
      <c r="AQ68" s="190">
        <f t="shared" si="20"/>
        <v>-0.18529568743984412</v>
      </c>
      <c r="AR68" s="192"/>
      <c r="AS68" s="189">
        <f>VLOOKUP(B68,'2024 by account '!$A$2:$M$102,12,0)/1000</f>
        <v>-285.02620000000002</v>
      </c>
      <c r="AT68" s="189">
        <f t="shared" si="21"/>
        <v>-7.7825615653251861</v>
      </c>
      <c r="AU68" s="190">
        <f t="shared" si="22"/>
        <v>-0.18052798806135897</v>
      </c>
      <c r="AV68" s="192"/>
      <c r="AW68" s="191">
        <f>VLOOKUP(B68,'2024 by account '!$A$2:$M$102,13,0)/1000</f>
        <v>-764.37545</v>
      </c>
      <c r="AX68" s="189">
        <f t="shared" si="23"/>
        <v>-20.851053934057926</v>
      </c>
      <c r="AY68" s="190">
        <f t="shared" si="24"/>
        <v>-0.79727197392490068</v>
      </c>
      <c r="AZ68" s="167"/>
      <c r="BA68" s="191">
        <f t="shared" si="33"/>
        <v>1579.7613399999998</v>
      </c>
      <c r="BB68" s="189">
        <f t="shared" si="34"/>
        <v>46.846627442945199</v>
      </c>
      <c r="BC68" s="190">
        <f t="shared" si="25"/>
        <v>0.12790678498903826</v>
      </c>
    </row>
    <row r="69" spans="1:55" s="29" customFormat="1">
      <c r="B69" s="37" t="s">
        <v>4</v>
      </c>
      <c r="C69" s="36" t="s">
        <v>80</v>
      </c>
      <c r="D69" s="38"/>
      <c r="E69" s="97">
        <f>SUM(E28:E68)</f>
        <v>1367.7385499999998</v>
      </c>
      <c r="F69" s="97">
        <f t="shared" si="2"/>
        <v>41.6783797784651</v>
      </c>
      <c r="G69" s="171">
        <f t="shared" si="3"/>
        <v>2.5975930058251855</v>
      </c>
      <c r="H69" s="167"/>
      <c r="I69" s="97">
        <f>SUM(I28:I68)</f>
        <v>1834.7494700000002</v>
      </c>
      <c r="J69" s="97">
        <f>SUM(J28:J68)</f>
        <v>55.156547840935055</v>
      </c>
      <c r="K69" s="171">
        <f t="shared" si="4"/>
        <v>2.7924538194074047</v>
      </c>
      <c r="L69" s="175"/>
      <c r="M69" s="173">
        <f>SUM(M28:M68)</f>
        <v>1681.8549499999999</v>
      </c>
      <c r="N69" s="97">
        <f>SUM(N28:N68)</f>
        <v>48.29738333108385</v>
      </c>
      <c r="O69" s="171">
        <f t="shared" si="6"/>
        <v>2.4104099082239783</v>
      </c>
      <c r="P69" s="175"/>
      <c r="Q69" s="97">
        <f>SUM(Q28:Q68)</f>
        <v>1803.6689199999998</v>
      </c>
      <c r="R69" s="97">
        <f t="shared" si="7"/>
        <v>51.990018620685674</v>
      </c>
      <c r="S69" s="171">
        <f t="shared" si="8"/>
        <v>1.853939258306375</v>
      </c>
      <c r="T69" s="175"/>
      <c r="U69" s="97">
        <f>SUM(U28:U68)</f>
        <v>1662.9696799999997</v>
      </c>
      <c r="V69" s="97">
        <f t="shared" si="9"/>
        <v>47.703552157886421</v>
      </c>
      <c r="W69" s="171">
        <f t="shared" si="10"/>
        <v>1.1693766769104872</v>
      </c>
      <c r="X69" s="175"/>
      <c r="Y69" s="97">
        <f>SUM(Y28:Y68)</f>
        <v>1609.8663000000001</v>
      </c>
      <c r="Z69" s="97">
        <f t="shared" si="11"/>
        <v>45.908691151434276</v>
      </c>
      <c r="AA69" s="171">
        <f t="shared" si="12"/>
        <v>1.4820729323164474</v>
      </c>
      <c r="AB69" s="175"/>
      <c r="AC69" s="97">
        <f>SUM(AC28:AC68)</f>
        <v>1694.3544999999999</v>
      </c>
      <c r="AD69" s="97">
        <f t="shared" si="13"/>
        <v>47.465031977566674</v>
      </c>
      <c r="AE69" s="171">
        <f t="shared" si="14"/>
        <v>1.3767158388945289</v>
      </c>
      <c r="AF69" s="175"/>
      <c r="AG69" s="97">
        <f>SUM(AG28:AG68)</f>
        <v>1747.9830299999999</v>
      </c>
      <c r="AH69" s="97">
        <f t="shared" si="15"/>
        <v>47.103003249815409</v>
      </c>
      <c r="AI69" s="171">
        <f t="shared" si="16"/>
        <v>1.8415436410124093</v>
      </c>
      <c r="AJ69" s="175"/>
      <c r="AK69" s="97">
        <f>SUM(AK28:AK68)</f>
        <v>1337.4508399999997</v>
      </c>
      <c r="AL69" s="97">
        <f t="shared" si="17"/>
        <v>35.360011371014203</v>
      </c>
      <c r="AM69" s="171">
        <f t="shared" si="18"/>
        <v>0.88170784388126378</v>
      </c>
      <c r="AN69" s="175"/>
      <c r="AO69" s="97">
        <f>SUM(AO28:AO68)</f>
        <v>992.97760999999991</v>
      </c>
      <c r="AP69" s="97">
        <f t="shared" si="19"/>
        <v>26.587661726629268</v>
      </c>
      <c r="AQ69" s="171">
        <f t="shared" si="20"/>
        <v>0.64553528362418411</v>
      </c>
      <c r="AR69" s="175"/>
      <c r="AS69" s="97">
        <f>SUM(AS28:AS68)</f>
        <v>873.88465999999994</v>
      </c>
      <c r="AT69" s="97">
        <f t="shared" si="21"/>
        <v>23.86117896334887</v>
      </c>
      <c r="AU69" s="171">
        <f t="shared" si="22"/>
        <v>0.55349522067615109</v>
      </c>
      <c r="AV69" s="175"/>
      <c r="AW69" s="97">
        <f>SUM(AW28:AW68)</f>
        <v>-1083.3285000000001</v>
      </c>
      <c r="AX69" s="97">
        <f t="shared" si="23"/>
        <v>-29.551630657162097</v>
      </c>
      <c r="AY69" s="171">
        <f t="shared" si="24"/>
        <v>-1.1299518470983099</v>
      </c>
      <c r="AZ69" s="14"/>
      <c r="BA69" s="97">
        <f t="shared" ref="BA69:BA100" si="35">SUM(AW69,AS69,AO69,AK69,AG69,AC69,Y69,U69,Q69,M69,I69,E69)</f>
        <v>15524.170010000002</v>
      </c>
      <c r="BB69" s="97">
        <f t="shared" ref="BB69:BB100" si="36">SUM(AX69,AT69,AP69,AL69,AH69,AD69,Z69,V69,R69,N69,J69,F69)</f>
        <v>441.55982951170267</v>
      </c>
      <c r="BC69" s="171">
        <f t="shared" si="25"/>
        <v>1.2056043573667126</v>
      </c>
    </row>
    <row r="70" spans="1:55" ht="20.55" customHeight="1" outlineLevel="1">
      <c r="A70" s="188">
        <v>6666110203</v>
      </c>
      <c r="B70" s="188">
        <v>6666110203</v>
      </c>
      <c r="C70" s="188" t="s">
        <v>81</v>
      </c>
      <c r="D70" s="188" t="s">
        <v>84</v>
      </c>
      <c r="E70" s="189">
        <f>VLOOKUP(B70,'2024 by account '!$A$2:$M$102,2,0)/1000</f>
        <v>137.44325000000001</v>
      </c>
      <c r="F70" s="189">
        <f t="shared" ref="F70:F116" si="37">E70/$F$2</f>
        <v>4.1882361007420057</v>
      </c>
      <c r="G70" s="190">
        <f t="shared" ref="G70:G117" si="38">F70/$F$1*1000</f>
        <v>0.26103060771218484</v>
      </c>
      <c r="H70" s="167"/>
      <c r="I70" s="191">
        <f>VLOOKUP(B70,'2024 by account '!$A$2:$M$102,3,0)/1000</f>
        <v>456.35665999999998</v>
      </c>
      <c r="J70" s="189">
        <f t="shared" ref="J70:J73" si="39">I70/$J$2</f>
        <v>13.719070838494003</v>
      </c>
      <c r="K70" s="190">
        <f t="shared" ref="K70:K117" si="40">J70/$J$1*1000</f>
        <v>0.69456616233768753</v>
      </c>
      <c r="L70" s="192"/>
      <c r="M70" s="189">
        <f>VLOOKUP(B70,'2024 by account '!$A$2:$M$102,4,0)/1000</f>
        <v>613.83731</v>
      </c>
      <c r="N70" s="189">
        <f t="shared" ref="N70:N73" si="41">M70/$N$2</f>
        <v>17.627403518948739</v>
      </c>
      <c r="O70" s="190">
        <f t="shared" ref="O70:O117" si="42">N70/$N$1*1000</f>
        <v>0.87974265204116087</v>
      </c>
      <c r="P70" s="192"/>
      <c r="Q70" s="189">
        <f>VLOOKUP(B70,'2024 by account '!$A$2:$M$102,5,0)/1000</f>
        <v>672.41183000000001</v>
      </c>
      <c r="R70" s="189">
        <f t="shared" ref="R70:R117" si="43">Q70/$R$2</f>
        <v>19.381995872318594</v>
      </c>
      <c r="S70" s="190">
        <f t="shared" ref="S70:S117" si="44">R70/$R$1*1000</f>
        <v>0.69115272518341808</v>
      </c>
      <c r="T70" s="192"/>
      <c r="U70" s="189">
        <f>VLOOKUP(B70,'2024 by account '!$A$2:$M$102,6,0)/1000</f>
        <v>1108.0939100000001</v>
      </c>
      <c r="V70" s="189">
        <f t="shared" ref="V70:V117" si="45">U70/$V$2</f>
        <v>31.786517978801221</v>
      </c>
      <c r="W70" s="190">
        <f t="shared" ref="W70:W117" si="46">V70/$V$1*1000</f>
        <v>0.77919591064375204</v>
      </c>
      <c r="X70" s="192"/>
      <c r="Y70" s="189">
        <f>VLOOKUP(B70,'2024 by account '!$A$2:$M$102,7,0)/1000</f>
        <v>790.01399000000004</v>
      </c>
      <c r="Z70" s="189">
        <f t="shared" ref="Z70:Z117" si="47">Y70/$Z$2</f>
        <v>22.528894649339691</v>
      </c>
      <c r="AA70" s="190">
        <f t="shared" ref="AA70:AA117" si="48">Z70/$Z$1*1000</f>
        <v>0.72730160928911702</v>
      </c>
      <c r="AB70" s="192"/>
      <c r="AC70" s="189">
        <f>VLOOKUP(B70,'2024 by account '!$A$2:$M$102,8,0)/1000</f>
        <v>914.78834999999981</v>
      </c>
      <c r="AD70" s="189">
        <f t="shared" ref="AD70:AD117" si="49">AC70/$AD$2</f>
        <v>25.62654880395776</v>
      </c>
      <c r="AE70" s="190">
        <f t="shared" ref="AE70:AE117" si="50">AD70/$AD$1*1000</f>
        <v>0.74329404542036026</v>
      </c>
      <c r="AF70" s="192"/>
      <c r="AG70" s="189">
        <f>VLOOKUP(B70,'2024 by account '!$A$2:$M$102,9,0)/1000</f>
        <v>81.863410000000002</v>
      </c>
      <c r="AH70" s="189">
        <f t="shared" ref="AH70:AH117" si="51">AG70/$AH$2</f>
        <v>2.2059782052180288</v>
      </c>
      <c r="AI70" s="190">
        <f t="shared" ref="AI70:AI117" si="52">AH70/$AH$1*1000</f>
        <v>8.6245140558997138E-2</v>
      </c>
      <c r="AJ70" s="192"/>
      <c r="AK70" s="189">
        <f>VLOOKUP(B70,'2024 by account '!$A$2:$M$102,10,0)/1000</f>
        <v>901.76545999999996</v>
      </c>
      <c r="AL70" s="189">
        <f t="shared" ref="AL70:AL117" si="53">AK70/$AL$2</f>
        <v>23.841202955607592</v>
      </c>
      <c r="AM70" s="190">
        <f t="shared" ref="AM70:AM117" si="54">AL70/$AL$1*1000</f>
        <v>0.59448441441271671</v>
      </c>
      <c r="AN70" s="192"/>
      <c r="AO70" s="189">
        <f>VLOOKUP(B70,'2024 by account '!$A$2:$M$102,11,0)/1000</f>
        <v>817.89824999999996</v>
      </c>
      <c r="AP70" s="189">
        <f t="shared" ref="AP70:AP117" si="55">AO70/$AP$2</f>
        <v>21.89979087021112</v>
      </c>
      <c r="AQ70" s="190">
        <f t="shared" ref="AQ70:AQ117" si="56">AP70/$AP$1*1000</f>
        <v>0.53171609658899954</v>
      </c>
      <c r="AR70" s="192"/>
      <c r="AS70" s="189">
        <f>VLOOKUP(B70,'2024 by account '!$A$2:$M$102,12,0)/1000</f>
        <v>1186.3316600000001</v>
      </c>
      <c r="AT70" s="189">
        <f t="shared" ref="AT70:AT117" si="57">AS70/$AT$2</f>
        <v>32.39245788929027</v>
      </c>
      <c r="AU70" s="190">
        <f t="shared" ref="AU70:AU117" si="58">AT70/$AT$1*1000</f>
        <v>0.75139081162816679</v>
      </c>
      <c r="AV70" s="192"/>
      <c r="AW70" s="191">
        <f>VLOOKUP(B70,'2024 by account '!$A$2:$M$102,13,0)/1000</f>
        <v>957.05057999999997</v>
      </c>
      <c r="AX70" s="189">
        <f t="shared" ref="AX70:AX117" si="59">AW70/$AX$2</f>
        <v>26.106952102139623</v>
      </c>
      <c r="AY70" s="190">
        <f t="shared" ref="AY70:AY117" si="60">AX70/$AX$1*1000</f>
        <v>0.9982392881176011</v>
      </c>
      <c r="AZ70" s="167"/>
      <c r="BA70" s="191">
        <f t="shared" si="35"/>
        <v>8637.8546600000009</v>
      </c>
      <c r="BB70" s="189">
        <f t="shared" si="36"/>
        <v>241.30504978506863</v>
      </c>
      <c r="BC70" s="190">
        <f t="shared" ref="BC70:BC116" si="61">BB70/$BB$1*1000</f>
        <v>0.65884258492712378</v>
      </c>
    </row>
    <row r="71" spans="1:55" outlineLevel="1">
      <c r="A71" s="188">
        <v>5102040000</v>
      </c>
      <c r="B71" s="188">
        <v>5102040000</v>
      </c>
      <c r="C71" s="188" t="s">
        <v>82</v>
      </c>
      <c r="D71" s="188" t="s">
        <v>84</v>
      </c>
      <c r="E71" s="189"/>
      <c r="F71" s="189">
        <f t="shared" si="37"/>
        <v>0</v>
      </c>
      <c r="G71" s="190">
        <f t="shared" si="38"/>
        <v>0</v>
      </c>
      <c r="H71" s="167"/>
      <c r="I71" s="191"/>
      <c r="J71" s="189"/>
      <c r="K71" s="190">
        <f t="shared" si="40"/>
        <v>0</v>
      </c>
      <c r="L71" s="192"/>
      <c r="M71" s="189"/>
      <c r="N71" s="189"/>
      <c r="O71" s="190">
        <f t="shared" si="42"/>
        <v>0</v>
      </c>
      <c r="P71" s="192"/>
      <c r="Q71" s="189"/>
      <c r="R71" s="189">
        <f t="shared" si="43"/>
        <v>0</v>
      </c>
      <c r="S71" s="190">
        <f t="shared" si="44"/>
        <v>0</v>
      </c>
      <c r="T71" s="192"/>
      <c r="U71" s="189"/>
      <c r="V71" s="189">
        <f t="shared" si="45"/>
        <v>0</v>
      </c>
      <c r="W71" s="190">
        <f t="shared" si="46"/>
        <v>0</v>
      </c>
      <c r="X71" s="192"/>
      <c r="Y71" s="189"/>
      <c r="Z71" s="189">
        <f t="shared" si="47"/>
        <v>0</v>
      </c>
      <c r="AA71" s="190">
        <f t="shared" si="48"/>
        <v>0</v>
      </c>
      <c r="AB71" s="192"/>
      <c r="AC71" s="189"/>
      <c r="AD71" s="189">
        <f t="shared" si="49"/>
        <v>0</v>
      </c>
      <c r="AE71" s="190">
        <f t="shared" si="50"/>
        <v>0</v>
      </c>
      <c r="AF71" s="192"/>
      <c r="AG71" s="189"/>
      <c r="AH71" s="189">
        <f t="shared" si="51"/>
        <v>0</v>
      </c>
      <c r="AI71" s="190">
        <f t="shared" si="52"/>
        <v>0</v>
      </c>
      <c r="AJ71" s="192"/>
      <c r="AK71" s="189"/>
      <c r="AL71" s="189">
        <f t="shared" si="53"/>
        <v>0</v>
      </c>
      <c r="AM71" s="190">
        <f t="shared" si="54"/>
        <v>0</v>
      </c>
      <c r="AN71" s="192"/>
      <c r="AO71" s="189"/>
      <c r="AP71" s="189">
        <f t="shared" si="55"/>
        <v>0</v>
      </c>
      <c r="AQ71" s="190">
        <f t="shared" si="56"/>
        <v>0</v>
      </c>
      <c r="AR71" s="192"/>
      <c r="AS71" s="189"/>
      <c r="AT71" s="189">
        <f t="shared" si="57"/>
        <v>0</v>
      </c>
      <c r="AU71" s="190">
        <f t="shared" si="58"/>
        <v>0</v>
      </c>
      <c r="AV71" s="192"/>
      <c r="AW71" s="191"/>
      <c r="AX71" s="189">
        <f t="shared" si="59"/>
        <v>0</v>
      </c>
      <c r="AY71" s="190">
        <f t="shared" si="60"/>
        <v>0</v>
      </c>
      <c r="AZ71" s="167"/>
      <c r="BA71" s="191">
        <f t="shared" si="35"/>
        <v>0</v>
      </c>
      <c r="BB71" s="189">
        <f t="shared" si="36"/>
        <v>0</v>
      </c>
      <c r="BC71" s="190">
        <f t="shared" si="61"/>
        <v>0</v>
      </c>
    </row>
    <row r="72" spans="1:55" outlineLevel="1">
      <c r="A72" s="188">
        <v>6666050307</v>
      </c>
      <c r="B72" s="188">
        <v>6666050307</v>
      </c>
      <c r="C72" s="188" t="s">
        <v>83</v>
      </c>
      <c r="D72" s="188" t="s">
        <v>84</v>
      </c>
      <c r="E72" s="189">
        <f>VLOOKUP(B72,'2024 by account '!$A$2:$M$102,2,0)/1000</f>
        <v>-37.14228</v>
      </c>
      <c r="F72" s="189">
        <f t="shared" si="37"/>
        <v>-1.1318172260905337</v>
      </c>
      <c r="G72" s="190">
        <f t="shared" si="38"/>
        <v>-7.054018236774906E-2</v>
      </c>
      <c r="H72" s="167"/>
      <c r="I72" s="191">
        <f>VLOOKUP(B72,'2024 by account '!$A$2:$M$102,3,0)/1000</f>
        <v>-499.23827000000006</v>
      </c>
      <c r="J72" s="189">
        <f t="shared" si="39"/>
        <v>-15.008185026635083</v>
      </c>
      <c r="K72" s="190">
        <f t="shared" si="40"/>
        <v>-0.75983115768707388</v>
      </c>
      <c r="L72" s="192"/>
      <c r="M72" s="189">
        <f>VLOOKUP(B72,'2024 by account '!$A$2:$M$102,4,0)/1000</f>
        <v>-237.62336999999997</v>
      </c>
      <c r="N72" s="189">
        <f t="shared" si="41"/>
        <v>-6.8237674059311537</v>
      </c>
      <c r="O72" s="190">
        <f t="shared" si="42"/>
        <v>-0.3405583373724187</v>
      </c>
      <c r="P72" s="192"/>
      <c r="Q72" s="189">
        <f>VLOOKUP(B72,'2024 by account '!$A$2:$M$102,5,0)/1000</f>
        <v>-190.12926999999999</v>
      </c>
      <c r="R72" s="189">
        <f t="shared" si="43"/>
        <v>-5.4803984134945205</v>
      </c>
      <c r="S72" s="190">
        <f t="shared" si="44"/>
        <v>-0.19542839259332168</v>
      </c>
      <c r="T72" s="192"/>
      <c r="U72" s="189">
        <f>VLOOKUP(B72,'2024 by account '!$A$2:$M$102,6,0)/1000</f>
        <v>-115.74113</v>
      </c>
      <c r="V72" s="189">
        <f t="shared" si="45"/>
        <v>-3.3201224882029803</v>
      </c>
      <c r="W72" s="190">
        <f t="shared" si="46"/>
        <v>-8.1387519934377123E-2</v>
      </c>
      <c r="X72" s="192"/>
      <c r="Y72" s="189">
        <f>VLOOKUP(B72,'2024 by account '!$A$2:$M$102,7,0)/1000</f>
        <v>-70.048119999999997</v>
      </c>
      <c r="Z72" s="189">
        <f t="shared" si="47"/>
        <v>-1.9975680631482291</v>
      </c>
      <c r="AA72" s="190">
        <f t="shared" si="48"/>
        <v>-6.4487605344403051E-2</v>
      </c>
      <c r="AB72" s="192"/>
      <c r="AC72" s="189">
        <f>VLOOKUP(B72,'2024 by account '!$A$2:$M$102,8,0)/1000</f>
        <v>-229.08596999999997</v>
      </c>
      <c r="AD72" s="189">
        <f t="shared" si="49"/>
        <v>-6.41753121419507</v>
      </c>
      <c r="AE72" s="190">
        <f t="shared" si="50"/>
        <v>-0.18613949050657164</v>
      </c>
      <c r="AF72" s="192"/>
      <c r="AG72" s="189">
        <f>VLOOKUP(B72,'2024 by account '!$A$2:$M$102,9,0)/1000</f>
        <v>-377.78989000000001</v>
      </c>
      <c r="AH72" s="189">
        <f t="shared" si="51"/>
        <v>-10.180326760047212</v>
      </c>
      <c r="AI72" s="190">
        <f t="shared" si="52"/>
        <v>-0.39801105481457549</v>
      </c>
      <c r="AJ72" s="192"/>
      <c r="AK72" s="189">
        <f>VLOOKUP(B72,'2024 by account '!$A$2:$M$102,10,0)/1000</f>
        <v>-2653.5579299999999</v>
      </c>
      <c r="AL72" s="189">
        <f t="shared" si="53"/>
        <v>-70.155728922675706</v>
      </c>
      <c r="AM72" s="190">
        <f t="shared" si="54"/>
        <v>-1.7493449262586203</v>
      </c>
      <c r="AN72" s="192"/>
      <c r="AO72" s="189">
        <f>VLOOKUP(B72,'2024 by account '!$A$2:$M$102,11,0)/1000</f>
        <v>633.98307999999997</v>
      </c>
      <c r="AP72" s="189">
        <f t="shared" si="55"/>
        <v>16.975335094863357</v>
      </c>
      <c r="AQ72" s="190">
        <f t="shared" si="56"/>
        <v>0.41215274467340079</v>
      </c>
      <c r="AR72" s="192"/>
      <c r="AS72" s="189">
        <f>VLOOKUP(B72,'2024 by account '!$A$2:$M$102,12,0)/1000</f>
        <v>52.761429999999997</v>
      </c>
      <c r="AT72" s="189">
        <f t="shared" si="57"/>
        <v>1.4406362546656946</v>
      </c>
      <c r="AU72" s="190">
        <f t="shared" si="58"/>
        <v>3.3417681620637775E-2</v>
      </c>
      <c r="AV72" s="192"/>
      <c r="AW72" s="191">
        <f>VLOOKUP(B72,'2024 by account '!$A$2:$M$102,13,0)/1000</f>
        <v>-9966.0198499999988</v>
      </c>
      <c r="AX72" s="189">
        <f t="shared" si="59"/>
        <v>-271.85857081129677</v>
      </c>
      <c r="AY72" s="190">
        <f t="shared" si="60"/>
        <v>-10.394928719890521</v>
      </c>
      <c r="AZ72" s="167"/>
      <c r="BA72" s="191">
        <f t="shared" si="35"/>
        <v>-13689.631569999998</v>
      </c>
      <c r="BB72" s="189">
        <f t="shared" si="36"/>
        <v>-373.9580449821882</v>
      </c>
      <c r="BC72" s="190">
        <f t="shared" si="61"/>
        <v>-1.0210291298495811</v>
      </c>
    </row>
    <row r="73" spans="1:55" outlineLevel="2">
      <c r="A73" s="188">
        <v>6666050312</v>
      </c>
      <c r="B73" s="188">
        <v>6666050312</v>
      </c>
      <c r="C73" s="188" t="s">
        <v>76</v>
      </c>
      <c r="D73" s="188" t="s">
        <v>80</v>
      </c>
      <c r="E73" s="189">
        <f>VLOOKUP(B73,'2024 by account '!$A$2:$M$102,2,0)/1000</f>
        <v>-1.179</v>
      </c>
      <c r="F73" s="189">
        <f t="shared" si="37"/>
        <v>-3.5927048893087322E-2</v>
      </c>
      <c r="G73" s="190">
        <f t="shared" si="38"/>
        <v>-2.2391429662254486E-3</v>
      </c>
      <c r="H73" s="167"/>
      <c r="I73" s="191">
        <f>VLOOKUP(B73,'2024 by account '!$A$2:$M$102,3,0)/1000</f>
        <v>42.258399999999995</v>
      </c>
      <c r="J73" s="189">
        <f t="shared" si="39"/>
        <v>1.2703791440699364</v>
      </c>
      <c r="K73" s="190">
        <f t="shared" si="40"/>
        <v>6.431648157502716E-2</v>
      </c>
      <c r="L73" s="192"/>
      <c r="M73" s="189">
        <f>VLOOKUP(B73,'2024 by account '!$A$2:$M$102,4,0)/1000</f>
        <v>30.048089999999995</v>
      </c>
      <c r="N73" s="189">
        <f t="shared" si="41"/>
        <v>0.86288304535233995</v>
      </c>
      <c r="O73" s="190">
        <f t="shared" si="42"/>
        <v>4.3064482974114887E-2</v>
      </c>
      <c r="P73" s="192"/>
      <c r="Q73" s="189">
        <f>VLOOKUP(B73,'2024 by account '!$A$2:$M$102,5,0)/1000</f>
        <v>0</v>
      </c>
      <c r="R73" s="189">
        <f t="shared" si="43"/>
        <v>0</v>
      </c>
      <c r="S73" s="190">
        <f t="shared" si="44"/>
        <v>0</v>
      </c>
      <c r="T73" s="192"/>
      <c r="U73" s="189">
        <f>VLOOKUP(B73,'2024 by account '!$A$2:$M$102,6,0)/1000</f>
        <v>-21.006820000000001</v>
      </c>
      <c r="V73" s="189">
        <f t="shared" si="45"/>
        <v>-0.60259663516013828</v>
      </c>
      <c r="W73" s="190">
        <f t="shared" si="46"/>
        <v>-1.4771697680054378E-2</v>
      </c>
      <c r="X73" s="192"/>
      <c r="Y73" s="189">
        <f>VLOOKUP(B73,'2024 by account '!$A$2:$M$102,7,0)/1000</f>
        <v>-12.67618</v>
      </c>
      <c r="Z73" s="189">
        <f t="shared" si="47"/>
        <v>-0.36148767919422131</v>
      </c>
      <c r="AA73" s="190">
        <f t="shared" si="48"/>
        <v>-1.1669927659937414E-2</v>
      </c>
      <c r="AB73" s="192"/>
      <c r="AC73" s="189">
        <f>VLOOKUP(B73,'2024 by account '!$A$2:$M$102,8,0)/1000</f>
        <v>7.1416499999999976</v>
      </c>
      <c r="AD73" s="189">
        <f t="shared" si="49"/>
        <v>0.20006359095607734</v>
      </c>
      <c r="AE73" s="190">
        <f t="shared" si="50"/>
        <v>5.8028132075319009E-3</v>
      </c>
      <c r="AF73" s="192"/>
      <c r="AG73" s="189">
        <f>VLOOKUP(B73,'2024 by account '!$A$2:$M$102,9,0)/1000</f>
        <v>-1312.5388499999999</v>
      </c>
      <c r="AH73" s="189">
        <f t="shared" si="51"/>
        <v>-35.369062889048173</v>
      </c>
      <c r="AI73" s="190">
        <f t="shared" si="52"/>
        <v>-1.3827923562846265</v>
      </c>
      <c r="AJ73" s="192"/>
      <c r="AK73" s="189">
        <f>VLOOKUP(B73,'2024 by account '!$A$2:$M$102,10,0)/1000</f>
        <v>101.20796</v>
      </c>
      <c r="AL73" s="189">
        <f t="shared" si="53"/>
        <v>2.6757728279845794</v>
      </c>
      <c r="AM73" s="190">
        <f t="shared" si="54"/>
        <v>6.6720846498717817E-2</v>
      </c>
      <c r="AN73" s="192"/>
      <c r="AO73" s="189">
        <f>VLOOKUP(B73,'2024 by account '!$A$2:$M$102,11,0)/1000</f>
        <v>-61.904229999999998</v>
      </c>
      <c r="AP73" s="189">
        <f t="shared" si="55"/>
        <v>-1.6575285385210805</v>
      </c>
      <c r="AQ73" s="190">
        <f t="shared" si="56"/>
        <v>-4.0243973547990398E-2</v>
      </c>
      <c r="AR73" s="192"/>
      <c r="AS73" s="189">
        <f>VLOOKUP(B73,'2024 by account '!$A$2:$M$102,12,0)/1000</f>
        <v>-8.5884499999999999</v>
      </c>
      <c r="AT73" s="189">
        <f t="shared" si="57"/>
        <v>-0.23450525206355446</v>
      </c>
      <c r="AU73" s="190">
        <f t="shared" si="58"/>
        <v>-5.4396950142322998E-3</v>
      </c>
      <c r="AV73" s="192"/>
      <c r="AW73" s="191">
        <f>VLOOKUP(B73,'2024 by account '!$A$2:$M$102,13,0)/1000</f>
        <v>9518.3814999999977</v>
      </c>
      <c r="AX73" s="189">
        <f t="shared" si="59"/>
        <v>259.64764569746336</v>
      </c>
      <c r="AY73" s="190">
        <f t="shared" si="60"/>
        <v>9.9280253010156922</v>
      </c>
      <c r="AZ73" s="167"/>
      <c r="BA73" s="191">
        <f t="shared" si="35"/>
        <v>8281.1440699999985</v>
      </c>
      <c r="BB73" s="189">
        <f t="shared" si="36"/>
        <v>226.39563626294606</v>
      </c>
      <c r="BC73" s="190">
        <f t="shared" si="61"/>
        <v>0.61813495550365327</v>
      </c>
    </row>
    <row r="74" spans="1:55" s="24" customFormat="1">
      <c r="B74" s="37" t="s">
        <v>1</v>
      </c>
      <c r="C74" s="36" t="s">
        <v>84</v>
      </c>
      <c r="D74" s="38"/>
      <c r="E74" s="97">
        <f>SUM(E70:E73)</f>
        <v>99.121970000000005</v>
      </c>
      <c r="F74" s="97">
        <f t="shared" si="37"/>
        <v>3.0204918257583842</v>
      </c>
      <c r="G74" s="171">
        <f t="shared" si="38"/>
        <v>0.18825128237821029</v>
      </c>
      <c r="H74" s="167"/>
      <c r="I74" s="97">
        <f>SUM(I70:I73)</f>
        <v>-0.62321000000008553</v>
      </c>
      <c r="J74" s="97">
        <f>SUM(J70:J73)</f>
        <v>-1.8735044071142903E-2</v>
      </c>
      <c r="K74" s="171">
        <f t="shared" si="40"/>
        <v>-9.4851377435919927E-4</v>
      </c>
      <c r="L74" s="172"/>
      <c r="M74" s="173">
        <f>SUM(M70:M73)</f>
        <v>406.26203000000004</v>
      </c>
      <c r="N74" s="97">
        <f>SUM(N70:N73)</f>
        <v>11.666519158369926</v>
      </c>
      <c r="O74" s="171">
        <f t="shared" si="42"/>
        <v>0.58224879764285697</v>
      </c>
      <c r="P74" s="172"/>
      <c r="Q74" s="97">
        <f>SUM(Q70:Q73)</f>
        <v>482.28255999999999</v>
      </c>
      <c r="R74" s="97">
        <f t="shared" si="43"/>
        <v>13.901597458824073</v>
      </c>
      <c r="S74" s="171">
        <f t="shared" si="44"/>
        <v>0.49572433259009641</v>
      </c>
      <c r="T74" s="172"/>
      <c r="U74" s="97">
        <f>SUM(U70:U73)</f>
        <v>971.3459600000001</v>
      </c>
      <c r="V74" s="97">
        <f t="shared" si="45"/>
        <v>27.863798855438105</v>
      </c>
      <c r="W74" s="171">
        <f t="shared" si="46"/>
        <v>0.68303669302932057</v>
      </c>
      <c r="X74" s="172"/>
      <c r="Y74" s="97">
        <f>SUM(Y70:Y73)</f>
        <v>707.28968999999995</v>
      </c>
      <c r="Z74" s="97">
        <f t="shared" si="47"/>
        <v>20.169838906997239</v>
      </c>
      <c r="AA74" s="171">
        <f t="shared" si="48"/>
        <v>0.65114407628477655</v>
      </c>
      <c r="AB74" s="172"/>
      <c r="AC74" s="97">
        <f>SUM(AC70:AC73)</f>
        <v>692.84402999999986</v>
      </c>
      <c r="AD74" s="97">
        <f t="shared" si="49"/>
        <v>19.409081180718772</v>
      </c>
      <c r="AE74" s="171">
        <f t="shared" si="50"/>
        <v>0.56295736812132069</v>
      </c>
      <c r="AF74" s="172"/>
      <c r="AG74" s="97">
        <f>SUM(AG70:AG73)</f>
        <v>-1608.46533</v>
      </c>
      <c r="AH74" s="97">
        <f t="shared" si="51"/>
        <v>-43.343411443877358</v>
      </c>
      <c r="AI74" s="171">
        <f t="shared" si="52"/>
        <v>-1.6945582705402047</v>
      </c>
      <c r="AJ74" s="172"/>
      <c r="AK74" s="97">
        <f>SUM(AK70:AK73)</f>
        <v>-1650.5845099999999</v>
      </c>
      <c r="AL74" s="97">
        <f t="shared" si="53"/>
        <v>-43.638753139083533</v>
      </c>
      <c r="AM74" s="171">
        <f t="shared" si="54"/>
        <v>-1.0881396653471858</v>
      </c>
      <c r="AN74" s="172"/>
      <c r="AO74" s="97">
        <f>SUM(AO70:AO73)</f>
        <v>1389.9770999999998</v>
      </c>
      <c r="AP74" s="97">
        <f t="shared" si="55"/>
        <v>37.217597426553397</v>
      </c>
      <c r="AQ74" s="171">
        <f t="shared" si="56"/>
        <v>0.90362486771440975</v>
      </c>
      <c r="AR74" s="172"/>
      <c r="AS74" s="97">
        <f>SUM(AS70:AS73)</f>
        <v>1230.5046400000001</v>
      </c>
      <c r="AT74" s="97">
        <f t="shared" si="57"/>
        <v>33.598588891892412</v>
      </c>
      <c r="AU74" s="171">
        <f t="shared" si="58"/>
        <v>0.77936879823457228</v>
      </c>
      <c r="AV74" s="172"/>
      <c r="AW74" s="97">
        <f>SUM(AW70:AW73)</f>
        <v>509.41222999999809</v>
      </c>
      <c r="AX74" s="97">
        <f t="shared" si="59"/>
        <v>13.896026988306179</v>
      </c>
      <c r="AY74" s="171">
        <f t="shared" si="60"/>
        <v>0.53133586924277065</v>
      </c>
      <c r="AZ74" s="45"/>
      <c r="BA74" s="97">
        <f t="shared" si="35"/>
        <v>3229.367159999998</v>
      </c>
      <c r="BB74" s="97">
        <f t="shared" si="36"/>
        <v>93.742641065826447</v>
      </c>
      <c r="BC74" s="171">
        <f t="shared" si="61"/>
        <v>0.25594841058119583</v>
      </c>
    </row>
    <row r="75" spans="1:55" ht="22.95" customHeight="1" outlineLevel="1">
      <c r="A75" s="188">
        <v>6666100203</v>
      </c>
      <c r="B75" s="188">
        <v>6666100203</v>
      </c>
      <c r="C75" s="188" t="s">
        <v>85</v>
      </c>
      <c r="D75" s="188" t="s">
        <v>86</v>
      </c>
      <c r="E75" s="189">
        <f>VLOOKUP(B75,'2024 by account '!$A$2:$M$102,2,0)/1000</f>
        <v>79.166669999999996</v>
      </c>
      <c r="F75" s="189">
        <f t="shared" si="37"/>
        <v>2.4124044306979719</v>
      </c>
      <c r="G75" s="190">
        <f t="shared" si="38"/>
        <v>0.15035241076335132</v>
      </c>
      <c r="H75" s="167"/>
      <c r="I75" s="191">
        <f>VLOOKUP(B75,'2024 by account '!$A$2:$M$102,3,0)/1000</f>
        <v>79.166669999999996</v>
      </c>
      <c r="J75" s="189">
        <f>I75/$J$2</f>
        <v>2.3799217782373945</v>
      </c>
      <c r="K75" s="190">
        <f t="shared" si="40"/>
        <v>0.12049016698245214</v>
      </c>
      <c r="L75" s="192"/>
      <c r="M75" s="189">
        <f>VLOOKUP(B75,'2024 by account '!$A$2:$M$102,4,0)/1000</f>
        <v>79.166669999999996</v>
      </c>
      <c r="N75" s="189">
        <f>M75/$N$2</f>
        <v>2.2734083031568306</v>
      </c>
      <c r="O75" s="190">
        <f t="shared" si="42"/>
        <v>0.11346051320840597</v>
      </c>
      <c r="P75" s="192"/>
      <c r="Q75" s="189">
        <f>VLOOKUP(B75,'2024 by account '!$A$2:$M$102,5,0)/1000</f>
        <v>79.166669999999996</v>
      </c>
      <c r="R75" s="189">
        <f t="shared" si="43"/>
        <v>2.2819468705141732</v>
      </c>
      <c r="S75" s="190">
        <f t="shared" si="44"/>
        <v>8.1373136629967299E-2</v>
      </c>
      <c r="T75" s="192"/>
      <c r="U75" s="189">
        <f>VLOOKUP(B75,'2024 by account '!$A$2:$M$102,6,0)/1000</f>
        <v>79.166669999999996</v>
      </c>
      <c r="V75" s="189">
        <f t="shared" si="45"/>
        <v>2.27095623987034</v>
      </c>
      <c r="W75" s="190">
        <f t="shared" si="46"/>
        <v>5.5668878753501495E-2</v>
      </c>
      <c r="X75" s="192"/>
      <c r="Y75" s="189">
        <f>VLOOKUP(B75,'2024 by account '!$A$2:$M$102,7,0)/1000</f>
        <v>79.166669999999996</v>
      </c>
      <c r="Z75" s="189">
        <f t="shared" si="47"/>
        <v>2.2576025117846847</v>
      </c>
      <c r="AA75" s="190">
        <f t="shared" si="48"/>
        <v>7.2882312493048954E-2</v>
      </c>
      <c r="AB75" s="192"/>
      <c r="AC75" s="189">
        <f>VLOOKUP(B75,'2024 by account '!$A$2:$M$102,8,0)/1000</f>
        <v>870.83267000000001</v>
      </c>
      <c r="AD75" s="189">
        <f t="shared" si="49"/>
        <v>24.39519033865686</v>
      </c>
      <c r="AE75" s="190">
        <f t="shared" si="50"/>
        <v>0.70757868546152103</v>
      </c>
      <c r="AF75" s="192"/>
      <c r="AG75" s="189">
        <f>VLOOKUP(B75,'2024 by account '!$A$2:$M$102,9,0)/1000</f>
        <v>870.83267000000001</v>
      </c>
      <c r="AH75" s="189">
        <f t="shared" si="51"/>
        <v>23.46638003977386</v>
      </c>
      <c r="AI75" s="190">
        <f t="shared" si="52"/>
        <v>0.91744389865407228</v>
      </c>
      <c r="AJ75" s="192"/>
      <c r="AK75" s="189">
        <f>VLOOKUP(B75,'2024 by account '!$A$2:$M$102,10,0)/1000</f>
        <v>1303.38446</v>
      </c>
      <c r="AL75" s="189">
        <f t="shared" si="53"/>
        <v>34.45935203599948</v>
      </c>
      <c r="AM75" s="190">
        <f t="shared" si="54"/>
        <v>0.8592497515459675</v>
      </c>
      <c r="AN75" s="192"/>
      <c r="AO75" s="189">
        <f>VLOOKUP(B75,'2024 by account '!$A$2:$M$102,11,0)/1000</f>
        <v>-112.21428999999999</v>
      </c>
      <c r="AP75" s="189">
        <f t="shared" si="55"/>
        <v>-3.0046151628875877</v>
      </c>
      <c r="AQ75" s="190">
        <f t="shared" si="56"/>
        <v>-7.295057088128748E-2</v>
      </c>
      <c r="AR75" s="192"/>
      <c r="AS75" s="189">
        <f>VLOOKUP(B75,'2024 by account '!$A$2:$M$102,12,0)/1000</f>
        <v>115.78571000000001</v>
      </c>
      <c r="AT75" s="189">
        <f t="shared" si="57"/>
        <v>3.1614967903297595</v>
      </c>
      <c r="AU75" s="190">
        <f t="shared" si="58"/>
        <v>7.3335578527714204E-2</v>
      </c>
      <c r="AV75" s="192"/>
      <c r="AW75" s="191">
        <f>VLOOKUP(B75,'2024 by account '!$A$2:$M$102,13,0)/1000</f>
        <v>-2582.8365699999999</v>
      </c>
      <c r="AX75" s="189">
        <f t="shared" si="59"/>
        <v>-70.45603652488731</v>
      </c>
      <c r="AY75" s="190">
        <f t="shared" si="60"/>
        <v>-2.6939944375363174</v>
      </c>
      <c r="AZ75" s="167"/>
      <c r="BA75" s="191">
        <f t="shared" si="35"/>
        <v>940.78467000000001</v>
      </c>
      <c r="BB75" s="189">
        <f t="shared" si="36"/>
        <v>25.898007651246459</v>
      </c>
      <c r="BC75" s="190">
        <f t="shared" si="61"/>
        <v>7.0710125298278956E-2</v>
      </c>
    </row>
    <row r="76" spans="1:55" s="24" customFormat="1">
      <c r="B76" s="37" t="s">
        <v>4</v>
      </c>
      <c r="C76" s="36" t="s">
        <v>86</v>
      </c>
      <c r="D76" s="38"/>
      <c r="E76" s="97">
        <f>E75</f>
        <v>79.166669999999996</v>
      </c>
      <c r="F76" s="97">
        <f t="shared" si="37"/>
        <v>2.4124044306979719</v>
      </c>
      <c r="G76" s="171">
        <f t="shared" si="38"/>
        <v>0.15035241076335132</v>
      </c>
      <c r="H76" s="167"/>
      <c r="I76" s="97">
        <f>I75</f>
        <v>79.166669999999996</v>
      </c>
      <c r="J76" s="97">
        <f>J75</f>
        <v>2.3799217782373945</v>
      </c>
      <c r="K76" s="171">
        <f t="shared" si="40"/>
        <v>0.12049016698245214</v>
      </c>
      <c r="L76" s="172"/>
      <c r="M76" s="173">
        <f>M75</f>
        <v>79.166669999999996</v>
      </c>
      <c r="N76" s="97">
        <f>N75</f>
        <v>2.2734083031568306</v>
      </c>
      <c r="O76" s="171">
        <f t="shared" si="42"/>
        <v>0.11346051320840597</v>
      </c>
      <c r="P76" s="172"/>
      <c r="Q76" s="97">
        <f>Q75</f>
        <v>79.166669999999996</v>
      </c>
      <c r="R76" s="97">
        <f t="shared" si="43"/>
        <v>2.2819468705141732</v>
      </c>
      <c r="S76" s="171">
        <f t="shared" si="44"/>
        <v>8.1373136629967299E-2</v>
      </c>
      <c r="T76" s="172"/>
      <c r="U76" s="97">
        <f>U75</f>
        <v>79.166669999999996</v>
      </c>
      <c r="V76" s="97">
        <f t="shared" si="45"/>
        <v>2.27095623987034</v>
      </c>
      <c r="W76" s="171">
        <f t="shared" si="46"/>
        <v>5.5668878753501495E-2</v>
      </c>
      <c r="X76" s="172"/>
      <c r="Y76" s="97">
        <f>Y75</f>
        <v>79.166669999999996</v>
      </c>
      <c r="Z76" s="97">
        <f t="shared" si="47"/>
        <v>2.2576025117846847</v>
      </c>
      <c r="AA76" s="171">
        <f t="shared" si="48"/>
        <v>7.2882312493048954E-2</v>
      </c>
      <c r="AB76" s="172"/>
      <c r="AC76" s="97">
        <f>AC75</f>
        <v>870.83267000000001</v>
      </c>
      <c r="AD76" s="97">
        <f t="shared" si="49"/>
        <v>24.39519033865686</v>
      </c>
      <c r="AE76" s="171">
        <f t="shared" si="50"/>
        <v>0.70757868546152103</v>
      </c>
      <c r="AF76" s="172"/>
      <c r="AG76" s="97">
        <f>AG75</f>
        <v>870.83267000000001</v>
      </c>
      <c r="AH76" s="97">
        <f t="shared" si="51"/>
        <v>23.46638003977386</v>
      </c>
      <c r="AI76" s="171">
        <f t="shared" si="52"/>
        <v>0.91744389865407228</v>
      </c>
      <c r="AJ76" s="172"/>
      <c r="AK76" s="97">
        <f>AK75</f>
        <v>1303.38446</v>
      </c>
      <c r="AL76" s="97">
        <f t="shared" si="53"/>
        <v>34.45935203599948</v>
      </c>
      <c r="AM76" s="171">
        <f t="shared" si="54"/>
        <v>0.8592497515459675</v>
      </c>
      <c r="AN76" s="172"/>
      <c r="AO76" s="97">
        <f>AO75</f>
        <v>-112.21428999999999</v>
      </c>
      <c r="AP76" s="97">
        <f t="shared" si="55"/>
        <v>-3.0046151628875877</v>
      </c>
      <c r="AQ76" s="171">
        <f t="shared" si="56"/>
        <v>-7.295057088128748E-2</v>
      </c>
      <c r="AR76" s="172"/>
      <c r="AS76" s="97">
        <f>AS75</f>
        <v>115.78571000000001</v>
      </c>
      <c r="AT76" s="97">
        <f t="shared" si="57"/>
        <v>3.1614967903297595</v>
      </c>
      <c r="AU76" s="171">
        <f t="shared" si="58"/>
        <v>7.3335578527714204E-2</v>
      </c>
      <c r="AV76" s="172"/>
      <c r="AW76" s="97">
        <f>AW75</f>
        <v>-2582.8365699999999</v>
      </c>
      <c r="AX76" s="97">
        <f t="shared" si="59"/>
        <v>-70.45603652488731</v>
      </c>
      <c r="AY76" s="171">
        <f t="shared" si="60"/>
        <v>-2.6939944375363174</v>
      </c>
      <c r="AZ76" s="45"/>
      <c r="BA76" s="97">
        <f t="shared" si="35"/>
        <v>940.78467000000001</v>
      </c>
      <c r="BB76" s="97">
        <f t="shared" si="36"/>
        <v>25.898007651246459</v>
      </c>
      <c r="BC76" s="171">
        <f t="shared" si="61"/>
        <v>7.0710125298278956E-2</v>
      </c>
    </row>
    <row r="77" spans="1:55" outlineLevel="2">
      <c r="A77" s="188">
        <v>5301070000</v>
      </c>
      <c r="B77" s="188">
        <v>5301070000</v>
      </c>
      <c r="C77" s="188" t="s">
        <v>87</v>
      </c>
      <c r="D77" s="188" t="s">
        <v>88</v>
      </c>
      <c r="E77" s="189">
        <f>VLOOKUP(B77,'2024 by account '!$A$2:$M$102,2,0)/1000</f>
        <v>-468.76299999999998</v>
      </c>
      <c r="F77" s="189">
        <f t="shared" si="37"/>
        <v>-14.28436914357107</v>
      </c>
      <c r="G77" s="190">
        <f t="shared" si="38"/>
        <v>-0.89026918937806598</v>
      </c>
      <c r="H77" s="167"/>
      <c r="I77" s="191">
        <f>VLOOKUP(B77,'2024 by account '!$A$2:$M$102,3,0)/1000</f>
        <v>-852.57399999999996</v>
      </c>
      <c r="J77" s="189">
        <f>I77/$J$2</f>
        <v>-25.630223301788096</v>
      </c>
      <c r="K77" s="190">
        <f t="shared" si="40"/>
        <v>-1.2976014227312724</v>
      </c>
      <c r="L77" s="192"/>
      <c r="M77" s="189">
        <f>VLOOKUP(B77,'2024 by account '!$A$2:$M$102,4,0)/1000</f>
        <v>-1120.183</v>
      </c>
      <c r="N77" s="189">
        <f>M77/$N$2</f>
        <v>-32.167998644570098</v>
      </c>
      <c r="O77" s="190">
        <f t="shared" si="42"/>
        <v>-1.6054298869376702</v>
      </c>
      <c r="P77" s="192"/>
      <c r="Q77" s="189">
        <f>VLOOKUP(B77,'2024 by account '!$A$2:$M$102,5,0)/1000</f>
        <v>-1217.154</v>
      </c>
      <c r="R77" s="189">
        <f t="shared" si="43"/>
        <v>-35.083966033102165</v>
      </c>
      <c r="S77" s="190">
        <f t="shared" si="44"/>
        <v>-1.2510774893236161</v>
      </c>
      <c r="T77" s="192"/>
      <c r="U77" s="189">
        <f>VLOOKUP(B77,'2024 by account '!$A$2:$M$102,6,0)/1000</f>
        <v>-1656.7159999999999</v>
      </c>
      <c r="V77" s="189">
        <f t="shared" si="45"/>
        <v>-47.524160582894673</v>
      </c>
      <c r="W77" s="190">
        <f t="shared" si="46"/>
        <v>-1.164979177891226</v>
      </c>
      <c r="X77" s="192"/>
      <c r="Y77" s="189">
        <f>VLOOKUP(B77,'2024 by account '!$A$2:$M$102,7,0)/1000</f>
        <v>-1315.703</v>
      </c>
      <c r="Z77" s="189">
        <f t="shared" si="47"/>
        <v>-37.520011863106596</v>
      </c>
      <c r="AA77" s="190">
        <f t="shared" si="48"/>
        <v>-1.2112607135558688</v>
      </c>
      <c r="AB77" s="192"/>
      <c r="AC77" s="189">
        <f>VLOOKUP(B77,'2024 by account '!$A$2:$M$102,8,0)/1000</f>
        <v>-1589.931</v>
      </c>
      <c r="AD77" s="189">
        <f t="shared" si="49"/>
        <v>-44.539749950275798</v>
      </c>
      <c r="AE77" s="190">
        <f t="shared" si="50"/>
        <v>-1.2918684905959277</v>
      </c>
      <c r="AF77" s="192"/>
      <c r="AG77" s="189">
        <f>VLOOKUP(B77,'2024 by account '!$A$2:$M$102,9,0)/1000</f>
        <v>-1132.4870000000001</v>
      </c>
      <c r="AH77" s="189">
        <f t="shared" si="51"/>
        <v>-30.517194918862405</v>
      </c>
      <c r="AI77" s="190">
        <f t="shared" si="52"/>
        <v>-1.1931032496232075</v>
      </c>
      <c r="AJ77" s="192"/>
      <c r="AK77" s="189">
        <f>VLOOKUP(B77,'2024 by account '!$A$2:$M$102,10,0)/1000</f>
        <v>-1980.895</v>
      </c>
      <c r="AL77" s="189">
        <f t="shared" si="53"/>
        <v>-52.371621916798965</v>
      </c>
      <c r="AM77" s="190">
        <f t="shared" si="54"/>
        <v>-1.3058952203470717</v>
      </c>
      <c r="AN77" s="192"/>
      <c r="AO77" s="189">
        <f>VLOOKUP(B77,'2024 by account '!$A$2:$M$102,11,0)/1000</f>
        <v>-2082.7339999999999</v>
      </c>
      <c r="AP77" s="189">
        <f t="shared" si="55"/>
        <v>-55.766642168849593</v>
      </c>
      <c r="AQ77" s="190">
        <f t="shared" si="56"/>
        <v>-1.3539865046944324</v>
      </c>
      <c r="AR77" s="192"/>
      <c r="AS77" s="189">
        <f>VLOOKUP(B77,'2024 by account '!$A$2:$M$102,12,0)/1000</f>
        <v>-1724.25449</v>
      </c>
      <c r="AT77" s="189">
        <f t="shared" si="57"/>
        <v>-47.080291996712511</v>
      </c>
      <c r="AU77" s="190">
        <f t="shared" si="58"/>
        <v>-1.0920967756138369</v>
      </c>
      <c r="AV77" s="192"/>
      <c r="AW77" s="191">
        <f>VLOOKUP(B77,'2024 by account '!$A$2:$M$102,13,0)/1000</f>
        <v>-1278.9469999999999</v>
      </c>
      <c r="AX77" s="189">
        <f t="shared" si="59"/>
        <v>-34.887819690966765</v>
      </c>
      <c r="AY77" s="190">
        <f t="shared" si="60"/>
        <v>-1.3339892054818476</v>
      </c>
      <c r="AZ77" s="167"/>
      <c r="BA77" s="191">
        <f t="shared" si="35"/>
        <v>-16420.341490000003</v>
      </c>
      <c r="BB77" s="189">
        <f t="shared" si="36"/>
        <v>-457.3740502114988</v>
      </c>
      <c r="BC77" s="190">
        <f t="shared" si="61"/>
        <v>-1.2487824096028428</v>
      </c>
    </row>
    <row r="78" spans="1:55" s="24" customFormat="1">
      <c r="B78" s="37" t="s">
        <v>1</v>
      </c>
      <c r="C78" s="36" t="s">
        <v>88</v>
      </c>
      <c r="D78" s="38"/>
      <c r="E78" s="97">
        <f>E77</f>
        <v>-468.76299999999998</v>
      </c>
      <c r="F78" s="97">
        <f t="shared" si="37"/>
        <v>-14.28436914357107</v>
      </c>
      <c r="G78" s="97">
        <f t="shared" si="38"/>
        <v>-0.89026918937806598</v>
      </c>
      <c r="H78" s="167"/>
      <c r="I78" s="97">
        <f>I77</f>
        <v>-852.57399999999996</v>
      </c>
      <c r="J78" s="97">
        <f>J77</f>
        <v>-25.630223301788096</v>
      </c>
      <c r="K78" s="97">
        <f t="shared" si="40"/>
        <v>-1.2976014227312724</v>
      </c>
      <c r="L78" s="172"/>
      <c r="M78" s="173">
        <f>M77</f>
        <v>-1120.183</v>
      </c>
      <c r="N78" s="97">
        <f>N77</f>
        <v>-32.167998644570098</v>
      </c>
      <c r="O78" s="97">
        <f t="shared" si="42"/>
        <v>-1.6054298869376702</v>
      </c>
      <c r="P78" s="172"/>
      <c r="Q78" s="97">
        <f>Q77</f>
        <v>-1217.154</v>
      </c>
      <c r="R78" s="97">
        <f t="shared" si="43"/>
        <v>-35.083966033102165</v>
      </c>
      <c r="S78" s="97">
        <f t="shared" si="44"/>
        <v>-1.2510774893236161</v>
      </c>
      <c r="T78" s="172"/>
      <c r="U78" s="97">
        <f>U77</f>
        <v>-1656.7159999999999</v>
      </c>
      <c r="V78" s="97">
        <f t="shared" si="45"/>
        <v>-47.524160582894673</v>
      </c>
      <c r="W78" s="97">
        <f t="shared" si="46"/>
        <v>-1.164979177891226</v>
      </c>
      <c r="X78" s="172"/>
      <c r="Y78" s="97">
        <f>Y77</f>
        <v>-1315.703</v>
      </c>
      <c r="Z78" s="97">
        <f t="shared" si="47"/>
        <v>-37.520011863106596</v>
      </c>
      <c r="AA78" s="97">
        <f t="shared" si="48"/>
        <v>-1.2112607135558688</v>
      </c>
      <c r="AB78" s="172"/>
      <c r="AC78" s="97">
        <f>AC77</f>
        <v>-1589.931</v>
      </c>
      <c r="AD78" s="97">
        <f t="shared" si="49"/>
        <v>-44.539749950275798</v>
      </c>
      <c r="AE78" s="97">
        <f t="shared" si="50"/>
        <v>-1.2918684905959277</v>
      </c>
      <c r="AF78" s="172"/>
      <c r="AG78" s="97">
        <f>AG77</f>
        <v>-1132.4870000000001</v>
      </c>
      <c r="AH78" s="97">
        <f t="shared" si="51"/>
        <v>-30.517194918862405</v>
      </c>
      <c r="AI78" s="97">
        <f t="shared" si="52"/>
        <v>-1.1931032496232075</v>
      </c>
      <c r="AJ78" s="172"/>
      <c r="AK78" s="97">
        <f>AK77</f>
        <v>-1980.895</v>
      </c>
      <c r="AL78" s="97">
        <f t="shared" si="53"/>
        <v>-52.371621916798965</v>
      </c>
      <c r="AM78" s="97">
        <f t="shared" si="54"/>
        <v>-1.3058952203470717</v>
      </c>
      <c r="AN78" s="172"/>
      <c r="AO78" s="97">
        <f>AO77</f>
        <v>-2082.7339999999999</v>
      </c>
      <c r="AP78" s="97">
        <f t="shared" si="55"/>
        <v>-55.766642168849593</v>
      </c>
      <c r="AQ78" s="97">
        <f t="shared" si="56"/>
        <v>-1.3539865046944324</v>
      </c>
      <c r="AR78" s="172"/>
      <c r="AS78" s="97">
        <f>AS77</f>
        <v>-1724.25449</v>
      </c>
      <c r="AT78" s="97">
        <f t="shared" si="57"/>
        <v>-47.080291996712511</v>
      </c>
      <c r="AU78" s="97">
        <f t="shared" si="58"/>
        <v>-1.0920967756138369</v>
      </c>
      <c r="AV78" s="172"/>
      <c r="AW78" s="97">
        <f>AW77</f>
        <v>-1278.9469999999999</v>
      </c>
      <c r="AX78" s="97">
        <f t="shared" si="59"/>
        <v>-34.887819690966765</v>
      </c>
      <c r="AY78" s="97">
        <f t="shared" si="60"/>
        <v>-1.3339892054818476</v>
      </c>
      <c r="AZ78" s="45"/>
      <c r="BA78" s="97">
        <f t="shared" si="35"/>
        <v>-16420.341490000003</v>
      </c>
      <c r="BB78" s="97">
        <f t="shared" si="36"/>
        <v>-457.3740502114988</v>
      </c>
      <c r="BC78" s="97">
        <f t="shared" si="61"/>
        <v>-1.2487824096028428</v>
      </c>
    </row>
    <row r="79" spans="1:55" outlineLevel="1">
      <c r="A79" s="188">
        <v>6666021602</v>
      </c>
      <c r="B79" s="188">
        <v>6666021602</v>
      </c>
      <c r="C79" s="188" t="s">
        <v>89</v>
      </c>
      <c r="D79" s="188" t="s">
        <v>90</v>
      </c>
      <c r="E79" s="189">
        <f>VLOOKUP(B79,'2024 by account '!$A$2:$M$102,2,0)/1000</f>
        <v>254.75360000000001</v>
      </c>
      <c r="F79" s="189">
        <f t="shared" si="37"/>
        <v>7.7629728947328331</v>
      </c>
      <c r="G79" s="190">
        <f t="shared" si="38"/>
        <v>0.48382504797337694</v>
      </c>
      <c r="H79" s="167"/>
      <c r="I79" s="191">
        <f>VLOOKUP(B79,'2024 by account '!$A$2:$M$102,3,0)/1000</f>
        <v>-25.52984</v>
      </c>
      <c r="J79" s="189">
        <f t="shared" ref="J79:J80" si="62">I79/$J$2</f>
        <v>-0.76748235350705252</v>
      </c>
      <c r="K79" s="190">
        <f t="shared" si="40"/>
        <v>-3.8855931222511776E-2</v>
      </c>
      <c r="L79" s="192"/>
      <c r="M79" s="189">
        <f>VLOOKUP(B79,'2024 by account '!$A$2:$M$102,4,0)/1000</f>
        <v>248.34496999999999</v>
      </c>
      <c r="N79" s="189">
        <f t="shared" ref="N79:N80" si="63">M79/$N$2</f>
        <v>7.1316567546068823</v>
      </c>
      <c r="O79" s="190">
        <f t="shared" si="42"/>
        <v>0.35592437763172541</v>
      </c>
      <c r="P79" s="192"/>
      <c r="Q79" s="189">
        <f>VLOOKUP(B79,'2024 by account '!$A$2:$M$102,5,0)/1000</f>
        <v>646.46809000000007</v>
      </c>
      <c r="R79" s="189">
        <f t="shared" si="43"/>
        <v>18.634178182090707</v>
      </c>
      <c r="S79" s="190">
        <f t="shared" si="44"/>
        <v>0.66448590315197043</v>
      </c>
      <c r="T79" s="192"/>
      <c r="U79" s="189">
        <f>VLOOKUP(B79,'2024 by account '!$A$2:$M$102,6,0)/1000</f>
        <v>36.87227</v>
      </c>
      <c r="V79" s="189">
        <f t="shared" si="45"/>
        <v>1.0577091550608855</v>
      </c>
      <c r="W79" s="190">
        <f t="shared" si="46"/>
        <v>2.5928056946141233E-2</v>
      </c>
      <c r="X79" s="192"/>
      <c r="Y79" s="189">
        <f>VLOOKUP(B79,'2024 by account '!$A$2:$M$102,7,0)/1000</f>
        <v>-43.649900000000002</v>
      </c>
      <c r="Z79" s="189">
        <f t="shared" si="47"/>
        <v>-1.2447678281674639</v>
      </c>
      <c r="AA79" s="190">
        <f t="shared" si="48"/>
        <v>-4.0184911808092201E-2</v>
      </c>
      <c r="AB79" s="192"/>
      <c r="AC79" s="189">
        <f>VLOOKUP(B79,'2024 by account '!$A$2:$M$102,8,0)/1000</f>
        <v>-27.216819999999998</v>
      </c>
      <c r="AD79" s="189">
        <f t="shared" si="49"/>
        <v>-0.7624421168224691</v>
      </c>
      <c r="AE79" s="190">
        <f t="shared" si="50"/>
        <v>-2.2114514511775069E-2</v>
      </c>
      <c r="AF79" s="192"/>
      <c r="AG79" s="189">
        <f>VLOOKUP(B79,'2024 by account '!$A$2:$M$102,9,0)/1000</f>
        <v>63.164839999999998</v>
      </c>
      <c r="AH79" s="189">
        <f t="shared" si="51"/>
        <v>1.7021067211356569</v>
      </c>
      <c r="AI79" s="190">
        <f t="shared" si="52"/>
        <v>6.6545731532397248E-2</v>
      </c>
      <c r="AJ79" s="192"/>
      <c r="AK79" s="189">
        <f>VLOOKUP(B79,'2024 by account '!$A$2:$M$102,10,0)/1000</f>
        <v>-281.04872999999998</v>
      </c>
      <c r="AL79" s="189">
        <f t="shared" si="53"/>
        <v>-7.4304684638794658</v>
      </c>
      <c r="AM79" s="190">
        <f t="shared" si="54"/>
        <v>-0.18527998363952389</v>
      </c>
      <c r="AN79" s="192"/>
      <c r="AO79" s="189">
        <f>VLOOKUP(B79,'2024 by account '!$A$2:$M$102,11,0)/1000</f>
        <v>275.70461</v>
      </c>
      <c r="AP79" s="189">
        <f t="shared" si="55"/>
        <v>7.3821814644463633</v>
      </c>
      <c r="AQ79" s="190">
        <f t="shared" si="56"/>
        <v>0.17923571671756533</v>
      </c>
      <c r="AR79" s="192"/>
      <c r="AS79" s="189">
        <f>VLOOKUP(B79,'2024 by account '!$A$2:$M$102,12,0)/1000</f>
        <v>256.61081999999999</v>
      </c>
      <c r="AT79" s="189">
        <f t="shared" si="57"/>
        <v>7.0066874728659307</v>
      </c>
      <c r="AU79" s="190">
        <f t="shared" si="58"/>
        <v>0.16253044474288869</v>
      </c>
      <c r="AV79" s="192"/>
      <c r="AW79" s="191">
        <f>VLOOKUP(B79,'2024 by account '!$A$2:$M$102,13,0)/1000</f>
        <v>301.68844000000001</v>
      </c>
      <c r="AX79" s="189">
        <f t="shared" si="59"/>
        <v>8.2296231959330957</v>
      </c>
      <c r="AY79" s="190">
        <f t="shared" si="60"/>
        <v>0.31467224394651078</v>
      </c>
      <c r="AZ79" s="167"/>
      <c r="BA79" s="191">
        <f t="shared" si="35"/>
        <v>1706.1623500000003</v>
      </c>
      <c r="BB79" s="189">
        <f t="shared" si="36"/>
        <v>48.701955078495899</v>
      </c>
      <c r="BC79" s="190">
        <f t="shared" si="61"/>
        <v>0.13297244298658834</v>
      </c>
    </row>
    <row r="80" spans="1:55" outlineLevel="1">
      <c r="A80" s="188"/>
      <c r="B80" s="188">
        <v>6666021604</v>
      </c>
      <c r="C80" s="196" t="s">
        <v>146</v>
      </c>
      <c r="D80" s="188" t="s">
        <v>90</v>
      </c>
      <c r="E80" s="189">
        <v>265.5</v>
      </c>
      <c r="F80" s="189">
        <f t="shared" si="37"/>
        <v>8.0904423079853132</v>
      </c>
      <c r="G80" s="190">
        <f t="shared" si="38"/>
        <v>0.50423448476069266</v>
      </c>
      <c r="H80" s="167"/>
      <c r="I80" s="191">
        <v>118.887</v>
      </c>
      <c r="J80" s="189">
        <f t="shared" si="62"/>
        <v>3.5740010341385986</v>
      </c>
      <c r="K80" s="190">
        <f t="shared" si="40"/>
        <v>0.18094375425975082</v>
      </c>
      <c r="L80" s="192"/>
      <c r="M80" s="189">
        <v>197.14</v>
      </c>
      <c r="N80" s="189">
        <f t="shared" si="63"/>
        <v>5.6612171875403829</v>
      </c>
      <c r="O80" s="190">
        <f t="shared" si="42"/>
        <v>0.28253816377403718</v>
      </c>
      <c r="P80" s="192"/>
      <c r="Q80" s="189">
        <v>-135</v>
      </c>
      <c r="R80" s="189">
        <f t="shared" si="43"/>
        <v>-3.8913197627159684</v>
      </c>
      <c r="S80" s="190">
        <f t="shared" si="44"/>
        <v>-0.13876260609478189</v>
      </c>
      <c r="T80" s="192"/>
      <c r="U80" s="189">
        <v>-24</v>
      </c>
      <c r="V80" s="189">
        <f t="shared" si="45"/>
        <v>-0.68845828373087015</v>
      </c>
      <c r="W80" s="190">
        <f t="shared" si="46"/>
        <v>-1.687645937468427E-2</v>
      </c>
      <c r="X80" s="192"/>
      <c r="Y80" s="189">
        <v>10.840999999999999</v>
      </c>
      <c r="Z80" s="189">
        <f t="shared" si="47"/>
        <v>0.30915369852310026</v>
      </c>
      <c r="AA80" s="190">
        <f t="shared" si="48"/>
        <v>9.9804267343459544E-3</v>
      </c>
      <c r="AB80" s="192"/>
      <c r="AC80" s="189">
        <v>8.6820000000000004</v>
      </c>
      <c r="AD80" s="189">
        <f t="shared" si="49"/>
        <v>0.24321439676834686</v>
      </c>
      <c r="AE80" s="190">
        <f t="shared" si="50"/>
        <v>7.0543955903456463E-3</v>
      </c>
      <c r="AF80" s="192"/>
      <c r="AG80" s="189">
        <v>11.787000000000001</v>
      </c>
      <c r="AH80" s="189">
        <f t="shared" si="51"/>
        <v>0.31762499393691157</v>
      </c>
      <c r="AI80" s="190">
        <f t="shared" si="52"/>
        <v>1.2417897956717161E-2</v>
      </c>
      <c r="AJ80" s="192"/>
      <c r="AK80" s="189">
        <v>5.8449999999999998</v>
      </c>
      <c r="AL80" s="189">
        <f t="shared" si="53"/>
        <v>0.1545322342192241</v>
      </c>
      <c r="AM80" s="190">
        <f t="shared" si="54"/>
        <v>3.8532873084785586E-3</v>
      </c>
      <c r="AN80" s="192"/>
      <c r="AO80" s="189">
        <v>134.745</v>
      </c>
      <c r="AP80" s="189">
        <f t="shared" si="55"/>
        <v>3.6078904934771501</v>
      </c>
      <c r="AQ80" s="190">
        <f t="shared" si="56"/>
        <v>8.7597797690464232E-2</v>
      </c>
      <c r="AR80" s="192"/>
      <c r="AS80" s="189">
        <v>65.069000000000003</v>
      </c>
      <c r="AT80" s="189">
        <f t="shared" si="57"/>
        <v>1.7766910497847024</v>
      </c>
      <c r="AU80" s="190">
        <f t="shared" si="58"/>
        <v>4.121296798387155E-2</v>
      </c>
      <c r="AV80" s="192"/>
      <c r="AW80" s="191">
        <v>144.54</v>
      </c>
      <c r="AX80" s="189">
        <f t="shared" si="59"/>
        <v>3.9428416174652554</v>
      </c>
      <c r="AY80" s="190">
        <f t="shared" si="60"/>
        <v>0.1507605864514685</v>
      </c>
      <c r="AZ80" s="167"/>
      <c r="BA80" s="191">
        <f t="shared" si="35"/>
        <v>804.03600000000006</v>
      </c>
      <c r="BB80" s="189">
        <f t="shared" si="36"/>
        <v>23.097830967392149</v>
      </c>
      <c r="BC80" s="190">
        <f t="shared" si="61"/>
        <v>6.3064716939496279E-2</v>
      </c>
    </row>
    <row r="81" spans="1:55" s="24" customFormat="1">
      <c r="B81" s="37" t="s">
        <v>4</v>
      </c>
      <c r="C81" s="36" t="s">
        <v>90</v>
      </c>
      <c r="D81" s="38"/>
      <c r="E81" s="97">
        <f>E79+E80</f>
        <v>520.25360000000001</v>
      </c>
      <c r="F81" s="97">
        <f t="shared" si="37"/>
        <v>15.853415202718146</v>
      </c>
      <c r="G81" s="97">
        <f t="shared" si="38"/>
        <v>0.98805953273406966</v>
      </c>
      <c r="H81" s="167"/>
      <c r="I81" s="97">
        <f>I79+I80</f>
        <v>93.357159999999993</v>
      </c>
      <c r="J81" s="97">
        <f>J79+J80</f>
        <v>2.8065186806315463</v>
      </c>
      <c r="K81" s="97">
        <f t="shared" si="40"/>
        <v>0.14208782303723907</v>
      </c>
      <c r="L81" s="172"/>
      <c r="M81" s="173">
        <f>M79+M80</f>
        <v>445.48496999999998</v>
      </c>
      <c r="N81" s="97">
        <f>N79+N80</f>
        <v>12.792873942147265</v>
      </c>
      <c r="O81" s="97">
        <f t="shared" si="42"/>
        <v>0.63846254140576253</v>
      </c>
      <c r="P81" s="172"/>
      <c r="Q81" s="97">
        <f>Q79+Q80</f>
        <v>511.46809000000007</v>
      </c>
      <c r="R81" s="97">
        <f t="shared" si="43"/>
        <v>14.742858419374739</v>
      </c>
      <c r="S81" s="97">
        <f t="shared" si="44"/>
        <v>0.52572329705718857</v>
      </c>
      <c r="T81" s="172"/>
      <c r="U81" s="97">
        <f>U79+U80</f>
        <v>12.87227</v>
      </c>
      <c r="V81" s="97">
        <f t="shared" si="45"/>
        <v>0.36925087133001533</v>
      </c>
      <c r="W81" s="97">
        <f t="shared" si="46"/>
        <v>9.0515975714569631E-3</v>
      </c>
      <c r="X81" s="172"/>
      <c r="Y81" s="97">
        <f>Y79+Y80</f>
        <v>-32.808900000000001</v>
      </c>
      <c r="Z81" s="97">
        <f t="shared" si="47"/>
        <v>-0.93561412964436352</v>
      </c>
      <c r="AA81" s="97">
        <f t="shared" si="48"/>
        <v>-3.0204485073746241E-2</v>
      </c>
      <c r="AB81" s="172"/>
      <c r="AC81" s="97">
        <f>AC79+AC80</f>
        <v>-18.534819999999996</v>
      </c>
      <c r="AD81" s="97">
        <f t="shared" si="49"/>
        <v>-0.51922772005412221</v>
      </c>
      <c r="AE81" s="97">
        <f t="shared" si="50"/>
        <v>-1.5060118921429423E-2</v>
      </c>
      <c r="AF81" s="172"/>
      <c r="AG81" s="97">
        <f>AG79+AG80</f>
        <v>74.951840000000004</v>
      </c>
      <c r="AH81" s="97">
        <f t="shared" si="51"/>
        <v>2.0197317150725684</v>
      </c>
      <c r="AI81" s="97">
        <f t="shared" si="52"/>
        <v>7.8963629489114409E-2</v>
      </c>
      <c r="AJ81" s="172"/>
      <c r="AK81" s="97">
        <f>AK79+AK80</f>
        <v>-275.20372999999995</v>
      </c>
      <c r="AL81" s="97">
        <f t="shared" si="53"/>
        <v>-7.2759362296602408</v>
      </c>
      <c r="AM81" s="97">
        <f t="shared" si="54"/>
        <v>-0.1814266963310453</v>
      </c>
      <c r="AN81" s="172"/>
      <c r="AO81" s="97">
        <f>AO79+AO80</f>
        <v>410.44961000000001</v>
      </c>
      <c r="AP81" s="97">
        <f t="shared" si="55"/>
        <v>10.990071957923513</v>
      </c>
      <c r="AQ81" s="97">
        <f t="shared" si="56"/>
        <v>0.26683351440802955</v>
      </c>
      <c r="AR81" s="172"/>
      <c r="AS81" s="97">
        <f>AS79+AS80</f>
        <v>321.67982000000001</v>
      </c>
      <c r="AT81" s="97">
        <f t="shared" si="57"/>
        <v>8.7833785226506329</v>
      </c>
      <c r="AU81" s="97">
        <f t="shared" si="58"/>
        <v>0.20374341272676019</v>
      </c>
      <c r="AV81" s="172"/>
      <c r="AW81" s="97">
        <f>AW79+AW80</f>
        <v>446.22843999999998</v>
      </c>
      <c r="AX81" s="97">
        <f t="shared" si="59"/>
        <v>12.172464813398351</v>
      </c>
      <c r="AY81" s="97">
        <f t="shared" si="60"/>
        <v>0.46543283039797922</v>
      </c>
      <c r="AZ81" s="45"/>
      <c r="BA81" s="97">
        <f t="shared" si="35"/>
        <v>2510.1983499999997</v>
      </c>
      <c r="BB81" s="97">
        <f t="shared" si="36"/>
        <v>71.799786045888055</v>
      </c>
      <c r="BC81" s="97">
        <f t="shared" si="61"/>
        <v>0.19603715992608464</v>
      </c>
    </row>
    <row r="82" spans="1:55" outlineLevel="2">
      <c r="A82" s="188">
        <v>6666021600</v>
      </c>
      <c r="B82" s="188">
        <v>6666021600</v>
      </c>
      <c r="C82" s="188" t="s">
        <v>91</v>
      </c>
      <c r="D82" s="188" t="s">
        <v>94</v>
      </c>
      <c r="E82" s="189">
        <f>VLOOKUP(B82,'2024 by account '!$A$2:$M$102,2,0)/1000</f>
        <v>474.38923999999997</v>
      </c>
      <c r="F82" s="189">
        <f t="shared" si="37"/>
        <v>14.45581460545762</v>
      </c>
      <c r="G82" s="190">
        <f t="shared" si="38"/>
        <v>0.90095447837068365</v>
      </c>
      <c r="H82" s="167"/>
      <c r="I82" s="191">
        <f>VLOOKUP(B82,'2024 by account '!$A$2:$M$102,3,0)/1000</f>
        <v>567.25506000000007</v>
      </c>
      <c r="J82" s="189">
        <f t="shared" ref="J82:J84" si="64">I82/$J$2</f>
        <v>17.052917232837508</v>
      </c>
      <c r="K82" s="190">
        <f t="shared" si="40"/>
        <v>0.86335141924045711</v>
      </c>
      <c r="L82" s="192"/>
      <c r="M82" s="189">
        <f>VLOOKUP(B82,'2024 by account '!$A$2:$M$102,4,0)/1000</f>
        <v>899.01473999999996</v>
      </c>
      <c r="N82" s="189">
        <f t="shared" ref="N82:N84" si="65">M82/$N$2</f>
        <v>25.816768276048233</v>
      </c>
      <c r="O82" s="190">
        <f t="shared" si="42"/>
        <v>1.288454772473336</v>
      </c>
      <c r="P82" s="192"/>
      <c r="Q82" s="189">
        <f>VLOOKUP(B82,'2024 by account '!$A$2:$M$102,5,0)/1000</f>
        <v>1357.5131000000001</v>
      </c>
      <c r="R82" s="189">
        <f t="shared" si="43"/>
        <v>39.129759660561625</v>
      </c>
      <c r="S82" s="190">
        <f t="shared" si="44"/>
        <v>1.3953485597318982</v>
      </c>
      <c r="T82" s="192"/>
      <c r="U82" s="189">
        <f>VLOOKUP(B82,'2024 by account '!$A$2:$M$102,6,0)/1000</f>
        <v>802.44220999999993</v>
      </c>
      <c r="V82" s="189">
        <f t="shared" si="45"/>
        <v>23.01866611207527</v>
      </c>
      <c r="W82" s="190">
        <f t="shared" si="46"/>
        <v>0.56426597323320271</v>
      </c>
      <c r="X82" s="192"/>
      <c r="Y82" s="189">
        <f>VLOOKUP(B82,'2024 by account '!$A$2:$M$102,7,0)/1000</f>
        <v>707.02031999999997</v>
      </c>
      <c r="Z82" s="189">
        <f t="shared" si="47"/>
        <v>20.162157260306788</v>
      </c>
      <c r="AA82" s="190">
        <f t="shared" si="48"/>
        <v>0.65089608924027598</v>
      </c>
      <c r="AB82" s="192"/>
      <c r="AC82" s="189">
        <f>VLOOKUP(B82,'2024 by account '!$A$2:$M$102,8,0)/1000</f>
        <v>1201.7444800000001</v>
      </c>
      <c r="AD82" s="189">
        <f t="shared" si="49"/>
        <v>33.665233675753356</v>
      </c>
      <c r="AE82" s="190">
        <f t="shared" si="50"/>
        <v>0.97645484455588816</v>
      </c>
      <c r="AF82" s="192"/>
      <c r="AG82" s="189">
        <f>VLOOKUP(B82,'2024 by account '!$A$2:$M$102,9,0)/1000</f>
        <v>722.92246</v>
      </c>
      <c r="AH82" s="189">
        <f t="shared" si="51"/>
        <v>19.480634764940799</v>
      </c>
      <c r="AI82" s="190">
        <f t="shared" si="52"/>
        <v>0.76161680995155212</v>
      </c>
      <c r="AJ82" s="192"/>
      <c r="AK82" s="189">
        <f>VLOOKUP(B82,'2024 by account '!$A$2:$M$102,10,0)/1000</f>
        <v>588.66435999999999</v>
      </c>
      <c r="AL82" s="189">
        <f t="shared" si="53"/>
        <v>15.563322285035015</v>
      </c>
      <c r="AM82" s="190">
        <f t="shared" si="54"/>
        <v>0.38807406455802451</v>
      </c>
      <c r="AN82" s="192"/>
      <c r="AO82" s="189">
        <f>VLOOKUP(B82,'2024 by account '!$A$2:$M$102,11,0)/1000</f>
        <v>959.44742000000008</v>
      </c>
      <c r="AP82" s="189">
        <f t="shared" si="55"/>
        <v>25.689867717608657</v>
      </c>
      <c r="AQ82" s="190">
        <f t="shared" si="56"/>
        <v>0.62373728889233637</v>
      </c>
      <c r="AR82" s="192"/>
      <c r="AS82" s="189">
        <f>VLOOKUP(B82,'2024 by account '!$A$2:$M$102,12,0)/1000</f>
        <v>705.99578000000008</v>
      </c>
      <c r="AT82" s="189">
        <f t="shared" si="57"/>
        <v>19.277019525607738</v>
      </c>
      <c r="AU82" s="190">
        <f t="shared" si="58"/>
        <v>0.44715888484360328</v>
      </c>
      <c r="AV82" s="192"/>
      <c r="AW82" s="191">
        <f>VLOOKUP(B82,'2024 by account '!$A$2:$M$102,13,0)/1000</f>
        <v>575.15793000000008</v>
      </c>
      <c r="AX82" s="189">
        <f t="shared" si="59"/>
        <v>15.68947435325286</v>
      </c>
      <c r="AY82" s="190">
        <f t="shared" si="60"/>
        <v>0.59991107533563492</v>
      </c>
      <c r="AZ82" s="167"/>
      <c r="BA82" s="191">
        <f t="shared" si="35"/>
        <v>9561.5671000000002</v>
      </c>
      <c r="BB82" s="189">
        <f t="shared" si="36"/>
        <v>269.00163546948551</v>
      </c>
      <c r="BC82" s="190">
        <f t="shared" si="61"/>
        <v>0.73446342304149415</v>
      </c>
    </row>
    <row r="83" spans="1:55" outlineLevel="2">
      <c r="A83" s="188">
        <v>6666021603</v>
      </c>
      <c r="B83" s="188">
        <v>6666021603</v>
      </c>
      <c r="C83" s="188" t="s">
        <v>92</v>
      </c>
      <c r="D83" s="188" t="s">
        <v>94</v>
      </c>
      <c r="E83" s="189">
        <f>VLOOKUP(B83,'2024 by account '!$A$2:$M$102,2,0)/1000</f>
        <v>0</v>
      </c>
      <c r="F83" s="189">
        <f t="shared" si="37"/>
        <v>0</v>
      </c>
      <c r="G83" s="190">
        <f t="shared" si="38"/>
        <v>0</v>
      </c>
      <c r="H83" s="167"/>
      <c r="I83" s="191">
        <f>VLOOKUP(B83,'2024 by account '!$A$2:$M$102,3,0)/1000</f>
        <v>27.547759999999997</v>
      </c>
      <c r="J83" s="189">
        <f t="shared" si="64"/>
        <v>0.82814540469691311</v>
      </c>
      <c r="K83" s="190">
        <f t="shared" si="40"/>
        <v>4.1927167106972106E-2</v>
      </c>
      <c r="L83" s="192"/>
      <c r="M83" s="189">
        <f>VLOOKUP(B83,'2024 by account '!$A$2:$M$102,4,0)/1000</f>
        <v>16.346989999999998</v>
      </c>
      <c r="N83" s="189">
        <f t="shared" si="65"/>
        <v>0.4694321839938661</v>
      </c>
      <c r="O83" s="190">
        <f t="shared" si="42"/>
        <v>2.3428266905917358E-2</v>
      </c>
      <c r="P83" s="192"/>
      <c r="Q83" s="189">
        <f>VLOOKUP(B83,'2024 by account '!$A$2:$M$102,5,0)/1000</f>
        <v>25.909590000000001</v>
      </c>
      <c r="R83" s="189">
        <f t="shared" si="43"/>
        <v>0.7468333304508743</v>
      </c>
      <c r="S83" s="190">
        <f t="shared" si="44"/>
        <v>2.663172023146148E-2</v>
      </c>
      <c r="T83" s="192"/>
      <c r="U83" s="189">
        <f>VLOOKUP(B83,'2024 by account '!$A$2:$M$102,6,0)/1000</f>
        <v>23.928169999999998</v>
      </c>
      <c r="V83" s="189">
        <f t="shared" si="45"/>
        <v>0.68639778545918728</v>
      </c>
      <c r="W83" s="190">
        <f t="shared" si="46"/>
        <v>1.6825949538147457E-2</v>
      </c>
      <c r="X83" s="192"/>
      <c r="Y83" s="189">
        <f>VLOOKUP(B83,'2024 by account '!$A$2:$M$102,7,0)/1000</f>
        <v>56.291870000000003</v>
      </c>
      <c r="Z83" s="189">
        <f t="shared" si="47"/>
        <v>1.6052799379468272</v>
      </c>
      <c r="AA83" s="190">
        <f t="shared" si="48"/>
        <v>5.1823345104171852E-2</v>
      </c>
      <c r="AB83" s="192"/>
      <c r="AC83" s="189">
        <f>VLOOKUP(B83,'2024 by account '!$A$2:$M$102,8,0)/1000</f>
        <v>36.853269999999995</v>
      </c>
      <c r="AD83" s="189">
        <f t="shared" si="49"/>
        <v>1.0323941294622221</v>
      </c>
      <c r="AE83" s="190">
        <f t="shared" si="50"/>
        <v>2.9944430474293647E-2</v>
      </c>
      <c r="AF83" s="192"/>
      <c r="AG83" s="189">
        <f>VLOOKUP(B83,'2024 by account '!$A$2:$M$102,9,0)/1000</f>
        <v>25.932320000000001</v>
      </c>
      <c r="AH83" s="189">
        <f t="shared" si="51"/>
        <v>0.69879977795622716</v>
      </c>
      <c r="AI83" s="190">
        <f t="shared" si="52"/>
        <v>2.7320344747682666E-2</v>
      </c>
      <c r="AJ83" s="192"/>
      <c r="AK83" s="189">
        <f>VLOOKUP(B83,'2024 by account '!$A$2:$M$102,10,0)/1000</f>
        <v>24.557770000000001</v>
      </c>
      <c r="AL83" s="189">
        <f t="shared" si="53"/>
        <v>0.64926724816797876</v>
      </c>
      <c r="AM83" s="190">
        <f t="shared" si="54"/>
        <v>1.6189588274685286E-2</v>
      </c>
      <c r="AN83" s="192"/>
      <c r="AO83" s="189">
        <f>VLOOKUP(B83,'2024 by account '!$A$2:$M$102,11,0)/1000</f>
        <v>32.575600000000001</v>
      </c>
      <c r="AP83" s="189">
        <f t="shared" si="55"/>
        <v>0.87223420208033142</v>
      </c>
      <c r="AQ83" s="190">
        <f t="shared" si="56"/>
        <v>2.117741525433587E-2</v>
      </c>
      <c r="AR83" s="192"/>
      <c r="AS83" s="189">
        <f>VLOOKUP(B83,'2024 by account '!$A$2:$M$102,12,0)/1000</f>
        <v>47.249269999999996</v>
      </c>
      <c r="AT83" s="189">
        <f t="shared" si="57"/>
        <v>1.290128250286017</v>
      </c>
      <c r="AU83" s="190">
        <f t="shared" si="58"/>
        <v>2.9926426589793942E-2</v>
      </c>
      <c r="AV83" s="192"/>
      <c r="AW83" s="191">
        <f>VLOOKUP(B83,'2024 by account '!$A$2:$M$102,13,0)/1000</f>
        <v>37.940620000000003</v>
      </c>
      <c r="AX83" s="189">
        <f t="shared" si="59"/>
        <v>1.0349650998231261</v>
      </c>
      <c r="AY83" s="190">
        <f t="shared" si="60"/>
        <v>3.9573475311556083E-2</v>
      </c>
      <c r="AZ83" s="167"/>
      <c r="BA83" s="191">
        <f t="shared" si="35"/>
        <v>355.13323000000003</v>
      </c>
      <c r="BB83" s="189">
        <f t="shared" si="36"/>
        <v>9.9138773503235722</v>
      </c>
      <c r="BC83" s="190">
        <f t="shared" si="61"/>
        <v>2.706816366236614E-2</v>
      </c>
    </row>
    <row r="84" spans="1:55" outlineLevel="2">
      <c r="A84" s="188">
        <v>6666021604</v>
      </c>
      <c r="B84" s="188">
        <v>6666021604</v>
      </c>
      <c r="C84" s="196" t="s">
        <v>93</v>
      </c>
      <c r="D84" s="188" t="s">
        <v>94</v>
      </c>
      <c r="E84" s="189">
        <f>VLOOKUP(B84,'2024 by account '!$A$2:$M$102,2,0)/1000-E80</f>
        <v>26.421359999999993</v>
      </c>
      <c r="F84" s="189">
        <f t="shared" si="37"/>
        <v>0.80512425151981459</v>
      </c>
      <c r="G84" s="190">
        <f t="shared" si="38"/>
        <v>5.0179136897464297E-2</v>
      </c>
      <c r="H84" s="167"/>
      <c r="I84" s="191">
        <f>VLOOKUP(B84,'2024 by account '!$A$2:$M$102,3,0)/1000-I80</f>
        <v>-38.324070000000006</v>
      </c>
      <c r="J84" s="189">
        <f t="shared" si="64"/>
        <v>-1.1521046524212071</v>
      </c>
      <c r="K84" s="190">
        <f t="shared" si="40"/>
        <v>-5.8328506096658926E-2</v>
      </c>
      <c r="L84" s="192"/>
      <c r="M84" s="189">
        <f>VLOOKUP(B84,'2024 by account '!$A$2:$M$102,4,0)/1000-M80</f>
        <v>91.099589999999978</v>
      </c>
      <c r="N84" s="189">
        <f t="shared" si="65"/>
        <v>2.6160828075777718</v>
      </c>
      <c r="O84" s="190">
        <f t="shared" si="42"/>
        <v>0.13056259956968466</v>
      </c>
      <c r="P84" s="192"/>
      <c r="Q84" s="189">
        <f>VLOOKUP(B84,'2024 by account '!$A$2:$M$102,5,0)/1000+135</f>
        <v>81.102850000000004</v>
      </c>
      <c r="R84" s="189">
        <f t="shared" si="43"/>
        <v>2.3377564667969541</v>
      </c>
      <c r="S84" s="190">
        <f t="shared" si="44"/>
        <v>8.3363280205290241E-2</v>
      </c>
      <c r="T84" s="192"/>
      <c r="U84" s="189">
        <f>VLOOKUP(B84,'2024 by account '!$A$2:$M$102,6,0)/1000+24</f>
        <v>59.310220000000001</v>
      </c>
      <c r="V84" s="189">
        <f t="shared" si="45"/>
        <v>1.7013588445375138</v>
      </c>
      <c r="W84" s="190">
        <f t="shared" si="46"/>
        <v>4.1706104930566111E-2</v>
      </c>
      <c r="X84" s="192"/>
      <c r="Y84" s="189">
        <f>VLOOKUP(B84,'2024 by account '!$A$2:$M$102,7,0)/1000-Y80</f>
        <v>55.996649999999995</v>
      </c>
      <c r="Z84" s="189">
        <f t="shared" si="47"/>
        <v>1.5968611246567257</v>
      </c>
      <c r="AA84" s="190">
        <f t="shared" si="48"/>
        <v>5.1551560067688712E-2</v>
      </c>
      <c r="AB84" s="192"/>
      <c r="AC84" s="189">
        <f>VLOOKUP(B84,'2024 by account '!$A$2:$M$102,8,0)/1000-AC80</f>
        <v>48.084209999999999</v>
      </c>
      <c r="AD84" s="189">
        <f t="shared" si="49"/>
        <v>1.3470136062235096</v>
      </c>
      <c r="AE84" s="190">
        <f t="shared" si="50"/>
        <v>3.9069919256997702E-2</v>
      </c>
      <c r="AF84" s="192"/>
      <c r="AG84" s="189">
        <f>VLOOKUP(B84,'2024 by account '!$A$2:$M$102,9,0)/1000-AG80</f>
        <v>28.412889999999997</v>
      </c>
      <c r="AH84" s="189">
        <f t="shared" si="51"/>
        <v>0.76564384609995195</v>
      </c>
      <c r="AI84" s="190">
        <f t="shared" si="52"/>
        <v>2.9933687000545467E-2</v>
      </c>
      <c r="AJ84" s="192"/>
      <c r="AK84" s="189">
        <f>VLOOKUP(B84,'2024 by account '!$A$2:$M$102,10,0)/1000-AK80</f>
        <v>236.50493000000003</v>
      </c>
      <c r="AL84" s="189">
        <f t="shared" si="53"/>
        <v>6.2528032911481963</v>
      </c>
      <c r="AM84" s="190">
        <f t="shared" si="54"/>
        <v>0.15591470404817964</v>
      </c>
      <c r="AN84" s="192"/>
      <c r="AO84" s="189">
        <f>VLOOKUP(B84,'2024 by account '!$A$2:$M$102,11,0)/1000-AO80</f>
        <v>68.110880000000037</v>
      </c>
      <c r="AP84" s="189">
        <f t="shared" si="55"/>
        <v>1.8237158815122125</v>
      </c>
      <c r="AQ84" s="190">
        <f t="shared" si="56"/>
        <v>4.4278920084303605E-2</v>
      </c>
      <c r="AR84" s="192"/>
      <c r="AS84" s="189">
        <f>VLOOKUP(B84,'2024 by account '!$A$2:$M$102,12,0)/1000-AS80</f>
        <v>47.665059999999997</v>
      </c>
      <c r="AT84" s="189">
        <f t="shared" si="57"/>
        <v>1.3014812812468428</v>
      </c>
      <c r="AU84" s="190">
        <f t="shared" si="58"/>
        <v>3.0189776878841171E-2</v>
      </c>
      <c r="AV84" s="192"/>
      <c r="AW84" s="191">
        <f>VLOOKUP(B84,'2024 by account '!$A$2:$M$102,13,0)/1000-AW80</f>
        <v>39.767740000000003</v>
      </c>
      <c r="AX84" s="189">
        <f t="shared" si="59"/>
        <v>1.0848062841050072</v>
      </c>
      <c r="AY84" s="190">
        <f t="shared" si="60"/>
        <v>4.1479229308492613E-2</v>
      </c>
      <c r="AZ84" s="167"/>
      <c r="BA84" s="191">
        <f t="shared" si="35"/>
        <v>744.15230999999994</v>
      </c>
      <c r="BB84" s="189">
        <f t="shared" si="36"/>
        <v>20.480543033003293</v>
      </c>
      <c r="BC84" s="190">
        <f t="shared" si="61"/>
        <v>5.5918655347634696E-2</v>
      </c>
    </row>
    <row r="85" spans="1:55" s="24" customFormat="1">
      <c r="B85" s="37" t="s">
        <v>1</v>
      </c>
      <c r="C85" s="36" t="s">
        <v>94</v>
      </c>
      <c r="D85" s="38"/>
      <c r="E85" s="97">
        <f>SUM(E82:E84)</f>
        <v>500.81059999999997</v>
      </c>
      <c r="F85" s="97">
        <f t="shared" si="37"/>
        <v>15.260938856977434</v>
      </c>
      <c r="G85" s="171">
        <f t="shared" si="38"/>
        <v>0.95113361526814799</v>
      </c>
      <c r="H85" s="167"/>
      <c r="I85" s="97">
        <f>SUM(I82:I84)</f>
        <v>556.4787500000001</v>
      </c>
      <c r="J85" s="97">
        <f>SUM(J82:J84)</f>
        <v>16.728957985113212</v>
      </c>
      <c r="K85" s="171">
        <f t="shared" si="40"/>
        <v>0.84695008025077023</v>
      </c>
      <c r="L85" s="172"/>
      <c r="M85" s="173">
        <f>SUM(M82:M84)</f>
        <v>1006.4613199999999</v>
      </c>
      <c r="N85" s="97">
        <f>SUM(N82:N84)</f>
        <v>28.902283267619872</v>
      </c>
      <c r="O85" s="171">
        <f t="shared" si="42"/>
        <v>1.4424456389489382</v>
      </c>
      <c r="P85" s="172"/>
      <c r="Q85" s="97">
        <f>SUM(Q82:Q84)</f>
        <v>1464.5255400000001</v>
      </c>
      <c r="R85" s="97">
        <f t="shared" si="43"/>
        <v>42.214349457809448</v>
      </c>
      <c r="S85" s="171">
        <f t="shared" si="44"/>
        <v>1.5053435601686498</v>
      </c>
      <c r="T85" s="172"/>
      <c r="U85" s="97">
        <f>SUM(U82:U84)</f>
        <v>885.68059999999991</v>
      </c>
      <c r="V85" s="97">
        <f t="shared" si="45"/>
        <v>25.406422742071967</v>
      </c>
      <c r="W85" s="171">
        <f t="shared" si="46"/>
        <v>0.62279802770191606</v>
      </c>
      <c r="X85" s="172"/>
      <c r="Y85" s="97">
        <f>SUM(Y82:Y84)</f>
        <v>819.30884000000003</v>
      </c>
      <c r="Z85" s="97">
        <f t="shared" si="47"/>
        <v>23.364298322910344</v>
      </c>
      <c r="AA85" s="171">
        <f t="shared" si="48"/>
        <v>0.75427099441213663</v>
      </c>
      <c r="AB85" s="172"/>
      <c r="AC85" s="97">
        <f>SUM(AC82:AC84)</f>
        <v>1286.6819600000001</v>
      </c>
      <c r="AD85" s="97">
        <f t="shared" si="49"/>
        <v>36.044641411439095</v>
      </c>
      <c r="AE85" s="171">
        <f t="shared" si="50"/>
        <v>1.0454691942871797</v>
      </c>
      <c r="AF85" s="172"/>
      <c r="AG85" s="97">
        <f>SUM(AG82:AG84)</f>
        <v>777.26766999999995</v>
      </c>
      <c r="AH85" s="97">
        <f t="shared" si="51"/>
        <v>20.945078388996976</v>
      </c>
      <c r="AI85" s="171">
        <f t="shared" si="52"/>
        <v>0.81887084169978019</v>
      </c>
      <c r="AJ85" s="172"/>
      <c r="AK85" s="97">
        <f>SUM(AK82:AK84)</f>
        <v>849.72706000000005</v>
      </c>
      <c r="AL85" s="97">
        <f t="shared" si="53"/>
        <v>22.465392824351191</v>
      </c>
      <c r="AM85" s="171">
        <f t="shared" si="54"/>
        <v>0.56017835688088946</v>
      </c>
      <c r="AN85" s="172"/>
      <c r="AO85" s="97">
        <f>SUM(AO82:AO84)</f>
        <v>1060.1339</v>
      </c>
      <c r="AP85" s="97">
        <f t="shared" si="55"/>
        <v>28.385817801201199</v>
      </c>
      <c r="AQ85" s="171">
        <f t="shared" si="56"/>
        <v>0.68919362423097574</v>
      </c>
      <c r="AR85" s="172"/>
      <c r="AS85" s="97">
        <f>SUM(AS82:AS84)</f>
        <v>800.91011000000015</v>
      </c>
      <c r="AT85" s="97">
        <f t="shared" si="57"/>
        <v>21.868629057140598</v>
      </c>
      <c r="AU85" s="171">
        <f t="shared" si="58"/>
        <v>0.50727508831223844</v>
      </c>
      <c r="AV85" s="172"/>
      <c r="AW85" s="97">
        <f>SUM(AW82:AW84)</f>
        <v>652.86629000000005</v>
      </c>
      <c r="AX85" s="97">
        <f t="shared" si="59"/>
        <v>17.809245737180994</v>
      </c>
      <c r="AY85" s="171">
        <f t="shared" si="60"/>
        <v>0.68096377995568358</v>
      </c>
      <c r="AZ85" s="45"/>
      <c r="BA85" s="97">
        <f t="shared" si="35"/>
        <v>10660.852640000001</v>
      </c>
      <c r="BB85" s="97">
        <f t="shared" si="36"/>
        <v>299.39605585281231</v>
      </c>
      <c r="BC85" s="171">
        <f t="shared" si="61"/>
        <v>0.81745024205149486</v>
      </c>
    </row>
    <row r="86" spans="1:55" outlineLevel="1">
      <c r="A86" s="188">
        <v>5001010206</v>
      </c>
      <c r="B86" s="188">
        <v>5001010206</v>
      </c>
      <c r="C86" s="188" t="s">
        <v>95</v>
      </c>
      <c r="D86" s="188" t="s">
        <v>102</v>
      </c>
      <c r="E86" s="189">
        <f>VLOOKUP(B86,'2024 by account '!$A$2:$M$102,2,0)/1000</f>
        <v>94.112949999999998</v>
      </c>
      <c r="F86" s="189">
        <f t="shared" si="37"/>
        <v>2.8678545853457864</v>
      </c>
      <c r="G86" s="190">
        <f t="shared" si="38"/>
        <v>0.17873821036745319</v>
      </c>
      <c r="H86" s="167"/>
      <c r="I86" s="191">
        <f>VLOOKUP(B86,'2024 by account '!$A$2:$M$102,3,0)/1000</f>
        <v>182.98146000000003</v>
      </c>
      <c r="J86" s="189">
        <f t="shared" ref="J86:J92" si="66">I86/$J$2</f>
        <v>5.5008194947150715</v>
      </c>
      <c r="K86" s="190">
        <f t="shared" si="40"/>
        <v>0.27849430410667636</v>
      </c>
      <c r="L86" s="192"/>
      <c r="M86" s="189">
        <f>VLOOKUP(B86,'2024 by account '!$A$2:$M$102,4,0)/1000</f>
        <v>98.287700000000015</v>
      </c>
      <c r="N86" s="189">
        <f t="shared" ref="N86:N92" si="67">M86/$N$2</f>
        <v>2.8225018594086082</v>
      </c>
      <c r="O86" s="190">
        <f t="shared" si="42"/>
        <v>0.14086449365716466</v>
      </c>
      <c r="P86" s="192"/>
      <c r="Q86" s="189">
        <f>VLOOKUP(B86,'2024 by account '!$A$2:$M$102,5,0)/1000</f>
        <v>112.04187999999998</v>
      </c>
      <c r="R86" s="189">
        <f t="shared" si="43"/>
        <v>3.2295613473766736</v>
      </c>
      <c r="S86" s="190">
        <f t="shared" si="44"/>
        <v>0.11516461674488014</v>
      </c>
      <c r="T86" s="192"/>
      <c r="U86" s="189">
        <f>VLOOKUP(B86,'2024 by account '!$A$2:$M$102,6,0)/1000</f>
        <v>108.32629000000001</v>
      </c>
      <c r="V86" s="189">
        <f t="shared" si="45"/>
        <v>3.1074221540138556</v>
      </c>
      <c r="W86" s="190">
        <f t="shared" si="46"/>
        <v>7.6173509683136145E-2</v>
      </c>
      <c r="X86" s="192"/>
      <c r="Y86" s="189">
        <f>VLOOKUP(B86,'2024 by account '!$A$2:$M$102,7,0)/1000</f>
        <v>120.49791</v>
      </c>
      <c r="Z86" s="189">
        <f t="shared" si="47"/>
        <v>3.4362489199154758</v>
      </c>
      <c r="AA86" s="190">
        <f t="shared" si="48"/>
        <v>0.11093262267289113</v>
      </c>
      <c r="AB86" s="192"/>
      <c r="AC86" s="189">
        <f>VLOOKUP(B86,'2024 by account '!$A$2:$M$102,8,0)/1000</f>
        <v>67.923660000000012</v>
      </c>
      <c r="AD86" s="189">
        <f t="shared" si="49"/>
        <v>1.902788757567184</v>
      </c>
      <c r="AE86" s="190">
        <f t="shared" si="50"/>
        <v>5.5190090714597677E-2</v>
      </c>
      <c r="AF86" s="192"/>
      <c r="AG86" s="189">
        <f>VLOOKUP(B86,'2024 by account '!$A$2:$M$102,9,0)/1000</f>
        <v>103.01591999999999</v>
      </c>
      <c r="AH86" s="189">
        <f t="shared" si="51"/>
        <v>2.7759761572414834</v>
      </c>
      <c r="AI86" s="190">
        <f t="shared" si="52"/>
        <v>0.10852983647046224</v>
      </c>
      <c r="AJ86" s="192"/>
      <c r="AK86" s="189">
        <f>VLOOKUP(B86,'2024 by account '!$A$2:$M$102,10,0)/1000</f>
        <v>120.81531</v>
      </c>
      <c r="AL86" s="189">
        <f t="shared" si="53"/>
        <v>3.1941590730860852</v>
      </c>
      <c r="AM86" s="190">
        <f t="shared" si="54"/>
        <v>7.9646894900411061E-2</v>
      </c>
      <c r="AN86" s="192"/>
      <c r="AO86" s="189">
        <f>VLOOKUP(B86,'2024 by account '!$A$2:$M$102,11,0)/1000</f>
        <v>121.89155000000001</v>
      </c>
      <c r="AP86" s="189">
        <f t="shared" si="55"/>
        <v>3.2637304870696111</v>
      </c>
      <c r="AQ86" s="190">
        <f t="shared" si="56"/>
        <v>7.9241762863758253E-2</v>
      </c>
      <c r="AR86" s="192"/>
      <c r="AS86" s="189">
        <f>VLOOKUP(B86,'2024 by account '!$A$2:$M$102,12,0)/1000</f>
        <v>110.04529999999998</v>
      </c>
      <c r="AT86" s="189">
        <f t="shared" si="57"/>
        <v>3.0047564828239635</v>
      </c>
      <c r="AU86" s="190">
        <f t="shared" si="58"/>
        <v>6.9699756038598085E-2</v>
      </c>
      <c r="AV86" s="192"/>
      <c r="AW86" s="191">
        <f>VLOOKUP(B86,'2024 by account '!$A$2:$M$102,13,0)/1000</f>
        <v>113.42607000000001</v>
      </c>
      <c r="AX86" s="189">
        <f t="shared" si="59"/>
        <v>3.0940987221636043</v>
      </c>
      <c r="AY86" s="190">
        <f t="shared" si="60"/>
        <v>0.11830760226985831</v>
      </c>
      <c r="AZ86" s="167"/>
      <c r="BA86" s="191">
        <f t="shared" si="35"/>
        <v>1353.366</v>
      </c>
      <c r="BB86" s="189">
        <f t="shared" si="36"/>
        <v>38.199918040727404</v>
      </c>
      <c r="BC86" s="190">
        <f t="shared" si="61"/>
        <v>0.10429840887446869</v>
      </c>
    </row>
    <row r="87" spans="1:55" outlineLevel="1">
      <c r="A87" s="188">
        <v>6666010184</v>
      </c>
      <c r="B87" s="188">
        <v>6666010184</v>
      </c>
      <c r="C87" s="188" t="s">
        <v>96</v>
      </c>
      <c r="D87" s="188" t="s">
        <v>102</v>
      </c>
      <c r="E87" s="189">
        <f>VLOOKUP(B87,'2024 by account '!$A$2:$M$102,2,0)/1000</f>
        <v>-2.1069</v>
      </c>
      <c r="F87" s="189">
        <f t="shared" si="37"/>
        <v>-6.4202459128791925E-2</v>
      </c>
      <c r="G87" s="190">
        <f t="shared" si="38"/>
        <v>-4.0013997587280727E-3</v>
      </c>
      <c r="H87" s="167"/>
      <c r="I87" s="191">
        <f>VLOOKUP(B87,'2024 by account '!$A$2:$M$102,3,0)/1000</f>
        <v>-2.7275900000000002</v>
      </c>
      <c r="J87" s="189">
        <f t="shared" si="66"/>
        <v>-8.199727035509434E-2</v>
      </c>
      <c r="K87" s="190">
        <f t="shared" si="40"/>
        <v>-4.1513401354341005E-3</v>
      </c>
      <c r="L87" s="192"/>
      <c r="M87" s="189">
        <f>VLOOKUP(B87,'2024 by account '!$A$2:$M$102,4,0)/1000</f>
        <v>-3.4003100000000002</v>
      </c>
      <c r="N87" s="189">
        <f t="shared" si="67"/>
        <v>-9.7645802044057234E-2</v>
      </c>
      <c r="O87" s="190">
        <f t="shared" si="42"/>
        <v>-4.8732745442959143E-3</v>
      </c>
      <c r="P87" s="192"/>
      <c r="Q87" s="189">
        <f>VLOOKUP(B87,'2024 by account '!$A$2:$M$102,5,0)/1000</f>
        <v>-13.974060000000001</v>
      </c>
      <c r="R87" s="189">
        <f t="shared" si="43"/>
        <v>-0.40279656180280526</v>
      </c>
      <c r="S87" s="190">
        <f t="shared" si="44"/>
        <v>-1.4363533209813689E-2</v>
      </c>
      <c r="T87" s="192"/>
      <c r="U87" s="189">
        <f>VLOOKUP(B87,'2024 by account '!$A$2:$M$102,6,0)/1000</f>
        <v>-18.001200000000001</v>
      </c>
      <c r="V87" s="189">
        <f t="shared" si="45"/>
        <v>-0.51637813571233915</v>
      </c>
      <c r="W87" s="190">
        <f t="shared" si="46"/>
        <v>-1.2658188353981937E-2</v>
      </c>
      <c r="X87" s="192"/>
      <c r="Y87" s="189">
        <f>VLOOKUP(B87,'2024 by account '!$A$2:$M$102,7,0)/1000</f>
        <v>-17.457090000000001</v>
      </c>
      <c r="Z87" s="189">
        <f t="shared" si="47"/>
        <v>-0.4978252872383202</v>
      </c>
      <c r="AA87" s="190">
        <f t="shared" si="48"/>
        <v>-1.6071322547724698E-2</v>
      </c>
      <c r="AB87" s="192"/>
      <c r="AC87" s="189">
        <f>VLOOKUP(B87,'2024 by account '!$A$2:$M$102,8,0)/1000</f>
        <v>-15.693869999999999</v>
      </c>
      <c r="AD87" s="189">
        <f t="shared" si="49"/>
        <v>-0.43964237790956634</v>
      </c>
      <c r="AE87" s="190">
        <f t="shared" si="50"/>
        <v>-1.2751758503047434E-2</v>
      </c>
      <c r="AF87" s="192"/>
      <c r="AG87" s="189">
        <f>VLOOKUP(B87,'2024 by account '!$A$2:$M$102,9,0)/1000</f>
        <v>-14.946679999999999</v>
      </c>
      <c r="AH87" s="189">
        <f t="shared" si="51"/>
        <v>-0.40276907986569582</v>
      </c>
      <c r="AI87" s="190">
        <f t="shared" si="52"/>
        <v>-1.5746699502138393E-2</v>
      </c>
      <c r="AJ87" s="192"/>
      <c r="AK87" s="189">
        <f>VLOOKUP(B87,'2024 by account '!$A$2:$M$102,10,0)/1000</f>
        <v>-8.6565100000000008</v>
      </c>
      <c r="AL87" s="189">
        <f t="shared" si="53"/>
        <v>-0.22886395737229356</v>
      </c>
      <c r="AM87" s="190">
        <f t="shared" si="54"/>
        <v>-5.7067613547848979E-3</v>
      </c>
      <c r="AN87" s="192"/>
      <c r="AO87" s="189">
        <f>VLOOKUP(B87,'2024 by account '!$A$2:$M$102,11,0)/1000</f>
        <v>-6.7202899999999994</v>
      </c>
      <c r="AP87" s="189">
        <f t="shared" si="55"/>
        <v>-0.17994040895327881</v>
      </c>
      <c r="AQ87" s="190">
        <f t="shared" si="56"/>
        <v>-4.3688641793109195E-3</v>
      </c>
      <c r="AR87" s="192"/>
      <c r="AS87" s="189">
        <f>VLOOKUP(B87,'2024 by account '!$A$2:$M$102,12,0)/1000</f>
        <v>-6.5852999999999993</v>
      </c>
      <c r="AT87" s="189">
        <f t="shared" si="57"/>
        <v>-0.17980979529648833</v>
      </c>
      <c r="AU87" s="190">
        <f t="shared" si="58"/>
        <v>-4.1709532659820999E-3</v>
      </c>
      <c r="AV87" s="192"/>
      <c r="AW87" s="191">
        <f>VLOOKUP(B87,'2024 by account '!$A$2:$M$102,13,0)/1000</f>
        <v>-6.68628</v>
      </c>
      <c r="AX87" s="189">
        <f t="shared" si="59"/>
        <v>-0.18239202331552226</v>
      </c>
      <c r="AY87" s="190">
        <f t="shared" si="60"/>
        <v>-6.9740382868321901E-3</v>
      </c>
      <c r="AZ87" s="167"/>
      <c r="BA87" s="191">
        <f t="shared" si="35"/>
        <v>-116.95607999999999</v>
      </c>
      <c r="BB87" s="189">
        <f t="shared" si="36"/>
        <v>-3.2742631589942532</v>
      </c>
      <c r="BC87" s="190">
        <f t="shared" si="61"/>
        <v>-8.9398212151998967E-3</v>
      </c>
    </row>
    <row r="88" spans="1:55" outlineLevel="1">
      <c r="A88" s="188">
        <v>6666010186</v>
      </c>
      <c r="B88" s="188">
        <v>6666010186</v>
      </c>
      <c r="C88" s="188" t="s">
        <v>97</v>
      </c>
      <c r="D88" s="188" t="s">
        <v>102</v>
      </c>
      <c r="E88" s="189">
        <f>VLOOKUP(B88,'2024 by account '!$A$2:$M$102,2,0)/1000</f>
        <v>37.825789999999991</v>
      </c>
      <c r="F88" s="189">
        <f t="shared" si="37"/>
        <v>1.1526454679810458</v>
      </c>
      <c r="G88" s="190">
        <f t="shared" si="38"/>
        <v>7.1838296539797175E-2</v>
      </c>
      <c r="H88" s="167"/>
      <c r="I88" s="191">
        <f>VLOOKUP(B88,'2024 by account '!$A$2:$M$102,3,0)/1000</f>
        <v>409.59821999999997</v>
      </c>
      <c r="J88" s="189">
        <f t="shared" si="66"/>
        <v>12.313410733396662</v>
      </c>
      <c r="K88" s="190">
        <f t="shared" si="40"/>
        <v>0.62340070541700399</v>
      </c>
      <c r="L88" s="192"/>
      <c r="M88" s="189">
        <f>VLOOKUP(B88,'2024 by account '!$A$2:$M$102,4,0)/1000</f>
        <v>311.50496999999996</v>
      </c>
      <c r="N88" s="189">
        <f t="shared" si="67"/>
        <v>8.9454057531107392</v>
      </c>
      <c r="O88" s="190">
        <f t="shared" si="42"/>
        <v>0.44644436557921541</v>
      </c>
      <c r="P88" s="192"/>
      <c r="Q88" s="189">
        <f>VLOOKUP(B88,'2024 by account '!$A$2:$M$102,5,0)/1000</f>
        <v>808.50439999999992</v>
      </c>
      <c r="R88" s="189">
        <f t="shared" si="43"/>
        <v>23.304808518243082</v>
      </c>
      <c r="S88" s="190">
        <f t="shared" si="44"/>
        <v>0.83103835246739233</v>
      </c>
      <c r="T88" s="192"/>
      <c r="U88" s="189">
        <f>VLOOKUP(B88,'2024 by account '!$A$2:$M$102,6,0)/1000</f>
        <v>449.29343999999992</v>
      </c>
      <c r="V88" s="189">
        <f t="shared" si="45"/>
        <v>12.888324608080776</v>
      </c>
      <c r="W88" s="190">
        <f t="shared" si="46"/>
        <v>0.31593677031133932</v>
      </c>
      <c r="X88" s="192"/>
      <c r="Y88" s="189">
        <f>VLOOKUP(B88,'2024 by account '!$A$2:$M$102,7,0)/1000</f>
        <v>241.68261999999999</v>
      </c>
      <c r="Z88" s="189">
        <f t="shared" si="47"/>
        <v>6.8920833725443229</v>
      </c>
      <c r="AA88" s="190">
        <f t="shared" si="48"/>
        <v>0.22249752623141536</v>
      </c>
      <c r="AB88" s="192"/>
      <c r="AC88" s="189">
        <f>VLOOKUP(B88,'2024 by account '!$A$2:$M$102,8,0)/1000</f>
        <v>464.88430999999997</v>
      </c>
      <c r="AD88" s="189">
        <f t="shared" si="49"/>
        <v>13.023100325238325</v>
      </c>
      <c r="AE88" s="190">
        <f t="shared" si="50"/>
        <v>0.3777329908413819</v>
      </c>
      <c r="AF88" s="192"/>
      <c r="AG88" s="189">
        <f>VLOOKUP(B88,'2024 by account '!$A$2:$M$102,9,0)/1000</f>
        <v>342.55414000000002</v>
      </c>
      <c r="AH88" s="189">
        <f t="shared" si="51"/>
        <v>9.2308268974772165</v>
      </c>
      <c r="AI88" s="190">
        <f t="shared" si="52"/>
        <v>0.36088931493772836</v>
      </c>
      <c r="AJ88" s="192"/>
      <c r="AK88" s="189">
        <f>VLOOKUP(B88,'2024 by account '!$A$2:$M$102,10,0)/1000</f>
        <v>289.23944000000006</v>
      </c>
      <c r="AL88" s="189">
        <f t="shared" si="53"/>
        <v>7.6470174315683881</v>
      </c>
      <c r="AM88" s="190">
        <f t="shared" si="54"/>
        <v>0.19067966865071784</v>
      </c>
      <c r="AN88" s="192"/>
      <c r="AO88" s="189">
        <f>VLOOKUP(B88,'2024 by account '!$A$2:$M$102,11,0)/1000</f>
        <v>523.13187999999991</v>
      </c>
      <c r="AP88" s="189">
        <f t="shared" si="55"/>
        <v>14.007217608718905</v>
      </c>
      <c r="AQ88" s="190">
        <f t="shared" si="56"/>
        <v>0.34008831934151323</v>
      </c>
      <c r="AR88" s="192"/>
      <c r="AS88" s="189">
        <f>VLOOKUP(B88,'2024 by account '!$A$2:$M$102,12,0)/1000</f>
        <v>462.57099000000005</v>
      </c>
      <c r="AT88" s="189">
        <f t="shared" si="57"/>
        <v>12.630372955217524</v>
      </c>
      <c r="AU88" s="190">
        <f t="shared" si="58"/>
        <v>0.29298011958286996</v>
      </c>
      <c r="AV88" s="192"/>
      <c r="AW88" s="191">
        <f>VLOOKUP(B88,'2024 by account '!$A$2:$M$102,13,0)/1000</f>
        <v>398.76196999999996</v>
      </c>
      <c r="AX88" s="189">
        <f t="shared" si="59"/>
        <v>10.877648338027063</v>
      </c>
      <c r="AY88" s="190">
        <f t="shared" si="60"/>
        <v>0.41592353986261854</v>
      </c>
      <c r="AZ88" s="167"/>
      <c r="BA88" s="191">
        <f t="shared" si="35"/>
        <v>4739.5521699999999</v>
      </c>
      <c r="BB88" s="189">
        <f t="shared" si="36"/>
        <v>132.91286200960403</v>
      </c>
      <c r="BC88" s="190">
        <f t="shared" si="61"/>
        <v>0.36289606725788526</v>
      </c>
    </row>
    <row r="89" spans="1:55" outlineLevel="1">
      <c r="A89" s="188">
        <v>6666010189</v>
      </c>
      <c r="B89" s="188">
        <v>6666010189</v>
      </c>
      <c r="C89" s="188" t="s">
        <v>98</v>
      </c>
      <c r="D89" s="188" t="s">
        <v>102</v>
      </c>
      <c r="E89" s="189">
        <f>VLOOKUP(B89,'2024 by account '!$A$2:$M$102,2,0)/1000</f>
        <v>0</v>
      </c>
      <c r="F89" s="189">
        <f t="shared" si="37"/>
        <v>0</v>
      </c>
      <c r="G89" s="190">
        <f t="shared" si="38"/>
        <v>0</v>
      </c>
      <c r="H89" s="167"/>
      <c r="I89" s="191">
        <f>VLOOKUP(B89,'2024 by account '!$A$2:$M$102,3,0)/1000</f>
        <v>1.9620599999999999</v>
      </c>
      <c r="J89" s="189">
        <f t="shared" si="66"/>
        <v>5.8983778453842541E-2</v>
      </c>
      <c r="K89" s="190">
        <f t="shared" si="40"/>
        <v>2.9862180262172208E-3</v>
      </c>
      <c r="L89" s="192"/>
      <c r="M89" s="189">
        <f>VLOOKUP(B89,'2024 by account '!$A$2:$M$102,4,0)/1000</f>
        <v>0</v>
      </c>
      <c r="N89" s="189">
        <f t="shared" si="67"/>
        <v>0</v>
      </c>
      <c r="O89" s="190">
        <f t="shared" si="42"/>
        <v>0</v>
      </c>
      <c r="P89" s="192"/>
      <c r="Q89" s="189">
        <f>VLOOKUP(B89,'2024 by account '!$A$2:$M$102,5,0)/1000</f>
        <v>35.135599999999997</v>
      </c>
      <c r="R89" s="189">
        <f t="shared" si="43"/>
        <v>1.0127692937398753</v>
      </c>
      <c r="S89" s="190">
        <f t="shared" si="44"/>
        <v>3.6114869797806058E-2</v>
      </c>
      <c r="T89" s="192"/>
      <c r="U89" s="189">
        <f>VLOOKUP(B89,'2024 by account '!$A$2:$M$102,6,0)/1000</f>
        <v>0</v>
      </c>
      <c r="V89" s="189">
        <f t="shared" si="45"/>
        <v>0</v>
      </c>
      <c r="W89" s="190">
        <f t="shared" si="46"/>
        <v>0</v>
      </c>
      <c r="X89" s="192"/>
      <c r="Y89" s="189">
        <f>VLOOKUP(B89,'2024 by account '!$A$2:$M$102,7,0)/1000</f>
        <v>-89.980840000000001</v>
      </c>
      <c r="Z89" s="189">
        <f t="shared" si="47"/>
        <v>-2.5659910969666382</v>
      </c>
      <c r="AA89" s="190">
        <f t="shared" si="48"/>
        <v>-8.2838039029139915E-2</v>
      </c>
      <c r="AB89" s="192"/>
      <c r="AC89" s="189">
        <f>VLOOKUP(B89,'2024 by account '!$A$2:$M$102,8,0)/1000</f>
        <v>-0.14455999999999999</v>
      </c>
      <c r="AD89" s="189">
        <f t="shared" si="49"/>
        <v>-4.0496513702870558E-3</v>
      </c>
      <c r="AE89" s="190">
        <f t="shared" si="50"/>
        <v>-1.1745950547573907E-4</v>
      </c>
      <c r="AF89" s="192"/>
      <c r="AG89" s="189">
        <f>VLOOKUP(B89,'2024 by account '!$A$2:$M$102,9,0)/1000</f>
        <v>0</v>
      </c>
      <c r="AH89" s="189">
        <f t="shared" si="51"/>
        <v>0</v>
      </c>
      <c r="AI89" s="190">
        <f t="shared" si="52"/>
        <v>0</v>
      </c>
      <c r="AJ89" s="192"/>
      <c r="AK89" s="189">
        <f>VLOOKUP(B89,'2024 by account '!$A$2:$M$102,10,0)/1000</f>
        <v>-69.372820000000004</v>
      </c>
      <c r="AL89" s="189">
        <f t="shared" si="53"/>
        <v>-1.834103826978285</v>
      </c>
      <c r="AM89" s="190">
        <f t="shared" si="54"/>
        <v>-4.5733688085434994E-2</v>
      </c>
      <c r="AN89" s="192"/>
      <c r="AO89" s="189">
        <f>VLOOKUP(B89,'2024 by account '!$A$2:$M$102,11,0)/1000</f>
        <v>-30.98095</v>
      </c>
      <c r="AP89" s="189">
        <f t="shared" si="55"/>
        <v>-0.82953634631259721</v>
      </c>
      <c r="AQ89" s="190">
        <f t="shared" si="56"/>
        <v>-2.0140732423157726E-2</v>
      </c>
      <c r="AR89" s="192"/>
      <c r="AS89" s="189">
        <f>VLOOKUP(B89,'2024 by account '!$A$2:$M$102,12,0)/1000</f>
        <v>0</v>
      </c>
      <c r="AT89" s="189">
        <f t="shared" si="57"/>
        <v>0</v>
      </c>
      <c r="AU89" s="190">
        <f t="shared" si="58"/>
        <v>0</v>
      </c>
      <c r="AV89" s="192"/>
      <c r="AW89" s="191">
        <f>VLOOKUP(B89,'2024 by account '!$A$2:$M$102,13,0)/1000</f>
        <v>0</v>
      </c>
      <c r="AX89" s="189">
        <f t="shared" si="59"/>
        <v>0</v>
      </c>
      <c r="AY89" s="190">
        <f t="shared" si="60"/>
        <v>0</v>
      </c>
      <c r="AZ89" s="167"/>
      <c r="BA89" s="191">
        <f t="shared" si="35"/>
        <v>-153.38150999999999</v>
      </c>
      <c r="BB89" s="189">
        <f t="shared" si="36"/>
        <v>-4.1619278494340897</v>
      </c>
      <c r="BC89" s="190">
        <f t="shared" si="61"/>
        <v>-1.1363439368731406E-2</v>
      </c>
    </row>
    <row r="90" spans="1:55" outlineLevel="1">
      <c r="A90" s="188">
        <v>6666010012</v>
      </c>
      <c r="B90" s="188">
        <v>6666010012</v>
      </c>
      <c r="C90" s="188" t="s">
        <v>99</v>
      </c>
      <c r="D90" s="188" t="s">
        <v>102</v>
      </c>
      <c r="E90" s="189">
        <f>VLOOKUP(B90,'2024 by account '!$A$2:$M$102,2,0)/1000</f>
        <v>560.37098000000003</v>
      </c>
      <c r="F90" s="189">
        <f t="shared" si="37"/>
        <v>17.075891091371719</v>
      </c>
      <c r="G90" s="190">
        <f t="shared" si="38"/>
        <v>1.0642499901135383</v>
      </c>
      <c r="H90" s="167"/>
      <c r="I90" s="191">
        <f>VLOOKUP(B90,'2024 by account '!$A$2:$M$102,3,0)/1000</f>
        <v>1557.6417900000001</v>
      </c>
      <c r="J90" s="189">
        <f t="shared" si="66"/>
        <v>46.826090054232154</v>
      </c>
      <c r="K90" s="190">
        <f t="shared" si="40"/>
        <v>2.3707011975613685</v>
      </c>
      <c r="L90" s="192"/>
      <c r="M90" s="189">
        <f>VLOOKUP(B90,'2024 by account '!$A$2:$M$102,4,0)/1000</f>
        <v>846.9498000000001</v>
      </c>
      <c r="N90" s="189">
        <f t="shared" si="67"/>
        <v>24.321633178167247</v>
      </c>
      <c r="O90" s="190">
        <f t="shared" si="42"/>
        <v>1.2138360621933049</v>
      </c>
      <c r="P90" s="192"/>
      <c r="Q90" s="189">
        <f>VLOOKUP(B90,'2024 by account '!$A$2:$M$102,5,0)/1000</f>
        <v>969.75545000000022</v>
      </c>
      <c r="R90" s="189">
        <f t="shared" si="43"/>
        <v>27.952804056196431</v>
      </c>
      <c r="S90" s="190">
        <f t="shared" si="44"/>
        <v>0.99678365567865179</v>
      </c>
      <c r="T90" s="192"/>
      <c r="U90" s="189">
        <f>VLOOKUP(B90,'2024 by account '!$A$2:$M$102,6,0)/1000</f>
        <v>928.22030000000007</v>
      </c>
      <c r="V90" s="189">
        <f t="shared" si="45"/>
        <v>26.626706444256392</v>
      </c>
      <c r="W90" s="190">
        <f t="shared" si="46"/>
        <v>0.65271134098780192</v>
      </c>
      <c r="X90" s="192"/>
      <c r="Y90" s="189">
        <f>VLOOKUP(B90,'2024 by account '!$A$2:$M$102,7,0)/1000</f>
        <v>1028.41822</v>
      </c>
      <c r="Z90" s="189">
        <f t="shared" si="47"/>
        <v>29.327487901627471</v>
      </c>
      <c r="AA90" s="190">
        <f t="shared" si="48"/>
        <v>0.94678098855977122</v>
      </c>
      <c r="AB90" s="192"/>
      <c r="AC90" s="189">
        <f>VLOOKUP(B90,'2024 by account '!$A$2:$M$102,8,0)/1000</f>
        <v>923.17826000000002</v>
      </c>
      <c r="AD90" s="189">
        <f t="shared" si="49"/>
        <v>25.861580697483536</v>
      </c>
      <c r="AE90" s="190">
        <f t="shared" si="50"/>
        <v>0.75011110878218912</v>
      </c>
      <c r="AF90" s="192"/>
      <c r="AG90" s="189">
        <f>VLOOKUP(B90,'2024 by account '!$A$2:$M$102,9,0)/1000</f>
        <v>872.23291999999992</v>
      </c>
      <c r="AH90" s="189">
        <f t="shared" si="51"/>
        <v>23.504112660267637</v>
      </c>
      <c r="AI90" s="190">
        <f t="shared" si="52"/>
        <v>0.91891909689059492</v>
      </c>
      <c r="AJ90" s="192"/>
      <c r="AK90" s="189">
        <f>VLOOKUP(B90,'2024 by account '!$A$2:$M$102,10,0)/1000</f>
        <v>1049.48019</v>
      </c>
      <c r="AL90" s="189">
        <f t="shared" si="53"/>
        <v>27.746538670575848</v>
      </c>
      <c r="AM90" s="190">
        <f t="shared" si="54"/>
        <v>0.69186461875563154</v>
      </c>
      <c r="AN90" s="192"/>
      <c r="AO90" s="189">
        <f>VLOOKUP(B90,'2024 by account '!$A$2:$M$102,11,0)/1000</f>
        <v>1058.5650600000001</v>
      </c>
      <c r="AP90" s="189">
        <f t="shared" si="55"/>
        <v>28.343811026020031</v>
      </c>
      <c r="AQ90" s="190">
        <f t="shared" si="56"/>
        <v>0.68817372049481706</v>
      </c>
      <c r="AR90" s="192"/>
      <c r="AS90" s="189">
        <f>VLOOKUP(B90,'2024 by account '!$A$2:$M$102,12,0)/1000</f>
        <v>962.78732000000002</v>
      </c>
      <c r="AT90" s="189">
        <f t="shared" si="57"/>
        <v>26.288641508094486</v>
      </c>
      <c r="AU90" s="190">
        <f t="shared" si="58"/>
        <v>0.60980379281128472</v>
      </c>
      <c r="AV90" s="192"/>
      <c r="AW90" s="191">
        <f>VLOOKUP(B90,'2024 by account '!$A$2:$M$102,13,0)/1000</f>
        <v>990.56292999999994</v>
      </c>
      <c r="AX90" s="189">
        <f t="shared" si="59"/>
        <v>27.021120417339993</v>
      </c>
      <c r="AY90" s="190">
        <f t="shared" si="60"/>
        <v>1.0331939134072572</v>
      </c>
      <c r="AZ90" s="167"/>
      <c r="BA90" s="191">
        <f t="shared" si="35"/>
        <v>11748.16322</v>
      </c>
      <c r="BB90" s="189">
        <f t="shared" si="36"/>
        <v>330.89641770563298</v>
      </c>
      <c r="BC90" s="190">
        <f t="shared" si="61"/>
        <v>0.90345664700546335</v>
      </c>
    </row>
    <row r="91" spans="1:55" outlineLevel="1">
      <c r="A91" s="188">
        <v>6666010226</v>
      </c>
      <c r="B91" s="188">
        <v>6666010226</v>
      </c>
      <c r="C91" s="188" t="s">
        <v>100</v>
      </c>
      <c r="D91" s="188" t="s">
        <v>102</v>
      </c>
      <c r="E91" s="189">
        <f>VLOOKUP(B91,'2024 by account '!$A$2:$M$102,2,0)/1000</f>
        <v>81.532029999999992</v>
      </c>
      <c r="F91" s="189">
        <f t="shared" si="37"/>
        <v>2.4844828059055657</v>
      </c>
      <c r="G91" s="190">
        <f t="shared" si="38"/>
        <v>0.15484467472144378</v>
      </c>
      <c r="H91" s="167"/>
      <c r="I91" s="191">
        <f>VLOOKUP(B91,'2024 by account '!$A$2:$M$102,3,0)/1000</f>
        <v>399.52249</v>
      </c>
      <c r="J91" s="189">
        <f t="shared" si="66"/>
        <v>12.010512439725352</v>
      </c>
      <c r="K91" s="190">
        <f t="shared" si="40"/>
        <v>0.60806563587106888</v>
      </c>
      <c r="L91" s="192"/>
      <c r="M91" s="189">
        <f>VLOOKUP(B91,'2024 by account '!$A$2:$M$102,4,0)/1000</f>
        <v>359.42431999999997</v>
      </c>
      <c r="N91" s="189">
        <f t="shared" si="67"/>
        <v>10.321493040499211</v>
      </c>
      <c r="O91" s="190">
        <f t="shared" si="42"/>
        <v>0.51512167692265365</v>
      </c>
      <c r="P91" s="192"/>
      <c r="Q91" s="189">
        <f>VLOOKUP(B91,'2024 by account '!$A$2:$M$102,5,0)/1000</f>
        <v>1.2380800000000018</v>
      </c>
      <c r="R91" s="189">
        <f t="shared" si="43"/>
        <v>3.5687149420914027E-2</v>
      </c>
      <c r="S91" s="190">
        <f t="shared" si="44"/>
        <v>1.2725867211394654E-3</v>
      </c>
      <c r="T91" s="192"/>
      <c r="U91" s="189">
        <f>VLOOKUP(B91,'2024 by account '!$A$2:$M$102,6,0)/1000</f>
        <v>192.45363</v>
      </c>
      <c r="V91" s="189">
        <f t="shared" si="45"/>
        <v>5.5206789919823294</v>
      </c>
      <c r="W91" s="190">
        <f t="shared" si="46"/>
        <v>0.13533066117522993</v>
      </c>
      <c r="X91" s="192"/>
      <c r="Y91" s="189">
        <f>VLOOKUP(B91,'2024 by account '!$A$2:$M$102,7,0)/1000</f>
        <v>159.59926000000002</v>
      </c>
      <c r="Z91" s="189">
        <f t="shared" si="47"/>
        <v>4.5513053694815886</v>
      </c>
      <c r="AA91" s="190">
        <f t="shared" si="48"/>
        <v>0.14693005454163188</v>
      </c>
      <c r="AB91" s="192"/>
      <c r="AC91" s="189">
        <f>VLOOKUP(B91,'2024 by account '!$A$2:$M$102,8,0)/1000</f>
        <v>215.57107999999999</v>
      </c>
      <c r="AD91" s="189">
        <f t="shared" si="49"/>
        <v>6.0389299911196774</v>
      </c>
      <c r="AE91" s="190">
        <f t="shared" si="50"/>
        <v>0.17515822116540528</v>
      </c>
      <c r="AF91" s="192"/>
      <c r="AG91" s="189">
        <f>VLOOKUP(B91,'2024 by account '!$A$2:$M$102,9,0)/1000</f>
        <v>169.58914999999996</v>
      </c>
      <c r="AH91" s="189">
        <f t="shared" si="51"/>
        <v>4.5699289675503492</v>
      </c>
      <c r="AI91" s="190">
        <f t="shared" si="52"/>
        <v>0.17866639172532447</v>
      </c>
      <c r="AJ91" s="192"/>
      <c r="AK91" s="189">
        <f>VLOOKUP(B91,'2024 by account '!$A$2:$M$102,10,0)/1000</f>
        <v>162.2176</v>
      </c>
      <c r="AL91" s="189">
        <f t="shared" si="53"/>
        <v>4.2887678627340309</v>
      </c>
      <c r="AM91" s="190">
        <f t="shared" si="54"/>
        <v>0.10694114957944421</v>
      </c>
      <c r="AN91" s="192"/>
      <c r="AO91" s="189">
        <f>VLOOKUP(B91,'2024 by account '!$A$2:$M$102,11,0)/1000</f>
        <v>161.81734999999998</v>
      </c>
      <c r="AP91" s="189">
        <f t="shared" si="55"/>
        <v>4.3327713736662927</v>
      </c>
      <c r="AQ91" s="190">
        <f t="shared" si="56"/>
        <v>0.10519754713055801</v>
      </c>
      <c r="AR91" s="192"/>
      <c r="AS91" s="189">
        <f>VLOOKUP(B91,'2024 by account '!$A$2:$M$102,12,0)/1000</f>
        <v>158.91651999999999</v>
      </c>
      <c r="AT91" s="189">
        <f t="shared" si="57"/>
        <v>4.3391716293001528</v>
      </c>
      <c r="AU91" s="190">
        <f t="shared" si="58"/>
        <v>0.10065348247042805</v>
      </c>
      <c r="AV91" s="192"/>
      <c r="AW91" s="191">
        <f>VLOOKUP(B91,'2024 by account '!$A$2:$M$102,13,0)/1000</f>
        <v>158.26689999999999</v>
      </c>
      <c r="AX91" s="189">
        <f t="shared" si="59"/>
        <v>4.3172915455044407</v>
      </c>
      <c r="AY91" s="190">
        <f t="shared" si="60"/>
        <v>0.1650782528009957</v>
      </c>
      <c r="AZ91" s="167"/>
      <c r="BA91" s="191">
        <f t="shared" si="35"/>
        <v>2220.1484099999993</v>
      </c>
      <c r="BB91" s="189">
        <f t="shared" si="36"/>
        <v>62.811021166889908</v>
      </c>
      <c r="BC91" s="190">
        <f t="shared" si="61"/>
        <v>0.17149485924296098</v>
      </c>
    </row>
    <row r="92" spans="1:55" outlineLevel="1">
      <c r="A92" s="188">
        <v>6666010102</v>
      </c>
      <c r="B92" s="188">
        <v>6666010102</v>
      </c>
      <c r="C92" s="188" t="s">
        <v>101</v>
      </c>
      <c r="D92" s="188" t="s">
        <v>102</v>
      </c>
      <c r="E92" s="189">
        <f>VLOOKUP(B92,'2024 by account '!$A$2:$M$102,2,0)/1000</f>
        <v>3868.2843099999996</v>
      </c>
      <c r="F92" s="189">
        <f t="shared" si="37"/>
        <v>117.87619977755092</v>
      </c>
      <c r="G92" s="190">
        <f t="shared" si="38"/>
        <v>7.346600173110061</v>
      </c>
      <c r="H92" s="167"/>
      <c r="I92" s="191">
        <f>VLOOKUP(B92,'2024 by account '!$A$2:$M$102,3,0)/1000</f>
        <v>2882.0972299999999</v>
      </c>
      <c r="J92" s="189">
        <f t="shared" si="66"/>
        <v>86.642092747802451</v>
      </c>
      <c r="K92" s="190">
        <f t="shared" si="40"/>
        <v>4.386497202703648</v>
      </c>
      <c r="L92" s="192"/>
      <c r="M92" s="189">
        <f>VLOOKUP(B92,'2024 by account '!$A$2:$M$102,4,0)/1000</f>
        <v>6494.467380000001</v>
      </c>
      <c r="N92" s="189">
        <f t="shared" si="67"/>
        <v>186.49990035292873</v>
      </c>
      <c r="O92" s="190">
        <f t="shared" si="42"/>
        <v>9.3077756327258925</v>
      </c>
      <c r="P92" s="192"/>
      <c r="Q92" s="189">
        <f>VLOOKUP(B92,'2024 by account '!$A$2:$M$102,5,0)/1000</f>
        <v>5354.0452500000001</v>
      </c>
      <c r="R92" s="189">
        <f t="shared" si="43"/>
        <v>154.3281636429671</v>
      </c>
      <c r="S92" s="190">
        <f t="shared" si="44"/>
        <v>5.5032686817732452</v>
      </c>
      <c r="T92" s="192"/>
      <c r="U92" s="189">
        <f>VLOOKUP(B92,'2024 by account '!$A$2:$M$102,6,0)/1000</f>
        <v>5562.9210600000006</v>
      </c>
      <c r="V92" s="189">
        <f t="shared" si="45"/>
        <v>159.57662856241305</v>
      </c>
      <c r="W92" s="190">
        <f t="shared" si="46"/>
        <v>3.911767136402732</v>
      </c>
      <c r="X92" s="192"/>
      <c r="Y92" s="189">
        <f>VLOOKUP(B92,'2024 by account '!$A$2:$M$102,7,0)/1000</f>
        <v>6217.9802899999995</v>
      </c>
      <c r="Z92" s="189">
        <f t="shared" si="47"/>
        <v>177.31866100887737</v>
      </c>
      <c r="AA92" s="190">
        <f t="shared" si="48"/>
        <v>5.7243885914539447</v>
      </c>
      <c r="AB92" s="192"/>
      <c r="AC92" s="189">
        <f>VLOOKUP(B92,'2024 by account '!$A$2:$M$102,8,0)/1000</f>
        <v>5890.2597000000005</v>
      </c>
      <c r="AD92" s="189">
        <f t="shared" si="49"/>
        <v>165.00759729836486</v>
      </c>
      <c r="AE92" s="190">
        <f t="shared" si="50"/>
        <v>4.7860195869235973</v>
      </c>
      <c r="AF92" s="192"/>
      <c r="AG92" s="189">
        <f>VLOOKUP(B92,'2024 by account '!$A$2:$M$102,9,0)/1000</f>
        <v>5364.8786099999998</v>
      </c>
      <c r="AH92" s="189">
        <f t="shared" si="51"/>
        <v>144.56770475723394</v>
      </c>
      <c r="AI92" s="190">
        <f t="shared" si="52"/>
        <v>5.6520331830961741</v>
      </c>
      <c r="AJ92" s="192"/>
      <c r="AK92" s="189">
        <f>VLOOKUP(B92,'2024 by account '!$A$2:$M$102,10,0)/1000</f>
        <v>6411.6280300000008</v>
      </c>
      <c r="AL92" s="189">
        <f t="shared" si="53"/>
        <v>169.51295200316554</v>
      </c>
      <c r="AM92" s="190">
        <f t="shared" si="54"/>
        <v>4.2268340315969857</v>
      </c>
      <c r="AN92" s="192"/>
      <c r="AO92" s="189">
        <f>VLOOKUP(B92,'2024 by account '!$A$2:$M$102,11,0)/1000</f>
        <v>6219.7764700000007</v>
      </c>
      <c r="AP92" s="189">
        <f t="shared" si="55"/>
        <v>166.53881329671503</v>
      </c>
      <c r="AQ92" s="190">
        <f t="shared" si="56"/>
        <v>4.0434800615901869</v>
      </c>
      <c r="AR92" s="192"/>
      <c r="AS92" s="189">
        <f>VLOOKUP(B92,'2024 by account '!$A$2:$M$102,12,0)/1000</f>
        <v>5525.1837700000005</v>
      </c>
      <c r="AT92" s="189">
        <f t="shared" si="57"/>
        <v>150.86361481772732</v>
      </c>
      <c r="AU92" s="190">
        <f t="shared" si="58"/>
        <v>3.49950393917252</v>
      </c>
      <c r="AV92" s="192"/>
      <c r="AW92" s="191">
        <f>VLOOKUP(B92,'2024 by account '!$A$2:$M$102,13,0)/1000</f>
        <v>6658.6310999999996</v>
      </c>
      <c r="AX92" s="189">
        <f t="shared" si="59"/>
        <v>181.63780141433827</v>
      </c>
      <c r="AY92" s="190">
        <f t="shared" si="60"/>
        <v>6.9451994575895029</v>
      </c>
      <c r="AZ92" s="167"/>
      <c r="BA92" s="191">
        <f t="shared" si="35"/>
        <v>66450.153200000001</v>
      </c>
      <c r="BB92" s="189">
        <f t="shared" si="36"/>
        <v>1860.3701296800848</v>
      </c>
      <c r="BC92" s="190">
        <f t="shared" si="61"/>
        <v>5.0794256740642743</v>
      </c>
    </row>
    <row r="93" spans="1:55" s="24" customFormat="1">
      <c r="B93" s="37" t="s">
        <v>142</v>
      </c>
      <c r="C93" s="36" t="s">
        <v>102</v>
      </c>
      <c r="D93" s="38"/>
      <c r="E93" s="97">
        <f>SUM(E86:E92)</f>
        <v>4640.0191599999998</v>
      </c>
      <c r="F93" s="97">
        <f t="shared" si="37"/>
        <v>141.39287126902624</v>
      </c>
      <c r="G93" s="171">
        <f t="shared" si="38"/>
        <v>8.8122699450935649</v>
      </c>
      <c r="H93" s="167"/>
      <c r="I93" s="97">
        <f>SUM(I86:I92)</f>
        <v>5431.0756599999995</v>
      </c>
      <c r="J93" s="97">
        <f>SUM(J86:J92)</f>
        <v>163.26991197797042</v>
      </c>
      <c r="K93" s="171">
        <f t="shared" si="40"/>
        <v>8.265993923550548</v>
      </c>
      <c r="L93" s="172"/>
      <c r="M93" s="173">
        <f>SUM(M86:M92)</f>
        <v>8107.2338600000012</v>
      </c>
      <c r="N93" s="97">
        <f>SUM(N86:N92)</f>
        <v>232.81328838207048</v>
      </c>
      <c r="O93" s="171">
        <f t="shared" si="42"/>
        <v>11.619168956533937</v>
      </c>
      <c r="P93" s="172"/>
      <c r="Q93" s="97">
        <f>SUM(Q86:Q92)</f>
        <v>7266.7466000000004</v>
      </c>
      <c r="R93" s="97">
        <f t="shared" si="43"/>
        <v>209.46099744614128</v>
      </c>
      <c r="S93" s="171">
        <f t="shared" si="44"/>
        <v>7.4692792299733002</v>
      </c>
      <c r="T93" s="172"/>
      <c r="U93" s="97">
        <f>SUM(U86:U92)</f>
        <v>7223.2135200000012</v>
      </c>
      <c r="V93" s="97">
        <f t="shared" si="45"/>
        <v>207.2033826250341</v>
      </c>
      <c r="W93" s="171">
        <f t="shared" si="46"/>
        <v>5.0792612302062583</v>
      </c>
      <c r="X93" s="172"/>
      <c r="Y93" s="97">
        <f>SUM(Y86:Y92)</f>
        <v>7660.7403699999995</v>
      </c>
      <c r="Z93" s="97">
        <f t="shared" si="47"/>
        <v>218.46197018824128</v>
      </c>
      <c r="AA93" s="171">
        <f t="shared" si="48"/>
        <v>7.0526204218827893</v>
      </c>
      <c r="AB93" s="172"/>
      <c r="AC93" s="97">
        <f>SUM(AC86:AC92)</f>
        <v>7545.9785800000009</v>
      </c>
      <c r="AD93" s="97">
        <f t="shared" si="49"/>
        <v>211.39030504049373</v>
      </c>
      <c r="AE93" s="171">
        <f t="shared" si="50"/>
        <v>6.131342780418648</v>
      </c>
      <c r="AF93" s="172"/>
      <c r="AG93" s="97">
        <f>SUM(AG86:AG92)</f>
        <v>6837.3240599999999</v>
      </c>
      <c r="AH93" s="97">
        <f t="shared" si="51"/>
        <v>184.24578035990493</v>
      </c>
      <c r="AI93" s="171">
        <f t="shared" si="52"/>
        <v>7.2032911236181461</v>
      </c>
      <c r="AJ93" s="172"/>
      <c r="AK93" s="97">
        <f>SUM(AK86:AK92)</f>
        <v>7955.3512400000009</v>
      </c>
      <c r="AL93" s="97">
        <f t="shared" si="53"/>
        <v>210.32646725677932</v>
      </c>
      <c r="AM93" s="171">
        <f t="shared" si="54"/>
        <v>5.2445259140429714</v>
      </c>
      <c r="AN93" s="172"/>
      <c r="AO93" s="97">
        <f>SUM(AO86:AO92)</f>
        <v>8047.4810700000007</v>
      </c>
      <c r="AP93" s="97">
        <f t="shared" si="55"/>
        <v>215.47686703692401</v>
      </c>
      <c r="AQ93" s="171">
        <f t="shared" si="56"/>
        <v>5.2316718148183652</v>
      </c>
      <c r="AR93" s="172"/>
      <c r="AS93" s="97">
        <f>SUM(AS86:AS92)</f>
        <v>7212.9186000000009</v>
      </c>
      <c r="AT93" s="97">
        <f t="shared" si="57"/>
        <v>196.94674759786699</v>
      </c>
      <c r="AU93" s="171">
        <f t="shared" si="58"/>
        <v>4.5684701368097187</v>
      </c>
      <c r="AV93" s="172"/>
      <c r="AW93" s="97">
        <f>SUM(AW86:AW92)</f>
        <v>8312.9626900000003</v>
      </c>
      <c r="AX93" s="97">
        <f t="shared" si="59"/>
        <v>226.76556841405787</v>
      </c>
      <c r="AY93" s="171">
        <f t="shared" si="60"/>
        <v>8.670728727643402</v>
      </c>
      <c r="AZ93" s="45"/>
      <c r="BA93" s="97">
        <f t="shared" si="35"/>
        <v>86241.045410000006</v>
      </c>
      <c r="BB93" s="97">
        <f t="shared" si="36"/>
        <v>2417.7541575945106</v>
      </c>
      <c r="BC93" s="171">
        <f t="shared" si="61"/>
        <v>6.60126839586112</v>
      </c>
    </row>
    <row r="94" spans="1:55" outlineLevel="1">
      <c r="A94" s="188">
        <v>6666010196</v>
      </c>
      <c r="B94" s="188">
        <v>6666010196</v>
      </c>
      <c r="C94" s="188" t="s">
        <v>103</v>
      </c>
      <c r="D94" s="188" t="s">
        <v>109</v>
      </c>
      <c r="E94" s="189">
        <f>VLOOKUP(B94,'2024 by account '!$A$2:$M$102,2,0)/1000</f>
        <v>384.82881999999995</v>
      </c>
      <c r="F94" s="189">
        <f t="shared" si="37"/>
        <v>11.726686880075571</v>
      </c>
      <c r="G94" s="190">
        <f t="shared" si="38"/>
        <v>0.73086237956220446</v>
      </c>
      <c r="H94" s="167"/>
      <c r="I94" s="191">
        <f>VLOOKUP(B94,'2024 by account '!$A$2:$M$102,3,0)/1000</f>
        <v>358.20553000000001</v>
      </c>
      <c r="J94" s="189">
        <f t="shared" ref="J94:J100" si="68">I94/$J$2</f>
        <v>10.768435023628864</v>
      </c>
      <c r="K94" s="190">
        <f t="shared" si="40"/>
        <v>0.54518200808165573</v>
      </c>
      <c r="L94" s="192"/>
      <c r="M94" s="189">
        <f>VLOOKUP(B94,'2024 by account '!$A$2:$M$102,4,0)/1000</f>
        <v>387.46363000000002</v>
      </c>
      <c r="N94" s="189">
        <f t="shared" ref="N94:N100" si="69">M94/$N$2</f>
        <v>11.126690482412437</v>
      </c>
      <c r="O94" s="190">
        <f t="shared" si="42"/>
        <v>0.55530720578991055</v>
      </c>
      <c r="P94" s="192"/>
      <c r="Q94" s="189">
        <f>VLOOKUP(B94,'2024 by account '!$A$2:$M$102,5,0)/1000</f>
        <v>365.92858000000001</v>
      </c>
      <c r="R94" s="189">
        <f t="shared" si="43"/>
        <v>10.547741593308084</v>
      </c>
      <c r="S94" s="190">
        <f t="shared" si="44"/>
        <v>0.37612743263231763</v>
      </c>
      <c r="T94" s="192"/>
      <c r="U94" s="189">
        <f>VLOOKUP(B94,'2024 by account '!$A$2:$M$102,6,0)/1000</f>
        <v>345.32673999999997</v>
      </c>
      <c r="V94" s="189">
        <f t="shared" si="45"/>
        <v>9.9059606144490164</v>
      </c>
      <c r="W94" s="190">
        <f t="shared" si="46"/>
        <v>0.24282886244175655</v>
      </c>
      <c r="X94" s="192"/>
      <c r="Y94" s="189">
        <f>VLOOKUP(B94,'2024 by account '!$A$2:$M$102,7,0)/1000</f>
        <v>386.46181000000007</v>
      </c>
      <c r="Z94" s="189">
        <f t="shared" si="47"/>
        <v>11.020763573418659</v>
      </c>
      <c r="AA94" s="190">
        <f t="shared" si="48"/>
        <v>0.35578394800550939</v>
      </c>
      <c r="AB94" s="192"/>
      <c r="AC94" s="189">
        <f>VLOOKUP(B94,'2024 by account '!$A$2:$M$102,8,0)/1000</f>
        <v>376.47961999999995</v>
      </c>
      <c r="AD94" s="189">
        <f t="shared" si="49"/>
        <v>10.5465634270763</v>
      </c>
      <c r="AE94" s="190">
        <f t="shared" si="50"/>
        <v>0.3059014249231749</v>
      </c>
      <c r="AF94" s="192"/>
      <c r="AG94" s="189">
        <f>VLOOKUP(B94,'2024 by account '!$A$2:$M$102,9,0)/1000</f>
        <v>392.84416000000004</v>
      </c>
      <c r="AH94" s="189">
        <f t="shared" si="51"/>
        <v>10.585995074077468</v>
      </c>
      <c r="AI94" s="190">
        <f t="shared" si="52"/>
        <v>0.41387110306034358</v>
      </c>
      <c r="AJ94" s="192"/>
      <c r="AK94" s="189">
        <f>VLOOKUP(B94,'2024 by account '!$A$2:$M$102,10,0)/1000</f>
        <v>428.60995999999994</v>
      </c>
      <c r="AL94" s="189">
        <f t="shared" si="53"/>
        <v>11.331745890061979</v>
      </c>
      <c r="AM94" s="190">
        <f t="shared" si="54"/>
        <v>0.28255899386749395</v>
      </c>
      <c r="AN94" s="192"/>
      <c r="AO94" s="189">
        <f>VLOOKUP(B94,'2024 by account '!$A$2:$M$102,11,0)/1000</f>
        <v>412.17922999999996</v>
      </c>
      <c r="AP94" s="189">
        <f t="shared" si="55"/>
        <v>11.036383728715213</v>
      </c>
      <c r="AQ94" s="190">
        <f t="shared" si="56"/>
        <v>0.26795794130952033</v>
      </c>
      <c r="AR94" s="192"/>
      <c r="AS94" s="189">
        <f>VLOOKUP(B94,'2024 by account '!$A$2:$M$102,12,0)/1000</f>
        <v>408.95215999999994</v>
      </c>
      <c r="AT94" s="189">
        <f t="shared" si="57"/>
        <v>11.166325630670848</v>
      </c>
      <c r="AU94" s="190">
        <f t="shared" si="58"/>
        <v>0.25901938368524352</v>
      </c>
      <c r="AV94" s="192"/>
      <c r="AW94" s="191">
        <f>VLOOKUP(B94,'2024 by account '!$A$2:$M$102,13,0)/1000</f>
        <v>378.38163000000003</v>
      </c>
      <c r="AX94" s="189">
        <f t="shared" si="59"/>
        <v>10.321702214254461</v>
      </c>
      <c r="AY94" s="190">
        <f t="shared" si="60"/>
        <v>0.39466608856553592</v>
      </c>
      <c r="AZ94" s="167"/>
      <c r="BA94" s="191">
        <f t="shared" si="35"/>
        <v>4625.6618699999999</v>
      </c>
      <c r="BB94" s="189">
        <f t="shared" si="36"/>
        <v>130.08499413214892</v>
      </c>
      <c r="BC94" s="190">
        <f t="shared" si="61"/>
        <v>0.35517505278315964</v>
      </c>
    </row>
    <row r="95" spans="1:55" outlineLevel="1">
      <c r="A95" s="188">
        <v>6666010101</v>
      </c>
      <c r="B95" s="188">
        <v>6666010101</v>
      </c>
      <c r="C95" s="188" t="s">
        <v>104</v>
      </c>
      <c r="D95" s="188" t="s">
        <v>109</v>
      </c>
      <c r="E95" s="189">
        <f>VLOOKUP(B95,'2024 by account '!$A$2:$M$102,2,0)/1000</f>
        <v>2546.20568</v>
      </c>
      <c r="F95" s="189">
        <f t="shared" si="37"/>
        <v>77.589190803406822</v>
      </c>
      <c r="G95" s="190">
        <f t="shared" si="38"/>
        <v>4.8357239515990544</v>
      </c>
      <c r="H95" s="167"/>
      <c r="I95" s="191">
        <f>VLOOKUP(B95,'2024 by account '!$A$2:$M$102,3,0)/1000</f>
        <v>2374.0865299999996</v>
      </c>
      <c r="J95" s="189">
        <f t="shared" si="68"/>
        <v>71.370189451786274</v>
      </c>
      <c r="K95" s="190">
        <f t="shared" si="40"/>
        <v>3.6133145732982115</v>
      </c>
      <c r="L95" s="192"/>
      <c r="M95" s="189">
        <f>VLOOKUP(B95,'2024 by account '!$A$2:$M$102,4,0)/1000</f>
        <v>2623.9044400000002</v>
      </c>
      <c r="N95" s="189">
        <f t="shared" si="69"/>
        <v>75.349969129509617</v>
      </c>
      <c r="O95" s="190">
        <f t="shared" si="42"/>
        <v>3.7605414547841303</v>
      </c>
      <c r="P95" s="192"/>
      <c r="Q95" s="189">
        <f>VLOOKUP(B95,'2024 by account '!$A$2:$M$102,5,0)/1000</f>
        <v>3368.3377600000003</v>
      </c>
      <c r="R95" s="189">
        <f t="shared" si="43"/>
        <v>97.090957725855091</v>
      </c>
      <c r="S95" s="190">
        <f t="shared" si="44"/>
        <v>3.4622172280374812</v>
      </c>
      <c r="T95" s="192"/>
      <c r="U95" s="189">
        <f>VLOOKUP(B95,'2024 by account '!$A$2:$M$102,6,0)/1000</f>
        <v>2286.0322600000004</v>
      </c>
      <c r="V95" s="189">
        <f t="shared" si="45"/>
        <v>65.576576928041774</v>
      </c>
      <c r="W95" s="190">
        <f t="shared" si="46"/>
        <v>1.6075054402128199</v>
      </c>
      <c r="X95" s="192"/>
      <c r="Y95" s="189">
        <f>VLOOKUP(B95,'2024 by account '!$A$2:$M$102,7,0)/1000</f>
        <v>2579.6774400000004</v>
      </c>
      <c r="Z95" s="189">
        <f t="shared" si="47"/>
        <v>73.56487607901515</v>
      </c>
      <c r="AA95" s="190">
        <f t="shared" si="48"/>
        <v>2.3748991502781234</v>
      </c>
      <c r="AB95" s="192"/>
      <c r="AC95" s="189">
        <f>VLOOKUP(B95,'2024 by account '!$A$2:$M$102,8,0)/1000</f>
        <v>2967.8149700000008</v>
      </c>
      <c r="AD95" s="189">
        <f t="shared" si="49"/>
        <v>83.139291367037501</v>
      </c>
      <c r="AE95" s="190">
        <f t="shared" si="50"/>
        <v>2.4114421604848886</v>
      </c>
      <c r="AF95" s="192"/>
      <c r="AG95" s="189">
        <f>VLOOKUP(B95,'2024 by account '!$A$2:$M$102,9,0)/1000</f>
        <v>2851.52979</v>
      </c>
      <c r="AH95" s="189">
        <f t="shared" si="51"/>
        <v>76.840343790589017</v>
      </c>
      <c r="AI95" s="190">
        <f t="shared" si="52"/>
        <v>3.0041576272808279</v>
      </c>
      <c r="AJ95" s="192"/>
      <c r="AK95" s="189">
        <f>VLOOKUP(B95,'2024 by account '!$A$2:$M$102,10,0)/1000</f>
        <v>2939.1528899999998</v>
      </c>
      <c r="AL95" s="189">
        <f t="shared" si="53"/>
        <v>77.706392267508889</v>
      </c>
      <c r="AM95" s="190">
        <f t="shared" si="54"/>
        <v>1.9376219895149833</v>
      </c>
      <c r="AN95" s="192"/>
      <c r="AO95" s="189">
        <f>VLOOKUP(B95,'2024 by account '!$A$2:$M$102,11,0)/1000</f>
        <v>2918.7114699999997</v>
      </c>
      <c r="AP95" s="189">
        <f t="shared" si="55"/>
        <v>78.150516648600814</v>
      </c>
      <c r="AQ95" s="190">
        <f t="shared" si="56"/>
        <v>1.8974559120256589</v>
      </c>
      <c r="AR95" s="192"/>
      <c r="AS95" s="189">
        <f>VLOOKUP(B95,'2024 by account '!$A$2:$M$102,12,0)/1000</f>
        <v>2829.4675299999999</v>
      </c>
      <c r="AT95" s="189">
        <f t="shared" si="57"/>
        <v>77.257828400735036</v>
      </c>
      <c r="AU95" s="190">
        <f t="shared" si="58"/>
        <v>1.792109218295872</v>
      </c>
      <c r="AV95" s="192"/>
      <c r="AW95" s="191">
        <f>VLOOKUP(B95,'2024 by account '!$A$2:$M$102,13,0)/1000</f>
        <v>2550.7817300000006</v>
      </c>
      <c r="AX95" s="189">
        <f t="shared" si="59"/>
        <v>69.581626969102146</v>
      </c>
      <c r="AY95" s="190">
        <f t="shared" si="60"/>
        <v>2.6605600492907944</v>
      </c>
      <c r="AZ95" s="167"/>
      <c r="BA95" s="191">
        <f t="shared" si="35"/>
        <v>32835.702489999996</v>
      </c>
      <c r="BB95" s="189">
        <f t="shared" si="36"/>
        <v>923.21775956118813</v>
      </c>
      <c r="BC95" s="190">
        <f t="shared" si="61"/>
        <v>2.5206897895493539</v>
      </c>
    </row>
    <row r="96" spans="1:55" outlineLevel="1">
      <c r="A96" s="188">
        <v>6666010199</v>
      </c>
      <c r="B96" s="188">
        <v>6666010199</v>
      </c>
      <c r="C96" s="188" t="s">
        <v>105</v>
      </c>
      <c r="D96" s="188" t="s">
        <v>109</v>
      </c>
      <c r="E96" s="189">
        <f>VLOOKUP(B96,'2024 by account '!$A$2:$M$102,2,0)/1000</f>
        <v>554.08662000000004</v>
      </c>
      <c r="F96" s="189">
        <f t="shared" si="37"/>
        <v>16.884391083753602</v>
      </c>
      <c r="G96" s="190">
        <f t="shared" si="38"/>
        <v>1.0523148073389592</v>
      </c>
      <c r="H96" s="167"/>
      <c r="I96" s="191">
        <f>VLOOKUP(B96,'2024 by account '!$A$2:$M$102,3,0)/1000</f>
        <v>81.918530000000004</v>
      </c>
      <c r="J96" s="189">
        <f t="shared" si="68"/>
        <v>2.4626486574235518</v>
      </c>
      <c r="K96" s="190">
        <f t="shared" si="40"/>
        <v>0.12467844559657514</v>
      </c>
      <c r="L96" s="192"/>
      <c r="M96" s="189">
        <f>VLOOKUP(B96,'2024 by account '!$A$2:$M$102,4,0)/1000</f>
        <v>224.64795999999998</v>
      </c>
      <c r="N96" s="189">
        <f t="shared" si="69"/>
        <v>6.4511559921775614</v>
      </c>
      <c r="O96" s="190">
        <f t="shared" si="42"/>
        <v>0.32196216959512708</v>
      </c>
      <c r="P96" s="192"/>
      <c r="Q96" s="189">
        <f>VLOOKUP(B96,'2024 by account '!$A$2:$M$102,5,0)/1000</f>
        <v>-1154.5009399999999</v>
      </c>
      <c r="R96" s="189">
        <f t="shared" si="43"/>
        <v>-33.278017214045647</v>
      </c>
      <c r="S96" s="190">
        <f t="shared" si="44"/>
        <v>-1.1866782160983362</v>
      </c>
      <c r="T96" s="192"/>
      <c r="U96" s="189">
        <f>VLOOKUP(B96,'2024 by account '!$A$2:$M$102,6,0)/1000</f>
        <v>-39.656310000000005</v>
      </c>
      <c r="V96" s="189">
        <f t="shared" si="45"/>
        <v>-1.1375714634041394</v>
      </c>
      <c r="W96" s="190">
        <f t="shared" si="46"/>
        <v>-2.78857543610369E-2</v>
      </c>
      <c r="X96" s="192"/>
      <c r="Y96" s="189">
        <f>VLOOKUP(B96,'2024 by account '!$A$2:$M$102,7,0)/1000</f>
        <v>36.173859999999998</v>
      </c>
      <c r="Z96" s="189">
        <f t="shared" si="47"/>
        <v>1.0315729737899488</v>
      </c>
      <c r="AA96" s="190">
        <f t="shared" si="48"/>
        <v>3.3302329990636266E-2</v>
      </c>
      <c r="AB96" s="192"/>
      <c r="AC96" s="189">
        <f>VLOOKUP(B96,'2024 by account '!$A$2:$M$102,8,0)/1000</f>
        <v>95.022859999999994</v>
      </c>
      <c r="AD96" s="189">
        <f t="shared" si="49"/>
        <v>2.661935910401183</v>
      </c>
      <c r="AE96" s="190">
        <f t="shared" si="50"/>
        <v>7.7209035310531166E-2</v>
      </c>
      <c r="AF96" s="192"/>
      <c r="AG96" s="189">
        <f>VLOOKUP(B96,'2024 by account '!$A$2:$M$102,9,0)/1000</f>
        <v>608.00174000000004</v>
      </c>
      <c r="AH96" s="189">
        <f t="shared" si="51"/>
        <v>16.383859250117222</v>
      </c>
      <c r="AI96" s="190">
        <f t="shared" si="52"/>
        <v>0.64054497029154833</v>
      </c>
      <c r="AJ96" s="192"/>
      <c r="AK96" s="189">
        <f>VLOOKUP(B96,'2024 by account '!$A$2:$M$102,10,0)/1000</f>
        <v>-35.588970000000003</v>
      </c>
      <c r="AL96" s="189">
        <f t="shared" si="53"/>
        <v>-0.9409141227820258</v>
      </c>
      <c r="AM96" s="190">
        <f t="shared" si="54"/>
        <v>-2.3461852253691049E-2</v>
      </c>
      <c r="AN96" s="192"/>
      <c r="AO96" s="189">
        <f>VLOOKUP(B96,'2024 by account '!$A$2:$M$102,11,0)/1000</f>
        <v>393.08024000000006</v>
      </c>
      <c r="AP96" s="189">
        <f t="shared" si="55"/>
        <v>10.524995072690762</v>
      </c>
      <c r="AQ96" s="190">
        <f t="shared" si="56"/>
        <v>0.25554167753637708</v>
      </c>
      <c r="AR96" s="192"/>
      <c r="AS96" s="189">
        <f>VLOOKUP(B96,'2024 by account '!$A$2:$M$102,12,0)/1000</f>
        <v>97.622309999999999</v>
      </c>
      <c r="AT96" s="189">
        <f t="shared" si="57"/>
        <v>2.6655501765250369</v>
      </c>
      <c r="AU96" s="190">
        <f t="shared" si="58"/>
        <v>6.183136572779023E-2</v>
      </c>
      <c r="AV96" s="192"/>
      <c r="AW96" s="191">
        <f>VLOOKUP(B96,'2024 by account '!$A$2:$M$102,13,0)/1000</f>
        <v>-311.61354</v>
      </c>
      <c r="AX96" s="189">
        <f t="shared" si="59"/>
        <v>-8.5003655325700436</v>
      </c>
      <c r="AY96" s="190">
        <f t="shared" si="60"/>
        <v>-0.3250244917435875</v>
      </c>
      <c r="AZ96" s="167"/>
      <c r="BA96" s="191">
        <f t="shared" si="35"/>
        <v>549.19436000000019</v>
      </c>
      <c r="BB96" s="189">
        <f t="shared" si="36"/>
        <v>15.209240784077013</v>
      </c>
      <c r="BC96" s="190">
        <f t="shared" si="61"/>
        <v>4.152625700077818E-2</v>
      </c>
    </row>
    <row r="97" spans="1:55" outlineLevel="1">
      <c r="A97" s="188">
        <v>6666010185</v>
      </c>
      <c r="B97" s="188">
        <v>6666010185</v>
      </c>
      <c r="C97" s="188" t="s">
        <v>106</v>
      </c>
      <c r="D97" s="188" t="s">
        <v>109</v>
      </c>
      <c r="E97" s="189">
        <f>VLOOKUP(B97,'2024 by account '!$A$2:$M$102,2,0)/1000</f>
        <v>-16.634820000000001</v>
      </c>
      <c r="F97" s="189">
        <f t="shared" si="37"/>
        <v>-0.50690414882757162</v>
      </c>
      <c r="G97" s="190">
        <f t="shared" si="38"/>
        <v>-3.1592654959649212E-2</v>
      </c>
      <c r="H97" s="167"/>
      <c r="I97" s="191">
        <f>VLOOKUP(B97,'2024 by account '!$A$2:$M$102,3,0)/1000</f>
        <v>-8.0980900000000009</v>
      </c>
      <c r="J97" s="189">
        <f t="shared" si="68"/>
        <v>-0.2434461466312334</v>
      </c>
      <c r="K97" s="190">
        <f t="shared" si="40"/>
        <v>-1.2325139055854263E-2</v>
      </c>
      <c r="L97" s="192"/>
      <c r="M97" s="189">
        <f>VLOOKUP(B97,'2024 by account '!$A$2:$M$102,4,0)/1000</f>
        <v>-12.075659999999999</v>
      </c>
      <c r="N97" s="189">
        <f t="shared" si="69"/>
        <v>-0.34677353121078369</v>
      </c>
      <c r="O97" s="190">
        <f t="shared" si="42"/>
        <v>-1.7306659240943441E-2</v>
      </c>
      <c r="P97" s="192"/>
      <c r="Q97" s="189">
        <f>VLOOKUP(B97,'2024 by account '!$A$2:$M$102,5,0)/1000</f>
        <v>-11.12349</v>
      </c>
      <c r="R97" s="189">
        <f t="shared" si="43"/>
        <v>-0.32063004790646998</v>
      </c>
      <c r="S97" s="190">
        <f t="shared" si="44"/>
        <v>-1.1433514527920336E-2</v>
      </c>
      <c r="T97" s="192"/>
      <c r="U97" s="189">
        <f>VLOOKUP(B97,'2024 by account '!$A$2:$M$102,6,0)/1000</f>
        <v>-11.165899999999999</v>
      </c>
      <c r="V97" s="189">
        <f t="shared" si="45"/>
        <v>-0.3203023479296051</v>
      </c>
      <c r="W97" s="190">
        <f t="shared" si="46"/>
        <v>-7.8517024054911289E-3</v>
      </c>
      <c r="X97" s="192"/>
      <c r="Y97" s="189">
        <f>VLOOKUP(B97,'2024 by account '!$A$2:$M$102,7,0)/1000</f>
        <v>-13.95585</v>
      </c>
      <c r="Z97" s="189">
        <f t="shared" si="47"/>
        <v>-0.39798013499987173</v>
      </c>
      <c r="AA97" s="190">
        <f t="shared" si="48"/>
        <v>-1.2848015721845032E-2</v>
      </c>
      <c r="AB97" s="192"/>
      <c r="AC97" s="189">
        <f>VLOOKUP(B97,'2024 by account '!$A$2:$M$102,8,0)/1000</f>
        <v>-13.07926</v>
      </c>
      <c r="AD97" s="189">
        <f t="shared" si="49"/>
        <v>-0.36639764237230682</v>
      </c>
      <c r="AE97" s="190">
        <f t="shared" si="50"/>
        <v>-1.0627306388963855E-2</v>
      </c>
      <c r="AF97" s="192"/>
      <c r="AG97" s="189">
        <f>VLOOKUP(B97,'2024 by account '!$A$2:$M$102,9,0)/1000</f>
        <v>-15.07225</v>
      </c>
      <c r="AH97" s="189">
        <f t="shared" si="51"/>
        <v>-0.40615282216557352</v>
      </c>
      <c r="AI97" s="190">
        <f t="shared" si="52"/>
        <v>-1.5878990623409708E-2</v>
      </c>
      <c r="AJ97" s="192"/>
      <c r="AK97" s="189">
        <f>VLOOKUP(B97,'2024 by account '!$A$2:$M$102,10,0)/1000</f>
        <v>-11.50348</v>
      </c>
      <c r="AL97" s="189">
        <f t="shared" si="53"/>
        <v>-0.30413318489241403</v>
      </c>
      <c r="AM97" s="190">
        <f t="shared" si="54"/>
        <v>-7.5836122305110217E-3</v>
      </c>
      <c r="AN97" s="192"/>
      <c r="AO97" s="189">
        <f>VLOOKUP(B97,'2024 by account '!$A$2:$M$102,11,0)/1000</f>
        <v>-10.148250000000001</v>
      </c>
      <c r="AP97" s="189">
        <f t="shared" si="55"/>
        <v>-0.27172640691995614</v>
      </c>
      <c r="AQ97" s="190">
        <f t="shared" si="56"/>
        <v>-6.5973828373019671E-3</v>
      </c>
      <c r="AR97" s="192"/>
      <c r="AS97" s="189">
        <f>VLOOKUP(B97,'2024 by account '!$A$2:$M$102,12,0)/1000</f>
        <v>-10.155720000000001</v>
      </c>
      <c r="AT97" s="189">
        <f t="shared" si="57"/>
        <v>-0.27729912597580259</v>
      </c>
      <c r="AU97" s="190">
        <f t="shared" si="58"/>
        <v>-6.4323620036140705E-3</v>
      </c>
      <c r="AV97" s="192"/>
      <c r="AW97" s="191">
        <f>VLOOKUP(B97,'2024 by account '!$A$2:$M$102,13,0)/1000</f>
        <v>-10.143360000000001</v>
      </c>
      <c r="AX97" s="189">
        <f t="shared" si="59"/>
        <v>-0.2766961529606502</v>
      </c>
      <c r="AY97" s="190">
        <f t="shared" si="60"/>
        <v>-1.0579901080589232E-2</v>
      </c>
      <c r="AZ97" s="167"/>
      <c r="BA97" s="191">
        <f t="shared" si="35"/>
        <v>-143.15612999999999</v>
      </c>
      <c r="BB97" s="189">
        <f t="shared" si="36"/>
        <v>-4.0384416927922384</v>
      </c>
      <c r="BC97" s="190">
        <f t="shared" si="61"/>
        <v>-1.1026281324516836E-2</v>
      </c>
    </row>
    <row r="98" spans="1:55" outlineLevel="1">
      <c r="A98" s="188">
        <v>6666010207</v>
      </c>
      <c r="B98" s="188">
        <v>6666010207</v>
      </c>
      <c r="C98" s="188" t="s">
        <v>107</v>
      </c>
      <c r="D98" s="188" t="s">
        <v>109</v>
      </c>
      <c r="E98" s="189">
        <f>VLOOKUP(B98,'2024 by account '!$A$2:$M$102,2,0)/1000</f>
        <v>34.949779999999997</v>
      </c>
      <c r="F98" s="189">
        <f t="shared" si="37"/>
        <v>1.0650063230387152</v>
      </c>
      <c r="G98" s="190">
        <f t="shared" si="38"/>
        <v>6.6376212093406994E-2</v>
      </c>
      <c r="H98" s="167"/>
      <c r="I98" s="191">
        <f>VLOOKUP(B98,'2024 by account '!$A$2:$M$102,3,0)/1000</f>
        <v>32.857880000000002</v>
      </c>
      <c r="J98" s="189">
        <f t="shared" si="68"/>
        <v>0.98777912723512218</v>
      </c>
      <c r="K98" s="190">
        <f t="shared" si="40"/>
        <v>5.0009068815062889E-2</v>
      </c>
      <c r="L98" s="192"/>
      <c r="M98" s="189">
        <f>VLOOKUP(B98,'2024 by account '!$A$2:$M$102,4,0)/1000</f>
        <v>44.477350000000008</v>
      </c>
      <c r="N98" s="189">
        <f t="shared" si="69"/>
        <v>1.2772442846517669</v>
      </c>
      <c r="O98" s="190">
        <f t="shared" si="42"/>
        <v>6.3744287301081337E-2</v>
      </c>
      <c r="P98" s="192"/>
      <c r="Q98" s="189">
        <f>VLOOKUP(B98,'2024 by account '!$A$2:$M$102,5,0)/1000</f>
        <v>41.169779999999996</v>
      </c>
      <c r="R98" s="189">
        <f t="shared" si="43"/>
        <v>1.1867020632642118</v>
      </c>
      <c r="S98" s="190">
        <f t="shared" si="44"/>
        <v>4.2317229371472809E-2</v>
      </c>
      <c r="T98" s="192"/>
      <c r="U98" s="189">
        <f>VLOOKUP(B98,'2024 by account '!$A$2:$M$102,6,0)/1000</f>
        <v>39.54016</v>
      </c>
      <c r="V98" s="189">
        <f t="shared" si="45"/>
        <v>1.1342396121685001</v>
      </c>
      <c r="W98" s="190">
        <f t="shared" si="46"/>
        <v>2.7804079329521503E-2</v>
      </c>
      <c r="X98" s="192"/>
      <c r="Y98" s="189">
        <f>VLOOKUP(B98,'2024 by account '!$A$2:$M$102,7,0)/1000</f>
        <v>45.376990000000006</v>
      </c>
      <c r="Z98" s="189">
        <f t="shared" si="47"/>
        <v>1.2940193973199647</v>
      </c>
      <c r="AA98" s="190">
        <f t="shared" si="48"/>
        <v>4.1774903064306715E-2</v>
      </c>
      <c r="AB98" s="192"/>
      <c r="AC98" s="189">
        <f>VLOOKUP(B98,'2024 by account '!$A$2:$M$102,8,0)/1000</f>
        <v>47.234759999999994</v>
      </c>
      <c r="AD98" s="189">
        <f t="shared" si="49"/>
        <v>1.3232174222411468</v>
      </c>
      <c r="AE98" s="190">
        <f t="shared" si="50"/>
        <v>3.8379714657341038E-2</v>
      </c>
      <c r="AF98" s="192"/>
      <c r="AG98" s="189">
        <f>VLOOKUP(B98,'2024 by account '!$A$2:$M$102,9,0)/1000</f>
        <v>49.185149999999993</v>
      </c>
      <c r="AH98" s="189">
        <f t="shared" si="51"/>
        <v>1.3253951786320592</v>
      </c>
      <c r="AI98" s="190">
        <f t="shared" si="52"/>
        <v>5.1817780070062519E-2</v>
      </c>
      <c r="AJ98" s="192"/>
      <c r="AK98" s="189">
        <f>VLOOKUP(B98,'2024 by account '!$A$2:$M$102,10,0)/1000</f>
        <v>45.793360000000007</v>
      </c>
      <c r="AL98" s="189">
        <f t="shared" si="53"/>
        <v>1.2107014941326346</v>
      </c>
      <c r="AM98" s="190">
        <f t="shared" si="54"/>
        <v>3.0189045834147082E-2</v>
      </c>
      <c r="AN98" s="192"/>
      <c r="AO98" s="189">
        <f>VLOOKUP(B98,'2024 by account '!$A$2:$M$102,11,0)/1000</f>
        <v>42.46049</v>
      </c>
      <c r="AP98" s="189">
        <f t="shared" si="55"/>
        <v>1.1369089629996036</v>
      </c>
      <c r="AQ98" s="190">
        <f t="shared" si="56"/>
        <v>2.7603587612586584E-2</v>
      </c>
      <c r="AR98" s="192"/>
      <c r="AS98" s="189">
        <f>VLOOKUP(B98,'2024 by account '!$A$2:$M$102,12,0)/1000</f>
        <v>42.234210000000004</v>
      </c>
      <c r="AT98" s="189">
        <f t="shared" si="57"/>
        <v>1.1531934239304058</v>
      </c>
      <c r="AU98" s="190">
        <f t="shared" si="58"/>
        <v>2.6750021431927763E-2</v>
      </c>
      <c r="AV98" s="192"/>
      <c r="AW98" s="191">
        <f>VLOOKUP(B98,'2024 by account '!$A$2:$M$102,13,0)/1000</f>
        <v>38.215890000000002</v>
      </c>
      <c r="AX98" s="189">
        <f t="shared" si="59"/>
        <v>1.042474066282512</v>
      </c>
      <c r="AY98" s="190">
        <f t="shared" si="60"/>
        <v>3.9860592141724167E-2</v>
      </c>
      <c r="AZ98" s="167"/>
      <c r="BA98" s="191">
        <f t="shared" si="35"/>
        <v>503.49580000000003</v>
      </c>
      <c r="BB98" s="189">
        <f t="shared" si="36"/>
        <v>14.136881355896641</v>
      </c>
      <c r="BC98" s="190">
        <f t="shared" si="61"/>
        <v>3.8598361135098513E-2</v>
      </c>
    </row>
    <row r="99" spans="1:55" s="167" customFormat="1" outlineLevel="1">
      <c r="A99" s="188"/>
      <c r="B99" s="188">
        <v>5102040406</v>
      </c>
      <c r="C99" s="188" t="s">
        <v>30</v>
      </c>
      <c r="D99" s="188" t="s">
        <v>32</v>
      </c>
      <c r="E99" s="189"/>
      <c r="F99" s="189">
        <f t="shared" si="37"/>
        <v>0</v>
      </c>
      <c r="G99" s="190">
        <f t="shared" si="38"/>
        <v>0</v>
      </c>
      <c r="I99" s="191"/>
      <c r="J99" s="189"/>
      <c r="K99" s="190">
        <f t="shared" si="40"/>
        <v>0</v>
      </c>
      <c r="L99" s="192"/>
      <c r="M99" s="189"/>
      <c r="N99" s="189"/>
      <c r="O99" s="190">
        <f t="shared" si="42"/>
        <v>0</v>
      </c>
      <c r="P99" s="192"/>
      <c r="Q99" s="189"/>
      <c r="R99" s="189">
        <f t="shared" si="43"/>
        <v>0</v>
      </c>
      <c r="S99" s="190">
        <f t="shared" si="44"/>
        <v>0</v>
      </c>
      <c r="T99" s="192"/>
      <c r="U99" s="189"/>
      <c r="V99" s="189">
        <f t="shared" si="45"/>
        <v>0</v>
      </c>
      <c r="W99" s="190">
        <f t="shared" si="46"/>
        <v>0</v>
      </c>
      <c r="X99" s="192"/>
      <c r="Y99" s="189"/>
      <c r="Z99" s="189">
        <f t="shared" si="47"/>
        <v>0</v>
      </c>
      <c r="AA99" s="190">
        <f t="shared" si="48"/>
        <v>0</v>
      </c>
      <c r="AB99" s="192"/>
      <c r="AC99" s="189"/>
      <c r="AD99" s="189">
        <f t="shared" si="49"/>
        <v>0</v>
      </c>
      <c r="AE99" s="190">
        <f t="shared" si="50"/>
        <v>0</v>
      </c>
      <c r="AF99" s="192"/>
      <c r="AG99" s="189"/>
      <c r="AH99" s="189">
        <f t="shared" si="51"/>
        <v>0</v>
      </c>
      <c r="AI99" s="190">
        <f t="shared" si="52"/>
        <v>0</v>
      </c>
      <c r="AJ99" s="192"/>
      <c r="AK99" s="189"/>
      <c r="AL99" s="189">
        <f t="shared" si="53"/>
        <v>0</v>
      </c>
      <c r="AM99" s="190">
        <f t="shared" si="54"/>
        <v>0</v>
      </c>
      <c r="AN99" s="192"/>
      <c r="AO99" s="189"/>
      <c r="AP99" s="189">
        <f t="shared" si="55"/>
        <v>0</v>
      </c>
      <c r="AQ99" s="190">
        <f t="shared" si="56"/>
        <v>0</v>
      </c>
      <c r="AR99" s="192"/>
      <c r="AS99" s="189"/>
      <c r="AT99" s="189">
        <f t="shared" si="57"/>
        <v>0</v>
      </c>
      <c r="AU99" s="190">
        <f t="shared" si="58"/>
        <v>0</v>
      </c>
      <c r="AV99" s="192"/>
      <c r="AW99" s="191"/>
      <c r="AX99" s="189">
        <f t="shared" si="59"/>
        <v>0</v>
      </c>
      <c r="AY99" s="190">
        <f t="shared" si="60"/>
        <v>0</v>
      </c>
      <c r="BA99" s="191">
        <f t="shared" si="35"/>
        <v>0</v>
      </c>
      <c r="BB99" s="189">
        <f t="shared" si="36"/>
        <v>0</v>
      </c>
      <c r="BC99" s="190">
        <f t="shared" si="61"/>
        <v>0</v>
      </c>
    </row>
    <row r="100" spans="1:55" outlineLevel="1">
      <c r="A100" s="188">
        <v>6666010227</v>
      </c>
      <c r="B100" s="188">
        <v>6666010227</v>
      </c>
      <c r="C100" s="188" t="s">
        <v>108</v>
      </c>
      <c r="D100" s="188" t="s">
        <v>109</v>
      </c>
      <c r="E100" s="189">
        <f>VLOOKUP(B100,'2024 by account '!$A$2:$M$102,2,0)/1000</f>
        <v>16.811040000000002</v>
      </c>
      <c r="F100" s="189">
        <f t="shared" si="37"/>
        <v>0.51227400850182081</v>
      </c>
      <c r="G100" s="190">
        <f t="shared" si="38"/>
        <v>3.1927329915975119E-2</v>
      </c>
      <c r="H100" s="167"/>
      <c r="I100" s="191">
        <f>VLOOKUP(B100,'2024 by account '!$A$2:$M$102,3,0)/1000</f>
        <v>-227.41432999999998</v>
      </c>
      <c r="J100" s="189">
        <f t="shared" si="68"/>
        <v>-6.8365679224636535</v>
      </c>
      <c r="K100" s="190">
        <f t="shared" si="40"/>
        <v>-0.34612028769054543</v>
      </c>
      <c r="L100" s="192"/>
      <c r="M100" s="189">
        <f>VLOOKUP(B100,'2024 by account '!$A$2:$M$102,4,0)/1000</f>
        <v>288.83810999999997</v>
      </c>
      <c r="N100" s="189">
        <f t="shared" si="69"/>
        <v>8.2944875355010641</v>
      </c>
      <c r="O100" s="190">
        <f t="shared" si="42"/>
        <v>0.41395855345116855</v>
      </c>
      <c r="P100" s="192"/>
      <c r="Q100" s="189">
        <f>VLOOKUP(B100,'2024 by account '!$A$2:$M$102,5,0)/1000</f>
        <v>34.628720000000001</v>
      </c>
      <c r="R100" s="189">
        <f t="shared" si="43"/>
        <v>0.99815868513746453</v>
      </c>
      <c r="S100" s="190">
        <f t="shared" si="44"/>
        <v>3.5593862466122193E-2</v>
      </c>
      <c r="T100" s="192"/>
      <c r="U100" s="189">
        <f>VLOOKUP(B100,'2024 by account '!$A$2:$M$102,6,0)/1000</f>
        <v>31.753970000000002</v>
      </c>
      <c r="V100" s="189">
        <f t="shared" si="45"/>
        <v>0.91088682032673085</v>
      </c>
      <c r="W100" s="190">
        <f t="shared" si="46"/>
        <v>2.2328941028747631E-2</v>
      </c>
      <c r="X100" s="192"/>
      <c r="Y100" s="189">
        <f>VLOOKUP(B100,'2024 by account '!$A$2:$M$102,7,0)/1000</f>
        <v>33.157429999999991</v>
      </c>
      <c r="Z100" s="189">
        <f t="shared" si="47"/>
        <v>0.94555318863765325</v>
      </c>
      <c r="AA100" s="190">
        <f t="shared" si="48"/>
        <v>3.0525348290213493E-2</v>
      </c>
      <c r="AB100" s="192"/>
      <c r="AC100" s="189">
        <f>VLOOKUP(B100,'2024 by account '!$A$2:$M$102,8,0)/1000</f>
        <v>23.255340000000004</v>
      </c>
      <c r="AD100" s="189">
        <f t="shared" si="49"/>
        <v>0.65146665396715131</v>
      </c>
      <c r="AE100" s="190">
        <f t="shared" si="50"/>
        <v>1.8895688545034407E-2</v>
      </c>
      <c r="AF100" s="192"/>
      <c r="AG100" s="189">
        <f>VLOOKUP(B100,'2024 by account '!$A$2:$M$102,9,0)/1000</f>
        <v>38.515349999999998</v>
      </c>
      <c r="AH100" s="189">
        <f t="shared" si="51"/>
        <v>1.0378754399107513</v>
      </c>
      <c r="AI100" s="190">
        <f t="shared" si="52"/>
        <v>4.057688012787361E-2</v>
      </c>
      <c r="AJ100" s="192"/>
      <c r="AK100" s="189">
        <f>VLOOKUP(B100,'2024 by account '!$A$2:$M$102,10,0)/1000</f>
        <v>97.614079999999987</v>
      </c>
      <c r="AL100" s="189">
        <f t="shared" si="53"/>
        <v>2.580756522438679</v>
      </c>
      <c r="AM100" s="190">
        <f t="shared" si="54"/>
        <v>6.4351598903817045E-2</v>
      </c>
      <c r="AN100" s="192"/>
      <c r="AO100" s="189">
        <f>VLOOKUP(B100,'2024 by account '!$A$2:$M$102,11,0)/1000</f>
        <v>39.337630000000004</v>
      </c>
      <c r="AP100" s="189">
        <f t="shared" si="55"/>
        <v>1.0532922283789494</v>
      </c>
      <c r="AQ100" s="190">
        <f t="shared" si="56"/>
        <v>2.5573414630319018E-2</v>
      </c>
      <c r="AR100" s="192"/>
      <c r="AS100" s="189">
        <f>VLOOKUP(B100,'2024 by account '!$A$2:$M$102,12,0)/1000</f>
        <v>42.498699999999999</v>
      </c>
      <c r="AT100" s="189">
        <f t="shared" si="57"/>
        <v>1.1604152502341381</v>
      </c>
      <c r="AU100" s="190">
        <f t="shared" si="58"/>
        <v>2.6917542338996476E-2</v>
      </c>
      <c r="AV100" s="192"/>
      <c r="AW100" s="191">
        <f>VLOOKUP(B100,'2024 by account '!$A$2:$M$102,13,0)/1000</f>
        <v>40.806229999999999</v>
      </c>
      <c r="AX100" s="189">
        <f t="shared" si="59"/>
        <v>1.1131347854978499</v>
      </c>
      <c r="AY100" s="190">
        <f t="shared" si="60"/>
        <v>4.2562412935336282E-2</v>
      </c>
      <c r="AZ100" s="167"/>
      <c r="BA100" s="191">
        <f t="shared" si="35"/>
        <v>459.80226999999996</v>
      </c>
      <c r="BB100" s="189">
        <f t="shared" si="36"/>
        <v>12.421733196068599</v>
      </c>
      <c r="BC100" s="190">
        <f t="shared" si="61"/>
        <v>3.3915439463295068E-2</v>
      </c>
    </row>
    <row r="101" spans="1:55" s="24" customFormat="1">
      <c r="B101" s="37" t="s">
        <v>142</v>
      </c>
      <c r="C101" s="36" t="s">
        <v>109</v>
      </c>
      <c r="D101" s="38"/>
      <c r="E101" s="97">
        <f>SUM(E94:E100)</f>
        <v>3520.2471199999995</v>
      </c>
      <c r="F101" s="97">
        <f t="shared" si="37"/>
        <v>107.27064494994895</v>
      </c>
      <c r="G101" s="171">
        <f t="shared" si="38"/>
        <v>6.6856120255499496</v>
      </c>
      <c r="H101" s="167"/>
      <c r="I101" s="97">
        <f>SUM(I94:I100)</f>
        <v>2611.5560499999997</v>
      </c>
      <c r="J101" s="97">
        <f>SUM(J94:J100)</f>
        <v>78.509038190978941</v>
      </c>
      <c r="K101" s="171">
        <f t="shared" si="40"/>
        <v>3.9747386690451059</v>
      </c>
      <c r="L101" s="172"/>
      <c r="M101" s="173">
        <f>SUM(M94:M100)</f>
        <v>3557.2558300000005</v>
      </c>
      <c r="N101" s="97">
        <f>SUM(N94:N100)</f>
        <v>102.15277389304167</v>
      </c>
      <c r="O101" s="171">
        <f t="shared" si="42"/>
        <v>5.0982070116804747</v>
      </c>
      <c r="P101" s="172"/>
      <c r="Q101" s="97">
        <f>SUM(Q94:Q100)</f>
        <v>2644.4404100000006</v>
      </c>
      <c r="R101" s="97">
        <f t="shared" si="43"/>
        <v>76.224912805612746</v>
      </c>
      <c r="S101" s="171">
        <f t="shared" si="44"/>
        <v>2.7181440218811375</v>
      </c>
      <c r="T101" s="172"/>
      <c r="U101" s="97">
        <f>SUM(U94:U100)</f>
        <v>2651.8309200000008</v>
      </c>
      <c r="V101" s="97">
        <f t="shared" si="45"/>
        <v>76.069790163652286</v>
      </c>
      <c r="W101" s="171">
        <f t="shared" si="46"/>
        <v>1.8647298662463179</v>
      </c>
      <c r="X101" s="172"/>
      <c r="Y101" s="97">
        <f>SUM(Y94:Y100)</f>
        <v>3066.8916800000011</v>
      </c>
      <c r="Z101" s="97">
        <f t="shared" si="47"/>
        <v>87.458805077181523</v>
      </c>
      <c r="AA101" s="171">
        <f t="shared" si="48"/>
        <v>2.8234376639069447</v>
      </c>
      <c r="AB101" s="172"/>
      <c r="AC101" s="97">
        <f>SUM(AC94:AC100)</f>
        <v>3496.7282900000009</v>
      </c>
      <c r="AD101" s="97">
        <f t="shared" si="49"/>
        <v>97.956077138350977</v>
      </c>
      <c r="AE101" s="171">
        <f t="shared" si="50"/>
        <v>2.8412007175320064</v>
      </c>
      <c r="AF101" s="172"/>
      <c r="AG101" s="97">
        <f>SUM(AG94:AG100)</f>
        <v>3925.0039400000001</v>
      </c>
      <c r="AH101" s="97">
        <f t="shared" si="51"/>
        <v>105.76731591116094</v>
      </c>
      <c r="AI101" s="171">
        <f t="shared" si="52"/>
        <v>4.135089370207246</v>
      </c>
      <c r="AJ101" s="172"/>
      <c r="AK101" s="97">
        <f>SUM(AK94:AK100)</f>
        <v>3464.0778399999999</v>
      </c>
      <c r="AL101" s="97">
        <f t="shared" si="53"/>
        <v>91.584548866467742</v>
      </c>
      <c r="AM101" s="171">
        <f t="shared" si="54"/>
        <v>2.283676163636239</v>
      </c>
      <c r="AN101" s="172"/>
      <c r="AO101" s="97">
        <f>SUM(AO94:AO100)</f>
        <v>3795.6208099999999</v>
      </c>
      <c r="AP101" s="97">
        <f t="shared" si="55"/>
        <v>101.63037023446539</v>
      </c>
      <c r="AQ101" s="171">
        <f t="shared" si="56"/>
        <v>2.4675351502771599</v>
      </c>
      <c r="AR101" s="172"/>
      <c r="AS101" s="97">
        <f>SUM(AS94:AS100)</f>
        <v>3410.6191899999999</v>
      </c>
      <c r="AT101" s="97">
        <f t="shared" si="57"/>
        <v>93.126013756119676</v>
      </c>
      <c r="AU101" s="171">
        <f t="shared" si="58"/>
        <v>2.160195169476216</v>
      </c>
      <c r="AV101" s="172"/>
      <c r="AW101" s="97">
        <f>SUM(AW94:AW100)</f>
        <v>2686.4285800000007</v>
      </c>
      <c r="AX101" s="97">
        <f t="shared" si="59"/>
        <v>73.281876349606279</v>
      </c>
      <c r="AY101" s="171">
        <f t="shared" si="60"/>
        <v>2.8020447501092143</v>
      </c>
      <c r="AZ101" s="45"/>
      <c r="BA101" s="97">
        <f t="shared" ref="BA101:BA117" si="70">SUM(AW101,AS101,AO101,AK101,AG101,AC101,Y101,U101,Q101,M101,I101,E101)</f>
        <v>38830.70066000001</v>
      </c>
      <c r="BB101" s="97">
        <f t="shared" ref="BB101:BB117" si="71">SUM(AX101,AT101,AP101,AL101,AH101,AD101,Z101,V101,R101,N101,J101,F101)</f>
        <v>1091.0321673365872</v>
      </c>
      <c r="BC101" s="171">
        <f t="shared" si="61"/>
        <v>2.978878618607169</v>
      </c>
    </row>
    <row r="102" spans="1:55" outlineLevel="1">
      <c r="A102" s="188">
        <v>6666020903</v>
      </c>
      <c r="B102" s="188">
        <v>6666020903</v>
      </c>
      <c r="C102" s="188" t="s">
        <v>110</v>
      </c>
      <c r="D102" s="188" t="s">
        <v>123</v>
      </c>
      <c r="E102" s="189">
        <f>VLOOKUP(B102,'2024 by account '!$A$2:$M$102,2,0)/1000</f>
        <v>0</v>
      </c>
      <c r="F102" s="189">
        <f t="shared" si="37"/>
        <v>0</v>
      </c>
      <c r="G102" s="190">
        <f t="shared" si="38"/>
        <v>0</v>
      </c>
      <c r="H102" s="167"/>
      <c r="I102" s="191">
        <f>VLOOKUP(B102,'2024 by account '!$A$2:$M$102,3,0)/1000</f>
        <v>0</v>
      </c>
      <c r="J102" s="189">
        <f t="shared" ref="J102:J115" si="72">I102/$J$2</f>
        <v>0</v>
      </c>
      <c r="K102" s="190">
        <f t="shared" si="40"/>
        <v>0</v>
      </c>
      <c r="L102" s="192"/>
      <c r="M102" s="189">
        <f>VLOOKUP(B102,'2024 by account '!$A$2:$M$102,4,0)/1000</f>
        <v>0</v>
      </c>
      <c r="N102" s="189">
        <f t="shared" ref="N102:N115" si="73">M102/$N$2</f>
        <v>0</v>
      </c>
      <c r="O102" s="190">
        <f t="shared" si="42"/>
        <v>0</v>
      </c>
      <c r="P102" s="192"/>
      <c r="Q102" s="189">
        <f>VLOOKUP(B102,'2024 by account '!$A$2:$M$102,5,0)/1000</f>
        <v>0</v>
      </c>
      <c r="R102" s="189">
        <f t="shared" si="43"/>
        <v>0</v>
      </c>
      <c r="S102" s="190">
        <f t="shared" si="44"/>
        <v>0</v>
      </c>
      <c r="T102" s="192"/>
      <c r="U102" s="189">
        <f>VLOOKUP(B102,'2024 by account '!$A$2:$M$102,6,0)/1000</f>
        <v>0</v>
      </c>
      <c r="V102" s="189">
        <f t="shared" si="45"/>
        <v>0</v>
      </c>
      <c r="W102" s="190">
        <f t="shared" si="46"/>
        <v>0</v>
      </c>
      <c r="X102" s="192"/>
      <c r="Y102" s="189">
        <f>VLOOKUP(B102,'2024 by account '!$A$2:$M$102,7,0)/1000</f>
        <v>0</v>
      </c>
      <c r="Z102" s="189">
        <f t="shared" si="47"/>
        <v>0</v>
      </c>
      <c r="AA102" s="190">
        <f t="shared" si="48"/>
        <v>0</v>
      </c>
      <c r="AB102" s="192"/>
      <c r="AC102" s="189">
        <f>VLOOKUP(B102,'2024 by account '!$A$2:$M$102,8,0)/1000</f>
        <v>0</v>
      </c>
      <c r="AD102" s="189">
        <f t="shared" si="49"/>
        <v>0</v>
      </c>
      <c r="AE102" s="190">
        <f t="shared" si="50"/>
        <v>0</v>
      </c>
      <c r="AF102" s="192"/>
      <c r="AG102" s="189">
        <f>VLOOKUP(B102,'2024 by account '!$A$2:$M$102,9,0)/1000</f>
        <v>0</v>
      </c>
      <c r="AH102" s="189">
        <f t="shared" si="51"/>
        <v>0</v>
      </c>
      <c r="AI102" s="190">
        <f t="shared" si="52"/>
        <v>0</v>
      </c>
      <c r="AJ102" s="192"/>
      <c r="AK102" s="189">
        <f>VLOOKUP(B102,'2024 by account '!$A$2:$M$102,10,0)/1000</f>
        <v>0</v>
      </c>
      <c r="AL102" s="189">
        <f t="shared" si="53"/>
        <v>0</v>
      </c>
      <c r="AM102" s="190">
        <f t="shared" si="54"/>
        <v>0</v>
      </c>
      <c r="AN102" s="192"/>
      <c r="AO102" s="189">
        <f>VLOOKUP(B102,'2024 by account '!$A$2:$M$102,11,0)/1000</f>
        <v>0</v>
      </c>
      <c r="AP102" s="189">
        <f t="shared" si="55"/>
        <v>0</v>
      </c>
      <c r="AQ102" s="190">
        <f t="shared" si="56"/>
        <v>0</v>
      </c>
      <c r="AR102" s="192"/>
      <c r="AS102" s="189">
        <f>VLOOKUP(B102,'2024 by account '!$A$2:$M$102,12,0)/1000</f>
        <v>0</v>
      </c>
      <c r="AT102" s="189">
        <f t="shared" si="57"/>
        <v>0</v>
      </c>
      <c r="AU102" s="190">
        <f t="shared" si="58"/>
        <v>0</v>
      </c>
      <c r="AV102" s="192"/>
      <c r="AW102" s="191">
        <f>VLOOKUP(B102,'2024 by account '!$A$2:$M$102,13,0)/1000</f>
        <v>0</v>
      </c>
      <c r="AX102" s="189">
        <f t="shared" si="59"/>
        <v>0</v>
      </c>
      <c r="AY102" s="190">
        <f t="shared" si="60"/>
        <v>0</v>
      </c>
      <c r="AZ102" s="167"/>
      <c r="BA102" s="191">
        <f t="shared" si="70"/>
        <v>0</v>
      </c>
      <c r="BB102" s="189">
        <f t="shared" si="71"/>
        <v>0</v>
      </c>
      <c r="BC102" s="190">
        <f t="shared" si="61"/>
        <v>0</v>
      </c>
    </row>
    <row r="103" spans="1:55" outlineLevel="1">
      <c r="A103" s="188">
        <v>6666010302</v>
      </c>
      <c r="B103" s="188">
        <v>6666010302</v>
      </c>
      <c r="C103" s="188" t="s">
        <v>111</v>
      </c>
      <c r="D103" s="188" t="s">
        <v>123</v>
      </c>
      <c r="E103" s="189">
        <f>VLOOKUP(B103,'2024 by account '!$A$2:$M$102,2,0)/1000</f>
        <v>3.5</v>
      </c>
      <c r="F103" s="189">
        <f t="shared" si="37"/>
        <v>0.10665366507701919</v>
      </c>
      <c r="G103" s="190">
        <f t="shared" si="38"/>
        <v>6.6471589328151569E-3</v>
      </c>
      <c r="H103" s="167"/>
      <c r="I103" s="191">
        <f>VLOOKUP(B103,'2024 by account '!$A$2:$M$102,3,0)/1000</f>
        <v>103.5</v>
      </c>
      <c r="J103" s="189">
        <f t="shared" si="72"/>
        <v>3.1114344464352279</v>
      </c>
      <c r="K103" s="190">
        <f t="shared" si="40"/>
        <v>0.15752503272758345</v>
      </c>
      <c r="L103" s="192"/>
      <c r="M103" s="189">
        <f>VLOOKUP(B103,'2024 by account '!$A$2:$M$102,4,0)/1000</f>
        <v>-50</v>
      </c>
      <c r="N103" s="189">
        <f t="shared" si="73"/>
        <v>-1.4358367625901347</v>
      </c>
      <c r="O103" s="190">
        <f t="shared" si="42"/>
        <v>-7.1659268482813537E-2</v>
      </c>
      <c r="P103" s="192"/>
      <c r="Q103" s="189">
        <f>VLOOKUP(B103,'2024 by account '!$A$2:$M$102,5,0)/1000</f>
        <v>-9.5123499999999996</v>
      </c>
      <c r="R103" s="189">
        <f t="shared" si="43"/>
        <v>-0.27418959662867587</v>
      </c>
      <c r="S103" s="190">
        <f t="shared" si="44"/>
        <v>-9.7774701932273958E-3</v>
      </c>
      <c r="T103" s="192"/>
      <c r="U103" s="189">
        <f>VLOOKUP(B103,'2024 by account '!$A$2:$M$102,6,0)/1000</f>
        <v>2.75705</v>
      </c>
      <c r="V103" s="189">
        <f t="shared" si="45"/>
        <v>7.9088079631674815E-2</v>
      </c>
      <c r="W103" s="190">
        <f t="shared" si="46"/>
        <v>1.9387184299572196E-3</v>
      </c>
      <c r="X103" s="192"/>
      <c r="Y103" s="189">
        <f>VLOOKUP(B103,'2024 by account '!$A$2:$M$102,7,0)/1000</f>
        <v>1484</v>
      </c>
      <c r="Z103" s="189">
        <f t="shared" si="47"/>
        <v>42.319351407460644</v>
      </c>
      <c r="AA103" s="190">
        <f t="shared" si="48"/>
        <v>1.3661980697139928</v>
      </c>
      <c r="AB103" s="192"/>
      <c r="AC103" s="189">
        <f>VLOOKUP(B103,'2024 by account '!$A$2:$M$102,8,0)/1000</f>
        <v>210.07767000000001</v>
      </c>
      <c r="AD103" s="189">
        <f t="shared" si="49"/>
        <v>5.8850395972759539</v>
      </c>
      <c r="AE103" s="190">
        <f t="shared" si="50"/>
        <v>0.17069465432827549</v>
      </c>
      <c r="AF103" s="192"/>
      <c r="AG103" s="189">
        <f>VLOOKUP(B103,'2024 by account '!$A$2:$M$102,9,0)/1000</f>
        <v>10.888599999999999</v>
      </c>
      <c r="AH103" s="189">
        <f t="shared" si="51"/>
        <v>0.29341575540692749</v>
      </c>
      <c r="AI103" s="190">
        <f t="shared" si="52"/>
        <v>1.1471411189574145E-2</v>
      </c>
      <c r="AJ103" s="192"/>
      <c r="AK103" s="189">
        <f>VLOOKUP(B103,'2024 by account '!$A$2:$M$102,10,0)/1000</f>
        <v>3.5093000000000001</v>
      </c>
      <c r="AL103" s="189">
        <f t="shared" si="53"/>
        <v>9.2780148767412016E-2</v>
      </c>
      <c r="AM103" s="190">
        <f t="shared" si="54"/>
        <v>2.313488648698684E-3</v>
      </c>
      <c r="AN103" s="192"/>
      <c r="AO103" s="189">
        <f>VLOOKUP(B103,'2024 by account '!$A$2:$M$102,11,0)/1000</f>
        <v>0</v>
      </c>
      <c r="AP103" s="189">
        <f t="shared" si="55"/>
        <v>0</v>
      </c>
      <c r="AQ103" s="190">
        <f t="shared" si="56"/>
        <v>0</v>
      </c>
      <c r="AR103" s="192"/>
      <c r="AS103" s="189">
        <f>VLOOKUP(B103,'2024 by account '!$A$2:$M$102,12,0)/1000</f>
        <v>0</v>
      </c>
      <c r="AT103" s="189">
        <f t="shared" si="57"/>
        <v>0</v>
      </c>
      <c r="AU103" s="190">
        <f t="shared" si="58"/>
        <v>0</v>
      </c>
      <c r="AV103" s="192"/>
      <c r="AW103" s="191">
        <f>VLOOKUP(B103,'2024 by account '!$A$2:$M$102,13,0)/1000</f>
        <v>-4.4000000000000004</v>
      </c>
      <c r="AX103" s="189">
        <f t="shared" si="59"/>
        <v>-0.12002562001416305</v>
      </c>
      <c r="AY103" s="190">
        <f t="shared" si="60"/>
        <v>-4.5893633622973674E-3</v>
      </c>
      <c r="AZ103" s="167"/>
      <c r="BA103" s="191">
        <f t="shared" si="70"/>
        <v>1754.3202699999999</v>
      </c>
      <c r="BB103" s="189">
        <f t="shared" si="71"/>
        <v>50.057711120821885</v>
      </c>
      <c r="BC103" s="190">
        <f t="shared" si="61"/>
        <v>0.136674105327481</v>
      </c>
    </row>
    <row r="104" spans="1:55" outlineLevel="1">
      <c r="A104" s="188">
        <v>6666010314</v>
      </c>
      <c r="B104" s="188">
        <v>6666010314</v>
      </c>
      <c r="C104" s="188" t="s">
        <v>112</v>
      </c>
      <c r="D104" s="188" t="s">
        <v>123</v>
      </c>
      <c r="E104" s="189">
        <f>VLOOKUP(B104,'2024 by account '!$A$2:$M$102,2,0)/1000</f>
        <v>383.08071000000001</v>
      </c>
      <c r="F104" s="189">
        <f t="shared" si="37"/>
        <v>11.673417640516204</v>
      </c>
      <c r="G104" s="190">
        <f t="shared" si="38"/>
        <v>0.72754238956162065</v>
      </c>
      <c r="H104" s="167"/>
      <c r="I104" s="191">
        <f>VLOOKUP(B104,'2024 by account '!$A$2:$M$102,3,0)/1000</f>
        <v>383.23687000000001</v>
      </c>
      <c r="J104" s="189">
        <f t="shared" si="72"/>
        <v>11.520931386106469</v>
      </c>
      <c r="K104" s="190">
        <f t="shared" si="40"/>
        <v>0.58327923177938779</v>
      </c>
      <c r="L104" s="192"/>
      <c r="M104" s="189">
        <f>VLOOKUP(B104,'2024 by account '!$A$2:$M$102,4,0)/1000</f>
        <v>574.24681999999984</v>
      </c>
      <c r="N104" s="189">
        <f t="shared" si="73"/>
        <v>16.490493899129593</v>
      </c>
      <c r="O104" s="190">
        <f t="shared" si="42"/>
        <v>0.82300214099563762</v>
      </c>
      <c r="P104" s="192"/>
      <c r="Q104" s="189">
        <f>VLOOKUP(B104,'2024 by account '!$A$2:$M$102,5,0)/1000</f>
        <v>861.21160999999995</v>
      </c>
      <c r="R104" s="189">
        <f t="shared" si="43"/>
        <v>24.824072280543977</v>
      </c>
      <c r="S104" s="190">
        <f t="shared" si="44"/>
        <v>0.88521457335320675</v>
      </c>
      <c r="T104" s="192"/>
      <c r="U104" s="189">
        <f>VLOOKUP(B104,'2024 by account '!$A$2:$M$102,6,0)/1000</f>
        <v>387.73323000000005</v>
      </c>
      <c r="V104" s="189">
        <f t="shared" si="45"/>
        <v>11.122423086301115</v>
      </c>
      <c r="W104" s="190">
        <f t="shared" si="46"/>
        <v>0.27264850434625471</v>
      </c>
      <c r="X104" s="192"/>
      <c r="Y104" s="189">
        <f>VLOOKUP(B104,'2024 by account '!$A$2:$M$102,7,0)/1000</f>
        <v>383.15878999999995</v>
      </c>
      <c r="Z104" s="189">
        <f t="shared" si="47"/>
        <v>10.926571077403919</v>
      </c>
      <c r="AA104" s="190">
        <f t="shared" si="48"/>
        <v>0.35274312620751291</v>
      </c>
      <c r="AB104" s="192"/>
      <c r="AC104" s="189">
        <f>VLOOKUP(B104,'2024 by account '!$A$2:$M$102,8,0)/1000</f>
        <v>400.40894000000003</v>
      </c>
      <c r="AD104" s="189">
        <f t="shared" si="49"/>
        <v>11.216910712134668</v>
      </c>
      <c r="AE104" s="190">
        <f t="shared" si="50"/>
        <v>0.32534474322402379</v>
      </c>
      <c r="AF104" s="192"/>
      <c r="AG104" s="189">
        <f>VLOOKUP(B104,'2024 by account '!$A$2:$M$102,9,0)/1000</f>
        <v>383.15878999999995</v>
      </c>
      <c r="AH104" s="189">
        <f t="shared" si="51"/>
        <v>10.325002829441278</v>
      </c>
      <c r="AI104" s="190">
        <f t="shared" si="52"/>
        <v>0.40366732463215566</v>
      </c>
      <c r="AJ104" s="192"/>
      <c r="AK104" s="189">
        <f>VLOOKUP(B104,'2024 by account '!$A$2:$M$102,10,0)/1000</f>
        <v>388.66596000000004</v>
      </c>
      <c r="AL104" s="189">
        <f t="shared" si="53"/>
        <v>10.275691901413104</v>
      </c>
      <c r="AM104" s="190">
        <f t="shared" si="54"/>
        <v>0.25622610965023701</v>
      </c>
      <c r="AN104" s="192"/>
      <c r="AO104" s="189">
        <f>VLOOKUP(B104,'2024 by account '!$A$2:$M$102,11,0)/1000</f>
        <v>1733.7512300000001</v>
      </c>
      <c r="AP104" s="189">
        <f t="shared" si="55"/>
        <v>46.422387329929244</v>
      </c>
      <c r="AQ104" s="190">
        <f t="shared" si="56"/>
        <v>1.1271126163578131</v>
      </c>
      <c r="AR104" s="192"/>
      <c r="AS104" s="189">
        <f>VLOOKUP(B104,'2024 by account '!$A$2:$M$102,12,0)/1000</f>
        <v>50</v>
      </c>
      <c r="AT104" s="189">
        <f t="shared" si="57"/>
        <v>1.3652361722054298</v>
      </c>
      <c r="AU104" s="190">
        <f t="shared" si="58"/>
        <v>3.1668665558001158E-2</v>
      </c>
      <c r="AV104" s="192"/>
      <c r="AW104" s="191">
        <f>VLOOKUP(B104,'2024 by account '!$A$2:$M$102,13,0)/1000</f>
        <v>23.629860000000001</v>
      </c>
      <c r="AX104" s="189">
        <f t="shared" si="59"/>
        <v>0.64458831757906143</v>
      </c>
      <c r="AY104" s="190">
        <f t="shared" si="60"/>
        <v>2.4646821304594557E-2</v>
      </c>
      <c r="AZ104" s="167"/>
      <c r="BA104" s="191">
        <f t="shared" si="70"/>
        <v>5952.2828099999997</v>
      </c>
      <c r="BB104" s="189">
        <f t="shared" si="71"/>
        <v>166.80772663270403</v>
      </c>
      <c r="BC104" s="190">
        <f t="shared" si="61"/>
        <v>0.45544025663116516</v>
      </c>
    </row>
    <row r="105" spans="1:55" outlineLevel="1">
      <c r="A105" s="188">
        <v>6666020401</v>
      </c>
      <c r="B105" s="188">
        <v>6666020401</v>
      </c>
      <c r="C105" s="188" t="s">
        <v>113</v>
      </c>
      <c r="D105" s="188" t="s">
        <v>123</v>
      </c>
      <c r="E105" s="189">
        <f>VLOOKUP(B105,'2024 by account '!$A$2:$M$102,2,0)/1000</f>
        <v>551.22954000000004</v>
      </c>
      <c r="F105" s="189">
        <f t="shared" si="37"/>
        <v>16.797328782776958</v>
      </c>
      <c r="G105" s="190">
        <f t="shared" si="38"/>
        <v>1.0468886745264541</v>
      </c>
      <c r="H105" s="167"/>
      <c r="I105" s="191">
        <f>VLOOKUP(B105,'2024 by account '!$A$2:$M$102,3,0)/1000</f>
        <v>866.73814999999991</v>
      </c>
      <c r="J105" s="189">
        <f t="shared" si="72"/>
        <v>26.056028366662254</v>
      </c>
      <c r="K105" s="190">
        <f t="shared" si="40"/>
        <v>1.319158989806716</v>
      </c>
      <c r="L105" s="192"/>
      <c r="M105" s="189">
        <f>VLOOKUP(B105,'2024 by account '!$A$2:$M$102,4,0)/1000</f>
        <v>805.78304000000003</v>
      </c>
      <c r="N105" s="189">
        <f t="shared" si="73"/>
        <v>23.139458230072741</v>
      </c>
      <c r="O105" s="190">
        <f t="shared" si="42"/>
        <v>1.1548364640451534</v>
      </c>
      <c r="P105" s="192"/>
      <c r="Q105" s="189">
        <f>VLOOKUP(B105,'2024 by account '!$A$2:$M$102,5,0)/1000</f>
        <v>1016.40373</v>
      </c>
      <c r="R105" s="189">
        <f t="shared" si="43"/>
        <v>29.297421640349818</v>
      </c>
      <c r="S105" s="190">
        <f t="shared" si="44"/>
        <v>1.0447320771796818</v>
      </c>
      <c r="T105" s="192"/>
      <c r="U105" s="189">
        <f>VLOOKUP(B105,'2024 by account '!$A$2:$M$102,6,0)/1000</f>
        <v>1205.3926899999997</v>
      </c>
      <c r="V105" s="189">
        <f t="shared" si="45"/>
        <v>34.577607607464024</v>
      </c>
      <c r="W105" s="190">
        <f t="shared" si="46"/>
        <v>0.84761503180526609</v>
      </c>
      <c r="X105" s="192"/>
      <c r="Y105" s="189">
        <f>VLOOKUP(B105,'2024 by account '!$A$2:$M$102,7,0)/1000</f>
        <v>1068.2447500000001</v>
      </c>
      <c r="Z105" s="189">
        <f t="shared" si="47"/>
        <v>30.463224369558588</v>
      </c>
      <c r="AA105" s="190">
        <f t="shared" si="48"/>
        <v>0.98344603465775415</v>
      </c>
      <c r="AB105" s="192"/>
      <c r="AC105" s="189">
        <f>VLOOKUP(B105,'2024 by account '!$A$2:$M$102,8,0)/1000</f>
        <v>1199.2266899999997</v>
      </c>
      <c r="AD105" s="189">
        <f t="shared" si="49"/>
        <v>33.594701220554157</v>
      </c>
      <c r="AE105" s="190">
        <f t="shared" si="50"/>
        <v>0.97440906170937602</v>
      </c>
      <c r="AF105" s="192"/>
      <c r="AG105" s="189">
        <f>VLOOKUP(B105,'2024 by account '!$A$2:$M$102,9,0)/1000</f>
        <v>1156.3212399999998</v>
      </c>
      <c r="AH105" s="189">
        <f t="shared" si="51"/>
        <v>31.159457609580212</v>
      </c>
      <c r="AI105" s="190">
        <f t="shared" si="52"/>
        <v>1.2182132148557439</v>
      </c>
      <c r="AJ105" s="192"/>
      <c r="AK105" s="189">
        <f>VLOOKUP(B105,'2024 by account '!$A$2:$M$102,10,0)/1000</f>
        <v>1236.7081300000002</v>
      </c>
      <c r="AL105" s="189">
        <f t="shared" si="53"/>
        <v>32.696538991613124</v>
      </c>
      <c r="AM105" s="190">
        <f t="shared" si="54"/>
        <v>0.81529371114136051</v>
      </c>
      <c r="AN105" s="192"/>
      <c r="AO105" s="189">
        <f>VLOOKUP(B105,'2024 by account '!$A$2:$M$102,11,0)/1000</f>
        <v>1240.2932999999998</v>
      </c>
      <c r="AP105" s="189">
        <f t="shared" si="55"/>
        <v>33.209710239292015</v>
      </c>
      <c r="AQ105" s="190">
        <f t="shared" si="56"/>
        <v>0.8063153480295242</v>
      </c>
      <c r="AR105" s="192"/>
      <c r="AS105" s="189">
        <f>VLOOKUP(B105,'2024 by account '!$A$2:$M$102,12,0)/1000</f>
        <v>1173.48173</v>
      </c>
      <c r="AT105" s="189">
        <f t="shared" si="57"/>
        <v>32.041594104364115</v>
      </c>
      <c r="AU105" s="190">
        <f t="shared" si="58"/>
        <v>0.74325200891589227</v>
      </c>
      <c r="AV105" s="192"/>
      <c r="AW105" s="191">
        <f>VLOOKUP(B105,'2024 by account '!$A$2:$M$102,13,0)/1000</f>
        <v>1229.50899</v>
      </c>
      <c r="AX105" s="189">
        <f t="shared" si="59"/>
        <v>33.53922246312213</v>
      </c>
      <c r="AY105" s="190">
        <f t="shared" si="60"/>
        <v>1.2824235255275545</v>
      </c>
      <c r="AZ105" s="167"/>
      <c r="BA105" s="191">
        <f t="shared" si="70"/>
        <v>12749.331979999997</v>
      </c>
      <c r="BB105" s="189">
        <f t="shared" si="71"/>
        <v>356.57229362541011</v>
      </c>
      <c r="BC105" s="190">
        <f t="shared" si="61"/>
        <v>0.97356027921838861</v>
      </c>
    </row>
    <row r="106" spans="1:55" outlineLevel="1">
      <c r="A106" s="188">
        <v>6666020402</v>
      </c>
      <c r="B106" s="188">
        <v>6666020402</v>
      </c>
      <c r="C106" s="188" t="s">
        <v>114</v>
      </c>
      <c r="D106" s="188" t="s">
        <v>123</v>
      </c>
      <c r="E106" s="189"/>
      <c r="F106" s="189">
        <f t="shared" si="37"/>
        <v>0</v>
      </c>
      <c r="G106" s="190">
        <f t="shared" si="38"/>
        <v>0</v>
      </c>
      <c r="H106" s="167"/>
      <c r="I106" s="191"/>
      <c r="J106" s="189"/>
      <c r="K106" s="190">
        <f t="shared" si="40"/>
        <v>0</v>
      </c>
      <c r="L106" s="192"/>
      <c r="M106" s="189"/>
      <c r="N106" s="189"/>
      <c r="O106" s="190">
        <f t="shared" si="42"/>
        <v>0</v>
      </c>
      <c r="P106" s="192"/>
      <c r="Q106" s="189"/>
      <c r="R106" s="189">
        <f t="shared" si="43"/>
        <v>0</v>
      </c>
      <c r="S106" s="190">
        <f t="shared" si="44"/>
        <v>0</v>
      </c>
      <c r="T106" s="192"/>
      <c r="U106" s="189"/>
      <c r="V106" s="189">
        <f t="shared" si="45"/>
        <v>0</v>
      </c>
      <c r="W106" s="190">
        <f t="shared" si="46"/>
        <v>0</v>
      </c>
      <c r="X106" s="192"/>
      <c r="Y106" s="189"/>
      <c r="Z106" s="189">
        <f t="shared" si="47"/>
        <v>0</v>
      </c>
      <c r="AA106" s="190">
        <f t="shared" si="48"/>
        <v>0</v>
      </c>
      <c r="AB106" s="192"/>
      <c r="AC106" s="189"/>
      <c r="AD106" s="189">
        <f t="shared" si="49"/>
        <v>0</v>
      </c>
      <c r="AE106" s="190">
        <f t="shared" si="50"/>
        <v>0</v>
      </c>
      <c r="AF106" s="192"/>
      <c r="AG106" s="189"/>
      <c r="AH106" s="189">
        <f t="shared" si="51"/>
        <v>0</v>
      </c>
      <c r="AI106" s="190">
        <f t="shared" si="52"/>
        <v>0</v>
      </c>
      <c r="AJ106" s="192"/>
      <c r="AK106" s="189"/>
      <c r="AL106" s="189">
        <f t="shared" si="53"/>
        <v>0</v>
      </c>
      <c r="AM106" s="190">
        <f t="shared" si="54"/>
        <v>0</v>
      </c>
      <c r="AN106" s="192"/>
      <c r="AO106" s="189"/>
      <c r="AP106" s="189">
        <f t="shared" si="55"/>
        <v>0</v>
      </c>
      <c r="AQ106" s="190">
        <f t="shared" si="56"/>
        <v>0</v>
      </c>
      <c r="AR106" s="192"/>
      <c r="AS106" s="189"/>
      <c r="AT106" s="189">
        <f t="shared" si="57"/>
        <v>0</v>
      </c>
      <c r="AU106" s="190">
        <f t="shared" si="58"/>
        <v>0</v>
      </c>
      <c r="AV106" s="192"/>
      <c r="AW106" s="191"/>
      <c r="AX106" s="189">
        <f t="shared" si="59"/>
        <v>0</v>
      </c>
      <c r="AY106" s="190">
        <f t="shared" si="60"/>
        <v>0</v>
      </c>
      <c r="AZ106" s="167"/>
      <c r="BA106" s="191">
        <f t="shared" si="70"/>
        <v>0</v>
      </c>
      <c r="BB106" s="189">
        <f t="shared" si="71"/>
        <v>0</v>
      </c>
      <c r="BC106" s="190">
        <f t="shared" si="61"/>
        <v>0</v>
      </c>
    </row>
    <row r="107" spans="1:55" outlineLevel="1">
      <c r="A107" s="188">
        <v>6666020502</v>
      </c>
      <c r="B107" s="188">
        <v>6666020502</v>
      </c>
      <c r="C107" s="188" t="s">
        <v>115</v>
      </c>
      <c r="D107" s="188" t="s">
        <v>123</v>
      </c>
      <c r="E107" s="189">
        <f>VLOOKUP(B107,'2024 by account '!$A$2:$M$102,2,0)/1000</f>
        <v>530.95468999999991</v>
      </c>
      <c r="F107" s="189">
        <f t="shared" si="37"/>
        <v>16.179503908095011</v>
      </c>
      <c r="G107" s="190">
        <f t="shared" si="38"/>
        <v>1.008382917301029</v>
      </c>
      <c r="H107" s="167"/>
      <c r="I107" s="191">
        <f>VLOOKUP(B107,'2024 by account '!$A$2:$M$102,3,0)/1000</f>
        <v>750.12084000000004</v>
      </c>
      <c r="J107" s="189">
        <f t="shared" si="72"/>
        <v>22.550259135893025</v>
      </c>
      <c r="K107" s="190">
        <f t="shared" si="40"/>
        <v>1.1416696605859167</v>
      </c>
      <c r="L107" s="192"/>
      <c r="M107" s="189">
        <f>VLOOKUP(B107,'2024 by account '!$A$2:$M$102,4,0)/1000</f>
        <v>764.18696999999997</v>
      </c>
      <c r="N107" s="189">
        <f t="shared" si="73"/>
        <v>21.944954900367289</v>
      </c>
      <c r="O107" s="190">
        <f t="shared" si="42"/>
        <v>1.0952215850859555</v>
      </c>
      <c r="P107" s="192"/>
      <c r="Q107" s="189">
        <f>VLOOKUP(B107,'2024 by account '!$A$2:$M$102,5,0)/1000</f>
        <v>878.84055000000012</v>
      </c>
      <c r="R107" s="189">
        <f t="shared" si="43"/>
        <v>25.332219262897567</v>
      </c>
      <c r="S107" s="190">
        <f t="shared" si="44"/>
        <v>0.90333485229460364</v>
      </c>
      <c r="T107" s="192"/>
      <c r="U107" s="189">
        <f>VLOOKUP(B107,'2024 by account '!$A$2:$M$102,6,0)/1000</f>
        <v>1301.05457</v>
      </c>
      <c r="V107" s="189">
        <f t="shared" si="45"/>
        <v>37.321741512600219</v>
      </c>
      <c r="W107" s="190">
        <f t="shared" si="46"/>
        <v>0.91488310811884632</v>
      </c>
      <c r="X107" s="192"/>
      <c r="Y107" s="189">
        <f>VLOOKUP(B107,'2024 by account '!$A$2:$M$102,7,0)/1000</f>
        <v>1031.1004499999999</v>
      </c>
      <c r="Z107" s="189">
        <f t="shared" si="47"/>
        <v>29.40397727758814</v>
      </c>
      <c r="AA107" s="190">
        <f t="shared" si="48"/>
        <v>0.9492502995089146</v>
      </c>
      <c r="AB107" s="192"/>
      <c r="AC107" s="189">
        <f>VLOOKUP(B107,'2024 by account '!$A$2:$M$102,8,0)/1000</f>
        <v>1262.0713899999998</v>
      </c>
      <c r="AD107" s="189">
        <f t="shared" si="49"/>
        <v>35.355209836148234</v>
      </c>
      <c r="AE107" s="190">
        <f t="shared" si="50"/>
        <v>1.0254723391289333</v>
      </c>
      <c r="AF107" s="192"/>
      <c r="AG107" s="189">
        <f>VLOOKUP(B107,'2024 by account '!$A$2:$M$102,9,0)/1000</f>
        <v>1085.8307299999999</v>
      </c>
      <c r="AH107" s="189">
        <f t="shared" si="51"/>
        <v>29.259945620833307</v>
      </c>
      <c r="AI107" s="190">
        <f t="shared" si="52"/>
        <v>1.1439497075937644</v>
      </c>
      <c r="AJ107" s="192"/>
      <c r="AK107" s="189">
        <f>VLOOKUP(B107,'2024 by account '!$A$2:$M$102,10,0)/1000</f>
        <v>1566.05693</v>
      </c>
      <c r="AL107" s="189">
        <f t="shared" si="53"/>
        <v>41.403982259606337</v>
      </c>
      <c r="AM107" s="190">
        <f t="shared" si="54"/>
        <v>1.032415276770555</v>
      </c>
      <c r="AN107" s="192"/>
      <c r="AO107" s="189">
        <f>VLOOKUP(B107,'2024 by account '!$A$2:$M$102,11,0)/1000</f>
        <v>1523.0303799999999</v>
      </c>
      <c r="AP107" s="189">
        <f t="shared" si="55"/>
        <v>40.780190947930471</v>
      </c>
      <c r="AQ107" s="190">
        <f t="shared" si="56"/>
        <v>0.99012287731396975</v>
      </c>
      <c r="AR107" s="192"/>
      <c r="AS107" s="189">
        <f>VLOOKUP(B107,'2024 by account '!$A$2:$M$102,12,0)/1000</f>
        <v>1401.3190400000001</v>
      </c>
      <c r="AT107" s="189">
        <f t="shared" si="57"/>
        <v>38.262628844163757</v>
      </c>
      <c r="AU107" s="190">
        <f t="shared" si="58"/>
        <v>0.88755808035638495</v>
      </c>
      <c r="AV107" s="192"/>
      <c r="AW107" s="191">
        <f>VLOOKUP(B107,'2024 by account '!$A$2:$M$102,13,0)/1000</f>
        <v>1328.3058199999998</v>
      </c>
      <c r="AX107" s="189">
        <f t="shared" si="59"/>
        <v>36.234256730436641</v>
      </c>
      <c r="AY107" s="190">
        <f t="shared" si="60"/>
        <v>1.3854722873259908</v>
      </c>
      <c r="AZ107" s="167"/>
      <c r="BA107" s="191">
        <f t="shared" si="70"/>
        <v>13422.872360000001</v>
      </c>
      <c r="BB107" s="189">
        <f t="shared" si="71"/>
        <v>374.02887023656001</v>
      </c>
      <c r="BC107" s="190">
        <f t="shared" si="61"/>
        <v>1.0212225062157616</v>
      </c>
    </row>
    <row r="108" spans="1:55" outlineLevel="1">
      <c r="A108" s="188">
        <v>6666020503</v>
      </c>
      <c r="B108" s="188">
        <v>6666020503</v>
      </c>
      <c r="C108" s="188" t="s">
        <v>116</v>
      </c>
      <c r="D108" s="188" t="s">
        <v>123</v>
      </c>
      <c r="E108" s="189">
        <f>VLOOKUP(B108,'2024 by account '!$A$2:$M$102,2,0)/1000</f>
        <v>32</v>
      </c>
      <c r="F108" s="189">
        <f t="shared" si="37"/>
        <v>0.9751192235613183</v>
      </c>
      <c r="G108" s="190">
        <f t="shared" si="38"/>
        <v>6.0774024528595719E-2</v>
      </c>
      <c r="H108" s="167"/>
      <c r="I108" s="191">
        <f>VLOOKUP(B108,'2024 by account '!$A$2:$M$102,3,0)/1000</f>
        <v>34.269780000000004</v>
      </c>
      <c r="J108" s="189">
        <f t="shared" si="72"/>
        <v>1.030223903031469</v>
      </c>
      <c r="K108" s="190">
        <f t="shared" si="40"/>
        <v>5.2157953778425928E-2</v>
      </c>
      <c r="L108" s="192"/>
      <c r="M108" s="189">
        <f>VLOOKUP(B108,'2024 by account '!$A$2:$M$102,4,0)/1000</f>
        <v>31.151130000000002</v>
      </c>
      <c r="N108" s="189">
        <f t="shared" si="73"/>
        <v>0.8945587530044885</v>
      </c>
      <c r="O108" s="190">
        <f t="shared" si="42"/>
        <v>4.4645343764260541E-2</v>
      </c>
      <c r="P108" s="192"/>
      <c r="Q108" s="189">
        <f>VLOOKUP(B108,'2024 by account '!$A$2:$M$102,5,0)/1000</f>
        <v>34.120070000000005</v>
      </c>
      <c r="R108" s="189">
        <f t="shared" si="43"/>
        <v>0.98349705700927592</v>
      </c>
      <c r="S108" s="190">
        <f t="shared" si="44"/>
        <v>3.507103580249174E-2</v>
      </c>
      <c r="T108" s="192"/>
      <c r="U108" s="189">
        <f>VLOOKUP(B108,'2024 by account '!$A$2:$M$102,6,0)/1000</f>
        <v>30.827200000000001</v>
      </c>
      <c r="V108" s="189">
        <f t="shared" si="45"/>
        <v>0.88430171684284509</v>
      </c>
      <c r="W108" s="190">
        <f t="shared" si="46"/>
        <v>2.1677249518136127E-2</v>
      </c>
      <c r="X108" s="192"/>
      <c r="Y108" s="189">
        <f>VLOOKUP(B108,'2024 by account '!$A$2:$M$102,7,0)/1000</f>
        <v>32.473639999999996</v>
      </c>
      <c r="Z108" s="189">
        <f t="shared" si="47"/>
        <v>0.926053492344589</v>
      </c>
      <c r="AA108" s="190">
        <f t="shared" si="48"/>
        <v>2.98958384667029E-2</v>
      </c>
      <c r="AB108" s="192"/>
      <c r="AC108" s="189">
        <f>VLOOKUP(B108,'2024 by account '!$A$2:$M$102,8,0)/1000</f>
        <v>34.868350000000007</v>
      </c>
      <c r="AD108" s="189">
        <f t="shared" si="49"/>
        <v>0.97678930103174244</v>
      </c>
      <c r="AE108" s="190">
        <f t="shared" si="50"/>
        <v>2.8331621110646008E-2</v>
      </c>
      <c r="AF108" s="192"/>
      <c r="AG108" s="189">
        <f>VLOOKUP(B108,'2024 by account '!$A$2:$M$102,9,0)/1000</f>
        <v>32.473639999999996</v>
      </c>
      <c r="AH108" s="189">
        <f t="shared" si="51"/>
        <v>0.87506911920840302</v>
      </c>
      <c r="AI108" s="190">
        <f t="shared" si="52"/>
        <v>3.421178822458374E-2</v>
      </c>
      <c r="AJ108" s="192"/>
      <c r="AK108" s="189">
        <f>VLOOKUP(B108,'2024 by account '!$A$2:$M$102,10,0)/1000</f>
        <v>32.901820000000001</v>
      </c>
      <c r="AL108" s="189">
        <f t="shared" si="53"/>
        <v>0.86987027450449139</v>
      </c>
      <c r="AM108" s="190">
        <f t="shared" si="54"/>
        <v>2.1690361921616084E-2</v>
      </c>
      <c r="AN108" s="192"/>
      <c r="AO108" s="189">
        <f>VLOOKUP(B108,'2024 by account '!$A$2:$M$102,11,0)/1000</f>
        <v>-22.486419999999999</v>
      </c>
      <c r="AP108" s="189">
        <f t="shared" si="55"/>
        <v>-0.60208943523198966</v>
      </c>
      <c r="AQ108" s="190">
        <f t="shared" si="56"/>
        <v>-1.4618433856119398E-2</v>
      </c>
      <c r="AR108" s="192"/>
      <c r="AS108" s="189">
        <f>VLOOKUP(B108,'2024 by account '!$A$2:$M$102,12,0)/1000</f>
        <v>35.501660000000001</v>
      </c>
      <c r="AT108" s="189">
        <f t="shared" si="57"/>
        <v>0.96936300810677245</v>
      </c>
      <c r="AU108" s="190">
        <f t="shared" si="58"/>
        <v>2.2485803945877347E-2</v>
      </c>
      <c r="AV108" s="192"/>
      <c r="AW108" s="191">
        <f>VLOOKUP(B108,'2024 by account '!$A$2:$M$102,13,0)/1000</f>
        <v>-104.20712</v>
      </c>
      <c r="AX108" s="189">
        <f t="shared" si="59"/>
        <v>-2.8426191336114295</v>
      </c>
      <c r="AY108" s="190">
        <f t="shared" si="60"/>
        <v>-0.10869189514057391</v>
      </c>
      <c r="AZ108" s="167"/>
      <c r="BA108" s="191">
        <f t="shared" si="70"/>
        <v>203.89375000000001</v>
      </c>
      <c r="BB108" s="189">
        <f t="shared" si="71"/>
        <v>5.9401372798019754</v>
      </c>
      <c r="BC108" s="190">
        <f t="shared" si="61"/>
        <v>1.6218539163322852E-2</v>
      </c>
    </row>
    <row r="109" spans="1:55" outlineLevel="1">
      <c r="A109" s="188">
        <v>6666021500</v>
      </c>
      <c r="B109" s="188">
        <v>6666021500</v>
      </c>
      <c r="C109" s="188" t="s">
        <v>117</v>
      </c>
      <c r="D109" s="188" t="s">
        <v>123</v>
      </c>
      <c r="E109" s="189">
        <f>VLOOKUP(B109,'2024 by account '!$A$2:$M$102,2,0)/1000</f>
        <v>21.266749999999998</v>
      </c>
      <c r="F109" s="189">
        <f t="shared" si="37"/>
        <v>0.64805052336477076</v>
      </c>
      <c r="G109" s="190">
        <f t="shared" si="38"/>
        <v>4.0389562066984776E-2</v>
      </c>
      <c r="H109" s="167"/>
      <c r="I109" s="191">
        <f>VLOOKUP(B109,'2024 by account '!$A$2:$M$102,3,0)/1000</f>
        <v>0</v>
      </c>
      <c r="J109" s="189">
        <f t="shared" si="72"/>
        <v>0</v>
      </c>
      <c r="K109" s="190">
        <f t="shared" si="40"/>
        <v>0</v>
      </c>
      <c r="L109" s="192"/>
      <c r="M109" s="189">
        <f>VLOOKUP(B109,'2024 by account '!$A$2:$M$102,4,0)/1000</f>
        <v>83.456980000000001</v>
      </c>
      <c r="N109" s="189">
        <f t="shared" si="73"/>
        <v>2.3966119995749926</v>
      </c>
      <c r="O109" s="190">
        <f t="shared" si="42"/>
        <v>0.119609322731696</v>
      </c>
      <c r="P109" s="192"/>
      <c r="Q109" s="189">
        <f>VLOOKUP(B109,'2024 by account '!$A$2:$M$102,5,0)/1000</f>
        <v>98.6267</v>
      </c>
      <c r="R109" s="189">
        <f t="shared" si="43"/>
        <v>2.8428742728996963</v>
      </c>
      <c r="S109" s="190">
        <f t="shared" si="44"/>
        <v>0.10137554016687574</v>
      </c>
      <c r="T109" s="192"/>
      <c r="U109" s="189">
        <f>VLOOKUP(B109,'2024 by account '!$A$2:$M$102,6,0)/1000</f>
        <v>658.41200000000003</v>
      </c>
      <c r="V109" s="189">
        <f t="shared" si="45"/>
        <v>18.887049812825403</v>
      </c>
      <c r="W109" s="190">
        <f t="shared" si="46"/>
        <v>0.46298597374185918</v>
      </c>
      <c r="X109" s="192"/>
      <c r="Y109" s="189">
        <f>VLOOKUP(B109,'2024 by account '!$A$2:$M$102,7,0)/1000</f>
        <v>179.36727999999999</v>
      </c>
      <c r="Z109" s="189">
        <f t="shared" si="47"/>
        <v>5.1150316397037647</v>
      </c>
      <c r="AA109" s="190">
        <f t="shared" si="48"/>
        <v>0.16512886233547794</v>
      </c>
      <c r="AB109" s="192"/>
      <c r="AC109" s="189">
        <f>VLOOKUP(B109,'2024 by account '!$A$2:$M$102,8,0)/1000</f>
        <v>54.155059999999999</v>
      </c>
      <c r="AD109" s="189">
        <f t="shared" si="49"/>
        <v>1.5170801946387502</v>
      </c>
      <c r="AE109" s="190">
        <f t="shared" si="50"/>
        <v>4.4002674091096969E-2</v>
      </c>
      <c r="AF109" s="192"/>
      <c r="AG109" s="189">
        <f>VLOOKUP(B109,'2024 by account '!$A$2:$M$102,9,0)/1000</f>
        <v>27</v>
      </c>
      <c r="AH109" s="189">
        <f t="shared" si="51"/>
        <v>0.72757061477022245</v>
      </c>
      <c r="AI109" s="190">
        <f t="shared" si="52"/>
        <v>2.8445172209329208E-2</v>
      </c>
      <c r="AJ109" s="192"/>
      <c r="AK109" s="189">
        <f>VLOOKUP(B109,'2024 by account '!$A$2:$M$102,10,0)/1000</f>
        <v>186.70607999999999</v>
      </c>
      <c r="AL109" s="189">
        <f t="shared" si="53"/>
        <v>4.9362031967002897</v>
      </c>
      <c r="AM109" s="190">
        <f t="shared" si="54"/>
        <v>0.12308505876471897</v>
      </c>
      <c r="AN109" s="192"/>
      <c r="AO109" s="189">
        <f>VLOOKUP(B109,'2024 by account '!$A$2:$M$102,11,0)/1000</f>
        <v>288.42237</v>
      </c>
      <c r="AP109" s="189">
        <f t="shared" si="55"/>
        <v>7.7227082773323623</v>
      </c>
      <c r="AQ109" s="190">
        <f t="shared" si="56"/>
        <v>0.18750353940156755</v>
      </c>
      <c r="AR109" s="192"/>
      <c r="AS109" s="189">
        <f>VLOOKUP(B109,'2024 by account '!$A$2:$M$102,12,0)/1000</f>
        <v>169.69709</v>
      </c>
      <c r="AT109" s="189">
        <f t="shared" si="57"/>
        <v>4.6335321117200063</v>
      </c>
      <c r="AU109" s="190">
        <f t="shared" si="58"/>
        <v>0.10748160778752044</v>
      </c>
      <c r="AV109" s="192"/>
      <c r="AW109" s="191">
        <f>VLOOKUP(B109,'2024 by account '!$A$2:$M$102,13,0)/1000</f>
        <v>2243.3691800000001</v>
      </c>
      <c r="AX109" s="189">
        <f t="shared" si="59"/>
        <v>61.195858352310118</v>
      </c>
      <c r="AY109" s="190">
        <f t="shared" si="60"/>
        <v>2.3399173460907017</v>
      </c>
      <c r="AZ109" s="167"/>
      <c r="BA109" s="191">
        <f t="shared" si="70"/>
        <v>4010.4794899999997</v>
      </c>
      <c r="BB109" s="189">
        <f t="shared" si="71"/>
        <v>110.62257099584036</v>
      </c>
      <c r="BC109" s="190">
        <f t="shared" si="61"/>
        <v>0.30203620144336302</v>
      </c>
    </row>
    <row r="110" spans="1:55" outlineLevel="1">
      <c r="A110" s="188">
        <v>6666021502</v>
      </c>
      <c r="B110" s="188">
        <v>6666021502</v>
      </c>
      <c r="C110" s="188" t="s">
        <v>118</v>
      </c>
      <c r="D110" s="188" t="s">
        <v>123</v>
      </c>
      <c r="E110" s="189">
        <f>VLOOKUP(B110,'2024 by account '!$A$2:$M$102,2,0)/1000</f>
        <v>666.52499999999998</v>
      </c>
      <c r="F110" s="189">
        <f t="shared" si="37"/>
        <v>20.31066689013149</v>
      </c>
      <c r="G110" s="190">
        <f t="shared" si="38"/>
        <v>1.2658564593413206</v>
      </c>
      <c r="H110" s="167"/>
      <c r="I110" s="191">
        <f>VLOOKUP(B110,'2024 by account '!$A$2:$M$102,3,0)/1000</f>
        <v>687.55492000000004</v>
      </c>
      <c r="J110" s="189">
        <f t="shared" si="72"/>
        <v>20.669391902454276</v>
      </c>
      <c r="K110" s="190">
        <f t="shared" si="40"/>
        <v>1.0464455195653237</v>
      </c>
      <c r="L110" s="192"/>
      <c r="M110" s="189">
        <f>VLOOKUP(B110,'2024 by account '!$A$2:$M$102,4,0)/1000</f>
        <v>549.69849000000011</v>
      </c>
      <c r="N110" s="189">
        <f t="shared" si="73"/>
        <v>15.785546005645715</v>
      </c>
      <c r="O110" s="190">
        <f t="shared" si="42"/>
        <v>0.78781983359014396</v>
      </c>
      <c r="P110" s="192"/>
      <c r="Q110" s="189">
        <f>VLOOKUP(B110,'2024 by account '!$A$2:$M$102,5,0)/1000</f>
        <v>663.91214999999988</v>
      </c>
      <c r="R110" s="189">
        <f t="shared" si="43"/>
        <v>19.136996074090725</v>
      </c>
      <c r="S110" s="190">
        <f t="shared" si="44"/>
        <v>0.68241614927399796</v>
      </c>
      <c r="T110" s="192"/>
      <c r="U110" s="189">
        <f>VLOOKUP(B110,'2024 by account '!$A$2:$M$102,6,0)/1000</f>
        <v>29.247529999999998</v>
      </c>
      <c r="V110" s="189">
        <f t="shared" si="45"/>
        <v>0.83898767946529729</v>
      </c>
      <c r="W110" s="190">
        <f t="shared" si="46"/>
        <v>2.0566447993952474E-2</v>
      </c>
      <c r="X110" s="192"/>
      <c r="Y110" s="189">
        <f>VLOOKUP(B110,'2024 by account '!$A$2:$M$102,7,0)/1000</f>
        <v>504.03234999999995</v>
      </c>
      <c r="Z110" s="189">
        <f t="shared" si="47"/>
        <v>14.373532439607947</v>
      </c>
      <c r="AA110" s="190">
        <f t="shared" si="48"/>
        <v>0.46402157927453341</v>
      </c>
      <c r="AB110" s="192"/>
      <c r="AC110" s="189">
        <f>VLOOKUP(B110,'2024 by account '!$A$2:$M$102,8,0)/1000</f>
        <v>645.38341000000003</v>
      </c>
      <c r="AD110" s="189">
        <f t="shared" si="49"/>
        <v>18.079536598416109</v>
      </c>
      <c r="AE110" s="190">
        <f t="shared" si="50"/>
        <v>0.52439413517464128</v>
      </c>
      <c r="AF110" s="192"/>
      <c r="AG110" s="189">
        <f>VLOOKUP(B110,'2024 by account '!$A$2:$M$102,9,0)/1000</f>
        <v>-497.26841999999994</v>
      </c>
      <c r="AH110" s="189">
        <f t="shared" si="51"/>
        <v>-13.399921853526561</v>
      </c>
      <c r="AI110" s="190">
        <f t="shared" si="52"/>
        <v>-0.5238846607837423</v>
      </c>
      <c r="AJ110" s="192"/>
      <c r="AK110" s="189">
        <f>VLOOKUP(B110,'2024 by account '!$A$2:$M$102,10,0)/1000</f>
        <v>-259.03289999999998</v>
      </c>
      <c r="AL110" s="189">
        <f t="shared" si="53"/>
        <v>-6.8484059492360743</v>
      </c>
      <c r="AM110" s="190">
        <f t="shared" si="54"/>
        <v>-0.17076615672342096</v>
      </c>
      <c r="AN110" s="192"/>
      <c r="AO110" s="189">
        <f>VLOOKUP(B110,'2024 by account '!$A$2:$M$102,11,0)/1000</f>
        <v>436.10283000000004</v>
      </c>
      <c r="AP110" s="189">
        <f t="shared" si="55"/>
        <v>11.676954651641855</v>
      </c>
      <c r="AQ110" s="190">
        <f t="shared" si="56"/>
        <v>0.28351068666428375</v>
      </c>
      <c r="AR110" s="192"/>
      <c r="AS110" s="189">
        <f>VLOOKUP(B110,'2024 by account '!$A$2:$M$102,12,0)/1000</f>
        <v>517.82344999999998</v>
      </c>
      <c r="AT110" s="189">
        <f t="shared" si="57"/>
        <v>14.139026095124196</v>
      </c>
      <c r="AU110" s="190">
        <f t="shared" si="58"/>
        <v>0.32797555312280668</v>
      </c>
      <c r="AV110" s="192"/>
      <c r="AW110" s="191">
        <f>VLOOKUP(B110,'2024 by account '!$A$2:$M$102,13,0)/1000</f>
        <v>-2223.85349</v>
      </c>
      <c r="AX110" s="189">
        <f t="shared" si="59"/>
        <v>-60.663498626797796</v>
      </c>
      <c r="AY110" s="190">
        <f t="shared" si="60"/>
        <v>-2.3195617568461668</v>
      </c>
      <c r="AZ110" s="167"/>
      <c r="BA110" s="191">
        <f t="shared" si="70"/>
        <v>1720.1253200000001</v>
      </c>
      <c r="BB110" s="189">
        <f t="shared" si="71"/>
        <v>54.098811907017193</v>
      </c>
      <c r="BC110" s="190">
        <f t="shared" si="61"/>
        <v>0.14770764685634419</v>
      </c>
    </row>
    <row r="111" spans="1:55" outlineLevel="1">
      <c r="A111" s="188">
        <v>6666021503</v>
      </c>
      <c r="B111" s="188">
        <v>6666021503</v>
      </c>
      <c r="C111" s="188" t="s">
        <v>119</v>
      </c>
      <c r="D111" s="188" t="s">
        <v>123</v>
      </c>
      <c r="E111" s="189">
        <f>VLOOKUP(B111,'2024 by account '!$A$2:$M$102,2,0)/1000</f>
        <v>89.072929999999999</v>
      </c>
      <c r="F111" s="189">
        <f t="shared" si="37"/>
        <v>2.7142726981853644</v>
      </c>
      <c r="G111" s="190">
        <f t="shared" si="38"/>
        <v>0.16916626352043404</v>
      </c>
      <c r="H111" s="167"/>
      <c r="I111" s="191">
        <f>VLOOKUP(B111,'2024 by account '!$A$2:$M$102,3,0)/1000</f>
        <v>179.64951000000002</v>
      </c>
      <c r="J111" s="189">
        <f t="shared" si="72"/>
        <v>5.4006538521662799</v>
      </c>
      <c r="K111" s="190">
        <f t="shared" si="40"/>
        <v>0.27342313953859254</v>
      </c>
      <c r="L111" s="192"/>
      <c r="M111" s="189">
        <f>VLOOKUP(B111,'2024 by account '!$A$2:$M$102,4,0)/1000</f>
        <v>84.766540000000006</v>
      </c>
      <c r="N111" s="189">
        <f t="shared" si="73"/>
        <v>2.4342182873913436</v>
      </c>
      <c r="O111" s="190">
        <f t="shared" si="42"/>
        <v>0.12148616496438308</v>
      </c>
      <c r="P111" s="192"/>
      <c r="Q111" s="189">
        <f>VLOOKUP(B111,'2024 by account '!$A$2:$M$102,5,0)/1000</f>
        <v>84.55</v>
      </c>
      <c r="R111" s="189">
        <f t="shared" si="43"/>
        <v>2.4371191550935936</v>
      </c>
      <c r="S111" s="190">
        <f t="shared" si="44"/>
        <v>8.6906506261583777E-2</v>
      </c>
      <c r="T111" s="192"/>
      <c r="U111" s="189">
        <f>VLOOKUP(B111,'2024 by account '!$A$2:$M$102,6,0)/1000</f>
        <v>84.55</v>
      </c>
      <c r="V111" s="189">
        <f t="shared" si="45"/>
        <v>2.4253811620602113</v>
      </c>
      <c r="W111" s="190">
        <f t="shared" si="46"/>
        <v>5.9454360005398131E-2</v>
      </c>
      <c r="X111" s="192"/>
      <c r="Y111" s="189">
        <f>VLOOKUP(B111,'2024 by account '!$A$2:$M$102,7,0)/1000</f>
        <v>84.55</v>
      </c>
      <c r="Z111" s="189">
        <f t="shared" si="47"/>
        <v>2.4111193810652272</v>
      </c>
      <c r="AA111" s="190">
        <f t="shared" si="48"/>
        <v>7.7838306465173909E-2</v>
      </c>
      <c r="AB111" s="192"/>
      <c r="AC111" s="189">
        <f>VLOOKUP(B111,'2024 by account '!$A$2:$M$102,8,0)/1000</f>
        <v>107.78837</v>
      </c>
      <c r="AD111" s="189">
        <f t="shared" si="49"/>
        <v>3.0195442741526577</v>
      </c>
      <c r="AE111" s="190">
        <f t="shared" si="50"/>
        <v>8.7581410045904737E-2</v>
      </c>
      <c r="AF111" s="192"/>
      <c r="AG111" s="189">
        <f>VLOOKUP(B111,'2024 by account '!$A$2:$M$102,9,0)/1000</f>
        <v>130.15314000000001</v>
      </c>
      <c r="AH111" s="189">
        <f t="shared" si="51"/>
        <v>3.5072444475583273</v>
      </c>
      <c r="AI111" s="190">
        <f t="shared" si="52"/>
        <v>0.13711957336610867</v>
      </c>
      <c r="AJ111" s="192"/>
      <c r="AK111" s="189">
        <f>VLOOKUP(B111,'2024 by account '!$A$2:$M$102,10,0)/1000</f>
        <v>312.04386</v>
      </c>
      <c r="AL111" s="189">
        <f t="shared" si="53"/>
        <v>8.2499289752251119</v>
      </c>
      <c r="AM111" s="190">
        <f t="shared" si="54"/>
        <v>0.20571336961961678</v>
      </c>
      <c r="AN111" s="192"/>
      <c r="AO111" s="189">
        <f>VLOOKUP(B111,'2024 by account '!$A$2:$M$102,11,0)/1000</f>
        <v>91.424499999999995</v>
      </c>
      <c r="AP111" s="189">
        <f t="shared" si="55"/>
        <v>2.4479541683988399</v>
      </c>
      <c r="AQ111" s="190">
        <f t="shared" si="56"/>
        <v>5.9435117109739477E-2</v>
      </c>
      <c r="AR111" s="192"/>
      <c r="AS111" s="189">
        <f>VLOOKUP(B111,'2024 by account '!$A$2:$M$102,12,0)/1000</f>
        <v>120.43472</v>
      </c>
      <c r="AT111" s="189">
        <f t="shared" si="57"/>
        <v>3.2884367226686546</v>
      </c>
      <c r="AU111" s="190">
        <f t="shared" si="58"/>
        <v>7.6280137385030269E-2</v>
      </c>
      <c r="AV111" s="192"/>
      <c r="AW111" s="191">
        <f>VLOOKUP(B111,'2024 by account '!$A$2:$M$102,13,0)/1000</f>
        <v>142.97407999999999</v>
      </c>
      <c r="AX111" s="189">
        <f t="shared" si="59"/>
        <v>3.9001255904442145</v>
      </c>
      <c r="AY111" s="190">
        <f t="shared" si="60"/>
        <v>0.14912727375231197</v>
      </c>
      <c r="AZ111" s="167"/>
      <c r="BA111" s="191">
        <f t="shared" si="70"/>
        <v>1511.9576500000001</v>
      </c>
      <c r="BB111" s="189">
        <f t="shared" si="71"/>
        <v>42.235998714409824</v>
      </c>
      <c r="BC111" s="190">
        <f t="shared" si="61"/>
        <v>0.11531824383603224</v>
      </c>
    </row>
    <row r="112" spans="1:55" outlineLevel="1">
      <c r="A112" s="188">
        <v>6666021505</v>
      </c>
      <c r="B112" s="188">
        <v>6666021505</v>
      </c>
      <c r="C112" s="188" t="s">
        <v>120</v>
      </c>
      <c r="D112" s="188" t="s">
        <v>123</v>
      </c>
      <c r="E112" s="189">
        <f>VLOOKUP(B112,'2024 by account '!$A$2:$M$102,2,0)/1000</f>
        <v>0</v>
      </c>
      <c r="F112" s="189">
        <f t="shared" si="37"/>
        <v>0</v>
      </c>
      <c r="G112" s="190">
        <f t="shared" si="38"/>
        <v>0</v>
      </c>
      <c r="H112" s="167"/>
      <c r="I112" s="191">
        <f>VLOOKUP(B112,'2024 by account '!$A$2:$M$102,3,0)/1000</f>
        <v>1.5268199999999998</v>
      </c>
      <c r="J112" s="189">
        <f t="shared" si="72"/>
        <v>4.5899520207789701E-2</v>
      </c>
      <c r="K112" s="190">
        <f t="shared" si="40"/>
        <v>2.3237910190254001E-3</v>
      </c>
      <c r="L112" s="192"/>
      <c r="M112" s="189">
        <f>VLOOKUP(B112,'2024 by account '!$A$2:$M$102,4,0)/1000</f>
        <v>0</v>
      </c>
      <c r="N112" s="189">
        <f t="shared" si="73"/>
        <v>0</v>
      </c>
      <c r="O112" s="190">
        <f t="shared" si="42"/>
        <v>0</v>
      </c>
      <c r="P112" s="192"/>
      <c r="Q112" s="189">
        <f>VLOOKUP(B112,'2024 by account '!$A$2:$M$102,5,0)/1000</f>
        <v>0</v>
      </c>
      <c r="R112" s="189">
        <f t="shared" si="43"/>
        <v>0</v>
      </c>
      <c r="S112" s="190">
        <f t="shared" si="44"/>
        <v>0</v>
      </c>
      <c r="T112" s="192"/>
      <c r="U112" s="189">
        <f>VLOOKUP(B112,'2024 by account '!$A$2:$M$102,6,0)/1000</f>
        <v>3.8600000000000002E-2</v>
      </c>
      <c r="V112" s="189">
        <f t="shared" si="45"/>
        <v>1.1072704063338162E-3</v>
      </c>
      <c r="W112" s="190">
        <f t="shared" si="46"/>
        <v>2.7142972160950538E-5</v>
      </c>
      <c r="X112" s="192"/>
      <c r="Y112" s="189">
        <f>VLOOKUP(B112,'2024 by account '!$A$2:$M$102,7,0)/1000</f>
        <v>4.2767999999999997</v>
      </c>
      <c r="Z112" s="189">
        <f t="shared" si="47"/>
        <v>0.1219618612529836</v>
      </c>
      <c r="AA112" s="190">
        <f t="shared" si="48"/>
        <v>3.9373018224749352E-3</v>
      </c>
      <c r="AB112" s="192"/>
      <c r="AC112" s="189">
        <f>VLOOKUP(B112,'2024 by account '!$A$2:$M$102,8,0)/1000</f>
        <v>0</v>
      </c>
      <c r="AD112" s="189">
        <f t="shared" si="49"/>
        <v>0</v>
      </c>
      <c r="AE112" s="190">
        <f t="shared" si="50"/>
        <v>0</v>
      </c>
      <c r="AF112" s="192"/>
      <c r="AG112" s="189">
        <f>VLOOKUP(B112,'2024 by account '!$A$2:$M$102,9,0)/1000</f>
        <v>0</v>
      </c>
      <c r="AH112" s="189">
        <f t="shared" si="51"/>
        <v>0</v>
      </c>
      <c r="AI112" s="190">
        <f t="shared" si="52"/>
        <v>0</v>
      </c>
      <c r="AJ112" s="192"/>
      <c r="AK112" s="189">
        <f>VLOOKUP(B112,'2024 by account '!$A$2:$M$102,10,0)/1000</f>
        <v>0</v>
      </c>
      <c r="AL112" s="189">
        <f t="shared" si="53"/>
        <v>0</v>
      </c>
      <c r="AM112" s="190">
        <f t="shared" si="54"/>
        <v>0</v>
      </c>
      <c r="AN112" s="192"/>
      <c r="AO112" s="189">
        <f>VLOOKUP(B112,'2024 by account '!$A$2:$M$102,11,0)/1000</f>
        <v>0.13125000000000001</v>
      </c>
      <c r="AP112" s="189">
        <f t="shared" si="55"/>
        <v>3.5143094531810155E-3</v>
      </c>
      <c r="AQ112" s="190">
        <f t="shared" si="56"/>
        <v>8.5325696292058544E-5</v>
      </c>
      <c r="AR112" s="192"/>
      <c r="AS112" s="189">
        <f>VLOOKUP(B112,'2024 by account '!$A$2:$M$102,12,0)/1000</f>
        <v>0</v>
      </c>
      <c r="AT112" s="189">
        <f t="shared" si="57"/>
        <v>0</v>
      </c>
      <c r="AU112" s="190">
        <f t="shared" si="58"/>
        <v>0</v>
      </c>
      <c r="AV112" s="192"/>
      <c r="AW112" s="191">
        <f>VLOOKUP(B112,'2024 by account '!$A$2:$M$102,13,0)/1000</f>
        <v>0</v>
      </c>
      <c r="AX112" s="189">
        <f t="shared" si="59"/>
        <v>0</v>
      </c>
      <c r="AY112" s="190">
        <f t="shared" si="60"/>
        <v>0</v>
      </c>
      <c r="AZ112" s="167"/>
      <c r="BA112" s="191">
        <f t="shared" si="70"/>
        <v>5.9734699999999989</v>
      </c>
      <c r="BB112" s="189">
        <f t="shared" si="71"/>
        <v>0.17248296132028815</v>
      </c>
      <c r="BC112" s="190">
        <f t="shared" si="61"/>
        <v>4.7093552411506744E-4</v>
      </c>
    </row>
    <row r="113" spans="1:55" outlineLevel="1">
      <c r="A113" s="188">
        <v>6666021506</v>
      </c>
      <c r="B113" s="188">
        <v>6666021506</v>
      </c>
      <c r="C113" s="188" t="s">
        <v>121</v>
      </c>
      <c r="D113" s="188" t="s">
        <v>123</v>
      </c>
      <c r="E113" s="189">
        <f>VLOOKUP(B113,'2024 by account '!$A$2:$M$102,2,0)/1000</f>
        <v>1076.58395</v>
      </c>
      <c r="F113" s="189">
        <f t="shared" si="37"/>
        <v>32.806178294455535</v>
      </c>
      <c r="G113" s="190">
        <f t="shared" si="38"/>
        <v>2.0446356057622643</v>
      </c>
      <c r="H113" s="167"/>
      <c r="I113" s="191">
        <f>VLOOKUP(B113,'2024 by account '!$A$2:$M$102,3,0)/1000</f>
        <v>977.62271999999996</v>
      </c>
      <c r="J113" s="189">
        <f t="shared" si="72"/>
        <v>29.389459001214508</v>
      </c>
      <c r="K113" s="190">
        <f t="shared" si="40"/>
        <v>1.4879231977123586</v>
      </c>
      <c r="L113" s="192"/>
      <c r="M113" s="189">
        <f>VLOOKUP(B113,'2024 by account '!$A$2:$M$102,4,0)/1000</f>
        <v>1175.6923300000001</v>
      </c>
      <c r="N113" s="189">
        <f t="shared" si="73"/>
        <v>33.76204537818505</v>
      </c>
      <c r="O113" s="190">
        <f t="shared" si="42"/>
        <v>1.6849850465730924</v>
      </c>
      <c r="P113" s="192"/>
      <c r="Q113" s="189">
        <f>VLOOKUP(B113,'2024 by account '!$A$2:$M$102,5,0)/1000</f>
        <v>1076.51433</v>
      </c>
      <c r="R113" s="189">
        <f t="shared" si="43"/>
        <v>31.030085090192145</v>
      </c>
      <c r="S113" s="190">
        <f t="shared" si="44"/>
        <v>1.1065180291050225</v>
      </c>
      <c r="T113" s="192"/>
      <c r="U113" s="189">
        <f>VLOOKUP(B113,'2024 by account '!$A$2:$M$102,6,0)/1000</f>
        <v>1076.6033400000001</v>
      </c>
      <c r="V113" s="189">
        <f t="shared" si="45"/>
        <v>30.883186988138441</v>
      </c>
      <c r="W113" s="190">
        <f t="shared" si="46"/>
        <v>0.7570521887566416</v>
      </c>
      <c r="X113" s="192"/>
      <c r="Y113" s="189">
        <f>VLOOKUP(B113,'2024 by account '!$A$2:$M$102,7,0)/1000</f>
        <v>1076.6096299999999</v>
      </c>
      <c r="Z113" s="189">
        <f t="shared" si="47"/>
        <v>30.70176634813085</v>
      </c>
      <c r="AA113" s="190">
        <f t="shared" si="48"/>
        <v>0.99114689915195153</v>
      </c>
      <c r="AB113" s="192"/>
      <c r="AC113" s="189">
        <f>VLOOKUP(B113,'2024 by account '!$A$2:$M$102,8,0)/1000</f>
        <v>1076.9674700000003</v>
      </c>
      <c r="AD113" s="189">
        <f t="shared" si="49"/>
        <v>30.169775806862788</v>
      </c>
      <c r="AE113" s="190">
        <f t="shared" si="50"/>
        <v>0.87506963502807056</v>
      </c>
      <c r="AF113" s="192"/>
      <c r="AG113" s="189">
        <f>VLOOKUP(B113,'2024 by account '!$A$2:$M$102,9,0)/1000</f>
        <v>-242.43113</v>
      </c>
      <c r="AH113" s="189">
        <f t="shared" si="51"/>
        <v>-6.5328061590199891</v>
      </c>
      <c r="AI113" s="190">
        <f t="shared" si="52"/>
        <v>-0.25540723117601022</v>
      </c>
      <c r="AJ113" s="192"/>
      <c r="AK113" s="189">
        <f>VLOOKUP(B113,'2024 by account '!$A$2:$M$102,10,0)/1000</f>
        <v>127.00893000000001</v>
      </c>
      <c r="AL113" s="189">
        <f t="shared" si="53"/>
        <v>3.3579082495625392</v>
      </c>
      <c r="AM113" s="190">
        <f t="shared" si="54"/>
        <v>8.3730008217697466E-2</v>
      </c>
      <c r="AN113" s="192"/>
      <c r="AO113" s="189">
        <f>VLOOKUP(B113,'2024 by account '!$A$2:$M$102,11,0)/1000</f>
        <v>1076.6033300000001</v>
      </c>
      <c r="AP113" s="189">
        <f t="shared" si="55"/>
        <v>28.826798171010751</v>
      </c>
      <c r="AQ113" s="190">
        <f t="shared" si="56"/>
        <v>0.69990040961980116</v>
      </c>
      <c r="AR113" s="192"/>
      <c r="AS113" s="189">
        <f>VLOOKUP(B113,'2024 by account '!$A$2:$M$102,12,0)/1000</f>
        <v>1076.6033300000001</v>
      </c>
      <c r="AT113" s="189">
        <f t="shared" si="57"/>
        <v>29.396356184656387</v>
      </c>
      <c r="AU113" s="190">
        <f t="shared" si="58"/>
        <v>0.68189181592800718</v>
      </c>
      <c r="AV113" s="192"/>
      <c r="AW113" s="191">
        <f>VLOOKUP(B113,'2024 by account '!$A$2:$M$102,13,0)/1000</f>
        <v>1342.8958500000001</v>
      </c>
      <c r="AX113" s="189">
        <f t="shared" si="59"/>
        <v>36.632251593340108</v>
      </c>
      <c r="AY113" s="190">
        <f t="shared" si="60"/>
        <v>1.4006902303116318</v>
      </c>
      <c r="AZ113" s="167"/>
      <c r="BA113" s="191">
        <f t="shared" si="70"/>
        <v>10917.274080000001</v>
      </c>
      <c r="BB113" s="189">
        <f t="shared" si="71"/>
        <v>310.42300494672918</v>
      </c>
      <c r="BC113" s="190">
        <f t="shared" si="61"/>
        <v>0.84755745966408524</v>
      </c>
    </row>
    <row r="114" spans="1:55" outlineLevel="2">
      <c r="A114" s="188">
        <v>6666030300</v>
      </c>
      <c r="B114" s="188">
        <v>6666030300</v>
      </c>
      <c r="C114" s="188" t="s">
        <v>72</v>
      </c>
      <c r="D114" s="188" t="s">
        <v>80</v>
      </c>
      <c r="E114" s="189">
        <f>VLOOKUP(B114,'2024 by account '!$A$2:$M$102,2,0)/1000</f>
        <v>329</v>
      </c>
      <c r="F114" s="189">
        <f t="shared" si="37"/>
        <v>10.025444517239803</v>
      </c>
      <c r="G114" s="190">
        <f t="shared" si="38"/>
        <v>0.62483293968462472</v>
      </c>
      <c r="H114" s="167"/>
      <c r="I114" s="191">
        <f>VLOOKUP(B114,'2024 by account '!$A$2:$M$102,3,0)/1000</f>
        <v>276.88127000000003</v>
      </c>
      <c r="J114" s="189">
        <f t="shared" si="72"/>
        <v>8.3236514111181936</v>
      </c>
      <c r="K114" s="190">
        <f t="shared" si="40"/>
        <v>0.42140803012951566</v>
      </c>
      <c r="L114" s="192"/>
      <c r="M114" s="189">
        <f>VLOOKUP(B114,'2024 by account '!$A$2:$M$102,4,0)/1000</f>
        <v>342.04477000000003</v>
      </c>
      <c r="N114" s="189">
        <f t="shared" si="73"/>
        <v>9.8224091043537456</v>
      </c>
      <c r="O114" s="190">
        <f t="shared" si="42"/>
        <v>0.49021356013144413</v>
      </c>
      <c r="P114" s="192"/>
      <c r="Q114" s="189">
        <f>VLOOKUP(B114,'2024 by account '!$A$2:$M$102,5,0)/1000</f>
        <v>329.10363000000001</v>
      </c>
      <c r="R114" s="189">
        <f t="shared" si="43"/>
        <v>9.4862774770412148</v>
      </c>
      <c r="S114" s="190">
        <f t="shared" si="44"/>
        <v>0.33827612869668777</v>
      </c>
      <c r="T114" s="192"/>
      <c r="U114" s="189">
        <f>VLOOKUP(B114,'2024 by account '!$A$2:$M$102,6,0)/1000</f>
        <v>329.33226000000002</v>
      </c>
      <c r="V114" s="189">
        <f t="shared" si="45"/>
        <v>9.4471467707003622</v>
      </c>
      <c r="W114" s="190">
        <f t="shared" si="46"/>
        <v>0.23158177111095657</v>
      </c>
      <c r="X114" s="192"/>
      <c r="Y114" s="189">
        <f>VLOOKUP(B114,'2024 by account '!$A$2:$M$102,7,0)/1000</f>
        <v>293.51953000000003</v>
      </c>
      <c r="Z114" s="189">
        <f t="shared" si="47"/>
        <v>8.3703208457026204</v>
      </c>
      <c r="AA114" s="190">
        <f t="shared" si="48"/>
        <v>0.27021955209525506</v>
      </c>
      <c r="AB114" s="192"/>
      <c r="AC114" s="189">
        <f>VLOOKUP(B114,'2024 by account '!$A$2:$M$102,8,0)/1000</f>
        <v>408.33697999999998</v>
      </c>
      <c r="AD114" s="189">
        <f t="shared" si="49"/>
        <v>11.439003947121458</v>
      </c>
      <c r="AE114" s="190">
        <f t="shared" si="50"/>
        <v>0.33178652281583254</v>
      </c>
      <c r="AF114" s="192"/>
      <c r="AG114" s="189">
        <f>VLOOKUP(B114,'2024 by account '!$A$2:$M$102,9,0)/1000</f>
        <v>254.56354000000002</v>
      </c>
      <c r="AH114" s="189">
        <f t="shared" si="51"/>
        <v>6.8597389368845967</v>
      </c>
      <c r="AI114" s="190">
        <f t="shared" si="52"/>
        <v>0.26818902716727644</v>
      </c>
      <c r="AJ114" s="192"/>
      <c r="AK114" s="189">
        <f>VLOOKUP(B114,'2024 by account '!$A$2:$M$102,10,0)/1000</f>
        <v>-240.66773000000001</v>
      </c>
      <c r="AL114" s="189">
        <f t="shared" si="53"/>
        <v>-6.3628609104138567</v>
      </c>
      <c r="AM114" s="190">
        <f t="shared" si="54"/>
        <v>-0.15865900933607263</v>
      </c>
      <c r="AN114" s="192"/>
      <c r="AO114" s="189">
        <f>VLOOKUP(B114,'2024 by account '!$A$2:$M$102,11,0)/1000</f>
        <v>-56.106459999999998</v>
      </c>
      <c r="AP114" s="189">
        <f t="shared" si="55"/>
        <v>-1.5022892400954095</v>
      </c>
      <c r="AQ114" s="190">
        <f t="shared" si="56"/>
        <v>-3.6474840121771664E-2</v>
      </c>
      <c r="AR114" s="192"/>
      <c r="AS114" s="189">
        <f>VLOOKUP(B114,'2024 by account '!$A$2:$M$102,12,0)/1000</f>
        <v>329.33226999999999</v>
      </c>
      <c r="AT114" s="189">
        <f t="shared" si="57"/>
        <v>8.9923265535705017</v>
      </c>
      <c r="AU114" s="190">
        <f t="shared" si="58"/>
        <v>0.20859027032174673</v>
      </c>
      <c r="AV114" s="192"/>
      <c r="AW114" s="191">
        <f>VLOOKUP(B114,'2024 by account '!$A$2:$M$102,13,0)/1000</f>
        <v>-1056.05197</v>
      </c>
      <c r="AX114" s="189">
        <f t="shared" si="59"/>
        <v>-28.807566469642794</v>
      </c>
      <c r="AY114" s="190">
        <f t="shared" si="60"/>
        <v>-1.1015014135908996</v>
      </c>
      <c r="AZ114" s="167"/>
      <c r="BA114" s="191">
        <f t="shared" si="70"/>
        <v>1539.2880900000002</v>
      </c>
      <c r="BB114" s="189">
        <f t="shared" si="71"/>
        <v>46.093602943580436</v>
      </c>
      <c r="BC114" s="190">
        <f t="shared" si="61"/>
        <v>0.12585077908233705</v>
      </c>
    </row>
    <row r="115" spans="1:55" outlineLevel="1">
      <c r="A115" s="188">
        <v>6666091600</v>
      </c>
      <c r="B115" s="188">
        <v>6666091600</v>
      </c>
      <c r="C115" s="188" t="s">
        <v>122</v>
      </c>
      <c r="D115" s="188" t="s">
        <v>123</v>
      </c>
      <c r="E115" s="189">
        <f>VLOOKUP(B115,'2024 by account '!$A$2:$M$102,2,0)/1000</f>
        <v>5.3</v>
      </c>
      <c r="F115" s="189">
        <f t="shared" si="37"/>
        <v>0.16150412140234333</v>
      </c>
      <c r="G115" s="190">
        <f t="shared" si="38"/>
        <v>1.0065697812548666E-2</v>
      </c>
      <c r="H115" s="167"/>
      <c r="I115" s="191">
        <f>VLOOKUP(B115,'2024 by account '!$A$2:$M$102,3,0)/1000</f>
        <v>10.7</v>
      </c>
      <c r="J115" s="189">
        <f t="shared" si="72"/>
        <v>0.32166520364112983</v>
      </c>
      <c r="K115" s="190">
        <f t="shared" si="40"/>
        <v>1.6285196620146304E-2</v>
      </c>
      <c r="L115" s="192"/>
      <c r="M115" s="189">
        <f>VLOOKUP(B115,'2024 by account '!$A$2:$M$102,4,0)/1000</f>
        <v>11.00498</v>
      </c>
      <c r="N115" s="189">
        <f t="shared" si="73"/>
        <v>0.3160270971113836</v>
      </c>
      <c r="O115" s="190">
        <f t="shared" si="42"/>
        <v>1.5772176329359865E-2</v>
      </c>
      <c r="P115" s="192"/>
      <c r="Q115" s="189">
        <f>VLOOKUP(B115,'2024 by account '!$A$2:$M$102,5,0)/1000</f>
        <v>16.454999999999998</v>
      </c>
      <c r="R115" s="189">
        <f t="shared" si="43"/>
        <v>0.47430864218882407</v>
      </c>
      <c r="S115" s="190">
        <f t="shared" si="44"/>
        <v>1.6913619876219522E-2</v>
      </c>
      <c r="T115" s="192"/>
      <c r="U115" s="189">
        <f>VLOOKUP(B115,'2024 by account '!$A$2:$M$102,6,0)/1000</f>
        <v>25</v>
      </c>
      <c r="V115" s="189">
        <f t="shared" si="45"/>
        <v>0.71714404555298972</v>
      </c>
      <c r="W115" s="190">
        <f t="shared" si="46"/>
        <v>1.7579645181962783E-2</v>
      </c>
      <c r="X115" s="192"/>
      <c r="Y115" s="189">
        <f>VLOOKUP(B115,'2024 by account '!$A$2:$M$102,7,0)/1000</f>
        <v>13.914499999999999</v>
      </c>
      <c r="Z115" s="189">
        <f t="shared" si="47"/>
        <v>0.39680095361126083</v>
      </c>
      <c r="AA115" s="190">
        <f t="shared" si="48"/>
        <v>1.2809948140859402E-2</v>
      </c>
      <c r="AB115" s="192"/>
      <c r="AC115" s="189">
        <f>VLOOKUP(B115,'2024 by account '!$A$2:$M$102,8,0)/1000</f>
        <v>11.642350000000002</v>
      </c>
      <c r="AD115" s="189">
        <f t="shared" si="49"/>
        <v>0.32614456717530099</v>
      </c>
      <c r="AE115" s="190">
        <f t="shared" si="50"/>
        <v>9.459772230046147E-3</v>
      </c>
      <c r="AF115" s="192"/>
      <c r="AG115" s="189">
        <f>VLOOKUP(B115,'2024 by account '!$A$2:$M$102,9,0)/1000</f>
        <v>5.0751600000000003</v>
      </c>
      <c r="AH115" s="189">
        <f t="shared" si="51"/>
        <v>0.13676064004656452</v>
      </c>
      <c r="AI115" s="190">
        <f t="shared" si="52"/>
        <v>5.3468074144407112E-3</v>
      </c>
      <c r="AJ115" s="192"/>
      <c r="AK115" s="189">
        <f>VLOOKUP(B115,'2024 by account '!$A$2:$M$102,10,0)/1000</f>
        <v>12.64982</v>
      </c>
      <c r="AL115" s="189">
        <f t="shared" si="53"/>
        <v>0.33444053842104798</v>
      </c>
      <c r="AM115" s="190">
        <f t="shared" si="54"/>
        <v>8.3393311994077388E-3</v>
      </c>
      <c r="AN115" s="192"/>
      <c r="AO115" s="189">
        <f>VLOOKUP(B115,'2024 by account '!$A$2:$M$102,11,0)/1000</f>
        <v>13.425780000000001</v>
      </c>
      <c r="AP115" s="189">
        <f t="shared" si="55"/>
        <v>0.35948453767869426</v>
      </c>
      <c r="AQ115" s="190">
        <f t="shared" si="56"/>
        <v>8.7281068705828118E-3</v>
      </c>
      <c r="AR115" s="192"/>
      <c r="AS115" s="189">
        <f>VLOOKUP(B115,'2024 by account '!$A$2:$M$102,12,0)/1000</f>
        <v>9.6619700000000019</v>
      </c>
      <c r="AT115" s="189">
        <f t="shared" si="57"/>
        <v>0.26381741877527398</v>
      </c>
      <c r="AU115" s="190">
        <f t="shared" si="58"/>
        <v>6.1196339312288095E-3</v>
      </c>
      <c r="AV115" s="192"/>
      <c r="AW115" s="191">
        <f>VLOOKUP(B115,'2024 by account '!$A$2:$M$102,13,0)/1000</f>
        <v>57.607320000000001</v>
      </c>
      <c r="AX115" s="189">
        <f t="shared" si="59"/>
        <v>1.5714441591714305</v>
      </c>
      <c r="AY115" s="190">
        <f t="shared" si="60"/>
        <v>6.0086573592759165E-2</v>
      </c>
      <c r="AZ115" s="167"/>
      <c r="BA115" s="191">
        <f t="shared" si="70"/>
        <v>192.43687999999997</v>
      </c>
      <c r="BB115" s="189">
        <f t="shared" si="71"/>
        <v>5.3795419247762446</v>
      </c>
      <c r="BC115" s="190">
        <f t="shared" si="61"/>
        <v>1.4687928456533803E-2</v>
      </c>
    </row>
    <row r="116" spans="1:55" s="24" customFormat="1">
      <c r="B116" s="37" t="s">
        <v>142</v>
      </c>
      <c r="C116" s="36" t="s">
        <v>123</v>
      </c>
      <c r="D116" s="38"/>
      <c r="E116" s="97">
        <f>SUM(E102:E115)</f>
        <v>3688.5135700000001</v>
      </c>
      <c r="F116" s="97">
        <f t="shared" si="37"/>
        <v>112.39814026480582</v>
      </c>
      <c r="G116" s="171">
        <f t="shared" si="38"/>
        <v>7.0051816930386925</v>
      </c>
      <c r="H116" s="167"/>
      <c r="I116" s="97">
        <f>SUM(I102:I115)</f>
        <v>4271.8008799999998</v>
      </c>
      <c r="J116" s="97">
        <f>SUM(J102:J115)</f>
        <v>128.4195981289306</v>
      </c>
      <c r="K116" s="171">
        <f t="shared" si="40"/>
        <v>6.5015997432629913</v>
      </c>
      <c r="L116" s="172"/>
      <c r="M116" s="173">
        <f>SUM(M102:M115)</f>
        <v>4372.0320500000007</v>
      </c>
      <c r="N116" s="97">
        <f>SUM(N102:N115)</f>
        <v>125.55048689224621</v>
      </c>
      <c r="O116" s="171">
        <f t="shared" si="42"/>
        <v>6.2659323697283131</v>
      </c>
      <c r="P116" s="172"/>
      <c r="Q116" s="97">
        <f>SUM(Q102:Q115)</f>
        <v>5050.2254199999998</v>
      </c>
      <c r="R116" s="97">
        <f t="shared" si="43"/>
        <v>145.57068135567815</v>
      </c>
      <c r="S116" s="171">
        <f t="shared" si="44"/>
        <v>5.1909810418171434</v>
      </c>
      <c r="T116" s="172"/>
      <c r="U116" s="97">
        <f>SUM(U102:U115)</f>
        <v>5130.9484700000003</v>
      </c>
      <c r="V116" s="97">
        <f t="shared" si="45"/>
        <v>147.18516573198892</v>
      </c>
      <c r="W116" s="171">
        <f t="shared" si="46"/>
        <v>3.6080101419813926</v>
      </c>
      <c r="X116" s="172"/>
      <c r="Y116" s="97">
        <f>SUM(Y102:Y115)</f>
        <v>6155.2477200000003</v>
      </c>
      <c r="Z116" s="97">
        <f t="shared" si="47"/>
        <v>175.52971109343054</v>
      </c>
      <c r="AA116" s="171">
        <f t="shared" si="48"/>
        <v>5.6666358178406036</v>
      </c>
      <c r="AB116" s="172"/>
      <c r="AC116" s="97">
        <f>SUM(AC102:AC115)</f>
        <v>5410.9266800000005</v>
      </c>
      <c r="AD116" s="97">
        <f t="shared" si="49"/>
        <v>151.57973605551183</v>
      </c>
      <c r="AE116" s="171">
        <f t="shared" si="50"/>
        <v>4.3965465688868468</v>
      </c>
      <c r="AF116" s="172"/>
      <c r="AG116" s="97">
        <f>SUM(AG102:AG115)</f>
        <v>2345.7652899999998</v>
      </c>
      <c r="AH116" s="97">
        <f t="shared" si="51"/>
        <v>63.211477561183294</v>
      </c>
      <c r="AI116" s="171">
        <f t="shared" si="52"/>
        <v>2.4713221346932244</v>
      </c>
      <c r="AJ116" s="172"/>
      <c r="AK116" s="97">
        <f>SUM(AK102:AK115)</f>
        <v>3366.5502000000001</v>
      </c>
      <c r="AL116" s="97">
        <f t="shared" si="53"/>
        <v>89.006077676163528</v>
      </c>
      <c r="AM116" s="171">
        <f t="shared" si="54"/>
        <v>2.2193815498744147</v>
      </c>
      <c r="AN116" s="172"/>
      <c r="AO116" s="97">
        <f>SUM(AO102:AO115)</f>
        <v>6324.5920900000001</v>
      </c>
      <c r="AP116" s="97">
        <f t="shared" si="55"/>
        <v>169.34532395734001</v>
      </c>
      <c r="AQ116" s="171">
        <f t="shared" si="56"/>
        <v>4.111620753085683</v>
      </c>
      <c r="AR116" s="172"/>
      <c r="AS116" s="97">
        <f>SUM(AS102:AS115)</f>
        <v>4883.8552600000003</v>
      </c>
      <c r="AT116" s="97">
        <f t="shared" si="57"/>
        <v>133.3523172153551</v>
      </c>
      <c r="AU116" s="171">
        <f t="shared" si="58"/>
        <v>3.0933035772524957</v>
      </c>
      <c r="AV116" s="172"/>
      <c r="AW116" s="97">
        <f>SUM(AW102:AW115)</f>
        <v>2979.7785200000003</v>
      </c>
      <c r="AX116" s="97">
        <f t="shared" si="59"/>
        <v>81.284037356337535</v>
      </c>
      <c r="AY116" s="171">
        <f t="shared" si="60"/>
        <v>3.1080196289656077</v>
      </c>
      <c r="AZ116" s="45"/>
      <c r="BA116" s="97">
        <f t="shared" si="70"/>
        <v>53980.236150000012</v>
      </c>
      <c r="BB116" s="97">
        <f t="shared" si="71"/>
        <v>1522.4327532889715</v>
      </c>
      <c r="BC116" s="171">
        <f t="shared" si="61"/>
        <v>4.1567448814189296</v>
      </c>
    </row>
    <row r="117" spans="1:55" s="34" customFormat="1">
      <c r="A117" s="13" t="s">
        <v>13</v>
      </c>
      <c r="B117" s="13"/>
      <c r="C117" s="13"/>
      <c r="D117" s="13" t="s">
        <v>139</v>
      </c>
      <c r="E117" s="27">
        <f>SUM(E116,E101,E93,E85,E81,E78,E76,E74,E69,E27,E22,E13)</f>
        <v>24130.420950000003</v>
      </c>
      <c r="F117" s="27">
        <f>E117/$F$2</f>
        <v>735.31366690536788</v>
      </c>
      <c r="G117" s="30">
        <f t="shared" si="38"/>
        <v>45.828212334395005</v>
      </c>
      <c r="H117" s="187"/>
      <c r="I117" s="27">
        <f>SUM(I116,I101,I93,I85,I81,I78,I76,I74,I69,I27,I22,I13)</f>
        <v>25605.062000000005</v>
      </c>
      <c r="J117" s="27">
        <f>SUM(J116,J101,J93,J85,J81,J78,J76,J74,J69,J27,J22,J13)</f>
        <v>769.74368995081829</v>
      </c>
      <c r="K117" s="169">
        <f t="shared" si="40"/>
        <v>38.970417676732403</v>
      </c>
      <c r="L117" s="170"/>
      <c r="M117" s="59">
        <f>SUM(M116,M101,M93,M85,M81,M78,M76,M74,M69,M27,M22,M13)</f>
        <v>29986.396750000004</v>
      </c>
      <c r="N117" s="27">
        <f>SUM(N116,N101,N93,N85,N81,N78,N76,N74,N69,N27,N22,N13)</f>
        <v>861.11141662526677</v>
      </c>
      <c r="O117" s="30">
        <f t="shared" si="42"/>
        <v>42.976065110808342</v>
      </c>
      <c r="P117" s="170"/>
      <c r="Q117" s="27">
        <f>SUM(Q116,Q101,Q93,Q85,Q81,Q78,Q76,Q74,Q69,Q27,Q22,Q13)</f>
        <v>37922.001150000004</v>
      </c>
      <c r="R117" s="27">
        <f t="shared" si="43"/>
        <v>1093.0861667906127</v>
      </c>
      <c r="S117" s="30">
        <f t="shared" si="44"/>
        <v>38.978931169654196</v>
      </c>
      <c r="T117" s="170"/>
      <c r="U117" s="27">
        <f>SUM(U116,U101,U93,U85,U81,U78,U76,U74,U69,U27,U22,U13)</f>
        <v>36981.009220000007</v>
      </c>
      <c r="V117" s="27">
        <f t="shared" si="45"/>
        <v>1060.8284224265287</v>
      </c>
      <c r="W117" s="30">
        <f t="shared" si="46"/>
        <v>26.004520822339771</v>
      </c>
      <c r="X117" s="170"/>
      <c r="Y117" s="27">
        <f>SUM(Y116,Y101,Y93,Y85,Y81,Y78,Y76,Y74,Y69,Y27,Y22,Y13)</f>
        <v>39602.998699999996</v>
      </c>
      <c r="Z117" s="27">
        <f t="shared" si="47"/>
        <v>1129.3620072604494</v>
      </c>
      <c r="AA117" s="30">
        <f t="shared" si="48"/>
        <v>36.459259015381242</v>
      </c>
      <c r="AB117" s="170"/>
      <c r="AC117" s="27">
        <f>SUM(AC116,AC101,AC93,AC85,AC81,AC78,AC76,AC74,AC69,AC27,AC22,AC13)</f>
        <v>38825.047300000006</v>
      </c>
      <c r="AD117" s="27">
        <f t="shared" si="49"/>
        <v>1087.6307830651963</v>
      </c>
      <c r="AE117" s="30">
        <f t="shared" si="50"/>
        <v>31.546560984575116</v>
      </c>
      <c r="AF117" s="170"/>
      <c r="AG117" s="27">
        <f>SUM(AG116,AG101,AG93,AG85,AG81,AG78,AG76,AG74,AG69,AG27,AG22,AG13)</f>
        <v>34332.221549999995</v>
      </c>
      <c r="AH117" s="27">
        <f t="shared" si="51"/>
        <v>925.15242739114717</v>
      </c>
      <c r="AI117" s="30">
        <f t="shared" si="52"/>
        <v>36.169850159947892</v>
      </c>
      <c r="AJ117" s="170"/>
      <c r="AK117" s="27">
        <f>SUM(AK116,AK101,AK93,AK85,AK81,AK78,AK76,AK74,AK69,AK27,AK22,AK13)</f>
        <v>36660.48874999999</v>
      </c>
      <c r="AL117" s="27">
        <f t="shared" si="53"/>
        <v>969.2433249112454</v>
      </c>
      <c r="AM117" s="30">
        <f t="shared" si="54"/>
        <v>24.168245684002727</v>
      </c>
      <c r="AN117" s="170"/>
      <c r="AO117" s="27">
        <f>SUM(AO116,AO101,AO93,AO85,AO81,AO78,AO76,AO74,AO69,AO27,AO22,AO13)</f>
        <v>44124.384319999997</v>
      </c>
      <c r="AP117" s="27">
        <f t="shared" si="55"/>
        <v>1181.4608832881383</v>
      </c>
      <c r="AQ117" s="30">
        <f t="shared" si="56"/>
        <v>28.685286213808688</v>
      </c>
      <c r="AR117" s="170"/>
      <c r="AS117" s="27">
        <f>SUM(AS116,AS101,AS93,AS85,AS81,AS78,AS76,AS74,AS69,AS27,AS22,AS13)</f>
        <v>40675.234900000003</v>
      </c>
      <c r="AT117" s="27">
        <f t="shared" si="57"/>
        <v>1110.6260399686544</v>
      </c>
      <c r="AU117" s="30">
        <f t="shared" si="58"/>
        <v>25.762608210824734</v>
      </c>
      <c r="AV117" s="170"/>
      <c r="AW117" s="27">
        <f>SUM(AW116,AW101,AW93,AW85,AW81,AW78,AW76,AW74,AW69,AW27,AW22,AW13)</f>
        <v>32543.639160000002</v>
      </c>
      <c r="AX117" s="27">
        <f t="shared" si="59"/>
        <v>887.74328811277178</v>
      </c>
      <c r="AY117" s="169">
        <f t="shared" si="60"/>
        <v>33.944223917438599</v>
      </c>
      <c r="BA117" s="27">
        <f t="shared" si="70"/>
        <v>421388.90475000005</v>
      </c>
      <c r="BB117" s="27">
        <f t="shared" si="71"/>
        <v>11811.302116696195</v>
      </c>
      <c r="BC117" s="169">
        <f>BB117/$BB$1*1000</f>
        <v>32.248760748482475</v>
      </c>
    </row>
    <row r="118" spans="1:55">
      <c r="E118" s="189"/>
      <c r="F118" s="189"/>
      <c r="G118" s="197"/>
      <c r="H118" s="198"/>
      <c r="I118" s="189"/>
      <c r="J118" s="189"/>
      <c r="K118" s="197"/>
      <c r="M118" s="189"/>
      <c r="N118" s="189"/>
      <c r="O118" s="197"/>
      <c r="Q118" s="189"/>
      <c r="R118" s="189"/>
      <c r="S118" s="197"/>
      <c r="U118" s="189"/>
      <c r="V118" s="189"/>
      <c r="W118" s="197"/>
      <c r="Y118" s="189"/>
      <c r="Z118" s="189"/>
      <c r="AA118" s="197"/>
      <c r="AC118" s="189"/>
      <c r="AD118" s="189"/>
      <c r="AE118" s="197"/>
      <c r="AG118" s="189"/>
      <c r="AH118" s="189"/>
      <c r="AI118" s="197"/>
      <c r="AK118" s="189"/>
      <c r="AL118" s="189"/>
      <c r="AM118" s="197"/>
      <c r="AO118" s="189"/>
      <c r="AP118" s="189"/>
      <c r="AQ118" s="197"/>
      <c r="AS118" s="189"/>
      <c r="AT118" s="189"/>
      <c r="AU118" s="197"/>
      <c r="AW118" s="189"/>
      <c r="AX118" s="189"/>
      <c r="AY118" s="197"/>
      <c r="BA118" s="189"/>
      <c r="BB118" s="189"/>
      <c r="BC118" s="197"/>
    </row>
    <row r="119" spans="1:55">
      <c r="E119" s="189"/>
      <c r="F119" s="189"/>
      <c r="G119" s="197"/>
      <c r="H119" s="198"/>
      <c r="I119" s="189"/>
      <c r="J119" s="189"/>
      <c r="K119" s="197"/>
      <c r="M119" s="189"/>
      <c r="N119" s="189"/>
      <c r="O119" s="197"/>
      <c r="Q119" s="189"/>
      <c r="R119" s="189"/>
      <c r="S119" s="197"/>
      <c r="U119" s="189"/>
      <c r="V119" s="189"/>
      <c r="W119" s="197"/>
      <c r="Y119" s="189"/>
      <c r="Z119" s="189"/>
      <c r="AA119" s="197"/>
      <c r="AC119" s="189"/>
      <c r="AD119" s="189"/>
      <c r="AE119" s="197"/>
      <c r="AG119" s="189"/>
      <c r="AH119" s="189"/>
      <c r="AI119" s="197"/>
      <c r="AK119" s="189"/>
      <c r="AL119" s="189"/>
      <c r="AM119" s="197"/>
      <c r="AO119" s="189"/>
      <c r="AP119" s="189"/>
      <c r="AQ119" s="197"/>
      <c r="AS119" s="189"/>
      <c r="AT119" s="189"/>
      <c r="AU119" s="197"/>
      <c r="AW119" s="189"/>
      <c r="AX119" s="189"/>
      <c r="AY119" s="197"/>
      <c r="BA119" s="189"/>
      <c r="BB119" s="189"/>
      <c r="BC119" s="197"/>
    </row>
    <row r="120" spans="1:55">
      <c r="C120" s="188" t="s">
        <v>352</v>
      </c>
      <c r="D120" s="210">
        <v>5102020000</v>
      </c>
      <c r="E120" s="256">
        <v>-17.56944</v>
      </c>
      <c r="F120" s="199">
        <f t="shared" ref="F120" si="74">E120/$F$2</f>
        <v>-0.53538433410022401</v>
      </c>
      <c r="G120" s="200">
        <f t="shared" ref="G120" si="75">F120/$F$1*1000</f>
        <v>-3.3367674297302835E-2</v>
      </c>
      <c r="H120" s="201"/>
      <c r="I120" s="257">
        <v>0</v>
      </c>
      <c r="J120" s="199">
        <f t="shared" ref="J120" si="76">I120/$J$2</f>
        <v>0</v>
      </c>
      <c r="K120" s="200">
        <f t="shared" ref="K120" si="77">J120/$J$1*1000</f>
        <v>0</v>
      </c>
      <c r="M120" s="258">
        <v>17.56944</v>
      </c>
      <c r="N120" s="199">
        <f t="shared" ref="N120" si="78">M120/$N$2</f>
        <v>0.5045369570024324</v>
      </c>
      <c r="O120" s="200">
        <f t="shared" ref="O120" si="79">N120/$N$1*1000</f>
        <v>2.518026436105367E-2</v>
      </c>
      <c r="P120" s="202"/>
      <c r="Q120" s="258">
        <v>0</v>
      </c>
      <c r="R120" s="199">
        <f t="shared" ref="R120" si="80">Q120/$R$2</f>
        <v>0</v>
      </c>
      <c r="S120" s="200">
        <f t="shared" ref="S120" si="81">R120/$R$1*1000</f>
        <v>0</v>
      </c>
      <c r="T120" s="202"/>
      <c r="U120" s="258">
        <v>0</v>
      </c>
      <c r="V120" s="199">
        <f t="shared" ref="V120:V165" si="82">U120/$V$2</f>
        <v>0</v>
      </c>
      <c r="W120" s="200">
        <f t="shared" ref="W120:W165" si="83">V120/$V$1*1000</f>
        <v>0</v>
      </c>
      <c r="X120" s="202"/>
      <c r="Y120" s="258">
        <v>-17.56944</v>
      </c>
      <c r="Z120" s="199">
        <f t="shared" ref="Z120:Z165" si="84">Y120/$Z$2</f>
        <v>-0.50102918153119635</v>
      </c>
      <c r="AA120" s="200">
        <f t="shared" ref="AA120:AA165" si="85">Z120/$Z$1*1000</f>
        <v>-1.6174754052530872E-2</v>
      </c>
      <c r="AB120" s="202"/>
      <c r="AC120" s="258">
        <v>17.56944</v>
      </c>
      <c r="AD120" s="199">
        <f t="shared" ref="AD120" si="86">AC120/$AD$2</f>
        <v>0.49218391512988524</v>
      </c>
      <c r="AE120" s="200">
        <f t="shared" ref="AE120" si="87">AD120/$AD$1*1000</f>
        <v>1.4275717583603133E-2</v>
      </c>
      <c r="AF120" s="202"/>
      <c r="AG120" s="258">
        <v>0</v>
      </c>
      <c r="AH120" s="199">
        <f t="shared" ref="AH120:AH165" si="88">AG120/$AH$2</f>
        <v>0</v>
      </c>
      <c r="AI120" s="200">
        <f t="shared" ref="AI120:AI165" si="89">AH120/$AH$1*1000</f>
        <v>0</v>
      </c>
      <c r="AJ120" s="202"/>
      <c r="AK120" s="258">
        <v>-27.424490000000002</v>
      </c>
      <c r="AL120" s="199">
        <f t="shared" ref="AL120:AL165" si="90">AK120/$AL$2</f>
        <v>-0.72505863336574339</v>
      </c>
      <c r="AM120" s="200">
        <f t="shared" ref="AM120:AM165" si="91">AL120/$AL$1*1000</f>
        <v>-1.8079459240119274E-2</v>
      </c>
      <c r="AN120" s="202"/>
      <c r="AO120" s="258">
        <v>27.424490000000002</v>
      </c>
      <c r="AP120" s="199">
        <f t="shared" ref="AP120:AP165" si="92">AO120/$AP$2</f>
        <v>0.73430967204318653</v>
      </c>
      <c r="AQ120" s="200">
        <f t="shared" ref="AQ120:AQ165" si="93">AP120/$AP$1*1000</f>
        <v>1.7828675845368357E-2</v>
      </c>
      <c r="AR120" s="202"/>
      <c r="AS120" s="258">
        <v>0</v>
      </c>
      <c r="AT120" s="194">
        <f t="shared" ref="AT120" si="94">AS120/$AT$2</f>
        <v>0</v>
      </c>
      <c r="AU120" s="195">
        <f t="shared" ref="AU120" si="95">AT120/$AT$1*1000</f>
        <v>0</v>
      </c>
      <c r="AV120" s="202"/>
      <c r="AW120" s="258">
        <v>0</v>
      </c>
      <c r="AX120" s="194">
        <f t="shared" ref="AX120" si="96">AW120/$AX$2</f>
        <v>0</v>
      </c>
      <c r="AY120" s="195">
        <f t="shared" ref="AY120" si="97">AX120/$AX$1*1000</f>
        <v>0</v>
      </c>
      <c r="BA120" s="191">
        <f t="shared" ref="BA120:BA166" si="98">SUM(AW120,AS120,AO120,AK120,AG120,AC120,Y120,U120,Q120,M120,I120,E120)</f>
        <v>0</v>
      </c>
      <c r="BB120" s="189">
        <f t="shared" ref="BB120:BB166" si="99">SUM(AX120,AT120,AP120,AL120,AH120,AD120,Z120,V120,R120,N120,J120,F120)</f>
        <v>-3.0441604821659585E-2</v>
      </c>
      <c r="BC120" s="190">
        <f t="shared" ref="BC120" si="100">BB120/$BB$1*1000</f>
        <v>-8.3115648130432224E-5</v>
      </c>
    </row>
    <row r="121" spans="1:55">
      <c r="C121" s="188" t="s">
        <v>353</v>
      </c>
      <c r="D121" s="210">
        <v>5102040406</v>
      </c>
      <c r="E121" s="259">
        <v>-138.91883000000001</v>
      </c>
      <c r="F121" s="203">
        <f t="shared" ref="F121:F165" si="101">E121/$F$2</f>
        <v>-4.2332006764889618</v>
      </c>
      <c r="G121" s="204">
        <f t="shared" ref="G121:G165" si="102">F121/$F$1*1000</f>
        <v>-0.26383301193449432</v>
      </c>
      <c r="H121" s="201"/>
      <c r="I121" s="260">
        <v>-142.47452000000001</v>
      </c>
      <c r="J121" s="203">
        <f t="shared" ref="J121:J165" si="103">I121/$J$2</f>
        <v>-4.2830930363992739</v>
      </c>
      <c r="K121" s="204">
        <f t="shared" ref="K121:K165" si="104">J121/$J$1*1000</f>
        <v>-0.2168435113608381</v>
      </c>
      <c r="M121" s="261">
        <v>-236.82364999999999</v>
      </c>
      <c r="N121" s="203">
        <f t="shared" ref="N121:N165" si="105">M121/$N$2</f>
        <v>-6.8008020584155826</v>
      </c>
      <c r="O121" s="204">
        <f t="shared" ref="O121:O165" si="106">N121/$N$1*1000</f>
        <v>-0.33941219036859721</v>
      </c>
      <c r="P121" s="202"/>
      <c r="Q121" s="261">
        <v>-146.68424999999999</v>
      </c>
      <c r="R121" s="203">
        <f t="shared" ref="R121:R165" si="107">Q121/$R$2</f>
        <v>-4.2281134881790354</v>
      </c>
      <c r="S121" s="204">
        <f t="shared" ref="S121:S165" si="108">R121/$R$1*1000</f>
        <v>-0.15077250965228525</v>
      </c>
      <c r="T121" s="202"/>
      <c r="U121" s="261">
        <v>-147.60167000000001</v>
      </c>
      <c r="V121" s="203">
        <f t="shared" si="82"/>
        <v>-4.2340663501670948</v>
      </c>
      <c r="W121" s="204">
        <f t="shared" si="83"/>
        <v>-0.10379139947460643</v>
      </c>
      <c r="X121" s="202"/>
      <c r="Y121" s="261">
        <v>-150.65079999999998</v>
      </c>
      <c r="Z121" s="203">
        <f t="shared" si="84"/>
        <v>-4.2961213915195895</v>
      </c>
      <c r="AA121" s="204">
        <f t="shared" si="85"/>
        <v>-0.13869193541837516</v>
      </c>
      <c r="AB121" s="202"/>
      <c r="AC121" s="261">
        <v>-151.39400000000001</v>
      </c>
      <c r="AD121" s="203">
        <f t="shared" ref="AD121:AD165" si="109">AC121/$AD$2</f>
        <v>-4.2410965658082356</v>
      </c>
      <c r="AE121" s="204">
        <f t="shared" ref="AE121:AE165" si="110">AD121/$AD$1*1000</f>
        <v>-0.12301234346979829</v>
      </c>
      <c r="AF121" s="202"/>
      <c r="AG121" s="261">
        <v>-152.07593</v>
      </c>
      <c r="AH121" s="203">
        <f t="shared" si="88"/>
        <v>-4.0979991808093823</v>
      </c>
      <c r="AI121" s="204">
        <f t="shared" si="89"/>
        <v>-0.16021577843495902</v>
      </c>
      <c r="AJ121" s="202"/>
      <c r="AK121" s="261">
        <v>-326.38832000000002</v>
      </c>
      <c r="AL121" s="203">
        <f t="shared" si="90"/>
        <v>-8.6291730218407316</v>
      </c>
      <c r="AM121" s="204">
        <f t="shared" si="91"/>
        <v>-0.21516988384801347</v>
      </c>
      <c r="AN121" s="202"/>
      <c r="AO121" s="261">
        <v>-278.24847999999997</v>
      </c>
      <c r="AP121" s="203">
        <f t="shared" si="92"/>
        <v>-7.4502953416933231</v>
      </c>
      <c r="AQ121" s="204">
        <f t="shared" si="93"/>
        <v>-0.18088948798633847</v>
      </c>
      <c r="AR121" s="202"/>
      <c r="AS121" s="261">
        <v>-152.12326999999999</v>
      </c>
      <c r="AT121" s="203">
        <f t="shared" ref="AT121:AT165" si="111">AS121/$AT$2</f>
        <v>-4.1536838167634613</v>
      </c>
      <c r="AU121" s="204">
        <f t="shared" ref="AU121:AU165" si="112">AT121/$AT$1*1000</f>
        <v>-9.6350819224390205E-2</v>
      </c>
      <c r="AV121" s="202"/>
      <c r="AW121" s="261">
        <v>-235.85965999999999</v>
      </c>
      <c r="AX121" s="203">
        <f t="shared" ref="AX121:AX164" si="113">AW121/$AX$2</f>
        <v>-6.433909529052201</v>
      </c>
      <c r="AY121" s="204">
        <f t="shared" ref="AY121:AY164" si="114">AX121/$AX$1*1000</f>
        <v>-0.2460103823290713</v>
      </c>
      <c r="BA121" s="191">
        <f t="shared" si="98"/>
        <v>-2259.2433800000003</v>
      </c>
      <c r="BB121" s="189">
        <f t="shared" si="99"/>
        <v>-63.081554457136875</v>
      </c>
      <c r="BC121" s="190">
        <f t="shared" ref="BC121:BC165" si="115">BB121/$BB$1*1000</f>
        <v>-0.17223350459005962</v>
      </c>
    </row>
    <row r="122" spans="1:55">
      <c r="C122" s="188" t="s">
        <v>354</v>
      </c>
      <c r="D122" s="210">
        <v>5102040800</v>
      </c>
      <c r="E122" s="259">
        <v>0</v>
      </c>
      <c r="F122" s="203">
        <f t="shared" si="101"/>
        <v>0</v>
      </c>
      <c r="G122" s="204">
        <f t="shared" si="102"/>
        <v>0</v>
      </c>
      <c r="H122" s="201"/>
      <c r="I122" s="260">
        <v>0</v>
      </c>
      <c r="J122" s="203">
        <f t="shared" si="103"/>
        <v>0</v>
      </c>
      <c r="K122" s="204">
        <f t="shared" si="104"/>
        <v>0</v>
      </c>
      <c r="M122" s="261">
        <v>0</v>
      </c>
      <c r="N122" s="203">
        <f t="shared" si="105"/>
        <v>0</v>
      </c>
      <c r="O122" s="204">
        <f t="shared" si="106"/>
        <v>0</v>
      </c>
      <c r="P122" s="202"/>
      <c r="Q122" s="261">
        <v>110.79307</v>
      </c>
      <c r="R122" s="203">
        <f t="shared" si="107"/>
        <v>3.1935649100961014</v>
      </c>
      <c r="S122" s="204">
        <f t="shared" si="108"/>
        <v>0.11388100096623405</v>
      </c>
      <c r="T122" s="202"/>
      <c r="U122" s="261">
        <v>0</v>
      </c>
      <c r="V122" s="203">
        <f t="shared" si="82"/>
        <v>0</v>
      </c>
      <c r="W122" s="204">
        <f t="shared" si="83"/>
        <v>0</v>
      </c>
      <c r="X122" s="202"/>
      <c r="Y122" s="261">
        <v>0</v>
      </c>
      <c r="Z122" s="203">
        <f t="shared" si="84"/>
        <v>0</v>
      </c>
      <c r="AA122" s="204">
        <f t="shared" si="85"/>
        <v>0</v>
      </c>
      <c r="AB122" s="202"/>
      <c r="AC122" s="261">
        <v>0</v>
      </c>
      <c r="AD122" s="203">
        <f t="shared" si="109"/>
        <v>0</v>
      </c>
      <c r="AE122" s="204">
        <f t="shared" si="110"/>
        <v>0</v>
      </c>
      <c r="AF122" s="202"/>
      <c r="AG122" s="261">
        <v>0</v>
      </c>
      <c r="AH122" s="203">
        <f t="shared" si="88"/>
        <v>0</v>
      </c>
      <c r="AI122" s="204">
        <f t="shared" si="89"/>
        <v>0</v>
      </c>
      <c r="AJ122" s="202"/>
      <c r="AK122" s="261">
        <v>0</v>
      </c>
      <c r="AL122" s="203">
        <f t="shared" si="90"/>
        <v>0</v>
      </c>
      <c r="AM122" s="204">
        <f t="shared" si="91"/>
        <v>0</v>
      </c>
      <c r="AN122" s="202"/>
      <c r="AO122" s="261">
        <v>0</v>
      </c>
      <c r="AP122" s="203">
        <f t="shared" si="92"/>
        <v>0</v>
      </c>
      <c r="AQ122" s="204">
        <f t="shared" si="93"/>
        <v>0</v>
      </c>
      <c r="AR122" s="202"/>
      <c r="AS122" s="261">
        <v>0</v>
      </c>
      <c r="AT122" s="203">
        <f t="shared" si="111"/>
        <v>0</v>
      </c>
      <c r="AU122" s="204">
        <f t="shared" si="112"/>
        <v>0</v>
      </c>
      <c r="AV122" s="202"/>
      <c r="AW122" s="261">
        <v>0</v>
      </c>
      <c r="AX122" s="203">
        <f t="shared" si="113"/>
        <v>0</v>
      </c>
      <c r="AY122" s="204">
        <f t="shared" si="114"/>
        <v>0</v>
      </c>
      <c r="BA122" s="191">
        <f t="shared" si="98"/>
        <v>110.79307</v>
      </c>
      <c r="BB122" s="189">
        <f t="shared" si="99"/>
        <v>3.1935649100961014</v>
      </c>
      <c r="BC122" s="190">
        <f t="shared" si="115"/>
        <v>8.7194883089863409E-3</v>
      </c>
    </row>
    <row r="123" spans="1:55">
      <c r="C123" s="188" t="s">
        <v>355</v>
      </c>
      <c r="D123" s="210">
        <v>5102040898</v>
      </c>
      <c r="E123" s="259">
        <v>0</v>
      </c>
      <c r="F123" s="203">
        <f t="shared" si="101"/>
        <v>0</v>
      </c>
      <c r="G123" s="204">
        <f t="shared" si="102"/>
        <v>0</v>
      </c>
      <c r="H123" s="201"/>
      <c r="I123" s="260">
        <v>0</v>
      </c>
      <c r="J123" s="203">
        <f t="shared" si="103"/>
        <v>0</v>
      </c>
      <c r="K123" s="204">
        <f t="shared" si="104"/>
        <v>0</v>
      </c>
      <c r="M123" s="261">
        <v>0</v>
      </c>
      <c r="N123" s="203">
        <f t="shared" si="105"/>
        <v>0</v>
      </c>
      <c r="O123" s="204">
        <f t="shared" si="106"/>
        <v>0</v>
      </c>
      <c r="P123" s="202"/>
      <c r="Q123" s="261">
        <v>0</v>
      </c>
      <c r="R123" s="203">
        <f t="shared" si="107"/>
        <v>0</v>
      </c>
      <c r="S123" s="204">
        <f t="shared" si="108"/>
        <v>0</v>
      </c>
      <c r="T123" s="202"/>
      <c r="U123" s="261">
        <v>0</v>
      </c>
      <c r="V123" s="203">
        <f t="shared" si="82"/>
        <v>0</v>
      </c>
      <c r="W123" s="204">
        <f t="shared" si="83"/>
        <v>0</v>
      </c>
      <c r="X123" s="202"/>
      <c r="Y123" s="261">
        <v>0</v>
      </c>
      <c r="Z123" s="203">
        <f t="shared" si="84"/>
        <v>0</v>
      </c>
      <c r="AA123" s="204">
        <f t="shared" si="85"/>
        <v>0</v>
      </c>
      <c r="AB123" s="202"/>
      <c r="AC123" s="261">
        <v>-200.84674999999999</v>
      </c>
      <c r="AD123" s="203">
        <f t="shared" si="109"/>
        <v>-5.6264479548644273</v>
      </c>
      <c r="AE123" s="204">
        <f t="shared" si="110"/>
        <v>-0.16319424412983807</v>
      </c>
      <c r="AF123" s="202"/>
      <c r="AG123" s="261">
        <v>9.2364999999999995</v>
      </c>
      <c r="AH123" s="203">
        <f t="shared" si="88"/>
        <v>0.24889651790093181</v>
      </c>
      <c r="AI123" s="204">
        <f t="shared" si="89"/>
        <v>9.7308827078321919E-3</v>
      </c>
      <c r="AJ123" s="202"/>
      <c r="AK123" s="261">
        <v>-59.308419999999998</v>
      </c>
      <c r="AL123" s="203">
        <f t="shared" si="90"/>
        <v>-1.5680175621235442</v>
      </c>
      <c r="AM123" s="204">
        <f t="shared" si="91"/>
        <v>-3.9098782219318375E-2</v>
      </c>
      <c r="AN123" s="202"/>
      <c r="AO123" s="261">
        <v>250.91867000000002</v>
      </c>
      <c r="AP123" s="203">
        <f t="shared" si="92"/>
        <v>6.7185207920808212</v>
      </c>
      <c r="AQ123" s="204">
        <f t="shared" si="93"/>
        <v>0.1631223636603982</v>
      </c>
      <c r="AR123" s="202"/>
      <c r="AS123" s="261">
        <v>0</v>
      </c>
      <c r="AT123" s="203">
        <f t="shared" si="111"/>
        <v>0</v>
      </c>
      <c r="AU123" s="204">
        <f t="shared" si="112"/>
        <v>0</v>
      </c>
      <c r="AV123" s="202"/>
      <c r="AW123" s="261">
        <v>0</v>
      </c>
      <c r="AX123" s="203">
        <f t="shared" si="113"/>
        <v>0</v>
      </c>
      <c r="AY123" s="204">
        <f t="shared" si="114"/>
        <v>0</v>
      </c>
      <c r="BA123" s="191">
        <f t="shared" si="98"/>
        <v>2.8421709430404007E-14</v>
      </c>
      <c r="BB123" s="189">
        <f t="shared" si="99"/>
        <v>-0.22704820700621831</v>
      </c>
      <c r="BC123" s="190">
        <f t="shared" si="115"/>
        <v>-6.1991668943640053E-4</v>
      </c>
    </row>
    <row r="124" spans="1:55">
      <c r="C124" s="188" t="s">
        <v>356</v>
      </c>
      <c r="D124" s="210">
        <v>5301060000</v>
      </c>
      <c r="E124" s="259">
        <v>0</v>
      </c>
      <c r="F124" s="203">
        <f t="shared" si="101"/>
        <v>0</v>
      </c>
      <c r="G124" s="204">
        <f t="shared" si="102"/>
        <v>0</v>
      </c>
      <c r="H124" s="201"/>
      <c r="I124" s="260">
        <v>0</v>
      </c>
      <c r="J124" s="203">
        <f t="shared" si="103"/>
        <v>0</v>
      </c>
      <c r="K124" s="204">
        <f t="shared" si="104"/>
        <v>0</v>
      </c>
      <c r="M124" s="261">
        <v>0</v>
      </c>
      <c r="N124" s="203">
        <f t="shared" si="105"/>
        <v>0</v>
      </c>
      <c r="O124" s="204">
        <f t="shared" si="106"/>
        <v>0</v>
      </c>
      <c r="P124" s="202"/>
      <c r="Q124" s="261">
        <v>0</v>
      </c>
      <c r="R124" s="203">
        <f t="shared" si="107"/>
        <v>0</v>
      </c>
      <c r="S124" s="204">
        <f t="shared" si="108"/>
        <v>0</v>
      </c>
      <c r="T124" s="202"/>
      <c r="U124" s="261">
        <v>0</v>
      </c>
      <c r="V124" s="203">
        <f t="shared" si="82"/>
        <v>0</v>
      </c>
      <c r="W124" s="204">
        <f t="shared" si="83"/>
        <v>0</v>
      </c>
      <c r="X124" s="202"/>
      <c r="Y124" s="261">
        <v>0</v>
      </c>
      <c r="Z124" s="203">
        <f t="shared" si="84"/>
        <v>0</v>
      </c>
      <c r="AA124" s="204">
        <f t="shared" si="85"/>
        <v>0</v>
      </c>
      <c r="AB124" s="202"/>
      <c r="AC124" s="261">
        <v>0</v>
      </c>
      <c r="AD124" s="203">
        <f t="shared" si="109"/>
        <v>0</v>
      </c>
      <c r="AE124" s="204">
        <f t="shared" si="110"/>
        <v>0</v>
      </c>
      <c r="AF124" s="202"/>
      <c r="AG124" s="261">
        <v>0</v>
      </c>
      <c r="AH124" s="203">
        <f t="shared" si="88"/>
        <v>0</v>
      </c>
      <c r="AI124" s="204">
        <f t="shared" si="89"/>
        <v>0</v>
      </c>
      <c r="AJ124" s="202"/>
      <c r="AK124" s="261">
        <v>0</v>
      </c>
      <c r="AL124" s="203">
        <f t="shared" si="90"/>
        <v>0</v>
      </c>
      <c r="AM124" s="204">
        <f t="shared" si="91"/>
        <v>0</v>
      </c>
      <c r="AN124" s="202"/>
      <c r="AO124" s="261">
        <v>0</v>
      </c>
      <c r="AP124" s="203">
        <f t="shared" si="92"/>
        <v>0</v>
      </c>
      <c r="AQ124" s="204">
        <f t="shared" si="93"/>
        <v>0</v>
      </c>
      <c r="AR124" s="202"/>
      <c r="AS124" s="261">
        <v>0</v>
      </c>
      <c r="AT124" s="203">
        <f t="shared" si="111"/>
        <v>0</v>
      </c>
      <c r="AU124" s="204">
        <f t="shared" si="112"/>
        <v>0</v>
      </c>
      <c r="AV124" s="202"/>
      <c r="AW124" s="261">
        <v>-596.20412999999996</v>
      </c>
      <c r="AX124" s="203">
        <f t="shared" si="113"/>
        <v>-16.263584172330603</v>
      </c>
      <c r="AY124" s="204">
        <f t="shared" si="114"/>
        <v>-0.62186304333463094</v>
      </c>
      <c r="BA124" s="191">
        <f t="shared" si="98"/>
        <v>-596.20412999999996</v>
      </c>
      <c r="BB124" s="189">
        <f t="shared" si="99"/>
        <v>-16.263584172330603</v>
      </c>
      <c r="BC124" s="190">
        <f t="shared" si="115"/>
        <v>-4.4404963119595589E-2</v>
      </c>
    </row>
    <row r="125" spans="1:55">
      <c r="C125" s="188" t="s">
        <v>357</v>
      </c>
      <c r="D125" s="210">
        <v>5801000041</v>
      </c>
      <c r="E125" s="259">
        <v>0.34377999999999997</v>
      </c>
      <c r="F125" s="203">
        <f t="shared" si="101"/>
        <v>1.0475827708622187E-2</v>
      </c>
      <c r="G125" s="204">
        <f t="shared" si="102"/>
        <v>6.5290294226376985E-4</v>
      </c>
      <c r="H125" s="201"/>
      <c r="I125" s="260">
        <v>0</v>
      </c>
      <c r="J125" s="203">
        <f t="shared" si="103"/>
        <v>0</v>
      </c>
      <c r="K125" s="204">
        <f t="shared" si="104"/>
        <v>0</v>
      </c>
      <c r="M125" s="261">
        <v>0</v>
      </c>
      <c r="N125" s="203">
        <f t="shared" si="105"/>
        <v>0</v>
      </c>
      <c r="O125" s="204">
        <f t="shared" si="106"/>
        <v>0</v>
      </c>
      <c r="P125" s="202"/>
      <c r="Q125" s="261">
        <v>0</v>
      </c>
      <c r="R125" s="203">
        <f t="shared" si="107"/>
        <v>0</v>
      </c>
      <c r="S125" s="204">
        <f t="shared" si="108"/>
        <v>0</v>
      </c>
      <c r="T125" s="202"/>
      <c r="U125" s="261">
        <v>0</v>
      </c>
      <c r="V125" s="203">
        <f t="shared" si="82"/>
        <v>0</v>
      </c>
      <c r="W125" s="204">
        <f t="shared" si="83"/>
        <v>0</v>
      </c>
      <c r="X125" s="202"/>
      <c r="Y125" s="261">
        <v>0</v>
      </c>
      <c r="Z125" s="203">
        <f t="shared" si="84"/>
        <v>0</v>
      </c>
      <c r="AA125" s="204">
        <f t="shared" si="85"/>
        <v>0</v>
      </c>
      <c r="AB125" s="202"/>
      <c r="AC125" s="261">
        <v>0</v>
      </c>
      <c r="AD125" s="203">
        <f t="shared" si="109"/>
        <v>0</v>
      </c>
      <c r="AE125" s="204">
        <f t="shared" si="110"/>
        <v>0</v>
      </c>
      <c r="AF125" s="202"/>
      <c r="AG125" s="261">
        <v>0</v>
      </c>
      <c r="AH125" s="203">
        <f t="shared" si="88"/>
        <v>0</v>
      </c>
      <c r="AI125" s="204">
        <f t="shared" si="89"/>
        <v>0</v>
      </c>
      <c r="AJ125" s="202"/>
      <c r="AK125" s="261">
        <v>0</v>
      </c>
      <c r="AL125" s="203">
        <f t="shared" si="90"/>
        <v>0</v>
      </c>
      <c r="AM125" s="204">
        <f t="shared" si="91"/>
        <v>0</v>
      </c>
      <c r="AN125" s="202"/>
      <c r="AO125" s="261">
        <v>0</v>
      </c>
      <c r="AP125" s="203">
        <f t="shared" si="92"/>
        <v>0</v>
      </c>
      <c r="AQ125" s="204">
        <f t="shared" si="93"/>
        <v>0</v>
      </c>
      <c r="AR125" s="202"/>
      <c r="AS125" s="261">
        <v>0</v>
      </c>
      <c r="AT125" s="203">
        <f t="shared" si="111"/>
        <v>0</v>
      </c>
      <c r="AU125" s="204">
        <f t="shared" si="112"/>
        <v>0</v>
      </c>
      <c r="AV125" s="202"/>
      <c r="AW125" s="261">
        <v>0</v>
      </c>
      <c r="AX125" s="203">
        <f t="shared" si="113"/>
        <v>0</v>
      </c>
      <c r="AY125" s="204">
        <f t="shared" si="114"/>
        <v>0</v>
      </c>
      <c r="BA125" s="191">
        <f t="shared" si="98"/>
        <v>0.34377999999999997</v>
      </c>
      <c r="BB125" s="189">
        <f t="shared" si="99"/>
        <v>1.0475827708622187E-2</v>
      </c>
      <c r="BC125" s="190">
        <f t="shared" si="115"/>
        <v>2.8602473976186568E-5</v>
      </c>
    </row>
    <row r="126" spans="1:55">
      <c r="C126" s="188" t="s">
        <v>358</v>
      </c>
      <c r="D126" s="210">
        <v>6666010012</v>
      </c>
      <c r="E126" s="259">
        <v>1.4312199999999999</v>
      </c>
      <c r="F126" s="203">
        <f t="shared" si="101"/>
        <v>4.3612816723294687E-2</v>
      </c>
      <c r="G126" s="204">
        <f t="shared" si="102"/>
        <v>2.7181562308067737E-3</v>
      </c>
      <c r="H126" s="201"/>
      <c r="I126" s="260">
        <v>0</v>
      </c>
      <c r="J126" s="203">
        <f t="shared" si="103"/>
        <v>0</v>
      </c>
      <c r="K126" s="204">
        <f t="shared" si="104"/>
        <v>0</v>
      </c>
      <c r="M126" s="261">
        <v>0</v>
      </c>
      <c r="N126" s="203">
        <f t="shared" si="105"/>
        <v>0</v>
      </c>
      <c r="O126" s="204">
        <f t="shared" si="106"/>
        <v>0</v>
      </c>
      <c r="P126" s="202"/>
      <c r="Q126" s="261">
        <v>0</v>
      </c>
      <c r="R126" s="203">
        <f t="shared" si="107"/>
        <v>0</v>
      </c>
      <c r="S126" s="204">
        <f t="shared" si="108"/>
        <v>0</v>
      </c>
      <c r="T126" s="202"/>
      <c r="U126" s="261">
        <v>0</v>
      </c>
      <c r="V126" s="203">
        <f t="shared" si="82"/>
        <v>0</v>
      </c>
      <c r="W126" s="204">
        <f t="shared" si="83"/>
        <v>0</v>
      </c>
      <c r="X126" s="202"/>
      <c r="Y126" s="261">
        <v>0</v>
      </c>
      <c r="Z126" s="203">
        <f t="shared" si="84"/>
        <v>0</v>
      </c>
      <c r="AA126" s="204">
        <f t="shared" si="85"/>
        <v>0</v>
      </c>
      <c r="AB126" s="202"/>
      <c r="AC126" s="261">
        <v>0</v>
      </c>
      <c r="AD126" s="203">
        <f t="shared" si="109"/>
        <v>0</v>
      </c>
      <c r="AE126" s="204">
        <f t="shared" si="110"/>
        <v>0</v>
      </c>
      <c r="AF126" s="202"/>
      <c r="AG126" s="261">
        <v>0</v>
      </c>
      <c r="AH126" s="203">
        <f t="shared" si="88"/>
        <v>0</v>
      </c>
      <c r="AI126" s="204">
        <f t="shared" si="89"/>
        <v>0</v>
      </c>
      <c r="AJ126" s="202"/>
      <c r="AK126" s="261">
        <v>0</v>
      </c>
      <c r="AL126" s="203">
        <f t="shared" si="90"/>
        <v>0</v>
      </c>
      <c r="AM126" s="204">
        <f t="shared" si="91"/>
        <v>0</v>
      </c>
      <c r="AN126" s="202"/>
      <c r="AO126" s="261">
        <v>0</v>
      </c>
      <c r="AP126" s="203">
        <f t="shared" si="92"/>
        <v>0</v>
      </c>
      <c r="AQ126" s="204">
        <f t="shared" si="93"/>
        <v>0</v>
      </c>
      <c r="AR126" s="202"/>
      <c r="AS126" s="261">
        <v>0</v>
      </c>
      <c r="AT126" s="203">
        <f t="shared" si="111"/>
        <v>0</v>
      </c>
      <c r="AU126" s="204">
        <f t="shared" si="112"/>
        <v>0</v>
      </c>
      <c r="AV126" s="202"/>
      <c r="AW126" s="261">
        <v>0</v>
      </c>
      <c r="AX126" s="203">
        <f t="shared" si="113"/>
        <v>0</v>
      </c>
      <c r="AY126" s="204">
        <f t="shared" si="114"/>
        <v>0</v>
      </c>
      <c r="BA126" s="191">
        <f t="shared" si="98"/>
        <v>1.4312199999999999</v>
      </c>
      <c r="BB126" s="189">
        <f t="shared" si="99"/>
        <v>4.3612816723294687E-2</v>
      </c>
      <c r="BC126" s="190">
        <f t="shared" si="115"/>
        <v>1.1907741231077358E-4</v>
      </c>
    </row>
    <row r="127" spans="1:55">
      <c r="C127" s="188" t="s">
        <v>359</v>
      </c>
      <c r="D127" s="210">
        <v>6666010101</v>
      </c>
      <c r="E127" s="259">
        <v>904.91481250000004</v>
      </c>
      <c r="F127" s="203">
        <f t="shared" si="101"/>
        <v>27.574994667316748</v>
      </c>
      <c r="G127" s="204">
        <f t="shared" si="102"/>
        <v>1.7186035940988935</v>
      </c>
      <c r="H127" s="201"/>
      <c r="I127" s="260">
        <v>868.39047750000009</v>
      </c>
      <c r="J127" s="203">
        <f t="shared" si="103"/>
        <v>26.10570091449117</v>
      </c>
      <c r="K127" s="204">
        <f t="shared" si="104"/>
        <v>1.3216738008551625</v>
      </c>
      <c r="M127" s="261">
        <v>1068.5715425000001</v>
      </c>
      <c r="N127" s="203">
        <f t="shared" si="105"/>
        <v>30.685886083582936</v>
      </c>
      <c r="O127" s="204">
        <f t="shared" si="106"/>
        <v>1.531461101142034</v>
      </c>
      <c r="P127" s="202"/>
      <c r="Q127" s="261">
        <v>1389.6968100000004</v>
      </c>
      <c r="R127" s="203">
        <f t="shared" si="107"/>
        <v>40.057441932861778</v>
      </c>
      <c r="S127" s="204">
        <f t="shared" si="108"/>
        <v>1.4284292669422594</v>
      </c>
      <c r="T127" s="202"/>
      <c r="U127" s="261">
        <v>811.69518000000005</v>
      </c>
      <c r="V127" s="203">
        <f t="shared" si="82"/>
        <v>23.28409460564249</v>
      </c>
      <c r="W127" s="204">
        <f t="shared" si="83"/>
        <v>0.57077253041237652</v>
      </c>
      <c r="X127" s="202"/>
      <c r="Y127" s="261">
        <v>899.89085000000011</v>
      </c>
      <c r="Z127" s="203">
        <f t="shared" si="84"/>
        <v>25.662262203172816</v>
      </c>
      <c r="AA127" s="204">
        <f t="shared" si="85"/>
        <v>0.82845629529870923</v>
      </c>
      <c r="AB127" s="202"/>
      <c r="AC127" s="261">
        <v>952.38448249999999</v>
      </c>
      <c r="AD127" s="203">
        <f t="shared" si="109"/>
        <v>26.679753213864508</v>
      </c>
      <c r="AE127" s="204">
        <f t="shared" si="110"/>
        <v>0.77384207482856715</v>
      </c>
      <c r="AF127" s="202"/>
      <c r="AG127" s="261">
        <v>948.20717999999988</v>
      </c>
      <c r="AH127" s="203">
        <f t="shared" si="88"/>
        <v>25.551395588227365</v>
      </c>
      <c r="AI127" s="204">
        <f t="shared" si="89"/>
        <v>0.99895987130453379</v>
      </c>
      <c r="AJ127" s="202"/>
      <c r="AK127" s="261">
        <v>894.30605249999996</v>
      </c>
      <c r="AL127" s="203">
        <f t="shared" si="90"/>
        <v>23.643988429187292</v>
      </c>
      <c r="AM127" s="204">
        <f t="shared" si="91"/>
        <v>0.5895668369536029</v>
      </c>
      <c r="AN127" s="202"/>
      <c r="AO127" s="261">
        <v>906.23683499999993</v>
      </c>
      <c r="AP127" s="203">
        <f t="shared" si="92"/>
        <v>24.265117531895953</v>
      </c>
      <c r="AQ127" s="204">
        <f t="shared" si="93"/>
        <v>0.58914505868103895</v>
      </c>
      <c r="AR127" s="202"/>
      <c r="AS127" s="261">
        <v>2056.3726624999999</v>
      </c>
      <c r="AT127" s="203">
        <f t="shared" si="111"/>
        <v>56.148686847587761</v>
      </c>
      <c r="AU127" s="204">
        <f t="shared" si="112"/>
        <v>1.3024515622265775</v>
      </c>
      <c r="AV127" s="202"/>
      <c r="AW127" s="261">
        <v>-295.03015000000005</v>
      </c>
      <c r="AX127" s="203">
        <f t="shared" si="113"/>
        <v>-8.0479946992321647</v>
      </c>
      <c r="AY127" s="204">
        <f t="shared" si="114"/>
        <v>-0.30772740026888556</v>
      </c>
      <c r="BA127" s="191">
        <f t="shared" si="98"/>
        <v>11405.636735</v>
      </c>
      <c r="BB127" s="189">
        <f t="shared" si="99"/>
        <v>321.61132731859863</v>
      </c>
      <c r="BC127" s="190">
        <f t="shared" si="115"/>
        <v>0.87810527969125041</v>
      </c>
    </row>
    <row r="128" spans="1:55">
      <c r="C128" s="188" t="s">
        <v>360</v>
      </c>
      <c r="D128" s="210">
        <v>6666010102</v>
      </c>
      <c r="E128" s="259">
        <v>12.247209999999999</v>
      </c>
      <c r="F128" s="203">
        <f t="shared" si="101"/>
        <v>0.37320280956226287</v>
      </c>
      <c r="G128" s="204">
        <f t="shared" si="102"/>
        <v>2.3259757529589462E-2</v>
      </c>
      <c r="H128" s="201"/>
      <c r="I128" s="260">
        <v>0</v>
      </c>
      <c r="J128" s="203">
        <f t="shared" si="103"/>
        <v>0</v>
      </c>
      <c r="K128" s="204">
        <f t="shared" si="104"/>
        <v>0</v>
      </c>
      <c r="M128" s="261">
        <v>0</v>
      </c>
      <c r="N128" s="203">
        <f t="shared" si="105"/>
        <v>0</v>
      </c>
      <c r="O128" s="204">
        <f t="shared" si="106"/>
        <v>0</v>
      </c>
      <c r="P128" s="202"/>
      <c r="Q128" s="261">
        <v>0</v>
      </c>
      <c r="R128" s="203">
        <f t="shared" si="107"/>
        <v>0</v>
      </c>
      <c r="S128" s="204">
        <f t="shared" si="108"/>
        <v>0</v>
      </c>
      <c r="T128" s="202"/>
      <c r="U128" s="261">
        <v>0</v>
      </c>
      <c r="V128" s="203">
        <f t="shared" si="82"/>
        <v>0</v>
      </c>
      <c r="W128" s="204">
        <f t="shared" si="83"/>
        <v>0</v>
      </c>
      <c r="X128" s="202"/>
      <c r="Y128" s="261">
        <v>0</v>
      </c>
      <c r="Z128" s="203">
        <f t="shared" si="84"/>
        <v>0</v>
      </c>
      <c r="AA128" s="204">
        <f t="shared" si="85"/>
        <v>0</v>
      </c>
      <c r="AB128" s="202"/>
      <c r="AC128" s="261">
        <v>0</v>
      </c>
      <c r="AD128" s="203">
        <f t="shared" si="109"/>
        <v>0</v>
      </c>
      <c r="AE128" s="204">
        <f t="shared" si="110"/>
        <v>0</v>
      </c>
      <c r="AF128" s="202"/>
      <c r="AG128" s="261">
        <v>0</v>
      </c>
      <c r="AH128" s="203">
        <f t="shared" si="88"/>
        <v>0</v>
      </c>
      <c r="AI128" s="204">
        <f t="shared" si="89"/>
        <v>0</v>
      </c>
      <c r="AJ128" s="202"/>
      <c r="AK128" s="261">
        <v>0</v>
      </c>
      <c r="AL128" s="203">
        <f t="shared" si="90"/>
        <v>0</v>
      </c>
      <c r="AM128" s="204">
        <f t="shared" si="91"/>
        <v>0</v>
      </c>
      <c r="AN128" s="202"/>
      <c r="AO128" s="261">
        <v>0</v>
      </c>
      <c r="AP128" s="203">
        <f t="shared" si="92"/>
        <v>0</v>
      </c>
      <c r="AQ128" s="204">
        <f t="shared" si="93"/>
        <v>0</v>
      </c>
      <c r="AR128" s="202"/>
      <c r="AS128" s="261">
        <v>0</v>
      </c>
      <c r="AT128" s="203">
        <f t="shared" si="111"/>
        <v>0</v>
      </c>
      <c r="AU128" s="204">
        <f t="shared" si="112"/>
        <v>0</v>
      </c>
      <c r="AV128" s="202"/>
      <c r="AW128" s="261">
        <v>0</v>
      </c>
      <c r="AX128" s="203">
        <f t="shared" si="113"/>
        <v>0</v>
      </c>
      <c r="AY128" s="204">
        <f t="shared" si="114"/>
        <v>0</v>
      </c>
      <c r="BA128" s="191">
        <f t="shared" si="98"/>
        <v>12.247209999999999</v>
      </c>
      <c r="BB128" s="189">
        <f t="shared" si="99"/>
        <v>0.37320280956226287</v>
      </c>
      <c r="BC128" s="190">
        <f t="shared" si="115"/>
        <v>1.0189670873986033E-3</v>
      </c>
    </row>
    <row r="129" spans="3:55">
      <c r="C129" s="188" t="s">
        <v>361</v>
      </c>
      <c r="D129" s="210">
        <v>6666010196</v>
      </c>
      <c r="E129" s="259">
        <v>123.86338249999999</v>
      </c>
      <c r="F129" s="203">
        <f t="shared" si="101"/>
        <v>3.7744239178462053</v>
      </c>
      <c r="G129" s="204">
        <f t="shared" si="102"/>
        <v>0.23523988269530727</v>
      </c>
      <c r="H129" s="201"/>
      <c r="I129" s="260">
        <v>122.41836249999999</v>
      </c>
      <c r="J129" s="203">
        <f t="shared" si="103"/>
        <v>3.6801614488762757</v>
      </c>
      <c r="K129" s="204">
        <f t="shared" si="104"/>
        <v>0.18631842086250888</v>
      </c>
      <c r="M129" s="261">
        <v>124.4849</v>
      </c>
      <c r="N129" s="203">
        <f t="shared" si="105"/>
        <v>3.5747999161471333</v>
      </c>
      <c r="O129" s="204">
        <f t="shared" si="106"/>
        <v>0.17840993742312389</v>
      </c>
      <c r="P129" s="202"/>
      <c r="Q129" s="261">
        <v>127.6058175</v>
      </c>
      <c r="R129" s="203">
        <f t="shared" si="107"/>
        <v>3.6781854775946456</v>
      </c>
      <c r="S129" s="204">
        <f t="shared" si="108"/>
        <v>0.13116233917892686</v>
      </c>
      <c r="T129" s="202"/>
      <c r="U129" s="261">
        <v>121.06784000000002</v>
      </c>
      <c r="V129" s="203">
        <f t="shared" si="82"/>
        <v>3.4729232225584834</v>
      </c>
      <c r="W129" s="204">
        <f t="shared" si="83"/>
        <v>8.5133186805865652E-2</v>
      </c>
      <c r="X129" s="202"/>
      <c r="Y129" s="261">
        <v>129.04696749999999</v>
      </c>
      <c r="Z129" s="203">
        <f t="shared" si="84"/>
        <v>3.6800431035711942</v>
      </c>
      <c r="AA129" s="204">
        <f t="shared" si="85"/>
        <v>0.11880304440764444</v>
      </c>
      <c r="AB129" s="202"/>
      <c r="AC129" s="261">
        <v>131.40240750000001</v>
      </c>
      <c r="AD129" s="203">
        <f t="shared" si="109"/>
        <v>3.6810593496914303</v>
      </c>
      <c r="AE129" s="204">
        <f t="shared" si="110"/>
        <v>0.10676855148915017</v>
      </c>
      <c r="AF129" s="202"/>
      <c r="AG129" s="261">
        <v>127.430565</v>
      </c>
      <c r="AH129" s="203">
        <f t="shared" si="88"/>
        <v>3.4338790562061772</v>
      </c>
      <c r="AI129" s="204">
        <f t="shared" si="89"/>
        <v>0.13425127282063404</v>
      </c>
      <c r="AJ129" s="202"/>
      <c r="AK129" s="261">
        <v>135.06196750000001</v>
      </c>
      <c r="AL129" s="203">
        <f t="shared" si="90"/>
        <v>3.5708173816628292</v>
      </c>
      <c r="AM129" s="204">
        <f t="shared" si="91"/>
        <v>8.9038933314951857E-2</v>
      </c>
      <c r="AN129" s="202"/>
      <c r="AO129" s="261">
        <v>137.02558999999999</v>
      </c>
      <c r="AP129" s="203">
        <f t="shared" si="92"/>
        <v>3.6689548667787122</v>
      </c>
      <c r="AQ129" s="204">
        <f t="shared" si="93"/>
        <v>8.9080410488229594E-2</v>
      </c>
      <c r="AR129" s="202"/>
      <c r="AS129" s="261">
        <v>132.03751750000001</v>
      </c>
      <c r="AT129" s="203">
        <f t="shared" si="111"/>
        <v>3.6052478995841493</v>
      </c>
      <c r="AU129" s="204">
        <f t="shared" si="112"/>
        <v>8.3629039656324497E-2</v>
      </c>
      <c r="AV129" s="202"/>
      <c r="AW129" s="261">
        <v>127.39379750000001</v>
      </c>
      <c r="AX129" s="203">
        <f t="shared" si="113"/>
        <v>3.4751180752036892</v>
      </c>
      <c r="AY129" s="204">
        <f t="shared" si="114"/>
        <v>0.13287646064327951</v>
      </c>
      <c r="BA129" s="191">
        <f t="shared" si="98"/>
        <v>1538.839115</v>
      </c>
      <c r="BB129" s="189">
        <f t="shared" si="99"/>
        <v>43.295613715720933</v>
      </c>
      <c r="BC129" s="190">
        <f t="shared" si="115"/>
        <v>0.11821134320180675</v>
      </c>
    </row>
    <row r="130" spans="3:55">
      <c r="C130" s="188" t="s">
        <v>362</v>
      </c>
      <c r="D130" s="210">
        <v>6666010199</v>
      </c>
      <c r="E130" s="259">
        <v>240.29392999999999</v>
      </c>
      <c r="F130" s="203">
        <f t="shared" si="101"/>
        <v>7.3223509515030551</v>
      </c>
      <c r="G130" s="204">
        <f t="shared" si="102"/>
        <v>0.45636341237164568</v>
      </c>
      <c r="H130" s="201"/>
      <c r="I130" s="260">
        <v>79.397419999999997</v>
      </c>
      <c r="J130" s="203">
        <f t="shared" si="103"/>
        <v>2.3868586236336742</v>
      </c>
      <c r="K130" s="204">
        <f t="shared" si="104"/>
        <v>0.12084136409648007</v>
      </c>
      <c r="M130" s="261">
        <v>658.97410000000002</v>
      </c>
      <c r="N130" s="203">
        <f t="shared" si="105"/>
        <v>18.923584767494955</v>
      </c>
      <c r="O130" s="204">
        <f t="shared" si="106"/>
        <v>0.94443203910240836</v>
      </c>
      <c r="P130" s="202"/>
      <c r="Q130" s="261">
        <v>-498.84190249999995</v>
      </c>
      <c r="R130" s="203">
        <f t="shared" si="107"/>
        <v>-14.37891373088209</v>
      </c>
      <c r="S130" s="204">
        <f t="shared" si="108"/>
        <v>-0.51274520311243765</v>
      </c>
      <c r="T130" s="202"/>
      <c r="U130" s="261">
        <v>-544.09185000000014</v>
      </c>
      <c r="V130" s="203">
        <f t="shared" si="82"/>
        <v>-15.607689218456422</v>
      </c>
      <c r="W130" s="204">
        <f t="shared" si="83"/>
        <v>-0.38259766677590878</v>
      </c>
      <c r="X130" s="202"/>
      <c r="Y130" s="261">
        <v>11.927610000000001</v>
      </c>
      <c r="Z130" s="203">
        <f t="shared" si="84"/>
        <v>0.34014064625413859</v>
      </c>
      <c r="AA130" s="204">
        <f t="shared" si="85"/>
        <v>1.0980780160580404E-2</v>
      </c>
      <c r="AB130" s="202"/>
      <c r="AC130" s="261">
        <v>197.54926999999998</v>
      </c>
      <c r="AD130" s="203">
        <f t="shared" si="109"/>
        <v>5.5340735470026807</v>
      </c>
      <c r="AE130" s="204">
        <f t="shared" si="110"/>
        <v>0.160514938857867</v>
      </c>
      <c r="AF130" s="202"/>
      <c r="AG130" s="261">
        <v>19.102160000000005</v>
      </c>
      <c r="AH130" s="203">
        <f t="shared" si="88"/>
        <v>0.51474704794959836</v>
      </c>
      <c r="AI130" s="204">
        <f t="shared" si="89"/>
        <v>2.0124601139635559E-2</v>
      </c>
      <c r="AJ130" s="202"/>
      <c r="AK130" s="261">
        <v>47.346627500000004</v>
      </c>
      <c r="AL130" s="203">
        <f t="shared" si="90"/>
        <v>1.2517673447939022</v>
      </c>
      <c r="AM130" s="204">
        <f t="shared" si="91"/>
        <v>3.1213029742517009E-2</v>
      </c>
      <c r="AN130" s="202"/>
      <c r="AO130" s="261">
        <v>68.839550000000017</v>
      </c>
      <c r="AP130" s="203">
        <f t="shared" si="92"/>
        <v>1.8432265243255408</v>
      </c>
      <c r="AQ130" s="204">
        <f t="shared" si="93"/>
        <v>4.4752628847100802E-2</v>
      </c>
      <c r="AR130" s="202"/>
      <c r="AS130" s="261">
        <v>81.363989999999987</v>
      </c>
      <c r="AT130" s="203">
        <f t="shared" si="111"/>
        <v>2.2216212452592172</v>
      </c>
      <c r="AU130" s="204">
        <f t="shared" si="112"/>
        <v>5.1533779755491005E-2</v>
      </c>
      <c r="AV130" s="202"/>
      <c r="AW130" s="261">
        <v>63.664914999999993</v>
      </c>
      <c r="AX130" s="203">
        <f t="shared" si="113"/>
        <v>1.7366865672781788</v>
      </c>
      <c r="AY130" s="204">
        <f t="shared" si="114"/>
        <v>6.6404870082903633E-2</v>
      </c>
      <c r="BA130" s="191">
        <f t="shared" si="98"/>
        <v>425.5258199999999</v>
      </c>
      <c r="BB130" s="189">
        <f t="shared" si="99"/>
        <v>12.08845431615643</v>
      </c>
      <c r="BC130" s="190">
        <f t="shared" si="115"/>
        <v>3.3005477906591099E-2</v>
      </c>
    </row>
    <row r="131" spans="3:55">
      <c r="C131" s="188" t="s">
        <v>363</v>
      </c>
      <c r="D131" s="210">
        <v>6666010207</v>
      </c>
      <c r="E131" s="259">
        <v>11.658827499999999</v>
      </c>
      <c r="F131" s="203">
        <f t="shared" si="101"/>
        <v>0.35527333810735451</v>
      </c>
      <c r="G131" s="204">
        <f t="shared" si="102"/>
        <v>2.2142308389364568E-2</v>
      </c>
      <c r="H131" s="201"/>
      <c r="I131" s="260">
        <v>11.476810000000002</v>
      </c>
      <c r="J131" s="203">
        <f t="shared" si="103"/>
        <v>0.3450177968037903</v>
      </c>
      <c r="K131" s="204">
        <f t="shared" si="104"/>
        <v>1.7467486674959006E-2</v>
      </c>
      <c r="M131" s="261">
        <v>11.645795</v>
      </c>
      <c r="N131" s="203">
        <f t="shared" si="105"/>
        <v>0.33442921181176755</v>
      </c>
      <c r="O131" s="204">
        <f t="shared" si="106"/>
        <v>1.6690583012016147E-2</v>
      </c>
      <c r="P131" s="202"/>
      <c r="Q131" s="261">
        <v>11.696350000000001</v>
      </c>
      <c r="R131" s="203">
        <f t="shared" si="107"/>
        <v>0.33714250301216975</v>
      </c>
      <c r="S131" s="204">
        <f t="shared" si="108"/>
        <v>1.202234079849409E-2</v>
      </c>
      <c r="T131" s="202"/>
      <c r="U131" s="261">
        <v>11.064335</v>
      </c>
      <c r="V131" s="203">
        <f t="shared" si="82"/>
        <v>0.31738887853014153</v>
      </c>
      <c r="W131" s="204">
        <f t="shared" si="83"/>
        <v>7.780283338974887E-3</v>
      </c>
      <c r="X131" s="202"/>
      <c r="Y131" s="261">
        <v>12.00816</v>
      </c>
      <c r="Z131" s="203">
        <f t="shared" si="84"/>
        <v>0.34243769730256912</v>
      </c>
      <c r="AA131" s="204">
        <f t="shared" si="85"/>
        <v>1.1054935992464137E-2</v>
      </c>
      <c r="AB131" s="202"/>
      <c r="AC131" s="261">
        <v>12.2405325</v>
      </c>
      <c r="AD131" s="203">
        <f t="shared" si="109"/>
        <v>0.34290183461308965</v>
      </c>
      <c r="AE131" s="204">
        <f t="shared" si="110"/>
        <v>9.945814154743441E-3</v>
      </c>
      <c r="AF131" s="202"/>
      <c r="AG131" s="261">
        <v>11.902567500000002</v>
      </c>
      <c r="AH131" s="203">
        <f t="shared" si="88"/>
        <v>0.32073919827107666</v>
      </c>
      <c r="AI131" s="204">
        <f t="shared" si="89"/>
        <v>1.2539651195209816E-2</v>
      </c>
      <c r="AJ131" s="202"/>
      <c r="AK131" s="261">
        <v>12.34975</v>
      </c>
      <c r="AL131" s="203">
        <f t="shared" si="90"/>
        <v>0.3265071787081032</v>
      </c>
      <c r="AM131" s="204">
        <f t="shared" si="91"/>
        <v>8.1415115377045481E-3</v>
      </c>
      <c r="AN131" s="202"/>
      <c r="AO131" s="261">
        <v>12.62486</v>
      </c>
      <c r="AP131" s="203">
        <f t="shared" si="92"/>
        <v>0.33803935118542383</v>
      </c>
      <c r="AQ131" s="204">
        <f t="shared" si="93"/>
        <v>8.2074283435410161E-3</v>
      </c>
      <c r="AR131" s="202"/>
      <c r="AS131" s="261">
        <v>11.995317499999999</v>
      </c>
      <c r="AT131" s="203">
        <f t="shared" si="111"/>
        <v>0.3275288269617761</v>
      </c>
      <c r="AU131" s="204">
        <f t="shared" si="112"/>
        <v>7.5975139633907701E-3</v>
      </c>
      <c r="AV131" s="202"/>
      <c r="AW131" s="261">
        <v>11.403157499999999</v>
      </c>
      <c r="AX131" s="203">
        <f t="shared" si="113"/>
        <v>0.31106160205833028</v>
      </c>
      <c r="AY131" s="204">
        <f t="shared" si="114"/>
        <v>1.1893916646592371E-2</v>
      </c>
      <c r="BA131" s="191">
        <f t="shared" si="98"/>
        <v>142.0664625</v>
      </c>
      <c r="BB131" s="189">
        <f t="shared" si="99"/>
        <v>3.9984674173655921</v>
      </c>
      <c r="BC131" s="190">
        <f t="shared" si="115"/>
        <v>1.0917138333202984E-2</v>
      </c>
    </row>
    <row r="132" spans="3:55">
      <c r="C132" s="188" t="s">
        <v>364</v>
      </c>
      <c r="D132" s="210">
        <v>6666010226</v>
      </c>
      <c r="E132" s="259">
        <v>8.8167999999999989</v>
      </c>
      <c r="F132" s="203">
        <f t="shared" si="101"/>
        <v>0.26866972407173217</v>
      </c>
      <c r="G132" s="204">
        <f t="shared" si="102"/>
        <v>1.6744763108241332E-2</v>
      </c>
      <c r="H132" s="201"/>
      <c r="I132" s="260">
        <v>0</v>
      </c>
      <c r="J132" s="203">
        <f t="shared" si="103"/>
        <v>0</v>
      </c>
      <c r="K132" s="204">
        <f t="shared" si="104"/>
        <v>0</v>
      </c>
      <c r="M132" s="261">
        <v>0</v>
      </c>
      <c r="N132" s="203">
        <f t="shared" si="105"/>
        <v>0</v>
      </c>
      <c r="O132" s="204">
        <f t="shared" si="106"/>
        <v>0</v>
      </c>
      <c r="P132" s="202"/>
      <c r="Q132" s="261">
        <v>0</v>
      </c>
      <c r="R132" s="203">
        <f t="shared" si="107"/>
        <v>0</v>
      </c>
      <c r="S132" s="204">
        <f t="shared" si="108"/>
        <v>0</v>
      </c>
      <c r="T132" s="202"/>
      <c r="U132" s="261">
        <v>0</v>
      </c>
      <c r="V132" s="203">
        <f t="shared" si="82"/>
        <v>0</v>
      </c>
      <c r="W132" s="204">
        <f t="shared" si="83"/>
        <v>0</v>
      </c>
      <c r="X132" s="202"/>
      <c r="Y132" s="261">
        <v>0</v>
      </c>
      <c r="Z132" s="203">
        <f t="shared" si="84"/>
        <v>0</v>
      </c>
      <c r="AA132" s="204">
        <f t="shared" si="85"/>
        <v>0</v>
      </c>
      <c r="AB132" s="202"/>
      <c r="AC132" s="261">
        <v>0</v>
      </c>
      <c r="AD132" s="203">
        <f t="shared" si="109"/>
        <v>0</v>
      </c>
      <c r="AE132" s="204">
        <f t="shared" si="110"/>
        <v>0</v>
      </c>
      <c r="AF132" s="202"/>
      <c r="AG132" s="261">
        <v>0</v>
      </c>
      <c r="AH132" s="203">
        <f t="shared" si="88"/>
        <v>0</v>
      </c>
      <c r="AI132" s="204">
        <f t="shared" si="89"/>
        <v>0</v>
      </c>
      <c r="AJ132" s="202"/>
      <c r="AK132" s="261">
        <v>0</v>
      </c>
      <c r="AL132" s="203">
        <f t="shared" si="90"/>
        <v>0</v>
      </c>
      <c r="AM132" s="204">
        <f t="shared" si="91"/>
        <v>0</v>
      </c>
      <c r="AN132" s="202"/>
      <c r="AO132" s="261">
        <v>0</v>
      </c>
      <c r="AP132" s="203">
        <f t="shared" si="92"/>
        <v>0</v>
      </c>
      <c r="AQ132" s="204">
        <f t="shared" si="93"/>
        <v>0</v>
      </c>
      <c r="AR132" s="202"/>
      <c r="AS132" s="261">
        <v>0</v>
      </c>
      <c r="AT132" s="203">
        <f t="shared" si="111"/>
        <v>0</v>
      </c>
      <c r="AU132" s="204">
        <f t="shared" si="112"/>
        <v>0</v>
      </c>
      <c r="AV132" s="202"/>
      <c r="AW132" s="261">
        <v>0</v>
      </c>
      <c r="AX132" s="203">
        <f t="shared" si="113"/>
        <v>0</v>
      </c>
      <c r="AY132" s="204">
        <f t="shared" si="114"/>
        <v>0</v>
      </c>
      <c r="BA132" s="191">
        <f t="shared" si="98"/>
        <v>8.8167999999999989</v>
      </c>
      <c r="BB132" s="189">
        <f t="shared" si="99"/>
        <v>0.26866972407173217</v>
      </c>
      <c r="BC132" s="190">
        <f t="shared" si="115"/>
        <v>7.3355719516330698E-4</v>
      </c>
    </row>
    <row r="133" spans="3:55">
      <c r="C133" s="188" t="s">
        <v>365</v>
      </c>
      <c r="D133" s="210">
        <v>6666010227</v>
      </c>
      <c r="E133" s="259">
        <v>4.1499349999999993</v>
      </c>
      <c r="F133" s="203">
        <f t="shared" si="101"/>
        <v>0.12645879359468559</v>
      </c>
      <c r="G133" s="204">
        <f t="shared" si="102"/>
        <v>7.8815078588149335E-3</v>
      </c>
      <c r="H133" s="201"/>
      <c r="I133" s="260">
        <v>-3.5348350000000006</v>
      </c>
      <c r="J133" s="203">
        <f t="shared" si="103"/>
        <v>-0.10626480561801807</v>
      </c>
      <c r="K133" s="204">
        <f t="shared" si="104"/>
        <v>-5.3799516817546614E-3</v>
      </c>
      <c r="M133" s="261">
        <v>11.164235000000001</v>
      </c>
      <c r="N133" s="203">
        <f t="shared" si="105"/>
        <v>0.32060038078390951</v>
      </c>
      <c r="O133" s="204">
        <f t="shared" si="106"/>
        <v>1.6000418265404479E-2</v>
      </c>
      <c r="P133" s="202"/>
      <c r="Q133" s="261">
        <v>25.022892499999998</v>
      </c>
      <c r="R133" s="203">
        <f t="shared" si="107"/>
        <v>0.72127463781901613</v>
      </c>
      <c r="S133" s="204">
        <f t="shared" si="108"/>
        <v>2.5720309446885716E-2</v>
      </c>
      <c r="T133" s="202"/>
      <c r="U133" s="261">
        <v>7.6563324999999995</v>
      </c>
      <c r="V133" s="203">
        <f t="shared" si="82"/>
        <v>0.21962773052595341</v>
      </c>
      <c r="W133" s="204">
        <f t="shared" si="83"/>
        <v>5.3838243498052028E-3</v>
      </c>
      <c r="X133" s="202"/>
      <c r="Y133" s="261">
        <v>8.2665499999999987</v>
      </c>
      <c r="Z133" s="203">
        <f t="shared" si="84"/>
        <v>0.23573789378527205</v>
      </c>
      <c r="AA133" s="204">
        <f t="shared" si="85"/>
        <v>7.6103400627993301E-3</v>
      </c>
      <c r="AB133" s="202"/>
      <c r="AC133" s="261">
        <v>7.5020699999999998</v>
      </c>
      <c r="AD133" s="203">
        <f t="shared" si="109"/>
        <v>0.21016026601749732</v>
      </c>
      <c r="AE133" s="204">
        <f t="shared" si="110"/>
        <v>6.095665690677766E-3</v>
      </c>
      <c r="AF133" s="202"/>
      <c r="AG133" s="261">
        <v>9.171265</v>
      </c>
      <c r="AH133" s="203">
        <f t="shared" si="88"/>
        <v>0.24713862645446755</v>
      </c>
      <c r="AI133" s="204">
        <f t="shared" si="89"/>
        <v>9.6621560111997632E-3</v>
      </c>
      <c r="AJ133" s="202"/>
      <c r="AK133" s="261">
        <v>9.3525599999999987</v>
      </c>
      <c r="AL133" s="203">
        <f t="shared" si="90"/>
        <v>0.24726638023427655</v>
      </c>
      <c r="AM133" s="204">
        <f t="shared" si="91"/>
        <v>6.1656288707928521E-3</v>
      </c>
      <c r="AN133" s="202"/>
      <c r="AO133" s="261">
        <v>9.9160824999999999</v>
      </c>
      <c r="AP133" s="203">
        <f t="shared" si="92"/>
        <v>0.26550996166303115</v>
      </c>
      <c r="AQ133" s="204">
        <f t="shared" si="93"/>
        <v>6.4464506194437839E-3</v>
      </c>
      <c r="AR133" s="202"/>
      <c r="AS133" s="261">
        <v>10.483625</v>
      </c>
      <c r="AT133" s="203">
        <f t="shared" si="111"/>
        <v>0.28625248131674297</v>
      </c>
      <c r="AU133" s="204">
        <f t="shared" si="112"/>
        <v>6.6400482792099971E-3</v>
      </c>
      <c r="AV133" s="202"/>
      <c r="AW133" s="261">
        <v>10.163460000000001</v>
      </c>
      <c r="AX133" s="203">
        <f t="shared" si="113"/>
        <v>0.27724445181571489</v>
      </c>
      <c r="AY133" s="204">
        <f t="shared" si="114"/>
        <v>1.060086612685791E-2</v>
      </c>
      <c r="BA133" s="191">
        <f t="shared" si="98"/>
        <v>109.3141725</v>
      </c>
      <c r="BB133" s="189">
        <f t="shared" si="99"/>
        <v>3.0510067983925486</v>
      </c>
      <c r="BC133" s="190">
        <f t="shared" si="115"/>
        <v>8.330257520402529E-3</v>
      </c>
    </row>
    <row r="134" spans="3:55">
      <c r="C134" s="188" t="s">
        <v>366</v>
      </c>
      <c r="D134" s="210">
        <v>6666010302</v>
      </c>
      <c r="E134" s="259">
        <v>0</v>
      </c>
      <c r="F134" s="203">
        <f t="shared" si="101"/>
        <v>0</v>
      </c>
      <c r="G134" s="204">
        <f t="shared" si="102"/>
        <v>0</v>
      </c>
      <c r="H134" s="201"/>
      <c r="I134" s="260">
        <v>0</v>
      </c>
      <c r="J134" s="203">
        <f t="shared" si="103"/>
        <v>0</v>
      </c>
      <c r="K134" s="204">
        <f t="shared" si="104"/>
        <v>0</v>
      </c>
      <c r="M134" s="261">
        <v>0</v>
      </c>
      <c r="N134" s="203">
        <f t="shared" si="105"/>
        <v>0</v>
      </c>
      <c r="O134" s="204">
        <f t="shared" si="106"/>
        <v>0</v>
      </c>
      <c r="P134" s="202"/>
      <c r="Q134" s="261">
        <v>0</v>
      </c>
      <c r="R134" s="203">
        <f t="shared" si="107"/>
        <v>0</v>
      </c>
      <c r="S134" s="204">
        <f t="shared" si="108"/>
        <v>0</v>
      </c>
      <c r="T134" s="202"/>
      <c r="U134" s="261">
        <v>0</v>
      </c>
      <c r="V134" s="203">
        <f t="shared" si="82"/>
        <v>0</v>
      </c>
      <c r="W134" s="204">
        <f t="shared" si="83"/>
        <v>0</v>
      </c>
      <c r="X134" s="202"/>
      <c r="Y134" s="261">
        <v>0</v>
      </c>
      <c r="Z134" s="203">
        <f t="shared" si="84"/>
        <v>0</v>
      </c>
      <c r="AA134" s="204">
        <f t="shared" si="85"/>
        <v>0</v>
      </c>
      <c r="AB134" s="202"/>
      <c r="AC134" s="261">
        <v>14.102729999999999</v>
      </c>
      <c r="AD134" s="203">
        <f t="shared" si="109"/>
        <v>0.39506875947211101</v>
      </c>
      <c r="AE134" s="204">
        <f t="shared" si="110"/>
        <v>1.1458907662270819E-2</v>
      </c>
      <c r="AF134" s="202"/>
      <c r="AG134" s="261">
        <v>0</v>
      </c>
      <c r="AH134" s="203">
        <f t="shared" si="88"/>
        <v>0</v>
      </c>
      <c r="AI134" s="204">
        <f t="shared" si="89"/>
        <v>0</v>
      </c>
      <c r="AJ134" s="202"/>
      <c r="AK134" s="261">
        <v>3.3826100000000001</v>
      </c>
      <c r="AL134" s="203">
        <f t="shared" si="90"/>
        <v>8.9430672505096606E-2</v>
      </c>
      <c r="AM134" s="204">
        <f t="shared" si="91"/>
        <v>2.2299688935043041E-3</v>
      </c>
      <c r="AN134" s="202"/>
      <c r="AO134" s="261">
        <v>9.7999999999999997E-4</v>
      </c>
      <c r="AP134" s="203">
        <f t="shared" si="92"/>
        <v>2.6240177250418247E-5</v>
      </c>
      <c r="AQ134" s="204">
        <f t="shared" si="93"/>
        <v>6.3709853231403712E-7</v>
      </c>
      <c r="AR134" s="202"/>
      <c r="AS134" s="261">
        <v>0.22376000000000001</v>
      </c>
      <c r="AT134" s="203">
        <f t="shared" si="111"/>
        <v>6.1097049178537397E-3</v>
      </c>
      <c r="AU134" s="204">
        <f t="shared" si="112"/>
        <v>1.4172361210516678E-4</v>
      </c>
      <c r="AV134" s="202"/>
      <c r="AW134" s="261">
        <v>1.81E-3</v>
      </c>
      <c r="AX134" s="203">
        <f t="shared" si="113"/>
        <v>4.9374175505826152E-5</v>
      </c>
      <c r="AY134" s="204">
        <f t="shared" si="114"/>
        <v>1.8878972013086894E-6</v>
      </c>
      <c r="BA134" s="191">
        <f t="shared" si="98"/>
        <v>17.71189</v>
      </c>
      <c r="BB134" s="189">
        <f t="shared" si="99"/>
        <v>0.49068475124781763</v>
      </c>
      <c r="BC134" s="190">
        <f t="shared" si="115"/>
        <v>1.3397316392026824E-3</v>
      </c>
    </row>
    <row r="135" spans="3:55">
      <c r="C135" s="188" t="s">
        <v>367</v>
      </c>
      <c r="D135" s="210">
        <v>6666010314</v>
      </c>
      <c r="E135" s="259">
        <v>3.9388800000000002</v>
      </c>
      <c r="F135" s="203">
        <f t="shared" si="101"/>
        <v>0.12002742522816268</v>
      </c>
      <c r="G135" s="204">
        <f t="shared" si="102"/>
        <v>7.480674679224847E-3</v>
      </c>
      <c r="H135" s="201"/>
      <c r="I135" s="260">
        <v>0</v>
      </c>
      <c r="J135" s="203">
        <f t="shared" si="103"/>
        <v>0</v>
      </c>
      <c r="K135" s="204">
        <f t="shared" si="104"/>
        <v>0</v>
      </c>
      <c r="M135" s="261">
        <v>64.937470000000005</v>
      </c>
      <c r="N135" s="203">
        <f t="shared" si="105"/>
        <v>1.86479213391188</v>
      </c>
      <c r="O135" s="204">
        <f t="shared" si="106"/>
        <v>9.3067431946492987E-2</v>
      </c>
      <c r="P135" s="202"/>
      <c r="Q135" s="261">
        <v>19.330110000000001</v>
      </c>
      <c r="R135" s="203">
        <f t="shared" si="107"/>
        <v>0.55718251154424869</v>
      </c>
      <c r="S135" s="204">
        <f t="shared" si="108"/>
        <v>1.9868862516287441E-2</v>
      </c>
      <c r="T135" s="202"/>
      <c r="U135" s="261">
        <v>0</v>
      </c>
      <c r="V135" s="203">
        <f t="shared" si="82"/>
        <v>0</v>
      </c>
      <c r="W135" s="204">
        <f t="shared" si="83"/>
        <v>0</v>
      </c>
      <c r="X135" s="202"/>
      <c r="Y135" s="261">
        <v>0</v>
      </c>
      <c r="Z135" s="203">
        <f t="shared" si="84"/>
        <v>0</v>
      </c>
      <c r="AA135" s="204">
        <f t="shared" si="85"/>
        <v>0</v>
      </c>
      <c r="AB135" s="202"/>
      <c r="AC135" s="261">
        <v>0</v>
      </c>
      <c r="AD135" s="203">
        <f t="shared" si="109"/>
        <v>0</v>
      </c>
      <c r="AE135" s="204">
        <f t="shared" si="110"/>
        <v>0</v>
      </c>
      <c r="AF135" s="202"/>
      <c r="AG135" s="261">
        <v>0</v>
      </c>
      <c r="AH135" s="203">
        <f t="shared" si="88"/>
        <v>0</v>
      </c>
      <c r="AI135" s="204">
        <f t="shared" si="89"/>
        <v>0</v>
      </c>
      <c r="AJ135" s="202"/>
      <c r="AK135" s="261">
        <v>8.1641000000000012</v>
      </c>
      <c r="AL135" s="203">
        <f t="shared" si="90"/>
        <v>0.21584544283818097</v>
      </c>
      <c r="AM135" s="204">
        <f t="shared" si="91"/>
        <v>5.3821425004533458E-3</v>
      </c>
      <c r="AN135" s="202"/>
      <c r="AO135" s="261">
        <v>76.008169999999993</v>
      </c>
      <c r="AP135" s="203">
        <f t="shared" si="92"/>
        <v>2.0351712788570637</v>
      </c>
      <c r="AQ135" s="204">
        <f t="shared" si="93"/>
        <v>4.9412952602934511E-2</v>
      </c>
      <c r="AR135" s="202"/>
      <c r="AS135" s="261">
        <v>0</v>
      </c>
      <c r="AT135" s="203">
        <f t="shared" si="111"/>
        <v>0</v>
      </c>
      <c r="AU135" s="204">
        <f t="shared" si="112"/>
        <v>0</v>
      </c>
      <c r="AV135" s="202"/>
      <c r="AW135" s="261">
        <v>-0.45477000000000001</v>
      </c>
      <c r="AX135" s="203">
        <f t="shared" si="113"/>
        <v>-1.2405466184963847E-2</v>
      </c>
      <c r="AY135" s="204">
        <f t="shared" si="114"/>
        <v>-4.7434199460726675E-4</v>
      </c>
      <c r="BA135" s="191">
        <f t="shared" si="98"/>
        <v>171.92396000000002</v>
      </c>
      <c r="BB135" s="189">
        <f t="shared" si="99"/>
        <v>4.7806133261945725</v>
      </c>
      <c r="BC135" s="190">
        <f t="shared" si="115"/>
        <v>1.3052655318123314E-2</v>
      </c>
    </row>
    <row r="136" spans="3:55">
      <c r="C136" s="188" t="s">
        <v>368</v>
      </c>
      <c r="D136" s="210">
        <v>6666010321</v>
      </c>
      <c r="E136" s="259">
        <v>11.132610000000001</v>
      </c>
      <c r="F136" s="203">
        <f t="shared" si="101"/>
        <v>0.33923818810659279</v>
      </c>
      <c r="G136" s="204">
        <f t="shared" si="102"/>
        <v>2.1142922287727815E-2</v>
      </c>
      <c r="H136" s="201"/>
      <c r="I136" s="260">
        <v>11.121499999999999</v>
      </c>
      <c r="J136" s="203">
        <f t="shared" si="103"/>
        <v>0.33433640769110518</v>
      </c>
      <c r="K136" s="204">
        <f t="shared" si="104"/>
        <v>1.6926711608500667E-2</v>
      </c>
      <c r="M136" s="261">
        <v>0</v>
      </c>
      <c r="N136" s="203">
        <f t="shared" si="105"/>
        <v>0</v>
      </c>
      <c r="O136" s="204">
        <f t="shared" si="106"/>
        <v>0</v>
      </c>
      <c r="P136" s="202"/>
      <c r="Q136" s="261">
        <v>22.241109999999999</v>
      </c>
      <c r="R136" s="203">
        <f t="shared" si="107"/>
        <v>0.64109089546473885</v>
      </c>
      <c r="S136" s="204">
        <f t="shared" si="108"/>
        <v>2.2860995452153438E-2</v>
      </c>
      <c r="T136" s="202"/>
      <c r="U136" s="261">
        <v>0</v>
      </c>
      <c r="V136" s="203">
        <f t="shared" si="82"/>
        <v>0</v>
      </c>
      <c r="W136" s="204">
        <f t="shared" si="83"/>
        <v>0</v>
      </c>
      <c r="X136" s="202"/>
      <c r="Y136" s="261">
        <v>0</v>
      </c>
      <c r="Z136" s="203">
        <f t="shared" si="84"/>
        <v>0</v>
      </c>
      <c r="AA136" s="204">
        <f t="shared" si="85"/>
        <v>0</v>
      </c>
      <c r="AB136" s="202"/>
      <c r="AC136" s="261">
        <v>13.345799999999999</v>
      </c>
      <c r="AD136" s="203">
        <f t="shared" si="109"/>
        <v>0.37386439718855136</v>
      </c>
      <c r="AE136" s="204">
        <f t="shared" si="110"/>
        <v>1.0843878446168499E-2</v>
      </c>
      <c r="AF136" s="202"/>
      <c r="AG136" s="261">
        <v>-13.345799999999999</v>
      </c>
      <c r="AH136" s="203">
        <f t="shared" si="88"/>
        <v>-0.35963007076297904</v>
      </c>
      <c r="AI136" s="204">
        <f t="shared" si="89"/>
        <v>-1.4060132565602432E-2</v>
      </c>
      <c r="AJ136" s="202"/>
      <c r="AK136" s="261">
        <v>0</v>
      </c>
      <c r="AL136" s="203">
        <f t="shared" si="90"/>
        <v>0</v>
      </c>
      <c r="AM136" s="204">
        <f t="shared" si="91"/>
        <v>0</v>
      </c>
      <c r="AN136" s="202"/>
      <c r="AO136" s="261">
        <v>68.27488000000001</v>
      </c>
      <c r="AP136" s="203">
        <f t="shared" si="92"/>
        <v>1.8281070948479961</v>
      </c>
      <c r="AQ136" s="204">
        <f t="shared" si="93"/>
        <v>4.4385536573384711E-2</v>
      </c>
      <c r="AR136" s="202"/>
      <c r="AS136" s="261">
        <v>11.121499999999999</v>
      </c>
      <c r="AT136" s="203">
        <f t="shared" si="111"/>
        <v>0.30366948178365372</v>
      </c>
      <c r="AU136" s="204">
        <f t="shared" si="112"/>
        <v>7.0440612800661958E-3</v>
      </c>
      <c r="AV136" s="202"/>
      <c r="AW136" s="261">
        <v>11.121499999999999</v>
      </c>
      <c r="AX136" s="203">
        <f t="shared" si="113"/>
        <v>0.30337839386079862</v>
      </c>
      <c r="AY136" s="204">
        <f t="shared" si="114"/>
        <v>1.160013741677049E-2</v>
      </c>
      <c r="BA136" s="191">
        <f t="shared" si="98"/>
        <v>135.01310000000001</v>
      </c>
      <c r="BB136" s="189">
        <f t="shared" si="99"/>
        <v>3.764054788180458</v>
      </c>
      <c r="BC136" s="190">
        <f t="shared" si="115"/>
        <v>1.0277114335821005E-2</v>
      </c>
    </row>
    <row r="137" spans="3:55">
      <c r="C137" s="188" t="s">
        <v>369</v>
      </c>
      <c r="D137" s="210">
        <v>6666010322</v>
      </c>
      <c r="E137" s="259">
        <v>0.44818999999999998</v>
      </c>
      <c r="F137" s="203">
        <f t="shared" si="101"/>
        <v>1.3657458900248351E-2</v>
      </c>
      <c r="G137" s="204">
        <f t="shared" si="102"/>
        <v>8.5119718917097851E-4</v>
      </c>
      <c r="H137" s="201"/>
      <c r="I137" s="260">
        <v>1.15215</v>
      </c>
      <c r="J137" s="203">
        <f t="shared" si="103"/>
        <v>3.4636127511694183E-2</v>
      </c>
      <c r="K137" s="204">
        <f t="shared" si="104"/>
        <v>1.7535504005515483E-3</v>
      </c>
      <c r="M137" s="261">
        <v>0.38094</v>
      </c>
      <c r="N137" s="203">
        <f t="shared" si="105"/>
        <v>1.0939353126821719E-2</v>
      </c>
      <c r="O137" s="204">
        <f t="shared" si="106"/>
        <v>5.4595763471685971E-4</v>
      </c>
      <c r="P137" s="202"/>
      <c r="Q137" s="261">
        <v>0.62697999999999998</v>
      </c>
      <c r="R137" s="203">
        <f t="shared" si="107"/>
        <v>1.8072441961686354E-2</v>
      </c>
      <c r="S137" s="204">
        <f t="shared" si="108"/>
        <v>6.4445465755041736E-4</v>
      </c>
      <c r="T137" s="202"/>
      <c r="U137" s="261">
        <v>0.56346499999999999</v>
      </c>
      <c r="V137" s="203">
        <f t="shared" si="82"/>
        <v>1.6163422785100613E-2</v>
      </c>
      <c r="W137" s="204">
        <f t="shared" si="83"/>
        <v>3.9622059089818631E-4</v>
      </c>
      <c r="X137" s="202"/>
      <c r="Y137" s="261">
        <v>0.35367999999999999</v>
      </c>
      <c r="Z137" s="203">
        <f t="shared" si="84"/>
        <v>1.0085921971557062E-2</v>
      </c>
      <c r="AA137" s="204">
        <f t="shared" si="85"/>
        <v>3.2560440249086589E-4</v>
      </c>
      <c r="AB137" s="202"/>
      <c r="AC137" s="261">
        <v>0.30798000000000003</v>
      </c>
      <c r="AD137" s="203">
        <f t="shared" si="109"/>
        <v>8.627639935120418E-3</v>
      </c>
      <c r="AE137" s="204">
        <f t="shared" si="110"/>
        <v>2.502433487577347E-4</v>
      </c>
      <c r="AF137" s="202"/>
      <c r="AG137" s="261">
        <v>-0.45767000000000008</v>
      </c>
      <c r="AH137" s="203">
        <f t="shared" si="88"/>
        <v>-1.2332860861551399E-2</v>
      </c>
      <c r="AI137" s="204">
        <f t="shared" si="89"/>
        <v>-4.8216673944606299E-4</v>
      </c>
      <c r="AJ137" s="202"/>
      <c r="AK137" s="261">
        <v>1.1069</v>
      </c>
      <c r="AL137" s="203">
        <f t="shared" si="90"/>
        <v>2.9264624475151269E-2</v>
      </c>
      <c r="AM137" s="204">
        <f t="shared" si="91"/>
        <v>7.2971834418390357E-4</v>
      </c>
      <c r="AN137" s="202"/>
      <c r="AO137" s="261">
        <v>1.0733299999999999</v>
      </c>
      <c r="AP137" s="203">
        <f t="shared" si="92"/>
        <v>2.8739152498154508E-2</v>
      </c>
      <c r="AQ137" s="204">
        <f t="shared" si="93"/>
        <v>6.9777241600880156E-4</v>
      </c>
      <c r="AR137" s="202"/>
      <c r="AS137" s="261">
        <v>1.0806099999999998</v>
      </c>
      <c r="AT137" s="203">
        <f t="shared" si="111"/>
        <v>2.9505757200938187E-2</v>
      </c>
      <c r="AU137" s="204">
        <f t="shared" si="112"/>
        <v>6.844295337726325E-4</v>
      </c>
      <c r="AV137" s="202"/>
      <c r="AW137" s="261">
        <v>3.65733</v>
      </c>
      <c r="AX137" s="203">
        <f t="shared" si="113"/>
        <v>9.9766659283272469E-2</v>
      </c>
      <c r="AY137" s="204">
        <f t="shared" si="114"/>
        <v>3.8147309785979606E-3</v>
      </c>
      <c r="BA137" s="191">
        <f t="shared" si="98"/>
        <v>10.293885000000001</v>
      </c>
      <c r="BB137" s="189">
        <f t="shared" si="99"/>
        <v>0.28712569878819372</v>
      </c>
      <c r="BC137" s="190">
        <f t="shared" si="115"/>
        <v>7.8394810948678988E-4</v>
      </c>
    </row>
    <row r="138" spans="3:55">
      <c r="C138" s="188" t="s">
        <v>370</v>
      </c>
      <c r="D138" s="210">
        <v>6666020101</v>
      </c>
      <c r="E138" s="259">
        <v>0</v>
      </c>
      <c r="F138" s="203">
        <f t="shared" si="101"/>
        <v>0</v>
      </c>
      <c r="G138" s="204">
        <f t="shared" si="102"/>
        <v>0</v>
      </c>
      <c r="H138" s="201"/>
      <c r="I138" s="260">
        <v>2.5974899999999996</v>
      </c>
      <c r="J138" s="203">
        <f t="shared" si="103"/>
        <v>7.8086182224840955E-2</v>
      </c>
      <c r="K138" s="204">
        <f t="shared" si="104"/>
        <v>3.9533304083050301E-3</v>
      </c>
      <c r="M138" s="261">
        <v>-107.25809</v>
      </c>
      <c r="N138" s="203">
        <f t="shared" si="105"/>
        <v>-3.080102174144026</v>
      </c>
      <c r="O138" s="204">
        <f t="shared" si="106"/>
        <v>-0.15372072536527553</v>
      </c>
      <c r="P138" s="202"/>
      <c r="Q138" s="261">
        <v>-113.39055</v>
      </c>
      <c r="R138" s="203">
        <f t="shared" si="107"/>
        <v>-3.2684362082980236</v>
      </c>
      <c r="S138" s="204">
        <f t="shared" si="108"/>
        <v>-0.11655087573719017</v>
      </c>
      <c r="T138" s="202"/>
      <c r="U138" s="261">
        <v>17.0641</v>
      </c>
      <c r="V138" s="203">
        <f t="shared" si="82"/>
        <v>0.48949670830883091</v>
      </c>
      <c r="W138" s="204">
        <f t="shared" si="83"/>
        <v>1.1999232933981245E-2</v>
      </c>
      <c r="X138" s="202"/>
      <c r="Y138" s="261">
        <v>17.467410000000001</v>
      </c>
      <c r="Z138" s="203">
        <f t="shared" si="84"/>
        <v>0.49811958353651764</v>
      </c>
      <c r="AA138" s="204">
        <f t="shared" si="85"/>
        <v>1.6080823332144809E-2</v>
      </c>
      <c r="AB138" s="202"/>
      <c r="AC138" s="261">
        <v>-14.244900000000001</v>
      </c>
      <c r="AD138" s="203">
        <f t="shared" si="109"/>
        <v>-0.39905145824987609</v>
      </c>
      <c r="AE138" s="204">
        <f t="shared" si="110"/>
        <v>-1.1574425218257856E-2</v>
      </c>
      <c r="AF138" s="202"/>
      <c r="AG138" s="261">
        <v>0.58180999999999994</v>
      </c>
      <c r="AH138" s="203">
        <f t="shared" si="88"/>
        <v>1.5678068865906038E-2</v>
      </c>
      <c r="AI138" s="204">
        <f t="shared" si="89"/>
        <v>6.1295132011517865E-4</v>
      </c>
      <c r="AJ138" s="202"/>
      <c r="AK138" s="261">
        <v>0</v>
      </c>
      <c r="AL138" s="203">
        <f t="shared" si="90"/>
        <v>0</v>
      </c>
      <c r="AM138" s="204">
        <f t="shared" si="91"/>
        <v>0</v>
      </c>
      <c r="AN138" s="202"/>
      <c r="AO138" s="261">
        <v>0</v>
      </c>
      <c r="AP138" s="203">
        <f t="shared" si="92"/>
        <v>0</v>
      </c>
      <c r="AQ138" s="204">
        <f t="shared" si="93"/>
        <v>0</v>
      </c>
      <c r="AR138" s="202"/>
      <c r="AS138" s="261">
        <v>5.9499999999999997E-2</v>
      </c>
      <c r="AT138" s="203">
        <f t="shared" si="111"/>
        <v>1.6246310449244614E-3</v>
      </c>
      <c r="AU138" s="204">
        <f t="shared" si="112"/>
        <v>3.7685712014021374E-5</v>
      </c>
      <c r="AV138" s="202"/>
      <c r="AW138" s="261">
        <v>-3.627979999999996</v>
      </c>
      <c r="AX138" s="203">
        <f t="shared" si="113"/>
        <v>-9.8966033840677883E-2</v>
      </c>
      <c r="AY138" s="204">
        <f t="shared" si="114"/>
        <v>-3.7841178388971775E-3</v>
      </c>
      <c r="BA138" s="191">
        <f t="shared" si="98"/>
        <v>-200.75121000000001</v>
      </c>
      <c r="BB138" s="189">
        <f t="shared" si="99"/>
        <v>-5.7635507005515825</v>
      </c>
      <c r="BC138" s="190">
        <f t="shared" si="115"/>
        <v>-1.573639940520178E-2</v>
      </c>
    </row>
    <row r="139" spans="3:55">
      <c r="C139" s="188" t="s">
        <v>371</v>
      </c>
      <c r="D139" s="210">
        <v>6666020201</v>
      </c>
      <c r="E139" s="259">
        <v>2.4134099999999998</v>
      </c>
      <c r="F139" s="203">
        <f t="shared" si="101"/>
        <v>7.3542577666722536E-2</v>
      </c>
      <c r="G139" s="204">
        <f t="shared" si="102"/>
        <v>4.5835199542986933E-3</v>
      </c>
      <c r="H139" s="201"/>
      <c r="I139" s="260">
        <v>4.4488500000000002</v>
      </c>
      <c r="J139" s="203">
        <f t="shared" si="103"/>
        <v>0.13374207861858323</v>
      </c>
      <c r="K139" s="204">
        <f t="shared" si="104"/>
        <v>6.7710651386484015E-3</v>
      </c>
      <c r="M139" s="261">
        <v>9.7663999999999991</v>
      </c>
      <c r="N139" s="203">
        <f t="shared" si="105"/>
        <v>0.28045912316320581</v>
      </c>
      <c r="O139" s="204">
        <f t="shared" si="106"/>
        <v>1.3997061594211E-2</v>
      </c>
      <c r="P139" s="202"/>
      <c r="Q139" s="261">
        <v>16.352160000000001</v>
      </c>
      <c r="R139" s="203">
        <f t="shared" si="107"/>
        <v>0.47134432126735964</v>
      </c>
      <c r="S139" s="204">
        <f t="shared" si="108"/>
        <v>1.6807913606509992E-2</v>
      </c>
      <c r="T139" s="202"/>
      <c r="U139" s="261">
        <v>2.5824099999999999</v>
      </c>
      <c r="V139" s="203">
        <f t="shared" si="82"/>
        <v>7.4078398187059843E-2</v>
      </c>
      <c r="W139" s="204">
        <f t="shared" si="83"/>
        <v>1.8159140605741001E-3</v>
      </c>
      <c r="X139" s="202"/>
      <c r="Y139" s="261">
        <v>5.2780200000000006</v>
      </c>
      <c r="Z139" s="203">
        <f t="shared" si="84"/>
        <v>0.15051373525310341</v>
      </c>
      <c r="AA139" s="204">
        <f t="shared" si="85"/>
        <v>4.8590436225821087E-3</v>
      </c>
      <c r="AB139" s="202"/>
      <c r="AC139" s="261">
        <v>11.897110000000001</v>
      </c>
      <c r="AD139" s="203">
        <f t="shared" si="109"/>
        <v>0.33328132134723187</v>
      </c>
      <c r="AE139" s="204">
        <f t="shared" si="110"/>
        <v>9.666772670105633E-3</v>
      </c>
      <c r="AF139" s="202"/>
      <c r="AG139" s="261">
        <v>5.0078099999999992</v>
      </c>
      <c r="AH139" s="203">
        <f t="shared" si="88"/>
        <v>0.13494575556860988</v>
      </c>
      <c r="AI139" s="204">
        <f t="shared" si="89"/>
        <v>5.2758525126518838E-3</v>
      </c>
      <c r="AJ139" s="202"/>
      <c r="AK139" s="261">
        <v>1.90727</v>
      </c>
      <c r="AL139" s="203">
        <f t="shared" si="90"/>
        <v>5.0425097409632094E-2</v>
      </c>
      <c r="AM139" s="204">
        <f t="shared" si="91"/>
        <v>1.2573583036513088E-3</v>
      </c>
      <c r="AN139" s="202"/>
      <c r="AO139" s="261">
        <v>4.8356199999999996</v>
      </c>
      <c r="AP139" s="203">
        <f t="shared" si="92"/>
        <v>0.12947706726088518</v>
      </c>
      <c r="AQ139" s="204">
        <f t="shared" si="93"/>
        <v>3.1436391886004124E-3</v>
      </c>
      <c r="AR139" s="202"/>
      <c r="AS139" s="261">
        <v>3.2513199999999998</v>
      </c>
      <c r="AT139" s="203">
        <f t="shared" si="111"/>
        <v>8.8776393428299155E-2</v>
      </c>
      <c r="AU139" s="204">
        <f t="shared" si="112"/>
        <v>2.0592993140408061E-3</v>
      </c>
      <c r="AV139" s="202"/>
      <c r="AW139" s="261">
        <v>9.2603799999999996</v>
      </c>
      <c r="AX139" s="203">
        <f t="shared" si="113"/>
        <v>0.25260973887880794</v>
      </c>
      <c r="AY139" s="204">
        <f t="shared" si="114"/>
        <v>9.6589201574889295E-3</v>
      </c>
      <c r="BA139" s="191">
        <f t="shared" si="98"/>
        <v>77.000760000000014</v>
      </c>
      <c r="BB139" s="189">
        <f t="shared" si="99"/>
        <v>2.1731956080495007</v>
      </c>
      <c r="BC139" s="190">
        <f t="shared" si="115"/>
        <v>5.9335426806646193E-3</v>
      </c>
    </row>
    <row r="140" spans="3:55">
      <c r="C140" s="188" t="s">
        <v>372</v>
      </c>
      <c r="D140" s="210">
        <v>6666020202</v>
      </c>
      <c r="E140" s="259">
        <v>0</v>
      </c>
      <c r="F140" s="203">
        <f t="shared" si="101"/>
        <v>0</v>
      </c>
      <c r="G140" s="204">
        <f t="shared" si="102"/>
        <v>0</v>
      </c>
      <c r="H140" s="201"/>
      <c r="I140" s="260">
        <v>2.5037500000000001</v>
      </c>
      <c r="J140" s="203">
        <f t="shared" si="103"/>
        <v>7.5268154543596158E-2</v>
      </c>
      <c r="K140" s="204">
        <f t="shared" si="104"/>
        <v>3.8106599100646088E-3</v>
      </c>
      <c r="M140" s="261">
        <v>0</v>
      </c>
      <c r="N140" s="203">
        <f t="shared" si="105"/>
        <v>0</v>
      </c>
      <c r="O140" s="204">
        <f t="shared" si="106"/>
        <v>0</v>
      </c>
      <c r="P140" s="202"/>
      <c r="Q140" s="261">
        <v>0</v>
      </c>
      <c r="R140" s="203">
        <f t="shared" si="107"/>
        <v>0</v>
      </c>
      <c r="S140" s="204">
        <f t="shared" si="108"/>
        <v>0</v>
      </c>
      <c r="T140" s="202"/>
      <c r="U140" s="261">
        <v>0</v>
      </c>
      <c r="V140" s="203">
        <f t="shared" si="82"/>
        <v>0</v>
      </c>
      <c r="W140" s="204">
        <f t="shared" si="83"/>
        <v>0</v>
      </c>
      <c r="X140" s="202"/>
      <c r="Y140" s="261">
        <v>1.0300499999999999</v>
      </c>
      <c r="Z140" s="203">
        <f t="shared" si="84"/>
        <v>2.9374021507584117E-2</v>
      </c>
      <c r="AA140" s="204">
        <f t="shared" si="85"/>
        <v>9.4828323565289635E-4</v>
      </c>
      <c r="AB140" s="202"/>
      <c r="AC140" s="261">
        <v>0</v>
      </c>
      <c r="AD140" s="203">
        <f t="shared" si="109"/>
        <v>0</v>
      </c>
      <c r="AE140" s="204">
        <f t="shared" si="110"/>
        <v>0</v>
      </c>
      <c r="AF140" s="202"/>
      <c r="AG140" s="261">
        <v>0.95322000000000007</v>
      </c>
      <c r="AH140" s="203">
        <f t="shared" si="88"/>
        <v>2.568647634856561E-2</v>
      </c>
      <c r="AI140" s="204">
        <f t="shared" si="89"/>
        <v>1.0042410019769181E-3</v>
      </c>
      <c r="AJ140" s="202"/>
      <c r="AK140" s="261">
        <v>0</v>
      </c>
      <c r="AL140" s="203">
        <f t="shared" si="90"/>
        <v>0</v>
      </c>
      <c r="AM140" s="204">
        <f t="shared" si="91"/>
        <v>0</v>
      </c>
      <c r="AN140" s="202"/>
      <c r="AO140" s="261">
        <v>0</v>
      </c>
      <c r="AP140" s="203">
        <f t="shared" si="92"/>
        <v>0</v>
      </c>
      <c r="AQ140" s="204">
        <f t="shared" si="93"/>
        <v>0</v>
      </c>
      <c r="AR140" s="202"/>
      <c r="AS140" s="261">
        <v>0</v>
      </c>
      <c r="AT140" s="203">
        <f t="shared" si="111"/>
        <v>0</v>
      </c>
      <c r="AU140" s="204">
        <f t="shared" si="112"/>
        <v>0</v>
      </c>
      <c r="AV140" s="202"/>
      <c r="AW140" s="261">
        <v>0</v>
      </c>
      <c r="AX140" s="203">
        <f t="shared" si="113"/>
        <v>0</v>
      </c>
      <c r="AY140" s="204">
        <f t="shared" si="114"/>
        <v>0</v>
      </c>
      <c r="BA140" s="191">
        <f t="shared" si="98"/>
        <v>4.4870200000000002</v>
      </c>
      <c r="BB140" s="189">
        <f t="shared" si="99"/>
        <v>0.13032865239974589</v>
      </c>
      <c r="BC140" s="190">
        <f t="shared" si="115"/>
        <v>3.5584032043091689E-4</v>
      </c>
    </row>
    <row r="141" spans="3:55">
      <c r="C141" s="188" t="s">
        <v>373</v>
      </c>
      <c r="D141" s="210">
        <v>6666020204</v>
      </c>
      <c r="E141" s="259">
        <v>60.826480000000004</v>
      </c>
      <c r="F141" s="203">
        <f t="shared" si="101"/>
        <v>1.8535334359240019</v>
      </c>
      <c r="G141" s="204">
        <f t="shared" si="102"/>
        <v>0.11552093710962928</v>
      </c>
      <c r="H141" s="201"/>
      <c r="I141" s="260">
        <v>93.571809999999999</v>
      </c>
      <c r="J141" s="203">
        <f t="shared" si="103"/>
        <v>2.8129715251139356</v>
      </c>
      <c r="K141" s="204">
        <f t="shared" si="104"/>
        <v>0.14241451625728713</v>
      </c>
      <c r="M141" s="261">
        <v>138.14737</v>
      </c>
      <c r="N141" s="203">
        <f t="shared" si="105"/>
        <v>3.9671414500228299</v>
      </c>
      <c r="O141" s="204">
        <f t="shared" si="106"/>
        <v>0.1979907895404916</v>
      </c>
      <c r="P141" s="202"/>
      <c r="Q141" s="261">
        <v>-26.582180000000001</v>
      </c>
      <c r="R141" s="203">
        <f t="shared" si="107"/>
        <v>-0.76622046200054195</v>
      </c>
      <c r="S141" s="204">
        <f t="shared" si="108"/>
        <v>-2.7323056092448811E-2</v>
      </c>
      <c r="T141" s="202"/>
      <c r="U141" s="261">
        <v>221.59807999999998</v>
      </c>
      <c r="V141" s="203">
        <f t="shared" si="82"/>
        <v>6.3567097431190023</v>
      </c>
      <c r="W141" s="204">
        <f t="shared" si="83"/>
        <v>0.15582462477616812</v>
      </c>
      <c r="X141" s="202"/>
      <c r="Y141" s="261">
        <v>6.65726</v>
      </c>
      <c r="Z141" s="203">
        <f t="shared" si="84"/>
        <v>0.18984563702886215</v>
      </c>
      <c r="AA141" s="204">
        <f t="shared" si="85"/>
        <v>6.1287976830082047E-3</v>
      </c>
      <c r="AB141" s="202"/>
      <c r="AC141" s="261">
        <v>210.06408000000002</v>
      </c>
      <c r="AD141" s="203">
        <f t="shared" si="109"/>
        <v>5.8846588919486011</v>
      </c>
      <c r="AE141" s="204">
        <f t="shared" si="110"/>
        <v>0.17068361202971838</v>
      </c>
      <c r="AF141" s="202"/>
      <c r="AG141" s="261">
        <v>97.09826000000001</v>
      </c>
      <c r="AH141" s="203">
        <f t="shared" si="88"/>
        <v>2.6165126193081076</v>
      </c>
      <c r="AI141" s="204">
        <f t="shared" si="89"/>
        <v>0.10229543433060082</v>
      </c>
      <c r="AJ141" s="202"/>
      <c r="AK141" s="261">
        <v>99.748570000000001</v>
      </c>
      <c r="AL141" s="203">
        <f t="shared" si="90"/>
        <v>2.6371889447857435</v>
      </c>
      <c r="AM141" s="204">
        <f t="shared" si="91"/>
        <v>6.5758750867388388E-2</v>
      </c>
      <c r="AN141" s="202"/>
      <c r="AO141" s="261">
        <v>89.543229999999994</v>
      </c>
      <c r="AP141" s="203">
        <f t="shared" si="92"/>
        <v>2.3975818640560904</v>
      </c>
      <c r="AQ141" s="204">
        <f t="shared" si="93"/>
        <v>5.821210246087577E-2</v>
      </c>
      <c r="AR141" s="202"/>
      <c r="AS141" s="261">
        <v>113.61986</v>
      </c>
      <c r="AT141" s="203">
        <f t="shared" si="111"/>
        <v>3.1023588550583368</v>
      </c>
      <c r="AU141" s="204">
        <f t="shared" si="112"/>
        <v>7.1963786941738273E-2</v>
      </c>
      <c r="AV141" s="202"/>
      <c r="AW141" s="261">
        <v>5.62378</v>
      </c>
      <c r="AX141" s="203">
        <f t="shared" si="113"/>
        <v>0.15340856393710223</v>
      </c>
      <c r="AY141" s="204">
        <f t="shared" si="114"/>
        <v>5.8658113385501552E-3</v>
      </c>
      <c r="BA141" s="191">
        <f t="shared" si="98"/>
        <v>1109.9165999999998</v>
      </c>
      <c r="BB141" s="189">
        <f t="shared" si="99"/>
        <v>31.20569106830207</v>
      </c>
      <c r="BC141" s="190">
        <f t="shared" si="115"/>
        <v>8.52018562652955E-2</v>
      </c>
    </row>
    <row r="142" spans="3:55">
      <c r="C142" s="188" t="s">
        <v>374</v>
      </c>
      <c r="D142" s="210">
        <v>6666020301</v>
      </c>
      <c r="E142" s="259">
        <v>0</v>
      </c>
      <c r="F142" s="203">
        <f t="shared" si="101"/>
        <v>0</v>
      </c>
      <c r="G142" s="204">
        <f t="shared" si="102"/>
        <v>0</v>
      </c>
      <c r="H142" s="201"/>
      <c r="I142" s="260">
        <v>1.779E-2</v>
      </c>
      <c r="J142" s="203">
        <f t="shared" si="103"/>
        <v>5.3480597876408406E-4</v>
      </c>
      <c r="K142" s="204">
        <f t="shared" si="104"/>
        <v>2.7076041857233906E-5</v>
      </c>
      <c r="M142" s="261">
        <v>1.779E-2</v>
      </c>
      <c r="N142" s="203">
        <f t="shared" si="105"/>
        <v>5.1087072012956998E-4</v>
      </c>
      <c r="O142" s="204">
        <f t="shared" si="106"/>
        <v>2.5496367726185058E-5</v>
      </c>
      <c r="P142" s="202"/>
      <c r="Q142" s="261">
        <v>1.779E-2</v>
      </c>
      <c r="R142" s="203">
        <f t="shared" si="107"/>
        <v>5.1278947095345986E-4</v>
      </c>
      <c r="S142" s="204">
        <f t="shared" si="108"/>
        <v>1.8285827869823481E-5</v>
      </c>
      <c r="T142" s="202"/>
      <c r="U142" s="261">
        <v>0</v>
      </c>
      <c r="V142" s="203">
        <f t="shared" si="82"/>
        <v>0</v>
      </c>
      <c r="W142" s="204">
        <f t="shared" si="83"/>
        <v>0</v>
      </c>
      <c r="X142" s="202"/>
      <c r="Y142" s="261">
        <v>3.5569999999999997E-2</v>
      </c>
      <c r="Z142" s="203">
        <f t="shared" si="84"/>
        <v>1.0143526479537567E-3</v>
      </c>
      <c r="AA142" s="204">
        <f t="shared" si="85"/>
        <v>3.274640521544927E-5</v>
      </c>
      <c r="AB142" s="202"/>
      <c r="AC142" s="261">
        <v>1.779E-2</v>
      </c>
      <c r="AD142" s="203">
        <f t="shared" si="109"/>
        <v>4.9836260291509905E-4</v>
      </c>
      <c r="AE142" s="204">
        <f t="shared" si="110"/>
        <v>1.4454929457757319E-5</v>
      </c>
      <c r="AF142" s="202"/>
      <c r="AG142" s="261">
        <v>57.167079999999999</v>
      </c>
      <c r="AH142" s="203">
        <f t="shared" si="88"/>
        <v>1.5404847237117958</v>
      </c>
      <c r="AI142" s="204">
        <f t="shared" si="89"/>
        <v>6.0226942048314795E-2</v>
      </c>
      <c r="AJ142" s="202"/>
      <c r="AK142" s="261">
        <v>2.2269999999999998E-2</v>
      </c>
      <c r="AL142" s="203">
        <f t="shared" si="90"/>
        <v>5.8878235347512757E-4</v>
      </c>
      <c r="AM142" s="204">
        <f t="shared" si="91"/>
        <v>1.4681387230079982E-5</v>
      </c>
      <c r="AN142" s="202"/>
      <c r="AO142" s="261">
        <v>29.512930000000001</v>
      </c>
      <c r="AP142" s="203">
        <f t="shared" si="92"/>
        <v>0.79022909630529214</v>
      </c>
      <c r="AQ142" s="204">
        <f t="shared" si="93"/>
        <v>1.918637182376216E-2</v>
      </c>
      <c r="AR142" s="202"/>
      <c r="AS142" s="261">
        <v>11.543899999999999</v>
      </c>
      <c r="AT142" s="203">
        <f t="shared" si="111"/>
        <v>0.31520299696644521</v>
      </c>
      <c r="AU142" s="204">
        <f t="shared" si="112"/>
        <v>7.31159816670019E-3</v>
      </c>
      <c r="AV142" s="202"/>
      <c r="AW142" s="261">
        <v>11.961150000000002</v>
      </c>
      <c r="AX142" s="203">
        <f t="shared" si="113"/>
        <v>0.32628282837100142</v>
      </c>
      <c r="AY142" s="204">
        <f t="shared" si="114"/>
        <v>1.2475923541123445E-2</v>
      </c>
      <c r="BA142" s="191">
        <f t="shared" si="98"/>
        <v>110.31406000000003</v>
      </c>
      <c r="BB142" s="189">
        <f t="shared" si="99"/>
        <v>2.9758596091287259</v>
      </c>
      <c r="BC142" s="190">
        <f t="shared" si="115"/>
        <v>8.1250808427130901E-3</v>
      </c>
    </row>
    <row r="143" spans="3:55">
      <c r="C143" s="188" t="s">
        <v>375</v>
      </c>
      <c r="D143" s="210">
        <v>6666020401</v>
      </c>
      <c r="E143" s="259">
        <v>0</v>
      </c>
      <c r="F143" s="203">
        <f t="shared" si="101"/>
        <v>0</v>
      </c>
      <c r="G143" s="204">
        <f t="shared" si="102"/>
        <v>0</v>
      </c>
      <c r="H143" s="201"/>
      <c r="I143" s="260">
        <v>75.970709999999997</v>
      </c>
      <c r="J143" s="203">
        <f t="shared" si="103"/>
        <v>2.2838442899917024</v>
      </c>
      <c r="K143" s="204">
        <f t="shared" si="104"/>
        <v>0.11562597660954346</v>
      </c>
      <c r="M143" s="261">
        <v>42.885240000000003</v>
      </c>
      <c r="N143" s="203">
        <f t="shared" si="105"/>
        <v>1.2315240832900192</v>
      </c>
      <c r="O143" s="204">
        <f t="shared" si="106"/>
        <v>6.1462498542197895E-2</v>
      </c>
      <c r="P143" s="202"/>
      <c r="Q143" s="261">
        <v>27.931249999999999</v>
      </c>
      <c r="R143" s="203">
        <f t="shared" si="107"/>
        <v>0.80510685275822513</v>
      </c>
      <c r="S143" s="204">
        <f t="shared" si="108"/>
        <v>2.8709726233221308E-2</v>
      </c>
      <c r="T143" s="202"/>
      <c r="U143" s="261">
        <v>44.955280000000002</v>
      </c>
      <c r="V143" s="203">
        <f t="shared" si="82"/>
        <v>1.2895764547266964</v>
      </c>
      <c r="W143" s="204">
        <f t="shared" si="83"/>
        <v>3.1611914858231518E-2</v>
      </c>
      <c r="X143" s="202"/>
      <c r="Y143" s="261">
        <v>42.138500000000001</v>
      </c>
      <c r="Z143" s="203">
        <f t="shared" si="84"/>
        <v>1.2016671086814557</v>
      </c>
      <c r="AA143" s="204">
        <f t="shared" si="85"/>
        <v>3.8793488787495341E-2</v>
      </c>
      <c r="AB143" s="202"/>
      <c r="AC143" s="261">
        <v>57.117710000000002</v>
      </c>
      <c r="AD143" s="203">
        <f t="shared" si="109"/>
        <v>1.600074796410893</v>
      </c>
      <c r="AE143" s="204">
        <f t="shared" si="110"/>
        <v>4.6409919552481159E-2</v>
      </c>
      <c r="AF143" s="202"/>
      <c r="AG143" s="261">
        <v>42.984949999999998</v>
      </c>
      <c r="AH143" s="203">
        <f t="shared" si="88"/>
        <v>1.15831801842101</v>
      </c>
      <c r="AI143" s="204">
        <f t="shared" si="89"/>
        <v>4.52857150059039E-2</v>
      </c>
      <c r="AJ143" s="202"/>
      <c r="AK143" s="261">
        <v>31.076449999999998</v>
      </c>
      <c r="AL143" s="203">
        <f t="shared" si="90"/>
        <v>0.82161047905936813</v>
      </c>
      <c r="AM143" s="204">
        <f t="shared" si="91"/>
        <v>2.0486995787436867E-2</v>
      </c>
      <c r="AN143" s="202"/>
      <c r="AO143" s="261">
        <v>66.237549999999999</v>
      </c>
      <c r="AP143" s="203">
        <f t="shared" si="92"/>
        <v>1.7735561761565728</v>
      </c>
      <c r="AQ143" s="204">
        <f t="shared" si="93"/>
        <v>4.3061067233752713E-2</v>
      </c>
      <c r="AR143" s="202"/>
      <c r="AS143" s="261">
        <v>50.403129999999997</v>
      </c>
      <c r="AT143" s="203">
        <f t="shared" si="111"/>
        <v>1.3762435253674532</v>
      </c>
      <c r="AU143" s="204">
        <f t="shared" si="112"/>
        <v>3.1923997340929093E-2</v>
      </c>
      <c r="AV143" s="202"/>
      <c r="AW143" s="261">
        <v>53.704320000000003</v>
      </c>
      <c r="AX143" s="203">
        <f t="shared" si="113"/>
        <v>1.4649759785088674</v>
      </c>
      <c r="AY143" s="204">
        <f t="shared" si="114"/>
        <v>5.6015599682975849E-2</v>
      </c>
      <c r="BA143" s="191">
        <f t="shared" si="98"/>
        <v>535.40508999999997</v>
      </c>
      <c r="BB143" s="189">
        <f t="shared" si="99"/>
        <v>15.006497763372263</v>
      </c>
      <c r="BC143" s="190">
        <f t="shared" si="115"/>
        <v>4.0972701507612876E-2</v>
      </c>
    </row>
    <row r="144" spans="3:55">
      <c r="C144" s="188" t="s">
        <v>376</v>
      </c>
      <c r="D144" s="210">
        <v>6666020403</v>
      </c>
      <c r="E144" s="259">
        <v>9.4136900000000008</v>
      </c>
      <c r="F144" s="203">
        <f t="shared" si="101"/>
        <v>0.28685844011396711</v>
      </c>
      <c r="G144" s="204">
        <f t="shared" si="102"/>
        <v>1.7878369592643634E-2</v>
      </c>
      <c r="H144" s="201"/>
      <c r="I144" s="260">
        <v>15.53097</v>
      </c>
      <c r="J144" s="203">
        <f t="shared" si="103"/>
        <v>0.4668946381116148</v>
      </c>
      <c r="K144" s="204">
        <f t="shared" si="104"/>
        <v>2.363784113566296E-2</v>
      </c>
      <c r="M144" s="261">
        <v>15.613799999999999</v>
      </c>
      <c r="N144" s="203">
        <f t="shared" si="105"/>
        <v>0.4483773608745969</v>
      </c>
      <c r="O144" s="204">
        <f t="shared" si="106"/>
        <v>2.2377469724739078E-2</v>
      </c>
      <c r="P144" s="202"/>
      <c r="Q144" s="261">
        <v>18.826150000000002</v>
      </c>
      <c r="R144" s="203">
        <f t="shared" si="107"/>
        <v>0.54265607074707578</v>
      </c>
      <c r="S144" s="204">
        <f t="shared" si="108"/>
        <v>1.9350856568379836E-2</v>
      </c>
      <c r="T144" s="202"/>
      <c r="U144" s="261">
        <v>14.818199999999999</v>
      </c>
      <c r="V144" s="203">
        <f t="shared" si="82"/>
        <v>0.42507135583253247</v>
      </c>
      <c r="W144" s="204">
        <f t="shared" si="83"/>
        <v>1.0419947929414435E-2</v>
      </c>
      <c r="X144" s="202"/>
      <c r="Y144" s="261">
        <v>17.23715</v>
      </c>
      <c r="Z144" s="203">
        <f t="shared" si="84"/>
        <v>0.49155323996840311</v>
      </c>
      <c r="AA144" s="204">
        <f t="shared" si="85"/>
        <v>1.5868841682864253E-2</v>
      </c>
      <c r="AB144" s="202"/>
      <c r="AC144" s="261">
        <v>16.653849999999998</v>
      </c>
      <c r="AD144" s="203">
        <f t="shared" si="109"/>
        <v>0.46653490919379548</v>
      </c>
      <c r="AE144" s="204">
        <f t="shared" si="110"/>
        <v>1.3531772172572887E-2</v>
      </c>
      <c r="AF144" s="202"/>
      <c r="AG144" s="261">
        <v>16.5197</v>
      </c>
      <c r="AH144" s="203">
        <f t="shared" si="88"/>
        <v>0.44515734388220901</v>
      </c>
      <c r="AI144" s="204">
        <f t="shared" si="89"/>
        <v>1.7403915235053916E-2</v>
      </c>
      <c r="AJ144" s="202"/>
      <c r="AK144" s="261">
        <v>14.799569999999999</v>
      </c>
      <c r="AL144" s="203">
        <f t="shared" si="90"/>
        <v>0.39127641019397819</v>
      </c>
      <c r="AM144" s="204">
        <f t="shared" si="91"/>
        <v>9.7565432424191641E-3</v>
      </c>
      <c r="AN144" s="202"/>
      <c r="AO144" s="261">
        <v>11.794930000000001</v>
      </c>
      <c r="AP144" s="203">
        <f t="shared" si="92"/>
        <v>0.31581740189415891</v>
      </c>
      <c r="AQ144" s="204">
        <f t="shared" si="93"/>
        <v>7.6678903997416401E-3</v>
      </c>
      <c r="AR144" s="202"/>
      <c r="AS144" s="261">
        <v>8.4107800000000008</v>
      </c>
      <c r="AT144" s="203">
        <f t="shared" si="111"/>
        <v>0.22965402184923972</v>
      </c>
      <c r="AU144" s="204">
        <f t="shared" si="112"/>
        <v>5.3271635780384992E-3</v>
      </c>
      <c r="AV144" s="202"/>
      <c r="AW144" s="261">
        <v>23.724319999999999</v>
      </c>
      <c r="AX144" s="203">
        <f t="shared" si="113"/>
        <v>0.64716504941236552</v>
      </c>
      <c r="AY144" s="204">
        <f t="shared" si="114"/>
        <v>2.4745346591686059E-2</v>
      </c>
      <c r="BA144" s="191">
        <f t="shared" si="98"/>
        <v>183.34311000000002</v>
      </c>
      <c r="BB144" s="189">
        <f t="shared" si="99"/>
        <v>5.1570162420739374</v>
      </c>
      <c r="BC144" s="190">
        <f t="shared" si="115"/>
        <v>1.4080359754035258E-2</v>
      </c>
    </row>
    <row r="145" spans="3:55">
      <c r="C145" s="188" t="s">
        <v>377</v>
      </c>
      <c r="D145" s="210">
        <v>6666020405</v>
      </c>
      <c r="E145" s="259">
        <v>0</v>
      </c>
      <c r="F145" s="203">
        <f t="shared" si="101"/>
        <v>0</v>
      </c>
      <c r="G145" s="204">
        <f t="shared" si="102"/>
        <v>0</v>
      </c>
      <c r="H145" s="201"/>
      <c r="I145" s="260">
        <v>0.50895000000000001</v>
      </c>
      <c r="J145" s="203">
        <f t="shared" si="103"/>
        <v>1.5300140690948882E-2</v>
      </c>
      <c r="K145" s="204">
        <f t="shared" si="104"/>
        <v>7.7461222615172543E-4</v>
      </c>
      <c r="M145" s="261">
        <v>0</v>
      </c>
      <c r="N145" s="203">
        <f t="shared" si="105"/>
        <v>0</v>
      </c>
      <c r="O145" s="204">
        <f t="shared" si="106"/>
        <v>0</v>
      </c>
      <c r="P145" s="202"/>
      <c r="Q145" s="261">
        <v>0</v>
      </c>
      <c r="R145" s="203">
        <f t="shared" si="107"/>
        <v>0</v>
      </c>
      <c r="S145" s="204">
        <f t="shared" si="108"/>
        <v>0</v>
      </c>
      <c r="T145" s="202"/>
      <c r="U145" s="261">
        <v>0</v>
      </c>
      <c r="V145" s="203">
        <f t="shared" si="82"/>
        <v>0</v>
      </c>
      <c r="W145" s="204">
        <f t="shared" si="83"/>
        <v>0</v>
      </c>
      <c r="X145" s="202"/>
      <c r="Y145" s="261">
        <v>0.16071000000000002</v>
      </c>
      <c r="Z145" s="203">
        <f t="shared" si="84"/>
        <v>4.5829804344292456E-3</v>
      </c>
      <c r="AA145" s="204">
        <f t="shared" si="85"/>
        <v>1.4795262249577885E-4</v>
      </c>
      <c r="AB145" s="202"/>
      <c r="AC145" s="261">
        <v>0</v>
      </c>
      <c r="AD145" s="203">
        <f t="shared" si="109"/>
        <v>0</v>
      </c>
      <c r="AE145" s="204">
        <f t="shared" si="110"/>
        <v>0</v>
      </c>
      <c r="AF145" s="202"/>
      <c r="AG145" s="261">
        <v>0</v>
      </c>
      <c r="AH145" s="203">
        <f t="shared" si="88"/>
        <v>0</v>
      </c>
      <c r="AI145" s="204">
        <f t="shared" si="89"/>
        <v>0</v>
      </c>
      <c r="AJ145" s="202"/>
      <c r="AK145" s="261">
        <v>0</v>
      </c>
      <c r="AL145" s="203">
        <f t="shared" si="90"/>
        <v>0</v>
      </c>
      <c r="AM145" s="204">
        <f t="shared" si="91"/>
        <v>0</v>
      </c>
      <c r="AN145" s="202"/>
      <c r="AO145" s="261">
        <v>0</v>
      </c>
      <c r="AP145" s="203">
        <f t="shared" si="92"/>
        <v>0</v>
      </c>
      <c r="AQ145" s="204">
        <f t="shared" si="93"/>
        <v>0</v>
      </c>
      <c r="AR145" s="202"/>
      <c r="AS145" s="261">
        <v>0</v>
      </c>
      <c r="AT145" s="203">
        <f t="shared" si="111"/>
        <v>0</v>
      </c>
      <c r="AU145" s="204">
        <f t="shared" si="112"/>
        <v>0</v>
      </c>
      <c r="AV145" s="202"/>
      <c r="AW145" s="261">
        <v>0</v>
      </c>
      <c r="AX145" s="203">
        <f t="shared" si="113"/>
        <v>0</v>
      </c>
      <c r="AY145" s="204">
        <f t="shared" si="114"/>
        <v>0</v>
      </c>
      <c r="BA145" s="191">
        <f t="shared" si="98"/>
        <v>0.66966000000000003</v>
      </c>
      <c r="BB145" s="189">
        <f t="shared" si="99"/>
        <v>1.9883121125378128E-2</v>
      </c>
      <c r="BC145" s="190">
        <f t="shared" si="115"/>
        <v>5.4287495973794638E-5</v>
      </c>
    </row>
    <row r="146" spans="3:55">
      <c r="C146" s="188" t="s">
        <v>378</v>
      </c>
      <c r="D146" s="210">
        <v>6666020495</v>
      </c>
      <c r="E146" s="259">
        <v>0.66297000000000006</v>
      </c>
      <c r="F146" s="203">
        <f t="shared" si="101"/>
        <v>2.0202337238888975E-2</v>
      </c>
      <c r="G146" s="204">
        <f t="shared" si="102"/>
        <v>1.259104845053847E-3</v>
      </c>
      <c r="H146" s="201"/>
      <c r="I146" s="260">
        <v>8.1878799999999998</v>
      </c>
      <c r="J146" s="203">
        <f t="shared" si="103"/>
        <v>0.24614542874664805</v>
      </c>
      <c r="K146" s="204">
        <f t="shared" si="104"/>
        <v>1.2461797729174162E-2</v>
      </c>
      <c r="M146" s="261">
        <v>1.1265099999999999</v>
      </c>
      <c r="N146" s="203">
        <f t="shared" si="105"/>
        <v>3.2349689428508251E-2</v>
      </c>
      <c r="O146" s="204">
        <f t="shared" si="106"/>
        <v>1.6144976507714854E-3</v>
      </c>
      <c r="P146" s="202"/>
      <c r="Q146" s="261">
        <v>3.9309799999999995</v>
      </c>
      <c r="R146" s="203">
        <f t="shared" si="107"/>
        <v>0.1133088900803053</v>
      </c>
      <c r="S146" s="204">
        <f t="shared" si="108"/>
        <v>4.0405409578256717E-3</v>
      </c>
      <c r="T146" s="202"/>
      <c r="U146" s="261">
        <v>6.9115200000000003</v>
      </c>
      <c r="V146" s="203">
        <f t="shared" si="82"/>
        <v>0.19826221654881598</v>
      </c>
      <c r="W146" s="204">
        <f t="shared" si="83"/>
        <v>4.8600827707215768E-3</v>
      </c>
      <c r="X146" s="202"/>
      <c r="Y146" s="261">
        <v>2.89995</v>
      </c>
      <c r="Z146" s="203">
        <f t="shared" si="84"/>
        <v>8.2698115305974054E-2</v>
      </c>
      <c r="AA146" s="204">
        <f t="shared" si="85"/>
        <v>2.6697480406112492E-3</v>
      </c>
      <c r="AB146" s="202"/>
      <c r="AC146" s="261">
        <v>1.17292</v>
      </c>
      <c r="AD146" s="203">
        <f t="shared" si="109"/>
        <v>3.2857755155209556E-2</v>
      </c>
      <c r="AE146" s="204">
        <f t="shared" si="110"/>
        <v>9.5303405618846063E-4</v>
      </c>
      <c r="AF146" s="202"/>
      <c r="AG146" s="261">
        <v>4.6555099999999996</v>
      </c>
      <c r="AH146" s="203">
        <f t="shared" si="88"/>
        <v>0.1254523063988488</v>
      </c>
      <c r="AI146" s="204">
        <f t="shared" si="89"/>
        <v>4.9046956915649699E-3</v>
      </c>
      <c r="AJ146" s="202"/>
      <c r="AK146" s="261">
        <v>1.1175700000000002</v>
      </c>
      <c r="AL146" s="203">
        <f t="shared" si="90"/>
        <v>2.9546721812896207E-2</v>
      </c>
      <c r="AM146" s="204">
        <f t="shared" si="91"/>
        <v>7.3675248885139157E-4</v>
      </c>
      <c r="AN146" s="202"/>
      <c r="AO146" s="261">
        <v>3.7786000000000004</v>
      </c>
      <c r="AP146" s="203">
        <f t="shared" si="92"/>
        <v>0.10117462628411265</v>
      </c>
      <c r="AQ146" s="204">
        <f t="shared" si="93"/>
        <v>2.4564699124508377E-3</v>
      </c>
      <c r="AR146" s="202"/>
      <c r="AS146" s="261">
        <v>3.4900724999999997</v>
      </c>
      <c r="AT146" s="203">
        <f t="shared" si="111"/>
        <v>9.5295464412388689E-2</v>
      </c>
      <c r="AU146" s="204">
        <f t="shared" si="112"/>
        <v>2.2105187755135395E-3</v>
      </c>
      <c r="AV146" s="202"/>
      <c r="AW146" s="261">
        <v>2.9584099999999998</v>
      </c>
      <c r="AX146" s="203">
        <f t="shared" si="113"/>
        <v>8.0701135115022735E-2</v>
      </c>
      <c r="AY146" s="204">
        <f t="shared" si="114"/>
        <v>3.0857314692395799E-3</v>
      </c>
      <c r="BA146" s="191">
        <f t="shared" si="98"/>
        <v>40.892892500000002</v>
      </c>
      <c r="BB146" s="189">
        <f t="shared" si="99"/>
        <v>1.1579946865276192</v>
      </c>
      <c r="BC146" s="190">
        <f t="shared" si="115"/>
        <v>3.1617084403466949E-3</v>
      </c>
    </row>
    <row r="147" spans="3:55">
      <c r="C147" s="188" t="s">
        <v>379</v>
      </c>
      <c r="D147" s="210">
        <v>6666020502</v>
      </c>
      <c r="E147" s="259">
        <v>22.013740000000002</v>
      </c>
      <c r="F147" s="203">
        <f t="shared" si="101"/>
        <v>0.67081315801502306</v>
      </c>
      <c r="G147" s="204">
        <f t="shared" si="102"/>
        <v>4.1808236710191522E-2</v>
      </c>
      <c r="H147" s="201"/>
      <c r="I147" s="260">
        <v>32.177080000000004</v>
      </c>
      <c r="J147" s="203">
        <f t="shared" si="103"/>
        <v>0.96731280287634835</v>
      </c>
      <c r="K147" s="204">
        <f t="shared" si="104"/>
        <v>4.897290415534368E-2</v>
      </c>
      <c r="M147" s="261">
        <v>74.282089999999997</v>
      </c>
      <c r="N147" s="203">
        <f t="shared" si="105"/>
        <v>2.1331391124805803</v>
      </c>
      <c r="O147" s="204">
        <f t="shared" si="106"/>
        <v>0.10646000461549035</v>
      </c>
      <c r="P147" s="202"/>
      <c r="Q147" s="261">
        <v>9.5251599999999996</v>
      </c>
      <c r="R147" s="203">
        <f t="shared" si="107"/>
        <v>0.27455883963727135</v>
      </c>
      <c r="S147" s="204">
        <f t="shared" si="108"/>
        <v>9.790637222739056E-3</v>
      </c>
      <c r="T147" s="202"/>
      <c r="U147" s="261">
        <v>82.772985000000006</v>
      </c>
      <c r="V147" s="203">
        <f t="shared" si="82"/>
        <v>2.3744061330158774</v>
      </c>
      <c r="W147" s="204">
        <f t="shared" si="83"/>
        <v>5.8204788278077103E-2</v>
      </c>
      <c r="X147" s="202"/>
      <c r="Y147" s="261">
        <v>9.4677199999999981</v>
      </c>
      <c r="Z147" s="203">
        <f t="shared" si="84"/>
        <v>0.26999175856296709</v>
      </c>
      <c r="AA147" s="204">
        <f t="shared" si="85"/>
        <v>8.7161595610462002E-3</v>
      </c>
      <c r="AB147" s="202"/>
      <c r="AC147" s="261">
        <v>53.389249999999997</v>
      </c>
      <c r="AD147" s="203">
        <f t="shared" si="109"/>
        <v>1.4956270712582884</v>
      </c>
      <c r="AE147" s="204">
        <f t="shared" si="110"/>
        <v>4.3380429598233267E-2</v>
      </c>
      <c r="AF147" s="202"/>
      <c r="AG147" s="261">
        <v>97.271564999999995</v>
      </c>
      <c r="AH147" s="203">
        <f t="shared" si="88"/>
        <v>2.6211826795078386</v>
      </c>
      <c r="AI147" s="204">
        <f t="shared" si="89"/>
        <v>0.10247801546281329</v>
      </c>
      <c r="AJ147" s="202"/>
      <c r="AK147" s="261">
        <v>64.269329999999997</v>
      </c>
      <c r="AL147" s="203">
        <f t="shared" si="90"/>
        <v>1.6991759036223451</v>
      </c>
      <c r="AM147" s="204">
        <f t="shared" si="91"/>
        <v>4.2369237572869166E-2</v>
      </c>
      <c r="AN147" s="202"/>
      <c r="AO147" s="261">
        <v>59.342770000000002</v>
      </c>
      <c r="AP147" s="203">
        <f t="shared" si="92"/>
        <v>1.588943676868166</v>
      </c>
      <c r="AQ147" s="204">
        <f t="shared" si="93"/>
        <v>3.8578767010662728E-2</v>
      </c>
      <c r="AR147" s="202"/>
      <c r="AS147" s="261">
        <v>53.554949999999998</v>
      </c>
      <c r="AT147" s="203">
        <f t="shared" si="111"/>
        <v>1.4623030988130636</v>
      </c>
      <c r="AU147" s="204">
        <f t="shared" si="112"/>
        <v>3.3920276010509481E-2</v>
      </c>
      <c r="AV147" s="202"/>
      <c r="AW147" s="261">
        <v>46.846250000000005</v>
      </c>
      <c r="AX147" s="203">
        <f t="shared" si="113"/>
        <v>1.2778977730882921</v>
      </c>
      <c r="AY147" s="204">
        <f t="shared" si="114"/>
        <v>4.886237804795978E-2</v>
      </c>
      <c r="BA147" s="191">
        <f t="shared" si="98"/>
        <v>604.91289000000006</v>
      </c>
      <c r="BB147" s="189">
        <f t="shared" si="99"/>
        <v>16.835352007746064</v>
      </c>
      <c r="BC147" s="190">
        <f t="shared" si="115"/>
        <v>4.5966078392561664E-2</v>
      </c>
    </row>
    <row r="148" spans="3:55">
      <c r="C148" s="188" t="s">
        <v>380</v>
      </c>
      <c r="D148" s="210">
        <v>6666020503</v>
      </c>
      <c r="E148" s="259">
        <v>8.5254999999999992</v>
      </c>
      <c r="F148" s="203">
        <f t="shared" si="101"/>
        <v>0.25979309188975058</v>
      </c>
      <c r="G148" s="204">
        <f t="shared" si="102"/>
        <v>1.6191529566204461E-2</v>
      </c>
      <c r="H148" s="201"/>
      <c r="I148" s="260">
        <v>11.14944</v>
      </c>
      <c r="J148" s="203">
        <f t="shared" si="103"/>
        <v>0.33517634468079988</v>
      </c>
      <c r="K148" s="204">
        <f t="shared" si="104"/>
        <v>1.6969235757432151E-2</v>
      </c>
      <c r="M148" s="261">
        <v>-0.38067000000000006</v>
      </c>
      <c r="N148" s="203">
        <f t="shared" si="105"/>
        <v>-1.0931599608303734E-2</v>
      </c>
      <c r="O148" s="204">
        <f t="shared" si="106"/>
        <v>-5.4557067466705269E-4</v>
      </c>
      <c r="P148" s="202"/>
      <c r="Q148" s="261">
        <v>7.1135399999999995</v>
      </c>
      <c r="R148" s="203">
        <f t="shared" si="107"/>
        <v>0.20504487988792999</v>
      </c>
      <c r="S148" s="204">
        <f t="shared" si="108"/>
        <v>7.3118025848849981E-3</v>
      </c>
      <c r="T148" s="202"/>
      <c r="U148" s="261">
        <v>6.5743299999999998</v>
      </c>
      <c r="V148" s="203">
        <f t="shared" si="82"/>
        <v>0.18858966452001547</v>
      </c>
      <c r="W148" s="204">
        <f t="shared" si="83"/>
        <v>4.6229755483653346E-3</v>
      </c>
      <c r="X148" s="202"/>
      <c r="Y148" s="261">
        <v>5.4369700000000005</v>
      </c>
      <c r="Z148" s="203">
        <f t="shared" si="84"/>
        <v>0.15504652562117338</v>
      </c>
      <c r="AA148" s="204">
        <f t="shared" si="85"/>
        <v>5.0053759562620542E-3</v>
      </c>
      <c r="AB148" s="202"/>
      <c r="AC148" s="261">
        <v>5.2120899999999999</v>
      </c>
      <c r="AD148" s="203">
        <f t="shared" si="109"/>
        <v>0.14600959747204939</v>
      </c>
      <c r="AE148" s="204">
        <f t="shared" si="110"/>
        <v>4.2349855692795021E-3</v>
      </c>
      <c r="AF148" s="202"/>
      <c r="AG148" s="261">
        <v>11.589079999999999</v>
      </c>
      <c r="AH148" s="203">
        <f t="shared" si="88"/>
        <v>0.31229163186004771</v>
      </c>
      <c r="AI148" s="204">
        <f t="shared" si="89"/>
        <v>1.220938430917381E-2</v>
      </c>
      <c r="AJ148" s="202"/>
      <c r="AK148" s="261">
        <v>3.9464000000000001</v>
      </c>
      <c r="AL148" s="203">
        <f t="shared" si="90"/>
        <v>0.10433635742048693</v>
      </c>
      <c r="AM148" s="204">
        <f t="shared" si="91"/>
        <v>2.6016446593977393E-3</v>
      </c>
      <c r="AN148" s="202"/>
      <c r="AO148" s="261">
        <v>3.0442800000000001</v>
      </c>
      <c r="AP148" s="203">
        <f t="shared" si="92"/>
        <v>8.1512700816227829E-2</v>
      </c>
      <c r="AQ148" s="204">
        <f t="shared" si="93"/>
        <v>1.9790880815846704E-3</v>
      </c>
      <c r="AR148" s="202"/>
      <c r="AS148" s="261">
        <v>4.8652100000000003</v>
      </c>
      <c r="AT148" s="203">
        <f t="shared" si="111"/>
        <v>0.13284321354751158</v>
      </c>
      <c r="AU148" s="204">
        <f t="shared" si="112"/>
        <v>3.0814941671888558E-3</v>
      </c>
      <c r="AV148" s="202"/>
      <c r="AW148" s="261">
        <v>49.07114</v>
      </c>
      <c r="AX148" s="203">
        <f t="shared" si="113"/>
        <v>1.3385895462049537</v>
      </c>
      <c r="AY148" s="204">
        <f t="shared" si="114"/>
        <v>5.1183020923219275E-2</v>
      </c>
      <c r="BA148" s="191">
        <f t="shared" si="98"/>
        <v>116.14731</v>
      </c>
      <c r="BB148" s="189">
        <f t="shared" si="99"/>
        <v>3.2483019543126428</v>
      </c>
      <c r="BC148" s="190">
        <f t="shared" si="115"/>
        <v>8.8689385411096135E-3</v>
      </c>
    </row>
    <row r="149" spans="3:55">
      <c r="C149" s="188" t="s">
        <v>381</v>
      </c>
      <c r="D149" s="210">
        <v>6666020504</v>
      </c>
      <c r="E149" s="259">
        <v>0</v>
      </c>
      <c r="F149" s="203">
        <f t="shared" si="101"/>
        <v>0</v>
      </c>
      <c r="G149" s="204">
        <f t="shared" si="102"/>
        <v>0</v>
      </c>
      <c r="H149" s="201"/>
      <c r="I149" s="260">
        <v>0</v>
      </c>
      <c r="J149" s="203">
        <f t="shared" si="103"/>
        <v>0</v>
      </c>
      <c r="K149" s="204">
        <f t="shared" si="104"/>
        <v>0</v>
      </c>
      <c r="M149" s="261">
        <v>0</v>
      </c>
      <c r="N149" s="203">
        <f t="shared" si="105"/>
        <v>0</v>
      </c>
      <c r="O149" s="204">
        <f t="shared" si="106"/>
        <v>0</v>
      </c>
      <c r="P149" s="202"/>
      <c r="Q149" s="261">
        <v>0</v>
      </c>
      <c r="R149" s="203">
        <f t="shared" si="107"/>
        <v>0</v>
      </c>
      <c r="S149" s="204">
        <f t="shared" si="108"/>
        <v>0</v>
      </c>
      <c r="T149" s="202"/>
      <c r="U149" s="261">
        <v>2.1188699999999998</v>
      </c>
      <c r="V149" s="203">
        <f t="shared" si="82"/>
        <v>6.078140015203453E-2</v>
      </c>
      <c r="W149" s="204">
        <f t="shared" si="83"/>
        <v>1.4899593114682192E-3</v>
      </c>
      <c r="X149" s="202"/>
      <c r="Y149" s="261">
        <v>1.8162</v>
      </c>
      <c r="Z149" s="203">
        <f t="shared" si="84"/>
        <v>5.1792726432769554E-2</v>
      </c>
      <c r="AA149" s="204">
        <f t="shared" si="85"/>
        <v>1.6720275837025296E-3</v>
      </c>
      <c r="AB149" s="202"/>
      <c r="AC149" s="261">
        <v>0</v>
      </c>
      <c r="AD149" s="203">
        <f t="shared" si="109"/>
        <v>0</v>
      </c>
      <c r="AE149" s="204">
        <f t="shared" si="110"/>
        <v>0</v>
      </c>
      <c r="AF149" s="202"/>
      <c r="AG149" s="261">
        <v>0</v>
      </c>
      <c r="AH149" s="203">
        <f t="shared" si="88"/>
        <v>0</v>
      </c>
      <c r="AI149" s="204">
        <f t="shared" si="89"/>
        <v>0</v>
      </c>
      <c r="AJ149" s="202"/>
      <c r="AK149" s="261">
        <v>0</v>
      </c>
      <c r="AL149" s="203">
        <f t="shared" si="90"/>
        <v>0</v>
      </c>
      <c r="AM149" s="204">
        <f t="shared" si="91"/>
        <v>0</v>
      </c>
      <c r="AN149" s="202"/>
      <c r="AO149" s="261">
        <v>0</v>
      </c>
      <c r="AP149" s="203">
        <f t="shared" si="92"/>
        <v>0</v>
      </c>
      <c r="AQ149" s="204">
        <f t="shared" si="93"/>
        <v>0</v>
      </c>
      <c r="AR149" s="202"/>
      <c r="AS149" s="261">
        <v>0</v>
      </c>
      <c r="AT149" s="203">
        <f t="shared" si="111"/>
        <v>0</v>
      </c>
      <c r="AU149" s="204">
        <f t="shared" si="112"/>
        <v>0</v>
      </c>
      <c r="AV149" s="202"/>
      <c r="AW149" s="261">
        <v>0</v>
      </c>
      <c r="AX149" s="203">
        <f t="shared" si="113"/>
        <v>0</v>
      </c>
      <c r="AY149" s="204">
        <f t="shared" si="114"/>
        <v>0</v>
      </c>
      <c r="BA149" s="191">
        <f t="shared" si="98"/>
        <v>3.9350699999999996</v>
      </c>
      <c r="BB149" s="189">
        <f t="shared" si="99"/>
        <v>0.11257412658480409</v>
      </c>
      <c r="BC149" s="190">
        <f t="shared" si="115"/>
        <v>3.0736459357608907E-4</v>
      </c>
    </row>
    <row r="150" spans="3:55">
      <c r="C150" s="188" t="s">
        <v>382</v>
      </c>
      <c r="D150" s="210">
        <v>6666020602</v>
      </c>
      <c r="E150" s="259">
        <v>0</v>
      </c>
      <c r="F150" s="203">
        <f t="shared" si="101"/>
        <v>0</v>
      </c>
      <c r="G150" s="204">
        <f t="shared" si="102"/>
        <v>0</v>
      </c>
      <c r="H150" s="201"/>
      <c r="I150" s="260">
        <v>-38.253720000000001</v>
      </c>
      <c r="J150" s="203">
        <f t="shared" si="103"/>
        <v>-1.1499897788626881</v>
      </c>
      <c r="K150" s="204">
        <f t="shared" si="104"/>
        <v>-5.8221434733833941E-2</v>
      </c>
      <c r="M150" s="261">
        <v>9.0972000000000008</v>
      </c>
      <c r="N150" s="203">
        <f t="shared" si="105"/>
        <v>0.26124188393269948</v>
      </c>
      <c r="O150" s="204">
        <f t="shared" si="106"/>
        <v>1.3037973944837026E-2</v>
      </c>
      <c r="P150" s="202"/>
      <c r="Q150" s="261">
        <v>-0.58160999999999996</v>
      </c>
      <c r="R150" s="203">
        <f t="shared" si="107"/>
        <v>-1.676467027550544E-2</v>
      </c>
      <c r="S150" s="204">
        <f t="shared" si="108"/>
        <v>-5.9782014319100809E-4</v>
      </c>
      <c r="T150" s="202"/>
      <c r="U150" s="261">
        <v>1.4079000000000002</v>
      </c>
      <c r="V150" s="203">
        <f t="shared" si="82"/>
        <v>4.0386684069362175E-2</v>
      </c>
      <c r="W150" s="204">
        <f t="shared" si="83"/>
        <v>9.9001529806741636E-4</v>
      </c>
      <c r="X150" s="202"/>
      <c r="Y150" s="261">
        <v>0</v>
      </c>
      <c r="Z150" s="203">
        <f t="shared" si="84"/>
        <v>0</v>
      </c>
      <c r="AA150" s="204">
        <f t="shared" si="85"/>
        <v>0</v>
      </c>
      <c r="AB150" s="202"/>
      <c r="AC150" s="261">
        <v>1.57033</v>
      </c>
      <c r="AD150" s="203">
        <f t="shared" si="109"/>
        <v>4.3990654650683955E-2</v>
      </c>
      <c r="AE150" s="204">
        <f t="shared" si="110"/>
        <v>1.2759420671950561E-3</v>
      </c>
      <c r="AF150" s="202"/>
      <c r="AG150" s="261">
        <v>0</v>
      </c>
      <c r="AH150" s="203">
        <f t="shared" si="88"/>
        <v>0</v>
      </c>
      <c r="AI150" s="204">
        <f t="shared" si="89"/>
        <v>0</v>
      </c>
      <c r="AJ150" s="202"/>
      <c r="AK150" s="261">
        <v>0</v>
      </c>
      <c r="AL150" s="203">
        <f t="shared" si="90"/>
        <v>0</v>
      </c>
      <c r="AM150" s="204">
        <f t="shared" si="91"/>
        <v>0</v>
      </c>
      <c r="AN150" s="202"/>
      <c r="AO150" s="261">
        <v>0</v>
      </c>
      <c r="AP150" s="203">
        <f t="shared" si="92"/>
        <v>0</v>
      </c>
      <c r="AQ150" s="204">
        <f t="shared" si="93"/>
        <v>0</v>
      </c>
      <c r="AR150" s="202"/>
      <c r="AS150" s="261">
        <v>0</v>
      </c>
      <c r="AT150" s="203">
        <f t="shared" si="111"/>
        <v>0</v>
      </c>
      <c r="AU150" s="204">
        <f t="shared" si="112"/>
        <v>0</v>
      </c>
      <c r="AV150" s="202"/>
      <c r="AW150" s="261">
        <v>0</v>
      </c>
      <c r="AX150" s="203">
        <f t="shared" si="113"/>
        <v>0</v>
      </c>
      <c r="AY150" s="204">
        <f t="shared" si="114"/>
        <v>0</v>
      </c>
      <c r="BA150" s="191">
        <f t="shared" si="98"/>
        <v>-26.759900000000002</v>
      </c>
      <c r="BB150" s="189">
        <f t="shared" si="99"/>
        <v>-0.8211352264854479</v>
      </c>
      <c r="BC150" s="190">
        <f t="shared" si="115"/>
        <v>-2.24197071579837E-3</v>
      </c>
    </row>
    <row r="151" spans="3:55">
      <c r="C151" s="188" t="s">
        <v>383</v>
      </c>
      <c r="D151" s="210">
        <v>6666020801</v>
      </c>
      <c r="E151" s="259">
        <v>51.530550000000005</v>
      </c>
      <c r="F151" s="203">
        <f t="shared" si="101"/>
        <v>1.5702634345527404</v>
      </c>
      <c r="G151" s="204">
        <f t="shared" si="102"/>
        <v>9.786621592725088E-2</v>
      </c>
      <c r="H151" s="201"/>
      <c r="I151" s="260">
        <v>47.754059999999996</v>
      </c>
      <c r="J151" s="203">
        <f t="shared" si="103"/>
        <v>1.4355906013636197</v>
      </c>
      <c r="K151" s="204">
        <f t="shared" si="104"/>
        <v>7.2680771636473254E-2</v>
      </c>
      <c r="M151" s="261">
        <v>55.532069999999997</v>
      </c>
      <c r="N151" s="203">
        <f t="shared" si="105"/>
        <v>1.5946997521745749</v>
      </c>
      <c r="O151" s="204">
        <f t="shared" si="106"/>
        <v>7.9587750270727911E-2</v>
      </c>
      <c r="P151" s="202"/>
      <c r="Q151" s="261">
        <v>41.387029999999996</v>
      </c>
      <c r="R151" s="203">
        <f t="shared" si="107"/>
        <v>1.1929642056231011</v>
      </c>
      <c r="S151" s="204">
        <f t="shared" si="108"/>
        <v>4.2540534380169782E-2</v>
      </c>
      <c r="T151" s="202"/>
      <c r="U151" s="261">
        <v>50.883150000000001</v>
      </c>
      <c r="V151" s="203">
        <f t="shared" si="82"/>
        <v>1.4596219216591844</v>
      </c>
      <c r="W151" s="204">
        <f t="shared" si="83"/>
        <v>3.5780308909623582E-2</v>
      </c>
      <c r="X151" s="202"/>
      <c r="Y151" s="261">
        <v>44.878099999999996</v>
      </c>
      <c r="Z151" s="203">
        <f t="shared" si="84"/>
        <v>1.2797925097029375</v>
      </c>
      <c r="AA151" s="204">
        <f t="shared" si="85"/>
        <v>4.1315615628323137E-2</v>
      </c>
      <c r="AB151" s="202"/>
      <c r="AC151" s="261">
        <v>54.356699999999996</v>
      </c>
      <c r="AD151" s="203">
        <f t="shared" si="109"/>
        <v>1.5227288644111954</v>
      </c>
      <c r="AE151" s="204">
        <f t="shared" si="110"/>
        <v>4.4166512875574888E-2</v>
      </c>
      <c r="AF151" s="202"/>
      <c r="AG151" s="261">
        <v>90.466679999999997</v>
      </c>
      <c r="AH151" s="203">
        <f t="shared" si="88"/>
        <v>2.437811036437814</v>
      </c>
      <c r="AI151" s="204">
        <f t="shared" si="89"/>
        <v>9.5308899696528809E-2</v>
      </c>
      <c r="AJ151" s="202"/>
      <c r="AK151" s="261">
        <v>47.761519999999997</v>
      </c>
      <c r="AL151" s="203">
        <f t="shared" si="90"/>
        <v>1.2627364234912157</v>
      </c>
      <c r="AM151" s="204">
        <f t="shared" si="91"/>
        <v>3.1486545568801511E-2</v>
      </c>
      <c r="AN151" s="202"/>
      <c r="AO151" s="261">
        <v>51.121360000000003</v>
      </c>
      <c r="AP151" s="203">
        <f t="shared" si="92"/>
        <v>1.3688097425331036</v>
      </c>
      <c r="AQ151" s="204">
        <f t="shared" si="93"/>
        <v>3.3234023903977075E-2</v>
      </c>
      <c r="AR151" s="202"/>
      <c r="AS151" s="261">
        <v>58.33905</v>
      </c>
      <c r="AT151" s="203">
        <f t="shared" si="111"/>
        <v>1.5929316262420237</v>
      </c>
      <c r="AU151" s="204">
        <f t="shared" si="112"/>
        <v>3.6950397268430142E-2</v>
      </c>
      <c r="AV151" s="202"/>
      <c r="AW151" s="261">
        <v>-0.36518999999999963</v>
      </c>
      <c r="AX151" s="203">
        <f t="shared" si="113"/>
        <v>-9.9618536756754892E-3</v>
      </c>
      <c r="AY151" s="204">
        <f t="shared" si="114"/>
        <v>-3.8090672869940309E-4</v>
      </c>
      <c r="BA151" s="191">
        <f t="shared" si="98"/>
        <v>593.64508000000001</v>
      </c>
      <c r="BB151" s="189">
        <f t="shared" si="99"/>
        <v>16.707988264515837</v>
      </c>
      <c r="BC151" s="190">
        <f t="shared" si="115"/>
        <v>4.561833325465204E-2</v>
      </c>
    </row>
    <row r="152" spans="3:55">
      <c r="C152" s="188" t="s">
        <v>384</v>
      </c>
      <c r="D152" s="210">
        <v>6666020803</v>
      </c>
      <c r="E152" s="259">
        <v>191.25773999999998</v>
      </c>
      <c r="F152" s="203">
        <f t="shared" si="101"/>
        <v>5.8280968415278895</v>
      </c>
      <c r="G152" s="204">
        <f t="shared" si="102"/>
        <v>0.36323445568886814</v>
      </c>
      <c r="H152" s="201"/>
      <c r="I152" s="260">
        <v>173.24744000000001</v>
      </c>
      <c r="J152" s="203">
        <f t="shared" si="103"/>
        <v>5.2081937446639648</v>
      </c>
      <c r="K152" s="204">
        <f t="shared" si="104"/>
        <v>0.26367931068570094</v>
      </c>
      <c r="M152" s="261">
        <v>-111.19183</v>
      </c>
      <c r="N152" s="203">
        <f t="shared" si="105"/>
        <v>-3.1930663442734524</v>
      </c>
      <c r="O152" s="204">
        <f t="shared" si="106"/>
        <v>-0.15935850398130719</v>
      </c>
      <c r="P152" s="202"/>
      <c r="Q152" s="261">
        <v>259.10636999999997</v>
      </c>
      <c r="R152" s="203">
        <f t="shared" si="107"/>
        <v>7.4686350979747838</v>
      </c>
      <c r="S152" s="204">
        <f t="shared" si="108"/>
        <v>0.26632796412562076</v>
      </c>
      <c r="T152" s="202"/>
      <c r="U152" s="261">
        <v>-220.30423999999999</v>
      </c>
      <c r="V152" s="203">
        <f t="shared" si="82"/>
        <v>-6.3195949570430709</v>
      </c>
      <c r="W152" s="204">
        <f t="shared" si="83"/>
        <v>-0.15491481485127889</v>
      </c>
      <c r="X152" s="202"/>
      <c r="Y152" s="261">
        <v>66.849550000000008</v>
      </c>
      <c r="Z152" s="203">
        <f t="shared" si="84"/>
        <v>1.9063541764694143</v>
      </c>
      <c r="AA152" s="204">
        <f t="shared" si="85"/>
        <v>6.1542942163914462E-2</v>
      </c>
      <c r="AB152" s="202"/>
      <c r="AC152" s="261">
        <v>-40.70046</v>
      </c>
      <c r="AD152" s="203">
        <f t="shared" si="109"/>
        <v>-1.1401679137404088</v>
      </c>
      <c r="AE152" s="204">
        <f t="shared" si="110"/>
        <v>-3.3070392253978266E-2</v>
      </c>
      <c r="AF152" s="202"/>
      <c r="AG152" s="261">
        <v>259.51409999999998</v>
      </c>
      <c r="AH152" s="203">
        <f t="shared" si="88"/>
        <v>6.993141973279295</v>
      </c>
      <c r="AI152" s="204">
        <f t="shared" si="89"/>
        <v>0.27340456537959557</v>
      </c>
      <c r="AJ152" s="202"/>
      <c r="AK152" s="261">
        <v>528.4822999999999</v>
      </c>
      <c r="AL152" s="203">
        <f t="shared" si="90"/>
        <v>13.972207111088837</v>
      </c>
      <c r="AM152" s="204">
        <f t="shared" si="91"/>
        <v>0.34839933949453511</v>
      </c>
      <c r="AN152" s="202"/>
      <c r="AO152" s="261">
        <v>-639.52553</v>
      </c>
      <c r="AP152" s="203">
        <f t="shared" si="92"/>
        <v>-17.123738023844563</v>
      </c>
      <c r="AQ152" s="204">
        <f t="shared" si="93"/>
        <v>-0.4157558944289354</v>
      </c>
      <c r="AR152" s="202"/>
      <c r="AS152" s="261">
        <v>14.341689999999998</v>
      </c>
      <c r="AT152" s="203">
        <f t="shared" si="111"/>
        <v>0.39159587917113775</v>
      </c>
      <c r="AU152" s="204">
        <f t="shared" si="112"/>
        <v>9.0836436829305894E-3</v>
      </c>
      <c r="AV152" s="202"/>
      <c r="AW152" s="261">
        <v>-118.85731</v>
      </c>
      <c r="AX152" s="203">
        <f t="shared" si="113"/>
        <v>-3.2422550740830864</v>
      </c>
      <c r="AY152" s="204">
        <f t="shared" si="114"/>
        <v>-0.12397258723982282</v>
      </c>
      <c r="BA152" s="191">
        <f t="shared" si="98"/>
        <v>362.2198199999998</v>
      </c>
      <c r="BB152" s="189">
        <f t="shared" si="99"/>
        <v>10.749402511190741</v>
      </c>
      <c r="BC152" s="190">
        <f t="shared" si="115"/>
        <v>2.934942365774415E-2</v>
      </c>
    </row>
    <row r="153" spans="3:55">
      <c r="C153" s="188" t="s">
        <v>385</v>
      </c>
      <c r="D153" s="210">
        <v>6666021100</v>
      </c>
      <c r="E153" s="259">
        <v>26.802509999999998</v>
      </c>
      <c r="F153" s="203">
        <f t="shared" si="101"/>
        <v>0.81673883564670213</v>
      </c>
      <c r="G153" s="204">
        <f t="shared" si="102"/>
        <v>5.0903012505247869E-2</v>
      </c>
      <c r="H153" s="201"/>
      <c r="I153" s="260">
        <v>136.45076999999998</v>
      </c>
      <c r="J153" s="203">
        <f t="shared" si="103"/>
        <v>4.1020060485083141</v>
      </c>
      <c r="K153" s="204">
        <f t="shared" si="104"/>
        <v>0.20767547835704303</v>
      </c>
      <c r="M153" s="261">
        <v>270.11592999999999</v>
      </c>
      <c r="N153" s="203">
        <f t="shared" si="105"/>
        <v>7.7568476491044693</v>
      </c>
      <c r="O153" s="204">
        <f t="shared" si="106"/>
        <v>0.38712619898709733</v>
      </c>
      <c r="P153" s="202"/>
      <c r="Q153" s="261">
        <v>10.886209999999998</v>
      </c>
      <c r="R153" s="203">
        <f t="shared" si="107"/>
        <v>0.313790548993157</v>
      </c>
      <c r="S153" s="204">
        <f t="shared" si="108"/>
        <v>1.118962125996352E-2</v>
      </c>
      <c r="T153" s="202"/>
      <c r="U153" s="261">
        <v>74.156369999999995</v>
      </c>
      <c r="V153" s="203">
        <f t="shared" si="82"/>
        <v>2.1272319674129743</v>
      </c>
      <c r="W153" s="204">
        <f t="shared" si="83"/>
        <v>5.2145706903293974E-2</v>
      </c>
      <c r="X153" s="202"/>
      <c r="Y153" s="261">
        <v>57.702589999999994</v>
      </c>
      <c r="Z153" s="203">
        <f t="shared" si="84"/>
        <v>1.6455095575004206</v>
      </c>
      <c r="AA153" s="204">
        <f t="shared" si="85"/>
        <v>5.3122080239553872E-2</v>
      </c>
      <c r="AB153" s="202"/>
      <c r="AC153" s="261">
        <v>56.466979999999992</v>
      </c>
      <c r="AD153" s="203">
        <f t="shared" si="109"/>
        <v>1.5818454823808228</v>
      </c>
      <c r="AE153" s="204">
        <f t="shared" si="110"/>
        <v>4.5881181146295295E-2</v>
      </c>
      <c r="AF153" s="202"/>
      <c r="AG153" s="261">
        <v>102.94210999999999</v>
      </c>
      <c r="AH153" s="203">
        <f t="shared" si="88"/>
        <v>2.7739871947571797</v>
      </c>
      <c r="AI153" s="204">
        <f t="shared" si="89"/>
        <v>0.10845207579784111</v>
      </c>
      <c r="AJ153" s="202"/>
      <c r="AK153" s="261">
        <v>127.47777000000001</v>
      </c>
      <c r="AL153" s="203">
        <f t="shared" si="90"/>
        <v>3.3703036118707241</v>
      </c>
      <c r="AM153" s="204">
        <f t="shared" si="91"/>
        <v>8.4039088666235898E-2</v>
      </c>
      <c r="AN153" s="202"/>
      <c r="AO153" s="261">
        <v>575.27074000000005</v>
      </c>
      <c r="AP153" s="203">
        <f t="shared" si="92"/>
        <v>15.403271616917625</v>
      </c>
      <c r="AQ153" s="204">
        <f t="shared" si="93"/>
        <v>0.37398382054817358</v>
      </c>
      <c r="AR153" s="202"/>
      <c r="AS153" s="261">
        <v>107.78864999999999</v>
      </c>
      <c r="AT153" s="203">
        <f t="shared" si="111"/>
        <v>2.943139278663816</v>
      </c>
      <c r="AU153" s="204">
        <f t="shared" si="112"/>
        <v>6.8270454155968816E-2</v>
      </c>
      <c r="AV153" s="202"/>
      <c r="AW153" s="261">
        <v>59.255849999999995</v>
      </c>
      <c r="AX153" s="203">
        <f t="shared" si="113"/>
        <v>1.6164136672082368</v>
      </c>
      <c r="AY153" s="204">
        <f t="shared" si="114"/>
        <v>6.1806051589042822E-2</v>
      </c>
      <c r="BA153" s="191">
        <f t="shared" si="98"/>
        <v>1605.3164799999997</v>
      </c>
      <c r="BB153" s="189">
        <f t="shared" si="99"/>
        <v>44.45108545896445</v>
      </c>
      <c r="BC153" s="190">
        <f t="shared" si="115"/>
        <v>0.12136616317265642</v>
      </c>
    </row>
    <row r="154" spans="3:55">
      <c r="C154" s="188" t="s">
        <v>386</v>
      </c>
      <c r="D154" s="210">
        <v>6666021103</v>
      </c>
      <c r="E154" s="259">
        <v>24.044169999999998</v>
      </c>
      <c r="F154" s="203">
        <f t="shared" si="101"/>
        <v>0.73268538692426066</v>
      </c>
      <c r="G154" s="204">
        <f t="shared" si="102"/>
        <v>4.5664405542178918E-2</v>
      </c>
      <c r="H154" s="201"/>
      <c r="I154" s="260">
        <v>20.9833</v>
      </c>
      <c r="J154" s="203">
        <f t="shared" si="103"/>
        <v>0.63080350164139432</v>
      </c>
      <c r="K154" s="204">
        <f t="shared" si="104"/>
        <v>3.1936183760702432E-2</v>
      </c>
      <c r="M154" s="261">
        <v>-24.044169999999998</v>
      </c>
      <c r="N154" s="203">
        <f t="shared" si="105"/>
        <v>-0.69047006423933677</v>
      </c>
      <c r="O154" s="204">
        <f t="shared" si="106"/>
        <v>-3.4459752669528207E-2</v>
      </c>
      <c r="P154" s="202"/>
      <c r="Q154" s="261">
        <v>-45.027459999999998</v>
      </c>
      <c r="R154" s="203">
        <f t="shared" si="107"/>
        <v>-1.2978981108363166</v>
      </c>
      <c r="S154" s="204">
        <f t="shared" si="108"/>
        <v>-4.6282427373544793E-2</v>
      </c>
      <c r="T154" s="202"/>
      <c r="U154" s="261">
        <v>0</v>
      </c>
      <c r="V154" s="203">
        <f t="shared" si="82"/>
        <v>0</v>
      </c>
      <c r="W154" s="204">
        <f t="shared" si="83"/>
        <v>0</v>
      </c>
      <c r="X154" s="202"/>
      <c r="Y154" s="261">
        <v>30.925450000000001</v>
      </c>
      <c r="Z154" s="203">
        <f t="shared" si="84"/>
        <v>0.88190362936917366</v>
      </c>
      <c r="AA154" s="204">
        <f t="shared" si="85"/>
        <v>2.8470545886143263E-2</v>
      </c>
      <c r="AB154" s="202"/>
      <c r="AC154" s="261">
        <v>38.742550000000001</v>
      </c>
      <c r="AD154" s="203">
        <f t="shared" si="109"/>
        <v>1.0853197336463392</v>
      </c>
      <c r="AE154" s="204">
        <f t="shared" si="110"/>
        <v>3.1479529357146478E-2</v>
      </c>
      <c r="AF154" s="202"/>
      <c r="AG154" s="261">
        <v>0</v>
      </c>
      <c r="AH154" s="203">
        <f t="shared" si="88"/>
        <v>0</v>
      </c>
      <c r="AI154" s="204">
        <f t="shared" si="89"/>
        <v>0</v>
      </c>
      <c r="AJ154" s="202"/>
      <c r="AK154" s="261">
        <v>0</v>
      </c>
      <c r="AL154" s="203">
        <f t="shared" si="90"/>
        <v>0</v>
      </c>
      <c r="AM154" s="204">
        <f t="shared" si="91"/>
        <v>0</v>
      </c>
      <c r="AN154" s="202"/>
      <c r="AO154" s="261">
        <v>0</v>
      </c>
      <c r="AP154" s="203">
        <f t="shared" si="92"/>
        <v>0</v>
      </c>
      <c r="AQ154" s="204">
        <f t="shared" si="93"/>
        <v>0</v>
      </c>
      <c r="AR154" s="202"/>
      <c r="AS154" s="261">
        <v>0</v>
      </c>
      <c r="AT154" s="203">
        <f t="shared" si="111"/>
        <v>0</v>
      </c>
      <c r="AU154" s="204">
        <f t="shared" si="112"/>
        <v>0</v>
      </c>
      <c r="AV154" s="202"/>
      <c r="AW154" s="261">
        <v>0</v>
      </c>
      <c r="AX154" s="203">
        <f t="shared" si="113"/>
        <v>0</v>
      </c>
      <c r="AY154" s="204">
        <f t="shared" si="114"/>
        <v>0</v>
      </c>
      <c r="BA154" s="191">
        <f t="shared" si="98"/>
        <v>45.623840000000008</v>
      </c>
      <c r="BB154" s="189">
        <f t="shared" si="99"/>
        <v>1.3423440765055146</v>
      </c>
      <c r="BC154" s="190">
        <f t="shared" si="115"/>
        <v>3.6650432388971501E-3</v>
      </c>
    </row>
    <row r="155" spans="3:55">
      <c r="C155" s="188" t="s">
        <v>387</v>
      </c>
      <c r="D155" s="210">
        <v>6666021400</v>
      </c>
      <c r="E155" s="259">
        <v>22.05</v>
      </c>
      <c r="F155" s="203">
        <f t="shared" si="101"/>
        <v>0.67191808998522096</v>
      </c>
      <c r="G155" s="204">
        <f t="shared" si="102"/>
        <v>4.1877101276735489E-2</v>
      </c>
      <c r="H155" s="201"/>
      <c r="I155" s="260">
        <v>-2.1432899999999999</v>
      </c>
      <c r="J155" s="203">
        <f t="shared" si="103"/>
        <v>-6.4431945262803478E-2</v>
      </c>
      <c r="K155" s="204">
        <f t="shared" si="104"/>
        <v>-3.2620466414947083E-3</v>
      </c>
      <c r="M155" s="261">
        <v>14.7049</v>
      </c>
      <c r="N155" s="203">
        <f t="shared" si="105"/>
        <v>0.42227672020423346</v>
      </c>
      <c r="O155" s="204">
        <f t="shared" si="106"/>
        <v>2.1074847542258496E-2</v>
      </c>
      <c r="P155" s="202"/>
      <c r="Q155" s="261">
        <v>49.159390000000002</v>
      </c>
      <c r="R155" s="203">
        <f t="shared" si="107"/>
        <v>1.4169993024449019</v>
      </c>
      <c r="S155" s="204">
        <f t="shared" si="108"/>
        <v>5.052951904022044E-2</v>
      </c>
      <c r="T155" s="202"/>
      <c r="U155" s="261">
        <v>95.422269999999997</v>
      </c>
      <c r="V155" s="203">
        <f t="shared" si="82"/>
        <v>2.7372605097459872</v>
      </c>
      <c r="W155" s="204">
        <f t="shared" si="83"/>
        <v>6.7099585962298064E-2</v>
      </c>
      <c r="X155" s="202"/>
      <c r="Y155" s="261">
        <v>51.712249999999997</v>
      </c>
      <c r="Z155" s="203">
        <f t="shared" si="84"/>
        <v>1.4746825335717362</v>
      </c>
      <c r="AA155" s="204">
        <f t="shared" si="85"/>
        <v>4.7607261543509048E-2</v>
      </c>
      <c r="AB155" s="202"/>
      <c r="AC155" s="261">
        <v>-20.818259999999999</v>
      </c>
      <c r="AD155" s="203">
        <f t="shared" si="109"/>
        <v>-0.58319517941333843</v>
      </c>
      <c r="AE155" s="204">
        <f t="shared" si="110"/>
        <v>-1.6915485088996679E-2</v>
      </c>
      <c r="AF155" s="202"/>
      <c r="AG155" s="261">
        <v>-22.381630000000001</v>
      </c>
      <c r="AH155" s="203">
        <f t="shared" si="88"/>
        <v>-0.60311912217257979</v>
      </c>
      <c r="AI155" s="204">
        <f t="shared" si="89"/>
        <v>-2.3579604432425513E-2</v>
      </c>
      <c r="AJ155" s="202"/>
      <c r="AK155" s="261">
        <v>41.542199999999994</v>
      </c>
      <c r="AL155" s="203">
        <f t="shared" si="90"/>
        <v>1.0983077810747393</v>
      </c>
      <c r="AM155" s="204">
        <f t="shared" si="91"/>
        <v>2.7386489653768682E-2</v>
      </c>
      <c r="AN155" s="202"/>
      <c r="AO155" s="261">
        <v>54.957599999999999</v>
      </c>
      <c r="AP155" s="203">
        <f t="shared" si="92"/>
        <v>1.4715277196505978</v>
      </c>
      <c r="AQ155" s="204">
        <f t="shared" si="93"/>
        <v>3.5727965611736662E-2</v>
      </c>
      <c r="AR155" s="202"/>
      <c r="AS155" s="261">
        <v>44.540999999999997</v>
      </c>
      <c r="AT155" s="203">
        <f t="shared" si="111"/>
        <v>1.2161796869240409</v>
      </c>
      <c r="AU155" s="204">
        <f t="shared" si="112"/>
        <v>2.8211080652378585E-2</v>
      </c>
      <c r="AV155" s="202"/>
      <c r="AW155" s="261">
        <v>0.58035000000000003</v>
      </c>
      <c r="AX155" s="203">
        <f t="shared" si="113"/>
        <v>1.5831106494368072E-2</v>
      </c>
      <c r="AY155" s="204">
        <f t="shared" si="114"/>
        <v>6.0532659711574465E-4</v>
      </c>
      <c r="BA155" s="191">
        <f t="shared" si="98"/>
        <v>329.32678000000004</v>
      </c>
      <c r="BB155" s="189">
        <f t="shared" si="99"/>
        <v>9.2742372032471039</v>
      </c>
      <c r="BC155" s="190">
        <f t="shared" si="115"/>
        <v>2.5321734533351275E-2</v>
      </c>
    </row>
    <row r="156" spans="3:55">
      <c r="C156" s="188" t="s">
        <v>388</v>
      </c>
      <c r="D156" s="210">
        <v>6666021602</v>
      </c>
      <c r="E156" s="259">
        <v>0</v>
      </c>
      <c r="F156" s="203">
        <f t="shared" si="101"/>
        <v>0</v>
      </c>
      <c r="G156" s="204">
        <f t="shared" si="102"/>
        <v>0</v>
      </c>
      <c r="H156" s="201"/>
      <c r="I156" s="260">
        <v>0.59553999999999996</v>
      </c>
      <c r="J156" s="203">
        <f t="shared" si="103"/>
        <v>1.7903223866956863E-2</v>
      </c>
      <c r="K156" s="204">
        <f t="shared" si="104"/>
        <v>9.064005602955075E-4</v>
      </c>
      <c r="M156" s="261">
        <v>11.33691</v>
      </c>
      <c r="N156" s="203">
        <f t="shared" si="105"/>
        <v>0.32555904304351446</v>
      </c>
      <c r="O156" s="204">
        <f t="shared" si="106"/>
        <v>1.6247893549109868E-2</v>
      </c>
      <c r="P156" s="202"/>
      <c r="Q156" s="261">
        <v>0.45779000000000003</v>
      </c>
      <c r="R156" s="203">
        <f t="shared" si="107"/>
        <v>1.3195609438324025E-2</v>
      </c>
      <c r="S156" s="204">
        <f t="shared" si="108"/>
        <v>4.7054913662318673E-4</v>
      </c>
      <c r="T156" s="202"/>
      <c r="U156" s="261">
        <v>0.65372000000000008</v>
      </c>
      <c r="V156" s="203">
        <f t="shared" si="82"/>
        <v>1.8752456218356021E-2</v>
      </c>
      <c r="W156" s="204">
        <f t="shared" si="83"/>
        <v>4.5968662593410848E-4</v>
      </c>
      <c r="X156" s="202"/>
      <c r="Y156" s="261">
        <v>0</v>
      </c>
      <c r="Z156" s="203">
        <f t="shared" si="84"/>
        <v>0</v>
      </c>
      <c r="AA156" s="204">
        <f t="shared" si="85"/>
        <v>0</v>
      </c>
      <c r="AB156" s="202"/>
      <c r="AC156" s="261">
        <v>3.8640400000000001</v>
      </c>
      <c r="AD156" s="203">
        <f t="shared" si="109"/>
        <v>0.10824581406228552</v>
      </c>
      <c r="AE156" s="204">
        <f t="shared" si="110"/>
        <v>3.1396529298455644E-3</v>
      </c>
      <c r="AF156" s="202"/>
      <c r="AG156" s="261">
        <v>0</v>
      </c>
      <c r="AH156" s="203">
        <f t="shared" si="88"/>
        <v>0</v>
      </c>
      <c r="AI156" s="204">
        <f t="shared" si="89"/>
        <v>0</v>
      </c>
      <c r="AJ156" s="202"/>
      <c r="AK156" s="261">
        <v>6.2124199999999998</v>
      </c>
      <c r="AL156" s="203">
        <f t="shared" si="90"/>
        <v>0.16424621770884384</v>
      </c>
      <c r="AM156" s="204">
        <f t="shared" si="91"/>
        <v>4.0955071241981812E-3</v>
      </c>
      <c r="AN156" s="202"/>
      <c r="AO156" s="261">
        <v>2.5833400000000002</v>
      </c>
      <c r="AP156" s="203">
        <f t="shared" si="92"/>
        <v>6.9170713773566816E-2</v>
      </c>
      <c r="AQ156" s="204">
        <f t="shared" si="93"/>
        <v>1.6794307372123927E-3</v>
      </c>
      <c r="AR156" s="202"/>
      <c r="AS156" s="261">
        <v>2.45431</v>
      </c>
      <c r="AT156" s="203">
        <f t="shared" si="111"/>
        <v>6.7014255796110173E-2</v>
      </c>
      <c r="AU156" s="204">
        <f t="shared" si="112"/>
        <v>1.5544944513131563E-3</v>
      </c>
      <c r="AV156" s="202"/>
      <c r="AW156" s="261">
        <v>3.40883</v>
      </c>
      <c r="AX156" s="203">
        <f t="shared" si="113"/>
        <v>9.2987939607472578E-2</v>
      </c>
      <c r="AY156" s="204">
        <f t="shared" si="114"/>
        <v>3.5555362523409391E-3</v>
      </c>
      <c r="BA156" s="191">
        <f t="shared" si="98"/>
        <v>31.566899999999997</v>
      </c>
      <c r="BB156" s="189">
        <f t="shared" si="99"/>
        <v>0.87707527351543024</v>
      </c>
      <c r="BC156" s="190">
        <f t="shared" si="115"/>
        <v>2.3947055434325451E-3</v>
      </c>
    </row>
    <row r="157" spans="3:55">
      <c r="C157" s="188" t="s">
        <v>389</v>
      </c>
      <c r="D157" s="210">
        <v>6666021902</v>
      </c>
      <c r="E157" s="259">
        <v>3.13422</v>
      </c>
      <c r="F157" s="203">
        <f t="shared" si="101"/>
        <v>9.5507442902198592E-2</v>
      </c>
      <c r="G157" s="204">
        <f t="shared" si="102"/>
        <v>5.9524738486879773E-3</v>
      </c>
      <c r="H157" s="201"/>
      <c r="I157" s="260">
        <v>64.829610000000002</v>
      </c>
      <c r="J157" s="203">
        <f t="shared" si="103"/>
        <v>1.9489186637967315</v>
      </c>
      <c r="K157" s="204">
        <f t="shared" si="104"/>
        <v>9.8669434173589074E-2</v>
      </c>
      <c r="M157" s="261">
        <v>67.233490000000003</v>
      </c>
      <c r="N157" s="203">
        <f t="shared" si="105"/>
        <v>1.9307263323847241</v>
      </c>
      <c r="O157" s="204">
        <f t="shared" si="106"/>
        <v>9.6358054218931191E-2</v>
      </c>
      <c r="P157" s="202"/>
      <c r="Q157" s="261">
        <v>65.610169999999997</v>
      </c>
      <c r="R157" s="203">
        <f t="shared" si="107"/>
        <v>1.8911863048604025</v>
      </c>
      <c r="S157" s="204">
        <f t="shared" si="108"/>
        <v>6.7438801300160556E-2</v>
      </c>
      <c r="T157" s="202"/>
      <c r="U157" s="261">
        <v>66.279399999999995</v>
      </c>
      <c r="V157" s="203">
        <f t="shared" si="82"/>
        <v>1.9012750821129929</v>
      </c>
      <c r="W157" s="204">
        <f t="shared" si="83"/>
        <v>4.660673339493536E-2</v>
      </c>
      <c r="X157" s="202"/>
      <c r="Y157" s="261">
        <v>65.052419999999998</v>
      </c>
      <c r="Z157" s="203">
        <f t="shared" si="84"/>
        <v>1.8551052708124802</v>
      </c>
      <c r="AA157" s="204">
        <f t="shared" si="85"/>
        <v>5.9888470777778938E-2</v>
      </c>
      <c r="AB157" s="202"/>
      <c r="AC157" s="261">
        <v>144.93933999999999</v>
      </c>
      <c r="AD157" s="203">
        <f t="shared" si="109"/>
        <v>4.0602780633612436</v>
      </c>
      <c r="AE157" s="204">
        <f t="shared" si="110"/>
        <v>0.11776773104856118</v>
      </c>
      <c r="AF157" s="202"/>
      <c r="AG157" s="261">
        <v>301.95756</v>
      </c>
      <c r="AH157" s="203">
        <f t="shared" si="88"/>
        <v>8.1368684282857906</v>
      </c>
      <c r="AI157" s="204">
        <f t="shared" si="89"/>
        <v>0.31811980718921695</v>
      </c>
      <c r="AJ157" s="202"/>
      <c r="AK157" s="261">
        <v>-131.11749</v>
      </c>
      <c r="AL157" s="203">
        <f t="shared" si="90"/>
        <v>-3.4665318519960269</v>
      </c>
      <c r="AM157" s="204">
        <f t="shared" si="91"/>
        <v>-8.6438556054159857E-2</v>
      </c>
      <c r="AN157" s="202"/>
      <c r="AO157" s="261">
        <v>95.116420000000005</v>
      </c>
      <c r="AP157" s="203">
        <f t="shared" si="92"/>
        <v>2.5468078777808443</v>
      </c>
      <c r="AQ157" s="204">
        <f t="shared" si="93"/>
        <v>6.1835236307107688E-2</v>
      </c>
      <c r="AR157" s="202"/>
      <c r="AS157" s="261">
        <v>90.967880000000008</v>
      </c>
      <c r="AT157" s="203">
        <f t="shared" si="111"/>
        <v>2.4838528056968578</v>
      </c>
      <c r="AU157" s="204">
        <f t="shared" si="112"/>
        <v>5.7616627364807653E-2</v>
      </c>
      <c r="AV157" s="202"/>
      <c r="AW157" s="261">
        <v>96.705400000000026</v>
      </c>
      <c r="AX157" s="203">
        <f t="shared" si="113"/>
        <v>2.637983089481283</v>
      </c>
      <c r="AY157" s="204">
        <f t="shared" si="114"/>
        <v>0.1008673226582527</v>
      </c>
      <c r="BA157" s="191">
        <f t="shared" si="98"/>
        <v>930.70842000000005</v>
      </c>
      <c r="BB157" s="189">
        <f t="shared" si="99"/>
        <v>26.021977509479523</v>
      </c>
      <c r="BC157" s="190">
        <f t="shared" si="115"/>
        <v>7.1048604007796529E-2</v>
      </c>
    </row>
    <row r="158" spans="3:55">
      <c r="C158" s="188" t="s">
        <v>390</v>
      </c>
      <c r="D158" s="210">
        <v>6666022100</v>
      </c>
      <c r="E158" s="259">
        <v>0</v>
      </c>
      <c r="F158" s="203">
        <f t="shared" si="101"/>
        <v>0</v>
      </c>
      <c r="G158" s="204">
        <f t="shared" si="102"/>
        <v>0</v>
      </c>
      <c r="H158" s="201"/>
      <c r="I158" s="260">
        <v>8.24709</v>
      </c>
      <c r="J158" s="203">
        <f t="shared" si="103"/>
        <v>0.24792540974735752</v>
      </c>
      <c r="K158" s="204">
        <f t="shared" si="104"/>
        <v>1.2551914223742281E-2</v>
      </c>
      <c r="M158" s="261">
        <v>6.5431599999999994</v>
      </c>
      <c r="N158" s="203">
        <f t="shared" si="105"/>
        <v>0.1878981934301853</v>
      </c>
      <c r="O158" s="204">
        <f t="shared" si="106"/>
        <v>9.3775611833201225E-3</v>
      </c>
      <c r="P158" s="202"/>
      <c r="Q158" s="261">
        <v>7.5497899999999998</v>
      </c>
      <c r="R158" s="203">
        <f t="shared" si="107"/>
        <v>0.21761960763966956</v>
      </c>
      <c r="S158" s="204">
        <f t="shared" si="108"/>
        <v>7.7602113768023952E-3</v>
      </c>
      <c r="T158" s="202"/>
      <c r="U158" s="261">
        <v>10.013540000000001</v>
      </c>
      <c r="V158" s="203">
        <f t="shared" si="82"/>
        <v>0.28724602343626743</v>
      </c>
      <c r="W158" s="204">
        <f t="shared" si="83"/>
        <v>7.0413792086156651E-3</v>
      </c>
      <c r="X158" s="202"/>
      <c r="Y158" s="261">
        <v>8.5569699999999997</v>
      </c>
      <c r="Z158" s="203">
        <f t="shared" si="84"/>
        <v>0.24401982507621192</v>
      </c>
      <c r="AA158" s="204">
        <f t="shared" si="85"/>
        <v>7.8777061297847333E-3</v>
      </c>
      <c r="AB158" s="202"/>
      <c r="AC158" s="261">
        <v>7.8827299999999996</v>
      </c>
      <c r="AD158" s="203">
        <f t="shared" si="109"/>
        <v>0.22082393709257667</v>
      </c>
      <c r="AE158" s="204">
        <f t="shared" si="110"/>
        <v>6.404963804640099E-3</v>
      </c>
      <c r="AF158" s="202"/>
      <c r="AG158" s="261">
        <v>7.6234700000000002</v>
      </c>
      <c r="AH158" s="203">
        <f t="shared" si="88"/>
        <v>0.20543010202156844</v>
      </c>
      <c r="AI158" s="204">
        <f t="shared" si="89"/>
        <v>8.0315154438020363E-3</v>
      </c>
      <c r="AJ158" s="202"/>
      <c r="AK158" s="261">
        <v>5.73055</v>
      </c>
      <c r="AL158" s="203">
        <f t="shared" si="90"/>
        <v>0.15150636352523092</v>
      </c>
      <c r="AM158" s="204">
        <f t="shared" si="91"/>
        <v>3.777836712677811E-3</v>
      </c>
      <c r="AN158" s="202"/>
      <c r="AO158" s="261">
        <v>8.9021299999999997</v>
      </c>
      <c r="AP158" s="203">
        <f t="shared" si="92"/>
        <v>0.23836068276149572</v>
      </c>
      <c r="AQ158" s="204">
        <f t="shared" si="93"/>
        <v>5.78727954843751E-3</v>
      </c>
      <c r="AR158" s="202"/>
      <c r="AS158" s="261">
        <v>7.2549399999999995</v>
      </c>
      <c r="AT158" s="203">
        <f t="shared" si="111"/>
        <v>0.19809413030360121</v>
      </c>
      <c r="AU158" s="204">
        <f t="shared" si="112"/>
        <v>4.5950853700672976E-3</v>
      </c>
      <c r="AV158" s="202"/>
      <c r="AW158" s="261">
        <v>14.89123</v>
      </c>
      <c r="AX158" s="203">
        <f t="shared" si="113"/>
        <v>0.40621116216443293</v>
      </c>
      <c r="AY158" s="204">
        <f t="shared" si="114"/>
        <v>1.5532105768532594E-2</v>
      </c>
      <c r="BA158" s="191">
        <f t="shared" si="98"/>
        <v>93.195599999999999</v>
      </c>
      <c r="BB158" s="189">
        <f t="shared" si="99"/>
        <v>2.6051354371985975</v>
      </c>
      <c r="BC158" s="190">
        <f t="shared" si="115"/>
        <v>7.112881255729865E-3</v>
      </c>
    </row>
    <row r="159" spans="3:55">
      <c r="C159" s="188" t="s">
        <v>391</v>
      </c>
      <c r="D159" s="210">
        <v>6666022300</v>
      </c>
      <c r="E159" s="259">
        <v>110.083</v>
      </c>
      <c r="F159" s="203">
        <f t="shared" si="101"/>
        <v>3.3545015464781436</v>
      </c>
      <c r="G159" s="204">
        <f t="shared" si="102"/>
        <v>0.20906834194316881</v>
      </c>
      <c r="H159" s="201"/>
      <c r="I159" s="260">
        <v>258.08513999999997</v>
      </c>
      <c r="J159" s="203">
        <f t="shared" si="103"/>
        <v>7.7585989826962143</v>
      </c>
      <c r="K159" s="204">
        <f t="shared" si="104"/>
        <v>0.39280067753626036</v>
      </c>
      <c r="M159" s="261">
        <v>64.381550000000004</v>
      </c>
      <c r="N159" s="203">
        <f t="shared" si="105"/>
        <v>1.8488279264506979</v>
      </c>
      <c r="O159" s="204">
        <f t="shared" si="106"/>
        <v>9.2270695535793687E-2</v>
      </c>
      <c r="P159" s="202"/>
      <c r="Q159" s="261">
        <v>140.78395</v>
      </c>
      <c r="R159" s="203">
        <f t="shared" si="107"/>
        <v>4.0580397548756801</v>
      </c>
      <c r="S159" s="204">
        <f t="shared" si="108"/>
        <v>0.14470776146901829</v>
      </c>
      <c r="T159" s="202"/>
      <c r="U159" s="261">
        <v>156.36648000000002</v>
      </c>
      <c r="V159" s="203">
        <f t="shared" si="82"/>
        <v>4.4854916022432274</v>
      </c>
      <c r="W159" s="204">
        <f t="shared" si="83"/>
        <v>0.10995468947009922</v>
      </c>
      <c r="X159" s="202"/>
      <c r="Y159" s="261">
        <v>162.73504</v>
      </c>
      <c r="Z159" s="203">
        <f t="shared" si="84"/>
        <v>4.6407286685088707</v>
      </c>
      <c r="AA159" s="204">
        <f t="shared" si="85"/>
        <v>0.14981691207737832</v>
      </c>
      <c r="AB159" s="202"/>
      <c r="AC159" s="261">
        <v>151.04701</v>
      </c>
      <c r="AD159" s="203">
        <f t="shared" si="109"/>
        <v>4.2313761138922432</v>
      </c>
      <c r="AE159" s="204">
        <f t="shared" si="110"/>
        <v>0.12273040328022285</v>
      </c>
      <c r="AF159" s="202"/>
      <c r="AG159" s="261">
        <v>151.69619</v>
      </c>
      <c r="AH159" s="203">
        <f t="shared" si="88"/>
        <v>4.0877663043185359</v>
      </c>
      <c r="AI159" s="204">
        <f t="shared" si="89"/>
        <v>0.15981571289070828</v>
      </c>
      <c r="AJ159" s="202"/>
      <c r="AK159" s="261">
        <v>134.95750000000001</v>
      </c>
      <c r="AL159" s="203">
        <f t="shared" si="90"/>
        <v>3.5680554319317261</v>
      </c>
      <c r="AM159" s="204">
        <f t="shared" si="91"/>
        <v>8.8970063632847748E-2</v>
      </c>
      <c r="AN159" s="202"/>
      <c r="AO159" s="261">
        <v>149.62203</v>
      </c>
      <c r="AP159" s="203">
        <f t="shared" si="92"/>
        <v>4.0062332528238738</v>
      </c>
      <c r="AQ159" s="204">
        <f t="shared" si="93"/>
        <v>9.7269362974333501E-2</v>
      </c>
      <c r="AR159" s="202"/>
      <c r="AS159" s="261">
        <v>150.85418999999999</v>
      </c>
      <c r="AT159" s="203">
        <f t="shared" si="111"/>
        <v>4.119031938335012</v>
      </c>
      <c r="AU159" s="204">
        <f t="shared" si="112"/>
        <v>9.5547017822663241E-2</v>
      </c>
      <c r="AV159" s="202"/>
      <c r="AW159" s="261">
        <v>167.59379999999999</v>
      </c>
      <c r="AX159" s="203">
        <f t="shared" si="113"/>
        <v>4.5717158535294624</v>
      </c>
      <c r="AY159" s="204">
        <f t="shared" si="114"/>
        <v>0.17480655578822554</v>
      </c>
      <c r="BA159" s="191">
        <f t="shared" si="98"/>
        <v>1798.2058800000002</v>
      </c>
      <c r="BB159" s="189">
        <f t="shared" si="99"/>
        <v>50.730367376083677</v>
      </c>
      <c r="BC159" s="190">
        <f t="shared" si="115"/>
        <v>0.13851067935019135</v>
      </c>
    </row>
    <row r="160" spans="3:55">
      <c r="C160" s="188" t="s">
        <v>392</v>
      </c>
      <c r="D160" s="210">
        <v>6666029700</v>
      </c>
      <c r="E160" s="259">
        <v>4.6758800000000003</v>
      </c>
      <c r="F160" s="203">
        <f t="shared" si="101"/>
        <v>0.14248563984580928</v>
      </c>
      <c r="G160" s="204">
        <f t="shared" si="102"/>
        <v>8.8803764316490678E-3</v>
      </c>
      <c r="H160" s="201"/>
      <c r="I160" s="260">
        <v>-4.3831600000000002</v>
      </c>
      <c r="J160" s="203">
        <f t="shared" si="103"/>
        <v>-0.13176729476557519</v>
      </c>
      <c r="K160" s="204">
        <f t="shared" si="104"/>
        <v>-6.6710862072486433E-3</v>
      </c>
      <c r="M160" s="261">
        <v>4.9843799999999998</v>
      </c>
      <c r="N160" s="203">
        <f t="shared" si="105"/>
        <v>0.14313512085438032</v>
      </c>
      <c r="O160" s="204">
        <f t="shared" si="106"/>
        <v>7.1435404928073222E-3</v>
      </c>
      <c r="P160" s="202"/>
      <c r="Q160" s="261">
        <v>4.9821999999999997</v>
      </c>
      <c r="R160" s="203">
        <f t="shared" si="107"/>
        <v>0.14360987645780368</v>
      </c>
      <c r="S160" s="204">
        <f t="shared" si="108"/>
        <v>5.1210596747068319E-3</v>
      </c>
      <c r="T160" s="202"/>
      <c r="U160" s="261">
        <v>4.9573999999999998</v>
      </c>
      <c r="V160" s="203">
        <f t="shared" si="82"/>
        <v>0.14220679565697564</v>
      </c>
      <c r="W160" s="204">
        <f t="shared" si="83"/>
        <v>3.4859733210024914E-3</v>
      </c>
      <c r="X160" s="202"/>
      <c r="Y160" s="261">
        <v>2.95052</v>
      </c>
      <c r="Z160" s="203">
        <f t="shared" si="84"/>
        <v>8.4140224201307803E-2</v>
      </c>
      <c r="AA160" s="204">
        <f t="shared" si="85"/>
        <v>2.7163037255070956E-3</v>
      </c>
      <c r="AB160" s="202"/>
      <c r="AC160" s="261">
        <v>5.0768999999999993</v>
      </c>
      <c r="AD160" s="203">
        <f t="shared" si="109"/>
        <v>0.14222243388081315</v>
      </c>
      <c r="AE160" s="204">
        <f t="shared" si="110"/>
        <v>4.1251394808368806E-3</v>
      </c>
      <c r="AF160" s="202"/>
      <c r="AG160" s="261">
        <v>5.2554399999999992</v>
      </c>
      <c r="AH160" s="203">
        <f t="shared" si="88"/>
        <v>0.14161865598844509</v>
      </c>
      <c r="AI160" s="204">
        <f t="shared" si="89"/>
        <v>5.5367368828072991E-3</v>
      </c>
      <c r="AJ160" s="202"/>
      <c r="AK160" s="261">
        <v>0.42662</v>
      </c>
      <c r="AL160" s="203">
        <f t="shared" si="90"/>
        <v>1.1279134604380734E-2</v>
      </c>
      <c r="AM160" s="204">
        <f t="shared" si="91"/>
        <v>2.8124712259078235E-4</v>
      </c>
      <c r="AN160" s="202"/>
      <c r="AO160" s="261">
        <v>5.2643999999999993</v>
      </c>
      <c r="AP160" s="203">
        <f t="shared" si="92"/>
        <v>0.14095794807867532</v>
      </c>
      <c r="AQ160" s="204">
        <f t="shared" si="93"/>
        <v>3.4223892995040987E-3</v>
      </c>
      <c r="AR160" s="202"/>
      <c r="AS160" s="261">
        <v>1.40432</v>
      </c>
      <c r="AT160" s="203">
        <f t="shared" si="111"/>
        <v>3.8344569227030584E-2</v>
      </c>
      <c r="AU160" s="204">
        <f t="shared" si="112"/>
        <v>8.8945880832824373E-4</v>
      </c>
      <c r="AV160" s="202"/>
      <c r="AW160" s="261">
        <v>12.04233</v>
      </c>
      <c r="AX160" s="203">
        <f t="shared" si="113"/>
        <v>0.3284973010602627</v>
      </c>
      <c r="AY160" s="204">
        <f t="shared" si="114"/>
        <v>1.2560597295157828E-2</v>
      </c>
      <c r="BA160" s="191">
        <f t="shared" si="98"/>
        <v>47.637229999999995</v>
      </c>
      <c r="BB160" s="189">
        <f t="shared" si="99"/>
        <v>1.326730405090309</v>
      </c>
      <c r="BC160" s="190">
        <f t="shared" si="115"/>
        <v>3.6224127525291299E-3</v>
      </c>
    </row>
    <row r="161" spans="1:55">
      <c r="C161" s="188" t="s">
        <v>393</v>
      </c>
      <c r="D161" s="210">
        <v>6666029996</v>
      </c>
      <c r="E161" s="259">
        <v>0</v>
      </c>
      <c r="F161" s="203">
        <f t="shared" si="101"/>
        <v>0</v>
      </c>
      <c r="G161" s="204">
        <f t="shared" si="102"/>
        <v>0</v>
      </c>
      <c r="H161" s="201"/>
      <c r="I161" s="260">
        <v>1.9299999999999999E-3</v>
      </c>
      <c r="J161" s="203">
        <f t="shared" si="103"/>
        <v>5.8019985329661736E-5</v>
      </c>
      <c r="K161" s="204">
        <f t="shared" si="104"/>
        <v>2.9374233155964832E-6</v>
      </c>
      <c r="M161" s="261">
        <v>1.6406000000000001</v>
      </c>
      <c r="N161" s="203">
        <f t="shared" si="105"/>
        <v>4.7112675854107507E-2</v>
      </c>
      <c r="O161" s="204">
        <f t="shared" si="106"/>
        <v>2.3512839174580778E-3</v>
      </c>
      <c r="P161" s="202"/>
      <c r="Q161" s="261">
        <v>1.50552</v>
      </c>
      <c r="R161" s="203">
        <f t="shared" si="107"/>
        <v>4.3395997993808479E-2</v>
      </c>
      <c r="S161" s="204">
        <f t="shared" si="108"/>
        <v>1.5474805831690076E-3</v>
      </c>
      <c r="T161" s="202"/>
      <c r="U161" s="261">
        <v>0</v>
      </c>
      <c r="V161" s="203">
        <f t="shared" si="82"/>
        <v>0</v>
      </c>
      <c r="W161" s="204">
        <f t="shared" si="83"/>
        <v>0</v>
      </c>
      <c r="X161" s="202"/>
      <c r="Y161" s="261">
        <v>0.10323</v>
      </c>
      <c r="Z161" s="203">
        <f t="shared" si="84"/>
        <v>2.9438184944691119E-3</v>
      </c>
      <c r="AA161" s="204">
        <f t="shared" si="85"/>
        <v>9.50354627604956E-5</v>
      </c>
      <c r="AB161" s="202"/>
      <c r="AC161" s="261">
        <v>1.9548000000000001</v>
      </c>
      <c r="AD161" s="203">
        <f t="shared" si="109"/>
        <v>5.4761057682880032E-2</v>
      </c>
      <c r="AE161" s="204">
        <f t="shared" si="110"/>
        <v>1.5883359249029797E-3</v>
      </c>
      <c r="AF161" s="202"/>
      <c r="AG161" s="261">
        <v>3.56867</v>
      </c>
      <c r="AH161" s="203">
        <f t="shared" si="88"/>
        <v>9.6165163918964805E-2</v>
      </c>
      <c r="AI161" s="204">
        <f t="shared" si="89"/>
        <v>3.7596826928987729E-3</v>
      </c>
      <c r="AJ161" s="202"/>
      <c r="AK161" s="261">
        <v>1.9481700000000002</v>
      </c>
      <c r="AL161" s="203">
        <f t="shared" si="90"/>
        <v>5.150642647371529E-2</v>
      </c>
      <c r="AM161" s="204">
        <f t="shared" si="91"/>
        <v>1.2843214261349315E-3</v>
      </c>
      <c r="AN161" s="202"/>
      <c r="AO161" s="261">
        <v>2.7738999999999998</v>
      </c>
      <c r="AP161" s="203">
        <f t="shared" si="92"/>
        <v>7.4273089464219566E-2</v>
      </c>
      <c r="AQ161" s="204">
        <f t="shared" si="93"/>
        <v>1.8033138967203139E-3</v>
      </c>
      <c r="AR161" s="202"/>
      <c r="AS161" s="261">
        <v>4.1525199999999991</v>
      </c>
      <c r="AT161" s="203">
        <f t="shared" si="111"/>
        <v>0.11338341019612981</v>
      </c>
      <c r="AU161" s="204">
        <f t="shared" si="112"/>
        <v>2.6300953420582184E-3</v>
      </c>
      <c r="AV161" s="202"/>
      <c r="AW161" s="261">
        <v>0.94701000000000002</v>
      </c>
      <c r="AX161" s="203">
        <f t="shared" si="113"/>
        <v>2.5833059638548303E-2</v>
      </c>
      <c r="AY161" s="204">
        <f t="shared" si="114"/>
        <v>9.8776659039300657E-4</v>
      </c>
      <c r="BA161" s="191">
        <f t="shared" si="98"/>
        <v>18.596350000000001</v>
      </c>
      <c r="BB161" s="189">
        <f t="shared" si="99"/>
        <v>0.50943271970217252</v>
      </c>
      <c r="BC161" s="190">
        <f t="shared" si="115"/>
        <v>1.390919792992258E-3</v>
      </c>
    </row>
    <row r="162" spans="1:55">
      <c r="C162" s="188" t="s">
        <v>394</v>
      </c>
      <c r="D162" s="167">
        <v>6666020701</v>
      </c>
      <c r="E162" s="259">
        <v>257</v>
      </c>
      <c r="F162" s="203">
        <f t="shared" si="101"/>
        <v>7.8314262642268373</v>
      </c>
      <c r="G162" s="204">
        <f t="shared" si="102"/>
        <v>0.48809138449528439</v>
      </c>
      <c r="H162" s="201"/>
      <c r="I162" s="262">
        <v>257.02694000000002</v>
      </c>
      <c r="J162" s="203">
        <f t="shared" si="103"/>
        <v>7.7267871959211654</v>
      </c>
      <c r="K162" s="204">
        <f t="shared" si="104"/>
        <v>0.39119011724995778</v>
      </c>
      <c r="M162" s="263">
        <v>257.01306</v>
      </c>
      <c r="N162" s="203">
        <f t="shared" si="105"/>
        <v>7.3805760002756813</v>
      </c>
      <c r="O162" s="204">
        <f t="shared" si="106"/>
        <v>0.36834735740258928</v>
      </c>
      <c r="P162" s="202"/>
      <c r="Q162" s="263">
        <v>257.01400000000001</v>
      </c>
      <c r="R162" s="203">
        <f t="shared" si="107"/>
        <v>7.4083233888494959</v>
      </c>
      <c r="S162" s="204">
        <f t="shared" si="108"/>
        <v>0.264177277354402</v>
      </c>
      <c r="T162" s="202"/>
      <c r="U162" s="263">
        <v>257.01350000000002</v>
      </c>
      <c r="V162" s="203">
        <f t="shared" si="82"/>
        <v>7.3726280460693339</v>
      </c>
      <c r="W162" s="204">
        <f t="shared" si="83"/>
        <v>0.18072824547897567</v>
      </c>
      <c r="X162" s="202"/>
      <c r="Y162" s="263">
        <v>865.78381999999999</v>
      </c>
      <c r="Z162" s="203">
        <f t="shared" si="84"/>
        <v>24.68962919236769</v>
      </c>
      <c r="AA162" s="204">
        <f t="shared" si="85"/>
        <v>0.79705672754286183</v>
      </c>
      <c r="AB162" s="202"/>
      <c r="AC162" s="263">
        <v>358.47521999999998</v>
      </c>
      <c r="AD162" s="203">
        <f t="shared" si="109"/>
        <v>10.042194700380145</v>
      </c>
      <c r="AE162" s="204">
        <f t="shared" si="110"/>
        <v>0.29127228878325101</v>
      </c>
      <c r="AF162" s="202"/>
      <c r="AG162" s="263">
        <v>358.47521999999998</v>
      </c>
      <c r="AH162" s="203">
        <f t="shared" si="88"/>
        <v>9.6598531924181739</v>
      </c>
      <c r="AI162" s="204">
        <f t="shared" si="89"/>
        <v>0.37766256909915447</v>
      </c>
      <c r="AJ162" s="202"/>
      <c r="AK162" s="263">
        <v>358.47521999999998</v>
      </c>
      <c r="AL162" s="203">
        <f t="shared" si="90"/>
        <v>9.4774981452229063</v>
      </c>
      <c r="AM162" s="204">
        <f t="shared" si="91"/>
        <v>0.23632301379470644</v>
      </c>
      <c r="AN162" s="202"/>
      <c r="AO162" s="263">
        <v>358.47521999999998</v>
      </c>
      <c r="AP162" s="203">
        <f t="shared" si="92"/>
        <v>9.598421747635383</v>
      </c>
      <c r="AQ162" s="204">
        <f t="shared" si="93"/>
        <v>0.23304493523770564</v>
      </c>
      <c r="AR162" s="202"/>
      <c r="AS162" s="263">
        <v>358.47521999999998</v>
      </c>
      <c r="AT162" s="203">
        <f t="shared" si="111"/>
        <v>9.7880667436659863</v>
      </c>
      <c r="AU162" s="204">
        <f t="shared" si="112"/>
        <v>0.22704863706021775</v>
      </c>
      <c r="AV162" s="202"/>
      <c r="AW162" s="263">
        <v>358.47521999999998</v>
      </c>
      <c r="AX162" s="203">
        <f t="shared" si="113"/>
        <v>9.7786842136848851</v>
      </c>
      <c r="AY162" s="204">
        <f t="shared" si="114"/>
        <v>0.37390296385442912</v>
      </c>
      <c r="BA162" s="191">
        <f t="shared" si="98"/>
        <v>4301.7026399999995</v>
      </c>
      <c r="BB162" s="189">
        <f t="shared" si="99"/>
        <v>120.75408883071768</v>
      </c>
      <c r="BC162" s="190">
        <f t="shared" si="115"/>
        <v>0.32969859560175852</v>
      </c>
    </row>
    <row r="163" spans="1:55">
      <c r="C163" s="188" t="s">
        <v>395</v>
      </c>
      <c r="D163" s="167">
        <v>6666029900</v>
      </c>
      <c r="E163" s="259">
        <v>0</v>
      </c>
      <c r="F163" s="203">
        <f t="shared" si="101"/>
        <v>0</v>
      </c>
      <c r="G163" s="204">
        <f t="shared" si="102"/>
        <v>0</v>
      </c>
      <c r="H163" s="201"/>
      <c r="I163" s="262">
        <v>0</v>
      </c>
      <c r="J163" s="203">
        <f t="shared" si="103"/>
        <v>0</v>
      </c>
      <c r="K163" s="204">
        <f t="shared" si="104"/>
        <v>0</v>
      </c>
      <c r="M163" s="263">
        <v>0</v>
      </c>
      <c r="N163" s="203">
        <f t="shared" si="105"/>
        <v>0</v>
      </c>
      <c r="O163" s="204">
        <f t="shared" si="106"/>
        <v>0</v>
      </c>
      <c r="P163" s="202"/>
      <c r="Q163" s="263">
        <v>57.620239999999995</v>
      </c>
      <c r="R163" s="203">
        <f t="shared" si="107"/>
        <v>1.6608798418106454</v>
      </c>
      <c r="S163" s="204">
        <f t="shared" si="108"/>
        <v>5.9226182712642919E-2</v>
      </c>
      <c r="T163" s="202"/>
      <c r="U163" s="263">
        <v>0</v>
      </c>
      <c r="V163" s="203">
        <f t="shared" si="82"/>
        <v>0</v>
      </c>
      <c r="W163" s="204">
        <f t="shared" si="83"/>
        <v>0</v>
      </c>
      <c r="X163" s="202"/>
      <c r="Y163" s="263">
        <v>0</v>
      </c>
      <c r="Z163" s="203">
        <f t="shared" si="84"/>
        <v>0</v>
      </c>
      <c r="AA163" s="204">
        <f t="shared" si="85"/>
        <v>0</v>
      </c>
      <c r="AB163" s="202"/>
      <c r="AC163" s="263">
        <v>0</v>
      </c>
      <c r="AD163" s="203">
        <f t="shared" si="109"/>
        <v>0</v>
      </c>
      <c r="AE163" s="204">
        <f t="shared" si="110"/>
        <v>0</v>
      </c>
      <c r="AF163" s="202"/>
      <c r="AG163" s="263">
        <v>0</v>
      </c>
      <c r="AH163" s="203">
        <f t="shared" si="88"/>
        <v>0</v>
      </c>
      <c r="AI163" s="204">
        <f t="shared" si="89"/>
        <v>0</v>
      </c>
      <c r="AJ163" s="202"/>
      <c r="AK163" s="263">
        <v>0</v>
      </c>
      <c r="AL163" s="203">
        <f t="shared" si="90"/>
        <v>0</v>
      </c>
      <c r="AM163" s="204">
        <f t="shared" si="91"/>
        <v>0</v>
      </c>
      <c r="AN163" s="202"/>
      <c r="AO163" s="263">
        <v>0</v>
      </c>
      <c r="AP163" s="203">
        <f t="shared" si="92"/>
        <v>0</v>
      </c>
      <c r="AQ163" s="204">
        <f t="shared" si="93"/>
        <v>0</v>
      </c>
      <c r="AR163" s="202"/>
      <c r="AS163" s="263">
        <v>0</v>
      </c>
      <c r="AT163" s="203">
        <f t="shared" si="111"/>
        <v>0</v>
      </c>
      <c r="AU163" s="204">
        <f t="shared" si="112"/>
        <v>0</v>
      </c>
      <c r="AV163" s="202"/>
      <c r="AW163" s="263">
        <v>0</v>
      </c>
      <c r="AX163" s="203">
        <f t="shared" si="113"/>
        <v>0</v>
      </c>
      <c r="AY163" s="204">
        <f t="shared" si="114"/>
        <v>0</v>
      </c>
      <c r="BA163" s="191">
        <f t="shared" si="98"/>
        <v>57.620239999999995</v>
      </c>
      <c r="BB163" s="189">
        <f t="shared" si="99"/>
        <v>1.6608798418106454</v>
      </c>
      <c r="BC163" s="190">
        <f t="shared" si="115"/>
        <v>4.534751217210491E-3</v>
      </c>
    </row>
    <row r="164" spans="1:55">
      <c r="C164" s="188" t="s">
        <v>396</v>
      </c>
      <c r="D164" s="167">
        <v>6666079999</v>
      </c>
      <c r="E164" s="259">
        <v>4345.8053099999997</v>
      </c>
      <c r="F164" s="203">
        <f t="shared" si="101"/>
        <v>132.42744686362045</v>
      </c>
      <c r="G164" s="204">
        <f t="shared" si="102"/>
        <v>8.2535024533262984</v>
      </c>
      <c r="H164" s="201"/>
      <c r="I164" s="262">
        <v>4517.8037300000005</v>
      </c>
      <c r="J164" s="203">
        <f t="shared" si="103"/>
        <v>135.81497727300058</v>
      </c>
      <c r="K164" s="204">
        <f t="shared" si="104"/>
        <v>6.8760114050729335</v>
      </c>
      <c r="M164" s="263">
        <v>4582.9802</v>
      </c>
      <c r="N164" s="203">
        <f t="shared" si="105"/>
        <v>131.60822906765375</v>
      </c>
      <c r="O164" s="204">
        <f t="shared" si="106"/>
        <v>6.5682601720643685</v>
      </c>
      <c r="P164" s="202"/>
      <c r="Q164" s="263">
        <v>4562.7532099999999</v>
      </c>
      <c r="R164" s="203">
        <f t="shared" si="107"/>
        <v>131.51949435902756</v>
      </c>
      <c r="S164" s="204">
        <f t="shared" si="108"/>
        <v>4.6899224176809744</v>
      </c>
      <c r="T164" s="202"/>
      <c r="U164" s="264">
        <v>5215.5734699999994</v>
      </c>
      <c r="V164" s="205">
        <f t="shared" si="82"/>
        <v>149.61269832618578</v>
      </c>
      <c r="W164" s="206">
        <f t="shared" si="83"/>
        <v>3.6675172409223364</v>
      </c>
      <c r="X164" s="202"/>
      <c r="Y164" s="263">
        <v>4625.9230499999994</v>
      </c>
      <c r="Z164" s="203">
        <f t="shared" si="84"/>
        <v>131.91783230244076</v>
      </c>
      <c r="AA164" s="204">
        <f t="shared" si="85"/>
        <v>4.2587110118298277</v>
      </c>
      <c r="AB164" s="202"/>
      <c r="AC164" s="263">
        <v>5372.5153200000004</v>
      </c>
      <c r="AD164" s="203">
        <f t="shared" si="109"/>
        <v>150.50369415831628</v>
      </c>
      <c r="AE164" s="204">
        <f t="shared" si="110"/>
        <v>4.3653361417268401</v>
      </c>
      <c r="AF164" s="202"/>
      <c r="AG164" s="263">
        <v>4960.9194000000007</v>
      </c>
      <c r="AH164" s="203">
        <f t="shared" si="88"/>
        <v>133.68219176605643</v>
      </c>
      <c r="AI164" s="204">
        <f t="shared" si="89"/>
        <v>5.2264520981334135</v>
      </c>
      <c r="AJ164" s="202"/>
      <c r="AK164" s="263">
        <v>5006.4432900000002</v>
      </c>
      <c r="AL164" s="203">
        <f t="shared" si="90"/>
        <v>132.36216716775758</v>
      </c>
      <c r="AM164" s="204">
        <f t="shared" si="91"/>
        <v>3.3004729495251737</v>
      </c>
      <c r="AN164" s="202"/>
      <c r="AO164" s="263">
        <v>5345.8446699999995</v>
      </c>
      <c r="AP164" s="203">
        <f t="shared" si="92"/>
        <v>143.13868540204453</v>
      </c>
      <c r="AQ164" s="204">
        <f t="shared" si="93"/>
        <v>3.4753365237100184</v>
      </c>
      <c r="AR164" s="202"/>
      <c r="AS164" s="263">
        <v>4812.7725</v>
      </c>
      <c r="AT164" s="203">
        <f t="shared" si="111"/>
        <v>131.41142211191115</v>
      </c>
      <c r="AU164" s="204">
        <f t="shared" si="112"/>
        <v>3.0482816541849029</v>
      </c>
      <c r="AV164" s="202"/>
      <c r="AW164" s="263">
        <v>4838.5303099999992</v>
      </c>
      <c r="AX164" s="203">
        <f t="shared" si="113"/>
        <v>131.98809100342507</v>
      </c>
      <c r="AY164" s="204">
        <f t="shared" si="114"/>
        <v>5.0467667572907526</v>
      </c>
      <c r="BA164" s="191">
        <f t="shared" si="98"/>
        <v>58187.864459999997</v>
      </c>
      <c r="BB164" s="189">
        <f t="shared" si="99"/>
        <v>1635.9869298014398</v>
      </c>
      <c r="BC164" s="190">
        <f t="shared" si="115"/>
        <v>4.4667853353977538</v>
      </c>
    </row>
    <row r="165" spans="1:55">
      <c r="C165" s="188" t="s">
        <v>351</v>
      </c>
      <c r="E165" s="265">
        <v>480.8565200000005</v>
      </c>
      <c r="F165" s="205">
        <f t="shared" si="101"/>
        <v>14.652888638337439</v>
      </c>
      <c r="G165" s="206">
        <f t="shared" si="102"/>
        <v>0.91323706066297528</v>
      </c>
      <c r="H165" s="201"/>
      <c r="I165" s="266">
        <v>-480.85657000000032</v>
      </c>
      <c r="J165" s="205">
        <f t="shared" si="103"/>
        <v>-14.455591262731337</v>
      </c>
      <c r="K165" s="206">
        <f t="shared" si="104"/>
        <v>-0.73185455967655622</v>
      </c>
      <c r="M165" s="207">
        <v>6</v>
      </c>
      <c r="N165" s="208">
        <f t="shared" si="105"/>
        <v>0.17230041151081618</v>
      </c>
      <c r="O165" s="209">
        <f t="shared" si="106"/>
        <v>8.5991122179376253E-3</v>
      </c>
      <c r="Q165" s="207">
        <v>19</v>
      </c>
      <c r="R165" s="208">
        <f t="shared" si="107"/>
        <v>0.54766722586372885</v>
      </c>
      <c r="S165" s="209">
        <f t="shared" si="108"/>
        <v>1.9529551968895227E-2</v>
      </c>
      <c r="U165" s="210">
        <v>35</v>
      </c>
      <c r="V165" s="210">
        <f t="shared" si="82"/>
        <v>1.0040016637741855</v>
      </c>
      <c r="W165" s="210">
        <f t="shared" si="83"/>
        <v>2.4611503254747893E-2</v>
      </c>
      <c r="X165" s="210"/>
      <c r="Y165" s="207">
        <v>15</v>
      </c>
      <c r="Z165" s="211">
        <f t="shared" si="84"/>
        <v>0.42775624737999302</v>
      </c>
      <c r="AA165" s="212">
        <f t="shared" si="85"/>
        <v>1.3809279680397501E-2</v>
      </c>
      <c r="AB165" s="210"/>
      <c r="AC165" s="213">
        <v>18</v>
      </c>
      <c r="AD165" s="208">
        <f t="shared" si="109"/>
        <v>0.50424546669318626</v>
      </c>
      <c r="AE165" s="209">
        <f t="shared" si="110"/>
        <v>1.4625561002789866E-2</v>
      </c>
      <c r="AG165" s="213">
        <v>-4</v>
      </c>
      <c r="AH165" s="208">
        <f t="shared" si="88"/>
        <v>-0.10778823922521813</v>
      </c>
      <c r="AI165" s="209">
        <f t="shared" si="89"/>
        <v>-4.2140995865672893E-3</v>
      </c>
      <c r="AK165" s="213">
        <v>3</v>
      </c>
      <c r="AL165" s="208">
        <f t="shared" si="90"/>
        <v>7.9315090275050876E-2</v>
      </c>
      <c r="AM165" s="209">
        <f t="shared" si="91"/>
        <v>1.9777351454979769E-3</v>
      </c>
      <c r="AO165" s="213">
        <v>3</v>
      </c>
      <c r="AP165" s="208">
        <f t="shared" si="92"/>
        <v>8.0327073215566064E-2</v>
      </c>
      <c r="AQ165" s="209">
        <f t="shared" si="93"/>
        <v>1.9503016295327668E-3</v>
      </c>
      <c r="AS165" s="213">
        <v>3</v>
      </c>
      <c r="AT165" s="208">
        <f t="shared" si="111"/>
        <v>8.1914170332325786E-2</v>
      </c>
      <c r="AU165" s="209">
        <f t="shared" si="112"/>
        <v>1.9001199334800693E-3</v>
      </c>
      <c r="AW165" s="213"/>
      <c r="AX165" s="208"/>
      <c r="AY165" s="209"/>
      <c r="BA165" s="191">
        <f t="shared" si="98"/>
        <v>97.999950000000183</v>
      </c>
      <c r="BB165" s="189">
        <f t="shared" si="99"/>
        <v>2.987036485425735</v>
      </c>
      <c r="BC165" s="190">
        <f t="shared" si="115"/>
        <v>8.155597411170697E-3</v>
      </c>
    </row>
    <row r="166" spans="1:55" s="34" customFormat="1">
      <c r="A166" s="12"/>
      <c r="B166" s="57"/>
      <c r="C166" s="58"/>
      <c r="D166" s="58" t="s">
        <v>174</v>
      </c>
      <c r="E166" s="27">
        <f>SUM(E120:E165)</f>
        <v>6787.8469974999998</v>
      </c>
      <c r="F166" s="59">
        <f>E166/$F$2</f>
        <v>206.8425029329758</v>
      </c>
      <c r="G166" s="60">
        <f>F166/$F$1*1000</f>
        <v>12.89139937257562</v>
      </c>
      <c r="H166" s="21"/>
      <c r="I166" s="27">
        <f>SUM(I120:I165)</f>
        <v>6154.000895000001</v>
      </c>
      <c r="J166" s="59">
        <f>+I166/J2</f>
        <v>185.00261225213745</v>
      </c>
      <c r="K166" s="60">
        <f t="shared" ref="K166" si="116">J166/$J$1*1000</f>
        <v>9.3662723902459231</v>
      </c>
      <c r="M166" s="27">
        <f>SUM(M120:M165)</f>
        <v>7111.4326625000003</v>
      </c>
      <c r="N166" s="59">
        <f>+M166/N2</f>
        <v>204.21712903003487</v>
      </c>
      <c r="O166" s="60">
        <f>N166/$N$1*1000</f>
        <v>10.19200124919074</v>
      </c>
      <c r="Q166" s="27">
        <f>SUM(Q120:Q165)</f>
        <v>6437.4180875000002</v>
      </c>
      <c r="R166" s="59">
        <f>+Q166/R2</f>
        <v>185.55594240558506</v>
      </c>
      <c r="S166" s="60">
        <f>R166/$R$1*1000</f>
        <v>6.616836372912493</v>
      </c>
      <c r="U166" s="27">
        <f>SUM(U120:U165)</f>
        <v>6407.1723674999994</v>
      </c>
      <c r="V166" s="59">
        <f>+U166/V2</f>
        <v>183.79462048737108</v>
      </c>
      <c r="W166" s="60">
        <f>V166/$V$1*1000</f>
        <v>4.5054326736130577</v>
      </c>
      <c r="Y166" s="27">
        <f>SUM(Y120:Y165)</f>
        <v>7001.0720774999991</v>
      </c>
      <c r="Z166" s="59">
        <f>+Y166/Z2</f>
        <v>199.6501546338834</v>
      </c>
      <c r="AA166" s="60">
        <f>Z166/$Z$1*1000</f>
        <v>6.4453174920546035</v>
      </c>
      <c r="AC166" s="27">
        <f>SUM(AC120:AC165)</f>
        <v>7488.8170625000002</v>
      </c>
      <c r="AD166" s="59">
        <f>+AC166/AD2</f>
        <v>209.78900303667825</v>
      </c>
      <c r="AE166" s="60">
        <f>AD166/$AD$1*1000</f>
        <v>6.0848972659070757</v>
      </c>
      <c r="AG166" s="27">
        <f>SUM(AG120:AG165)</f>
        <v>7509.0370325000004</v>
      </c>
      <c r="AH166" s="59">
        <f>+AG166/AH2</f>
        <v>202.34647000253304</v>
      </c>
      <c r="AI166" s="60">
        <f>AH166/$AH$1*1000</f>
        <v>7.9109574635441806</v>
      </c>
      <c r="AK166" s="27">
        <f>SUM(AK120:AK165)</f>
        <v>7046.1768375000001</v>
      </c>
      <c r="AL166" s="59">
        <f>+AK166/AL2</f>
        <v>186.28938398676166</v>
      </c>
      <c r="AM166" s="60">
        <f>AL166/$AL$1*1000</f>
        <v>4.6451571909725136</v>
      </c>
      <c r="AO166" s="27">
        <f>SUM(AO120:AO165)</f>
        <v>7561.5911474999994</v>
      </c>
      <c r="AP166" s="59">
        <f>+AO166/AP2</f>
        <v>202.46682857713623</v>
      </c>
      <c r="AQ166" s="60">
        <f>AP166/$AP$1*1000</f>
        <v>4.9157945122765971</v>
      </c>
      <c r="AS166" s="27">
        <f>SUM(AS120:AS165)</f>
        <v>8058.1007050000007</v>
      </c>
      <c r="AT166" s="59">
        <f>+AS166/AT2</f>
        <v>220.02421123480153</v>
      </c>
      <c r="AU166" s="60">
        <f>AT166/$AT$1*1000</f>
        <v>5.1037859251867674</v>
      </c>
      <c r="AW166" s="27">
        <f>SUM(AW120:AW165)</f>
        <v>4732.5868599999994</v>
      </c>
      <c r="AX166" s="59">
        <f>+AW166/AX2</f>
        <v>129.09810730508656</v>
      </c>
      <c r="AY166" s="60">
        <f>AX166/$AX$1*1000</f>
        <v>4.9362638054940753</v>
      </c>
      <c r="BA166" s="27">
        <f t="shared" si="98"/>
        <v>82295.252732499997</v>
      </c>
      <c r="BB166" s="59">
        <f t="shared" si="99"/>
        <v>2315.0769658849849</v>
      </c>
      <c r="BC166" s="60">
        <f t="shared" ref="BC166" si="117">BB166/$BB$1*1000</f>
        <v>6.320925707387687</v>
      </c>
    </row>
    <row r="167" spans="1:55">
      <c r="E167" s="189"/>
      <c r="F167" s="189"/>
      <c r="G167" s="197"/>
      <c r="H167" s="198"/>
      <c r="I167" s="189"/>
      <c r="J167" s="189"/>
      <c r="K167" s="197"/>
      <c r="M167" s="189"/>
      <c r="N167" s="189"/>
      <c r="O167" s="197"/>
      <c r="Q167" s="189"/>
      <c r="R167" s="189"/>
      <c r="S167" s="197"/>
      <c r="U167" s="189"/>
      <c r="V167" s="189"/>
      <c r="W167" s="197"/>
      <c r="Y167" s="189"/>
      <c r="Z167" s="189"/>
      <c r="AA167" s="197"/>
      <c r="AC167" s="189"/>
      <c r="AD167" s="189"/>
      <c r="AE167" s="197"/>
      <c r="AG167" s="189"/>
      <c r="AH167" s="189"/>
      <c r="AI167" s="197"/>
      <c r="AK167" s="189"/>
      <c r="AL167" s="189"/>
      <c r="AM167" s="197"/>
      <c r="AO167" s="189"/>
      <c r="AP167" s="189"/>
      <c r="AQ167" s="197"/>
      <c r="AS167" s="189"/>
      <c r="AT167" s="189"/>
      <c r="AU167" s="197"/>
      <c r="AW167" s="189"/>
      <c r="AX167" s="189"/>
      <c r="AY167" s="197"/>
      <c r="BA167" s="189"/>
      <c r="BB167" s="189"/>
      <c r="BC167" s="197"/>
    </row>
    <row r="168" spans="1:55" hidden="1">
      <c r="E168" s="189"/>
      <c r="F168" s="189"/>
      <c r="G168" s="197"/>
      <c r="H168" s="198"/>
      <c r="I168" s="189"/>
      <c r="J168" s="189"/>
      <c r="K168" s="197"/>
      <c r="M168" s="189"/>
      <c r="N168" s="189"/>
      <c r="O168" s="197"/>
      <c r="Q168" s="189"/>
      <c r="R168" s="189"/>
      <c r="S168" s="197"/>
      <c r="U168" s="189"/>
      <c r="V168" s="189"/>
      <c r="W168" s="197"/>
      <c r="Y168" s="189"/>
      <c r="Z168" s="189"/>
      <c r="AA168" s="197"/>
      <c r="AC168" s="189"/>
      <c r="AD168" s="189"/>
      <c r="AE168" s="197"/>
      <c r="AG168" s="189"/>
      <c r="AH168" s="189"/>
      <c r="AI168" s="197"/>
      <c r="AK168" s="189"/>
      <c r="AL168" s="189"/>
      <c r="AM168" s="197"/>
      <c r="AO168" s="189"/>
      <c r="AP168" s="189"/>
      <c r="AQ168" s="197"/>
      <c r="AS168" s="189"/>
      <c r="AT168" s="189"/>
      <c r="AU168" s="197"/>
      <c r="AW168" s="189"/>
      <c r="AX168" s="189"/>
      <c r="AY168" s="197"/>
      <c r="BA168" s="189"/>
      <c r="BB168" s="189"/>
      <c r="BC168" s="197"/>
    </row>
    <row r="169" spans="1:55" hidden="1">
      <c r="B169" s="214">
        <v>6666029700</v>
      </c>
      <c r="C169" s="167" t="s">
        <v>38</v>
      </c>
      <c r="E169" s="215">
        <f>VLOOKUP(B169,'2024 by account '!$A$105:$M$108,2,0)/1000</f>
        <v>6420.7640000000001</v>
      </c>
      <c r="F169" s="216">
        <f>E169/$F$2</f>
        <v>195.656575198452</v>
      </c>
      <c r="G169" s="195">
        <f>F169/$F$1*1000</f>
        <v>12.194239650885137</v>
      </c>
      <c r="H169" s="198"/>
      <c r="I169" s="215">
        <f>VLOOKUP(B169,'2024 by account '!$A$105:$M$108,3,0)/1000</f>
        <v>5638.8888200000001</v>
      </c>
      <c r="J169" s="216">
        <f>I169/$J$2</f>
        <v>169.51722622383087</v>
      </c>
      <c r="K169" s="195">
        <f t="shared" ref="K169:K173" si="118">J169/$J$1*1000</f>
        <v>8.5822816030696067</v>
      </c>
      <c r="M169" s="215">
        <f>VLOOKUP(B169,'2024 by account '!$A$105:$M$108,4,0)/1000</f>
        <v>6788.6009800000002</v>
      </c>
      <c r="N169" s="216">
        <f>M169/$N$2</f>
        <v>194.94645707278832</v>
      </c>
      <c r="O169" s="195">
        <f t="shared" ref="O169:O173" si="119">N169/$N$1*1000</f>
        <v>9.7293236049702205</v>
      </c>
      <c r="Q169" s="215">
        <f>VLOOKUP(B169,'2024 by account '!$A$105:$M$108,5,0)/1000</f>
        <v>5973.1056699999999</v>
      </c>
      <c r="R169" s="216">
        <f>Q169/$R$2</f>
        <v>172.17232695156892</v>
      </c>
      <c r="S169" s="195">
        <f>R169/$R$1*1000</f>
        <v>6.1395830314719859</v>
      </c>
      <c r="U169" s="215">
        <f>VLOOKUP(B169,'2024 by account '!$A$105:$M$108,6,0)/1000</f>
        <v>5993.2195899999997</v>
      </c>
      <c r="V169" s="216">
        <f>U169/$V$2</f>
        <v>171.92006970640122</v>
      </c>
      <c r="W169" s="195">
        <f>V169/$V$1*1000</f>
        <v>4.2143469555915383</v>
      </c>
      <c r="Y169" s="215">
        <f>VLOOKUP(B169,'2024 by account '!$A$105:$M$108,7,0)/1000</f>
        <v>5972.9755400000004</v>
      </c>
      <c r="Z169" s="216">
        <f>Y169/$Z$2</f>
        <v>170.33184017885918</v>
      </c>
      <c r="AA169" s="195">
        <f>Z169/$Z$1*1000</f>
        <v>5.4988326504022202</v>
      </c>
      <c r="AC169" s="215">
        <f>VLOOKUP(B169,'2024 by account '!$A$105:$M$108,8,0)/1000</f>
        <v>6975.1387300000006</v>
      </c>
      <c r="AD169" s="216">
        <f>AC169/$AD$2</f>
        <v>195.39900467547605</v>
      </c>
      <c r="AE169" s="195">
        <f>AD169/$AD$1*1000</f>
        <v>5.6675176110298482</v>
      </c>
      <c r="AG169" s="215">
        <f>VLOOKUP(B169,'2024 by account '!$A$105:$M$108,9,0)/1000</f>
        <v>7002.8656300000002</v>
      </c>
      <c r="AH169" s="216">
        <f>AG169/$AH$2</f>
        <v>188.70663894712447</v>
      </c>
      <c r="AI169" s="195">
        <f>AH169/$AH$1*1000</f>
        <v>7.3776932890423206</v>
      </c>
      <c r="AK169" s="215">
        <f>VLOOKUP(B169,'2024 by account '!$A$105:$M$108,10,0)/1000</f>
        <v>6553.2075400000003</v>
      </c>
      <c r="AL169" s="216">
        <f>AK169/$AL$2</f>
        <v>173.25608254208134</v>
      </c>
      <c r="AM169" s="195">
        <f>AL169/$AL$1*1000</f>
        <v>4.3201696225334461</v>
      </c>
      <c r="AO169" s="215">
        <f>VLOOKUP(B169,'2024 by account '!$A$105:$M$108,11,0)/1000</f>
        <v>7053.3251</v>
      </c>
      <c r="AP169" s="216">
        <f>AO169/$AP$2</f>
        <v>188.85765390696329</v>
      </c>
      <c r="AQ169" s="195">
        <f>AP169/$AP$1*1000</f>
        <v>4.5853704787181213</v>
      </c>
      <c r="AS169" s="215">
        <f>VLOOKUP(B169,'2024 by account '!$A$105:$M$108,12,0)/1000</f>
        <v>7547.8694999999998</v>
      </c>
      <c r="AT169" s="216">
        <f>AS169/$AT$2</f>
        <v>206.09248928972224</v>
      </c>
      <c r="AU169" s="195">
        <f>AT169/$AT$1*1000</f>
        <v>4.7806190974187484</v>
      </c>
      <c r="AW169" s="217">
        <f>VLOOKUP(B169,'2024 by account '!$A$105:$M$108,13,0)/1000</f>
        <v>4210.3477400000002</v>
      </c>
      <c r="AX169" s="217">
        <f>AW169/$AX$2</f>
        <v>114.85218135652957</v>
      </c>
      <c r="AY169" s="190">
        <f>AX169/$AX$1*1000</f>
        <v>4.3915490137471638</v>
      </c>
      <c r="BA169" s="215">
        <f t="shared" ref="BA169:BB173" si="120">SUM(AW169,AS169,AO169,AK169,AG169,AC169,Y169,U169,Q169,M169,I169,E169)</f>
        <v>76130.308839999998</v>
      </c>
      <c r="BB169" s="216">
        <f t="shared" si="120"/>
        <v>2141.7085460497974</v>
      </c>
      <c r="BC169" s="195">
        <f t="shared" ref="BC169:BC173" si="121">BB169/$BB$1*1000</f>
        <v>5.8475725887078909</v>
      </c>
    </row>
    <row r="170" spans="1:55" hidden="1">
      <c r="B170" s="214">
        <v>6666020701</v>
      </c>
      <c r="C170" s="167" t="s">
        <v>63</v>
      </c>
      <c r="E170" s="218">
        <f>VLOOKUP(B170,'2024 by account '!$A$105:$M$108,2,0)/1000</f>
        <v>257</v>
      </c>
      <c r="F170" s="217">
        <f t="shared" ref="F170:F173" si="122">E170/$F$2</f>
        <v>7.8314262642268373</v>
      </c>
      <c r="G170" s="190">
        <f t="shared" ref="G170:G173" si="123">F170/$F$1*1000</f>
        <v>0.48809138449528439</v>
      </c>
      <c r="H170" s="198"/>
      <c r="I170" s="218">
        <f>VLOOKUP(B170,'2024 by account '!$A$105:$M$108,3,0)/1000</f>
        <v>257.02694000000002</v>
      </c>
      <c r="J170" s="217">
        <f t="shared" ref="J170:J172" si="124">I170/$J$2</f>
        <v>7.7267871959211654</v>
      </c>
      <c r="K170" s="190">
        <f t="shared" si="118"/>
        <v>0.39119011724995778</v>
      </c>
      <c r="M170" s="218">
        <f>VLOOKUP(B170,'2024 by account '!$A$105:$M$108,4,0)/1000</f>
        <v>257.01306</v>
      </c>
      <c r="N170" s="217">
        <f t="shared" ref="N170:N172" si="125">M170/$N$2</f>
        <v>7.3805760002756813</v>
      </c>
      <c r="O170" s="190">
        <f t="shared" si="119"/>
        <v>0.36834735740258928</v>
      </c>
      <c r="Q170" s="218">
        <f>VLOOKUP(B170,'2024 by account '!$A$105:$M$108,5,0)/1000</f>
        <v>257.01400000000001</v>
      </c>
      <c r="R170" s="217">
        <f t="shared" ref="R170:R172" si="126">Q170/$R$2</f>
        <v>7.4083233888494959</v>
      </c>
      <c r="S170" s="190">
        <f t="shared" ref="S170:S172" si="127">R170/$R$1*1000</f>
        <v>0.264177277354402</v>
      </c>
      <c r="U170" s="218">
        <f>VLOOKUP(B170,'2024 by account '!$A$105:$M$108,6,0)/1000</f>
        <v>257.01350000000002</v>
      </c>
      <c r="V170" s="217">
        <f t="shared" ref="V170:V172" si="128">U170/$V$2</f>
        <v>7.3726280460693339</v>
      </c>
      <c r="W170" s="190">
        <f t="shared" ref="W170:W172" si="129">V170/$V$1*1000</f>
        <v>0.18072824547897567</v>
      </c>
      <c r="Y170" s="218">
        <f>VLOOKUP(B170,'2024 by account '!$A$105:$M$108,7,0)/1000</f>
        <v>865.78381999999999</v>
      </c>
      <c r="Z170" s="217">
        <f t="shared" ref="Z170:Z172" si="130">Y170/$Z$2</f>
        <v>24.68962919236769</v>
      </c>
      <c r="AA170" s="190">
        <f t="shared" ref="AA170:AA172" si="131">Z170/$Z$1*1000</f>
        <v>0.79705672754286183</v>
      </c>
      <c r="AC170" s="218">
        <f>VLOOKUP(B170,'2024 by account '!$A$105:$M$108,8,0)/1000</f>
        <v>358.47521999999998</v>
      </c>
      <c r="AD170" s="217">
        <f t="shared" ref="AD170:AD173" si="132">AC170/$AD$2</f>
        <v>10.042194700380145</v>
      </c>
      <c r="AE170" s="190">
        <f t="shared" ref="AE170:AE173" si="133">AD170/$AD$1*1000</f>
        <v>0.29127228878325101</v>
      </c>
      <c r="AG170" s="218">
        <f>VLOOKUP(B170,'2024 by account '!$A$105:$M$108,9,0)/1000</f>
        <v>358.47521999999998</v>
      </c>
      <c r="AH170" s="217">
        <f t="shared" ref="AH170:AH173" si="134">AG170/$AH$2</f>
        <v>9.6598531924181739</v>
      </c>
      <c r="AI170" s="190">
        <f t="shared" ref="AI170:AI173" si="135">AH170/$AH$1*1000</f>
        <v>0.37766256909915447</v>
      </c>
      <c r="AK170" s="218">
        <f>VLOOKUP(B170,'2024 by account '!$A$105:$M$108,10,0)/1000</f>
        <v>358.47521999999998</v>
      </c>
      <c r="AL170" s="217">
        <f t="shared" ref="AL170:AL173" si="136">AK170/$AL$2</f>
        <v>9.4774981452229063</v>
      </c>
      <c r="AM170" s="190">
        <f t="shared" ref="AM170:AM173" si="137">AL170/$AL$1*1000</f>
        <v>0.23632301379470644</v>
      </c>
      <c r="AO170" s="218">
        <f>VLOOKUP(B170,'2024 by account '!$A$105:$M$108,11,0)/1000</f>
        <v>358.47521999999998</v>
      </c>
      <c r="AP170" s="217">
        <f t="shared" ref="AP170:AP173" si="138">AO170/$AP$2</f>
        <v>9.598421747635383</v>
      </c>
      <c r="AQ170" s="190">
        <f t="shared" ref="AQ170:AQ173" si="139">AP170/$AP$1*1000</f>
        <v>0.23304493523770564</v>
      </c>
      <c r="AS170" s="218">
        <f>VLOOKUP(B170,'2024 by account '!$A$105:$M$108,12,0)/1000</f>
        <v>358.47521999999998</v>
      </c>
      <c r="AT170" s="217">
        <f t="shared" ref="AT170:AT173" si="140">AS170/$AT$2</f>
        <v>9.7880667436659863</v>
      </c>
      <c r="AU170" s="190">
        <f t="shared" ref="AU170:AU173" si="141">AT170/$AT$1*1000</f>
        <v>0.22704863706021775</v>
      </c>
      <c r="AW170" s="217">
        <f>VLOOKUP(B170,'2024 by account '!$A$105:$M$108,13,0)/1000</f>
        <v>358.47521999999998</v>
      </c>
      <c r="AX170" s="217">
        <f t="shared" ref="AX170:AX173" si="142">AW170/$AX$2</f>
        <v>9.7786842136848851</v>
      </c>
      <c r="AY170" s="190">
        <f t="shared" ref="AY170:AY173" si="143">AX170/$AX$1*1000</f>
        <v>0.37390296385442912</v>
      </c>
      <c r="BA170" s="218">
        <f t="shared" si="120"/>
        <v>4301.7026399999995</v>
      </c>
      <c r="BB170" s="217">
        <f t="shared" si="120"/>
        <v>120.75408883071768</v>
      </c>
      <c r="BC170" s="190">
        <f t="shared" si="121"/>
        <v>0.32969859560175852</v>
      </c>
    </row>
    <row r="171" spans="1:55" hidden="1">
      <c r="B171" s="214">
        <v>6666022300</v>
      </c>
      <c r="C171" s="167" t="s">
        <v>69</v>
      </c>
      <c r="E171" s="218">
        <f>VLOOKUP(B171,'2024 by account '!$A$105:$M$108,2,0)/1000</f>
        <v>110.083</v>
      </c>
      <c r="F171" s="217">
        <f t="shared" si="122"/>
        <v>3.3545015464781436</v>
      </c>
      <c r="G171" s="190">
        <f t="shared" si="123"/>
        <v>0.20906834194316881</v>
      </c>
      <c r="H171" s="198"/>
      <c r="I171" s="218">
        <f>VLOOKUP(B171,'2024 by account '!$A$105:$M$108,3,0)/1000</f>
        <v>258.08513999999997</v>
      </c>
      <c r="J171" s="217">
        <f t="shared" si="124"/>
        <v>7.7585989826962143</v>
      </c>
      <c r="K171" s="190">
        <f t="shared" si="118"/>
        <v>0.39280067753626036</v>
      </c>
      <c r="M171" s="218">
        <f>VLOOKUP(B171,'2024 by account '!$A$105:$M$108,4,0)/1000</f>
        <v>64.381550000000004</v>
      </c>
      <c r="N171" s="217">
        <f t="shared" si="125"/>
        <v>1.8488279264506979</v>
      </c>
      <c r="O171" s="190">
        <f t="shared" si="119"/>
        <v>9.2270695535793687E-2</v>
      </c>
      <c r="Q171" s="218">
        <f>VLOOKUP(B171,'2024 by account '!$A$105:$M$108,5,0)/1000</f>
        <v>140.78395</v>
      </c>
      <c r="R171" s="217">
        <f t="shared" si="126"/>
        <v>4.0580397548756801</v>
      </c>
      <c r="S171" s="190">
        <f t="shared" si="127"/>
        <v>0.14470776146901829</v>
      </c>
      <c r="U171" s="218">
        <f>VLOOKUP(B171,'2024 by account '!$A$105:$M$108,6,0)/1000</f>
        <v>156.36648000000002</v>
      </c>
      <c r="V171" s="217">
        <f t="shared" si="128"/>
        <v>4.4854916022432274</v>
      </c>
      <c r="W171" s="190">
        <f t="shared" si="129"/>
        <v>0.10995468947009922</v>
      </c>
      <c r="Y171" s="218">
        <f>VLOOKUP(B171,'2024 by account '!$A$105:$M$108,7,0)/1000</f>
        <v>162.73504</v>
      </c>
      <c r="Z171" s="217">
        <f t="shared" si="130"/>
        <v>4.6407286685088707</v>
      </c>
      <c r="AA171" s="190">
        <f t="shared" si="131"/>
        <v>0.14981691207737832</v>
      </c>
      <c r="AC171" s="218">
        <f>VLOOKUP(B171,'2024 by account '!$A$105:$M$108,8,0)/1000</f>
        <v>151.04701</v>
      </c>
      <c r="AD171" s="217">
        <f t="shared" si="132"/>
        <v>4.2313761138922432</v>
      </c>
      <c r="AE171" s="190">
        <f t="shared" si="133"/>
        <v>0.12273040328022285</v>
      </c>
      <c r="AG171" s="218">
        <f>VLOOKUP(B171,'2024 by account '!$A$105:$M$108,9,0)/1000</f>
        <v>151.69619</v>
      </c>
      <c r="AH171" s="217">
        <f t="shared" si="134"/>
        <v>4.0877663043185359</v>
      </c>
      <c r="AI171" s="190">
        <f t="shared" si="135"/>
        <v>0.15981571289070828</v>
      </c>
      <c r="AK171" s="218">
        <f>VLOOKUP(B171,'2024 by account '!$A$105:$M$108,10,0)/1000</f>
        <v>134.95750000000001</v>
      </c>
      <c r="AL171" s="217">
        <f t="shared" si="136"/>
        <v>3.5680554319317261</v>
      </c>
      <c r="AM171" s="190">
        <f t="shared" si="137"/>
        <v>8.8970063632847748E-2</v>
      </c>
      <c r="AO171" s="218">
        <f>VLOOKUP(B171,'2024 by account '!$A$105:$M$108,11,0)/1000</f>
        <v>149.62203</v>
      </c>
      <c r="AP171" s="217">
        <f t="shared" si="138"/>
        <v>4.0062332528238738</v>
      </c>
      <c r="AQ171" s="190">
        <f t="shared" si="139"/>
        <v>9.7269362974333501E-2</v>
      </c>
      <c r="AS171" s="218">
        <f>VLOOKUP(B171,'2024 by account '!$A$105:$M$108,12,0)/1000</f>
        <v>150.85418999999999</v>
      </c>
      <c r="AT171" s="217">
        <f t="shared" si="140"/>
        <v>4.119031938335012</v>
      </c>
      <c r="AU171" s="190">
        <f t="shared" si="141"/>
        <v>9.5547017822663241E-2</v>
      </c>
      <c r="AW171" s="217">
        <f>VLOOKUP(B171,'2024 by account '!$A$105:$M$108,13,0)/1000</f>
        <v>167.59379999999999</v>
      </c>
      <c r="AX171" s="217">
        <f t="shared" si="142"/>
        <v>4.5717158535294624</v>
      </c>
      <c r="AY171" s="190">
        <f t="shared" si="143"/>
        <v>0.17480655578822554</v>
      </c>
      <c r="BA171" s="218">
        <f t="shared" si="120"/>
        <v>1798.2058800000002</v>
      </c>
      <c r="BB171" s="217">
        <f t="shared" si="120"/>
        <v>50.730367376083677</v>
      </c>
      <c r="BC171" s="190">
        <f t="shared" si="121"/>
        <v>0.13851067935019135</v>
      </c>
    </row>
    <row r="172" spans="1:55" hidden="1">
      <c r="B172" s="214">
        <v>6666029900</v>
      </c>
      <c r="C172" s="188" t="s">
        <v>70</v>
      </c>
      <c r="E172" s="218">
        <f>VLOOKUP(B172,'2024 by account '!$A$105:$M$108,2,0)</f>
        <v>0</v>
      </c>
      <c r="F172" s="217">
        <f t="shared" si="122"/>
        <v>0</v>
      </c>
      <c r="G172" s="190">
        <f t="shared" si="123"/>
        <v>0</v>
      </c>
      <c r="H172" s="198"/>
      <c r="I172" s="218">
        <f>VLOOKUP(B172,'2024 by account '!$A$105:$M$108,3,0)/1000</f>
        <v>0</v>
      </c>
      <c r="J172" s="217">
        <f t="shared" si="124"/>
        <v>0</v>
      </c>
      <c r="K172" s="190">
        <f t="shared" si="118"/>
        <v>0</v>
      </c>
      <c r="M172" s="218">
        <f>VLOOKUP(B172,'2024 by account '!$A$105:$M$108,4,0)/1000</f>
        <v>0</v>
      </c>
      <c r="N172" s="217">
        <f t="shared" si="125"/>
        <v>0</v>
      </c>
      <c r="O172" s="190">
        <f t="shared" si="119"/>
        <v>0</v>
      </c>
      <c r="Q172" s="218">
        <f>VLOOKUP(B172,'2024 by account '!$A$105:$M$108,5,0)/1000</f>
        <v>57.620239999999995</v>
      </c>
      <c r="R172" s="217">
        <f t="shared" si="126"/>
        <v>1.6608798418106454</v>
      </c>
      <c r="S172" s="190">
        <f t="shared" si="127"/>
        <v>5.9226182712642919E-2</v>
      </c>
      <c r="U172" s="218">
        <f>VLOOKUP(B172,'2024 by account '!$A$105:$M$108,6,0)/1000</f>
        <v>0</v>
      </c>
      <c r="V172" s="217">
        <f t="shared" si="128"/>
        <v>0</v>
      </c>
      <c r="W172" s="190">
        <f t="shared" si="129"/>
        <v>0</v>
      </c>
      <c r="Y172" s="218">
        <f>VLOOKUP(B172,'2024 by account '!$A$105:$M$108,7,0)/1000</f>
        <v>0</v>
      </c>
      <c r="Z172" s="217">
        <f t="shared" si="130"/>
        <v>0</v>
      </c>
      <c r="AA172" s="190">
        <f t="shared" si="131"/>
        <v>0</v>
      </c>
      <c r="AC172" s="218">
        <f>VLOOKUP(B172,'2024 by account '!$A$105:$M$108,8,0)/1000</f>
        <v>0</v>
      </c>
      <c r="AD172" s="217">
        <f t="shared" si="132"/>
        <v>0</v>
      </c>
      <c r="AE172" s="190">
        <f t="shared" si="133"/>
        <v>0</v>
      </c>
      <c r="AG172" s="218">
        <f>VLOOKUP(B172,'2024 by account '!$A$105:$M$108,9,0)/1000</f>
        <v>0</v>
      </c>
      <c r="AH172" s="217">
        <f t="shared" si="134"/>
        <v>0</v>
      </c>
      <c r="AI172" s="190">
        <f t="shared" si="135"/>
        <v>0</v>
      </c>
      <c r="AK172" s="218">
        <f>VLOOKUP(B172,'2024 by account '!$A$105:$M$108,10,0)/1000</f>
        <v>0</v>
      </c>
      <c r="AL172" s="217">
        <f t="shared" si="136"/>
        <v>0</v>
      </c>
      <c r="AM172" s="190">
        <f t="shared" si="137"/>
        <v>0</v>
      </c>
      <c r="AO172" s="218">
        <f>VLOOKUP(B172,'2024 by account '!$A$105:$M$108,11,0)/1000</f>
        <v>0</v>
      </c>
      <c r="AP172" s="217">
        <f t="shared" si="138"/>
        <v>0</v>
      </c>
      <c r="AQ172" s="190">
        <f t="shared" si="139"/>
        <v>0</v>
      </c>
      <c r="AS172" s="218">
        <f>VLOOKUP(B172,'2024 by account '!$A$105:$M$108,12,0)/1000</f>
        <v>0</v>
      </c>
      <c r="AT172" s="217">
        <f t="shared" si="140"/>
        <v>0</v>
      </c>
      <c r="AU172" s="190">
        <f t="shared" si="141"/>
        <v>0</v>
      </c>
      <c r="AW172" s="217">
        <f>VLOOKUP(B172,'2024 by account '!$A$105:$M$108,13,0)/1000</f>
        <v>0</v>
      </c>
      <c r="AX172" s="217">
        <f t="shared" si="142"/>
        <v>0</v>
      </c>
      <c r="AY172" s="190">
        <f t="shared" si="143"/>
        <v>0</v>
      </c>
      <c r="BA172" s="218">
        <f t="shared" si="120"/>
        <v>57.620239999999995</v>
      </c>
      <c r="BB172" s="217">
        <f t="shared" si="120"/>
        <v>1.6608798418106454</v>
      </c>
      <c r="BC172" s="190">
        <f t="shared" si="121"/>
        <v>4.534751217210491E-3</v>
      </c>
    </row>
    <row r="173" spans="1:55" s="34" customFormat="1" hidden="1">
      <c r="A173" s="12"/>
      <c r="B173" s="57"/>
      <c r="C173" s="58"/>
      <c r="D173" s="58" t="s">
        <v>174</v>
      </c>
      <c r="E173" s="27">
        <f>SUM(E169:E172)</f>
        <v>6787.8469999999998</v>
      </c>
      <c r="F173" s="59">
        <f t="shared" si="122"/>
        <v>206.84250300915699</v>
      </c>
      <c r="G173" s="60">
        <f t="shared" si="123"/>
        <v>12.891399377323589</v>
      </c>
      <c r="H173" s="21"/>
      <c r="I173" s="27">
        <f>SUM(I169:I172)</f>
        <v>6154.0009</v>
      </c>
      <c r="J173" s="59">
        <f>SUM(J169:J172)</f>
        <v>185.00261240244825</v>
      </c>
      <c r="K173" s="60">
        <f t="shared" si="118"/>
        <v>9.3662723978558251</v>
      </c>
      <c r="M173" s="27">
        <f>SUM(M169:M172)</f>
        <v>7109.9955900000004</v>
      </c>
      <c r="N173" s="59">
        <f>SUM(N169:N172)</f>
        <v>204.1758609995147</v>
      </c>
      <c r="O173" s="60">
        <f t="shared" si="119"/>
        <v>10.189941657908603</v>
      </c>
      <c r="Q173" s="27">
        <f>SUM(Q169:Q172)</f>
        <v>6428.5238600000002</v>
      </c>
      <c r="R173" s="59">
        <f>SUM(R169:R172)</f>
        <v>185.29956993710474</v>
      </c>
      <c r="S173" s="60">
        <f t="shared" ref="S173" si="144">R173/$N$1*1000</f>
        <v>9.2478699374709166</v>
      </c>
      <c r="U173" s="27">
        <f>SUM(U169:U172)</f>
        <v>6406.5995699999994</v>
      </c>
      <c r="V173" s="59">
        <f>SUM(V169:V172)</f>
        <v>183.77818935471379</v>
      </c>
      <c r="W173" s="60">
        <f t="shared" ref="W173" si="145">V173/$N$1*1000</f>
        <v>9.1719413761897393</v>
      </c>
      <c r="Y173" s="27">
        <f>SUM(Y169:Y172)</f>
        <v>7001.4943999999996</v>
      </c>
      <c r="Z173" s="59">
        <f>SUM(Z169:Z172)</f>
        <v>199.66219803973576</v>
      </c>
      <c r="AA173" s="60">
        <f>Z173/$Z$1*1000</f>
        <v>6.4457062900224606</v>
      </c>
      <c r="AC173" s="27">
        <f>SUM(AC169:AC172)</f>
        <v>7484.6609600000011</v>
      </c>
      <c r="AD173" s="59">
        <f t="shared" si="132"/>
        <v>209.67257548974845</v>
      </c>
      <c r="AE173" s="60">
        <f t="shared" si="133"/>
        <v>6.0815203030933223</v>
      </c>
      <c r="AG173" s="27">
        <f>SUM(AG169:AG172)</f>
        <v>7513.0370400000002</v>
      </c>
      <c r="AH173" s="59">
        <f t="shared" si="134"/>
        <v>202.45425844386119</v>
      </c>
      <c r="AI173" s="60">
        <f t="shared" si="135"/>
        <v>7.9151715710321833</v>
      </c>
      <c r="AK173" s="27">
        <f>SUM(AK169:AK172)</f>
        <v>7046.640260000001</v>
      </c>
      <c r="AL173" s="59">
        <f t="shared" si="136"/>
        <v>186.30163611923601</v>
      </c>
      <c r="AM173" s="60">
        <f t="shared" si="137"/>
        <v>4.6454626999610023</v>
      </c>
      <c r="AO173" s="27">
        <f>SUM(AO169:AO172)</f>
        <v>7561.4223500000007</v>
      </c>
      <c r="AP173" s="59">
        <f t="shared" si="138"/>
        <v>202.46230890742257</v>
      </c>
      <c r="AQ173" s="60">
        <f t="shared" si="139"/>
        <v>4.9156847769301617</v>
      </c>
      <c r="AS173" s="27">
        <f>SUM(AS169:AS172)</f>
        <v>8057.1989100000001</v>
      </c>
      <c r="AT173" s="59">
        <f t="shared" si="140"/>
        <v>219.99958797172323</v>
      </c>
      <c r="AU173" s="60">
        <f t="shared" si="141"/>
        <v>5.1032147523016294</v>
      </c>
      <c r="AW173" s="59">
        <f>SUM(AW169:AW172)</f>
        <v>4736.4167600000001</v>
      </c>
      <c r="AX173" s="59">
        <f t="shared" si="142"/>
        <v>129.20258142374391</v>
      </c>
      <c r="AY173" s="60">
        <f t="shared" si="143"/>
        <v>4.9402585333898177</v>
      </c>
      <c r="BA173" s="27">
        <f t="shared" si="120"/>
        <v>82287.837599999999</v>
      </c>
      <c r="BB173" s="59">
        <f t="shared" si="120"/>
        <v>2314.8538820984099</v>
      </c>
      <c r="BC173" s="60">
        <f t="shared" si="121"/>
        <v>6.3203166148770533</v>
      </c>
    </row>
    <row r="174" spans="1:55">
      <c r="E174" s="189"/>
      <c r="F174" s="189"/>
      <c r="G174" s="197"/>
      <c r="H174" s="198"/>
      <c r="I174" s="189"/>
      <c r="J174" s="189"/>
      <c r="K174" s="197"/>
      <c r="M174" s="189"/>
      <c r="N174" s="189"/>
      <c r="O174" s="197"/>
      <c r="Q174" s="189"/>
      <c r="R174" s="189"/>
      <c r="S174" s="197"/>
      <c r="U174" s="189"/>
      <c r="V174" s="189"/>
      <c r="W174" s="197"/>
      <c r="Y174" s="189"/>
      <c r="Z174" s="189"/>
      <c r="AA174" s="197"/>
      <c r="AC174" s="189"/>
      <c r="AD174" s="189"/>
      <c r="AE174" s="197"/>
      <c r="AG174" s="189"/>
      <c r="AH174" s="189"/>
      <c r="AI174" s="197"/>
      <c r="AK174" s="189"/>
      <c r="AL174" s="189"/>
      <c r="AM174" s="197"/>
      <c r="AO174" s="189"/>
      <c r="AP174" s="189"/>
      <c r="AQ174" s="197"/>
      <c r="AS174" s="189"/>
      <c r="AT174" s="189"/>
      <c r="AU174" s="197"/>
      <c r="AW174" s="189"/>
      <c r="AX174" s="189"/>
      <c r="AY174" s="197"/>
      <c r="BA174" s="189"/>
      <c r="BB174" s="189"/>
      <c r="BC174" s="197"/>
    </row>
    <row r="175" spans="1:55">
      <c r="E175" s="189"/>
      <c r="F175" s="189"/>
      <c r="G175" s="197"/>
      <c r="H175" s="198"/>
      <c r="I175" s="189"/>
      <c r="J175" s="189"/>
      <c r="K175" s="197"/>
      <c r="M175" s="189"/>
      <c r="N175" s="189"/>
      <c r="O175" s="197"/>
      <c r="Q175" s="189"/>
      <c r="R175" s="189"/>
      <c r="S175" s="197"/>
      <c r="U175" s="189"/>
      <c r="V175" s="189"/>
      <c r="W175" s="197"/>
      <c r="Y175" s="189"/>
      <c r="Z175" s="189"/>
      <c r="AA175" s="197"/>
      <c r="AC175" s="189"/>
      <c r="AD175" s="189"/>
      <c r="AE175" s="197"/>
      <c r="AG175" s="189"/>
      <c r="AH175" s="189"/>
      <c r="AI175" s="197"/>
      <c r="AK175" s="189"/>
      <c r="AL175" s="189"/>
      <c r="AM175" s="197"/>
      <c r="AO175" s="189"/>
      <c r="AP175" s="189"/>
      <c r="AQ175" s="197"/>
      <c r="AS175" s="189"/>
      <c r="AT175" s="189"/>
      <c r="AU175" s="197"/>
      <c r="AW175" s="189"/>
      <c r="AX175" s="189"/>
      <c r="AY175" s="197"/>
      <c r="BA175" s="189"/>
      <c r="BB175" s="189"/>
      <c r="BC175" s="197"/>
    </row>
    <row r="176" spans="1:55">
      <c r="E176" s="189"/>
      <c r="F176" s="189"/>
      <c r="G176" s="197"/>
      <c r="H176" s="198"/>
      <c r="I176" s="189"/>
      <c r="J176" s="189"/>
      <c r="K176" s="197"/>
      <c r="M176" s="189"/>
      <c r="N176" s="189"/>
      <c r="O176" s="197"/>
      <c r="Q176" s="189"/>
      <c r="R176" s="189"/>
      <c r="S176" s="197"/>
      <c r="U176" s="189"/>
      <c r="V176" s="189"/>
      <c r="W176" s="197"/>
      <c r="Y176" s="189"/>
      <c r="Z176" s="189"/>
      <c r="AA176" s="197"/>
      <c r="AC176" s="189"/>
      <c r="AD176" s="189"/>
      <c r="AE176" s="197"/>
      <c r="AG176" s="189"/>
      <c r="AH176" s="189"/>
      <c r="AI176" s="197"/>
      <c r="AK176" s="189"/>
      <c r="AL176" s="189"/>
      <c r="AM176" s="197"/>
      <c r="AO176" s="189"/>
      <c r="AP176" s="189"/>
      <c r="AQ176" s="197"/>
      <c r="AS176" s="189"/>
      <c r="AT176" s="189"/>
      <c r="AU176" s="197"/>
      <c r="AW176" s="189"/>
      <c r="AX176" s="189"/>
      <c r="AY176" s="197"/>
      <c r="BA176" s="189"/>
      <c r="BB176" s="189"/>
      <c r="BC176" s="197"/>
    </row>
    <row r="177" spans="1:55" s="34" customFormat="1">
      <c r="A177" s="12"/>
      <c r="B177" s="12"/>
      <c r="C177" s="12"/>
      <c r="D177" s="12" t="s">
        <v>140</v>
      </c>
      <c r="E177" s="20">
        <f>E117+E166</f>
        <v>30918.267947500004</v>
      </c>
      <c r="F177" s="20">
        <f>F117+F166</f>
        <v>942.15616983834366</v>
      </c>
      <c r="G177" s="49">
        <f>F177/$F$1*1000</f>
        <v>58.719611706970625</v>
      </c>
      <c r="H177" s="21"/>
      <c r="I177" s="20">
        <f>I117+I166</f>
        <v>31759.062895000006</v>
      </c>
      <c r="J177" s="20">
        <f>J117+J166</f>
        <v>954.7463022029558</v>
      </c>
      <c r="K177" s="49">
        <f>J177/$J$1*1000</f>
        <v>48.336690066978321</v>
      </c>
      <c r="M177" s="20">
        <f>M117+M166</f>
        <v>37097.829412500003</v>
      </c>
      <c r="N177" s="20">
        <f>N117+N166</f>
        <v>1065.3285456553017</v>
      </c>
      <c r="O177" s="49">
        <f>N177/$N$1*1000</f>
        <v>53.168066359999088</v>
      </c>
      <c r="Q177" s="20">
        <f>Q117+Q166</f>
        <v>44359.419237500006</v>
      </c>
      <c r="R177" s="20">
        <f>R117+R166</f>
        <v>1278.6421091961977</v>
      </c>
      <c r="S177" s="49">
        <f>R177/$R$1*1000</f>
        <v>45.595767542566691</v>
      </c>
      <c r="U177" s="20">
        <f>U117+U166</f>
        <v>43388.181587500003</v>
      </c>
      <c r="V177" s="20">
        <f>V117+V166</f>
        <v>1244.6230429138998</v>
      </c>
      <c r="W177" s="49">
        <f>V177/$V$1*1000</f>
        <v>30.509953495952832</v>
      </c>
      <c r="Y177" s="20">
        <f>Y117+Y166</f>
        <v>46604.070777499997</v>
      </c>
      <c r="Z177" s="20">
        <f>Z117+Z166</f>
        <v>1329.0121618943328</v>
      </c>
      <c r="AA177" s="49">
        <f>Z177/$Z$1*1000</f>
        <v>42.904576507435848</v>
      </c>
      <c r="AC177" s="20">
        <f>AC117+AC166</f>
        <v>46313.864362500004</v>
      </c>
      <c r="AD177" s="20">
        <f>AD117+AD166</f>
        <v>1297.4197861018745</v>
      </c>
      <c r="AE177" s="49">
        <f>AD177/$AD$1*1000</f>
        <v>37.63145825048219</v>
      </c>
      <c r="AG177" s="20">
        <f>AG117+AG166</f>
        <v>41841.258582499999</v>
      </c>
      <c r="AH177" s="20">
        <f>AH117+AH166</f>
        <v>1127.4988973936802</v>
      </c>
      <c r="AI177" s="49">
        <f>AH177/$AH$1*1000</f>
        <v>44.08080762349207</v>
      </c>
      <c r="AK177" s="20">
        <f>AK117+AK166</f>
        <v>43706.665587499992</v>
      </c>
      <c r="AL177" s="20">
        <f>AL117+AL166</f>
        <v>1155.5327088980071</v>
      </c>
      <c r="AM177" s="49">
        <f>AL177/$AL$1*1000</f>
        <v>28.813402874975239</v>
      </c>
      <c r="AO177" s="20">
        <f>AO117+AO166</f>
        <v>51685.9754675</v>
      </c>
      <c r="AP177" s="20">
        <f>AP117+AP166</f>
        <v>1383.9277118652747</v>
      </c>
      <c r="AQ177" s="49">
        <f>AP177/$AP$1*1000</f>
        <v>33.601080726085286</v>
      </c>
      <c r="AS177" s="20">
        <f>AS117+AS166</f>
        <v>48733.335605</v>
      </c>
      <c r="AT177" s="20">
        <f>AT117+AT166</f>
        <v>1330.6502512034558</v>
      </c>
      <c r="AU177" s="49">
        <f>AT177/$AT$1*1000</f>
        <v>30.866394136011504</v>
      </c>
      <c r="AW177" s="20">
        <f>AW117+AW166</f>
        <v>37276.226020000002</v>
      </c>
      <c r="AX177" s="20">
        <f>AX117+AX166</f>
        <v>1016.8413954178584</v>
      </c>
      <c r="AY177" s="49">
        <f>AX177/$AX$1*1000</f>
        <v>38.880487722932678</v>
      </c>
      <c r="BA177" s="20">
        <f>SUM(AW177,AS177,AO177,AK177,AG177,AC177,Y177,U177,Q177,M177,I177,E177)</f>
        <v>503684.15748250001</v>
      </c>
      <c r="BB177" s="20">
        <f>SUM(AX177,AT177,AP177,AL177,AH177,AD177,Z177,V177,R177,N177,J177,F177)</f>
        <v>14126.379082581181</v>
      </c>
      <c r="BC177" s="49">
        <f>BB177/$BB$1*1000</f>
        <v>38.569686455870162</v>
      </c>
    </row>
    <row r="178" spans="1:55">
      <c r="E178" s="189"/>
      <c r="F178" s="189"/>
      <c r="G178" s="189"/>
      <c r="H178" s="198"/>
      <c r="I178" s="189"/>
      <c r="J178" s="189"/>
      <c r="K178" s="189"/>
      <c r="M178" s="189"/>
      <c r="N178" s="189"/>
      <c r="O178" s="189"/>
      <c r="Q178" s="189"/>
      <c r="R178" s="189"/>
      <c r="S178" s="189"/>
      <c r="U178" s="189"/>
      <c r="V178" s="189"/>
      <c r="W178" s="189"/>
      <c r="Y178" s="189"/>
      <c r="Z178" s="189"/>
      <c r="AA178" s="189"/>
      <c r="AC178" s="189"/>
      <c r="AD178" s="189"/>
      <c r="AE178" s="189"/>
      <c r="AG178" s="189"/>
      <c r="AH178" s="189"/>
      <c r="AI178" s="189"/>
      <c r="AK178" s="189"/>
      <c r="AL178" s="189"/>
      <c r="AM178" s="189"/>
      <c r="AO178" s="189"/>
      <c r="AP178" s="189"/>
      <c r="AQ178" s="189"/>
      <c r="AS178" s="189"/>
      <c r="AT178" s="189"/>
      <c r="AU178" s="189"/>
      <c r="AW178" s="189"/>
      <c r="AX178" s="189"/>
      <c r="AY178" s="189"/>
      <c r="BA178" s="189"/>
      <c r="BB178" s="189"/>
      <c r="BC178" s="189"/>
    </row>
    <row r="179" spans="1:55">
      <c r="D179" s="167" t="s">
        <v>348</v>
      </c>
      <c r="E179" s="189">
        <f>'2024_ACT@ACT FX old format '!E69</f>
        <v>30891</v>
      </c>
      <c r="F179" s="189">
        <f>'2024_ACT@ACT FX old format '!S69</f>
        <v>941.32524796977134</v>
      </c>
      <c r="G179" s="219">
        <f>'2024_ACT@ACT FX old format '!AG69</f>
        <v>58.667824741026571</v>
      </c>
      <c r="H179" s="198"/>
      <c r="I179" s="189">
        <f>'2024_ACT@ACT FX old format '!F69</f>
        <v>31759</v>
      </c>
      <c r="J179" s="189">
        <f>'2024_ACT@ACT FX old format '!T69</f>
        <v>954.74441144286379</v>
      </c>
      <c r="K179" s="219">
        <f>'2024_ACT@ACT FX old format '!AH69</f>
        <v>48.336594341983783</v>
      </c>
      <c r="M179" s="189">
        <f>'2024_ACT@ACT FX old format '!G69</f>
        <v>37098</v>
      </c>
      <c r="N179" s="189">
        <f>'2024_ACT@ACT FX old format '!U69</f>
        <v>1065.3334443713763</v>
      </c>
      <c r="O179" s="219">
        <f>'2024_ACT@ACT FX old format '!AI69</f>
        <v>53.16831084350833</v>
      </c>
      <c r="Q179" s="189">
        <f>'2024_ACT@ACT FX old format '!H69</f>
        <v>44359</v>
      </c>
      <c r="R179" s="189">
        <f>'2024_ACT@ACT FX old format '!V69</f>
        <v>1278.6300248467974</v>
      </c>
      <c r="S179" s="219">
        <f>'2024_ACT@ACT FX old format '!AJ69</f>
        <v>45.595336620432811</v>
      </c>
      <c r="U179" s="189">
        <f>'2024_ACT@ACT FX old format '!I69</f>
        <v>43388</v>
      </c>
      <c r="V179" s="189">
        <f>'2024_ACT@ACT FX old format '!W69</f>
        <v>1244.6178339381247</v>
      </c>
      <c r="W179" s="219">
        <f>'2024_ACT@ACT FX old format '!AK69</f>
        <v>30.509825806200045</v>
      </c>
      <c r="Y179" s="189">
        <f>'2024_ACT@ACT FX old format '!J69</f>
        <v>46604</v>
      </c>
      <c r="Z179" s="189">
        <f>'2024_ACT@ACT FX old format '!X69</f>
        <v>1329.0101435264796</v>
      </c>
      <c r="AA179" s="219">
        <f>'2024_ACT@ACT FX old format '!AL69</f>
        <v>42.904511348349679</v>
      </c>
      <c r="AC179" s="189">
        <f>'2024_ACT@ACT FX old format '!K69</f>
        <v>46314</v>
      </c>
      <c r="AD179" s="189">
        <f>'2024_ACT@ACT FX old format '!Y69</f>
        <v>1297.4235858015682</v>
      </c>
      <c r="AE179" s="219">
        <f>'2024_ACT@ACT FX old format '!AM69</f>
        <v>37.631568460178322</v>
      </c>
      <c r="AG179" s="189">
        <f>'2024_ACT@ACT FX old format '!L69</f>
        <v>41841</v>
      </c>
      <c r="AH179" s="189">
        <f>'2024_ACT@ACT FX old format '!Z69</f>
        <v>1127.4919293555881</v>
      </c>
      <c r="AI179" s="219">
        <f>'2024_ACT@ACT FX old format '!AN69</f>
        <v>44.080535200390493</v>
      </c>
      <c r="AK179" s="189">
        <f>'2024_ACT@ACT FX old format '!M69</f>
        <v>43707</v>
      </c>
      <c r="AL179" s="189">
        <f>'2024_ACT@ACT FX old format '!AA69</f>
        <v>1155.5415502172161</v>
      </c>
      <c r="AM179" s="219">
        <f>'2024_ACT@ACT FX old format '!AO69</f>
        <v>28.813623334760027</v>
      </c>
      <c r="AO179" s="189">
        <f>'2024_ACT@ACT FX old format '!N69</f>
        <v>51686</v>
      </c>
      <c r="AP179" s="189">
        <f>'2024_ACT@ACT FX old format '!AB69</f>
        <v>1383.9283687399159</v>
      </c>
      <c r="AQ179" s="219">
        <f>'2024_ACT@ACT FX old format '!AP69</f>
        <v>33.60109667467686</v>
      </c>
      <c r="AS179" s="189">
        <f>'2024_ACT@ACT FX old format '!O69</f>
        <v>48732.999999998698</v>
      </c>
      <c r="AT179" s="189">
        <f>'2024_ACT@ACT FX old format '!AC69</f>
        <v>1330.6410876017087</v>
      </c>
      <c r="AU179" s="219">
        <f>'2024_ACT@ACT FX old format '!AQ69</f>
        <v>30.866181572760581</v>
      </c>
      <c r="AW179" s="189">
        <f>'2024_ACT@ACT FX old format '!P69</f>
        <v>37302.000000000298</v>
      </c>
      <c r="AX179" s="189">
        <f>'2024_ACT@ACT FX old format '!AD69</f>
        <v>1017.5444722200784</v>
      </c>
      <c r="AY179" s="219">
        <f>'2024_ACT@ACT FX old format '!AS69</f>
        <v>38.569285144902715</v>
      </c>
      <c r="BA179" s="189">
        <f>'2024_ACT@ACT FX old format '!Q69</f>
        <v>503681.99999999901</v>
      </c>
      <c r="BB179" s="189">
        <f>'2024_ACT@ACT FX old format '!AE69</f>
        <v>14126.23210003149</v>
      </c>
      <c r="BC179" s="219">
        <f>'2024_ACT@ACT FX old format '!AS69</f>
        <v>38.569285144902715</v>
      </c>
    </row>
    <row r="180" spans="1:55">
      <c r="E180" s="189">
        <f>E179-E177</f>
        <v>-27.267947500004084</v>
      </c>
      <c r="F180" s="189">
        <f t="shared" ref="F180:G180" si="146">F179-F177</f>
        <v>-0.83092186857231809</v>
      </c>
      <c r="G180" s="219">
        <f t="shared" si="146"/>
        <v>-5.178696594405352E-2</v>
      </c>
      <c r="I180" s="189">
        <f>I179-I177</f>
        <v>-6.2895000006392365E-2</v>
      </c>
      <c r="J180" s="189">
        <f t="shared" ref="J180" si="147">J179-J177</f>
        <v>-1.8907600920101686E-3</v>
      </c>
      <c r="K180" s="219">
        <f t="shared" ref="K180" si="148">K179-K177</f>
        <v>-9.5724994537249586E-5</v>
      </c>
      <c r="M180" s="189">
        <f>M179-M177</f>
        <v>0.17058749999705469</v>
      </c>
      <c r="N180" s="189">
        <f t="shared" ref="N180" si="149">N179-N177</f>
        <v>4.8987160746492009E-3</v>
      </c>
      <c r="O180" s="219">
        <f t="shared" ref="O180" si="150">O179-O177</f>
        <v>2.4448350924188844E-4</v>
      </c>
      <c r="Q180" s="189">
        <f>Q179-Q177</f>
        <v>-0.41923750000569271</v>
      </c>
      <c r="R180" s="189">
        <f t="shared" ref="R180" si="151">R179-R177</f>
        <v>-1.2084349400311112E-2</v>
      </c>
      <c r="S180" s="219">
        <f t="shared" ref="S180" si="152">S179-S177</f>
        <v>-4.3092213388007394E-4</v>
      </c>
      <c r="U180" s="189">
        <f>U179-U177</f>
        <v>-0.18158750000293367</v>
      </c>
      <c r="V180" s="189">
        <f t="shared" ref="V180" si="153">V179-V177</f>
        <v>-5.2089757750763965E-3</v>
      </c>
      <c r="W180" s="219">
        <f t="shared" ref="W180" si="154">W179-W177</f>
        <v>-1.2768975278731887E-4</v>
      </c>
      <c r="Y180" s="189">
        <f>Y179-Y177</f>
        <v>-7.0777499997348059E-2</v>
      </c>
      <c r="Z180" s="189">
        <f t="shared" ref="Z180" si="155">Z179-Z177</f>
        <v>-2.018367853224845E-3</v>
      </c>
      <c r="AA180" s="219">
        <f t="shared" ref="AA180" si="156">AA179-AA177</f>
        <v>-6.5159086169330749E-5</v>
      </c>
      <c r="AC180" s="189">
        <f>AC179-AC177</f>
        <v>0.13563749999593711</v>
      </c>
      <c r="AD180" s="189">
        <f t="shared" ref="AD180" si="157">AD179-AD177</f>
        <v>3.7996996936726646E-3</v>
      </c>
      <c r="AE180" s="219">
        <f t="shared" ref="AE180" si="158">AE179-AE177</f>
        <v>1.1020969613184661E-4</v>
      </c>
      <c r="AG180" s="189">
        <f>AG179-AG177</f>
        <v>-0.25858249999873806</v>
      </c>
      <c r="AH180" s="189">
        <f t="shared" ref="AH180" si="159">AH179-AH177</f>
        <v>-6.9680380920544849E-3</v>
      </c>
      <c r="AI180" s="219">
        <f t="shared" ref="AI180" si="160">AI179-AI177</f>
        <v>-2.724231015776013E-4</v>
      </c>
      <c r="AK180" s="189">
        <f>AK179-AK177</f>
        <v>0.33441250000760192</v>
      </c>
      <c r="AL180" s="189">
        <f t="shared" ref="AL180" si="161">AL179-AL177</f>
        <v>8.8413192090683879E-3</v>
      </c>
      <c r="AM180" s="219">
        <f t="shared" ref="AM180" si="162">AM179-AM177</f>
        <v>2.2045978478857364E-4</v>
      </c>
      <c r="AO180" s="189">
        <f>AO179-AO177</f>
        <v>2.4532499999622814E-2</v>
      </c>
      <c r="AP180" s="189">
        <f t="shared" ref="AP180" si="163">AP179-AP177</f>
        <v>6.5687464120856021E-4</v>
      </c>
      <c r="AQ180" s="219">
        <f t="shared" ref="AQ180" si="164">AQ179-AQ177</f>
        <v>1.594859157449946E-5</v>
      </c>
      <c r="AS180" s="189">
        <f>AS179-AS177</f>
        <v>-0.33560500130261062</v>
      </c>
      <c r="AT180" s="189">
        <f t="shared" ref="AT180" si="165">AT179-AT177</f>
        <v>-9.1636017471046216E-3</v>
      </c>
      <c r="AU180" s="219">
        <f t="shared" ref="AU180" si="166">AU179-AU177</f>
        <v>-2.1256325092267048E-4</v>
      </c>
      <c r="AW180" s="189">
        <f>AW179-AW177</f>
        <v>25.773980000296433</v>
      </c>
      <c r="AX180" s="189">
        <f t="shared" ref="AX180" si="167">AX179-AX177</f>
        <v>0.7030768022200391</v>
      </c>
      <c r="AY180" s="219">
        <f t="shared" ref="AY180" si="168">AY179-AY177</f>
        <v>-0.31120257802996321</v>
      </c>
      <c r="BA180" s="189">
        <f>BA179-BA177</f>
        <v>-2.1574825010029599</v>
      </c>
      <c r="BB180" s="189">
        <f t="shared" ref="BB180" si="169">BB179-BB177</f>
        <v>-0.14698254969152913</v>
      </c>
      <c r="BC180" s="219">
        <f t="shared" ref="BC180" si="170">BC179-BC177</f>
        <v>-4.0131096744744355E-4</v>
      </c>
    </row>
    <row r="183" spans="1:55" s="224" customFormat="1">
      <c r="A183" s="236"/>
      <c r="B183" s="236"/>
      <c r="C183" s="236"/>
      <c r="D183" s="65" t="s">
        <v>189</v>
      </c>
      <c r="E183" s="221" t="s">
        <v>191</v>
      </c>
      <c r="F183" s="221" t="s">
        <v>191</v>
      </c>
      <c r="G183" s="222" t="s">
        <v>129</v>
      </c>
      <c r="H183" s="223"/>
      <c r="I183" s="221" t="s">
        <v>191</v>
      </c>
      <c r="J183" s="221" t="s">
        <v>191</v>
      </c>
      <c r="K183" s="222" t="s">
        <v>129</v>
      </c>
      <c r="M183" s="221" t="s">
        <v>191</v>
      </c>
      <c r="N183" s="221" t="s">
        <v>191</v>
      </c>
      <c r="O183" s="222" t="s">
        <v>129</v>
      </c>
      <c r="Q183" s="221" t="s">
        <v>191</v>
      </c>
      <c r="R183" s="221" t="s">
        <v>191</v>
      </c>
      <c r="S183" s="222" t="s">
        <v>129</v>
      </c>
      <c r="U183" s="221" t="s">
        <v>191</v>
      </c>
      <c r="V183" s="221" t="s">
        <v>191</v>
      </c>
      <c r="W183" s="222" t="s">
        <v>129</v>
      </c>
      <c r="Y183" s="221" t="s">
        <v>191</v>
      </c>
      <c r="Z183" s="221" t="s">
        <v>191</v>
      </c>
      <c r="AA183" s="222" t="s">
        <v>129</v>
      </c>
      <c r="AC183" s="221" t="s">
        <v>191</v>
      </c>
      <c r="AD183" s="221" t="s">
        <v>191</v>
      </c>
      <c r="AE183" s="222" t="s">
        <v>129</v>
      </c>
      <c r="AG183" s="221" t="s">
        <v>191</v>
      </c>
      <c r="AH183" s="221" t="s">
        <v>191</v>
      </c>
      <c r="AI183" s="222" t="s">
        <v>129</v>
      </c>
      <c r="AK183" s="221" t="s">
        <v>191</v>
      </c>
      <c r="AL183" s="221" t="s">
        <v>191</v>
      </c>
      <c r="AM183" s="222" t="s">
        <v>129</v>
      </c>
      <c r="AO183" s="221" t="s">
        <v>191</v>
      </c>
      <c r="AP183" s="221" t="s">
        <v>191</v>
      </c>
      <c r="AQ183" s="222" t="s">
        <v>129</v>
      </c>
      <c r="AS183" s="221" t="s">
        <v>191</v>
      </c>
      <c r="AT183" s="221" t="s">
        <v>191</v>
      </c>
      <c r="AU183" s="222" t="s">
        <v>129</v>
      </c>
      <c r="AW183" s="221" t="s">
        <v>191</v>
      </c>
      <c r="AX183" s="221" t="s">
        <v>191</v>
      </c>
      <c r="AY183" s="222" t="s">
        <v>129</v>
      </c>
      <c r="BA183" s="221" t="s">
        <v>191</v>
      </c>
      <c r="BB183" s="221" t="s">
        <v>191</v>
      </c>
      <c r="BC183" s="222" t="s">
        <v>129</v>
      </c>
    </row>
    <row r="184" spans="1:55" s="224" customFormat="1">
      <c r="A184" s="236"/>
      <c r="B184" s="236"/>
      <c r="C184" s="236"/>
      <c r="D184" s="225" t="s">
        <v>2</v>
      </c>
      <c r="E184" s="226">
        <f>E22</f>
        <v>5783.0218400000003</v>
      </c>
      <c r="F184" s="226">
        <f>F22</f>
        <v>176.22299270184209</v>
      </c>
      <c r="G184" s="227">
        <f>G22</f>
        <v>10.983047223548899</v>
      </c>
      <c r="H184" s="228"/>
      <c r="I184" s="226">
        <f>I22</f>
        <v>6234.678170000001</v>
      </c>
      <c r="J184" s="226">
        <f>J22</f>
        <v>187.42794609251933</v>
      </c>
      <c r="K184" s="227">
        <f>K22</f>
        <v>9.4890616693256042</v>
      </c>
      <c r="M184" s="226">
        <f>M22</f>
        <v>5637.7888000000003</v>
      </c>
      <c r="N184" s="226">
        <f>N22</f>
        <v>161.89888837517839</v>
      </c>
      <c r="O184" s="227">
        <f>O22</f>
        <v>8.0799964253719807</v>
      </c>
      <c r="Q184" s="226">
        <f>Q22</f>
        <v>13247.191710000001</v>
      </c>
      <c r="R184" s="226">
        <f>R22</f>
        <v>381.84488075266773</v>
      </c>
      <c r="S184" s="227">
        <f>S22</f>
        <v>13.616406260124371</v>
      </c>
      <c r="U184" s="226">
        <f>U22</f>
        <v>13229.26001</v>
      </c>
      <c r="V184" s="226">
        <f>V22</f>
        <v>379.49140172975143</v>
      </c>
      <c r="W184" s="227">
        <f>W22</f>
        <v>9.3026278798291777</v>
      </c>
      <c r="Y184" s="226">
        <f>Y22</f>
        <v>13345.716539999998</v>
      </c>
      <c r="Z184" s="226">
        <f>Z22</f>
        <v>380.5809083831669</v>
      </c>
      <c r="AA184" s="227">
        <f>AA22</f>
        <v>12.286315482411123</v>
      </c>
      <c r="AC184" s="226">
        <f>AC22</f>
        <v>11982.608739999998</v>
      </c>
      <c r="AD184" s="226">
        <f>AD22</f>
        <v>335.67645201684172</v>
      </c>
      <c r="AE184" s="227">
        <f>AE22</f>
        <v>9.7362430610796107</v>
      </c>
      <c r="AG184" s="226">
        <f>AG22</f>
        <v>12945.83606</v>
      </c>
      <c r="AH184" s="226">
        <f>AH22</f>
        <v>348.85221855143385</v>
      </c>
      <c r="AI184" s="227">
        <f>AI22</f>
        <v>13.638760597053478</v>
      </c>
      <c r="AK184" s="226">
        <f>AK22</f>
        <v>15872.329709999998</v>
      </c>
      <c r="AL184" s="226">
        <f>AL22</f>
        <v>419.63842127467393</v>
      </c>
      <c r="AM184" s="227">
        <f>AM22</f>
        <v>10.463754769466236</v>
      </c>
      <c r="AO184" s="226">
        <f>AO22</f>
        <v>16289.104449999999</v>
      </c>
      <c r="AP184" s="226">
        <f>AP22</f>
        <v>436.1520285903843</v>
      </c>
      <c r="AQ184" s="227">
        <f>AQ22</f>
        <v>10.589555650821481</v>
      </c>
      <c r="AS184" s="226">
        <f>AS22</f>
        <v>15304.652239999999</v>
      </c>
      <c r="AT184" s="226">
        <f>AT22</f>
        <v>417.88929682145715</v>
      </c>
      <c r="AU184" s="227">
        <f>AU22</f>
        <v>9.6935582654014638</v>
      </c>
      <c r="AW184" s="226">
        <f>AW22</f>
        <v>13304.3807</v>
      </c>
      <c r="AX184" s="226">
        <f>AX22</f>
        <v>362.92421418681005</v>
      </c>
      <c r="AY184" s="227">
        <f>AY22</f>
        <v>13.876963032417315</v>
      </c>
      <c r="BA184" s="226">
        <f>BA22</f>
        <v>143176.56896999999</v>
      </c>
      <c r="BB184" s="226">
        <f>BB22</f>
        <v>3988.5996494767273</v>
      </c>
      <c r="BC184" s="227">
        <f>BC22</f>
        <v>10.890196063618692</v>
      </c>
    </row>
    <row r="185" spans="1:55" s="224" customFormat="1">
      <c r="A185" s="236"/>
      <c r="B185" s="236"/>
      <c r="C185" s="236"/>
      <c r="D185" s="225" t="s">
        <v>3</v>
      </c>
      <c r="E185" s="226">
        <f>E27+E85+E74+E78</f>
        <v>333.90319000000005</v>
      </c>
      <c r="F185" s="226">
        <f>F27+F85+F74+F78</f>
        <v>10.174856855545229</v>
      </c>
      <c r="G185" s="227">
        <f>G27+G85+G74+G78</f>
        <v>0.6341450206011362</v>
      </c>
      <c r="H185" s="228"/>
      <c r="I185" s="226">
        <f>I27+I85+I74+I78</f>
        <v>-1.6545099999998456</v>
      </c>
      <c r="J185" s="226">
        <f>J27+J85+J74+J78</f>
        <v>-4.9738158511804187E-2</v>
      </c>
      <c r="K185" s="227">
        <f>K27+K85+K74+K78</f>
        <v>-2.5181327719625557E-3</v>
      </c>
      <c r="M185" s="226">
        <f>M27+M85+M74+M78</f>
        <v>599.98220000000015</v>
      </c>
      <c r="N185" s="226">
        <f>N27+N85+N74+N78</f>
        <v>17.229529993194141</v>
      </c>
      <c r="O185" s="227">
        <f>O27+O85+O74+O78</f>
        <v>0.85988571109418266</v>
      </c>
      <c r="Q185" s="226">
        <f>Q27+Q85+Q74+Q78</f>
        <v>1150.1269600000001</v>
      </c>
      <c r="R185" s="226">
        <f>R27+R85+R74+R78</f>
        <v>33.151939030225471</v>
      </c>
      <c r="S185" s="227">
        <f>S27+S85+S74+S78</f>
        <v>1.1821823282182884</v>
      </c>
      <c r="U185" s="226">
        <f>U27+U85+U74+U78</f>
        <v>796.88597000000027</v>
      </c>
      <c r="V185" s="226">
        <f>V27+V85+V74+V78</f>
        <v>22.859281134808747</v>
      </c>
      <c r="W185" s="227">
        <f>W27+W85+W74+W78</f>
        <v>0.56035890412336964</v>
      </c>
      <c r="Y185" s="226">
        <f>Y27+Y85+Y74+Y78</f>
        <v>1180.4526100000003</v>
      </c>
      <c r="Z185" s="226">
        <f>Z27+Z85+Z74+Z78</f>
        <v>33.663065244234566</v>
      </c>
      <c r="AA185" s="227">
        <f>AA27+AA85+AA74+AA78</f>
        <v>1.0867466827296801</v>
      </c>
      <c r="AC185" s="226">
        <f>AC27+AC85+AC74+AC78</f>
        <v>1108.4708500000002</v>
      </c>
      <c r="AD185" s="226">
        <f>AD27+AD85+AD74+AD78</f>
        <v>31.052300059669044</v>
      </c>
      <c r="AE185" s="227">
        <f>AE27+AE85+AE74+AE78</f>
        <v>0.90066711313829617</v>
      </c>
      <c r="AG185" s="226">
        <f>AG27+AG85+AG74+AG78</f>
        <v>-1397.0218</v>
      </c>
      <c r="AH185" s="226">
        <f>AH27+AH85+AH74+AH78</f>
        <v>-37.645629995311211</v>
      </c>
      <c r="AI185" s="227">
        <f>AI27+AI85+AI74+AI78</f>
        <v>-1.4717972474513725</v>
      </c>
      <c r="AK185" s="226">
        <f>AK27+AK85+AK74+AK78</f>
        <v>-2102.1980599999997</v>
      </c>
      <c r="AL185" s="226">
        <f>AL27+AL85+AL74+AL78</f>
        <v>-55.578676301645594</v>
      </c>
      <c r="AM185" s="227">
        <f>AM27+AM85+AM74+AM78</f>
        <v>-1.3858636620198883</v>
      </c>
      <c r="AO185" s="226">
        <f>AO27+AO85+AO74+AO78</f>
        <v>1107.85698</v>
      </c>
      <c r="AP185" s="226">
        <f>AP27+AP85+AP74+AP78</f>
        <v>29.663636248278628</v>
      </c>
      <c r="AQ185" s="227">
        <f>AQ27+AQ85+AQ74+AQ78</f>
        <v>0.7202184244610832</v>
      </c>
      <c r="AS185" s="226">
        <f>AS27+AS85+AS74+AS78</f>
        <v>1141.55682</v>
      </c>
      <c r="AT185" s="226">
        <f>AT27+AT85+AT74+AT78</f>
        <v>31.169893265836059</v>
      </c>
      <c r="AU185" s="227">
        <f>AU27+AU85+AU74+AU78</f>
        <v>0.72303162296070655</v>
      </c>
      <c r="AW185" s="226">
        <f>AW27+AW85+AW74+AW78</f>
        <v>975.32601999999838</v>
      </c>
      <c r="AX185" s="226">
        <f>AX27+AX85+AX74+AX78</f>
        <v>26.605479606010391</v>
      </c>
      <c r="AY185" s="227">
        <f>AY27+AY85+AY74+AY78</f>
        <v>1.0173012505643866</v>
      </c>
      <c r="BA185" s="226">
        <f>BA27+BA85+BA74+BA78</f>
        <v>4893.6872299999959</v>
      </c>
      <c r="BB185" s="226">
        <f>BB27+BB85+BB74+BB78</f>
        <v>142.2959369823335</v>
      </c>
      <c r="BC185" s="227">
        <f>BC27+BC85+BC74+BC78</f>
        <v>0.38851496489431869</v>
      </c>
    </row>
    <row r="186" spans="1:55" s="224" customFormat="1">
      <c r="A186" s="236"/>
      <c r="B186" s="236"/>
      <c r="C186" s="236"/>
      <c r="D186" s="229" t="s">
        <v>5</v>
      </c>
      <c r="E186" s="230">
        <f>E93</f>
        <v>4640.0191599999998</v>
      </c>
      <c r="F186" s="230">
        <f>F93</f>
        <v>141.39287126902624</v>
      </c>
      <c r="G186" s="231">
        <f>G93</f>
        <v>8.8122699450935649</v>
      </c>
      <c r="H186" s="228"/>
      <c r="I186" s="230">
        <f>I93</f>
        <v>5431.0756599999995</v>
      </c>
      <c r="J186" s="230">
        <f>J93</f>
        <v>163.26991197797042</v>
      </c>
      <c r="K186" s="231">
        <f>K93</f>
        <v>8.265993923550548</v>
      </c>
      <c r="M186" s="230">
        <f>M93</f>
        <v>8107.2338600000012</v>
      </c>
      <c r="N186" s="230">
        <f>N93</f>
        <v>232.81328838207048</v>
      </c>
      <c r="O186" s="231">
        <f>O93</f>
        <v>11.619168956533937</v>
      </c>
      <c r="Q186" s="230">
        <f>Q93</f>
        <v>7266.7466000000004</v>
      </c>
      <c r="R186" s="230">
        <f>R93</f>
        <v>209.46099744614128</v>
      </c>
      <c r="S186" s="231">
        <f>S93</f>
        <v>7.4692792299733002</v>
      </c>
      <c r="U186" s="230">
        <f>U93</f>
        <v>7223.2135200000012</v>
      </c>
      <c r="V186" s="230">
        <f>V93</f>
        <v>207.2033826250341</v>
      </c>
      <c r="W186" s="231">
        <f>W93</f>
        <v>5.0792612302062583</v>
      </c>
      <c r="Y186" s="230">
        <f>Y93</f>
        <v>7660.7403699999995</v>
      </c>
      <c r="Z186" s="230">
        <f>Z93</f>
        <v>218.46197018824128</v>
      </c>
      <c r="AA186" s="231">
        <f>AA93</f>
        <v>7.0526204218827893</v>
      </c>
      <c r="AC186" s="230">
        <f>AC93</f>
        <v>7545.9785800000009</v>
      </c>
      <c r="AD186" s="230">
        <f>AD93</f>
        <v>211.39030504049373</v>
      </c>
      <c r="AE186" s="231">
        <f>AE93</f>
        <v>6.131342780418648</v>
      </c>
      <c r="AG186" s="230">
        <f>AG93</f>
        <v>6837.3240599999999</v>
      </c>
      <c r="AH186" s="230">
        <f>AH93</f>
        <v>184.24578035990493</v>
      </c>
      <c r="AI186" s="231">
        <f>AI93</f>
        <v>7.2032911236181461</v>
      </c>
      <c r="AK186" s="230">
        <f>AK93</f>
        <v>7955.3512400000009</v>
      </c>
      <c r="AL186" s="230">
        <f>AL93</f>
        <v>210.32646725677932</v>
      </c>
      <c r="AM186" s="231">
        <f>AM93</f>
        <v>5.2445259140429714</v>
      </c>
      <c r="AO186" s="230">
        <f>AO93</f>
        <v>8047.4810700000007</v>
      </c>
      <c r="AP186" s="230">
        <f>AP93</f>
        <v>215.47686703692401</v>
      </c>
      <c r="AQ186" s="231">
        <f>AQ93</f>
        <v>5.2316718148183652</v>
      </c>
      <c r="AS186" s="230">
        <f>AS93</f>
        <v>7212.9186000000009</v>
      </c>
      <c r="AT186" s="230">
        <f>AT93</f>
        <v>196.94674759786699</v>
      </c>
      <c r="AU186" s="231">
        <f>AU93</f>
        <v>4.5684701368097187</v>
      </c>
      <c r="AW186" s="230">
        <f>AW93</f>
        <v>8312.9626900000003</v>
      </c>
      <c r="AX186" s="230">
        <f>AX93</f>
        <v>226.76556841405787</v>
      </c>
      <c r="AY186" s="231">
        <f>AY93</f>
        <v>8.670728727643402</v>
      </c>
      <c r="BA186" s="230">
        <f>BA93</f>
        <v>86241.045410000006</v>
      </c>
      <c r="BB186" s="230">
        <f>BB93</f>
        <v>2417.7541575945106</v>
      </c>
      <c r="BC186" s="231">
        <f>BC93</f>
        <v>6.60126839586112</v>
      </c>
    </row>
    <row r="187" spans="1:55" s="224" customFormat="1">
      <c r="A187" s="236"/>
      <c r="B187" s="236"/>
      <c r="C187" s="236"/>
      <c r="D187" s="229" t="s">
        <v>6</v>
      </c>
      <c r="E187" s="230">
        <f>E101</f>
        <v>3520.2471199999995</v>
      </c>
      <c r="F187" s="230">
        <f>F101</f>
        <v>107.27064494994895</v>
      </c>
      <c r="G187" s="231">
        <f>G101</f>
        <v>6.6856120255499496</v>
      </c>
      <c r="H187" s="228"/>
      <c r="I187" s="230">
        <f>I101</f>
        <v>2611.5560499999997</v>
      </c>
      <c r="J187" s="230">
        <f>J101</f>
        <v>78.509038190978941</v>
      </c>
      <c r="K187" s="231">
        <f>K101</f>
        <v>3.9747386690451059</v>
      </c>
      <c r="M187" s="230">
        <f>M101</f>
        <v>3557.2558300000005</v>
      </c>
      <c r="N187" s="230">
        <f>N101</f>
        <v>102.15277389304167</v>
      </c>
      <c r="O187" s="231">
        <f>O101</f>
        <v>5.0982070116804747</v>
      </c>
      <c r="Q187" s="230">
        <f>Q101</f>
        <v>2644.4404100000006</v>
      </c>
      <c r="R187" s="230">
        <f>R101</f>
        <v>76.224912805612746</v>
      </c>
      <c r="S187" s="231">
        <f>S101</f>
        <v>2.7181440218811375</v>
      </c>
      <c r="U187" s="230">
        <f>U101</f>
        <v>2651.8309200000008</v>
      </c>
      <c r="V187" s="230">
        <f>V101</f>
        <v>76.069790163652286</v>
      </c>
      <c r="W187" s="231">
        <f>W101</f>
        <v>1.8647298662463179</v>
      </c>
      <c r="Y187" s="230">
        <f>Y101</f>
        <v>3066.8916800000011</v>
      </c>
      <c r="Z187" s="230">
        <f>Z101</f>
        <v>87.458805077181523</v>
      </c>
      <c r="AA187" s="231">
        <f>AA101</f>
        <v>2.8234376639069447</v>
      </c>
      <c r="AC187" s="230">
        <f>AC101</f>
        <v>3496.7282900000009</v>
      </c>
      <c r="AD187" s="230">
        <f>AD101</f>
        <v>97.956077138350977</v>
      </c>
      <c r="AE187" s="231">
        <f>AE101</f>
        <v>2.8412007175320064</v>
      </c>
      <c r="AG187" s="230">
        <f>AG101</f>
        <v>3925.0039400000001</v>
      </c>
      <c r="AH187" s="230">
        <f>AH101</f>
        <v>105.76731591116094</v>
      </c>
      <c r="AI187" s="231">
        <f>AI101</f>
        <v>4.135089370207246</v>
      </c>
      <c r="AK187" s="230">
        <f>AK101</f>
        <v>3464.0778399999999</v>
      </c>
      <c r="AL187" s="230">
        <f>AL101</f>
        <v>91.584548866467742</v>
      </c>
      <c r="AM187" s="231">
        <f>AM101</f>
        <v>2.283676163636239</v>
      </c>
      <c r="AO187" s="230">
        <f>AO101</f>
        <v>3795.6208099999999</v>
      </c>
      <c r="AP187" s="230">
        <f>AP101</f>
        <v>101.63037023446539</v>
      </c>
      <c r="AQ187" s="231">
        <f>AQ101</f>
        <v>2.4675351502771599</v>
      </c>
      <c r="AS187" s="230">
        <f>AS101</f>
        <v>3410.6191899999999</v>
      </c>
      <c r="AT187" s="230">
        <f>AT101</f>
        <v>93.126013756119676</v>
      </c>
      <c r="AU187" s="231">
        <f>AU101</f>
        <v>2.160195169476216</v>
      </c>
      <c r="AW187" s="230">
        <f>AW101</f>
        <v>2686.4285800000007</v>
      </c>
      <c r="AX187" s="230">
        <f>AX101</f>
        <v>73.281876349606279</v>
      </c>
      <c r="AY187" s="231">
        <f>AY101</f>
        <v>2.8020447501092143</v>
      </c>
      <c r="BA187" s="230">
        <f>BA101</f>
        <v>38830.70066000001</v>
      </c>
      <c r="BB187" s="230">
        <f>BB101</f>
        <v>1091.0321673365872</v>
      </c>
      <c r="BC187" s="231">
        <f>BC101</f>
        <v>2.978878618607169</v>
      </c>
    </row>
    <row r="188" spans="1:55" s="224" customFormat="1">
      <c r="A188" s="236"/>
      <c r="B188" s="236"/>
      <c r="C188" s="236"/>
      <c r="D188" s="229" t="s">
        <v>7</v>
      </c>
      <c r="E188" s="230">
        <f>E69+E116+E76+E81</f>
        <v>5655.6723899999997</v>
      </c>
      <c r="F188" s="230">
        <f>F69+F116+F76+F81</f>
        <v>172.34233967668703</v>
      </c>
      <c r="G188" s="231">
        <f>G69+G116+G76+G81</f>
        <v>10.741186642361301</v>
      </c>
      <c r="H188" s="228"/>
      <c r="I188" s="230">
        <f>I69+I116+I76+I81</f>
        <v>6279.0741799999987</v>
      </c>
      <c r="J188" s="230">
        <f>J69+J116+J76+J81</f>
        <v>188.76258642873458</v>
      </c>
      <c r="K188" s="231">
        <f>K69+K116+K76+K81</f>
        <v>9.5566315526900869</v>
      </c>
      <c r="M188" s="230">
        <f>M69+M116+M76+M81</f>
        <v>6578.5386400000007</v>
      </c>
      <c r="N188" s="230">
        <f>N69+N116+N76+N81</f>
        <v>188.91415246863414</v>
      </c>
      <c r="O188" s="231">
        <f>O69+O116+O76+O81</f>
        <v>9.4282653325664576</v>
      </c>
      <c r="Q188" s="230">
        <f>Q69+Q116+Q76+Q81</f>
        <v>7444.5290999999997</v>
      </c>
      <c r="R188" s="230">
        <f>R69+R116+R76+R81</f>
        <v>214.58550526625271</v>
      </c>
      <c r="S188" s="231">
        <f>S69+S116+S76+S81</f>
        <v>7.6520167338106742</v>
      </c>
      <c r="U188" s="230">
        <f>U69+U116+U76+U81</f>
        <v>6885.957089999999</v>
      </c>
      <c r="V188" s="230">
        <f>V69+V116+V76+V81</f>
        <v>197.52892500107572</v>
      </c>
      <c r="W188" s="231">
        <f>W69+W116+W76+W81</f>
        <v>4.842107295216838</v>
      </c>
      <c r="Y188" s="230">
        <f>Y69+Y116+Y76+Y81</f>
        <v>7811.4717900000005</v>
      </c>
      <c r="Z188" s="230">
        <f>Z69+Z116+Z76+Z81</f>
        <v>222.76039062700514</v>
      </c>
      <c r="AA188" s="231">
        <f>AA69+AA116+AA76+AA81</f>
        <v>7.1913865775763544</v>
      </c>
      <c r="AC188" s="230">
        <f>AC69+AC116+AC76+AC81</f>
        <v>7957.5790299999999</v>
      </c>
      <c r="AD188" s="230">
        <f>AD69+AD116+AD76+AD81</f>
        <v>222.92073065168125</v>
      </c>
      <c r="AE188" s="231">
        <f>AE69+AE116+AE76+AE81</f>
        <v>6.4657809743214676</v>
      </c>
      <c r="AG188" s="230">
        <f>AG69+AG116+AG76+AG81</f>
        <v>5039.5328299999992</v>
      </c>
      <c r="AH188" s="230">
        <f>AH69+AH116+AH76+AH81</f>
        <v>135.80059256584514</v>
      </c>
      <c r="AI188" s="231">
        <f>AI69+AI116+AI76+AI81</f>
        <v>5.30927330384882</v>
      </c>
      <c r="AK188" s="230">
        <f>AK69+AK116+AK76+AK81</f>
        <v>5732.1817700000001</v>
      </c>
      <c r="AL188" s="230">
        <f>AL69+AL116+AL76+AL81</f>
        <v>151.54950485351696</v>
      </c>
      <c r="AM188" s="231">
        <f>AM69+AM116+AM76+AM81</f>
        <v>3.7789124489706007</v>
      </c>
      <c r="AO188" s="230">
        <f>AO69+AO116+AO76+AO81</f>
        <v>7615.8050199999998</v>
      </c>
      <c r="AP188" s="230">
        <f>AP69+AP116+AP76+AP81</f>
        <v>203.91844247900522</v>
      </c>
      <c r="AQ188" s="231">
        <f>AQ69+AQ116+AQ76+AQ81</f>
        <v>4.9510389802366088</v>
      </c>
      <c r="AS188" s="230">
        <f>AS69+AS116+AS76+AS81</f>
        <v>6195.2054500000004</v>
      </c>
      <c r="AT188" s="230">
        <f>AT69+AT116+AT76+AT81</f>
        <v>169.15837149168433</v>
      </c>
      <c r="AU188" s="231">
        <f>AU69+AU116+AU76+AU81</f>
        <v>3.9238777891831211</v>
      </c>
      <c r="AW188" s="230">
        <f>AW69+AW116+AW76+AW81</f>
        <v>-240.15810999999974</v>
      </c>
      <c r="AX188" s="230">
        <f>AX69+AX116+AX76+AX81</f>
        <v>-6.5511650123135166</v>
      </c>
      <c r="AY188" s="231">
        <f>AY69+AY116+AY76+AY81</f>
        <v>-0.25049382527104036</v>
      </c>
      <c r="BA188" s="230">
        <f>BA69+BA116+BA76+BA81</f>
        <v>72955.389180000013</v>
      </c>
      <c r="BB188" s="230">
        <f>BB69+BB116+BB76+BB81</f>
        <v>2061.6903764978088</v>
      </c>
      <c r="BC188" s="231">
        <f>BC69+BC116+BC76+BC81</f>
        <v>5.6290965240100057</v>
      </c>
    </row>
    <row r="189" spans="1:55" s="224" customFormat="1">
      <c r="A189" s="236"/>
      <c r="B189" s="236"/>
      <c r="C189" s="236"/>
      <c r="D189" s="229" t="s">
        <v>10</v>
      </c>
      <c r="E189" s="230">
        <f>E13</f>
        <v>4197.5572500000007</v>
      </c>
      <c r="F189" s="230">
        <f>F13</f>
        <v>127.90996145231823</v>
      </c>
      <c r="G189" s="231">
        <f>G13</f>
        <v>7.9719514772401512</v>
      </c>
      <c r="H189" s="228"/>
      <c r="I189" s="230">
        <f>I13</f>
        <v>5050.3324500000008</v>
      </c>
      <c r="J189" s="230">
        <f>J13</f>
        <v>151.82394541912677</v>
      </c>
      <c r="K189" s="231">
        <f>K13</f>
        <v>7.6865099948930116</v>
      </c>
      <c r="M189" s="230">
        <f>M13</f>
        <v>5505.597420000001</v>
      </c>
      <c r="N189" s="230">
        <f>N13</f>
        <v>158.10278351314798</v>
      </c>
      <c r="O189" s="231">
        <f>O13</f>
        <v>7.8905416735613096</v>
      </c>
      <c r="Q189" s="230">
        <f>Q13</f>
        <v>6168.966370000001</v>
      </c>
      <c r="R189" s="230">
        <f>R13</f>
        <v>177.81793148971255</v>
      </c>
      <c r="S189" s="231">
        <f>S13</f>
        <v>6.34090259564642</v>
      </c>
      <c r="U189" s="230">
        <f>U13</f>
        <v>6193.861710000001</v>
      </c>
      <c r="V189" s="230">
        <f>V13</f>
        <v>177.67564177220638</v>
      </c>
      <c r="W189" s="231">
        <f>W13</f>
        <v>4.3554356467178108</v>
      </c>
      <c r="Y189" s="230">
        <f>Y13</f>
        <v>6537.7257099999997</v>
      </c>
      <c r="Z189" s="230">
        <f>Z13</f>
        <v>186.43686774062002</v>
      </c>
      <c r="AA189" s="231">
        <f>AA13</f>
        <v>6.0187521868743552</v>
      </c>
      <c r="AC189" s="230">
        <f>AC13</f>
        <v>6733.6818099999991</v>
      </c>
      <c r="AD189" s="230">
        <f>AD13</f>
        <v>188.63491815815937</v>
      </c>
      <c r="AE189" s="231">
        <f>AE13</f>
        <v>5.4713263380850821</v>
      </c>
      <c r="AG189" s="230">
        <f>AG13</f>
        <v>6981.5464600000005</v>
      </c>
      <c r="AH189" s="230">
        <f>AH13</f>
        <v>188.13214999811373</v>
      </c>
      <c r="AI189" s="231">
        <f>AI13</f>
        <v>7.355233012671583</v>
      </c>
      <c r="AK189" s="230">
        <f>AK13</f>
        <v>5738.7462500000001</v>
      </c>
      <c r="AL189" s="230">
        <f>AL13</f>
        <v>151.72305896145323</v>
      </c>
      <c r="AM189" s="231">
        <f>AM13</f>
        <v>3.7832400499065737</v>
      </c>
      <c r="AO189" s="230">
        <f>AO13</f>
        <v>7268.5159899999999</v>
      </c>
      <c r="AP189" s="230">
        <f>AP13</f>
        <v>194.61953869908089</v>
      </c>
      <c r="AQ189" s="231">
        <f>AQ13</f>
        <v>4.725266193193991</v>
      </c>
      <c r="AS189" s="230">
        <f>AS13</f>
        <v>7410.2825999999995</v>
      </c>
      <c r="AT189" s="230">
        <f>AT13</f>
        <v>202.33571703568998</v>
      </c>
      <c r="AU189" s="231">
        <f>AU13</f>
        <v>4.6934752269935043</v>
      </c>
      <c r="AW189" s="230">
        <f>AW13</f>
        <v>7504.6992800000007</v>
      </c>
      <c r="AX189" s="230">
        <f>AX13</f>
        <v>204.71731456860067</v>
      </c>
      <c r="AY189" s="231">
        <f>AY13</f>
        <v>7.8276799819753249</v>
      </c>
      <c r="BA189" s="230">
        <f>BA13</f>
        <v>75291.513300000006</v>
      </c>
      <c r="BB189" s="230">
        <f>BB13</f>
        <v>2109.9298288082296</v>
      </c>
      <c r="BC189" s="231">
        <f>BC13</f>
        <v>5.7608061814911684</v>
      </c>
    </row>
    <row r="190" spans="1:55" s="224" customFormat="1">
      <c r="A190" s="236"/>
      <c r="B190" s="236"/>
      <c r="C190" s="236"/>
      <c r="D190" s="232" t="s">
        <v>9</v>
      </c>
      <c r="E190" s="233">
        <f>E166</f>
        <v>6787.8469974999998</v>
      </c>
      <c r="F190" s="233">
        <f>F166</f>
        <v>206.8425029329758</v>
      </c>
      <c r="G190" s="234">
        <f>G166</f>
        <v>12.89139937257562</v>
      </c>
      <c r="H190" s="228"/>
      <c r="I190" s="233">
        <f>I166</f>
        <v>6154.000895000001</v>
      </c>
      <c r="J190" s="233">
        <f>J166</f>
        <v>185.00261225213745</v>
      </c>
      <c r="K190" s="234">
        <f>K166</f>
        <v>9.3662723902459231</v>
      </c>
      <c r="M190" s="233">
        <f>M166</f>
        <v>7111.4326625000003</v>
      </c>
      <c r="N190" s="233">
        <f>N166</f>
        <v>204.21712903003487</v>
      </c>
      <c r="O190" s="234">
        <f>O166</f>
        <v>10.19200124919074</v>
      </c>
      <c r="Q190" s="233">
        <f>Q166</f>
        <v>6437.4180875000002</v>
      </c>
      <c r="R190" s="233">
        <f>R166</f>
        <v>185.55594240558506</v>
      </c>
      <c r="S190" s="234">
        <f>S166</f>
        <v>6.616836372912493</v>
      </c>
      <c r="U190" s="233">
        <f>U166</f>
        <v>6407.1723674999994</v>
      </c>
      <c r="V190" s="233">
        <f>V166</f>
        <v>183.79462048737108</v>
      </c>
      <c r="W190" s="234">
        <f>W166</f>
        <v>4.5054326736130577</v>
      </c>
      <c r="Y190" s="233">
        <f>Y166</f>
        <v>7001.0720774999991</v>
      </c>
      <c r="Z190" s="233">
        <f>Z166</f>
        <v>199.6501546338834</v>
      </c>
      <c r="AA190" s="234">
        <f>AA166</f>
        <v>6.4453174920546035</v>
      </c>
      <c r="AC190" s="233">
        <f>AC166</f>
        <v>7488.8170625000002</v>
      </c>
      <c r="AD190" s="233">
        <f>AD166</f>
        <v>209.78900303667825</v>
      </c>
      <c r="AE190" s="234">
        <f>AE166</f>
        <v>6.0848972659070757</v>
      </c>
      <c r="AG190" s="233">
        <f>AG166</f>
        <v>7509.0370325000004</v>
      </c>
      <c r="AH190" s="233">
        <f>AH166</f>
        <v>202.34647000253304</v>
      </c>
      <c r="AI190" s="234">
        <f>AI166</f>
        <v>7.9109574635441806</v>
      </c>
      <c r="AK190" s="233">
        <f>AK166</f>
        <v>7046.1768375000001</v>
      </c>
      <c r="AL190" s="233">
        <f>AL166</f>
        <v>186.28938398676166</v>
      </c>
      <c r="AM190" s="234">
        <f>AM166</f>
        <v>4.6451571909725136</v>
      </c>
      <c r="AO190" s="233">
        <f>AO166</f>
        <v>7561.5911474999994</v>
      </c>
      <c r="AP190" s="233">
        <f>AP166</f>
        <v>202.46682857713623</v>
      </c>
      <c r="AQ190" s="234">
        <f>AQ166</f>
        <v>4.9157945122765971</v>
      </c>
      <c r="AS190" s="233">
        <f>AS166</f>
        <v>8058.1007050000007</v>
      </c>
      <c r="AT190" s="233">
        <f>AT166</f>
        <v>220.02421123480153</v>
      </c>
      <c r="AU190" s="234">
        <f>AU166</f>
        <v>5.1037859251867674</v>
      </c>
      <c r="AW190" s="233">
        <f>AW166</f>
        <v>4732.5868599999994</v>
      </c>
      <c r="AX190" s="233">
        <f>AX166</f>
        <v>129.09810730508656</v>
      </c>
      <c r="AY190" s="234">
        <f>AY166</f>
        <v>4.9362638054940753</v>
      </c>
      <c r="BA190" s="233">
        <f>BA173</f>
        <v>82287.837599999999</v>
      </c>
      <c r="BB190" s="233">
        <f>BB173</f>
        <v>2314.8538820984099</v>
      </c>
      <c r="BC190" s="234">
        <f>BC173</f>
        <v>6.3203166148770533</v>
      </c>
    </row>
    <row r="191" spans="1:55" s="236" customFormat="1">
      <c r="D191" s="235" t="s">
        <v>0</v>
      </c>
      <c r="E191" s="76">
        <f>SUM(E184:E190)</f>
        <v>30918.267947500004</v>
      </c>
      <c r="F191" s="76">
        <f>SUM(F184:F190)</f>
        <v>942.15616983834366</v>
      </c>
      <c r="G191" s="77">
        <f>SUM(G184:G190)</f>
        <v>58.719611706970625</v>
      </c>
      <c r="H191" s="228"/>
      <c r="I191" s="76">
        <f>SUM(I184:I190)</f>
        <v>31759.062895000003</v>
      </c>
      <c r="J191" s="76">
        <f>SUM(J184:J190)</f>
        <v>954.74630220295558</v>
      </c>
      <c r="K191" s="77">
        <f>SUM(K184:K190)</f>
        <v>48.336690066978321</v>
      </c>
      <c r="M191" s="76">
        <f>SUM(M184:M190)</f>
        <v>37097.829412500003</v>
      </c>
      <c r="N191" s="76">
        <f>SUM(N184:N190)</f>
        <v>1065.3285456553017</v>
      </c>
      <c r="O191" s="77">
        <f>SUM(O184:O190)</f>
        <v>53.168066359999081</v>
      </c>
      <c r="Q191" s="76">
        <f>SUM(Q184:Q190)</f>
        <v>44359.419237499998</v>
      </c>
      <c r="R191" s="76">
        <f>SUM(R184:R190)</f>
        <v>1278.6421091961975</v>
      </c>
      <c r="S191" s="77">
        <f>SUM(S184:S190)</f>
        <v>45.595767542566684</v>
      </c>
      <c r="U191" s="76">
        <f>SUM(U184:U190)</f>
        <v>43388.181587500003</v>
      </c>
      <c r="V191" s="76">
        <f>SUM(V184:V190)</f>
        <v>1244.6230429138996</v>
      </c>
      <c r="W191" s="77">
        <f>SUM(W184:W190)</f>
        <v>30.509953495952828</v>
      </c>
      <c r="Y191" s="76">
        <f>SUM(Y184:Y190)</f>
        <v>46604.070777499997</v>
      </c>
      <c r="Z191" s="76">
        <f>SUM(Z184:Z190)</f>
        <v>1329.0121618943328</v>
      </c>
      <c r="AA191" s="77">
        <f>SUM(AA184:AA190)</f>
        <v>42.904576507435856</v>
      </c>
      <c r="AC191" s="76">
        <f>SUM(AC184:AC190)</f>
        <v>46313.864362499997</v>
      </c>
      <c r="AD191" s="76">
        <f>SUM(AD184:AD190)</f>
        <v>1297.4197861018743</v>
      </c>
      <c r="AE191" s="77">
        <f>SUM(AE184:AE190)</f>
        <v>37.63145825048219</v>
      </c>
      <c r="AG191" s="76">
        <f>SUM(AG184:AG190)</f>
        <v>41841.258582499999</v>
      </c>
      <c r="AH191" s="76">
        <f>SUM(AH184:AH190)</f>
        <v>1127.4988973936804</v>
      </c>
      <c r="AI191" s="77">
        <f>SUM(AI184:AI190)</f>
        <v>44.080807623492078</v>
      </c>
      <c r="AK191" s="76">
        <f>SUM(AK184:AK190)</f>
        <v>43706.6655875</v>
      </c>
      <c r="AL191" s="76">
        <f>SUM(AL184:AL190)</f>
        <v>1155.5327088980071</v>
      </c>
      <c r="AM191" s="77">
        <f>SUM(AM184:AM190)</f>
        <v>28.813402874975246</v>
      </c>
      <c r="AO191" s="76">
        <f>SUM(AO184:AO190)</f>
        <v>51685.9754675</v>
      </c>
      <c r="AP191" s="76">
        <f>SUM(AP184:AP190)</f>
        <v>1383.9277118652749</v>
      </c>
      <c r="AQ191" s="77">
        <f>SUM(AQ184:AQ190)</f>
        <v>33.601080726085286</v>
      </c>
      <c r="AS191" s="76">
        <f>SUM(AS184:AS190)</f>
        <v>48733.335605</v>
      </c>
      <c r="AT191" s="76">
        <f>SUM(AT184:AT190)</f>
        <v>1330.6502512034556</v>
      </c>
      <c r="AU191" s="77">
        <f>SUM(AU184:AU190)</f>
        <v>30.866394136011497</v>
      </c>
      <c r="AW191" s="76">
        <f>SUM(AW184:AW190)</f>
        <v>37276.226020000002</v>
      </c>
      <c r="AX191" s="76">
        <f>SUM(AX184:AX190)</f>
        <v>1016.8413954178584</v>
      </c>
      <c r="AY191" s="77">
        <f>SUM(AY184:AY190)</f>
        <v>38.880487722932671</v>
      </c>
      <c r="BA191" s="76">
        <f>SUM(BA184:BA190)</f>
        <v>503676.74235000007</v>
      </c>
      <c r="BB191" s="76">
        <f>SUM(BB184:BB190)</f>
        <v>14126.155998794608</v>
      </c>
      <c r="BC191" s="77">
        <f>SUM(BC184:BC190)</f>
        <v>38.569077363359526</v>
      </c>
    </row>
    <row r="192" spans="1:55">
      <c r="E192" s="189">
        <f t="shared" ref="E192:G192" si="171">SUM(E184:E190)-E191</f>
        <v>0</v>
      </c>
      <c r="F192" s="189">
        <f t="shared" ref="F192" si="172">SUM(F184:F190)-F191</f>
        <v>0</v>
      </c>
      <c r="G192" s="189">
        <f t="shared" si="171"/>
        <v>0</v>
      </c>
      <c r="I192" s="189">
        <f t="shared" ref="I192:K192" si="173">SUM(I184:I190)-I191</f>
        <v>0</v>
      </c>
      <c r="J192" s="189">
        <f t="shared" si="173"/>
        <v>0</v>
      </c>
      <c r="K192" s="189">
        <f t="shared" si="173"/>
        <v>0</v>
      </c>
      <c r="M192" s="189">
        <f t="shared" ref="M192:O192" si="174">SUM(M184:M190)-M191</f>
        <v>0</v>
      </c>
      <c r="N192" s="189">
        <f t="shared" si="174"/>
        <v>0</v>
      </c>
      <c r="O192" s="189">
        <f t="shared" si="174"/>
        <v>0</v>
      </c>
      <c r="Q192" s="189">
        <f t="shared" ref="Q192:S192" si="175">SUM(Q184:Q190)-Q191</f>
        <v>0</v>
      </c>
      <c r="R192" s="189">
        <f t="shared" si="175"/>
        <v>0</v>
      </c>
      <c r="S192" s="189">
        <f t="shared" si="175"/>
        <v>0</v>
      </c>
      <c r="U192" s="189">
        <f t="shared" ref="U192:W192" si="176">SUM(U184:U190)-U191</f>
        <v>0</v>
      </c>
      <c r="V192" s="189">
        <f t="shared" si="176"/>
        <v>0</v>
      </c>
      <c r="W192" s="189">
        <f t="shared" si="176"/>
        <v>0</v>
      </c>
      <c r="Y192" s="189">
        <f t="shared" ref="Y192:AA192" si="177">SUM(Y184:Y190)-Y191</f>
        <v>0</v>
      </c>
      <c r="Z192" s="189">
        <f t="shared" si="177"/>
        <v>0</v>
      </c>
      <c r="AA192" s="189">
        <f t="shared" si="177"/>
        <v>0</v>
      </c>
      <c r="AC192" s="189">
        <f t="shared" ref="AC192:AE192" si="178">SUM(AC184:AC190)-AC191</f>
        <v>0</v>
      </c>
      <c r="AD192" s="189">
        <f t="shared" si="178"/>
        <v>0</v>
      </c>
      <c r="AE192" s="189">
        <f t="shared" si="178"/>
        <v>0</v>
      </c>
      <c r="AG192" s="189">
        <f t="shared" ref="AG192:AI192" si="179">SUM(AG184:AG190)-AG191</f>
        <v>0</v>
      </c>
      <c r="AH192" s="189">
        <f t="shared" si="179"/>
        <v>0</v>
      </c>
      <c r="AI192" s="189">
        <f t="shared" si="179"/>
        <v>0</v>
      </c>
      <c r="AK192" s="189">
        <f t="shared" ref="AK192:AM192" si="180">SUM(AK184:AK190)-AK191</f>
        <v>0</v>
      </c>
      <c r="AL192" s="189">
        <f t="shared" si="180"/>
        <v>0</v>
      </c>
      <c r="AM192" s="189">
        <f t="shared" si="180"/>
        <v>0</v>
      </c>
      <c r="AO192" s="189">
        <f t="shared" ref="AO192:AQ192" si="181">SUM(AO184:AO190)-AO191</f>
        <v>0</v>
      </c>
      <c r="AP192" s="189">
        <f t="shared" si="181"/>
        <v>0</v>
      </c>
      <c r="AQ192" s="189">
        <f t="shared" si="181"/>
        <v>0</v>
      </c>
      <c r="AS192" s="189">
        <f t="shared" ref="AS192:AU192" si="182">SUM(AS184:AS190)-AS191</f>
        <v>0</v>
      </c>
      <c r="AT192" s="189">
        <f t="shared" si="182"/>
        <v>0</v>
      </c>
      <c r="AU192" s="189">
        <f t="shared" si="182"/>
        <v>0</v>
      </c>
      <c r="AW192" s="189">
        <f t="shared" ref="AW192:AY192" si="183">SUM(AW184:AW190)-AW191</f>
        <v>0</v>
      </c>
      <c r="AX192" s="189">
        <f t="shared" si="183"/>
        <v>0</v>
      </c>
      <c r="AY192" s="189">
        <f t="shared" si="183"/>
        <v>0</v>
      </c>
      <c r="BA192" s="189">
        <f t="shared" ref="BA192:BC192" si="184">SUM(BA184:BA190)-BA191</f>
        <v>0</v>
      </c>
      <c r="BB192" s="189">
        <f t="shared" si="184"/>
        <v>0</v>
      </c>
      <c r="BC192" s="189">
        <f t="shared" si="184"/>
        <v>0</v>
      </c>
    </row>
    <row r="193" spans="4:55">
      <c r="BA193" s="220"/>
      <c r="BB193" s="220"/>
      <c r="BC193" s="220"/>
    </row>
    <row r="194" spans="4:55">
      <c r="D194" s="237"/>
      <c r="E194" s="238"/>
      <c r="F194" s="238"/>
      <c r="G194" s="239"/>
      <c r="I194" s="238"/>
      <c r="J194" s="238"/>
      <c r="K194" s="239"/>
      <c r="M194" s="238"/>
      <c r="N194" s="238"/>
      <c r="O194" s="239"/>
      <c r="Q194" s="238"/>
      <c r="R194" s="238"/>
      <c r="S194" s="239"/>
      <c r="U194" s="238"/>
      <c r="V194" s="238"/>
      <c r="W194" s="239"/>
      <c r="Y194" s="238"/>
      <c r="Z194" s="238"/>
      <c r="AA194" s="239"/>
      <c r="AC194" s="238"/>
      <c r="AD194" s="238"/>
      <c r="AE194" s="239"/>
      <c r="AG194" s="238"/>
      <c r="AH194" s="238"/>
      <c r="AI194" s="239"/>
      <c r="AK194" s="238"/>
      <c r="AL194" s="238"/>
      <c r="AM194" s="239"/>
      <c r="AO194" s="238"/>
      <c r="AP194" s="238"/>
      <c r="AQ194" s="239"/>
      <c r="AS194" s="238"/>
      <c r="AT194" s="238"/>
      <c r="AU194" s="239"/>
      <c r="AW194" s="238"/>
      <c r="AX194" s="238"/>
      <c r="AY194" s="239"/>
      <c r="BA194" s="238"/>
      <c r="BB194" s="238"/>
      <c r="BC194" s="239"/>
    </row>
    <row r="195" spans="4:55">
      <c r="D195" s="240" t="s">
        <v>1</v>
      </c>
      <c r="E195" s="241">
        <f>E22+E27+E74+E78+E85</f>
        <v>6116.9250300000003</v>
      </c>
      <c r="F195" s="241">
        <f>F22+F27+F74+F78+F85</f>
        <v>186.3978495573873</v>
      </c>
      <c r="G195" s="242">
        <f>G22+G27+G74+G78+G85</f>
        <v>11.617192244150036</v>
      </c>
      <c r="I195" s="241">
        <f>I22+I27+I74+I78+I85</f>
        <v>6233.0236600000017</v>
      </c>
      <c r="J195" s="241">
        <f>J22+J27+J74+J78+J85</f>
        <v>187.37820793400749</v>
      </c>
      <c r="K195" s="242">
        <f>K22+K27+K74+K78+K85</f>
        <v>9.4865435365536417</v>
      </c>
      <c r="M195" s="241">
        <f>M22+M27+M74+M78+M85</f>
        <v>6237.7710000000006</v>
      </c>
      <c r="N195" s="241">
        <f>N22+N27+N74+N78+N85</f>
        <v>179.12841836837254</v>
      </c>
      <c r="O195" s="242">
        <f>O22+O27+O74+O78+O85</f>
        <v>8.9398821364661636</v>
      </c>
      <c r="Q195" s="241">
        <f>Q22+Q27+Q74+Q78+Q85</f>
        <v>14397.318670000001</v>
      </c>
      <c r="R195" s="241">
        <f>R22+R27+R74+R78+R85</f>
        <v>414.99681978289323</v>
      </c>
      <c r="S195" s="242">
        <f>S22+S27+S74+S78+S85</f>
        <v>14.798588588342659</v>
      </c>
      <c r="U195" s="241">
        <f>U22+U27+U74+U78+U85</f>
        <v>14026.145979999999</v>
      </c>
      <c r="V195" s="241">
        <f>V22+V27+V74+V78+V85</f>
        <v>402.35068286456021</v>
      </c>
      <c r="W195" s="242">
        <f>W22+W27+W74+W78+W85</f>
        <v>9.8629867839525485</v>
      </c>
      <c r="Y195" s="241">
        <f>Y22+Y27+Y74+Y78+Y85</f>
        <v>14526.169149999998</v>
      </c>
      <c r="Z195" s="241">
        <f>Z22+Z27+Z74+Z78+Z85</f>
        <v>414.24397362740149</v>
      </c>
      <c r="AA195" s="242">
        <f>AA22+AA27+AA74+AA78+AA85</f>
        <v>13.373062165140803</v>
      </c>
      <c r="AC195" s="241">
        <f>AC22+AC27+AC74+AC78+AC85</f>
        <v>13091.079589999998</v>
      </c>
      <c r="AD195" s="241">
        <f>AD22+AD27+AD74+AD78+AD85</f>
        <v>366.72875207651077</v>
      </c>
      <c r="AE195" s="242">
        <f>AE22+AE27+AE74+AE78+AE85</f>
        <v>10.636910174217906</v>
      </c>
      <c r="AG195" s="241">
        <f>AG22+AG27+AG74+AG78+AG85</f>
        <v>11548.814259999997</v>
      </c>
      <c r="AH195" s="241">
        <f>AH22+AH27+AH74+AH78+AH85</f>
        <v>311.20658855612265</v>
      </c>
      <c r="AI195" s="242">
        <f>AI22+AI27+AI74+AI78+AI85</f>
        <v>12.166963349602106</v>
      </c>
      <c r="AK195" s="241">
        <f>AK22+AK27+AK74+AK78+AK85</f>
        <v>13770.131649999998</v>
      </c>
      <c r="AL195" s="241">
        <f>AL22+AL27+AL74+AL78+AL85</f>
        <v>364.05974497302833</v>
      </c>
      <c r="AM195" s="242">
        <f>AM22+AM27+AM74+AM78+AM85</f>
        <v>9.077891107446348</v>
      </c>
      <c r="AO195" s="241">
        <f>AO22+AO27+AO74+AO78+AO85</f>
        <v>17396.961429999999</v>
      </c>
      <c r="AP195" s="241">
        <f>AP22+AP27+AP74+AP78+AP85</f>
        <v>465.81566483866288</v>
      </c>
      <c r="AQ195" s="242">
        <f>AQ22+AQ27+AQ74+AQ78+AQ85</f>
        <v>11.309774075282563</v>
      </c>
      <c r="AS195" s="241">
        <f>AS22+AS27+AS74+AS78+AS85</f>
        <v>16446.209060000001</v>
      </c>
      <c r="AT195" s="241">
        <f>AT22+AT27+AT74+AT78+AT85</f>
        <v>449.05919008729319</v>
      </c>
      <c r="AU195" s="242">
        <f>AU22+AU27+AU74+AU78+AU85</f>
        <v>10.41658988836217</v>
      </c>
      <c r="AW195" s="241">
        <f>AW22+AW27+AW74+AW78+AW85</f>
        <v>14279.706719999998</v>
      </c>
      <c r="AX195" s="241">
        <f>AX22+AX27+AX74+AX78+AX85</f>
        <v>389.52969379282047</v>
      </c>
      <c r="AY195" s="242">
        <f>AY22+AY27+AY74+AY78+AY85</f>
        <v>14.894264282981702</v>
      </c>
      <c r="BA195" s="241">
        <f>BA22+BA27+BA74+BA78+BA85</f>
        <v>148070.2562</v>
      </c>
      <c r="BB195" s="241">
        <f>BB22+BB27+BB74+BB78+BB85</f>
        <v>4130.8955864590607</v>
      </c>
      <c r="BC195" s="242">
        <f>BC22+BC27+BC74+BC78+BC85</f>
        <v>11.27871102851301</v>
      </c>
    </row>
    <row r="196" spans="4:55">
      <c r="D196" s="243" t="s">
        <v>4</v>
      </c>
      <c r="E196" s="244">
        <f>SUM(E13,E69,E76,E81,E93,E101,E116)</f>
        <v>18013.495920000001</v>
      </c>
      <c r="F196" s="244">
        <f>SUM(F13,F69,F76,F81,F93,F101,F116)</f>
        <v>548.91581734798046</v>
      </c>
      <c r="G196" s="245">
        <f>SUM(G13,G69,G76,G81,G93,G101,G116)</f>
        <v>34.211020090244965</v>
      </c>
      <c r="I196" s="244">
        <f>SUM(I13,I69,I76,I81,I93,I101,I116)</f>
        <v>19372.038339999999</v>
      </c>
      <c r="J196" s="244">
        <f>SUM(J13,J69,J76,J81,J93,J101,J116)</f>
        <v>582.36548201681069</v>
      </c>
      <c r="K196" s="245">
        <f>SUM(K13,K69,K76,K81,K93,K101,K116)</f>
        <v>29.483874140178749</v>
      </c>
      <c r="M196" s="244">
        <f>SUM(M13,M69,M76,M81,M93,M101,M116)</f>
        <v>23748.625750000007</v>
      </c>
      <c r="N196" s="244">
        <f>SUM(N13,N69,N76,N81,N93,N101,N116)</f>
        <v>681.98299825689423</v>
      </c>
      <c r="O196" s="245">
        <f>SUM(O13,O69,O76,O81,O93,O101,O116)</f>
        <v>34.036182974342182</v>
      </c>
      <c r="Q196" s="244">
        <f>SUM(Q13,Q69,Q76,Q81,Q93,Q101,Q116)</f>
        <v>23524.682479999999</v>
      </c>
      <c r="R196" s="244">
        <f>SUM(R13,R69,R76,R81,R93,R101,R116)</f>
        <v>678.08934700771931</v>
      </c>
      <c r="S196" s="245">
        <f>SUM(S13,S69,S76,S81,S93,S101,S116)</f>
        <v>24.180342581311532</v>
      </c>
      <c r="U196" s="244">
        <f>SUM(U13,U69,U76,U81,U93,U101,U116)</f>
        <v>22954.863240000002</v>
      </c>
      <c r="V196" s="244">
        <f>SUM(V13,V69,V76,V81,V93,V101,V116)</f>
        <v>658.47773956196841</v>
      </c>
      <c r="W196" s="245">
        <f>SUM(W13,W69,W76,W81,W93,W101,W116)</f>
        <v>16.141534038387224</v>
      </c>
      <c r="Y196" s="244">
        <f>SUM(Y13,Y69,Y76,Y81,Y93,Y101,Y116)</f>
        <v>25076.829550000002</v>
      </c>
      <c r="Z196" s="244">
        <f>SUM(Z13,Z69,Z76,Z81,Z93,Z101,Z116)</f>
        <v>715.11803363304784</v>
      </c>
      <c r="AA196" s="245">
        <f>SUM(AA13,AA69,AA76,AA81,AA93,AA101,AA116)</f>
        <v>23.086196850240444</v>
      </c>
      <c r="AC196" s="244">
        <f>SUM(AC13,AC69,AC76,AC81,AC93,AC101,AC116)</f>
        <v>25733.967710000001</v>
      </c>
      <c r="AD196" s="244">
        <f>SUM(AD13,AD69,AD76,AD81,AD93,AD101,AD116)</f>
        <v>720.90203098868528</v>
      </c>
      <c r="AE196" s="245">
        <f>SUM(AE13,AE69,AE76,AE81,AE93,AE101,AE116)</f>
        <v>20.909650810357206</v>
      </c>
      <c r="AG196" s="244">
        <f>SUM(AG13,AG69,AG76,AG81,AG93,AG101,AG116)</f>
        <v>22783.407289999999</v>
      </c>
      <c r="AH196" s="244">
        <f>SUM(AH13,AH69,AH76,AH81,AH93,AH101,AH116)</f>
        <v>613.94583883502469</v>
      </c>
      <c r="AI196" s="245">
        <f>SUM(AI13,AI69,AI76,AI81,AI93,AI101,AI116)</f>
        <v>24.002886810345796</v>
      </c>
      <c r="AK196" s="244">
        <f>SUM(AK13,AK69,AK76,AK81,AK93,AK101,AK116)</f>
        <v>22890.357100000001</v>
      </c>
      <c r="AL196" s="244">
        <f>SUM(AL13,AL69,AL76,AL81,AL93,AL101,AL116)</f>
        <v>605.18357993821724</v>
      </c>
      <c r="AM196" s="245">
        <f>SUM(AM13,AM69,AM76,AM81,AM93,AM101,AM116)</f>
        <v>15.090354576556384</v>
      </c>
      <c r="AO196" s="244">
        <f>SUM(AO13,AO69,AO76,AO81,AO93,AO101,AO116)</f>
        <v>26727.422890000002</v>
      </c>
      <c r="AP196" s="244">
        <f>SUM(AP13,AP69,AP76,AP81,AP93,AP101,AP116)</f>
        <v>715.64521844947558</v>
      </c>
      <c r="AQ196" s="245">
        <f>SUM(AQ13,AQ69,AQ76,AQ81,AQ93,AQ101,AQ116)</f>
        <v>17.375512138526126</v>
      </c>
      <c r="AS196" s="244">
        <f>SUM(AS13,AS69,AS76,AS81,AS93,AS101,AS116)</f>
        <v>24229.025840000002</v>
      </c>
      <c r="AT196" s="244">
        <f>SUM(AT13,AT69,AT76,AT81,AT93,AT101,AT116)</f>
        <v>661.56684988136101</v>
      </c>
      <c r="AU196" s="245">
        <f>SUM(AU13,AU69,AU76,AU81,AU93,AU101,AU116)</f>
        <v>15.346018322462561</v>
      </c>
      <c r="AW196" s="244">
        <f>SUM(AW13,AW69,AW76,AW81,AW93,AW101,AW116)</f>
        <v>18263.93244</v>
      </c>
      <c r="AX196" s="244">
        <f>SUM(AX13,AX69,AX76,AX81,AX93,AX101,AX116)</f>
        <v>498.21359431995131</v>
      </c>
      <c r="AY196" s="245">
        <f>SUM(AY13,AY69,AY76,AY81,AY93,AY101,AY116)</f>
        <v>19.049959634456901</v>
      </c>
      <c r="BA196" s="244">
        <f>SUM(BA13,BA69,BA76,BA81,BA93,BA101,BA116)</f>
        <v>273318.64855000004</v>
      </c>
      <c r="BB196" s="244">
        <f>SUM(BB13,BB69,BB76,BB81,BB93,BB101,BB116)</f>
        <v>7680.4065302371364</v>
      </c>
      <c r="BC196" s="245">
        <f>SUM(BC13,BC69,BC76,BC81,BC93,BC101,BC116)</f>
        <v>20.970049719969463</v>
      </c>
    </row>
    <row r="197" spans="4:55">
      <c r="D197" s="246" t="s">
        <v>8</v>
      </c>
      <c r="E197" s="247">
        <f>E190</f>
        <v>6787.8469974999998</v>
      </c>
      <c r="F197" s="247">
        <f>F190</f>
        <v>206.8425029329758</v>
      </c>
      <c r="G197" s="248">
        <f>G190</f>
        <v>12.89139937257562</v>
      </c>
      <c r="I197" s="247">
        <f>I190</f>
        <v>6154.000895000001</v>
      </c>
      <c r="J197" s="247">
        <f>J190</f>
        <v>185.00261225213745</v>
      </c>
      <c r="K197" s="248">
        <f>K190</f>
        <v>9.3662723902459231</v>
      </c>
      <c r="M197" s="247">
        <f>M190</f>
        <v>7111.4326625000003</v>
      </c>
      <c r="N197" s="247">
        <f>N190</f>
        <v>204.21712903003487</v>
      </c>
      <c r="O197" s="248">
        <f>O190</f>
        <v>10.19200124919074</v>
      </c>
      <c r="Q197" s="247">
        <f>Q190</f>
        <v>6437.4180875000002</v>
      </c>
      <c r="R197" s="247">
        <f>R190</f>
        <v>185.55594240558506</v>
      </c>
      <c r="S197" s="248">
        <f>S190</f>
        <v>6.616836372912493</v>
      </c>
      <c r="U197" s="247">
        <f>U190</f>
        <v>6407.1723674999994</v>
      </c>
      <c r="V197" s="247">
        <f>V190</f>
        <v>183.79462048737108</v>
      </c>
      <c r="W197" s="248">
        <f>W190</f>
        <v>4.5054326736130577</v>
      </c>
      <c r="Y197" s="247">
        <f>Y190</f>
        <v>7001.0720774999991</v>
      </c>
      <c r="Z197" s="247">
        <f>Z190</f>
        <v>199.6501546338834</v>
      </c>
      <c r="AA197" s="248">
        <f>AA190</f>
        <v>6.4453174920546035</v>
      </c>
      <c r="AC197" s="247">
        <f>AC190</f>
        <v>7488.8170625000002</v>
      </c>
      <c r="AD197" s="247">
        <f>AD190</f>
        <v>209.78900303667825</v>
      </c>
      <c r="AE197" s="248">
        <f>AE190</f>
        <v>6.0848972659070757</v>
      </c>
      <c r="AG197" s="247">
        <f>AG190</f>
        <v>7509.0370325000004</v>
      </c>
      <c r="AH197" s="247">
        <f>AH190</f>
        <v>202.34647000253304</v>
      </c>
      <c r="AI197" s="248">
        <f>AI190</f>
        <v>7.9109574635441806</v>
      </c>
      <c r="AK197" s="247">
        <f>AK190</f>
        <v>7046.1768375000001</v>
      </c>
      <c r="AL197" s="247">
        <f>AL190</f>
        <v>186.28938398676166</v>
      </c>
      <c r="AM197" s="248">
        <f>AM190</f>
        <v>4.6451571909725136</v>
      </c>
      <c r="AO197" s="247">
        <f>AO190</f>
        <v>7561.5911474999994</v>
      </c>
      <c r="AP197" s="247">
        <f>AP190</f>
        <v>202.46682857713623</v>
      </c>
      <c r="AQ197" s="248">
        <f>AQ190</f>
        <v>4.9157945122765971</v>
      </c>
      <c r="AS197" s="247">
        <f>AS190</f>
        <v>8058.1007050000007</v>
      </c>
      <c r="AT197" s="247">
        <f>AT190</f>
        <v>220.02421123480153</v>
      </c>
      <c r="AU197" s="248">
        <f>AU190</f>
        <v>5.1037859251867674</v>
      </c>
      <c r="AW197" s="247">
        <f>AW190</f>
        <v>4732.5868599999994</v>
      </c>
      <c r="AX197" s="247">
        <f>AX190</f>
        <v>129.09810730508656</v>
      </c>
      <c r="AY197" s="248">
        <f>AY190</f>
        <v>4.9362638054940753</v>
      </c>
      <c r="BA197" s="247">
        <f>BA190</f>
        <v>82287.837599999999</v>
      </c>
      <c r="BB197" s="247">
        <f>BB190</f>
        <v>2314.8538820984099</v>
      </c>
      <c r="BC197" s="248">
        <f>BC190</f>
        <v>6.3203166148770533</v>
      </c>
    </row>
    <row r="198" spans="4:55">
      <c r="D198" s="249"/>
      <c r="E198" s="250"/>
      <c r="F198" s="250"/>
      <c r="G198" s="251"/>
      <c r="I198" s="250"/>
      <c r="J198" s="250"/>
      <c r="K198" s="251"/>
      <c r="M198" s="250"/>
      <c r="N198" s="250"/>
      <c r="O198" s="251"/>
      <c r="Q198" s="250"/>
      <c r="R198" s="250"/>
      <c r="S198" s="251"/>
      <c r="U198" s="250"/>
      <c r="V198" s="250"/>
      <c r="W198" s="251"/>
      <c r="Y198" s="250"/>
      <c r="Z198" s="250"/>
      <c r="AA198" s="251"/>
      <c r="AC198" s="250"/>
      <c r="AD198" s="250"/>
      <c r="AE198" s="251"/>
      <c r="AG198" s="250"/>
      <c r="AH198" s="250"/>
      <c r="AI198" s="251"/>
      <c r="AK198" s="250"/>
      <c r="AL198" s="250"/>
      <c r="AM198" s="251"/>
      <c r="AO198" s="250"/>
      <c r="AP198" s="250"/>
      <c r="AQ198" s="251"/>
      <c r="AS198" s="250"/>
      <c r="AT198" s="250"/>
      <c r="AU198" s="251"/>
      <c r="AW198" s="250"/>
      <c r="AX198" s="250"/>
      <c r="AY198" s="251"/>
      <c r="BA198" s="250"/>
      <c r="BB198" s="250"/>
      <c r="BC198" s="251"/>
    </row>
    <row r="199" spans="4:55">
      <c r="D199" s="252" t="s">
        <v>11</v>
      </c>
      <c r="E199" s="253">
        <f>SUM(E194:E198)</f>
        <v>30918.2679475</v>
      </c>
      <c r="F199" s="253">
        <f>SUM(F194:F198)</f>
        <v>942.15616983834354</v>
      </c>
      <c r="G199" s="254">
        <f>SUM(G194:G198)</f>
        <v>58.719611706970625</v>
      </c>
      <c r="I199" s="253">
        <f>SUM(I194:I198)</f>
        <v>31759.062895000003</v>
      </c>
      <c r="J199" s="253">
        <f>SUM(J194:J198)</f>
        <v>954.74630220295558</v>
      </c>
      <c r="K199" s="254">
        <f>SUM(K194:K198)</f>
        <v>48.336690066978313</v>
      </c>
      <c r="M199" s="253">
        <f>SUM(M194:M198)</f>
        <v>37097.82941250001</v>
      </c>
      <c r="N199" s="253">
        <f>SUM(N194:N198)</f>
        <v>1065.3285456553017</v>
      </c>
      <c r="O199" s="254">
        <f>SUM(O194:O198)</f>
        <v>53.168066359999088</v>
      </c>
      <c r="Q199" s="253">
        <f>SUM(Q194:Q198)</f>
        <v>44359.419237499998</v>
      </c>
      <c r="R199" s="253">
        <f>SUM(R194:R198)</f>
        <v>1278.6421091961975</v>
      </c>
      <c r="S199" s="254">
        <f>SUM(S194:S198)</f>
        <v>45.595767542566684</v>
      </c>
      <c r="U199" s="253">
        <f>SUM(U194:U198)</f>
        <v>43388.181587500003</v>
      </c>
      <c r="V199" s="253">
        <f>SUM(V194:V198)</f>
        <v>1244.6230429138996</v>
      </c>
      <c r="W199" s="254">
        <f>SUM(W194:W198)</f>
        <v>30.509953495952828</v>
      </c>
      <c r="Y199" s="253">
        <f>SUM(Y194:Y198)</f>
        <v>46604.070777499997</v>
      </c>
      <c r="Z199" s="253">
        <f>SUM(Z194:Z198)</f>
        <v>1329.0121618943328</v>
      </c>
      <c r="AA199" s="254">
        <f>SUM(AA194:AA198)</f>
        <v>42.904576507435856</v>
      </c>
      <c r="AC199" s="253">
        <f>SUM(AC194:AC198)</f>
        <v>46313.864362499997</v>
      </c>
      <c r="AD199" s="253">
        <f>SUM(AD194:AD198)</f>
        <v>1297.4197861018743</v>
      </c>
      <c r="AE199" s="254">
        <f>SUM(AE194:AE198)</f>
        <v>37.63145825048219</v>
      </c>
      <c r="AG199" s="253">
        <f>SUM(AG194:AG198)</f>
        <v>41841.258582499999</v>
      </c>
      <c r="AH199" s="253">
        <f>SUM(AH194:AH198)</f>
        <v>1127.4988973936804</v>
      </c>
      <c r="AI199" s="254">
        <f>SUM(AI194:AI198)</f>
        <v>44.080807623492078</v>
      </c>
      <c r="AK199" s="253">
        <f>SUM(AK194:AK198)</f>
        <v>43706.6655875</v>
      </c>
      <c r="AL199" s="253">
        <f>SUM(AL194:AL198)</f>
        <v>1155.5327088980071</v>
      </c>
      <c r="AM199" s="254">
        <f>SUM(AM194:AM198)</f>
        <v>28.813402874975246</v>
      </c>
      <c r="AO199" s="253">
        <f>SUM(AO194:AO198)</f>
        <v>51685.9754675</v>
      </c>
      <c r="AP199" s="253">
        <f>SUM(AP194:AP198)</f>
        <v>1383.9277118652749</v>
      </c>
      <c r="AQ199" s="254">
        <f>SUM(AQ194:AQ198)</f>
        <v>33.601080726085286</v>
      </c>
      <c r="AS199" s="253">
        <f>SUM(AS194:AS198)</f>
        <v>48733.335605</v>
      </c>
      <c r="AT199" s="253">
        <f>SUM(AT194:AT198)</f>
        <v>1330.6502512034556</v>
      </c>
      <c r="AU199" s="254">
        <f>SUM(AU194:AU198)</f>
        <v>30.866394136011497</v>
      </c>
      <c r="AW199" s="253">
        <f>SUM(AW194:AW198)</f>
        <v>37276.226020000002</v>
      </c>
      <c r="AX199" s="253">
        <f>SUM(AX194:AX198)</f>
        <v>1016.8413954178584</v>
      </c>
      <c r="AY199" s="254">
        <f>SUM(AY194:AY198)</f>
        <v>38.880487722932685</v>
      </c>
      <c r="BA199" s="253">
        <f>SUM(BA194:BA198)</f>
        <v>503676.74235000007</v>
      </c>
      <c r="BB199" s="253">
        <f>SUM(BB194:BB198)</f>
        <v>14126.155998794608</v>
      </c>
      <c r="BC199" s="254">
        <f>SUM(BC194:BC198)</f>
        <v>38.569077363359526</v>
      </c>
    </row>
  </sheetData>
  <conditionalFormatting sqref="D120:D164">
    <cfRule type="duplicateValues" dxfId="0" priority="9"/>
  </conditionalFormatting>
  <pageMargins left="0.7" right="0.7" top="0.75" bottom="0.75" header="0.3" footer="0.3"/>
  <pageSetup orientation="portrait" r:id="rId1"/>
  <headerFooter>
    <oddFooter>&amp;C_x000D_&amp;1#&amp;"Aptos"&amp;10&amp;K0000FF Haier Europe - Internal and trusted parties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47A4-9559-4AC3-92F8-CAC9F70CBD7A}">
  <dimension ref="A2:M109"/>
  <sheetViews>
    <sheetView topLeftCell="A100" workbookViewId="0">
      <selection activeCell="C112" sqref="C112"/>
    </sheetView>
  </sheetViews>
  <sheetFormatPr defaultColWidth="8.77734375" defaultRowHeight="14.4"/>
  <cols>
    <col min="1" max="1" width="10.77734375" style="1" bestFit="1" customWidth="1"/>
    <col min="2" max="2" width="8.77734375" style="1"/>
    <col min="3" max="3" width="12.44140625" style="1" bestFit="1" customWidth="1"/>
    <col min="4" max="7" width="11.77734375" style="1" bestFit="1" customWidth="1"/>
    <col min="8" max="11" width="8.77734375" style="1"/>
    <col min="12" max="13" width="11.77734375" style="1" bestFit="1" customWidth="1"/>
    <col min="14" max="16384" width="8.77734375" style="1"/>
  </cols>
  <sheetData>
    <row r="2" spans="1:13">
      <c r="A2" s="1" t="s">
        <v>12</v>
      </c>
      <c r="B2" s="1" t="s">
        <v>208</v>
      </c>
      <c r="C2" s="1" t="s">
        <v>207</v>
      </c>
      <c r="D2" s="1" t="s">
        <v>206</v>
      </c>
      <c r="E2" s="1" t="s">
        <v>205</v>
      </c>
      <c r="F2" s="1" t="s">
        <v>204</v>
      </c>
      <c r="G2" s="1" t="s">
        <v>203</v>
      </c>
      <c r="H2" s="1" t="s">
        <v>202</v>
      </c>
      <c r="I2" s="1" t="s">
        <v>201</v>
      </c>
      <c r="J2" s="1" t="s">
        <v>200</v>
      </c>
      <c r="K2" s="1" t="s">
        <v>199</v>
      </c>
      <c r="L2" s="1" t="s">
        <v>198</v>
      </c>
      <c r="M2" s="1" t="s">
        <v>197</v>
      </c>
    </row>
    <row r="3" spans="1:13">
      <c r="A3" s="1">
        <v>5001010200</v>
      </c>
      <c r="C3" s="1">
        <v>-36323.980000000003</v>
      </c>
      <c r="D3" s="1">
        <v>4035.0000000000009</v>
      </c>
      <c r="F3" s="1">
        <v>3070.9700000000003</v>
      </c>
      <c r="J3" s="1">
        <v>667.93</v>
      </c>
      <c r="K3" s="1">
        <v>437.34</v>
      </c>
      <c r="L3" s="1">
        <v>3244.22</v>
      </c>
    </row>
    <row r="4" spans="1:13">
      <c r="A4" s="1">
        <v>5001010201</v>
      </c>
      <c r="D4" s="1">
        <v>591.02</v>
      </c>
      <c r="E4" s="1">
        <v>629.26999999999987</v>
      </c>
      <c r="G4" s="1">
        <v>562.62999999999988</v>
      </c>
      <c r="J4" s="1">
        <v>342.87</v>
      </c>
      <c r="L4" s="1">
        <v>68.08</v>
      </c>
    </row>
    <row r="5" spans="1:13">
      <c r="A5" s="1">
        <v>5001010205</v>
      </c>
      <c r="B5" s="1">
        <v>93639.96</v>
      </c>
      <c r="C5" s="1">
        <v>278320.27</v>
      </c>
      <c r="D5" s="1">
        <v>127679.43</v>
      </c>
      <c r="E5" s="1">
        <v>219879.27</v>
      </c>
      <c r="F5" s="1">
        <v>219763.98</v>
      </c>
      <c r="G5" s="1">
        <v>-1233590.71</v>
      </c>
      <c r="H5" s="1">
        <v>127968.46</v>
      </c>
      <c r="I5" s="1">
        <v>216490.7</v>
      </c>
      <c r="J5" s="1">
        <v>267503.68</v>
      </c>
      <c r="K5" s="1">
        <v>273729.53000000003</v>
      </c>
      <c r="L5" s="1">
        <v>255526.15</v>
      </c>
      <c r="M5" s="1">
        <v>256711.33</v>
      </c>
    </row>
    <row r="6" spans="1:13">
      <c r="A6" s="1">
        <v>5001010206</v>
      </c>
      <c r="B6" s="1">
        <v>94112.95</v>
      </c>
      <c r="C6" s="1">
        <v>182981.46000000002</v>
      </c>
      <c r="D6" s="1">
        <v>98287.700000000012</v>
      </c>
      <c r="E6" s="1">
        <v>112041.87999999998</v>
      </c>
      <c r="F6" s="1">
        <v>108326.29000000001</v>
      </c>
      <c r="G6" s="1">
        <v>120497.91</v>
      </c>
      <c r="H6" s="1">
        <v>67923.660000000018</v>
      </c>
      <c r="I6" s="1">
        <v>103015.92</v>
      </c>
      <c r="J6" s="1">
        <v>120815.31</v>
      </c>
      <c r="K6" s="1">
        <v>121891.55</v>
      </c>
      <c r="L6" s="1">
        <v>110045.29999999999</v>
      </c>
      <c r="M6" s="1">
        <v>113426.07</v>
      </c>
    </row>
    <row r="7" spans="1:13">
      <c r="A7" s="1">
        <v>5102010151</v>
      </c>
      <c r="I7" s="1">
        <v>0.01</v>
      </c>
      <c r="K7" s="1">
        <v>0</v>
      </c>
    </row>
    <row r="8" spans="1:13">
      <c r="A8" s="1">
        <v>5102040893</v>
      </c>
      <c r="B8" s="1">
        <v>-130992.6</v>
      </c>
      <c r="M8" s="1">
        <v>100</v>
      </c>
    </row>
    <row r="9" spans="1:13">
      <c r="A9" s="1">
        <v>5207000011</v>
      </c>
      <c r="D9" s="1">
        <v>-109885.94999999998</v>
      </c>
      <c r="L9" s="1">
        <v>-39355.82</v>
      </c>
    </row>
    <row r="10" spans="1:13">
      <c r="A10" s="1">
        <v>5207000012</v>
      </c>
      <c r="E10" s="1">
        <v>-28810.12</v>
      </c>
      <c r="L10" s="1">
        <v>33954.11</v>
      </c>
    </row>
    <row r="11" spans="1:13">
      <c r="A11" s="1">
        <v>5301070000</v>
      </c>
      <c r="B11" s="1">
        <v>-468763</v>
      </c>
      <c r="C11" s="1">
        <v>-852574</v>
      </c>
      <c r="D11" s="1">
        <v>-1120183</v>
      </c>
      <c r="E11" s="1">
        <v>-1217154</v>
      </c>
      <c r="F11" s="1">
        <v>-1656716</v>
      </c>
      <c r="G11" s="1">
        <v>-1315703</v>
      </c>
      <c r="H11" s="1">
        <v>-1589931</v>
      </c>
      <c r="I11" s="1">
        <v>-1132487</v>
      </c>
      <c r="J11" s="1">
        <v>-1980895</v>
      </c>
      <c r="K11" s="1">
        <v>-2082734</v>
      </c>
      <c r="L11" s="1">
        <v>-1724254.49</v>
      </c>
      <c r="M11" s="1">
        <v>-1278947</v>
      </c>
    </row>
    <row r="12" spans="1:13">
      <c r="A12" s="1">
        <v>5301999999</v>
      </c>
      <c r="F12" s="1">
        <v>-0.03</v>
      </c>
      <c r="H12" s="1">
        <v>173.48</v>
      </c>
      <c r="J12" s="1">
        <v>-231.62</v>
      </c>
      <c r="K12" s="1">
        <v>3.0000000000000002E-2</v>
      </c>
    </row>
    <row r="13" spans="1:13">
      <c r="A13" s="1">
        <v>5405030000</v>
      </c>
      <c r="H13" s="1">
        <v>-0.25</v>
      </c>
      <c r="I13" s="1">
        <v>0.01</v>
      </c>
      <c r="J13" s="1">
        <v>0.01</v>
      </c>
      <c r="K13" s="1">
        <v>0.01</v>
      </c>
      <c r="M13" s="1">
        <v>0.01</v>
      </c>
    </row>
    <row r="14" spans="1:13">
      <c r="A14" s="1">
        <v>5601050000</v>
      </c>
      <c r="C14" s="1">
        <v>165.12</v>
      </c>
      <c r="J14" s="1">
        <v>104.17</v>
      </c>
      <c r="L14" s="1">
        <v>0.11</v>
      </c>
    </row>
    <row r="15" spans="1:13">
      <c r="A15" s="1">
        <v>5601050100</v>
      </c>
      <c r="B15" s="1">
        <v>58.46</v>
      </c>
      <c r="C15" s="1">
        <v>10.38</v>
      </c>
      <c r="D15" s="1">
        <v>10.42</v>
      </c>
      <c r="E15" s="1">
        <v>1001.27</v>
      </c>
      <c r="G15" s="1">
        <v>303.95999999999998</v>
      </c>
      <c r="H15" s="1">
        <v>85.66</v>
      </c>
      <c r="I15" s="1">
        <v>366.23</v>
      </c>
      <c r="K15" s="1">
        <v>1317.8200000000002</v>
      </c>
    </row>
    <row r="16" spans="1:13">
      <c r="A16" s="1">
        <v>5801000041</v>
      </c>
    </row>
    <row r="17" spans="1:13">
      <c r="A17" s="1">
        <v>6666010012</v>
      </c>
      <c r="B17" s="1">
        <v>560370.98</v>
      </c>
      <c r="C17" s="1">
        <v>1557641.79</v>
      </c>
      <c r="D17" s="1">
        <v>846949.8</v>
      </c>
      <c r="E17" s="1">
        <v>969755.45000000019</v>
      </c>
      <c r="F17" s="1">
        <v>928220.3</v>
      </c>
      <c r="G17" s="1">
        <v>1028418.22</v>
      </c>
      <c r="H17" s="1">
        <v>923178.26</v>
      </c>
      <c r="I17" s="1">
        <v>872232.91999999993</v>
      </c>
      <c r="J17" s="1">
        <v>1049480.19</v>
      </c>
      <c r="K17" s="1">
        <v>1058565.06</v>
      </c>
      <c r="L17" s="1">
        <v>962787.32000000007</v>
      </c>
      <c r="M17" s="1">
        <v>990562.92999999993</v>
      </c>
    </row>
    <row r="18" spans="1:13">
      <c r="A18" s="1">
        <v>6666010019</v>
      </c>
      <c r="B18" s="1">
        <v>735876.08</v>
      </c>
      <c r="C18" s="1">
        <v>2185299.33</v>
      </c>
      <c r="D18" s="1">
        <v>1003324.12</v>
      </c>
      <c r="E18" s="1">
        <v>1730172.69</v>
      </c>
      <c r="F18" s="1">
        <v>1728708.57</v>
      </c>
      <c r="G18" s="1">
        <v>1955005.16</v>
      </c>
      <c r="H18" s="1">
        <v>1727433.92</v>
      </c>
      <c r="I18" s="1">
        <v>1704201.45</v>
      </c>
      <c r="J18" s="1">
        <v>2143248.37</v>
      </c>
      <c r="K18" s="1">
        <v>2190423.7000000002</v>
      </c>
      <c r="L18" s="1">
        <v>2043177.1</v>
      </c>
      <c r="M18" s="1">
        <v>2052715.97</v>
      </c>
    </row>
    <row r="19" spans="1:13">
      <c r="A19" s="1">
        <v>6666010101</v>
      </c>
      <c r="B19" s="1">
        <v>2546205.6800000002</v>
      </c>
      <c r="C19" s="1">
        <v>2374086.5299999998</v>
      </c>
      <c r="D19" s="1">
        <v>2623904.4400000004</v>
      </c>
      <c r="E19" s="1">
        <v>3368337.7600000002</v>
      </c>
      <c r="F19" s="1">
        <v>2286032.2600000002</v>
      </c>
      <c r="G19" s="1">
        <v>2579677.4400000004</v>
      </c>
      <c r="H19" s="1">
        <v>2967814.9700000007</v>
      </c>
      <c r="I19" s="1">
        <v>2851529.79</v>
      </c>
      <c r="J19" s="1">
        <v>2939152.8899999997</v>
      </c>
      <c r="K19" s="1">
        <v>2918711.4699999997</v>
      </c>
      <c r="L19" s="1">
        <v>2829467.53</v>
      </c>
      <c r="M19" s="1">
        <v>2550781.7300000004</v>
      </c>
    </row>
    <row r="20" spans="1:13">
      <c r="A20" s="1">
        <v>6666010102</v>
      </c>
      <c r="B20" s="1">
        <v>3868284.3099999996</v>
      </c>
      <c r="C20" s="1">
        <v>2882097.23</v>
      </c>
      <c r="D20" s="1">
        <v>6494467.3800000008</v>
      </c>
      <c r="E20" s="1">
        <v>5354045.25</v>
      </c>
      <c r="F20" s="1">
        <v>5562921.0600000005</v>
      </c>
      <c r="G20" s="1">
        <v>6217980.2899999991</v>
      </c>
      <c r="H20" s="1">
        <v>5890259.7000000002</v>
      </c>
      <c r="I20" s="1">
        <v>5364878.6099999994</v>
      </c>
      <c r="J20" s="1">
        <v>6411628.0300000012</v>
      </c>
      <c r="K20" s="1">
        <v>6219776.4700000007</v>
      </c>
      <c r="L20" s="1">
        <v>5525183.7700000005</v>
      </c>
      <c r="M20" s="1">
        <v>6658631.0999999996</v>
      </c>
    </row>
    <row r="21" spans="1:13">
      <c r="A21" s="1">
        <v>6666010115</v>
      </c>
      <c r="B21" s="1">
        <v>76878.850000000006</v>
      </c>
      <c r="C21" s="1">
        <v>-10888234.51</v>
      </c>
      <c r="D21" s="1">
        <v>-366108.08</v>
      </c>
      <c r="E21" s="1">
        <v>-8332.35</v>
      </c>
      <c r="F21" s="1">
        <v>35239.43</v>
      </c>
      <c r="G21" s="1">
        <v>-3601.65</v>
      </c>
      <c r="H21" s="1">
        <v>140229.35999999999</v>
      </c>
      <c r="I21" s="1">
        <v>-135884.76999999999</v>
      </c>
      <c r="J21" s="1">
        <v>25779.98</v>
      </c>
      <c r="K21" s="1">
        <v>74725.399999999994</v>
      </c>
      <c r="L21" s="1">
        <v>-58980.7</v>
      </c>
      <c r="M21" s="1">
        <v>-47450.02</v>
      </c>
    </row>
    <row r="22" spans="1:13">
      <c r="A22" s="1">
        <v>6666010183</v>
      </c>
      <c r="B22" s="1">
        <v>3003.2</v>
      </c>
      <c r="C22" s="1">
        <v>384554.87</v>
      </c>
      <c r="D22" s="1">
        <v>241260.01</v>
      </c>
      <c r="E22" s="1">
        <v>1361690.37</v>
      </c>
      <c r="F22" s="1">
        <v>756539.28</v>
      </c>
      <c r="G22" s="1">
        <v>326006.21999999997</v>
      </c>
      <c r="H22" s="1">
        <v>555052.43000000005</v>
      </c>
      <c r="I22" s="1">
        <v>277247.08</v>
      </c>
      <c r="J22" s="1">
        <v>517450.21</v>
      </c>
      <c r="K22" s="1">
        <v>953195.11</v>
      </c>
      <c r="L22" s="1">
        <v>782805.08</v>
      </c>
      <c r="M22" s="1">
        <v>439804.3</v>
      </c>
    </row>
    <row r="23" spans="1:13">
      <c r="A23" s="1">
        <v>6666010184</v>
      </c>
      <c r="B23" s="1">
        <v>-2106.9</v>
      </c>
      <c r="C23" s="1">
        <v>-2727.59</v>
      </c>
      <c r="D23" s="1">
        <v>-3400.31</v>
      </c>
      <c r="E23" s="1">
        <v>-13974.060000000001</v>
      </c>
      <c r="F23" s="1">
        <v>-18001.2</v>
      </c>
      <c r="G23" s="1">
        <v>-17457.09</v>
      </c>
      <c r="H23" s="1">
        <v>-15693.869999999999</v>
      </c>
      <c r="I23" s="1">
        <v>-14946.679999999998</v>
      </c>
      <c r="J23" s="1">
        <v>-8656.51</v>
      </c>
      <c r="K23" s="1">
        <v>-6720.2899999999991</v>
      </c>
      <c r="L23" s="1">
        <v>-6585.2999999999993</v>
      </c>
      <c r="M23" s="1">
        <v>-6686.28</v>
      </c>
    </row>
    <row r="24" spans="1:13">
      <c r="A24" s="1">
        <v>6666010185</v>
      </c>
      <c r="B24" s="1">
        <v>-16634.82</v>
      </c>
      <c r="C24" s="1">
        <v>-8098.09</v>
      </c>
      <c r="D24" s="1">
        <v>-12075.66</v>
      </c>
      <c r="E24" s="1">
        <v>-11123.49</v>
      </c>
      <c r="F24" s="1">
        <v>-11165.9</v>
      </c>
      <c r="G24" s="1">
        <v>-13955.85</v>
      </c>
      <c r="H24" s="1">
        <v>-13079.26</v>
      </c>
      <c r="I24" s="1">
        <v>-15072.25</v>
      </c>
      <c r="J24" s="1">
        <v>-11503.48</v>
      </c>
      <c r="K24" s="1">
        <v>-10148.25</v>
      </c>
      <c r="L24" s="1">
        <v>-10155.720000000001</v>
      </c>
      <c r="M24" s="1">
        <v>-10143.36</v>
      </c>
    </row>
    <row r="25" spans="1:13">
      <c r="A25" s="1">
        <v>6666010186</v>
      </c>
      <c r="B25" s="1">
        <v>37825.789999999994</v>
      </c>
      <c r="C25" s="1">
        <v>409598.22</v>
      </c>
      <c r="D25" s="1">
        <v>311504.96999999997</v>
      </c>
      <c r="E25" s="1">
        <v>808504.39999999991</v>
      </c>
      <c r="F25" s="1">
        <v>449293.43999999994</v>
      </c>
      <c r="G25" s="1">
        <v>241682.62</v>
      </c>
      <c r="H25" s="1">
        <v>464884.31</v>
      </c>
      <c r="I25" s="1">
        <v>342554.14</v>
      </c>
      <c r="J25" s="1">
        <v>289239.44000000006</v>
      </c>
      <c r="K25" s="1">
        <v>523131.87999999995</v>
      </c>
      <c r="L25" s="1">
        <v>462570.99000000005</v>
      </c>
      <c r="M25" s="1">
        <v>398761.97</v>
      </c>
    </row>
    <row r="26" spans="1:13">
      <c r="A26" s="1">
        <v>6666010188</v>
      </c>
      <c r="B26" s="1">
        <v>4465979.3600000003</v>
      </c>
      <c r="C26" s="1">
        <v>13639447.040000001</v>
      </c>
      <c r="D26" s="1">
        <v>4580142.76</v>
      </c>
      <c r="E26" s="1">
        <v>9638498.3800000008</v>
      </c>
      <c r="F26" s="1">
        <v>10259971.289999999</v>
      </c>
      <c r="G26" s="1">
        <v>12027993.869999999</v>
      </c>
      <c r="H26" s="1">
        <v>9147094.5299999993</v>
      </c>
      <c r="I26" s="1">
        <v>10575982.140000001</v>
      </c>
      <c r="J26" s="1">
        <v>12607755.85</v>
      </c>
      <c r="K26" s="1">
        <v>12454578.1</v>
      </c>
      <c r="L26" s="1">
        <v>11929469.960000001</v>
      </c>
      <c r="M26" s="1">
        <v>10234573.220000001</v>
      </c>
    </row>
    <row r="27" spans="1:13">
      <c r="A27" s="1">
        <v>6666010189</v>
      </c>
      <c r="C27" s="1">
        <v>1962.06</v>
      </c>
      <c r="D27" s="1">
        <v>0</v>
      </c>
      <c r="E27" s="1">
        <v>35135.599999999999</v>
      </c>
      <c r="G27" s="1">
        <v>-89980.84</v>
      </c>
      <c r="H27" s="1">
        <v>-144.56</v>
      </c>
      <c r="I27" s="1">
        <v>0</v>
      </c>
      <c r="J27" s="1">
        <v>-69372.820000000007</v>
      </c>
      <c r="K27" s="1">
        <v>-30980.95</v>
      </c>
      <c r="L27" s="1">
        <v>0</v>
      </c>
      <c r="M27" s="1">
        <v>0</v>
      </c>
    </row>
    <row r="28" spans="1:13">
      <c r="A28" s="1">
        <v>6666010196</v>
      </c>
      <c r="B28" s="1">
        <v>384828.81999999995</v>
      </c>
      <c r="C28" s="1">
        <v>358205.53</v>
      </c>
      <c r="D28" s="1">
        <v>387463.63</v>
      </c>
      <c r="E28" s="1">
        <v>365928.58</v>
      </c>
      <c r="F28" s="1">
        <v>345326.74</v>
      </c>
      <c r="G28" s="1">
        <v>386461.81000000006</v>
      </c>
      <c r="H28" s="1">
        <v>376479.61999999994</v>
      </c>
      <c r="I28" s="1">
        <v>392844.16000000003</v>
      </c>
      <c r="J28" s="1">
        <v>428609.95999999996</v>
      </c>
      <c r="K28" s="1">
        <v>412179.23</v>
      </c>
      <c r="L28" s="1">
        <v>408952.15999999992</v>
      </c>
      <c r="M28" s="1">
        <v>378381.63</v>
      </c>
    </row>
    <row r="29" spans="1:13">
      <c r="A29" s="1">
        <v>6666010199</v>
      </c>
      <c r="B29" s="1">
        <v>554086.62</v>
      </c>
      <c r="C29" s="1">
        <v>81918.53</v>
      </c>
      <c r="D29" s="1">
        <v>224647.96</v>
      </c>
      <c r="E29" s="1">
        <v>-1154500.94</v>
      </c>
      <c r="F29" s="1">
        <v>-39656.310000000005</v>
      </c>
      <c r="G29" s="1">
        <v>36173.86</v>
      </c>
      <c r="H29" s="1">
        <v>95022.86</v>
      </c>
      <c r="I29" s="1">
        <v>608001.74</v>
      </c>
      <c r="J29" s="1">
        <v>-35588.97</v>
      </c>
      <c r="K29" s="1">
        <v>393080.24000000005</v>
      </c>
      <c r="L29" s="1">
        <v>97622.31</v>
      </c>
      <c r="M29" s="1">
        <v>-311613.53999999998</v>
      </c>
    </row>
    <row r="30" spans="1:13">
      <c r="A30" s="1">
        <v>6666010207</v>
      </c>
      <c r="B30" s="1">
        <v>34949.78</v>
      </c>
      <c r="C30" s="1">
        <v>32857.880000000005</v>
      </c>
      <c r="D30" s="1">
        <v>44477.350000000006</v>
      </c>
      <c r="E30" s="1">
        <v>41169.78</v>
      </c>
      <c r="F30" s="1">
        <v>39540.160000000003</v>
      </c>
      <c r="G30" s="1">
        <v>45376.990000000005</v>
      </c>
      <c r="H30" s="1">
        <v>47234.759999999995</v>
      </c>
      <c r="I30" s="1">
        <v>49185.149999999994</v>
      </c>
      <c r="J30" s="1">
        <v>45793.360000000008</v>
      </c>
      <c r="K30" s="1">
        <v>42460.49</v>
      </c>
      <c r="L30" s="1">
        <v>42234.210000000006</v>
      </c>
      <c r="M30" s="1">
        <v>38215.89</v>
      </c>
    </row>
    <row r="31" spans="1:13">
      <c r="A31" s="1">
        <v>6666010226</v>
      </c>
      <c r="B31" s="1">
        <v>81532.03</v>
      </c>
      <c r="C31" s="1">
        <v>399522.49</v>
      </c>
      <c r="D31" s="1">
        <v>359424.31999999995</v>
      </c>
      <c r="E31" s="1">
        <v>1238.0800000000017</v>
      </c>
      <c r="F31" s="1">
        <v>192453.63</v>
      </c>
      <c r="G31" s="1">
        <v>159599.26</v>
      </c>
      <c r="H31" s="1">
        <v>215571.08</v>
      </c>
      <c r="I31" s="1">
        <v>169589.14999999997</v>
      </c>
      <c r="J31" s="1">
        <v>162217.60000000001</v>
      </c>
      <c r="K31" s="1">
        <v>161817.34999999998</v>
      </c>
      <c r="L31" s="1">
        <v>158916.51999999999</v>
      </c>
      <c r="M31" s="1">
        <v>158266.9</v>
      </c>
    </row>
    <row r="32" spans="1:13">
      <c r="A32" s="1">
        <v>6666010227</v>
      </c>
      <c r="B32" s="1">
        <v>16811.04</v>
      </c>
      <c r="C32" s="1">
        <v>-227414.33</v>
      </c>
      <c r="D32" s="1">
        <v>288838.11</v>
      </c>
      <c r="E32" s="1">
        <v>34628.720000000001</v>
      </c>
      <c r="F32" s="1">
        <v>31753.97</v>
      </c>
      <c r="G32" s="1">
        <v>33157.429999999993</v>
      </c>
      <c r="H32" s="1">
        <v>23255.340000000004</v>
      </c>
      <c r="I32" s="1">
        <v>38515.35</v>
      </c>
      <c r="J32" s="1">
        <v>97614.079999999987</v>
      </c>
      <c r="K32" s="1">
        <v>39337.630000000005</v>
      </c>
      <c r="L32" s="1">
        <v>42498.7</v>
      </c>
      <c r="M32" s="1">
        <v>40806.229999999996</v>
      </c>
    </row>
    <row r="33" spans="1:13">
      <c r="A33" s="1">
        <v>6666010229</v>
      </c>
      <c r="B33" s="1">
        <v>422939.6</v>
      </c>
      <c r="C33" s="1">
        <v>650586.37</v>
      </c>
      <c r="D33" s="1">
        <v>65752.319999999992</v>
      </c>
      <c r="E33" s="1">
        <v>356457.89</v>
      </c>
      <c r="F33" s="1">
        <v>272912.19</v>
      </c>
      <c r="G33" s="1">
        <v>318157.28000000003</v>
      </c>
      <c r="H33" s="1">
        <v>330712.58</v>
      </c>
      <c r="I33" s="1">
        <v>355128.86</v>
      </c>
      <c r="J33" s="1">
        <v>361581.52</v>
      </c>
      <c r="K33" s="1">
        <v>391859.44</v>
      </c>
      <c r="L33" s="1">
        <v>397859.32</v>
      </c>
      <c r="M33" s="1">
        <v>415066.52</v>
      </c>
    </row>
    <row r="34" spans="1:13">
      <c r="A34" s="1">
        <v>6666010302</v>
      </c>
      <c r="B34" s="1">
        <v>3500</v>
      </c>
      <c r="C34" s="1">
        <v>103500</v>
      </c>
      <c r="D34" s="1">
        <v>-50000</v>
      </c>
      <c r="E34" s="1">
        <v>-9512.35</v>
      </c>
      <c r="F34" s="1">
        <v>2757.05</v>
      </c>
      <c r="G34" s="1">
        <v>1484000</v>
      </c>
      <c r="H34" s="1">
        <v>210077.67</v>
      </c>
      <c r="I34" s="1">
        <v>10888.599999999999</v>
      </c>
      <c r="J34" s="1">
        <v>3509.3</v>
      </c>
      <c r="K34" s="1">
        <v>0</v>
      </c>
      <c r="L34" s="1">
        <v>0</v>
      </c>
      <c r="M34" s="1">
        <v>-4400</v>
      </c>
    </row>
    <row r="35" spans="1:13">
      <c r="A35" s="1">
        <v>6666010314</v>
      </c>
      <c r="B35" s="1">
        <v>383080.71</v>
      </c>
      <c r="C35" s="1">
        <v>383236.87</v>
      </c>
      <c r="D35" s="1">
        <v>574246.81999999983</v>
      </c>
      <c r="E35" s="1">
        <v>861211.61</v>
      </c>
      <c r="F35" s="1">
        <v>387733.23000000004</v>
      </c>
      <c r="G35" s="1">
        <v>383158.79</v>
      </c>
      <c r="H35" s="1">
        <v>400408.94</v>
      </c>
      <c r="I35" s="1">
        <v>383158.79</v>
      </c>
      <c r="J35" s="1">
        <v>388665.96</v>
      </c>
      <c r="K35" s="1">
        <v>1733751.23</v>
      </c>
      <c r="L35" s="1">
        <v>50000</v>
      </c>
      <c r="M35" s="1">
        <v>23629.86</v>
      </c>
    </row>
    <row r="36" spans="1:13">
      <c r="A36" s="1">
        <v>6666010322</v>
      </c>
      <c r="B36" s="1">
        <v>79380.39</v>
      </c>
      <c r="C36" s="1">
        <v>58342.280000000006</v>
      </c>
      <c r="D36" s="1">
        <v>60645.17</v>
      </c>
      <c r="E36" s="1">
        <v>40691.030000000006</v>
      </c>
      <c r="F36" s="1">
        <v>80005.440000000002</v>
      </c>
      <c r="G36" s="1">
        <v>20582.440000000002</v>
      </c>
      <c r="H36" s="1">
        <v>43400.990000000005</v>
      </c>
      <c r="I36" s="1">
        <v>43767.950000000004</v>
      </c>
      <c r="J36" s="1">
        <v>38963.9</v>
      </c>
      <c r="K36" s="1">
        <v>29115.739999999998</v>
      </c>
      <c r="L36" s="1">
        <v>32564.300000000003</v>
      </c>
      <c r="M36" s="1">
        <v>28272.29</v>
      </c>
    </row>
    <row r="37" spans="1:13">
      <c r="A37" s="1">
        <v>6666010380</v>
      </c>
      <c r="B37" s="1">
        <v>-15295.21</v>
      </c>
      <c r="C37" s="1">
        <v>-15295.2</v>
      </c>
      <c r="D37" s="1">
        <v>-14261.76</v>
      </c>
      <c r="E37" s="1">
        <v>-51174.54</v>
      </c>
      <c r="F37" s="1">
        <v>-43874.73</v>
      </c>
      <c r="G37" s="1">
        <v>-44253.63</v>
      </c>
      <c r="H37" s="1">
        <v>-45882.54</v>
      </c>
      <c r="I37" s="1">
        <v>-47329.4</v>
      </c>
      <c r="J37" s="1">
        <v>-50989.9</v>
      </c>
      <c r="K37" s="1">
        <v>-49406.83</v>
      </c>
      <c r="L37" s="1">
        <v>-45204.67</v>
      </c>
      <c r="M37" s="1">
        <v>-47040.62</v>
      </c>
    </row>
    <row r="38" spans="1:13">
      <c r="A38" s="1">
        <v>6666020101</v>
      </c>
      <c r="C38" s="1">
        <v>86509.06</v>
      </c>
      <c r="D38" s="1">
        <v>87927.199999999983</v>
      </c>
      <c r="E38" s="1">
        <v>85090.93</v>
      </c>
      <c r="F38" s="1">
        <v>86509.07</v>
      </c>
      <c r="G38" s="1">
        <v>86509.06</v>
      </c>
      <c r="H38" s="1">
        <v>86509.06</v>
      </c>
      <c r="I38" s="1">
        <v>86509.06</v>
      </c>
      <c r="J38" s="1">
        <v>86509.06</v>
      </c>
      <c r="K38" s="1">
        <v>-51936.94</v>
      </c>
      <c r="L38" s="1">
        <v>-51936.94</v>
      </c>
      <c r="M38" s="1">
        <v>-570990.11</v>
      </c>
    </row>
    <row r="39" spans="1:13">
      <c r="A39" s="1">
        <v>6666020201</v>
      </c>
      <c r="B39" s="1">
        <v>976.76</v>
      </c>
      <c r="C39" s="1">
        <v>3007.9800000000005</v>
      </c>
      <c r="D39" s="1">
        <v>2239.1200000000003</v>
      </c>
      <c r="E39" s="1">
        <v>5382.68</v>
      </c>
      <c r="F39" s="1">
        <v>5571.26</v>
      </c>
      <c r="G39" s="1">
        <v>7953.3899999999994</v>
      </c>
      <c r="H39" s="1">
        <v>9746.7900000000009</v>
      </c>
      <c r="I39" s="1">
        <v>1438.89</v>
      </c>
      <c r="J39" s="1">
        <v>7303.6500000000005</v>
      </c>
      <c r="K39" s="1">
        <v>5396.7800000000007</v>
      </c>
      <c r="L39" s="1">
        <v>2306.5600000000004</v>
      </c>
      <c r="M39" s="1">
        <v>2961.65</v>
      </c>
    </row>
    <row r="40" spans="1:13">
      <c r="A40" s="1">
        <v>6666020202</v>
      </c>
      <c r="B40" s="1">
        <v>21.03</v>
      </c>
      <c r="D40" s="1">
        <v>10594.8</v>
      </c>
      <c r="E40" s="1">
        <v>8061.6</v>
      </c>
      <c r="G40" s="1">
        <v>1567.72</v>
      </c>
      <c r="J40" s="1">
        <v>28000</v>
      </c>
      <c r="L40" s="1">
        <v>4411.2</v>
      </c>
      <c r="M40" s="1">
        <v>1761.25</v>
      </c>
    </row>
    <row r="41" spans="1:13">
      <c r="A41" s="1">
        <v>6666020204</v>
      </c>
      <c r="B41" s="1">
        <v>8360</v>
      </c>
      <c r="C41" s="1">
        <v>18367.099999999999</v>
      </c>
      <c r="D41" s="1">
        <v>16741</v>
      </c>
      <c r="E41" s="1">
        <v>10964.21</v>
      </c>
      <c r="F41" s="1">
        <v>6949.78</v>
      </c>
      <c r="G41" s="1">
        <v>11789.800000000001</v>
      </c>
      <c r="H41" s="1">
        <v>16353.269999999999</v>
      </c>
      <c r="J41" s="1">
        <v>1755.37</v>
      </c>
      <c r="L41" s="1">
        <v>14852.699999999999</v>
      </c>
      <c r="M41" s="1">
        <v>5431.35</v>
      </c>
    </row>
    <row r="42" spans="1:13">
      <c r="A42" s="1">
        <v>6666020205</v>
      </c>
      <c r="H42" s="1">
        <v>333.33</v>
      </c>
    </row>
    <row r="43" spans="1:13">
      <c r="A43" s="1">
        <v>6666020301</v>
      </c>
      <c r="I43" s="1">
        <v>147431.08999999997</v>
      </c>
      <c r="K43" s="1">
        <v>92909.62000000001</v>
      </c>
      <c r="L43" s="1">
        <v>32500.579999999998</v>
      </c>
      <c r="M43" s="1">
        <v>32064.95</v>
      </c>
    </row>
    <row r="44" spans="1:13">
      <c r="A44" s="1">
        <v>6666020302</v>
      </c>
    </row>
    <row r="45" spans="1:13">
      <c r="A45" s="1">
        <v>6666020401</v>
      </c>
      <c r="B45" s="1">
        <v>551229.54</v>
      </c>
      <c r="C45" s="1">
        <v>866738.14999999991</v>
      </c>
      <c r="D45" s="1">
        <v>805783.04000000004</v>
      </c>
      <c r="E45" s="1">
        <v>1016403.73</v>
      </c>
      <c r="F45" s="1">
        <v>1205392.6899999997</v>
      </c>
      <c r="G45" s="1">
        <v>1068244.75</v>
      </c>
      <c r="H45" s="1">
        <v>1199226.6899999997</v>
      </c>
      <c r="I45" s="1">
        <v>1156321.2399999998</v>
      </c>
      <c r="J45" s="1">
        <v>1236708.1300000001</v>
      </c>
      <c r="K45" s="1">
        <v>1240293.2999999998</v>
      </c>
      <c r="L45" s="1">
        <v>1173481.73</v>
      </c>
      <c r="M45" s="1">
        <v>1229508.99</v>
      </c>
    </row>
    <row r="46" spans="1:13">
      <c r="A46" s="1">
        <v>6666020405</v>
      </c>
      <c r="D46" s="1">
        <v>270</v>
      </c>
    </row>
    <row r="47" spans="1:13">
      <c r="A47" s="1">
        <v>6666020495</v>
      </c>
      <c r="B47" s="1">
        <v>1313.39</v>
      </c>
      <c r="C47" s="1">
        <v>2187.16</v>
      </c>
      <c r="E47" s="1">
        <v>6037.4000000000005</v>
      </c>
      <c r="F47" s="1">
        <v>7448.1900000000005</v>
      </c>
      <c r="G47" s="1">
        <v>4949.8500000000004</v>
      </c>
      <c r="H47" s="1">
        <v>7273.86</v>
      </c>
      <c r="I47" s="1">
        <v>9900.4599999999991</v>
      </c>
      <c r="J47" s="1">
        <v>3237.84</v>
      </c>
      <c r="K47" s="1">
        <v>9775.14</v>
      </c>
      <c r="L47" s="1">
        <v>8337.5299999999988</v>
      </c>
      <c r="M47" s="1">
        <v>8472.2900000000009</v>
      </c>
    </row>
    <row r="48" spans="1:13">
      <c r="A48" s="1">
        <v>6666020502</v>
      </c>
      <c r="B48" s="1">
        <v>530954.68999999994</v>
      </c>
      <c r="C48" s="1">
        <v>750120.84000000008</v>
      </c>
      <c r="D48" s="1">
        <v>764186.97</v>
      </c>
      <c r="E48" s="1">
        <v>878840.55000000016</v>
      </c>
      <c r="F48" s="1">
        <v>1301054.57</v>
      </c>
      <c r="G48" s="1">
        <v>1031100.45</v>
      </c>
      <c r="H48" s="1">
        <v>1262071.3899999999</v>
      </c>
      <c r="I48" s="1">
        <v>1085830.73</v>
      </c>
      <c r="J48" s="1">
        <v>1566056.93</v>
      </c>
      <c r="K48" s="1">
        <v>1523030.38</v>
      </c>
      <c r="L48" s="1">
        <v>1401319.04</v>
      </c>
      <c r="M48" s="1">
        <v>1328305.8199999998</v>
      </c>
    </row>
    <row r="49" spans="1:13">
      <c r="A49" s="1">
        <v>6666020503</v>
      </c>
      <c r="B49" s="1">
        <v>32000</v>
      </c>
      <c r="C49" s="1">
        <v>34269.780000000006</v>
      </c>
      <c r="D49" s="1">
        <v>31151.13</v>
      </c>
      <c r="E49" s="1">
        <v>34120.070000000007</v>
      </c>
      <c r="F49" s="1">
        <v>30827.200000000001</v>
      </c>
      <c r="G49" s="1">
        <v>32473.64</v>
      </c>
      <c r="H49" s="1">
        <v>34868.350000000006</v>
      </c>
      <c r="I49" s="1">
        <v>32473.64</v>
      </c>
      <c r="J49" s="1">
        <v>32901.82</v>
      </c>
      <c r="K49" s="1">
        <v>-22486.42</v>
      </c>
      <c r="L49" s="1">
        <v>35501.660000000003</v>
      </c>
      <c r="M49" s="1">
        <v>-104207.12000000001</v>
      </c>
    </row>
    <row r="50" spans="1:13">
      <c r="A50" s="1">
        <v>6666020504</v>
      </c>
      <c r="F50" s="1">
        <v>4500</v>
      </c>
    </row>
    <row r="51" spans="1:13">
      <c r="A51" s="1">
        <v>6666020508</v>
      </c>
    </row>
    <row r="52" spans="1:13">
      <c r="A52" s="1">
        <v>6666020602</v>
      </c>
      <c r="B52" s="1">
        <v>37050</v>
      </c>
      <c r="C52" s="1">
        <v>17389</v>
      </c>
      <c r="D52" s="1">
        <v>600</v>
      </c>
      <c r="E52" s="1">
        <v>232329.41</v>
      </c>
      <c r="H52" s="1">
        <v>49428.6</v>
      </c>
      <c r="I52" s="1">
        <v>10500</v>
      </c>
      <c r="J52" s="1">
        <v>-228000</v>
      </c>
      <c r="L52" s="1">
        <v>-3279.41</v>
      </c>
      <c r="M52" s="1">
        <v>-7679.4</v>
      </c>
    </row>
    <row r="53" spans="1:13">
      <c r="A53" s="1">
        <v>6666020701</v>
      </c>
      <c r="B53" s="1">
        <v>0</v>
      </c>
      <c r="C53" s="1">
        <v>0</v>
      </c>
      <c r="D53" s="1">
        <v>0</v>
      </c>
    </row>
    <row r="54" spans="1:13">
      <c r="A54" s="1">
        <v>6666020801</v>
      </c>
    </row>
    <row r="55" spans="1:13">
      <c r="A55" s="1">
        <v>6666020802</v>
      </c>
      <c r="B55" s="1">
        <v>386041.38</v>
      </c>
      <c r="C55" s="1">
        <v>396106.12</v>
      </c>
      <c r="D55" s="1">
        <v>427379.45</v>
      </c>
      <c r="E55" s="1">
        <v>381763.64</v>
      </c>
      <c r="F55" s="1">
        <v>373125</v>
      </c>
      <c r="G55" s="1">
        <v>501410</v>
      </c>
      <c r="H55" s="1">
        <v>502450.93</v>
      </c>
      <c r="I55" s="1">
        <v>352450</v>
      </c>
      <c r="J55" s="1">
        <v>352450</v>
      </c>
      <c r="K55" s="1">
        <v>352450</v>
      </c>
      <c r="L55" s="1">
        <v>352450</v>
      </c>
      <c r="M55" s="1">
        <v>385196.5</v>
      </c>
    </row>
    <row r="56" spans="1:13">
      <c r="A56" s="1">
        <v>6666020803</v>
      </c>
      <c r="B56" s="1">
        <v>242000</v>
      </c>
      <c r="C56" s="1">
        <v>372323.19000000006</v>
      </c>
      <c r="D56" s="1">
        <v>235485.12</v>
      </c>
      <c r="E56" s="1">
        <v>97368.969999999987</v>
      </c>
      <c r="F56" s="1">
        <v>242100.91999999998</v>
      </c>
      <c r="G56" s="1">
        <v>119365.25</v>
      </c>
      <c r="H56" s="1">
        <v>128833.10999999999</v>
      </c>
      <c r="I56" s="1">
        <v>197944.15999999997</v>
      </c>
      <c r="J56" s="1">
        <v>157878.57</v>
      </c>
      <c r="K56" s="1">
        <v>235195.33000000002</v>
      </c>
      <c r="L56" s="1">
        <v>144742.38</v>
      </c>
      <c r="M56" s="1">
        <v>27325.600000000006</v>
      </c>
    </row>
    <row r="57" spans="1:13">
      <c r="A57" s="1">
        <v>6666020901</v>
      </c>
      <c r="B57" s="1">
        <v>6.91</v>
      </c>
      <c r="H57" s="1">
        <v>25.66</v>
      </c>
      <c r="L57" s="1">
        <v>-0.01</v>
      </c>
    </row>
    <row r="58" spans="1:13">
      <c r="A58" s="1">
        <v>6666020903</v>
      </c>
      <c r="B58" s="1">
        <v>0</v>
      </c>
    </row>
    <row r="59" spans="1:13">
      <c r="A59" s="1">
        <v>6666021100</v>
      </c>
      <c r="B59" s="1">
        <v>150807.5</v>
      </c>
      <c r="C59" s="1">
        <v>233404</v>
      </c>
      <c r="D59" s="1">
        <v>320607.39</v>
      </c>
      <c r="E59" s="1">
        <v>234939.63</v>
      </c>
      <c r="F59" s="1">
        <v>234939.63</v>
      </c>
      <c r="G59" s="1">
        <v>234939.63</v>
      </c>
      <c r="H59" s="1">
        <v>242932.57</v>
      </c>
      <c r="I59" s="1">
        <v>234939.63</v>
      </c>
      <c r="J59" s="1">
        <v>234939.63</v>
      </c>
      <c r="K59" s="1">
        <v>234939.63</v>
      </c>
      <c r="L59" s="1">
        <v>234939.63</v>
      </c>
      <c r="M59" s="1">
        <v>-407126.78</v>
      </c>
    </row>
    <row r="60" spans="1:13">
      <c r="A60" s="1">
        <v>6666021500</v>
      </c>
      <c r="B60" s="1">
        <v>21266.75</v>
      </c>
      <c r="D60" s="1">
        <v>83456.98</v>
      </c>
      <c r="E60" s="1">
        <v>98626.7</v>
      </c>
      <c r="F60" s="1">
        <v>658412</v>
      </c>
      <c r="G60" s="1">
        <v>179367.28</v>
      </c>
      <c r="H60" s="1">
        <v>54155.06</v>
      </c>
      <c r="I60" s="1">
        <v>27000</v>
      </c>
      <c r="J60" s="1">
        <v>186706.08</v>
      </c>
      <c r="K60" s="1">
        <v>288422.37</v>
      </c>
      <c r="L60" s="1">
        <v>169697.09</v>
      </c>
      <c r="M60" s="1">
        <v>2243369.1800000002</v>
      </c>
    </row>
    <row r="61" spans="1:13">
      <c r="A61" s="1">
        <v>6666021502</v>
      </c>
      <c r="B61" s="1">
        <v>666525</v>
      </c>
      <c r="C61" s="1">
        <v>687554.92</v>
      </c>
      <c r="D61" s="1">
        <v>549698.49000000011</v>
      </c>
      <c r="E61" s="1">
        <v>663912.14999999991</v>
      </c>
      <c r="F61" s="1">
        <v>29247.53</v>
      </c>
      <c r="G61" s="1">
        <v>504032.35</v>
      </c>
      <c r="H61" s="1">
        <v>645383.41</v>
      </c>
      <c r="I61" s="1">
        <v>-497268.41999999993</v>
      </c>
      <c r="J61" s="1">
        <v>-259032.9</v>
      </c>
      <c r="K61" s="1">
        <v>436102.83</v>
      </c>
      <c r="L61" s="1">
        <v>517823.44999999995</v>
      </c>
      <c r="M61" s="1">
        <v>-2223853.4899999998</v>
      </c>
    </row>
    <row r="62" spans="1:13">
      <c r="A62" s="1">
        <v>6666021503</v>
      </c>
      <c r="B62" s="1">
        <v>89072.93</v>
      </c>
      <c r="C62" s="1">
        <v>179649.51</v>
      </c>
      <c r="D62" s="1">
        <v>84766.540000000008</v>
      </c>
      <c r="E62" s="1">
        <v>84550</v>
      </c>
      <c r="F62" s="1">
        <v>84550</v>
      </c>
      <c r="G62" s="1">
        <v>84550</v>
      </c>
      <c r="H62" s="1">
        <v>107788.37</v>
      </c>
      <c r="I62" s="1">
        <v>130153.14</v>
      </c>
      <c r="J62" s="1">
        <v>312043.86</v>
      </c>
      <c r="K62" s="1">
        <v>91424.5</v>
      </c>
      <c r="L62" s="1">
        <v>120434.72</v>
      </c>
      <c r="M62" s="1">
        <v>142974.07999999999</v>
      </c>
    </row>
    <row r="63" spans="1:13">
      <c r="A63" s="1">
        <v>6666021505</v>
      </c>
      <c r="B63" s="1">
        <v>0</v>
      </c>
      <c r="C63" s="1">
        <v>1526.82</v>
      </c>
      <c r="D63" s="1">
        <v>0</v>
      </c>
      <c r="F63" s="1">
        <v>38.6</v>
      </c>
      <c r="G63" s="1">
        <v>4276.7999999999993</v>
      </c>
      <c r="K63" s="1">
        <v>131.25</v>
      </c>
      <c r="M63" s="1">
        <v>0</v>
      </c>
    </row>
    <row r="64" spans="1:13">
      <c r="A64" s="1">
        <v>6666021506</v>
      </c>
      <c r="B64" s="1">
        <v>1076583.95</v>
      </c>
      <c r="C64" s="1">
        <v>977622.72</v>
      </c>
      <c r="D64" s="1">
        <v>1175692.33</v>
      </c>
      <c r="E64" s="1">
        <v>1076514.33</v>
      </c>
      <c r="F64" s="1">
        <v>1076603.3400000001</v>
      </c>
      <c r="G64" s="1">
        <v>1076609.6299999999</v>
      </c>
      <c r="H64" s="1">
        <v>1076967.4700000002</v>
      </c>
      <c r="I64" s="1">
        <v>-242431.13</v>
      </c>
      <c r="J64" s="1">
        <v>127008.93000000001</v>
      </c>
      <c r="K64" s="1">
        <v>1076603.33</v>
      </c>
      <c r="L64" s="1">
        <v>1076603.33</v>
      </c>
      <c r="M64" s="1">
        <v>1342895.85</v>
      </c>
    </row>
    <row r="65" spans="1:13">
      <c r="A65" s="1">
        <v>6666021600</v>
      </c>
      <c r="B65" s="1">
        <v>474389.24</v>
      </c>
      <c r="C65" s="1">
        <v>567255.06000000006</v>
      </c>
      <c r="D65" s="1">
        <v>899014.74</v>
      </c>
      <c r="E65" s="1">
        <v>1357513.1</v>
      </c>
      <c r="F65" s="1">
        <v>802442.21</v>
      </c>
      <c r="G65" s="1">
        <v>707020.32</v>
      </c>
      <c r="H65" s="1">
        <v>1201744.48</v>
      </c>
      <c r="I65" s="1">
        <v>722922.46</v>
      </c>
      <c r="J65" s="1">
        <v>588664.36</v>
      </c>
      <c r="K65" s="1">
        <v>959447.42</v>
      </c>
      <c r="L65" s="1">
        <v>705995.78</v>
      </c>
      <c r="M65" s="1">
        <v>575157.93000000005</v>
      </c>
    </row>
    <row r="66" spans="1:13">
      <c r="A66" s="1">
        <v>6666021602</v>
      </c>
      <c r="B66" s="1">
        <v>254753.6</v>
      </c>
      <c r="C66" s="1">
        <v>-25529.84</v>
      </c>
      <c r="D66" s="1">
        <v>248344.97</v>
      </c>
      <c r="E66" s="1">
        <v>646468.09000000008</v>
      </c>
      <c r="F66" s="1">
        <v>36872.269999999997</v>
      </c>
      <c r="G66" s="1">
        <v>-43649.9</v>
      </c>
      <c r="H66" s="1">
        <v>-27216.82</v>
      </c>
      <c r="I66" s="1">
        <v>63164.84</v>
      </c>
      <c r="J66" s="1">
        <v>-281048.73</v>
      </c>
      <c r="K66" s="1">
        <v>275704.61</v>
      </c>
      <c r="L66" s="1">
        <v>256610.82</v>
      </c>
      <c r="M66" s="1">
        <v>301688.44</v>
      </c>
    </row>
    <row r="67" spans="1:13">
      <c r="A67" s="1">
        <v>6666021603</v>
      </c>
      <c r="C67" s="1">
        <v>27547.759999999998</v>
      </c>
      <c r="D67" s="1">
        <v>16346.99</v>
      </c>
      <c r="E67" s="1">
        <v>25909.59</v>
      </c>
      <c r="F67" s="1">
        <v>23928.17</v>
      </c>
      <c r="G67" s="1">
        <v>56291.87</v>
      </c>
      <c r="H67" s="1">
        <v>36853.269999999997</v>
      </c>
      <c r="I67" s="1">
        <v>25932.32</v>
      </c>
      <c r="J67" s="1">
        <v>24557.77</v>
      </c>
      <c r="K67" s="1">
        <v>32575.599999999999</v>
      </c>
      <c r="L67" s="1">
        <v>47249.27</v>
      </c>
      <c r="M67" s="1">
        <v>37940.620000000003</v>
      </c>
    </row>
    <row r="68" spans="1:13">
      <c r="A68" s="1">
        <v>6666021604</v>
      </c>
      <c r="B68" s="1">
        <v>291921.36</v>
      </c>
      <c r="C68" s="1">
        <v>80562.929999999993</v>
      </c>
      <c r="D68" s="1">
        <v>288239.58999999997</v>
      </c>
      <c r="E68" s="1">
        <v>-53897.149999999994</v>
      </c>
      <c r="F68" s="1">
        <v>35310.22</v>
      </c>
      <c r="G68" s="1">
        <v>66837.649999999994</v>
      </c>
      <c r="H68" s="1">
        <v>56766.21</v>
      </c>
      <c r="I68" s="1">
        <v>40199.89</v>
      </c>
      <c r="J68" s="1">
        <v>242349.93000000002</v>
      </c>
      <c r="K68" s="1">
        <v>202855.88000000003</v>
      </c>
      <c r="L68" s="1">
        <v>112734.06</v>
      </c>
      <c r="M68" s="1">
        <v>184307.74</v>
      </c>
    </row>
    <row r="69" spans="1:13">
      <c r="A69" s="1">
        <v>6666021902</v>
      </c>
      <c r="B69" s="1">
        <v>208166.04</v>
      </c>
      <c r="C69" s="1">
        <v>237235.43</v>
      </c>
      <c r="D69" s="1">
        <v>273970.52</v>
      </c>
      <c r="E69" s="1">
        <v>316339.21999999997</v>
      </c>
      <c r="F69" s="1">
        <v>240022.11</v>
      </c>
      <c r="G69" s="1">
        <v>198218.17</v>
      </c>
      <c r="H69" s="1">
        <v>229754.7</v>
      </c>
      <c r="I69" s="1">
        <v>260162.75</v>
      </c>
      <c r="J69" s="1">
        <v>269685.29000000004</v>
      </c>
      <c r="K69" s="1">
        <v>304190.8</v>
      </c>
      <c r="L69" s="1">
        <v>333943.73</v>
      </c>
      <c r="M69" s="1">
        <v>342315.52999999997</v>
      </c>
    </row>
    <row r="70" spans="1:13">
      <c r="A70" s="1">
        <v>6666022100</v>
      </c>
      <c r="B70" s="1">
        <v>37124.25</v>
      </c>
      <c r="C70" s="1">
        <v>39776.910000000003</v>
      </c>
      <c r="D70" s="1">
        <v>37160.75</v>
      </c>
      <c r="E70" s="1">
        <v>70100.08</v>
      </c>
      <c r="F70" s="1">
        <v>35941.050000000003</v>
      </c>
      <c r="G70" s="1">
        <v>43115.360000000001</v>
      </c>
      <c r="H70" s="1">
        <v>30330.03</v>
      </c>
      <c r="I70" s="1">
        <v>40936.559999999998</v>
      </c>
      <c r="J70" s="1">
        <v>41056.959999999999</v>
      </c>
      <c r="K70" s="1">
        <v>42878.78</v>
      </c>
      <c r="L70" s="1">
        <v>36146.68</v>
      </c>
      <c r="M70" s="1">
        <v>38801.01</v>
      </c>
    </row>
    <row r="71" spans="1:13">
      <c r="A71" s="1">
        <v>6666022300</v>
      </c>
      <c r="B71" s="1">
        <v>0</v>
      </c>
      <c r="C71" s="1">
        <v>0</v>
      </c>
      <c r="D71" s="1">
        <v>0</v>
      </c>
    </row>
    <row r="72" spans="1:13">
      <c r="A72" s="1">
        <v>6666029900</v>
      </c>
      <c r="C72" s="1">
        <v>26711.37</v>
      </c>
      <c r="D72" s="1">
        <v>-17800.11</v>
      </c>
    </row>
    <row r="73" spans="1:13">
      <c r="A73" s="1">
        <v>6666029997</v>
      </c>
      <c r="B73" s="1">
        <v>19000</v>
      </c>
      <c r="C73" s="1">
        <v>19000</v>
      </c>
      <c r="D73" s="1">
        <v>18963</v>
      </c>
      <c r="E73" s="1">
        <v>18987</v>
      </c>
      <c r="F73" s="1">
        <v>18987.5</v>
      </c>
      <c r="G73" s="1">
        <v>18987.5</v>
      </c>
      <c r="H73" s="1">
        <v>18987.5</v>
      </c>
      <c r="I73" s="1">
        <v>18987.5</v>
      </c>
      <c r="J73" s="1">
        <v>18987.5</v>
      </c>
      <c r="K73" s="1">
        <v>18987.5</v>
      </c>
      <c r="L73" s="1">
        <v>18987.5</v>
      </c>
      <c r="M73" s="1">
        <v>-208862.5</v>
      </c>
    </row>
    <row r="74" spans="1:13">
      <c r="A74" s="1">
        <v>6666030300</v>
      </c>
      <c r="B74" s="1">
        <v>329000</v>
      </c>
      <c r="C74" s="1">
        <v>276881.27</v>
      </c>
      <c r="D74" s="1">
        <v>342044.77</v>
      </c>
      <c r="E74" s="1">
        <v>329103.63</v>
      </c>
      <c r="F74" s="1">
        <v>329332.26</v>
      </c>
      <c r="G74" s="1">
        <v>293519.53000000003</v>
      </c>
      <c r="H74" s="1">
        <v>408336.98</v>
      </c>
      <c r="I74" s="1">
        <v>254563.54</v>
      </c>
      <c r="J74" s="1">
        <v>-240667.73</v>
      </c>
      <c r="K74" s="1">
        <v>-56106.46</v>
      </c>
      <c r="L74" s="1">
        <v>329332.27</v>
      </c>
      <c r="M74" s="1">
        <v>-1056051.97</v>
      </c>
    </row>
    <row r="75" spans="1:13">
      <c r="A75" s="1">
        <v>6666031200</v>
      </c>
      <c r="B75" s="1">
        <v>4299</v>
      </c>
      <c r="C75" s="1">
        <v>48484.26</v>
      </c>
      <c r="D75" s="1">
        <v>-12483.86</v>
      </c>
      <c r="G75" s="1">
        <v>35812.74</v>
      </c>
      <c r="I75" s="1">
        <v>22812</v>
      </c>
    </row>
    <row r="76" spans="1:13">
      <c r="A76" s="1">
        <v>6666050107</v>
      </c>
      <c r="E76" s="1">
        <v>0.01</v>
      </c>
      <c r="H76" s="1">
        <v>3962.07</v>
      </c>
      <c r="I76" s="1">
        <v>-3962.07</v>
      </c>
      <c r="J76" s="1">
        <v>0.91</v>
      </c>
      <c r="K76" s="1">
        <v>2346.2299999999996</v>
      </c>
      <c r="M76" s="1">
        <v>3003.31</v>
      </c>
    </row>
    <row r="77" spans="1:13">
      <c r="A77" s="1">
        <v>6666050306</v>
      </c>
      <c r="C77" s="1">
        <v>56565.61</v>
      </c>
      <c r="D77" s="1">
        <v>19647.879999999997</v>
      </c>
      <c r="F77" s="1">
        <v>8991.2899999999991</v>
      </c>
      <c r="G77" s="1">
        <v>9295.2799999999988</v>
      </c>
      <c r="H77" s="1">
        <v>194080.81</v>
      </c>
      <c r="J77" s="1">
        <v>9421.6700000000019</v>
      </c>
      <c r="K77" s="1">
        <v>26258.26</v>
      </c>
      <c r="L77" s="1">
        <v>8350.380000000001</v>
      </c>
      <c r="M77" s="1">
        <v>130141</v>
      </c>
    </row>
    <row r="78" spans="1:13">
      <c r="A78" s="1">
        <v>6666050307</v>
      </c>
      <c r="B78" s="1">
        <v>-37142.28</v>
      </c>
      <c r="C78" s="1">
        <v>-499238.27000000008</v>
      </c>
      <c r="D78" s="1">
        <v>-237623.36999999997</v>
      </c>
      <c r="E78" s="1">
        <v>-190129.27</v>
      </c>
      <c r="F78" s="1">
        <v>-115741.13</v>
      </c>
      <c r="G78" s="1">
        <v>-70048.12</v>
      </c>
      <c r="H78" s="1">
        <v>-229085.96999999997</v>
      </c>
      <c r="I78" s="1">
        <v>-377789.89</v>
      </c>
      <c r="J78" s="1">
        <v>-2653557.9300000002</v>
      </c>
      <c r="K78" s="1">
        <v>633983.07999999996</v>
      </c>
      <c r="L78" s="1">
        <v>52761.43</v>
      </c>
      <c r="M78" s="1">
        <v>-9966019.8499999996</v>
      </c>
    </row>
    <row r="79" spans="1:13">
      <c r="A79" s="1">
        <v>6666050308</v>
      </c>
      <c r="B79" s="1">
        <v>-45794.380000000005</v>
      </c>
      <c r="C79" s="1">
        <v>25181.040000000001</v>
      </c>
      <c r="D79" s="1">
        <v>87066.430000000022</v>
      </c>
      <c r="E79" s="1">
        <v>-18991.980000000003</v>
      </c>
      <c r="F79" s="1">
        <v>-35119.39</v>
      </c>
      <c r="G79" s="1">
        <v>282195.44</v>
      </c>
      <c r="H79" s="1">
        <v>61047.800000000017</v>
      </c>
      <c r="I79" s="1">
        <v>69446.989999999991</v>
      </c>
      <c r="J79" s="1">
        <v>141583.87</v>
      </c>
      <c r="K79" s="1">
        <v>-284198.74999999994</v>
      </c>
      <c r="L79" s="1">
        <v>327332.26999999996</v>
      </c>
      <c r="M79" s="1">
        <v>605263.09</v>
      </c>
    </row>
    <row r="80" spans="1:13">
      <c r="A80" s="1">
        <v>6666050309</v>
      </c>
      <c r="B80" s="1">
        <v>248528.00000000003</v>
      </c>
      <c r="C80" s="1">
        <v>213317.30000000005</v>
      </c>
      <c r="D80" s="1">
        <v>200727.54</v>
      </c>
      <c r="E80" s="1">
        <v>439464.83999999997</v>
      </c>
      <c r="F80" s="1">
        <v>622703.51</v>
      </c>
      <c r="G80" s="1">
        <v>678066.36</v>
      </c>
      <c r="H80" s="1">
        <v>463747.25000000006</v>
      </c>
      <c r="I80" s="1">
        <v>497215.87</v>
      </c>
      <c r="J80" s="1">
        <v>528548.85</v>
      </c>
      <c r="K80" s="1">
        <v>998420.47</v>
      </c>
      <c r="L80" s="1">
        <v>498713.90999999992</v>
      </c>
      <c r="M80" s="1">
        <v>356590.41</v>
      </c>
    </row>
    <row r="81" spans="1:13">
      <c r="A81" s="1">
        <v>6666050312</v>
      </c>
      <c r="B81" s="1">
        <v>-1179</v>
      </c>
      <c r="C81" s="1">
        <v>42258.399999999994</v>
      </c>
      <c r="D81" s="1">
        <v>30048.089999999997</v>
      </c>
      <c r="F81" s="1">
        <v>-21006.82</v>
      </c>
      <c r="G81" s="1">
        <v>-12676.18</v>
      </c>
      <c r="H81" s="1">
        <v>7141.6499999999978</v>
      </c>
      <c r="I81" s="1">
        <v>-1312538.8499999999</v>
      </c>
      <c r="J81" s="1">
        <v>101207.96</v>
      </c>
      <c r="K81" s="1">
        <v>-61904.229999999996</v>
      </c>
      <c r="L81" s="1">
        <v>-8588.4500000000007</v>
      </c>
      <c r="M81" s="1">
        <v>9518381.4999999981</v>
      </c>
    </row>
    <row r="82" spans="1:13">
      <c r="A82" s="1">
        <v>6666070100</v>
      </c>
      <c r="L82" s="1">
        <v>33.72</v>
      </c>
    </row>
    <row r="83" spans="1:13">
      <c r="A83" s="1">
        <v>6666070300</v>
      </c>
      <c r="C83" s="1">
        <v>-11410.56</v>
      </c>
    </row>
    <row r="84" spans="1:13">
      <c r="A84" s="1">
        <v>6666070400</v>
      </c>
      <c r="B84" s="1">
        <v>324132.95</v>
      </c>
      <c r="C84" s="1">
        <v>323464.65000000002</v>
      </c>
      <c r="D84" s="1">
        <v>324804.90999999997</v>
      </c>
      <c r="E84" s="1">
        <v>322792.69</v>
      </c>
      <c r="F84" s="1">
        <v>323798.78999999998</v>
      </c>
      <c r="G84" s="1">
        <v>323798.8</v>
      </c>
      <c r="H84" s="1">
        <v>323798.8</v>
      </c>
      <c r="I84" s="1">
        <v>323798.8</v>
      </c>
      <c r="J84" s="1">
        <v>323798.8</v>
      </c>
      <c r="K84" s="1">
        <v>-285026.2</v>
      </c>
      <c r="L84" s="1">
        <v>-285026.2</v>
      </c>
      <c r="M84" s="1">
        <v>-764375.45</v>
      </c>
    </row>
    <row r="85" spans="1:13">
      <c r="A85" s="1">
        <v>6666091600</v>
      </c>
      <c r="B85" s="1">
        <v>5300</v>
      </c>
      <c r="C85" s="1">
        <v>10700</v>
      </c>
      <c r="D85" s="1">
        <v>11004.98</v>
      </c>
      <c r="E85" s="1">
        <v>16455</v>
      </c>
      <c r="F85" s="1">
        <v>25000</v>
      </c>
      <c r="G85" s="1">
        <v>13914.499999999998</v>
      </c>
      <c r="H85" s="1">
        <v>11642.350000000002</v>
      </c>
      <c r="I85" s="1">
        <v>5075.1600000000008</v>
      </c>
      <c r="J85" s="1">
        <v>12649.82</v>
      </c>
      <c r="K85" s="1">
        <v>13425.78</v>
      </c>
      <c r="L85" s="1">
        <v>9661.9700000000012</v>
      </c>
      <c r="M85" s="1">
        <v>57607.32</v>
      </c>
    </row>
    <row r="86" spans="1:13">
      <c r="A86" s="1">
        <v>6666093800</v>
      </c>
      <c r="H86" s="1">
        <v>295.3</v>
      </c>
    </row>
    <row r="87" spans="1:13">
      <c r="A87" s="1">
        <v>6666100203</v>
      </c>
      <c r="B87" s="1">
        <v>79166.67</v>
      </c>
      <c r="C87" s="1">
        <v>79166.67</v>
      </c>
      <c r="D87" s="1">
        <v>79166.67</v>
      </c>
      <c r="E87" s="1">
        <v>79166.67</v>
      </c>
      <c r="F87" s="1">
        <v>79166.67</v>
      </c>
      <c r="G87" s="1">
        <v>79166.67</v>
      </c>
      <c r="H87" s="1">
        <v>870832.67</v>
      </c>
      <c r="I87" s="1">
        <v>870832.67</v>
      </c>
      <c r="J87" s="1">
        <v>1303384.46</v>
      </c>
      <c r="K87" s="1">
        <v>-112214.29</v>
      </c>
      <c r="L87" s="1">
        <v>115785.71</v>
      </c>
      <c r="M87" s="1">
        <v>-2582836.5699999998</v>
      </c>
    </row>
    <row r="88" spans="1:13">
      <c r="A88" s="1">
        <v>6666110101</v>
      </c>
      <c r="B88" s="1">
        <v>229047.96000000002</v>
      </c>
      <c r="C88" s="1">
        <v>215435.36000000002</v>
      </c>
      <c r="D88" s="1">
        <v>244156.48</v>
      </c>
      <c r="E88" s="1">
        <v>249926.84000000003</v>
      </c>
      <c r="F88" s="1">
        <v>244156.46999999997</v>
      </c>
      <c r="G88" s="1">
        <v>236280.43000000002</v>
      </c>
      <c r="H88" s="1">
        <v>244156.48</v>
      </c>
      <c r="I88" s="1">
        <v>244156.46999999997</v>
      </c>
      <c r="J88" s="1">
        <v>236280.45</v>
      </c>
      <c r="K88" s="1">
        <v>263517.46000000002</v>
      </c>
      <c r="L88" s="1">
        <v>325486.04000000004</v>
      </c>
      <c r="M88" s="1">
        <v>341791.69999999995</v>
      </c>
    </row>
    <row r="89" spans="1:13">
      <c r="A89" s="1">
        <v>6666110106</v>
      </c>
      <c r="B89" s="1">
        <v>119523.79</v>
      </c>
      <c r="C89" s="1">
        <v>111812.59</v>
      </c>
      <c r="D89" s="1">
        <v>119523.79</v>
      </c>
      <c r="E89" s="1">
        <v>115668.19</v>
      </c>
      <c r="F89" s="1">
        <v>119523.79</v>
      </c>
      <c r="G89" s="1">
        <v>115668.19</v>
      </c>
      <c r="H89" s="1">
        <v>119523.8</v>
      </c>
      <c r="I89" s="1">
        <v>119523.79</v>
      </c>
      <c r="J89" s="1">
        <v>-940767.93</v>
      </c>
      <c r="K89" s="1">
        <v>0</v>
      </c>
      <c r="L89" s="1">
        <v>0</v>
      </c>
      <c r="M89" s="1">
        <v>0</v>
      </c>
    </row>
    <row r="90" spans="1:13">
      <c r="A90" s="1">
        <v>6666110107</v>
      </c>
      <c r="B90" s="1">
        <v>1169877.9000000001</v>
      </c>
      <c r="C90" s="1">
        <v>1865982.1600000001</v>
      </c>
      <c r="D90" s="1">
        <v>1963731.7600000002</v>
      </c>
      <c r="E90" s="1">
        <v>2713839.3200000003</v>
      </c>
      <c r="F90" s="1">
        <v>2884266.54</v>
      </c>
      <c r="G90" s="1">
        <v>3089321.4499999997</v>
      </c>
      <c r="H90" s="1">
        <v>3173635.59</v>
      </c>
      <c r="I90" s="1">
        <v>3413349.95</v>
      </c>
      <c r="J90" s="1">
        <v>3336531.2900000005</v>
      </c>
      <c r="K90" s="1">
        <v>3703676.6399999997</v>
      </c>
      <c r="L90" s="1">
        <v>4072314.03</v>
      </c>
      <c r="M90" s="1">
        <v>4067683.1400000006</v>
      </c>
    </row>
    <row r="91" spans="1:13">
      <c r="A91" s="1">
        <v>6666110110</v>
      </c>
      <c r="B91" s="1">
        <v>2547065.27</v>
      </c>
      <c r="C91" s="1">
        <v>2536594.0300000003</v>
      </c>
      <c r="D91" s="1">
        <v>2822783.8</v>
      </c>
      <c r="E91" s="1">
        <v>2745595.15</v>
      </c>
      <c r="F91" s="1">
        <v>2888131.3</v>
      </c>
      <c r="G91" s="1">
        <v>2815489.3699999996</v>
      </c>
      <c r="H91" s="1">
        <v>2907519.2600000002</v>
      </c>
      <c r="I91" s="1">
        <v>2915669.62</v>
      </c>
      <c r="J91" s="1">
        <v>2825886.4299999997</v>
      </c>
      <c r="K91" s="1">
        <v>2983014.06</v>
      </c>
      <c r="L91" s="1">
        <v>2675170.19</v>
      </c>
      <c r="M91" s="1">
        <v>2750064.67</v>
      </c>
    </row>
    <row r="92" spans="1:13">
      <c r="A92" s="1">
        <v>6666110112</v>
      </c>
      <c r="B92" s="1">
        <v>89089.78</v>
      </c>
      <c r="C92" s="1">
        <v>88557.389999999985</v>
      </c>
      <c r="D92" s="1">
        <v>213368.08000000002</v>
      </c>
      <c r="E92" s="1">
        <v>206485.12999999998</v>
      </c>
      <c r="F92" s="1">
        <v>-119777.34</v>
      </c>
      <c r="G92" s="1">
        <v>99151.21</v>
      </c>
      <c r="H92" s="1">
        <v>102449.81999999999</v>
      </c>
      <c r="I92" s="1">
        <v>102449.81</v>
      </c>
      <c r="J92" s="1">
        <v>99000.9</v>
      </c>
      <c r="K92" s="1">
        <v>131911.01</v>
      </c>
      <c r="L92" s="1">
        <v>140721.17000000001</v>
      </c>
      <c r="M92" s="1">
        <v>143986.87</v>
      </c>
    </row>
    <row r="93" spans="1:13">
      <c r="A93" s="1">
        <v>6666110203</v>
      </c>
      <c r="B93" s="1">
        <v>137443.25</v>
      </c>
      <c r="C93" s="1">
        <v>456356.66</v>
      </c>
      <c r="D93" s="1">
        <v>613837.31000000006</v>
      </c>
      <c r="E93" s="1">
        <v>672411.83</v>
      </c>
      <c r="F93" s="1">
        <v>1108093.9100000001</v>
      </c>
      <c r="G93" s="1">
        <v>790013.99</v>
      </c>
      <c r="H93" s="1">
        <v>914788.34999999986</v>
      </c>
      <c r="I93" s="1">
        <v>81863.41</v>
      </c>
      <c r="J93" s="1">
        <v>901765.46</v>
      </c>
      <c r="K93" s="1">
        <v>817898.25</v>
      </c>
      <c r="L93" s="1">
        <v>1186331.6600000001</v>
      </c>
      <c r="M93" s="1">
        <v>957050.58</v>
      </c>
    </row>
    <row r="94" spans="1:13">
      <c r="A94" s="1">
        <v>6666110204</v>
      </c>
      <c r="G94" s="1">
        <v>8835.9</v>
      </c>
      <c r="H94" s="1">
        <v>8835.9</v>
      </c>
      <c r="I94" s="1">
        <v>8835.9</v>
      </c>
      <c r="J94" s="1">
        <v>8835.9</v>
      </c>
      <c r="K94" s="1">
        <v>8835.9</v>
      </c>
      <c r="L94" s="1">
        <v>8835.89</v>
      </c>
      <c r="M94" s="1">
        <v>8835.9</v>
      </c>
    </row>
    <row r="95" spans="1:13">
      <c r="A95" s="1">
        <v>6666110207</v>
      </c>
      <c r="B95" s="1">
        <v>42952.549999999996</v>
      </c>
      <c r="C95" s="1">
        <v>231950.91999999998</v>
      </c>
      <c r="D95" s="1">
        <v>142033.50999999998</v>
      </c>
      <c r="E95" s="1">
        <v>137451.74000000005</v>
      </c>
      <c r="F95" s="1">
        <v>147713.71</v>
      </c>
      <c r="G95" s="1">
        <v>143131.92000000001</v>
      </c>
      <c r="H95" s="1">
        <v>147713.72000000003</v>
      </c>
      <c r="I95" s="1">
        <v>147713.68</v>
      </c>
      <c r="J95" s="1">
        <v>143131.96999999997</v>
      </c>
      <c r="K95" s="1">
        <v>147713.68000000002</v>
      </c>
      <c r="L95" s="1">
        <v>157908.03</v>
      </c>
      <c r="M95" s="1">
        <v>162489.76000000004</v>
      </c>
    </row>
    <row r="96" spans="1:13">
      <c r="A96" s="1">
        <v>6666110506</v>
      </c>
      <c r="F96" s="1">
        <v>29847.24</v>
      </c>
      <c r="G96" s="1">
        <v>29847.24</v>
      </c>
      <c r="H96" s="1">
        <v>29847.24</v>
      </c>
      <c r="I96" s="1">
        <v>29847.24</v>
      </c>
      <c r="J96" s="1">
        <v>29847.24</v>
      </c>
      <c r="K96" s="1">
        <v>29847.24</v>
      </c>
      <c r="L96" s="1">
        <v>29847.25</v>
      </c>
      <c r="M96" s="1">
        <v>29847.24</v>
      </c>
    </row>
    <row r="97" spans="1:13">
      <c r="A97" s="1">
        <v>8701530201</v>
      </c>
      <c r="C97" s="1">
        <v>0</v>
      </c>
      <c r="D97" s="1">
        <v>0</v>
      </c>
      <c r="E97" s="1">
        <v>0</v>
      </c>
      <c r="G97" s="1">
        <v>0</v>
      </c>
    </row>
    <row r="98" spans="1:13">
      <c r="A98" s="1">
        <v>6666029996</v>
      </c>
      <c r="L98" s="1">
        <v>-0.02</v>
      </c>
    </row>
    <row r="99" spans="1:13">
      <c r="A99" s="1" t="s">
        <v>196</v>
      </c>
      <c r="B99" s="1">
        <v>-15295.210000000894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 t="s">
        <v>195</v>
      </c>
      <c r="B100" s="1">
        <v>-27255.540000000037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 t="s">
        <v>194</v>
      </c>
      <c r="B101" s="1">
        <v>15295.209999999963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06" t="s">
        <v>13</v>
      </c>
      <c r="B102" s="106">
        <v>24103172.319999997</v>
      </c>
      <c r="C102" s="106">
        <v>25605062.000000007</v>
      </c>
      <c r="D102" s="106">
        <v>29986396.749999996</v>
      </c>
      <c r="E102" s="106">
        <v>37922001.150000006</v>
      </c>
      <c r="F102" s="106">
        <v>36981009.220000014</v>
      </c>
      <c r="G102" s="106">
        <v>39602998.70000001</v>
      </c>
      <c r="H102" s="106">
        <v>38825368.260000005</v>
      </c>
      <c r="I102" s="106">
        <v>34332221.54999999</v>
      </c>
      <c r="J102" s="106">
        <v>36660488.75</v>
      </c>
      <c r="K102" s="106">
        <v>44124384.319999993</v>
      </c>
      <c r="L102" s="106">
        <v>40675234.869999982</v>
      </c>
      <c r="M102" s="106">
        <v>32543639.160000008</v>
      </c>
    </row>
    <row r="104" spans="1:13">
      <c r="A104" s="106" t="s">
        <v>187</v>
      </c>
    </row>
    <row r="105" spans="1:13">
      <c r="A105" s="1">
        <v>6666029700</v>
      </c>
      <c r="B105" s="1">
        <v>6420764</v>
      </c>
      <c r="C105" s="1">
        <v>5638888.8200000003</v>
      </c>
      <c r="D105" s="1">
        <v>6788600.9800000004</v>
      </c>
      <c r="E105" s="1">
        <v>5973105.6699999999</v>
      </c>
      <c r="F105" s="1">
        <v>5993219.5899999999</v>
      </c>
      <c r="G105" s="1">
        <v>5972975.54</v>
      </c>
      <c r="H105" s="1">
        <v>6975138.7300000004</v>
      </c>
      <c r="I105" s="1">
        <v>7002865.6299999999</v>
      </c>
      <c r="J105" s="1">
        <v>6553207.54</v>
      </c>
      <c r="K105" s="1">
        <v>7053325.0999999996</v>
      </c>
      <c r="L105" s="1">
        <v>7547869.5</v>
      </c>
      <c r="M105" s="1">
        <v>4210347.74</v>
      </c>
    </row>
    <row r="106" spans="1:13">
      <c r="A106" s="1">
        <v>6666020701</v>
      </c>
      <c r="B106" s="1">
        <v>257000</v>
      </c>
      <c r="C106" s="1">
        <v>257026.94</v>
      </c>
      <c r="D106" s="1">
        <v>257013.06</v>
      </c>
      <c r="E106" s="1">
        <v>257014</v>
      </c>
      <c r="F106" s="1">
        <v>257013.5</v>
      </c>
      <c r="G106" s="1">
        <v>865783.82</v>
      </c>
      <c r="H106" s="1">
        <v>358475.22</v>
      </c>
      <c r="I106" s="1">
        <v>358475.22</v>
      </c>
      <c r="J106" s="1">
        <v>358475.22</v>
      </c>
      <c r="K106" s="1">
        <v>358475.22</v>
      </c>
      <c r="L106" s="1">
        <v>358475.22</v>
      </c>
      <c r="M106" s="1">
        <v>358475.22</v>
      </c>
    </row>
    <row r="107" spans="1:13">
      <c r="A107" s="1">
        <v>6666022300</v>
      </c>
      <c r="B107" s="1">
        <v>110083</v>
      </c>
      <c r="C107" s="1">
        <v>258085.13999999998</v>
      </c>
      <c r="D107" s="1">
        <v>64381.55</v>
      </c>
      <c r="E107" s="1">
        <v>140783.95000000001</v>
      </c>
      <c r="F107" s="1">
        <v>156366.48000000001</v>
      </c>
      <c r="G107" s="1">
        <v>162735.04000000001</v>
      </c>
      <c r="H107" s="1">
        <v>151047.01</v>
      </c>
      <c r="I107" s="1">
        <v>151696.19</v>
      </c>
      <c r="J107" s="1">
        <v>134957.5</v>
      </c>
      <c r="K107" s="1">
        <v>149622.03</v>
      </c>
      <c r="L107" s="1">
        <v>150854.19</v>
      </c>
      <c r="M107" s="1">
        <v>167593.79999999999</v>
      </c>
    </row>
    <row r="108" spans="1:13">
      <c r="A108" s="1">
        <v>6666029900</v>
      </c>
      <c r="B108" s="1">
        <v>0</v>
      </c>
      <c r="C108" s="1">
        <v>0</v>
      </c>
      <c r="D108" s="1">
        <v>0</v>
      </c>
      <c r="E108" s="1">
        <v>57620.24</v>
      </c>
      <c r="F108" s="1">
        <v>0</v>
      </c>
    </row>
    <row r="109" spans="1:13">
      <c r="A109" s="177"/>
      <c r="B109" s="177">
        <f t="shared" ref="B109:M109" si="0">SUM(B105:B108)</f>
        <v>6787847</v>
      </c>
      <c r="C109" s="177">
        <f t="shared" si="0"/>
        <v>6154000.9000000004</v>
      </c>
      <c r="D109" s="177">
        <f t="shared" si="0"/>
        <v>7109995.5899999999</v>
      </c>
      <c r="E109" s="177">
        <f t="shared" si="0"/>
        <v>6428523.8600000003</v>
      </c>
      <c r="F109" s="177">
        <f t="shared" si="0"/>
        <v>6406599.5700000003</v>
      </c>
      <c r="G109" s="177">
        <f t="shared" si="0"/>
        <v>7001494.4000000004</v>
      </c>
      <c r="H109" s="177">
        <f t="shared" si="0"/>
        <v>7484660.96</v>
      </c>
      <c r="I109" s="177">
        <f t="shared" si="0"/>
        <v>7513037.04</v>
      </c>
      <c r="J109" s="177">
        <f t="shared" si="0"/>
        <v>7046640.2599999998</v>
      </c>
      <c r="K109" s="177">
        <f t="shared" si="0"/>
        <v>7561422.3499999996</v>
      </c>
      <c r="L109" s="177">
        <f t="shared" si="0"/>
        <v>8057198.9100000001</v>
      </c>
      <c r="M109" s="177">
        <f t="shared" si="0"/>
        <v>4736416.76</v>
      </c>
    </row>
  </sheetData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4EA-46FB-48FC-97E7-1F4D9164EA50}">
  <dimension ref="A1:AX84"/>
  <sheetViews>
    <sheetView showGridLines="0" zoomScale="80" zoomScaleNormal="80" workbookViewId="0">
      <pane xSplit="3" ySplit="1" topLeftCell="D64" activePane="bottomRight" state="frozen"/>
      <selection pane="topRight" activeCell="D1" sqref="D1"/>
      <selection pane="bottomLeft" activeCell="A2" sqref="A2"/>
      <selection pane="bottomRight" activeCell="H93" sqref="H93"/>
    </sheetView>
  </sheetViews>
  <sheetFormatPr defaultColWidth="8.77734375" defaultRowHeight="12"/>
  <cols>
    <col min="1" max="1" width="6.21875" style="114" customWidth="1"/>
    <col min="2" max="3" width="15.21875" style="114" customWidth="1"/>
    <col min="4" max="4" width="31.5546875" style="114" bestFit="1" customWidth="1"/>
    <col min="5" max="5" width="7.44140625" style="114" bestFit="1" customWidth="1"/>
    <col min="6" max="6" width="7.77734375" style="114" bestFit="1" customWidth="1"/>
    <col min="7" max="7" width="8" style="114" bestFit="1" customWidth="1"/>
    <col min="8" max="8" width="7.5546875" style="114" bestFit="1" customWidth="1"/>
    <col min="9" max="9" width="8.21875" style="114" bestFit="1" customWidth="1"/>
    <col min="10" max="10" width="7.5546875" style="114" bestFit="1" customWidth="1"/>
    <col min="11" max="11" width="7.21875" style="114" bestFit="1" customWidth="1"/>
    <col min="12" max="15" width="7.21875" style="114" customWidth="1"/>
    <col min="16" max="16" width="9.109375" style="114" bestFit="1" customWidth="1"/>
    <col min="17" max="17" width="13.77734375" style="114" bestFit="1" customWidth="1"/>
    <col min="18" max="18" width="4.77734375" style="114" customWidth="1"/>
    <col min="19" max="19" width="7.77734375" style="113" bestFit="1" customWidth="1"/>
    <col min="20" max="20" width="8.21875" style="113" bestFit="1" customWidth="1"/>
    <col min="21" max="25" width="8.5546875" style="113" bestFit="1" customWidth="1"/>
    <col min="26" max="30" width="8.5546875" style="113" customWidth="1"/>
    <col min="31" max="31" width="13.44140625" style="113" bestFit="1" customWidth="1"/>
    <col min="32" max="32" width="2.77734375" style="113" customWidth="1"/>
    <col min="33" max="33" width="11.21875" style="113" bestFit="1" customWidth="1"/>
    <col min="34" max="34" width="11.44140625" style="113" bestFit="1" customWidth="1"/>
    <col min="35" max="39" width="9" style="113" bestFit="1" customWidth="1"/>
    <col min="40" max="44" width="9" style="113" customWidth="1"/>
    <col min="45" max="45" width="9" style="113" bestFit="1" customWidth="1"/>
    <col min="46" max="46" width="8.77734375" style="113"/>
    <col min="47" max="48" width="9" style="113" bestFit="1" customWidth="1"/>
    <col min="49" max="16384" width="8.77734375" style="114"/>
  </cols>
  <sheetData>
    <row r="1" spans="1:50" ht="37.35" customHeight="1">
      <c r="A1" s="107" t="s">
        <v>209</v>
      </c>
      <c r="B1" s="107" t="s">
        <v>210</v>
      </c>
      <c r="C1" s="107" t="s">
        <v>211</v>
      </c>
      <c r="D1" s="108" t="s">
        <v>212</v>
      </c>
      <c r="E1" s="109" t="s">
        <v>213</v>
      </c>
      <c r="F1" s="109" t="s">
        <v>214</v>
      </c>
      <c r="G1" s="109" t="s">
        <v>215</v>
      </c>
      <c r="H1" s="109" t="s">
        <v>216</v>
      </c>
      <c r="I1" s="109" t="s">
        <v>217</v>
      </c>
      <c r="J1" s="109" t="s">
        <v>218</v>
      </c>
      <c r="K1" s="109" t="s">
        <v>219</v>
      </c>
      <c r="L1" s="109" t="s">
        <v>220</v>
      </c>
      <c r="M1" s="109" t="s">
        <v>221</v>
      </c>
      <c r="N1" s="109" t="s">
        <v>222</v>
      </c>
      <c r="O1" s="109" t="s">
        <v>223</v>
      </c>
      <c r="P1" s="109" t="s">
        <v>224</v>
      </c>
      <c r="Q1" s="109" t="s">
        <v>225</v>
      </c>
      <c r="R1" s="110"/>
      <c r="S1" s="111" t="s">
        <v>213</v>
      </c>
      <c r="T1" s="111" t="s">
        <v>214</v>
      </c>
      <c r="U1" s="111" t="s">
        <v>215</v>
      </c>
      <c r="V1" s="111" t="s">
        <v>216</v>
      </c>
      <c r="W1" s="111" t="s">
        <v>217</v>
      </c>
      <c r="X1" s="111" t="s">
        <v>218</v>
      </c>
      <c r="Y1" s="111" t="s">
        <v>219</v>
      </c>
      <c r="Z1" s="109" t="s">
        <v>220</v>
      </c>
      <c r="AA1" s="109" t="s">
        <v>221</v>
      </c>
      <c r="AB1" s="109" t="s">
        <v>222</v>
      </c>
      <c r="AC1" s="109" t="s">
        <v>223</v>
      </c>
      <c r="AD1" s="109" t="s">
        <v>224</v>
      </c>
      <c r="AE1" s="111" t="s">
        <v>226</v>
      </c>
      <c r="AF1" s="112"/>
      <c r="AG1" s="111" t="s">
        <v>227</v>
      </c>
      <c r="AH1" s="111" t="s">
        <v>228</v>
      </c>
      <c r="AI1" s="111" t="s">
        <v>229</v>
      </c>
      <c r="AJ1" s="111" t="s">
        <v>230</v>
      </c>
      <c r="AK1" s="111" t="s">
        <v>231</v>
      </c>
      <c r="AL1" s="111" t="s">
        <v>232</v>
      </c>
      <c r="AM1" s="111" t="s">
        <v>233</v>
      </c>
      <c r="AN1" s="111" t="s">
        <v>234</v>
      </c>
      <c r="AO1" s="111" t="s">
        <v>235</v>
      </c>
      <c r="AP1" s="111" t="s">
        <v>236</v>
      </c>
      <c r="AQ1" s="111" t="s">
        <v>237</v>
      </c>
      <c r="AR1" s="111" t="s">
        <v>238</v>
      </c>
      <c r="AS1" s="111" t="s">
        <v>239</v>
      </c>
      <c r="AU1" s="111" t="s">
        <v>240</v>
      </c>
      <c r="AV1" s="111" t="s">
        <v>241</v>
      </c>
      <c r="AW1" s="111" t="s">
        <v>242</v>
      </c>
      <c r="AX1" s="111" t="s">
        <v>243</v>
      </c>
    </row>
    <row r="2" spans="1:50" ht="37.35" customHeight="1">
      <c r="A2" s="115"/>
      <c r="B2" s="115"/>
      <c r="C2" s="115"/>
      <c r="D2" s="116" t="s">
        <v>244</v>
      </c>
      <c r="E2" s="117">
        <v>32.816499999999998</v>
      </c>
      <c r="F2" s="117">
        <v>33.264400000000002</v>
      </c>
      <c r="G2" s="117">
        <v>34.822899999999997</v>
      </c>
      <c r="H2" s="117">
        <v>34.692599999999999</v>
      </c>
      <c r="I2" s="117">
        <v>34.860500000000002</v>
      </c>
      <c r="J2" s="117">
        <v>35.066699999999997</v>
      </c>
      <c r="K2" s="117">
        <v>35.696899999999999</v>
      </c>
      <c r="L2" s="117">
        <v>37.1098</v>
      </c>
      <c r="M2" s="117">
        <v>37.823823809523816</v>
      </c>
      <c r="N2" s="117">
        <v>37.347308695652181</v>
      </c>
      <c r="O2" s="117">
        <v>36.623699999999999</v>
      </c>
      <c r="P2" s="118">
        <v>36.658839999999998</v>
      </c>
      <c r="Q2" s="119"/>
      <c r="R2" s="110"/>
      <c r="S2" s="118">
        <f t="shared" ref="S2:AC2" si="0">E2</f>
        <v>32.816499999999998</v>
      </c>
      <c r="T2" s="118">
        <f t="shared" si="0"/>
        <v>33.264400000000002</v>
      </c>
      <c r="U2" s="118">
        <f t="shared" si="0"/>
        <v>34.822899999999997</v>
      </c>
      <c r="V2" s="118">
        <f t="shared" si="0"/>
        <v>34.692599999999999</v>
      </c>
      <c r="W2" s="118">
        <f t="shared" si="0"/>
        <v>34.860500000000002</v>
      </c>
      <c r="X2" s="118">
        <f t="shared" si="0"/>
        <v>35.066699999999997</v>
      </c>
      <c r="Y2" s="118">
        <f t="shared" si="0"/>
        <v>35.696899999999999</v>
      </c>
      <c r="Z2" s="118">
        <f t="shared" si="0"/>
        <v>37.1098</v>
      </c>
      <c r="AA2" s="118">
        <f t="shared" si="0"/>
        <v>37.823823809523816</v>
      </c>
      <c r="AB2" s="118">
        <f t="shared" si="0"/>
        <v>37.347308695652181</v>
      </c>
      <c r="AC2" s="118">
        <f t="shared" si="0"/>
        <v>36.623699999999999</v>
      </c>
      <c r="AD2" s="118">
        <v>36.658839999999998</v>
      </c>
      <c r="AE2" s="120"/>
      <c r="AF2" s="112"/>
    </row>
    <row r="3" spans="1:50">
      <c r="A3" s="115"/>
      <c r="B3" s="115"/>
      <c r="C3" s="115"/>
      <c r="D3" s="121" t="s">
        <v>245</v>
      </c>
      <c r="E3" s="122">
        <v>16045</v>
      </c>
      <c r="F3" s="122">
        <v>19752</v>
      </c>
      <c r="G3" s="122">
        <v>20037</v>
      </c>
      <c r="H3" s="122">
        <v>28043</v>
      </c>
      <c r="I3" s="122">
        <v>40794</v>
      </c>
      <c r="J3" s="122">
        <v>30976</v>
      </c>
      <c r="K3" s="122">
        <v>34477</v>
      </c>
      <c r="L3" s="122">
        <v>25578</v>
      </c>
      <c r="M3" s="122">
        <v>40104</v>
      </c>
      <c r="N3" s="122">
        <v>41187</v>
      </c>
      <c r="O3" s="122">
        <v>43110</v>
      </c>
      <c r="P3" s="122">
        <v>26153</v>
      </c>
      <c r="Q3" s="122">
        <f>SUM(E3:P3)</f>
        <v>366256</v>
      </c>
      <c r="R3" s="110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12"/>
    </row>
    <row r="4" spans="1:50">
      <c r="A4" s="115"/>
      <c r="B4" s="115"/>
      <c r="C4" s="115"/>
      <c r="D4" s="124" t="s">
        <v>246</v>
      </c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10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12"/>
    </row>
    <row r="5" spans="1:50">
      <c r="A5" s="115" t="s">
        <v>1</v>
      </c>
      <c r="B5" s="127" t="s">
        <v>2</v>
      </c>
      <c r="C5" s="127" t="s">
        <v>247</v>
      </c>
      <c r="D5" s="128" t="s">
        <v>248</v>
      </c>
      <c r="E5" s="129">
        <v>5783</v>
      </c>
      <c r="F5" s="129">
        <v>6235</v>
      </c>
      <c r="G5" s="129">
        <v>5637</v>
      </c>
      <c r="H5" s="129">
        <v>13247</v>
      </c>
      <c r="I5" s="129">
        <v>13229</v>
      </c>
      <c r="J5" s="129">
        <v>14828</v>
      </c>
      <c r="K5" s="129">
        <v>12074</v>
      </c>
      <c r="L5" s="129">
        <v>12946</v>
      </c>
      <c r="M5" s="129">
        <v>15872</v>
      </c>
      <c r="N5" s="129">
        <v>16293</v>
      </c>
      <c r="O5" s="129">
        <v>15305</v>
      </c>
      <c r="P5" s="129">
        <v>13304</v>
      </c>
      <c r="Q5" s="129">
        <v>144753</v>
      </c>
      <c r="R5" s="110"/>
      <c r="S5" s="123">
        <f>+E5/$E$2</f>
        <v>176.22232718297198</v>
      </c>
      <c r="T5" s="123">
        <f>+F5/$F$2</f>
        <v>187.43762100022846</v>
      </c>
      <c r="U5" s="123">
        <f>+G5/$G$2</f>
        <v>161.87623661441179</v>
      </c>
      <c r="V5" s="123">
        <f>+H5/$H$2</f>
        <v>381.83935479035875</v>
      </c>
      <c r="W5" s="123">
        <f>+I5/$I$2</f>
        <v>379.48394314482005</v>
      </c>
      <c r="X5" s="123">
        <f>+J5/$J$2</f>
        <v>422.85130907670242</v>
      </c>
      <c r="Y5" s="123">
        <f>+K5/$K$2</f>
        <v>338.23665360297394</v>
      </c>
      <c r="Z5" s="123">
        <f>+L5/$L$2</f>
        <v>348.85663625241853</v>
      </c>
      <c r="AA5" s="123">
        <f>+M5/$M$2</f>
        <v>419.62970428186912</v>
      </c>
      <c r="AB5" s="123">
        <f>+N5/$N$2</f>
        <v>436.2563346337393</v>
      </c>
      <c r="AC5" s="123">
        <f>+O5/$O$2</f>
        <v>417.89879231208209</v>
      </c>
      <c r="AD5" s="123">
        <f>+P5/$P$2</f>
        <v>362.91382924282385</v>
      </c>
      <c r="AE5" s="123">
        <f>+SUM(S5:AD5)</f>
        <v>4033.5027421354002</v>
      </c>
      <c r="AF5" s="112"/>
      <c r="AG5" s="130">
        <f>+S5*1000/$E$3</f>
        <v>10.983005745277158</v>
      </c>
      <c r="AH5" s="130">
        <f>+T5*1000/$F$3</f>
        <v>9.4895514884684307</v>
      </c>
      <c r="AI5" s="130">
        <f>+U5*1000/$G$3</f>
        <v>8.0788659287523981</v>
      </c>
      <c r="AJ5" s="130">
        <f>+V5*1000/$H$3</f>
        <v>13.616209206945005</v>
      </c>
      <c r="AK5" s="130">
        <f>+W5*1000/$I$3</f>
        <v>9.3024450444874258</v>
      </c>
      <c r="AL5" s="130">
        <f>+X5*1000/$J$3</f>
        <v>13.650933273395609</v>
      </c>
      <c r="AM5" s="130">
        <f>+Y5*1000/$K$3</f>
        <v>9.8105013082047154</v>
      </c>
      <c r="AN5" s="130">
        <f>+Z5*1000/$L$3</f>
        <v>13.638933311925033</v>
      </c>
      <c r="AO5" s="130">
        <f>+AA5*1000/$M$3</f>
        <v>10.463537409781296</v>
      </c>
      <c r="AP5" s="130">
        <f>+AB5*1000/$N$3</f>
        <v>10.592088149992456</v>
      </c>
      <c r="AQ5" s="130">
        <f>+AC5*1000/$O$3</f>
        <v>9.6937785273041541</v>
      </c>
      <c r="AR5" s="130">
        <f>+AD5*1000/$P$3</f>
        <v>13.876565948182765</v>
      </c>
      <c r="AS5" s="130">
        <f>+AE5*1000/$Q$3</f>
        <v>11.012796355924273</v>
      </c>
      <c r="AU5" s="130">
        <f>SUM(S5:X5)/SUM($E$3:$J$3)*1000</f>
        <v>10.984540606690096</v>
      </c>
      <c r="AV5" s="130">
        <f>SUM(Y5:AA5)/SUM($K$3:$M$3)*1000</f>
        <v>11.049660980413758</v>
      </c>
      <c r="AW5" s="130">
        <f>SUM(AB5:AD5)/SUM($N$3:$P$3)*1000</f>
        <v>11.019184754989997</v>
      </c>
      <c r="AX5" s="130">
        <f>SUM(Y5:AD5)/SUM($K$3:$P$3)*1000</f>
        <v>11.033678286900876</v>
      </c>
    </row>
    <row r="6" spans="1:50" ht="24">
      <c r="A6" s="115"/>
      <c r="B6" s="115"/>
      <c r="C6" s="115"/>
      <c r="D6" s="131" t="s">
        <v>249</v>
      </c>
      <c r="E6" s="132">
        <v>5783</v>
      </c>
      <c r="F6" s="132">
        <v>6235</v>
      </c>
      <c r="G6" s="132">
        <v>5637</v>
      </c>
      <c r="H6" s="132">
        <v>13247</v>
      </c>
      <c r="I6" s="132">
        <v>13229</v>
      </c>
      <c r="J6" s="132">
        <v>14828</v>
      </c>
      <c r="K6" s="132">
        <v>12074</v>
      </c>
      <c r="L6" s="132">
        <v>12946</v>
      </c>
      <c r="M6" s="132">
        <v>15872</v>
      </c>
      <c r="N6" s="132">
        <v>16293</v>
      </c>
      <c r="O6" s="132">
        <v>15305</v>
      </c>
      <c r="P6" s="132">
        <v>13304</v>
      </c>
      <c r="Q6" s="132">
        <v>144753</v>
      </c>
      <c r="R6" s="110"/>
      <c r="S6" s="133">
        <f t="shared" ref="S6:S69" si="1">+E6/$E$2</f>
        <v>176.22232718297198</v>
      </c>
      <c r="T6" s="133">
        <f t="shared" ref="T6:T69" si="2">+F6/$F$2</f>
        <v>187.43762100022846</v>
      </c>
      <c r="U6" s="133">
        <f t="shared" ref="U6:U69" si="3">+G6/$G$2</f>
        <v>161.87623661441179</v>
      </c>
      <c r="V6" s="133">
        <f t="shared" ref="V6:V69" si="4">+H6/$H$2</f>
        <v>381.83935479035875</v>
      </c>
      <c r="W6" s="133">
        <f t="shared" ref="W6:W69" si="5">+I6/$I$2</f>
        <v>379.48394314482005</v>
      </c>
      <c r="X6" s="133">
        <f t="shared" ref="X6:X69" si="6">+J6/$J$2</f>
        <v>422.85130907670242</v>
      </c>
      <c r="Y6" s="133">
        <f t="shared" ref="Y6:Y69" si="7">+K6/$K$2</f>
        <v>338.23665360297394</v>
      </c>
      <c r="Z6" s="133">
        <f t="shared" ref="Z6:Z69" si="8">+L6/$L$2</f>
        <v>348.85663625241853</v>
      </c>
      <c r="AA6" s="133">
        <f t="shared" ref="AA6:AA68" si="9">+M6/$M$2</f>
        <v>419.62970428186912</v>
      </c>
      <c r="AB6" s="133">
        <f t="shared" ref="AB6:AB69" si="10">+N6/$N$2</f>
        <v>436.2563346337393</v>
      </c>
      <c r="AC6" s="133">
        <f t="shared" ref="AC6:AC69" si="11">+O6/$O$2</f>
        <v>417.89879231208209</v>
      </c>
      <c r="AD6" s="133">
        <f t="shared" ref="AD6:AD69" si="12">+P6/$P$2</f>
        <v>362.91382924282385</v>
      </c>
      <c r="AE6" s="133">
        <f t="shared" ref="AE6:AE69" si="13">+SUM(S6:AD6)</f>
        <v>4033.5027421354002</v>
      </c>
      <c r="AF6" s="112"/>
      <c r="AG6" s="134">
        <f t="shared" ref="AG6:AG69" si="14">+S6*1000/$E$3</f>
        <v>10.983005745277158</v>
      </c>
      <c r="AH6" s="134">
        <f t="shared" ref="AH6:AH69" si="15">+T6*1000/$F$3</f>
        <v>9.4895514884684307</v>
      </c>
      <c r="AI6" s="134">
        <f t="shared" ref="AI6:AI69" si="16">+U6*1000/$G$3</f>
        <v>8.0788659287523981</v>
      </c>
      <c r="AJ6" s="134">
        <f t="shared" ref="AJ6:AJ69" si="17">+V6*1000/$H$3</f>
        <v>13.616209206945005</v>
      </c>
      <c r="AK6" s="134">
        <f t="shared" ref="AK6:AK69" si="18">+W6*1000/$I$3</f>
        <v>9.3024450444874258</v>
      </c>
      <c r="AL6" s="134">
        <f t="shared" ref="AL6:AL69" si="19">+X6*1000/$J$3</f>
        <v>13.650933273395609</v>
      </c>
      <c r="AM6" s="134">
        <f t="shared" ref="AM6:AM69" si="20">+Y6*1000/$K$3</f>
        <v>9.8105013082047154</v>
      </c>
      <c r="AN6" s="134">
        <f t="shared" ref="AN6:AN69" si="21">+Z6*1000/$L$3</f>
        <v>13.638933311925033</v>
      </c>
      <c r="AO6" s="134">
        <f t="shared" ref="AO6:AO69" si="22">+AA6*1000/$M$3</f>
        <v>10.463537409781296</v>
      </c>
      <c r="AP6" s="134">
        <f t="shared" ref="AP6:AP69" si="23">+AB6*1000/$N$3</f>
        <v>10.592088149992456</v>
      </c>
      <c r="AQ6" s="134">
        <f t="shared" ref="AQ6:AQ69" si="24">+AC6*1000/$O$3</f>
        <v>9.6937785273041541</v>
      </c>
      <c r="AR6" s="134">
        <f t="shared" ref="AR6:AR69" si="25">+AD6*1000/$P$3</f>
        <v>13.876565948182765</v>
      </c>
      <c r="AS6" s="134">
        <f t="shared" ref="AS6:AS69" si="26">+AE6*1000/$Q$3</f>
        <v>11.012796355924273</v>
      </c>
      <c r="AU6" s="134">
        <f t="shared" ref="AU6:AU69" si="27">SUM(S6:X6)/SUM($E$3:$J$3)*1000</f>
        <v>10.984540606690096</v>
      </c>
      <c r="AV6" s="134">
        <f t="shared" ref="AV6:AV69" si="28">SUM(Y6:AA6)/SUM($K$3:$M$3)*1000</f>
        <v>11.049660980413758</v>
      </c>
      <c r="AW6" s="134">
        <f t="shared" ref="AW6:AW69" si="29">SUM(AB6:AD6)/SUM($N$3:$P$3)*1000</f>
        <v>11.019184754989997</v>
      </c>
      <c r="AX6" s="134">
        <f t="shared" ref="AX6:AX69" si="30">SUM(Y6:AD6)/SUM($K$3:$P$3)*1000</f>
        <v>11.033678286900876</v>
      </c>
    </row>
    <row r="7" spans="1:50">
      <c r="A7" s="115" t="s">
        <v>1</v>
      </c>
      <c r="B7" s="127" t="s">
        <v>250</v>
      </c>
      <c r="C7" s="127" t="s">
        <v>251</v>
      </c>
      <c r="D7" s="128" t="s">
        <v>252</v>
      </c>
      <c r="E7" s="129">
        <v>474</v>
      </c>
      <c r="F7" s="129">
        <v>393</v>
      </c>
      <c r="G7" s="129">
        <v>899</v>
      </c>
      <c r="H7" s="129">
        <v>1358</v>
      </c>
      <c r="I7" s="129">
        <v>802</v>
      </c>
      <c r="J7" s="129">
        <v>707</v>
      </c>
      <c r="K7" s="129">
        <v>1202</v>
      </c>
      <c r="L7" s="129">
        <v>723</v>
      </c>
      <c r="M7" s="129">
        <v>578</v>
      </c>
      <c r="N7" s="129">
        <v>956</v>
      </c>
      <c r="O7" s="129">
        <v>706</v>
      </c>
      <c r="P7" s="129">
        <v>575</v>
      </c>
      <c r="Q7" s="129">
        <v>9373</v>
      </c>
      <c r="R7" s="110"/>
      <c r="S7" s="123">
        <f t="shared" si="1"/>
        <v>14.443953499002028</v>
      </c>
      <c r="T7" s="123">
        <f t="shared" si="2"/>
        <v>11.814432245884488</v>
      </c>
      <c r="U7" s="123">
        <f t="shared" si="3"/>
        <v>25.816344991370624</v>
      </c>
      <c r="V7" s="123">
        <f t="shared" si="4"/>
        <v>39.143794353839148</v>
      </c>
      <c r="W7" s="123">
        <f t="shared" si="5"/>
        <v>23.00598098133991</v>
      </c>
      <c r="X7" s="123">
        <f t="shared" si="6"/>
        <v>20.161577793177003</v>
      </c>
      <c r="Y7" s="123">
        <f t="shared" si="7"/>
        <v>33.67239172028944</v>
      </c>
      <c r="Z7" s="123">
        <f t="shared" si="8"/>
        <v>19.482724239958177</v>
      </c>
      <c r="AA7" s="123">
        <f t="shared" si="9"/>
        <v>15.281374059659802</v>
      </c>
      <c r="AB7" s="123">
        <f>+N7/$N$2</f>
        <v>25.59756066469372</v>
      </c>
      <c r="AC7" s="123">
        <f t="shared" si="11"/>
        <v>19.277134751540668</v>
      </c>
      <c r="AD7" s="123">
        <f t="shared" si="12"/>
        <v>15.68516625185085</v>
      </c>
      <c r="AE7" s="123">
        <f t="shared" si="13"/>
        <v>263.38243555260584</v>
      </c>
      <c r="AF7" s="112"/>
      <c r="AG7" s="130">
        <f t="shared" si="14"/>
        <v>0.90021523832982409</v>
      </c>
      <c r="AH7" s="130">
        <f t="shared" si="15"/>
        <v>0.59813853006705586</v>
      </c>
      <c r="AI7" s="130">
        <f t="shared" si="16"/>
        <v>1.2884336473209874</v>
      </c>
      <c r="AJ7" s="130">
        <f t="shared" si="17"/>
        <v>1.3958490301978799</v>
      </c>
      <c r="AK7" s="130">
        <f t="shared" si="18"/>
        <v>0.56395501743736609</v>
      </c>
      <c r="AL7" s="130">
        <f t="shared" si="19"/>
        <v>0.65087738226940217</v>
      </c>
      <c r="AM7" s="130">
        <f t="shared" si="20"/>
        <v>0.97666246251963451</v>
      </c>
      <c r="AN7" s="130">
        <f t="shared" si="21"/>
        <v>0.76169850027203756</v>
      </c>
      <c r="AO7" s="130">
        <f t="shared" si="22"/>
        <v>0.38104363803261027</v>
      </c>
      <c r="AP7" s="130">
        <f t="shared" si="23"/>
        <v>0.62149611927777504</v>
      </c>
      <c r="AQ7" s="130">
        <f t="shared" si="24"/>
        <v>0.44716155767897625</v>
      </c>
      <c r="AR7" s="130">
        <f t="shared" si="25"/>
        <v>0.59974634848204222</v>
      </c>
      <c r="AS7" s="130">
        <f t="shared" si="26"/>
        <v>0.71912114901218227</v>
      </c>
      <c r="AU7" s="130">
        <f t="shared" si="27"/>
        <v>0.86340298151980577</v>
      </c>
      <c r="AV7" s="130">
        <f t="shared" si="28"/>
        <v>0.68327848740410158</v>
      </c>
      <c r="AW7" s="130">
        <f t="shared" si="29"/>
        <v>0.54830114683644404</v>
      </c>
      <c r="AX7" s="130">
        <f t="shared" si="30"/>
        <v>0.61249211424009731</v>
      </c>
    </row>
    <row r="8" spans="1:50">
      <c r="A8" s="115" t="s">
        <v>1</v>
      </c>
      <c r="B8" s="127" t="s">
        <v>250</v>
      </c>
      <c r="C8" s="127" t="s">
        <v>251</v>
      </c>
      <c r="D8" s="128" t="s">
        <v>253</v>
      </c>
      <c r="E8" s="129">
        <v>26</v>
      </c>
      <c r="F8" s="129">
        <v>119</v>
      </c>
      <c r="G8" s="129">
        <v>91</v>
      </c>
      <c r="H8" s="129">
        <v>81</v>
      </c>
      <c r="I8" s="129">
        <v>60</v>
      </c>
      <c r="J8" s="129">
        <v>56</v>
      </c>
      <c r="K8" s="129">
        <v>48</v>
      </c>
      <c r="L8" s="129">
        <v>28</v>
      </c>
      <c r="M8" s="129">
        <v>237</v>
      </c>
      <c r="N8" s="129">
        <v>68</v>
      </c>
      <c r="O8" s="129">
        <v>48</v>
      </c>
      <c r="P8" s="129">
        <v>40</v>
      </c>
      <c r="Q8" s="129">
        <v>902</v>
      </c>
      <c r="R8" s="110"/>
      <c r="S8" s="123">
        <f t="shared" si="1"/>
        <v>0.79228436914357114</v>
      </c>
      <c r="T8" s="123">
        <f t="shared" si="2"/>
        <v>3.5773980591863972</v>
      </c>
      <c r="U8" s="123">
        <f t="shared" si="3"/>
        <v>2.6132229079140452</v>
      </c>
      <c r="V8" s="123">
        <f t="shared" si="4"/>
        <v>2.3347918576295812</v>
      </c>
      <c r="W8" s="123">
        <f t="shared" si="5"/>
        <v>1.7211457093271754</v>
      </c>
      <c r="X8" s="123">
        <f t="shared" si="6"/>
        <v>1.5969566568853073</v>
      </c>
      <c r="Y8" s="123">
        <f t="shared" si="7"/>
        <v>1.3446545778484966</v>
      </c>
      <c r="Z8" s="123">
        <f t="shared" si="8"/>
        <v>0.75451767457652696</v>
      </c>
      <c r="AA8" s="123">
        <f t="shared" si="9"/>
        <v>6.2658921317290188</v>
      </c>
      <c r="AB8" s="123">
        <f t="shared" si="10"/>
        <v>1.8207469928861642</v>
      </c>
      <c r="AC8" s="123">
        <f t="shared" si="11"/>
        <v>1.3106267253172126</v>
      </c>
      <c r="AD8" s="123">
        <f t="shared" si="12"/>
        <v>1.0911420001287548</v>
      </c>
      <c r="AE8" s="123">
        <f t="shared" si="13"/>
        <v>25.223379662572249</v>
      </c>
      <c r="AF8" s="112"/>
      <c r="AG8" s="130">
        <f t="shared" si="14"/>
        <v>4.9378894929484017E-2</v>
      </c>
      <c r="AH8" s="130">
        <f t="shared" si="15"/>
        <v>0.18111573811190754</v>
      </c>
      <c r="AI8" s="130">
        <f t="shared" si="16"/>
        <v>0.13041986863872063</v>
      </c>
      <c r="AJ8" s="130">
        <f t="shared" si="17"/>
        <v>8.3257563656869135E-2</v>
      </c>
      <c r="AK8" s="130">
        <f t="shared" si="18"/>
        <v>4.2191148436710679E-2</v>
      </c>
      <c r="AL8" s="130">
        <f t="shared" si="19"/>
        <v>5.1554644140150672E-2</v>
      </c>
      <c r="AM8" s="130">
        <f t="shared" si="20"/>
        <v>3.900149600743965E-2</v>
      </c>
      <c r="AN8" s="130">
        <f t="shared" si="21"/>
        <v>2.9498697105971028E-2</v>
      </c>
      <c r="AO8" s="130">
        <f t="shared" si="22"/>
        <v>0.15624107649434019</v>
      </c>
      <c r="AP8" s="130">
        <f t="shared" si="23"/>
        <v>4.4206836936076049E-2</v>
      </c>
      <c r="AQ8" s="130">
        <f t="shared" si="24"/>
        <v>3.0401918935681106E-2</v>
      </c>
      <c r="AR8" s="130">
        <f t="shared" si="25"/>
        <v>4.172148511179425E-2</v>
      </c>
      <c r="AS8" s="130">
        <f t="shared" si="26"/>
        <v>6.8868167791305127E-2</v>
      </c>
      <c r="AU8" s="130">
        <f t="shared" si="27"/>
        <v>8.1182416365789739E-2</v>
      </c>
      <c r="AV8" s="130">
        <f t="shared" si="28"/>
        <v>8.3517850459310122E-2</v>
      </c>
      <c r="AW8" s="130">
        <f t="shared" si="29"/>
        <v>3.8230110623197207E-2</v>
      </c>
      <c r="AX8" s="130">
        <f t="shared" si="30"/>
        <v>5.976753178869932E-2</v>
      </c>
    </row>
    <row r="9" spans="1:50">
      <c r="A9" s="115" t="s">
        <v>1</v>
      </c>
      <c r="B9" s="127" t="s">
        <v>250</v>
      </c>
      <c r="C9" s="127" t="s">
        <v>254</v>
      </c>
      <c r="D9" s="128" t="s">
        <v>255</v>
      </c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>
        <v>-2</v>
      </c>
      <c r="P9" s="129">
        <v>2</v>
      </c>
      <c r="Q9" s="129">
        <v>0</v>
      </c>
      <c r="R9" s="110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>
        <f t="shared" si="11"/>
        <v>-5.4609446888217193E-2</v>
      </c>
      <c r="AD9" s="123">
        <f t="shared" si="12"/>
        <v>5.4557100006437743E-2</v>
      </c>
      <c r="AE9" s="123">
        <f t="shared" si="13"/>
        <v>-5.2346881779449794E-5</v>
      </c>
      <c r="AF9" s="112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>
        <f t="shared" si="24"/>
        <v>-1.2667466223200462E-3</v>
      </c>
      <c r="AR9" s="130">
        <f t="shared" si="25"/>
        <v>2.086074255589712E-3</v>
      </c>
      <c r="AS9" s="130">
        <f>+AE9*1000/$Q$3</f>
        <v>-1.4292429824890183E-7</v>
      </c>
      <c r="AU9" s="130"/>
      <c r="AV9" s="130"/>
      <c r="AW9" s="130">
        <f t="shared" si="29"/>
        <v>-4.7394189026210767E-7</v>
      </c>
      <c r="AX9" s="130">
        <f t="shared" si="30"/>
        <v>-2.4855007041223212E-7</v>
      </c>
    </row>
    <row r="10" spans="1:50">
      <c r="A10" s="115" t="s">
        <v>1</v>
      </c>
      <c r="B10" s="127" t="s">
        <v>250</v>
      </c>
      <c r="C10" s="127" t="s">
        <v>256</v>
      </c>
      <c r="D10" s="128" t="s">
        <v>257</v>
      </c>
      <c r="E10" s="129">
        <v>203</v>
      </c>
      <c r="F10" s="129">
        <v>295</v>
      </c>
      <c r="G10" s="129">
        <v>307</v>
      </c>
      <c r="H10" s="129">
        <v>420</v>
      </c>
      <c r="I10" s="129">
        <v>597</v>
      </c>
      <c r="J10" s="129">
        <v>970</v>
      </c>
      <c r="K10" s="129">
        <v>719</v>
      </c>
      <c r="L10" s="129">
        <v>567</v>
      </c>
      <c r="M10" s="129">
        <v>680</v>
      </c>
      <c r="N10" s="129">
        <v>720</v>
      </c>
      <c r="O10" s="129">
        <v>834</v>
      </c>
      <c r="P10" s="129">
        <v>1092</v>
      </c>
      <c r="Q10" s="129">
        <v>7404</v>
      </c>
      <c r="R10" s="110"/>
      <c r="S10" s="123">
        <f t="shared" si="1"/>
        <v>6.1859125744671131</v>
      </c>
      <c r="T10" s="123">
        <f t="shared" si="2"/>
        <v>8.868339726554515</v>
      </c>
      <c r="U10" s="123">
        <f t="shared" si="3"/>
        <v>8.8160377223034274</v>
      </c>
      <c r="V10" s="123">
        <f t="shared" si="4"/>
        <v>12.106328150671901</v>
      </c>
      <c r="W10" s="123">
        <f t="shared" si="5"/>
        <v>17.125399807805394</v>
      </c>
      <c r="X10" s="123">
        <f t="shared" si="6"/>
        <v>27.661570663906215</v>
      </c>
      <c r="Y10" s="123">
        <f t="shared" si="7"/>
        <v>20.141805030688939</v>
      </c>
      <c r="Z10" s="123">
        <f t="shared" si="8"/>
        <v>15.278982910174671</v>
      </c>
      <c r="AA10" s="123">
        <f t="shared" si="9"/>
        <v>17.978087129011531</v>
      </c>
      <c r="AB10" s="123">
        <f t="shared" si="10"/>
        <v>19.278497571735855</v>
      </c>
      <c r="AC10" s="123">
        <f t="shared" si="11"/>
        <v>22.772139352386571</v>
      </c>
      <c r="AD10" s="123">
        <f t="shared" si="12"/>
        <v>29.788176603515005</v>
      </c>
      <c r="AE10" s="123">
        <f t="shared" si="13"/>
        <v>206.00127724322115</v>
      </c>
      <c r="AF10" s="112"/>
      <c r="AG10" s="130">
        <f t="shared" si="14"/>
        <v>0.38553521810327906</v>
      </c>
      <c r="AH10" s="130">
        <f t="shared" si="15"/>
        <v>0.44898439279842628</v>
      </c>
      <c r="AI10" s="130">
        <f t="shared" si="16"/>
        <v>0.43998790848447505</v>
      </c>
      <c r="AJ10" s="130">
        <f t="shared" si="17"/>
        <v>0.43170588562821027</v>
      </c>
      <c r="AK10" s="130">
        <f t="shared" si="18"/>
        <v>0.41980192694527124</v>
      </c>
      <c r="AL10" s="130">
        <f t="shared" si="19"/>
        <v>0.89300008599903846</v>
      </c>
      <c r="AM10" s="130">
        <f t="shared" si="20"/>
        <v>0.58420990894477298</v>
      </c>
      <c r="AN10" s="130">
        <f t="shared" si="21"/>
        <v>0.5973486163959133</v>
      </c>
      <c r="AO10" s="130">
        <f t="shared" si="22"/>
        <v>0.44828663297954147</v>
      </c>
      <c r="AP10" s="130">
        <f t="shared" si="23"/>
        <v>0.46807239108786397</v>
      </c>
      <c r="AQ10" s="130">
        <f t="shared" si="24"/>
        <v>0.52823334150745926</v>
      </c>
      <c r="AR10" s="130">
        <f t="shared" si="25"/>
        <v>1.1389965435519829</v>
      </c>
      <c r="AS10" s="130">
        <f t="shared" si="26"/>
        <v>0.56245161101311969</v>
      </c>
      <c r="AU10" s="130">
        <f t="shared" si="27"/>
        <v>0.51888946555801629</v>
      </c>
      <c r="AV10" s="130">
        <f t="shared" si="28"/>
        <v>0.53314105641904519</v>
      </c>
      <c r="AW10" s="130">
        <f t="shared" si="29"/>
        <v>0.65041931668300079</v>
      </c>
      <c r="AX10" s="130">
        <f t="shared" si="30"/>
        <v>0.59464547382833866</v>
      </c>
    </row>
    <row r="11" spans="1:50">
      <c r="A11" s="115" t="s">
        <v>1</v>
      </c>
      <c r="B11" s="127" t="s">
        <v>250</v>
      </c>
      <c r="C11" s="127" t="s">
        <v>254</v>
      </c>
      <c r="D11" s="128" t="s">
        <v>258</v>
      </c>
      <c r="E11" s="129">
        <v>0</v>
      </c>
      <c r="F11" s="129">
        <v>-36</v>
      </c>
      <c r="G11" s="129">
        <v>5</v>
      </c>
      <c r="H11" s="129">
        <v>1</v>
      </c>
      <c r="I11" s="129">
        <v>3</v>
      </c>
      <c r="J11" s="129">
        <v>1</v>
      </c>
      <c r="K11" s="129">
        <v>0</v>
      </c>
      <c r="L11" s="129">
        <v>0</v>
      </c>
      <c r="M11" s="129">
        <v>1</v>
      </c>
      <c r="N11" s="129">
        <v>0</v>
      </c>
      <c r="O11" s="129">
        <v>3</v>
      </c>
      <c r="P11" s="129">
        <v>0</v>
      </c>
      <c r="Q11" s="129">
        <v>-22</v>
      </c>
      <c r="R11" s="110"/>
      <c r="S11" s="123">
        <f t="shared" si="1"/>
        <v>0</v>
      </c>
      <c r="T11" s="123">
        <f t="shared" si="2"/>
        <v>-1.0822380683252966</v>
      </c>
      <c r="U11" s="123">
        <f t="shared" si="3"/>
        <v>0.14358367625901347</v>
      </c>
      <c r="V11" s="123">
        <f t="shared" si="4"/>
        <v>2.8824590834933099E-2</v>
      </c>
      <c r="W11" s="123">
        <f t="shared" si="5"/>
        <v>8.6057285466358768E-2</v>
      </c>
      <c r="X11" s="123">
        <f t="shared" si="6"/>
        <v>2.85170831586662E-2</v>
      </c>
      <c r="Y11" s="123">
        <f t="shared" si="7"/>
        <v>0</v>
      </c>
      <c r="Z11" s="123">
        <f t="shared" si="8"/>
        <v>0</v>
      </c>
      <c r="AA11" s="123">
        <f t="shared" si="9"/>
        <v>2.6438363425016959E-2</v>
      </c>
      <c r="AB11" s="123">
        <f t="shared" si="10"/>
        <v>0</v>
      </c>
      <c r="AC11" s="123">
        <f t="shared" si="11"/>
        <v>8.1914170332325786E-2</v>
      </c>
      <c r="AD11" s="123">
        <f t="shared" si="12"/>
        <v>0</v>
      </c>
      <c r="AE11" s="123">
        <f t="shared" si="13"/>
        <v>-0.68690289884898248</v>
      </c>
      <c r="AF11" s="112"/>
      <c r="AG11" s="130">
        <f t="shared" si="14"/>
        <v>0</v>
      </c>
      <c r="AH11" s="130">
        <f t="shared" si="15"/>
        <v>-5.4791315731333362E-2</v>
      </c>
      <c r="AI11" s="130">
        <f t="shared" si="16"/>
        <v>7.1659268482813527E-3</v>
      </c>
      <c r="AJ11" s="130">
        <f t="shared" si="17"/>
        <v>1.0278711562576436E-3</v>
      </c>
      <c r="AK11" s="130">
        <f t="shared" si="18"/>
        <v>2.1095574218355337E-3</v>
      </c>
      <c r="AL11" s="130">
        <f t="shared" si="19"/>
        <v>9.2061864535983339E-4</v>
      </c>
      <c r="AM11" s="130">
        <f t="shared" si="20"/>
        <v>0</v>
      </c>
      <c r="AN11" s="130">
        <f t="shared" si="21"/>
        <v>0</v>
      </c>
      <c r="AO11" s="130">
        <f t="shared" si="22"/>
        <v>6.5924504849932568E-4</v>
      </c>
      <c r="AP11" s="130">
        <f t="shared" si="23"/>
        <v>0</v>
      </c>
      <c r="AQ11" s="130">
        <f t="shared" si="24"/>
        <v>1.9001199334800691E-3</v>
      </c>
      <c r="AR11" s="130">
        <f t="shared" si="25"/>
        <v>0</v>
      </c>
      <c r="AS11" s="130">
        <f t="shared" si="26"/>
        <v>-1.8754720710349659E-3</v>
      </c>
      <c r="AU11" s="130">
        <f t="shared" si="27"/>
        <v>-5.1093527829404045E-3</v>
      </c>
      <c r="AV11" s="130">
        <f t="shared" si="28"/>
        <v>2.6396393159892732E-4</v>
      </c>
      <c r="AW11" s="130">
        <f t="shared" si="29"/>
        <v>7.4164029273269161E-4</v>
      </c>
      <c r="AX11" s="130">
        <f t="shared" si="30"/>
        <v>5.1447247628231825E-4</v>
      </c>
    </row>
    <row r="12" spans="1:50">
      <c r="A12" s="115" t="s">
        <v>1</v>
      </c>
      <c r="B12" s="127" t="s">
        <v>250</v>
      </c>
      <c r="C12" s="127" t="s">
        <v>259</v>
      </c>
      <c r="D12" s="128" t="s">
        <v>260</v>
      </c>
      <c r="E12" s="129">
        <v>-469</v>
      </c>
      <c r="F12" s="129">
        <v>-853</v>
      </c>
      <c r="G12" s="129">
        <v>-1120</v>
      </c>
      <c r="H12" s="129">
        <v>-1217</v>
      </c>
      <c r="I12" s="129">
        <v>-1657</v>
      </c>
      <c r="J12" s="129">
        <v>-1316</v>
      </c>
      <c r="K12" s="129">
        <v>-1590</v>
      </c>
      <c r="L12" s="129">
        <v>-1132</v>
      </c>
      <c r="M12" s="129">
        <v>-1981</v>
      </c>
      <c r="N12" s="129">
        <v>-2083</v>
      </c>
      <c r="O12" s="129">
        <v>-1724</v>
      </c>
      <c r="P12" s="129">
        <v>-1279</v>
      </c>
      <c r="Q12" s="129">
        <v>-16421</v>
      </c>
      <c r="R12" s="110"/>
      <c r="S12" s="123">
        <f t="shared" si="1"/>
        <v>-14.291591120320572</v>
      </c>
      <c r="T12" s="123">
        <f t="shared" si="2"/>
        <v>-25.643029785596614</v>
      </c>
      <c r="U12" s="123">
        <f t="shared" si="3"/>
        <v>-32.162743482019017</v>
      </c>
      <c r="V12" s="123">
        <f t="shared" si="4"/>
        <v>-35.079527046113583</v>
      </c>
      <c r="W12" s="123">
        <f t="shared" si="5"/>
        <v>-47.532307339252156</v>
      </c>
      <c r="X12" s="123">
        <f t="shared" si="6"/>
        <v>-37.528481436804718</v>
      </c>
      <c r="Y12" s="123">
        <f t="shared" si="7"/>
        <v>-44.541682891231453</v>
      </c>
      <c r="Z12" s="123">
        <f t="shared" si="8"/>
        <v>-30.504071700736734</v>
      </c>
      <c r="AA12" s="123">
        <f t="shared" si="9"/>
        <v>-52.374397944958595</v>
      </c>
      <c r="AB12" s="123">
        <f t="shared" si="10"/>
        <v>-55.773764502674709</v>
      </c>
      <c r="AC12" s="123">
        <f t="shared" si="11"/>
        <v>-47.07334321764322</v>
      </c>
      <c r="AD12" s="123">
        <f t="shared" si="12"/>
        <v>-34.889265454116938</v>
      </c>
      <c r="AE12" s="123">
        <f t="shared" si="13"/>
        <v>-457.39420592146831</v>
      </c>
      <c r="AF12" s="112"/>
      <c r="AG12" s="130">
        <f t="shared" si="14"/>
        <v>-0.89071929699723107</v>
      </c>
      <c r="AH12" s="130">
        <f t="shared" si="15"/>
        <v>-1.2982497866340934</v>
      </c>
      <c r="AI12" s="130">
        <f t="shared" si="16"/>
        <v>-1.6051676140150231</v>
      </c>
      <c r="AJ12" s="130">
        <f t="shared" si="17"/>
        <v>-1.2509191971655522</v>
      </c>
      <c r="AK12" s="130">
        <f t="shared" si="18"/>
        <v>-1.1651788826604932</v>
      </c>
      <c r="AL12" s="130">
        <f t="shared" si="19"/>
        <v>-1.2115341372935406</v>
      </c>
      <c r="AM12" s="130">
        <f t="shared" si="20"/>
        <v>-1.2919245552464382</v>
      </c>
      <c r="AN12" s="130">
        <f t="shared" si="21"/>
        <v>-1.192590182998543</v>
      </c>
      <c r="AO12" s="130">
        <f t="shared" si="22"/>
        <v>-1.3059644410771643</v>
      </c>
      <c r="AP12" s="130">
        <f t="shared" si="23"/>
        <v>-1.3541594314389178</v>
      </c>
      <c r="AQ12" s="130">
        <f t="shared" si="24"/>
        <v>-1.0919355884398798</v>
      </c>
      <c r="AR12" s="130">
        <f t="shared" si="25"/>
        <v>-1.334044486449621</v>
      </c>
      <c r="AS12" s="130">
        <f t="shared" si="26"/>
        <v>-1.2488374413565055</v>
      </c>
      <c r="AU12" s="130">
        <f t="shared" si="27"/>
        <v>-1.2350876034238158</v>
      </c>
      <c r="AV12" s="130">
        <f t="shared" si="28"/>
        <v>-1.2721787611390569</v>
      </c>
      <c r="AW12" s="130">
        <f t="shared" si="29"/>
        <v>-1.2470472899450868</v>
      </c>
      <c r="AX12" s="130">
        <f t="shared" si="30"/>
        <v>-1.2589990252617964</v>
      </c>
    </row>
    <row r="13" spans="1:50">
      <c r="A13" s="115"/>
      <c r="B13" s="127"/>
      <c r="C13" s="127"/>
      <c r="D13" s="135" t="s">
        <v>261</v>
      </c>
      <c r="E13" s="136">
        <v>235</v>
      </c>
      <c r="F13" s="136">
        <v>-82</v>
      </c>
      <c r="G13" s="136">
        <v>182</v>
      </c>
      <c r="H13" s="136">
        <v>642</v>
      </c>
      <c r="I13" s="136">
        <v>-195</v>
      </c>
      <c r="J13" s="136">
        <v>417</v>
      </c>
      <c r="K13" s="136">
        <v>379</v>
      </c>
      <c r="L13" s="136">
        <v>186</v>
      </c>
      <c r="M13" s="136">
        <v>-486</v>
      </c>
      <c r="N13" s="136">
        <v>-338</v>
      </c>
      <c r="O13" s="136">
        <v>-135</v>
      </c>
      <c r="P13" s="136">
        <v>430</v>
      </c>
      <c r="Q13" s="136">
        <v>1235</v>
      </c>
      <c r="R13" s="110"/>
      <c r="S13" s="137">
        <f t="shared" si="1"/>
        <v>7.1610317980284313</v>
      </c>
      <c r="T13" s="137">
        <f t="shared" si="2"/>
        <v>-2.4650978222965092</v>
      </c>
      <c r="U13" s="137">
        <f t="shared" si="3"/>
        <v>5.2264458158280904</v>
      </c>
      <c r="V13" s="137">
        <f t="shared" si="4"/>
        <v>18.505387316027051</v>
      </c>
      <c r="W13" s="137">
        <f t="shared" si="5"/>
        <v>-5.5937235553133196</v>
      </c>
      <c r="X13" s="137">
        <f t="shared" si="6"/>
        <v>11.891623677163805</v>
      </c>
      <c r="Y13" s="137">
        <f t="shared" si="7"/>
        <v>10.617168437595423</v>
      </c>
      <c r="Z13" s="137">
        <f t="shared" si="8"/>
        <v>5.0121531239726433</v>
      </c>
      <c r="AA13" s="137">
        <f t="shared" si="9"/>
        <v>-12.849044624558241</v>
      </c>
      <c r="AB13" s="137">
        <f t="shared" si="10"/>
        <v>-9.0501835822871097</v>
      </c>
      <c r="AC13" s="137">
        <f t="shared" si="11"/>
        <v>-3.6861376649546607</v>
      </c>
      <c r="AD13" s="137">
        <f t="shared" si="12"/>
        <v>11.729776501384114</v>
      </c>
      <c r="AE13" s="137">
        <f t="shared" si="13"/>
        <v>36.499399420589718</v>
      </c>
      <c r="AF13" s="112"/>
      <c r="AG13" s="138">
        <f t="shared" si="14"/>
        <v>0.44630924263187483</v>
      </c>
      <c r="AH13" s="138">
        <f t="shared" si="15"/>
        <v>-0.12480244138803712</v>
      </c>
      <c r="AI13" s="138">
        <f t="shared" si="16"/>
        <v>0.26083973727744125</v>
      </c>
      <c r="AJ13" s="138">
        <f t="shared" si="17"/>
        <v>0.65989328231740729</v>
      </c>
      <c r="AK13" s="138">
        <f t="shared" si="18"/>
        <v>-0.13712123241930968</v>
      </c>
      <c r="AL13" s="138">
        <f t="shared" si="19"/>
        <v>0.38389797511505053</v>
      </c>
      <c r="AM13" s="138">
        <f t="shared" si="20"/>
        <v>0.30794931222540889</v>
      </c>
      <c r="AN13" s="138">
        <f t="shared" si="21"/>
        <v>0.19595563077537898</v>
      </c>
      <c r="AO13" s="138">
        <f t="shared" si="22"/>
        <v>-0.32039309357067225</v>
      </c>
      <c r="AP13" s="138">
        <f t="shared" si="23"/>
        <v>-0.21973398359402502</v>
      </c>
      <c r="AQ13" s="138">
        <f t="shared" si="24"/>
        <v>-8.5505397006603118E-2</v>
      </c>
      <c r="AR13" s="138">
        <f t="shared" si="25"/>
        <v>0.44850596495178813</v>
      </c>
      <c r="AS13" s="138">
        <f t="shared" si="26"/>
        <v>9.9655430683974366E-2</v>
      </c>
      <c r="AU13" s="138">
        <f t="shared" si="27"/>
        <v>0.22310527815786715</v>
      </c>
      <c r="AV13" s="138">
        <f t="shared" si="28"/>
        <v>2.7758633143400244E-2</v>
      </c>
      <c r="AW13" s="138">
        <f t="shared" si="29"/>
        <v>-9.1131258112961203E-3</v>
      </c>
      <c r="AX13" s="138">
        <f t="shared" si="30"/>
        <v>8.4219201988147158E-3</v>
      </c>
    </row>
    <row r="14" spans="1:50">
      <c r="A14" s="115"/>
      <c r="B14" s="115"/>
      <c r="C14" s="115"/>
      <c r="D14" s="139" t="s">
        <v>262</v>
      </c>
      <c r="E14" s="140">
        <v>6018</v>
      </c>
      <c r="F14" s="140">
        <v>6153</v>
      </c>
      <c r="G14" s="140">
        <v>5819</v>
      </c>
      <c r="H14" s="140">
        <v>13889</v>
      </c>
      <c r="I14" s="140">
        <v>13034</v>
      </c>
      <c r="J14" s="140">
        <v>15245</v>
      </c>
      <c r="K14" s="140">
        <v>12453</v>
      </c>
      <c r="L14" s="140">
        <v>13131</v>
      </c>
      <c r="M14" s="140">
        <v>15387</v>
      </c>
      <c r="N14" s="140">
        <v>15955</v>
      </c>
      <c r="O14" s="140">
        <v>15170</v>
      </c>
      <c r="P14" s="140">
        <v>13734</v>
      </c>
      <c r="Q14" s="140">
        <v>145988</v>
      </c>
      <c r="R14" s="110"/>
      <c r="S14" s="141">
        <f t="shared" si="1"/>
        <v>183.38335898100041</v>
      </c>
      <c r="T14" s="141">
        <f t="shared" si="2"/>
        <v>184.97252317793195</v>
      </c>
      <c r="U14" s="141">
        <f t="shared" si="3"/>
        <v>167.10268243023989</v>
      </c>
      <c r="V14" s="141">
        <f t="shared" si="4"/>
        <v>400.34474210638581</v>
      </c>
      <c r="W14" s="141">
        <f t="shared" si="5"/>
        <v>373.89021958950673</v>
      </c>
      <c r="X14" s="141">
        <f t="shared" si="6"/>
        <v>434.74293275386623</v>
      </c>
      <c r="Y14" s="141">
        <f t="shared" si="7"/>
        <v>348.85382204056936</v>
      </c>
      <c r="Z14" s="141">
        <f t="shared" si="8"/>
        <v>353.84184231658486</v>
      </c>
      <c r="AA14" s="141">
        <f t="shared" si="9"/>
        <v>406.80709802073591</v>
      </c>
      <c r="AB14" s="141">
        <f t="shared" si="10"/>
        <v>427.2061510514522</v>
      </c>
      <c r="AC14" s="141">
        <f t="shared" si="11"/>
        <v>414.21265464712741</v>
      </c>
      <c r="AD14" s="141">
        <f t="shared" si="12"/>
        <v>374.64360574420795</v>
      </c>
      <c r="AE14" s="141">
        <f t="shared" si="13"/>
        <v>4070.0016328596084</v>
      </c>
      <c r="AF14" s="112"/>
      <c r="AG14" s="142">
        <f t="shared" si="14"/>
        <v>11.429314987909031</v>
      </c>
      <c r="AH14" s="142">
        <f t="shared" si="15"/>
        <v>9.3647490470803945</v>
      </c>
      <c r="AI14" s="142">
        <f t="shared" si="16"/>
        <v>8.3397056660298396</v>
      </c>
      <c r="AJ14" s="142">
        <f t="shared" si="17"/>
        <v>14.276102489262412</v>
      </c>
      <c r="AK14" s="142">
        <f t="shared" si="18"/>
        <v>9.1653238120681166</v>
      </c>
      <c r="AL14" s="142">
        <f t="shared" si="19"/>
        <v>14.034831248510661</v>
      </c>
      <c r="AM14" s="142">
        <f t="shared" si="20"/>
        <v>10.118450620430123</v>
      </c>
      <c r="AN14" s="142">
        <f t="shared" si="21"/>
        <v>13.833835417803771</v>
      </c>
      <c r="AO14" s="142">
        <f t="shared" si="22"/>
        <v>10.143803561259123</v>
      </c>
      <c r="AP14" s="142">
        <f t="shared" si="23"/>
        <v>10.372354166398432</v>
      </c>
      <c r="AQ14" s="142">
        <f t="shared" si="24"/>
        <v>9.608273130297551</v>
      </c>
      <c r="AR14" s="142">
        <f t="shared" si="25"/>
        <v>14.325071913134551</v>
      </c>
      <c r="AS14" s="142">
        <f t="shared" si="26"/>
        <v>11.1124503976989</v>
      </c>
      <c r="AU14" s="142">
        <f t="shared" si="27"/>
        <v>11.207645884847963</v>
      </c>
      <c r="AV14" s="142">
        <f t="shared" si="28"/>
        <v>11.07741453466878</v>
      </c>
      <c r="AW14" s="142">
        <f t="shared" si="29"/>
        <v>11.010071629178702</v>
      </c>
      <c r="AX14" s="142">
        <f t="shared" si="30"/>
        <v>11.042097791740515</v>
      </c>
    </row>
    <row r="15" spans="1:50">
      <c r="A15" s="115" t="s">
        <v>4</v>
      </c>
      <c r="B15" s="115" t="s">
        <v>6</v>
      </c>
      <c r="C15" s="115" t="s">
        <v>5</v>
      </c>
      <c r="D15" s="128" t="s">
        <v>263</v>
      </c>
      <c r="E15" s="129">
        <v>4640</v>
      </c>
      <c r="F15" s="129">
        <v>5589</v>
      </c>
      <c r="G15" s="129">
        <v>8214</v>
      </c>
      <c r="H15" s="129">
        <v>7488</v>
      </c>
      <c r="I15" s="129">
        <v>7344</v>
      </c>
      <c r="J15" s="129">
        <v>7724</v>
      </c>
      <c r="K15" s="129">
        <v>7684</v>
      </c>
      <c r="L15" s="129">
        <v>6916</v>
      </c>
      <c r="M15" s="129">
        <v>8052</v>
      </c>
      <c r="N15" s="129">
        <v>8212</v>
      </c>
      <c r="O15" s="129">
        <v>7268</v>
      </c>
      <c r="P15" s="129">
        <v>8390</v>
      </c>
      <c r="Q15" s="129">
        <v>87521</v>
      </c>
      <c r="R15" s="110"/>
      <c r="S15" s="123">
        <f t="shared" si="1"/>
        <v>141.39228741639116</v>
      </c>
      <c r="T15" s="123">
        <f t="shared" si="2"/>
        <v>168.0174601075023</v>
      </c>
      <c r="U15" s="123">
        <f t="shared" si="3"/>
        <v>235.87926335830733</v>
      </c>
      <c r="V15" s="123">
        <f t="shared" si="4"/>
        <v>215.83853617197906</v>
      </c>
      <c r="W15" s="123">
        <f t="shared" si="5"/>
        <v>210.66823482164625</v>
      </c>
      <c r="X15" s="123">
        <f t="shared" si="6"/>
        <v>220.26595031753774</v>
      </c>
      <c r="Y15" s="123">
        <f t="shared" si="7"/>
        <v>215.2567870039135</v>
      </c>
      <c r="Z15" s="123">
        <f t="shared" si="8"/>
        <v>186.36586562040216</v>
      </c>
      <c r="AA15" s="123">
        <f t="shared" si="9"/>
        <v>212.88170229823655</v>
      </c>
      <c r="AB15" s="123">
        <f t="shared" si="10"/>
        <v>219.8819750820762</v>
      </c>
      <c r="AC15" s="123">
        <f t="shared" si="11"/>
        <v>198.45072999178129</v>
      </c>
      <c r="AD15" s="123">
        <f t="shared" si="12"/>
        <v>228.86703452700633</v>
      </c>
      <c r="AE15" s="123">
        <f t="shared" si="13"/>
        <v>2453.7658267167799</v>
      </c>
      <c r="AF15" s="112"/>
      <c r="AG15" s="130">
        <f t="shared" si="14"/>
        <v>8.8122335566463796</v>
      </c>
      <c r="AH15" s="130">
        <f t="shared" si="15"/>
        <v>8.5063517672895053</v>
      </c>
      <c r="AI15" s="130">
        <f t="shared" si="16"/>
        <v>11.772184626356607</v>
      </c>
      <c r="AJ15" s="130">
        <f t="shared" si="17"/>
        <v>7.696699218057236</v>
      </c>
      <c r="AK15" s="130">
        <f t="shared" si="18"/>
        <v>5.1641965686533862</v>
      </c>
      <c r="AL15" s="130">
        <f t="shared" si="19"/>
        <v>7.1108584167593536</v>
      </c>
      <c r="AM15" s="130">
        <f t="shared" si="20"/>
        <v>6.24348948585763</v>
      </c>
      <c r="AN15" s="130">
        <f t="shared" si="21"/>
        <v>7.2861781851748439</v>
      </c>
      <c r="AO15" s="130">
        <f t="shared" si="22"/>
        <v>5.3082411305165706</v>
      </c>
      <c r="AP15" s="130">
        <f t="shared" si="23"/>
        <v>5.3386256605743601</v>
      </c>
      <c r="AQ15" s="130">
        <f t="shared" si="24"/>
        <v>4.603357225511048</v>
      </c>
      <c r="AR15" s="130">
        <f t="shared" si="25"/>
        <v>8.7510815021988417</v>
      </c>
      <c r="AS15" s="130">
        <f t="shared" si="26"/>
        <v>6.6995921615394147</v>
      </c>
      <c r="AU15" s="130">
        <f t="shared" si="27"/>
        <v>7.6587517407554513</v>
      </c>
      <c r="AV15" s="130">
        <f t="shared" si="28"/>
        <v>6.1352884406049606</v>
      </c>
      <c r="AW15" s="130">
        <f t="shared" si="29"/>
        <v>5.8596626491703381</v>
      </c>
      <c r="AX15" s="130">
        <f t="shared" si="30"/>
        <v>5.9907415852286281</v>
      </c>
    </row>
    <row r="16" spans="1:50">
      <c r="A16" s="115" t="s">
        <v>4</v>
      </c>
      <c r="B16" s="115" t="s">
        <v>6</v>
      </c>
      <c r="C16" s="115" t="s">
        <v>6</v>
      </c>
      <c r="D16" s="128" t="s">
        <v>264</v>
      </c>
      <c r="E16" s="129">
        <v>3493</v>
      </c>
      <c r="F16" s="129">
        <v>2454</v>
      </c>
      <c r="G16" s="129">
        <v>3451</v>
      </c>
      <c r="H16" s="129">
        <v>2423</v>
      </c>
      <c r="I16" s="129">
        <v>2531</v>
      </c>
      <c r="J16" s="129">
        <v>3004</v>
      </c>
      <c r="K16" s="129">
        <v>3435</v>
      </c>
      <c r="L16" s="129">
        <v>3842</v>
      </c>
      <c r="M16" s="129">
        <v>3367</v>
      </c>
      <c r="N16" s="129">
        <v>3631</v>
      </c>
      <c r="O16" s="129">
        <v>3356</v>
      </c>
      <c r="P16" s="129">
        <v>2610</v>
      </c>
      <c r="Q16" s="129">
        <v>37597</v>
      </c>
      <c r="R16" s="110"/>
      <c r="S16" s="123">
        <f t="shared" si="1"/>
        <v>106.44035774686515</v>
      </c>
      <c r="T16" s="123">
        <f t="shared" si="2"/>
        <v>73.772561657507723</v>
      </c>
      <c r="U16" s="123">
        <f t="shared" si="3"/>
        <v>99.101453353971095</v>
      </c>
      <c r="V16" s="123">
        <f t="shared" si="4"/>
        <v>69.841983593042897</v>
      </c>
      <c r="W16" s="123">
        <f t="shared" si="5"/>
        <v>72.603663171784675</v>
      </c>
      <c r="X16" s="123">
        <f t="shared" si="6"/>
        <v>85.665317808633262</v>
      </c>
      <c r="Y16" s="123">
        <f t="shared" si="7"/>
        <v>96.226843227283041</v>
      </c>
      <c r="Z16" s="123">
        <f t="shared" si="8"/>
        <v>103.53060377582202</v>
      </c>
      <c r="AA16" s="123">
        <f t="shared" si="9"/>
        <v>89.017969652032093</v>
      </c>
      <c r="AB16" s="123">
        <f t="shared" si="10"/>
        <v>97.222534281906803</v>
      </c>
      <c r="AC16" s="123">
        <f t="shared" si="11"/>
        <v>91.634651878428457</v>
      </c>
      <c r="AD16" s="123">
        <f t="shared" si="12"/>
        <v>71.19701550840125</v>
      </c>
      <c r="AE16" s="123">
        <f t="shared" si="13"/>
        <v>1056.2549556556783</v>
      </c>
      <c r="AF16" s="112"/>
      <c r="AG16" s="130">
        <f t="shared" si="14"/>
        <v>6.633864614949526</v>
      </c>
      <c r="AH16" s="130">
        <f t="shared" si="15"/>
        <v>3.7349413556858915</v>
      </c>
      <c r="AI16" s="130">
        <f t="shared" si="16"/>
        <v>4.9459227106837895</v>
      </c>
      <c r="AJ16" s="130">
        <f t="shared" si="17"/>
        <v>2.4905318116122701</v>
      </c>
      <c r="AK16" s="130">
        <f t="shared" si="18"/>
        <v>1.7797632782219119</v>
      </c>
      <c r="AL16" s="130">
        <f t="shared" si="19"/>
        <v>2.7655384106609393</v>
      </c>
      <c r="AM16" s="130">
        <f t="shared" si="20"/>
        <v>2.7910445580323997</v>
      </c>
      <c r="AN16" s="130">
        <f t="shared" si="21"/>
        <v>4.0476426528978822</v>
      </c>
      <c r="AO16" s="130">
        <f t="shared" si="22"/>
        <v>2.2196780782972292</v>
      </c>
      <c r="AP16" s="130">
        <f t="shared" si="23"/>
        <v>2.3605150722778254</v>
      </c>
      <c r="AQ16" s="130">
        <f t="shared" si="24"/>
        <v>2.1256008322530375</v>
      </c>
      <c r="AR16" s="130">
        <f t="shared" si="25"/>
        <v>2.7223269035445741</v>
      </c>
      <c r="AS16" s="130">
        <f t="shared" si="26"/>
        <v>2.883925329975968</v>
      </c>
      <c r="AU16" s="130">
        <f t="shared" si="27"/>
        <v>3.2601035505458174</v>
      </c>
      <c r="AV16" s="130">
        <f t="shared" si="28"/>
        <v>2.883169926368446</v>
      </c>
      <c r="AW16" s="130">
        <f t="shared" si="29"/>
        <v>2.3544970726006018</v>
      </c>
      <c r="AX16" s="130">
        <f t="shared" si="30"/>
        <v>2.6059172130529733</v>
      </c>
    </row>
    <row r="17" spans="1:50">
      <c r="A17" s="115"/>
      <c r="B17" s="115"/>
      <c r="C17" s="115"/>
      <c r="D17" s="131" t="s">
        <v>265</v>
      </c>
      <c r="E17" s="132">
        <v>8133</v>
      </c>
      <c r="F17" s="132">
        <v>8043</v>
      </c>
      <c r="G17" s="132">
        <v>11664</v>
      </c>
      <c r="H17" s="132">
        <v>9911</v>
      </c>
      <c r="I17" s="132">
        <v>9875</v>
      </c>
      <c r="J17" s="132">
        <v>10728</v>
      </c>
      <c r="K17" s="132">
        <v>11119</v>
      </c>
      <c r="L17" s="132">
        <v>10758</v>
      </c>
      <c r="M17" s="132">
        <v>11419</v>
      </c>
      <c r="N17" s="132">
        <v>11843</v>
      </c>
      <c r="O17" s="132">
        <v>10624</v>
      </c>
      <c r="P17" s="132">
        <v>11000</v>
      </c>
      <c r="Q17" s="132">
        <v>125117</v>
      </c>
      <c r="R17" s="110"/>
      <c r="S17" s="133">
        <f t="shared" si="1"/>
        <v>247.8326451632563</v>
      </c>
      <c r="T17" s="133">
        <f t="shared" si="2"/>
        <v>241.79002176501004</v>
      </c>
      <c r="U17" s="133">
        <f t="shared" si="3"/>
        <v>334.95199997702662</v>
      </c>
      <c r="V17" s="133">
        <f t="shared" si="4"/>
        <v>285.68051976502193</v>
      </c>
      <c r="W17" s="133">
        <f t="shared" si="5"/>
        <v>283.27189799343097</v>
      </c>
      <c r="X17" s="133">
        <f t="shared" si="6"/>
        <v>305.93126812617101</v>
      </c>
      <c r="Y17" s="133">
        <f t="shared" si="7"/>
        <v>311.48363023119657</v>
      </c>
      <c r="Z17" s="133">
        <f t="shared" si="8"/>
        <v>289.89646939622418</v>
      </c>
      <c r="AA17" s="133">
        <f t="shared" si="9"/>
        <v>301.89967195026861</v>
      </c>
      <c r="AB17" s="133">
        <f t="shared" si="10"/>
        <v>317.10450936398297</v>
      </c>
      <c r="AC17" s="133">
        <f t="shared" si="11"/>
        <v>290.08538187020974</v>
      </c>
      <c r="AD17" s="133">
        <f t="shared" si="12"/>
        <v>300.06405003540755</v>
      </c>
      <c r="AE17" s="133">
        <f t="shared" si="13"/>
        <v>3509.9920656372069</v>
      </c>
      <c r="AF17" s="112"/>
      <c r="AG17" s="134">
        <f t="shared" si="14"/>
        <v>15.446098171595905</v>
      </c>
      <c r="AH17" s="134">
        <f t="shared" si="15"/>
        <v>12.241293122975398</v>
      </c>
      <c r="AI17" s="134">
        <f t="shared" si="16"/>
        <v>16.716674151670738</v>
      </c>
      <c r="AJ17" s="134">
        <f t="shared" si="17"/>
        <v>10.187231029669505</v>
      </c>
      <c r="AK17" s="134">
        <f t="shared" si="18"/>
        <v>6.9439598468752992</v>
      </c>
      <c r="AL17" s="134">
        <f t="shared" si="19"/>
        <v>9.8763968274202938</v>
      </c>
      <c r="AM17" s="134">
        <f t="shared" si="20"/>
        <v>9.0345340438900301</v>
      </c>
      <c r="AN17" s="134">
        <f t="shared" si="21"/>
        <v>11.333820838072725</v>
      </c>
      <c r="AO17" s="134">
        <f t="shared" si="22"/>
        <v>7.5279192088137998</v>
      </c>
      <c r="AP17" s="134">
        <f t="shared" si="23"/>
        <v>7.699140732852185</v>
      </c>
      <c r="AQ17" s="134">
        <f t="shared" si="24"/>
        <v>6.7289580577640864</v>
      </c>
      <c r="AR17" s="134">
        <f t="shared" si="25"/>
        <v>11.473408405743415</v>
      </c>
      <c r="AS17" s="134">
        <f t="shared" si="26"/>
        <v>9.5834390853315909</v>
      </c>
      <c r="AU17" s="134">
        <f t="shared" si="27"/>
        <v>10.918670792176636</v>
      </c>
      <c r="AV17" s="134">
        <f t="shared" si="28"/>
        <v>9.0184583669734071</v>
      </c>
      <c r="AW17" s="134">
        <f t="shared" si="29"/>
        <v>8.2141597217709403</v>
      </c>
      <c r="AX17" s="134">
        <f t="shared" si="30"/>
        <v>8.5966587982816005</v>
      </c>
    </row>
    <row r="18" spans="1:50">
      <c r="A18" s="115" t="s">
        <v>4</v>
      </c>
      <c r="B18" s="115" t="s">
        <v>266</v>
      </c>
      <c r="C18" s="115" t="s">
        <v>267</v>
      </c>
      <c r="D18" s="128" t="s">
        <v>268</v>
      </c>
      <c r="E18" s="129">
        <v>1</v>
      </c>
      <c r="F18" s="129">
        <v>3</v>
      </c>
      <c r="G18" s="129">
        <v>13</v>
      </c>
      <c r="H18" s="129">
        <v>13</v>
      </c>
      <c r="I18" s="129">
        <v>6</v>
      </c>
      <c r="J18" s="129">
        <v>10</v>
      </c>
      <c r="K18" s="129">
        <v>10</v>
      </c>
      <c r="L18" s="129">
        <v>1</v>
      </c>
      <c r="M18" s="129">
        <v>35</v>
      </c>
      <c r="N18" s="129">
        <v>6</v>
      </c>
      <c r="O18" s="129">
        <v>7</v>
      </c>
      <c r="P18" s="129">
        <v>4</v>
      </c>
      <c r="Q18" s="129">
        <v>109</v>
      </c>
      <c r="R18" s="110"/>
      <c r="S18" s="123">
        <f t="shared" si="1"/>
        <v>3.0472475736291197E-2</v>
      </c>
      <c r="T18" s="123">
        <f t="shared" si="2"/>
        <v>9.0186505693774718E-2</v>
      </c>
      <c r="U18" s="123">
        <f t="shared" si="3"/>
        <v>0.37331755827343505</v>
      </c>
      <c r="V18" s="123">
        <f t="shared" si="4"/>
        <v>0.37471968085413027</v>
      </c>
      <c r="W18" s="123">
        <f t="shared" si="5"/>
        <v>0.17211457093271754</v>
      </c>
      <c r="X18" s="123">
        <f t="shared" si="6"/>
        <v>0.28517083158666201</v>
      </c>
      <c r="Y18" s="123">
        <f t="shared" si="7"/>
        <v>0.28013637038510347</v>
      </c>
      <c r="Z18" s="123">
        <f t="shared" si="8"/>
        <v>2.6947059806304532E-2</v>
      </c>
      <c r="AA18" s="123">
        <f t="shared" si="9"/>
        <v>0.92534271987559347</v>
      </c>
      <c r="AB18" s="123">
        <f t="shared" si="10"/>
        <v>0.16065414643113213</v>
      </c>
      <c r="AC18" s="123">
        <f t="shared" si="11"/>
        <v>0.19113306410876019</v>
      </c>
      <c r="AD18" s="123">
        <f t="shared" si="12"/>
        <v>0.10911420001287549</v>
      </c>
      <c r="AE18" s="123">
        <f t="shared" si="13"/>
        <v>3.0193091836967807</v>
      </c>
      <c r="AF18" s="112"/>
      <c r="AG18" s="130">
        <f t="shared" si="14"/>
        <v>1.8991882665186162E-3</v>
      </c>
      <c r="AH18" s="130">
        <f t="shared" si="15"/>
        <v>4.5659429776111135E-3</v>
      </c>
      <c r="AI18" s="130">
        <f t="shared" si="16"/>
        <v>1.8631409805531518E-2</v>
      </c>
      <c r="AJ18" s="130">
        <f t="shared" si="17"/>
        <v>1.3362325031349365E-2</v>
      </c>
      <c r="AK18" s="130">
        <f t="shared" si="18"/>
        <v>4.2191148436710674E-3</v>
      </c>
      <c r="AL18" s="130">
        <f t="shared" si="19"/>
        <v>9.2061864535983341E-3</v>
      </c>
      <c r="AM18" s="130">
        <f t="shared" si="20"/>
        <v>8.1253116682165928E-3</v>
      </c>
      <c r="AN18" s="130">
        <f t="shared" si="21"/>
        <v>1.0535248966418223E-3</v>
      </c>
      <c r="AO18" s="130">
        <f t="shared" si="22"/>
        <v>2.3073576697476398E-2</v>
      </c>
      <c r="AP18" s="130">
        <f t="shared" si="23"/>
        <v>3.9006032590655332E-3</v>
      </c>
      <c r="AQ18" s="130">
        <f t="shared" si="24"/>
        <v>4.4336131781201622E-3</v>
      </c>
      <c r="AR18" s="130">
        <f t="shared" si="25"/>
        <v>4.172148511179424E-3</v>
      </c>
      <c r="AS18" s="130">
        <f t="shared" si="26"/>
        <v>8.2437125499562613E-3</v>
      </c>
      <c r="AU18" s="130">
        <f t="shared" si="27"/>
        <v>8.5191595281438829E-3</v>
      </c>
      <c r="AV18" s="130">
        <f t="shared" si="28"/>
        <v>1.2304697032388517E-2</v>
      </c>
      <c r="AW18" s="130">
        <f t="shared" si="29"/>
        <v>4.1729416980784773E-3</v>
      </c>
      <c r="AX18" s="130">
        <f t="shared" si="30"/>
        <v>8.0401481447600499E-3</v>
      </c>
    </row>
    <row r="19" spans="1:50">
      <c r="A19" s="115" t="s">
        <v>4</v>
      </c>
      <c r="B19" s="115" t="s">
        <v>266</v>
      </c>
      <c r="C19" s="115" t="s">
        <v>267</v>
      </c>
      <c r="D19" s="128" t="s">
        <v>269</v>
      </c>
      <c r="E19" s="129">
        <v>8</v>
      </c>
      <c r="F19" s="129">
        <v>18</v>
      </c>
      <c r="G19" s="129">
        <v>17</v>
      </c>
      <c r="H19" s="129">
        <v>11</v>
      </c>
      <c r="I19" s="129">
        <v>7</v>
      </c>
      <c r="J19" s="129">
        <v>12</v>
      </c>
      <c r="K19" s="129">
        <v>16</v>
      </c>
      <c r="L19" s="129">
        <v>0</v>
      </c>
      <c r="M19" s="129">
        <v>2</v>
      </c>
      <c r="N19" s="129">
        <v>0</v>
      </c>
      <c r="O19" s="129">
        <v>15</v>
      </c>
      <c r="P19" s="129">
        <v>5</v>
      </c>
      <c r="Q19" s="129">
        <v>111</v>
      </c>
      <c r="R19" s="110"/>
      <c r="S19" s="123">
        <f t="shared" si="1"/>
        <v>0.24377980589032958</v>
      </c>
      <c r="T19" s="123">
        <f t="shared" si="2"/>
        <v>0.54111903416264828</v>
      </c>
      <c r="U19" s="123">
        <f t="shared" si="3"/>
        <v>0.48818449928064583</v>
      </c>
      <c r="V19" s="123">
        <f t="shared" si="4"/>
        <v>0.31707049918426411</v>
      </c>
      <c r="W19" s="123">
        <f t="shared" si="5"/>
        <v>0.20080033275483714</v>
      </c>
      <c r="X19" s="123">
        <f t="shared" si="6"/>
        <v>0.34220499790399439</v>
      </c>
      <c r="Y19" s="123">
        <f t="shared" si="7"/>
        <v>0.44821819261616558</v>
      </c>
      <c r="Z19" s="123">
        <f t="shared" si="8"/>
        <v>0</v>
      </c>
      <c r="AA19" s="123">
        <f t="shared" si="9"/>
        <v>5.2876726850033917E-2</v>
      </c>
      <c r="AB19" s="123">
        <f t="shared" si="10"/>
        <v>0</v>
      </c>
      <c r="AC19" s="123">
        <f t="shared" si="11"/>
        <v>0.40957085166162893</v>
      </c>
      <c r="AD19" s="123">
        <f t="shared" si="12"/>
        <v>0.13639275001609436</v>
      </c>
      <c r="AE19" s="123">
        <f t="shared" si="13"/>
        <v>3.1802176903206418</v>
      </c>
      <c r="AF19" s="112"/>
      <c r="AG19" s="130">
        <f t="shared" si="14"/>
        <v>1.519350613214893E-2</v>
      </c>
      <c r="AH19" s="130">
        <f t="shared" si="15"/>
        <v>2.7395657865666681E-2</v>
      </c>
      <c r="AI19" s="130">
        <f t="shared" si="16"/>
        <v>2.4364151284156602E-2</v>
      </c>
      <c r="AJ19" s="130">
        <f t="shared" si="17"/>
        <v>1.130658271883408E-2</v>
      </c>
      <c r="AK19" s="130">
        <f t="shared" si="18"/>
        <v>4.9223006509495791E-3</v>
      </c>
      <c r="AL19" s="130">
        <f t="shared" si="19"/>
        <v>1.1047423744318002E-2</v>
      </c>
      <c r="AM19" s="130">
        <f t="shared" si="20"/>
        <v>1.300049866914655E-2</v>
      </c>
      <c r="AN19" s="130">
        <f t="shared" si="21"/>
        <v>0</v>
      </c>
      <c r="AO19" s="130">
        <f t="shared" si="22"/>
        <v>1.3184900969986514E-3</v>
      </c>
      <c r="AP19" s="130">
        <f t="shared" si="23"/>
        <v>0</v>
      </c>
      <c r="AQ19" s="130">
        <f t="shared" si="24"/>
        <v>9.500599667400347E-3</v>
      </c>
      <c r="AR19" s="130">
        <f t="shared" si="25"/>
        <v>5.2151856389742813E-3</v>
      </c>
      <c r="AS19" s="130">
        <f t="shared" si="26"/>
        <v>8.6830459851050673E-3</v>
      </c>
      <c r="AU19" s="130">
        <f t="shared" si="27"/>
        <v>1.3705109441086043E-2</v>
      </c>
      <c r="AV19" s="130">
        <f t="shared" si="28"/>
        <v>5.0029944335127103E-3</v>
      </c>
      <c r="AW19" s="130">
        <f t="shared" si="29"/>
        <v>4.9430837634922885E-3</v>
      </c>
      <c r="AX19" s="130">
        <f t="shared" si="30"/>
        <v>4.9715753891995257E-3</v>
      </c>
    </row>
    <row r="20" spans="1:50">
      <c r="A20" s="115" t="s">
        <v>4</v>
      </c>
      <c r="B20" s="115" t="s">
        <v>266</v>
      </c>
      <c r="C20" s="115" t="s">
        <v>267</v>
      </c>
      <c r="D20" s="128" t="s">
        <v>270</v>
      </c>
      <c r="E20" s="129">
        <v>37</v>
      </c>
      <c r="F20" s="129">
        <v>17</v>
      </c>
      <c r="G20" s="129">
        <v>1</v>
      </c>
      <c r="H20" s="129">
        <v>4</v>
      </c>
      <c r="I20" s="129">
        <v>0</v>
      </c>
      <c r="J20" s="129">
        <v>0</v>
      </c>
      <c r="K20" s="129">
        <v>49</v>
      </c>
      <c r="L20" s="129">
        <v>11</v>
      </c>
      <c r="M20" s="129">
        <v>0</v>
      </c>
      <c r="N20" s="129">
        <v>0</v>
      </c>
      <c r="O20" s="129">
        <v>-3</v>
      </c>
      <c r="P20" s="129">
        <v>-8</v>
      </c>
      <c r="Q20" s="129">
        <v>108</v>
      </c>
      <c r="R20" s="110"/>
      <c r="S20" s="123">
        <f t="shared" si="1"/>
        <v>1.1274816022427743</v>
      </c>
      <c r="T20" s="123">
        <f t="shared" si="2"/>
        <v>0.51105686559805674</v>
      </c>
      <c r="U20" s="123">
        <f t="shared" si="3"/>
        <v>2.8716735251802697E-2</v>
      </c>
      <c r="V20" s="123">
        <f t="shared" si="4"/>
        <v>0.1152983633397324</v>
      </c>
      <c r="W20" s="123">
        <f t="shared" si="5"/>
        <v>0</v>
      </c>
      <c r="X20" s="123">
        <f t="shared" si="6"/>
        <v>0</v>
      </c>
      <c r="Y20" s="123">
        <f t="shared" si="7"/>
        <v>1.3726682148870071</v>
      </c>
      <c r="Z20" s="123">
        <f t="shared" si="8"/>
        <v>0.29641765786934987</v>
      </c>
      <c r="AA20" s="123">
        <f t="shared" si="9"/>
        <v>0</v>
      </c>
      <c r="AB20" s="123">
        <f t="shared" si="10"/>
        <v>0</v>
      </c>
      <c r="AC20" s="123">
        <f t="shared" si="11"/>
        <v>-8.1914170332325786E-2</v>
      </c>
      <c r="AD20" s="123">
        <f t="shared" si="12"/>
        <v>-0.21822840002575097</v>
      </c>
      <c r="AE20" s="123">
        <f t="shared" si="13"/>
        <v>3.1514968688306464</v>
      </c>
      <c r="AF20" s="112"/>
      <c r="AG20" s="130">
        <f t="shared" si="14"/>
        <v>7.0269965861188791E-2</v>
      </c>
      <c r="AH20" s="130">
        <f t="shared" si="15"/>
        <v>2.5873676873129643E-2</v>
      </c>
      <c r="AI20" s="130">
        <f t="shared" si="16"/>
        <v>1.4331853696562707E-3</v>
      </c>
      <c r="AJ20" s="130">
        <f t="shared" si="17"/>
        <v>4.1114846250305745E-3</v>
      </c>
      <c r="AK20" s="130">
        <f t="shared" si="18"/>
        <v>0</v>
      </c>
      <c r="AL20" s="130">
        <f t="shared" si="19"/>
        <v>0</v>
      </c>
      <c r="AM20" s="130">
        <f t="shared" si="20"/>
        <v>3.9814027174261309E-2</v>
      </c>
      <c r="AN20" s="130">
        <f t="shared" si="21"/>
        <v>1.1588773863060045E-2</v>
      </c>
      <c r="AO20" s="130">
        <f t="shared" si="22"/>
        <v>0</v>
      </c>
      <c r="AP20" s="130">
        <f t="shared" si="23"/>
        <v>0</v>
      </c>
      <c r="AQ20" s="130">
        <f t="shared" si="24"/>
        <v>-1.9001199334800691E-3</v>
      </c>
      <c r="AR20" s="130">
        <f t="shared" si="25"/>
        <v>-8.3442970223588479E-3</v>
      </c>
      <c r="AS20" s="130">
        <f t="shared" si="26"/>
        <v>8.6046286445290894E-3</v>
      </c>
      <c r="AU20" s="130">
        <f t="shared" si="27"/>
        <v>1.1452540469346444E-2</v>
      </c>
      <c r="AV20" s="130">
        <f t="shared" si="28"/>
        <v>1.6664362391361306E-2</v>
      </c>
      <c r="AW20" s="130">
        <f t="shared" si="29"/>
        <v>-2.717451972458821E-3</v>
      </c>
      <c r="AX20" s="130">
        <f t="shared" si="30"/>
        <v>6.4999278397327755E-3</v>
      </c>
    </row>
    <row r="21" spans="1:50">
      <c r="A21" s="115" t="s">
        <v>4</v>
      </c>
      <c r="B21" s="115" t="s">
        <v>266</v>
      </c>
      <c r="C21" s="115" t="s">
        <v>271</v>
      </c>
      <c r="D21" s="128" t="s">
        <v>272</v>
      </c>
      <c r="E21" s="129">
        <v>531</v>
      </c>
      <c r="F21" s="129">
        <v>750</v>
      </c>
      <c r="G21" s="129">
        <v>764</v>
      </c>
      <c r="H21" s="129">
        <v>888</v>
      </c>
      <c r="I21" s="129">
        <v>1301</v>
      </c>
      <c r="J21" s="129">
        <v>1031</v>
      </c>
      <c r="K21" s="129">
        <v>1262</v>
      </c>
      <c r="L21" s="129">
        <v>1086</v>
      </c>
      <c r="M21" s="129">
        <v>1566</v>
      </c>
      <c r="N21" s="129">
        <v>1523</v>
      </c>
      <c r="O21" s="129">
        <v>1401</v>
      </c>
      <c r="P21" s="129">
        <v>1328</v>
      </c>
      <c r="Q21" s="129">
        <v>13431</v>
      </c>
      <c r="R21" s="110"/>
      <c r="S21" s="123">
        <f t="shared" si="1"/>
        <v>16.180884615970626</v>
      </c>
      <c r="T21" s="123">
        <f t="shared" si="2"/>
        <v>22.54662642344368</v>
      </c>
      <c r="U21" s="123">
        <f t="shared" si="3"/>
        <v>21.93958573237726</v>
      </c>
      <c r="V21" s="123">
        <f t="shared" si="4"/>
        <v>25.596236661420591</v>
      </c>
      <c r="W21" s="123">
        <f t="shared" si="5"/>
        <v>37.320176130577586</v>
      </c>
      <c r="X21" s="123">
        <f t="shared" si="6"/>
        <v>29.401112736584853</v>
      </c>
      <c r="Y21" s="123">
        <f t="shared" si="7"/>
        <v>35.35320994260006</v>
      </c>
      <c r="Z21" s="123">
        <f t="shared" si="8"/>
        <v>29.264506949646723</v>
      </c>
      <c r="AA21" s="123">
        <f t="shared" si="9"/>
        <v>41.402477123576553</v>
      </c>
      <c r="AB21" s="123">
        <f t="shared" si="10"/>
        <v>40.779377502435707</v>
      </c>
      <c r="AC21" s="123">
        <f t="shared" si="11"/>
        <v>38.253917545196146</v>
      </c>
      <c r="AD21" s="123">
        <f t="shared" si="12"/>
        <v>36.225914404274661</v>
      </c>
      <c r="AE21" s="123">
        <f t="shared" si="13"/>
        <v>374.26402576810437</v>
      </c>
      <c r="AF21" s="112"/>
      <c r="AG21" s="130">
        <f t="shared" si="14"/>
        <v>1.0084689695213853</v>
      </c>
      <c r="AH21" s="130">
        <f t="shared" si="15"/>
        <v>1.1414857444027784</v>
      </c>
      <c r="AI21" s="130">
        <f t="shared" si="16"/>
        <v>1.0949536224173908</v>
      </c>
      <c r="AJ21" s="130">
        <f t="shared" si="17"/>
        <v>0.91274958675678741</v>
      </c>
      <c r="AK21" s="130">
        <f t="shared" si="18"/>
        <v>0.91484473526934318</v>
      </c>
      <c r="AL21" s="130">
        <f t="shared" si="19"/>
        <v>0.9491578233659882</v>
      </c>
      <c r="AM21" s="130">
        <f t="shared" si="20"/>
        <v>1.025414332528934</v>
      </c>
      <c r="AN21" s="130">
        <f t="shared" si="21"/>
        <v>1.1441280377530192</v>
      </c>
      <c r="AO21" s="130">
        <f t="shared" si="22"/>
        <v>1.0323777459499439</v>
      </c>
      <c r="AP21" s="130">
        <f t="shared" si="23"/>
        <v>0.99010312725946803</v>
      </c>
      <c r="AQ21" s="130">
        <f t="shared" si="24"/>
        <v>0.88735600893519251</v>
      </c>
      <c r="AR21" s="130">
        <f t="shared" si="25"/>
        <v>1.385153305711569</v>
      </c>
      <c r="AS21" s="130">
        <f t="shared" si="26"/>
        <v>1.0218645585822603</v>
      </c>
      <c r="AU21" s="130">
        <f t="shared" si="27"/>
        <v>0.98289477021962901</v>
      </c>
      <c r="AV21" s="130">
        <f t="shared" si="28"/>
        <v>1.0585188951150006</v>
      </c>
      <c r="AW21" s="130">
        <f t="shared" si="29"/>
        <v>1.0435419597275375</v>
      </c>
      <c r="AX21" s="130">
        <f t="shared" si="30"/>
        <v>1.0506645179822791</v>
      </c>
    </row>
    <row r="22" spans="1:50">
      <c r="A22" s="115" t="s">
        <v>4</v>
      </c>
      <c r="B22" s="115" t="s">
        <v>266</v>
      </c>
      <c r="C22" s="115" t="s">
        <v>271</v>
      </c>
      <c r="D22" s="128" t="s">
        <v>273</v>
      </c>
      <c r="E22" s="129">
        <v>4</v>
      </c>
      <c r="F22" s="129">
        <v>104</v>
      </c>
      <c r="G22" s="129">
        <v>-50</v>
      </c>
      <c r="H22" s="129">
        <v>-10</v>
      </c>
      <c r="I22" s="129">
        <v>3</v>
      </c>
      <c r="J22" s="129">
        <v>2</v>
      </c>
      <c r="K22" s="129">
        <v>47</v>
      </c>
      <c r="L22" s="129">
        <v>11</v>
      </c>
      <c r="M22" s="129">
        <v>4</v>
      </c>
      <c r="N22" s="129">
        <v>0</v>
      </c>
      <c r="O22" s="129">
        <v>0</v>
      </c>
      <c r="P22" s="129">
        <v>-4</v>
      </c>
      <c r="Q22" s="129">
        <v>111</v>
      </c>
      <c r="R22" s="110"/>
      <c r="S22" s="123">
        <f t="shared" si="1"/>
        <v>0.12188990294516479</v>
      </c>
      <c r="T22" s="123">
        <f t="shared" si="2"/>
        <v>3.1264655307175238</v>
      </c>
      <c r="U22" s="123">
        <f t="shared" si="3"/>
        <v>-1.4358367625901347</v>
      </c>
      <c r="V22" s="123">
        <f t="shared" si="4"/>
        <v>-0.288245908349331</v>
      </c>
      <c r="W22" s="123">
        <f t="shared" si="5"/>
        <v>8.6057285466358768E-2</v>
      </c>
      <c r="X22" s="123">
        <f t="shared" si="6"/>
        <v>5.7034166317332401E-2</v>
      </c>
      <c r="Y22" s="123">
        <f t="shared" si="7"/>
        <v>1.3166409408099864</v>
      </c>
      <c r="Z22" s="123">
        <f t="shared" si="8"/>
        <v>0.29641765786934987</v>
      </c>
      <c r="AA22" s="123">
        <f t="shared" si="9"/>
        <v>0.10575345370006783</v>
      </c>
      <c r="AB22" s="123">
        <f t="shared" si="10"/>
        <v>0</v>
      </c>
      <c r="AC22" s="123">
        <f t="shared" si="11"/>
        <v>0</v>
      </c>
      <c r="AD22" s="123">
        <f t="shared" si="12"/>
        <v>-0.10911420001287549</v>
      </c>
      <c r="AE22" s="123">
        <f t="shared" si="13"/>
        <v>3.2770620668734427</v>
      </c>
      <c r="AF22" s="112"/>
      <c r="AG22" s="130">
        <f t="shared" si="14"/>
        <v>7.5967530660744648E-3</v>
      </c>
      <c r="AH22" s="130">
        <f t="shared" si="15"/>
        <v>0.15828602322385196</v>
      </c>
      <c r="AI22" s="130">
        <f t="shared" si="16"/>
        <v>-7.1659268482813523E-2</v>
      </c>
      <c r="AJ22" s="130">
        <f t="shared" si="17"/>
        <v>-1.0278711562576436E-2</v>
      </c>
      <c r="AK22" s="130">
        <f t="shared" si="18"/>
        <v>2.1095574218355337E-3</v>
      </c>
      <c r="AL22" s="130">
        <f t="shared" si="19"/>
        <v>1.8412372907196668E-3</v>
      </c>
      <c r="AM22" s="130">
        <f t="shared" si="20"/>
        <v>3.8188964840617991E-2</v>
      </c>
      <c r="AN22" s="130">
        <f t="shared" si="21"/>
        <v>1.1588773863060045E-2</v>
      </c>
      <c r="AO22" s="130">
        <f t="shared" si="22"/>
        <v>2.6369801939973027E-3</v>
      </c>
      <c r="AP22" s="130">
        <f t="shared" si="23"/>
        <v>0</v>
      </c>
      <c r="AQ22" s="130">
        <f t="shared" si="24"/>
        <v>0</v>
      </c>
      <c r="AR22" s="130">
        <f t="shared" si="25"/>
        <v>-4.172148511179424E-3</v>
      </c>
      <c r="AS22" s="130">
        <f t="shared" si="26"/>
        <v>8.9474631593023535E-3</v>
      </c>
      <c r="AU22" s="130">
        <f t="shared" si="27"/>
        <v>1.0712472546897235E-2</v>
      </c>
      <c r="AV22" s="130">
        <f t="shared" si="28"/>
        <v>1.7160834796467659E-2</v>
      </c>
      <c r="AW22" s="130">
        <f t="shared" si="29"/>
        <v>-9.8790583986306459E-4</v>
      </c>
      <c r="AX22" s="130">
        <f t="shared" si="30"/>
        <v>7.6430629857533565E-3</v>
      </c>
    </row>
    <row r="23" spans="1:50">
      <c r="A23" s="115" t="s">
        <v>4</v>
      </c>
      <c r="B23" s="115" t="s">
        <v>266</v>
      </c>
      <c r="C23" s="115" t="s">
        <v>267</v>
      </c>
      <c r="D23" s="128" t="s">
        <v>274</v>
      </c>
      <c r="E23" s="129">
        <v>0</v>
      </c>
      <c r="F23" s="129">
        <v>0</v>
      </c>
      <c r="G23" s="129">
        <v>0</v>
      </c>
      <c r="H23" s="129">
        <v>0</v>
      </c>
      <c r="I23" s="129">
        <v>5</v>
      </c>
      <c r="J23" s="129">
        <v>0</v>
      </c>
      <c r="K23" s="129">
        <v>0</v>
      </c>
      <c r="L23" s="129">
        <v>0</v>
      </c>
      <c r="M23" s="129">
        <v>0</v>
      </c>
      <c r="N23" s="129">
        <v>0</v>
      </c>
      <c r="O23" s="129">
        <v>0</v>
      </c>
      <c r="P23" s="129">
        <v>0</v>
      </c>
      <c r="Q23" s="129">
        <v>5</v>
      </c>
      <c r="R23" s="110"/>
      <c r="S23" s="123">
        <f t="shared" si="1"/>
        <v>0</v>
      </c>
      <c r="T23" s="123">
        <f t="shared" si="2"/>
        <v>0</v>
      </c>
      <c r="U23" s="123">
        <f t="shared" si="3"/>
        <v>0</v>
      </c>
      <c r="V23" s="123">
        <f t="shared" si="4"/>
        <v>0</v>
      </c>
      <c r="W23" s="123">
        <f t="shared" si="5"/>
        <v>0.14342880911059794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0</v>
      </c>
      <c r="AC23" s="123">
        <f t="shared" si="11"/>
        <v>0</v>
      </c>
      <c r="AD23" s="123">
        <f t="shared" si="12"/>
        <v>0</v>
      </c>
      <c r="AE23" s="123">
        <f t="shared" si="13"/>
        <v>0.14342880911059794</v>
      </c>
      <c r="AF23" s="112"/>
      <c r="AG23" s="130">
        <f t="shared" si="14"/>
        <v>0</v>
      </c>
      <c r="AH23" s="130">
        <f t="shared" si="15"/>
        <v>0</v>
      </c>
      <c r="AI23" s="130">
        <f t="shared" si="16"/>
        <v>0</v>
      </c>
      <c r="AJ23" s="130">
        <f t="shared" si="17"/>
        <v>0</v>
      </c>
      <c r="AK23" s="130">
        <f t="shared" si="18"/>
        <v>3.5159290363925562E-3</v>
      </c>
      <c r="AL23" s="130">
        <f t="shared" si="19"/>
        <v>0</v>
      </c>
      <c r="AM23" s="130">
        <f t="shared" si="20"/>
        <v>0</v>
      </c>
      <c r="AN23" s="130">
        <f t="shared" si="21"/>
        <v>0</v>
      </c>
      <c r="AO23" s="130">
        <f t="shared" si="22"/>
        <v>0</v>
      </c>
      <c r="AP23" s="130">
        <f t="shared" si="23"/>
        <v>0</v>
      </c>
      <c r="AQ23" s="130">
        <f t="shared" si="24"/>
        <v>0</v>
      </c>
      <c r="AR23" s="130">
        <f t="shared" si="25"/>
        <v>0</v>
      </c>
      <c r="AS23" s="130">
        <f t="shared" si="26"/>
        <v>3.9160808044263557E-4</v>
      </c>
      <c r="AU23" s="130">
        <f t="shared" si="27"/>
        <v>9.215006335528339E-4</v>
      </c>
      <c r="AV23" s="130">
        <f t="shared" si="28"/>
        <v>0</v>
      </c>
      <c r="AW23" s="130">
        <f t="shared" si="29"/>
        <v>0</v>
      </c>
      <c r="AX23" s="130">
        <f t="shared" si="30"/>
        <v>0</v>
      </c>
    </row>
    <row r="24" spans="1:50">
      <c r="A24" s="115" t="s">
        <v>4</v>
      </c>
      <c r="B24" s="115" t="s">
        <v>266</v>
      </c>
      <c r="C24" s="115" t="s">
        <v>271</v>
      </c>
      <c r="D24" s="128" t="s">
        <v>275</v>
      </c>
      <c r="E24" s="129">
        <v>551</v>
      </c>
      <c r="F24" s="129">
        <v>867</v>
      </c>
      <c r="G24" s="129">
        <v>806</v>
      </c>
      <c r="H24" s="129">
        <v>1016</v>
      </c>
      <c r="I24" s="129">
        <v>1205</v>
      </c>
      <c r="J24" s="129">
        <v>1068</v>
      </c>
      <c r="K24" s="129">
        <v>1199</v>
      </c>
      <c r="L24" s="129">
        <v>1156</v>
      </c>
      <c r="M24" s="129">
        <v>1237</v>
      </c>
      <c r="N24" s="129">
        <v>1240</v>
      </c>
      <c r="O24" s="129">
        <v>1173</v>
      </c>
      <c r="P24" s="129">
        <v>1230</v>
      </c>
      <c r="Q24" s="129">
        <v>12748</v>
      </c>
      <c r="R24" s="110"/>
      <c r="S24" s="123">
        <f t="shared" si="1"/>
        <v>16.790334130696451</v>
      </c>
      <c r="T24" s="123">
        <f t="shared" si="2"/>
        <v>26.063900145500895</v>
      </c>
      <c r="U24" s="123">
        <f t="shared" si="3"/>
        <v>23.145688612952974</v>
      </c>
      <c r="V24" s="123">
        <f t="shared" si="4"/>
        <v>29.285784288292028</v>
      </c>
      <c r="W24" s="123">
        <f t="shared" si="5"/>
        <v>34.566342995654104</v>
      </c>
      <c r="X24" s="123">
        <f t="shared" si="6"/>
        <v>30.456244813455502</v>
      </c>
      <c r="Y24" s="123">
        <f t="shared" si="7"/>
        <v>33.588350809173903</v>
      </c>
      <c r="Z24" s="123">
        <f t="shared" si="8"/>
        <v>31.150801136088042</v>
      </c>
      <c r="AA24" s="123">
        <f t="shared" si="9"/>
        <v>32.704255556745977</v>
      </c>
      <c r="AB24" s="123">
        <f t="shared" si="10"/>
        <v>33.201856929100643</v>
      </c>
      <c r="AC24" s="123">
        <f t="shared" si="11"/>
        <v>32.028440599939387</v>
      </c>
      <c r="AD24" s="123">
        <f t="shared" si="12"/>
        <v>33.552616503959207</v>
      </c>
      <c r="AE24" s="123">
        <f t="shared" si="13"/>
        <v>356.53461652155914</v>
      </c>
      <c r="AF24" s="112"/>
      <c r="AG24" s="130">
        <f t="shared" si="14"/>
        <v>1.0464527348517576</v>
      </c>
      <c r="AH24" s="130">
        <f t="shared" si="15"/>
        <v>1.3195575205296119</v>
      </c>
      <c r="AI24" s="130">
        <f t="shared" si="16"/>
        <v>1.1551474079429542</v>
      </c>
      <c r="AJ24" s="130">
        <f t="shared" si="17"/>
        <v>1.0443170947577658</v>
      </c>
      <c r="AK24" s="130">
        <f t="shared" si="18"/>
        <v>0.847338897770606</v>
      </c>
      <c r="AL24" s="130">
        <f t="shared" si="19"/>
        <v>0.98322071324430205</v>
      </c>
      <c r="AM24" s="130">
        <f t="shared" si="20"/>
        <v>0.97422486901916949</v>
      </c>
      <c r="AN24" s="130">
        <f t="shared" si="21"/>
        <v>1.2178747805179466</v>
      </c>
      <c r="AO24" s="130">
        <f t="shared" si="22"/>
        <v>0.81548612499366591</v>
      </c>
      <c r="AP24" s="130">
        <f t="shared" si="23"/>
        <v>0.80612467354021033</v>
      </c>
      <c r="AQ24" s="130">
        <f t="shared" si="24"/>
        <v>0.74294689399070712</v>
      </c>
      <c r="AR24" s="130">
        <f t="shared" si="25"/>
        <v>1.2829356671876728</v>
      </c>
      <c r="AS24" s="130">
        <f t="shared" si="26"/>
        <v>0.97345740826514549</v>
      </c>
      <c r="AU24" s="130">
        <f t="shared" si="27"/>
        <v>1.0299478627056864</v>
      </c>
      <c r="AV24" s="130">
        <f t="shared" si="28"/>
        <v>0.97288718439688815</v>
      </c>
      <c r="AW24" s="130">
        <f t="shared" si="29"/>
        <v>0.89436771419646199</v>
      </c>
      <c r="AX24" s="130">
        <f t="shared" si="30"/>
        <v>0.93170909854283124</v>
      </c>
    </row>
    <row r="25" spans="1:50">
      <c r="A25" s="115" t="s">
        <v>4</v>
      </c>
      <c r="B25" s="115" t="s">
        <v>266</v>
      </c>
      <c r="C25" s="115" t="s">
        <v>271</v>
      </c>
      <c r="D25" s="128" t="s">
        <v>276</v>
      </c>
      <c r="E25" s="129">
        <v>383</v>
      </c>
      <c r="F25" s="129">
        <v>383</v>
      </c>
      <c r="G25" s="129">
        <v>574</v>
      </c>
      <c r="H25" s="129">
        <v>861</v>
      </c>
      <c r="I25" s="129">
        <v>388</v>
      </c>
      <c r="J25" s="129">
        <v>383</v>
      </c>
      <c r="K25" s="129">
        <v>400</v>
      </c>
      <c r="L25" s="129">
        <v>383</v>
      </c>
      <c r="M25" s="129">
        <v>389</v>
      </c>
      <c r="N25" s="129">
        <v>1734</v>
      </c>
      <c r="O25" s="129">
        <v>50</v>
      </c>
      <c r="P25" s="129">
        <v>24</v>
      </c>
      <c r="Q25" s="129">
        <v>5952</v>
      </c>
      <c r="R25" s="110"/>
      <c r="S25" s="123">
        <f t="shared" si="1"/>
        <v>11.670958206999529</v>
      </c>
      <c r="T25" s="123">
        <f t="shared" si="2"/>
        <v>11.513810560238573</v>
      </c>
      <c r="U25" s="123">
        <f t="shared" si="3"/>
        <v>16.483406034534749</v>
      </c>
      <c r="V25" s="123">
        <f t="shared" si="4"/>
        <v>24.817972708877399</v>
      </c>
      <c r="W25" s="123">
        <f t="shared" si="5"/>
        <v>11.1300755869824</v>
      </c>
      <c r="X25" s="123">
        <f t="shared" si="6"/>
        <v>10.922042849769156</v>
      </c>
      <c r="Y25" s="123">
        <f t="shared" si="7"/>
        <v>11.205454815404138</v>
      </c>
      <c r="Z25" s="123">
        <f t="shared" si="8"/>
        <v>10.320723905814637</v>
      </c>
      <c r="AA25" s="123">
        <f t="shared" si="9"/>
        <v>10.284523372331597</v>
      </c>
      <c r="AB25" s="123">
        <f t="shared" si="10"/>
        <v>46.429048318597189</v>
      </c>
      <c r="AC25" s="123">
        <f t="shared" si="11"/>
        <v>1.3652361722054298</v>
      </c>
      <c r="AD25" s="123">
        <f t="shared" si="12"/>
        <v>0.65468520007725284</v>
      </c>
      <c r="AE25" s="123">
        <f t="shared" si="13"/>
        <v>166.79793773183204</v>
      </c>
      <c r="AF25" s="112"/>
      <c r="AG25" s="130">
        <f t="shared" si="14"/>
        <v>0.72738910607662999</v>
      </c>
      <c r="AH25" s="130">
        <f t="shared" si="15"/>
        <v>0.58291872014168555</v>
      </c>
      <c r="AI25" s="130">
        <f t="shared" si="16"/>
        <v>0.82264840218269952</v>
      </c>
      <c r="AJ25" s="130">
        <f t="shared" si="17"/>
        <v>0.88499706553783108</v>
      </c>
      <c r="AK25" s="130">
        <f t="shared" si="18"/>
        <v>0.27283609322406238</v>
      </c>
      <c r="AL25" s="130">
        <f t="shared" si="19"/>
        <v>0.3525969411728162</v>
      </c>
      <c r="AM25" s="130">
        <f t="shared" si="20"/>
        <v>0.32501246672866368</v>
      </c>
      <c r="AN25" s="130">
        <f t="shared" si="21"/>
        <v>0.40350003541381801</v>
      </c>
      <c r="AO25" s="130">
        <f t="shared" si="22"/>
        <v>0.25644632386623767</v>
      </c>
      <c r="AP25" s="130">
        <f t="shared" si="23"/>
        <v>1.1272743418699394</v>
      </c>
      <c r="AQ25" s="130">
        <f t="shared" si="24"/>
        <v>3.1668665558001151E-2</v>
      </c>
      <c r="AR25" s="130">
        <f t="shared" si="25"/>
        <v>2.5032891067076544E-2</v>
      </c>
      <c r="AS25" s="130">
        <f t="shared" si="26"/>
        <v>0.45541352969461807</v>
      </c>
      <c r="AU25" s="130">
        <f t="shared" si="27"/>
        <v>0.55599058091323195</v>
      </c>
      <c r="AV25" s="130">
        <f t="shared" si="28"/>
        <v>0.3176020337019177</v>
      </c>
      <c r="AW25" s="130">
        <f t="shared" si="29"/>
        <v>0.43865069887623237</v>
      </c>
      <c r="AX25" s="130">
        <f t="shared" si="30"/>
        <v>0.38108377032524848</v>
      </c>
    </row>
    <row r="26" spans="1:50">
      <c r="A26" s="115" t="s">
        <v>4</v>
      </c>
      <c r="B26" s="115" t="s">
        <v>266</v>
      </c>
      <c r="C26" s="115" t="s">
        <v>267</v>
      </c>
      <c r="D26" s="128" t="s">
        <v>277</v>
      </c>
      <c r="E26" s="129">
        <v>19</v>
      </c>
      <c r="F26" s="129">
        <v>19</v>
      </c>
      <c r="G26" s="129">
        <v>20</v>
      </c>
      <c r="H26" s="129">
        <v>19</v>
      </c>
      <c r="I26" s="129">
        <v>19</v>
      </c>
      <c r="J26" s="129">
        <v>19</v>
      </c>
      <c r="K26" s="129">
        <v>19</v>
      </c>
      <c r="L26" s="129">
        <v>19</v>
      </c>
      <c r="M26" s="129">
        <v>19</v>
      </c>
      <c r="N26" s="129">
        <v>19</v>
      </c>
      <c r="O26" s="129">
        <v>19</v>
      </c>
      <c r="P26" s="129">
        <v>-209</v>
      </c>
      <c r="Q26" s="129">
        <v>1</v>
      </c>
      <c r="R26" s="110"/>
      <c r="S26" s="123">
        <f t="shared" si="1"/>
        <v>0.57897703898953279</v>
      </c>
      <c r="T26" s="123">
        <f t="shared" si="2"/>
        <v>0.57118120272723993</v>
      </c>
      <c r="U26" s="123">
        <f t="shared" si="3"/>
        <v>0.57433470503605388</v>
      </c>
      <c r="V26" s="123">
        <f t="shared" si="4"/>
        <v>0.54766722586372885</v>
      </c>
      <c r="W26" s="123">
        <f t="shared" si="5"/>
        <v>0.54502947462027218</v>
      </c>
      <c r="X26" s="123">
        <f t="shared" si="6"/>
        <v>0.54182458001465783</v>
      </c>
      <c r="Y26" s="123">
        <f t="shared" si="7"/>
        <v>0.5322591037316966</v>
      </c>
      <c r="Z26" s="123">
        <f t="shared" si="8"/>
        <v>0.51199413631978619</v>
      </c>
      <c r="AA26" s="123">
        <f t="shared" si="9"/>
        <v>0.50232890507532213</v>
      </c>
      <c r="AB26" s="123">
        <f t="shared" si="10"/>
        <v>0.50873813036525173</v>
      </c>
      <c r="AC26" s="123">
        <f t="shared" si="11"/>
        <v>0.51878974543806333</v>
      </c>
      <c r="AD26" s="123">
        <f t="shared" si="12"/>
        <v>-5.7012169506727437</v>
      </c>
      <c r="AE26" s="123">
        <f t="shared" si="13"/>
        <v>0.23190729750886252</v>
      </c>
      <c r="AF26" s="112"/>
      <c r="AG26" s="130">
        <f t="shared" si="14"/>
        <v>3.6084577063853714E-2</v>
      </c>
      <c r="AH26" s="130">
        <f t="shared" si="15"/>
        <v>2.8917638858203722E-2</v>
      </c>
      <c r="AI26" s="130">
        <f t="shared" si="16"/>
        <v>2.8663707393125411E-2</v>
      </c>
      <c r="AJ26" s="130">
        <f t="shared" si="17"/>
        <v>1.9529551968895227E-2</v>
      </c>
      <c r="AK26" s="130">
        <f t="shared" si="18"/>
        <v>1.3360530338291713E-2</v>
      </c>
      <c r="AL26" s="130">
        <f t="shared" si="19"/>
        <v>1.7491754261836835E-2</v>
      </c>
      <c r="AM26" s="130">
        <f t="shared" si="20"/>
        <v>1.5438092169611528E-2</v>
      </c>
      <c r="AN26" s="130">
        <f t="shared" si="21"/>
        <v>2.0016973036194628E-2</v>
      </c>
      <c r="AO26" s="130">
        <f t="shared" si="22"/>
        <v>1.2525655921487187E-2</v>
      </c>
      <c r="AP26" s="130">
        <f t="shared" si="23"/>
        <v>1.235191032037419E-2</v>
      </c>
      <c r="AQ26" s="130">
        <f t="shared" si="24"/>
        <v>1.2034092912040438E-2</v>
      </c>
      <c r="AR26" s="130">
        <f t="shared" si="25"/>
        <v>-0.21799475970912494</v>
      </c>
      <c r="AS26" s="130">
        <f t="shared" si="26"/>
        <v>6.3318361339844949E-4</v>
      </c>
      <c r="AU26" s="130">
        <f t="shared" si="27"/>
        <v>2.1580976358371737E-2</v>
      </c>
      <c r="AV26" s="130">
        <f t="shared" si="28"/>
        <v>1.5441269832234797E-2</v>
      </c>
      <c r="AW26" s="130">
        <f t="shared" si="29"/>
        <v>-4.2314975779714152E-2</v>
      </c>
      <c r="AX26" s="130">
        <f t="shared" si="30"/>
        <v>-1.4847926393186538E-2</v>
      </c>
    </row>
    <row r="27" spans="1:50">
      <c r="A27" s="115" t="s">
        <v>4</v>
      </c>
      <c r="B27" s="115" t="s">
        <v>266</v>
      </c>
      <c r="C27" s="115" t="s">
        <v>271</v>
      </c>
      <c r="D27" s="128" t="s">
        <v>278</v>
      </c>
      <c r="E27" s="129">
        <v>0</v>
      </c>
      <c r="F27" s="129">
        <v>2</v>
      </c>
      <c r="G27" s="129">
        <v>0</v>
      </c>
      <c r="H27" s="129">
        <v>0</v>
      </c>
      <c r="I27" s="129">
        <v>0</v>
      </c>
      <c r="J27" s="129">
        <v>4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129">
        <v>0</v>
      </c>
      <c r="Q27" s="129">
        <v>6</v>
      </c>
      <c r="R27" s="110"/>
      <c r="S27" s="123">
        <f t="shared" si="1"/>
        <v>0</v>
      </c>
      <c r="T27" s="123">
        <f t="shared" si="2"/>
        <v>6.012433712918315E-2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0.1140683326346648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0</v>
      </c>
      <c r="AC27" s="123">
        <f t="shared" si="11"/>
        <v>0</v>
      </c>
      <c r="AD27" s="123">
        <f t="shared" si="12"/>
        <v>0</v>
      </c>
      <c r="AE27" s="123">
        <f t="shared" si="13"/>
        <v>0.17419266976384795</v>
      </c>
      <c r="AF27" s="112"/>
      <c r="AG27" s="130">
        <f t="shared" si="14"/>
        <v>0</v>
      </c>
      <c r="AH27" s="130">
        <f t="shared" si="15"/>
        <v>3.0439619850740761E-3</v>
      </c>
      <c r="AI27" s="130">
        <f t="shared" si="16"/>
        <v>0</v>
      </c>
      <c r="AJ27" s="130">
        <f t="shared" si="17"/>
        <v>0</v>
      </c>
      <c r="AK27" s="130">
        <f t="shared" si="18"/>
        <v>0</v>
      </c>
      <c r="AL27" s="130">
        <f t="shared" si="19"/>
        <v>3.6824745814393336E-3</v>
      </c>
      <c r="AM27" s="130">
        <f t="shared" si="20"/>
        <v>0</v>
      </c>
      <c r="AN27" s="130">
        <f t="shared" si="21"/>
        <v>0</v>
      </c>
      <c r="AO27" s="130">
        <f t="shared" si="22"/>
        <v>0</v>
      </c>
      <c r="AP27" s="130">
        <f t="shared" si="23"/>
        <v>0</v>
      </c>
      <c r="AQ27" s="130">
        <f t="shared" si="24"/>
        <v>0</v>
      </c>
      <c r="AR27" s="130">
        <f t="shared" si="25"/>
        <v>0</v>
      </c>
      <c r="AS27" s="130">
        <f t="shared" si="26"/>
        <v>4.7560359356255724E-4</v>
      </c>
      <c r="AU27" s="130">
        <f t="shared" si="27"/>
        <v>1.1191521183437391E-3</v>
      </c>
      <c r="AV27" s="130">
        <f t="shared" si="28"/>
        <v>0</v>
      </c>
      <c r="AW27" s="130">
        <f t="shared" si="29"/>
        <v>0</v>
      </c>
      <c r="AX27" s="130">
        <f t="shared" si="30"/>
        <v>0</v>
      </c>
    </row>
    <row r="28" spans="1:50">
      <c r="A28" s="115" t="s">
        <v>4</v>
      </c>
      <c r="B28" s="115" t="s">
        <v>266</v>
      </c>
      <c r="C28" s="115" t="s">
        <v>267</v>
      </c>
      <c r="D28" s="128" t="s">
        <v>279</v>
      </c>
      <c r="E28" s="129">
        <v>242</v>
      </c>
      <c r="F28" s="129">
        <v>372</v>
      </c>
      <c r="G28" s="129">
        <v>235</v>
      </c>
      <c r="H28" s="129">
        <v>97</v>
      </c>
      <c r="I28" s="129">
        <v>242</v>
      </c>
      <c r="J28" s="129">
        <v>119</v>
      </c>
      <c r="K28" s="129">
        <v>129</v>
      </c>
      <c r="L28" s="129">
        <v>198</v>
      </c>
      <c r="M28" s="129">
        <v>158</v>
      </c>
      <c r="N28" s="129">
        <v>235</v>
      </c>
      <c r="O28" s="129">
        <v>145</v>
      </c>
      <c r="P28" s="129">
        <v>27</v>
      </c>
      <c r="Q28" s="129">
        <v>2199</v>
      </c>
      <c r="R28" s="110"/>
      <c r="S28" s="123">
        <f t="shared" si="1"/>
        <v>7.3743391281824699</v>
      </c>
      <c r="T28" s="123">
        <f t="shared" si="2"/>
        <v>11.183126706028066</v>
      </c>
      <c r="U28" s="123">
        <f t="shared" si="3"/>
        <v>6.7484327841736338</v>
      </c>
      <c r="V28" s="123">
        <f t="shared" si="4"/>
        <v>2.7959853109885104</v>
      </c>
      <c r="W28" s="123">
        <f t="shared" si="5"/>
        <v>6.9419543609529404</v>
      </c>
      <c r="X28" s="123">
        <f t="shared" si="6"/>
        <v>3.393532895881278</v>
      </c>
      <c r="Y28" s="123">
        <f t="shared" si="7"/>
        <v>3.6137591779678346</v>
      </c>
      <c r="Z28" s="123">
        <f t="shared" si="8"/>
        <v>5.335517841648298</v>
      </c>
      <c r="AA28" s="123">
        <f t="shared" si="9"/>
        <v>4.1772614211526795</v>
      </c>
      <c r="AB28" s="123">
        <f t="shared" si="10"/>
        <v>6.2922874018860089</v>
      </c>
      <c r="AC28" s="123">
        <f t="shared" si="11"/>
        <v>3.9591848993957464</v>
      </c>
      <c r="AD28" s="123">
        <f t="shared" si="12"/>
        <v>0.73652085008690948</v>
      </c>
      <c r="AE28" s="123">
        <f t="shared" si="13"/>
        <v>62.55190277834437</v>
      </c>
      <c r="AF28" s="112"/>
      <c r="AG28" s="130">
        <f t="shared" si="14"/>
        <v>0.45960356049750511</v>
      </c>
      <c r="AH28" s="130">
        <f t="shared" si="15"/>
        <v>0.56617692922377816</v>
      </c>
      <c r="AI28" s="130">
        <f t="shared" si="16"/>
        <v>0.33679856186922363</v>
      </c>
      <c r="AJ28" s="130">
        <f t="shared" si="17"/>
        <v>9.9703502156991419E-2</v>
      </c>
      <c r="AK28" s="130">
        <f t="shared" si="18"/>
        <v>0.17017096536139972</v>
      </c>
      <c r="AL28" s="130">
        <f t="shared" si="19"/>
        <v>0.10955361879782018</v>
      </c>
      <c r="AM28" s="130">
        <f t="shared" si="20"/>
        <v>0.10481652051999404</v>
      </c>
      <c r="AN28" s="130">
        <f t="shared" si="21"/>
        <v>0.20859792953508083</v>
      </c>
      <c r="AO28" s="130">
        <f t="shared" si="22"/>
        <v>0.10416071766289348</v>
      </c>
      <c r="AP28" s="130">
        <f t="shared" si="23"/>
        <v>0.15277362764673341</v>
      </c>
      <c r="AQ28" s="130">
        <f t="shared" si="24"/>
        <v>9.1839130118203355E-2</v>
      </c>
      <c r="AR28" s="130">
        <f t="shared" si="25"/>
        <v>2.8162002450461115E-2</v>
      </c>
      <c r="AS28" s="130">
        <f t="shared" si="26"/>
        <v>0.17078738035238841</v>
      </c>
      <c r="AU28" s="130">
        <f t="shared" si="27"/>
        <v>0.24695221357435027</v>
      </c>
      <c r="AV28" s="130">
        <f t="shared" si="28"/>
        <v>0.13105700377169111</v>
      </c>
      <c r="AW28" s="130">
        <f t="shared" si="29"/>
        <v>9.9483867373188442E-2</v>
      </c>
      <c r="AX28" s="130">
        <f t="shared" si="30"/>
        <v>0.11449905555858236</v>
      </c>
    </row>
    <row r="29" spans="1:50">
      <c r="A29" s="115" t="s">
        <v>4</v>
      </c>
      <c r="B29" s="115" t="s">
        <v>266</v>
      </c>
      <c r="C29" s="115" t="s">
        <v>267</v>
      </c>
      <c r="D29" s="128" t="s">
        <v>280</v>
      </c>
      <c r="E29" s="129">
        <v>81</v>
      </c>
      <c r="F29" s="129">
        <v>61</v>
      </c>
      <c r="G29" s="129">
        <v>62</v>
      </c>
      <c r="H29" s="129">
        <v>47</v>
      </c>
      <c r="I29" s="129">
        <v>87</v>
      </c>
      <c r="J29" s="129">
        <v>26</v>
      </c>
      <c r="K29" s="129">
        <v>51</v>
      </c>
      <c r="L29" s="129">
        <v>53</v>
      </c>
      <c r="M29" s="129">
        <v>42</v>
      </c>
      <c r="N29" s="129">
        <v>39</v>
      </c>
      <c r="O29" s="129">
        <v>41</v>
      </c>
      <c r="P29" s="129">
        <v>37</v>
      </c>
      <c r="Q29" s="129">
        <v>627</v>
      </c>
      <c r="R29" s="110"/>
      <c r="S29" s="123">
        <f t="shared" si="1"/>
        <v>2.4682705346395868</v>
      </c>
      <c r="T29" s="123">
        <f t="shared" si="2"/>
        <v>1.8337922824400861</v>
      </c>
      <c r="U29" s="123">
        <f t="shared" si="3"/>
        <v>1.7804375856117671</v>
      </c>
      <c r="V29" s="123">
        <f t="shared" si="4"/>
        <v>1.3547557692418557</v>
      </c>
      <c r="W29" s="123">
        <f t="shared" si="5"/>
        <v>2.4956612785244041</v>
      </c>
      <c r="X29" s="123">
        <f t="shared" si="6"/>
        <v>0.74144416212532127</v>
      </c>
      <c r="Y29" s="123">
        <f t="shared" si="7"/>
        <v>1.4286954889640278</v>
      </c>
      <c r="Z29" s="123">
        <f t="shared" si="8"/>
        <v>1.4281941697341403</v>
      </c>
      <c r="AA29" s="123">
        <f t="shared" si="9"/>
        <v>1.1104112638507122</v>
      </c>
      <c r="AB29" s="123">
        <f t="shared" si="10"/>
        <v>1.044251951802359</v>
      </c>
      <c r="AC29" s="123">
        <f t="shared" si="11"/>
        <v>1.1194936612084525</v>
      </c>
      <c r="AD29" s="123">
        <f t="shared" si="12"/>
        <v>1.0093063501190982</v>
      </c>
      <c r="AE29" s="123">
        <f t="shared" si="13"/>
        <v>17.814714498261811</v>
      </c>
      <c r="AF29" s="112"/>
      <c r="AG29" s="130">
        <f t="shared" si="14"/>
        <v>0.1538342495880079</v>
      </c>
      <c r="AH29" s="130">
        <f t="shared" si="15"/>
        <v>9.2840840544759329E-2</v>
      </c>
      <c r="AI29" s="130">
        <f t="shared" si="16"/>
        <v>8.8857492918688788E-2</v>
      </c>
      <c r="AJ29" s="130">
        <f t="shared" si="17"/>
        <v>4.8309944344109249E-2</v>
      </c>
      <c r="AK29" s="130">
        <f t="shared" si="18"/>
        <v>6.1177165233230482E-2</v>
      </c>
      <c r="AL29" s="130">
        <f t="shared" si="19"/>
        <v>2.3936084779355674E-2</v>
      </c>
      <c r="AM29" s="130">
        <f t="shared" si="20"/>
        <v>4.1439089507904626E-2</v>
      </c>
      <c r="AN29" s="130">
        <f t="shared" si="21"/>
        <v>5.5836819522016592E-2</v>
      </c>
      <c r="AO29" s="130">
        <f t="shared" si="22"/>
        <v>2.7688292036971679E-2</v>
      </c>
      <c r="AP29" s="130">
        <f t="shared" si="23"/>
        <v>2.535392118392597E-2</v>
      </c>
      <c r="AQ29" s="130">
        <f t="shared" si="24"/>
        <v>2.5968305757560949E-2</v>
      </c>
      <c r="AR29" s="130">
        <f t="shared" si="25"/>
        <v>3.8592373728409672E-2</v>
      </c>
      <c r="AS29" s="130">
        <f t="shared" si="26"/>
        <v>4.8640061864547779E-2</v>
      </c>
      <c r="AU29" s="130">
        <f t="shared" si="27"/>
        <v>6.8580580496784518E-2</v>
      </c>
      <c r="AV29" s="130">
        <f t="shared" si="28"/>
        <v>3.961002927893529E-2</v>
      </c>
      <c r="AW29" s="130">
        <f t="shared" si="29"/>
        <v>2.8728401658034492E-2</v>
      </c>
      <c r="AX29" s="130">
        <f t="shared" si="30"/>
        <v>3.3903360662074215E-2</v>
      </c>
    </row>
    <row r="30" spans="1:50">
      <c r="A30" s="115" t="s">
        <v>4</v>
      </c>
      <c r="B30" s="115" t="s">
        <v>266</v>
      </c>
      <c r="C30" s="115" t="s">
        <v>271</v>
      </c>
      <c r="D30" s="128" t="s">
        <v>281</v>
      </c>
      <c r="E30" s="129">
        <v>1077</v>
      </c>
      <c r="F30" s="129">
        <v>978</v>
      </c>
      <c r="G30" s="129">
        <v>1176</v>
      </c>
      <c r="H30" s="129">
        <v>1077</v>
      </c>
      <c r="I30" s="129">
        <v>1077</v>
      </c>
      <c r="J30" s="129">
        <v>1077</v>
      </c>
      <c r="K30" s="129">
        <v>1077</v>
      </c>
      <c r="L30" s="129">
        <v>-242</v>
      </c>
      <c r="M30" s="129">
        <v>127</v>
      </c>
      <c r="N30" s="129">
        <v>1077</v>
      </c>
      <c r="O30" s="129">
        <v>1077</v>
      </c>
      <c r="P30" s="129">
        <v>1343</v>
      </c>
      <c r="Q30" s="129">
        <v>10921</v>
      </c>
      <c r="R30" s="110"/>
      <c r="S30" s="123">
        <f t="shared" si="1"/>
        <v>32.818856367985617</v>
      </c>
      <c r="T30" s="123">
        <f t="shared" si="2"/>
        <v>29.400800856170559</v>
      </c>
      <c r="U30" s="123">
        <f t="shared" si="3"/>
        <v>33.770880656119971</v>
      </c>
      <c r="V30" s="123">
        <f t="shared" si="4"/>
        <v>31.044084329222947</v>
      </c>
      <c r="W30" s="123">
        <f t="shared" si="5"/>
        <v>30.894565482422799</v>
      </c>
      <c r="X30" s="123">
        <f t="shared" si="6"/>
        <v>30.712898561883499</v>
      </c>
      <c r="Y30" s="123">
        <f t="shared" si="7"/>
        <v>30.170687090475646</v>
      </c>
      <c r="Z30" s="123">
        <f t="shared" si="8"/>
        <v>-6.5211884731256973</v>
      </c>
      <c r="AA30" s="123">
        <f t="shared" si="9"/>
        <v>3.3576721549771533</v>
      </c>
      <c r="AB30" s="123">
        <f t="shared" si="10"/>
        <v>28.837419284388218</v>
      </c>
      <c r="AC30" s="123">
        <f t="shared" si="11"/>
        <v>29.40718714930496</v>
      </c>
      <c r="AD30" s="123">
        <f t="shared" si="12"/>
        <v>36.635092654322946</v>
      </c>
      <c r="AE30" s="123">
        <f t="shared" si="13"/>
        <v>310.52895611414857</v>
      </c>
      <c r="AF30" s="112"/>
      <c r="AG30" s="130">
        <f t="shared" si="14"/>
        <v>2.0454257630405492</v>
      </c>
      <c r="AH30" s="130">
        <f t="shared" si="15"/>
        <v>1.488497410701223</v>
      </c>
      <c r="AI30" s="130">
        <f t="shared" si="16"/>
        <v>1.6854259947157746</v>
      </c>
      <c r="AJ30" s="130">
        <f t="shared" si="17"/>
        <v>1.107017235289482</v>
      </c>
      <c r="AK30" s="130">
        <f t="shared" si="18"/>
        <v>0.75733111443895673</v>
      </c>
      <c r="AL30" s="130">
        <f t="shared" si="19"/>
        <v>0.99150628105254068</v>
      </c>
      <c r="AM30" s="130">
        <f t="shared" si="20"/>
        <v>0.87509606666692719</v>
      </c>
      <c r="AN30" s="130">
        <f t="shared" si="21"/>
        <v>-0.25495302498732103</v>
      </c>
      <c r="AO30" s="130">
        <f t="shared" si="22"/>
        <v>8.3724121159414355E-2</v>
      </c>
      <c r="AP30" s="130">
        <f t="shared" si="23"/>
        <v>0.70015828500226329</v>
      </c>
      <c r="AQ30" s="130">
        <f t="shared" si="24"/>
        <v>0.68214305611934489</v>
      </c>
      <c r="AR30" s="130">
        <f t="shared" si="25"/>
        <v>1.4007988626284917</v>
      </c>
      <c r="AS30" s="130">
        <f t="shared" si="26"/>
        <v>0.84784674138894256</v>
      </c>
      <c r="AU30" s="130">
        <f t="shared" si="27"/>
        <v>1.2119866509075368</v>
      </c>
      <c r="AV30" s="130">
        <f t="shared" si="28"/>
        <v>0.26964297539239712</v>
      </c>
      <c r="AW30" s="130">
        <f t="shared" si="29"/>
        <v>0.85902851143518444</v>
      </c>
      <c r="AX30" s="130">
        <f t="shared" si="30"/>
        <v>0.57873533353438467</v>
      </c>
    </row>
    <row r="31" spans="1:50">
      <c r="A31" s="115" t="s">
        <v>4</v>
      </c>
      <c r="B31" s="115" t="s">
        <v>266</v>
      </c>
      <c r="C31" s="115" t="s">
        <v>271</v>
      </c>
      <c r="D31" s="128" t="s">
        <v>282</v>
      </c>
      <c r="E31" s="129">
        <v>688</v>
      </c>
      <c r="F31" s="129">
        <v>688</v>
      </c>
      <c r="G31" s="129">
        <v>633</v>
      </c>
      <c r="H31" s="129">
        <v>763</v>
      </c>
      <c r="I31" s="129">
        <v>688</v>
      </c>
      <c r="J31" s="129">
        <v>683</v>
      </c>
      <c r="K31" s="129">
        <v>700</v>
      </c>
      <c r="L31" s="129">
        <v>-470</v>
      </c>
      <c r="M31" s="129">
        <v>-72</v>
      </c>
      <c r="N31" s="129">
        <v>725</v>
      </c>
      <c r="O31" s="129">
        <v>688</v>
      </c>
      <c r="P31" s="129">
        <v>20</v>
      </c>
      <c r="Q31" s="129">
        <v>5734</v>
      </c>
      <c r="R31" s="110"/>
      <c r="S31" s="123">
        <f t="shared" si="1"/>
        <v>20.965063306568343</v>
      </c>
      <c r="T31" s="123">
        <f t="shared" si="2"/>
        <v>20.682771972439003</v>
      </c>
      <c r="U31" s="123">
        <f t="shared" si="3"/>
        <v>18.177693414391108</v>
      </c>
      <c r="V31" s="123">
        <f t="shared" si="4"/>
        <v>21.993162807053956</v>
      </c>
      <c r="W31" s="123">
        <f t="shared" si="5"/>
        <v>19.735804133618277</v>
      </c>
      <c r="X31" s="123">
        <f t="shared" si="6"/>
        <v>19.477167797369017</v>
      </c>
      <c r="Y31" s="123">
        <f t="shared" si="7"/>
        <v>19.609545926957242</v>
      </c>
      <c r="Z31" s="123">
        <f t="shared" si="8"/>
        <v>-12.665118108963132</v>
      </c>
      <c r="AA31" s="123">
        <f t="shared" si="9"/>
        <v>-1.9035621666012208</v>
      </c>
      <c r="AB31" s="123">
        <f t="shared" si="10"/>
        <v>19.412376027095132</v>
      </c>
      <c r="AC31" s="123">
        <f t="shared" si="11"/>
        <v>18.785649729546716</v>
      </c>
      <c r="AD31" s="123">
        <f t="shared" si="12"/>
        <v>0.54557100006437742</v>
      </c>
      <c r="AE31" s="123">
        <f t="shared" si="13"/>
        <v>164.81612583953884</v>
      </c>
      <c r="AF31" s="112"/>
      <c r="AG31" s="130">
        <f t="shared" si="14"/>
        <v>1.306641527364808</v>
      </c>
      <c r="AH31" s="130">
        <f t="shared" si="15"/>
        <v>1.0471229228654821</v>
      </c>
      <c r="AI31" s="130">
        <f t="shared" si="16"/>
        <v>0.90720633899241954</v>
      </c>
      <c r="AJ31" s="130">
        <f t="shared" si="17"/>
        <v>0.78426569222458209</v>
      </c>
      <c r="AK31" s="130">
        <f t="shared" si="18"/>
        <v>0.48379183540761572</v>
      </c>
      <c r="AL31" s="130">
        <f t="shared" si="19"/>
        <v>0.62878253478076629</v>
      </c>
      <c r="AM31" s="130">
        <f t="shared" si="20"/>
        <v>0.56877181677516142</v>
      </c>
      <c r="AN31" s="130">
        <f t="shared" si="21"/>
        <v>-0.49515670142165658</v>
      </c>
      <c r="AO31" s="130">
        <f t="shared" si="22"/>
        <v>-4.7465643491951447E-2</v>
      </c>
      <c r="AP31" s="130">
        <f t="shared" si="23"/>
        <v>0.47132289380375197</v>
      </c>
      <c r="AQ31" s="130">
        <f t="shared" si="24"/>
        <v>0.43576083807809596</v>
      </c>
      <c r="AR31" s="130">
        <f t="shared" si="25"/>
        <v>2.0860742555897125E-2</v>
      </c>
      <c r="AS31" s="130">
        <f t="shared" si="26"/>
        <v>0.45000252784811401</v>
      </c>
      <c r="AU31" s="130">
        <f t="shared" si="27"/>
        <v>0.77760357367273192</v>
      </c>
      <c r="AV31" s="130">
        <f t="shared" si="28"/>
        <v>5.0328633985891338E-2</v>
      </c>
      <c r="AW31" s="130">
        <f t="shared" si="29"/>
        <v>0.35077950888824105</v>
      </c>
      <c r="AX31" s="130">
        <f t="shared" si="30"/>
        <v>0.20789454585558598</v>
      </c>
    </row>
    <row r="32" spans="1:50">
      <c r="A32" s="115" t="s">
        <v>4</v>
      </c>
      <c r="B32" s="115" t="s">
        <v>266</v>
      </c>
      <c r="C32" s="115" t="s">
        <v>267</v>
      </c>
      <c r="D32" s="128" t="s">
        <v>283</v>
      </c>
      <c r="E32" s="129">
        <v>208</v>
      </c>
      <c r="F32" s="129">
        <v>237</v>
      </c>
      <c r="G32" s="129">
        <v>274</v>
      </c>
      <c r="H32" s="129">
        <v>316</v>
      </c>
      <c r="I32" s="129">
        <v>240</v>
      </c>
      <c r="J32" s="129">
        <v>198</v>
      </c>
      <c r="K32" s="129">
        <v>230</v>
      </c>
      <c r="L32" s="129">
        <v>260</v>
      </c>
      <c r="M32" s="129">
        <v>270</v>
      </c>
      <c r="N32" s="129">
        <v>304</v>
      </c>
      <c r="O32" s="129">
        <v>334</v>
      </c>
      <c r="P32" s="129">
        <v>342</v>
      </c>
      <c r="Q32" s="129">
        <v>3213</v>
      </c>
      <c r="R32" s="110"/>
      <c r="S32" s="123">
        <f t="shared" si="1"/>
        <v>6.3382749531485691</v>
      </c>
      <c r="T32" s="123">
        <f t="shared" si="2"/>
        <v>7.1247339498082027</v>
      </c>
      <c r="U32" s="123">
        <f t="shared" si="3"/>
        <v>7.8683854589939388</v>
      </c>
      <c r="V32" s="123">
        <f t="shared" si="4"/>
        <v>9.1085707038388595</v>
      </c>
      <c r="W32" s="123">
        <f t="shared" si="5"/>
        <v>6.8845828373087015</v>
      </c>
      <c r="X32" s="123">
        <f t="shared" si="6"/>
        <v>5.6463824654159076</v>
      </c>
      <c r="Y32" s="123">
        <f t="shared" si="7"/>
        <v>6.4431365188573801</v>
      </c>
      <c r="Z32" s="123">
        <f t="shared" si="8"/>
        <v>7.0062355496391788</v>
      </c>
      <c r="AA32" s="123">
        <f t="shared" si="9"/>
        <v>7.1383581247545784</v>
      </c>
      <c r="AB32" s="123">
        <f t="shared" si="10"/>
        <v>8.1398100858440277</v>
      </c>
      <c r="AC32" s="123">
        <f t="shared" si="11"/>
        <v>9.1197776303322708</v>
      </c>
      <c r="AD32" s="123">
        <f t="shared" si="12"/>
        <v>9.3292641011008541</v>
      </c>
      <c r="AE32" s="123">
        <f t="shared" si="13"/>
        <v>90.147512379042468</v>
      </c>
      <c r="AF32" s="112"/>
      <c r="AG32" s="130">
        <f t="shared" si="14"/>
        <v>0.39503115943587214</v>
      </c>
      <c r="AH32" s="130">
        <f t="shared" si="15"/>
        <v>0.36070949523127799</v>
      </c>
      <c r="AI32" s="130">
        <f t="shared" si="16"/>
        <v>0.39269279128581819</v>
      </c>
      <c r="AJ32" s="130">
        <f t="shared" si="17"/>
        <v>0.32480728537741538</v>
      </c>
      <c r="AK32" s="130">
        <f t="shared" si="18"/>
        <v>0.16876459374684272</v>
      </c>
      <c r="AL32" s="130">
        <f t="shared" si="19"/>
        <v>0.18228249178124703</v>
      </c>
      <c r="AM32" s="130">
        <f t="shared" si="20"/>
        <v>0.18688216836898164</v>
      </c>
      <c r="AN32" s="130">
        <f t="shared" si="21"/>
        <v>0.27391647312687384</v>
      </c>
      <c r="AO32" s="130">
        <f t="shared" si="22"/>
        <v>0.17799616309481792</v>
      </c>
      <c r="AP32" s="130">
        <f t="shared" si="23"/>
        <v>0.19763056512598703</v>
      </c>
      <c r="AQ32" s="130">
        <f t="shared" si="24"/>
        <v>0.21154668592744774</v>
      </c>
      <c r="AR32" s="130">
        <f t="shared" si="25"/>
        <v>0.3567186977058408</v>
      </c>
      <c r="AS32" s="130">
        <f t="shared" si="26"/>
        <v>0.24613252036565264</v>
      </c>
      <c r="AU32" s="130">
        <f t="shared" si="27"/>
        <v>0.27607939997888925</v>
      </c>
      <c r="AV32" s="130">
        <f t="shared" si="28"/>
        <v>0.20555047667459875</v>
      </c>
      <c r="AW32" s="130">
        <f t="shared" si="29"/>
        <v>0.24073202188571435</v>
      </c>
      <c r="AX32" s="130">
        <f t="shared" si="30"/>
        <v>0.22400078824042796</v>
      </c>
    </row>
    <row r="33" spans="1:50">
      <c r="A33" s="115" t="s">
        <v>4</v>
      </c>
      <c r="B33" s="115" t="s">
        <v>266</v>
      </c>
      <c r="C33" s="115" t="s">
        <v>284</v>
      </c>
      <c r="D33" s="128" t="s">
        <v>285</v>
      </c>
      <c r="E33" s="129">
        <v>255</v>
      </c>
      <c r="F33" s="129">
        <v>149</v>
      </c>
      <c r="G33" s="129">
        <v>248</v>
      </c>
      <c r="H33" s="129">
        <v>266</v>
      </c>
      <c r="I33" s="129">
        <v>37</v>
      </c>
      <c r="J33" s="129">
        <v>-44</v>
      </c>
      <c r="K33" s="129">
        <v>-27</v>
      </c>
      <c r="L33" s="129">
        <v>63</v>
      </c>
      <c r="M33" s="129">
        <v>109</v>
      </c>
      <c r="N33" s="129">
        <v>279</v>
      </c>
      <c r="O33" s="129">
        <v>257</v>
      </c>
      <c r="P33" s="129">
        <v>302</v>
      </c>
      <c r="Q33" s="129">
        <v>1894</v>
      </c>
      <c r="R33" s="110"/>
      <c r="S33" s="123">
        <f t="shared" si="1"/>
        <v>7.7704813127542556</v>
      </c>
      <c r="T33" s="123">
        <f t="shared" si="2"/>
        <v>4.4792631161241445</v>
      </c>
      <c r="U33" s="123">
        <f t="shared" si="3"/>
        <v>7.1217503424470685</v>
      </c>
      <c r="V33" s="123">
        <f t="shared" si="4"/>
        <v>7.6673411620922041</v>
      </c>
      <c r="W33" s="123">
        <f t="shared" si="5"/>
        <v>1.0613731874184249</v>
      </c>
      <c r="X33" s="123">
        <f t="shared" si="6"/>
        <v>-1.2547516589813128</v>
      </c>
      <c r="Y33" s="123">
        <f t="shared" si="7"/>
        <v>-0.75636820003977934</v>
      </c>
      <c r="Z33" s="123">
        <f t="shared" si="8"/>
        <v>1.6976647677971857</v>
      </c>
      <c r="AA33" s="123">
        <f t="shared" si="9"/>
        <v>2.8817816133268481</v>
      </c>
      <c r="AB33" s="123">
        <f t="shared" si="10"/>
        <v>7.4704178090476443</v>
      </c>
      <c r="AC33" s="123">
        <f t="shared" si="11"/>
        <v>7.0173139251359098</v>
      </c>
      <c r="AD33" s="123">
        <f t="shared" si="12"/>
        <v>8.2381221009720988</v>
      </c>
      <c r="AE33" s="123">
        <f t="shared" si="13"/>
        <v>53.394389478094688</v>
      </c>
      <c r="AF33" s="112"/>
      <c r="AG33" s="130">
        <f t="shared" si="14"/>
        <v>0.48429300796224717</v>
      </c>
      <c r="AH33" s="130">
        <f t="shared" si="15"/>
        <v>0.22677516788801866</v>
      </c>
      <c r="AI33" s="130">
        <f t="shared" si="16"/>
        <v>0.35542997167475515</v>
      </c>
      <c r="AJ33" s="130">
        <f t="shared" si="17"/>
        <v>0.27341372756453319</v>
      </c>
      <c r="AK33" s="130">
        <f t="shared" si="18"/>
        <v>2.6017874869304923E-2</v>
      </c>
      <c r="AL33" s="130">
        <f t="shared" si="19"/>
        <v>-4.0507220395832676E-2</v>
      </c>
      <c r="AM33" s="130">
        <f t="shared" si="20"/>
        <v>-2.1938341504184802E-2</v>
      </c>
      <c r="AN33" s="130">
        <f t="shared" si="21"/>
        <v>6.6372068488434813E-2</v>
      </c>
      <c r="AO33" s="130">
        <f t="shared" si="22"/>
        <v>7.1857710286426485E-2</v>
      </c>
      <c r="AP33" s="130">
        <f t="shared" si="23"/>
        <v>0.18137805154654732</v>
      </c>
      <c r="AQ33" s="130">
        <f t="shared" si="24"/>
        <v>0.16277694096812595</v>
      </c>
      <c r="AR33" s="130">
        <f t="shared" si="25"/>
        <v>0.31499721259404656</v>
      </c>
      <c r="AS33" s="130">
        <f t="shared" si="26"/>
        <v>0.14578434067454099</v>
      </c>
      <c r="AU33" s="130">
        <f t="shared" si="27"/>
        <v>0.17247654925475459</v>
      </c>
      <c r="AV33" s="130">
        <f t="shared" si="28"/>
        <v>3.8170091365571285E-2</v>
      </c>
      <c r="AW33" s="130">
        <f t="shared" si="29"/>
        <v>0.20575693829928163</v>
      </c>
      <c r="AX33" s="130">
        <f t="shared" si="30"/>
        <v>0.12605791782991185</v>
      </c>
    </row>
    <row r="34" spans="1:50">
      <c r="A34" s="115" t="s">
        <v>4</v>
      </c>
      <c r="B34" s="115" t="s">
        <v>266</v>
      </c>
      <c r="C34" s="115" t="s">
        <v>284</v>
      </c>
      <c r="D34" s="128" t="s">
        <v>286</v>
      </c>
      <c r="E34" s="129">
        <v>266</v>
      </c>
      <c r="F34" s="129">
        <v>-38</v>
      </c>
      <c r="G34" s="129">
        <v>197</v>
      </c>
      <c r="H34" s="129">
        <v>-135</v>
      </c>
      <c r="I34" s="129">
        <v>-24</v>
      </c>
      <c r="J34" s="129">
        <v>11</v>
      </c>
      <c r="K34" s="129">
        <v>9</v>
      </c>
      <c r="L34" s="129">
        <v>12</v>
      </c>
      <c r="M34" s="129">
        <v>6</v>
      </c>
      <c r="N34" s="129">
        <v>135</v>
      </c>
      <c r="O34" s="129">
        <v>65</v>
      </c>
      <c r="P34" s="129">
        <v>145</v>
      </c>
      <c r="Q34" s="129">
        <v>649</v>
      </c>
      <c r="R34" s="110"/>
      <c r="S34" s="123">
        <f t="shared" si="1"/>
        <v>8.1056785458534577</v>
      </c>
      <c r="T34" s="123">
        <f t="shared" si="2"/>
        <v>-1.1423624054544799</v>
      </c>
      <c r="U34" s="123">
        <f t="shared" si="3"/>
        <v>5.6571968446051306</v>
      </c>
      <c r="V34" s="123">
        <f t="shared" si="4"/>
        <v>-3.8913197627159684</v>
      </c>
      <c r="W34" s="123">
        <f t="shared" si="5"/>
        <v>-0.68845828373087015</v>
      </c>
      <c r="X34" s="123">
        <f t="shared" si="6"/>
        <v>0.3136879147453282</v>
      </c>
      <c r="Y34" s="123">
        <f t="shared" si="7"/>
        <v>0.25212273334659313</v>
      </c>
      <c r="Z34" s="123">
        <f t="shared" si="8"/>
        <v>0.32336471767565439</v>
      </c>
      <c r="AA34" s="123">
        <f t="shared" si="9"/>
        <v>0.15863018055010175</v>
      </c>
      <c r="AB34" s="123">
        <f t="shared" si="10"/>
        <v>3.6147182947004732</v>
      </c>
      <c r="AC34" s="123">
        <f t="shared" si="11"/>
        <v>1.7748070238670588</v>
      </c>
      <c r="AD34" s="123">
        <f t="shared" si="12"/>
        <v>3.9553897504667361</v>
      </c>
      <c r="AE34" s="123">
        <f t="shared" si="13"/>
        <v>18.433455553909212</v>
      </c>
      <c r="AF34" s="112"/>
      <c r="AG34" s="130">
        <f t="shared" si="14"/>
        <v>0.50518407889395189</v>
      </c>
      <c r="AH34" s="130">
        <f t="shared" si="15"/>
        <v>-5.7835277716407445E-2</v>
      </c>
      <c r="AI34" s="130">
        <f t="shared" si="16"/>
        <v>0.28233751782228528</v>
      </c>
      <c r="AJ34" s="130">
        <f t="shared" si="17"/>
        <v>-0.13876260609478189</v>
      </c>
      <c r="AK34" s="130">
        <f t="shared" si="18"/>
        <v>-1.687645937468427E-2</v>
      </c>
      <c r="AL34" s="130">
        <f t="shared" si="19"/>
        <v>1.0126805098958169E-2</v>
      </c>
      <c r="AM34" s="130">
        <f t="shared" si="20"/>
        <v>7.3127805013949339E-3</v>
      </c>
      <c r="AN34" s="130">
        <f t="shared" si="21"/>
        <v>1.2642298759701869E-2</v>
      </c>
      <c r="AO34" s="130">
        <f t="shared" si="22"/>
        <v>3.9554702909959548E-3</v>
      </c>
      <c r="AP34" s="130">
        <f t="shared" si="23"/>
        <v>8.7763573328974512E-2</v>
      </c>
      <c r="AQ34" s="130">
        <f t="shared" si="24"/>
        <v>4.1169265225401507E-2</v>
      </c>
      <c r="AR34" s="130">
        <f t="shared" si="25"/>
        <v>0.15124038353025412</v>
      </c>
      <c r="AS34" s="130">
        <f t="shared" si="26"/>
        <v>5.0329429562680779E-2</v>
      </c>
      <c r="AU34" s="130">
        <f t="shared" si="27"/>
        <v>5.3675450559937533E-2</v>
      </c>
      <c r="AV34" s="130">
        <f t="shared" si="28"/>
        <v>7.3295223751470087E-3</v>
      </c>
      <c r="AW34" s="130">
        <f t="shared" si="29"/>
        <v>8.4607651145624879E-2</v>
      </c>
      <c r="AX34" s="130">
        <f t="shared" si="30"/>
        <v>4.7856609644443583E-2</v>
      </c>
    </row>
    <row r="35" spans="1:50">
      <c r="A35" s="115" t="s">
        <v>4</v>
      </c>
      <c r="B35" s="115" t="s">
        <v>266</v>
      </c>
      <c r="C35" s="115" t="s">
        <v>284</v>
      </c>
      <c r="D35" s="128" t="s">
        <v>287</v>
      </c>
      <c r="E35" s="129">
        <v>0</v>
      </c>
      <c r="F35" s="129">
        <v>28</v>
      </c>
      <c r="G35" s="129">
        <v>16</v>
      </c>
      <c r="H35" s="129">
        <v>26</v>
      </c>
      <c r="I35" s="129">
        <v>24</v>
      </c>
      <c r="J35" s="129">
        <v>56</v>
      </c>
      <c r="K35" s="129">
        <v>37</v>
      </c>
      <c r="L35" s="129">
        <v>26</v>
      </c>
      <c r="M35" s="129">
        <v>25</v>
      </c>
      <c r="N35" s="129">
        <v>33</v>
      </c>
      <c r="O35" s="129">
        <v>47</v>
      </c>
      <c r="P35" s="129">
        <v>38</v>
      </c>
      <c r="Q35" s="129">
        <v>356</v>
      </c>
      <c r="R35" s="110"/>
      <c r="S35" s="123">
        <f t="shared" si="1"/>
        <v>0</v>
      </c>
      <c r="T35" s="123">
        <f t="shared" si="2"/>
        <v>0.84174071980856402</v>
      </c>
      <c r="U35" s="123">
        <f t="shared" si="3"/>
        <v>0.45946776402884315</v>
      </c>
      <c r="V35" s="123">
        <f t="shared" si="4"/>
        <v>0.74943936170826053</v>
      </c>
      <c r="W35" s="123">
        <f t="shared" si="5"/>
        <v>0.68845828373087015</v>
      </c>
      <c r="X35" s="123">
        <f t="shared" si="6"/>
        <v>1.5969566568853073</v>
      </c>
      <c r="Y35" s="123">
        <f t="shared" si="7"/>
        <v>1.0365045704248828</v>
      </c>
      <c r="Z35" s="123">
        <f t="shared" si="8"/>
        <v>0.70062355496391793</v>
      </c>
      <c r="AA35" s="123">
        <f t="shared" si="9"/>
        <v>0.66095908562542394</v>
      </c>
      <c r="AB35" s="123">
        <f t="shared" si="10"/>
        <v>0.88359780537122679</v>
      </c>
      <c r="AC35" s="123">
        <f t="shared" si="11"/>
        <v>1.283322001873104</v>
      </c>
      <c r="AD35" s="123">
        <f t="shared" si="12"/>
        <v>1.0365849001223171</v>
      </c>
      <c r="AE35" s="123">
        <f t="shared" si="13"/>
        <v>9.9376547045427177</v>
      </c>
      <c r="AF35" s="112"/>
      <c r="AG35" s="130">
        <f t="shared" si="14"/>
        <v>0</v>
      </c>
      <c r="AH35" s="130">
        <f t="shared" si="15"/>
        <v>4.2615467791037059E-2</v>
      </c>
      <c r="AI35" s="130">
        <f t="shared" si="16"/>
        <v>2.2930965914500331E-2</v>
      </c>
      <c r="AJ35" s="130">
        <f t="shared" si="17"/>
        <v>2.6724650062698731E-2</v>
      </c>
      <c r="AK35" s="130">
        <f t="shared" si="18"/>
        <v>1.687645937468427E-2</v>
      </c>
      <c r="AL35" s="130">
        <f t="shared" si="19"/>
        <v>5.1554644140150672E-2</v>
      </c>
      <c r="AM35" s="130">
        <f t="shared" si="20"/>
        <v>3.0063653172401391E-2</v>
      </c>
      <c r="AN35" s="130">
        <f t="shared" si="21"/>
        <v>2.7391647312687388E-2</v>
      </c>
      <c r="AO35" s="130">
        <f t="shared" si="22"/>
        <v>1.6481126212483141E-2</v>
      </c>
      <c r="AP35" s="130">
        <f t="shared" si="23"/>
        <v>2.1453317924860434E-2</v>
      </c>
      <c r="AQ35" s="130">
        <f t="shared" si="24"/>
        <v>2.9768545624521085E-2</v>
      </c>
      <c r="AR35" s="130">
        <f t="shared" si="25"/>
        <v>3.9635410856204534E-2</v>
      </c>
      <c r="AS35" s="130">
        <f t="shared" si="26"/>
        <v>2.7133083702499665E-2</v>
      </c>
      <c r="AU35" s="130">
        <f t="shared" si="27"/>
        <v>2.785831263154346E-2</v>
      </c>
      <c r="AV35" s="130">
        <f t="shared" si="28"/>
        <v>2.3942803053287519E-2</v>
      </c>
      <c r="AW35" s="130">
        <f t="shared" si="29"/>
        <v>2.900411686162651E-2</v>
      </c>
      <c r="AX35" s="130">
        <f t="shared" si="30"/>
        <v>2.6597115595159145E-2</v>
      </c>
    </row>
    <row r="36" spans="1:50">
      <c r="A36" s="115" t="s">
        <v>4</v>
      </c>
      <c r="B36" s="115" t="s">
        <v>266</v>
      </c>
      <c r="C36" s="115" t="s">
        <v>267</v>
      </c>
      <c r="D36" s="128" t="s">
        <v>288</v>
      </c>
      <c r="E36" s="129">
        <v>37</v>
      </c>
      <c r="F36" s="129">
        <v>40</v>
      </c>
      <c r="G36" s="129">
        <v>37</v>
      </c>
      <c r="H36" s="129">
        <v>70</v>
      </c>
      <c r="I36" s="129">
        <v>36</v>
      </c>
      <c r="J36" s="129">
        <v>43</v>
      </c>
      <c r="K36" s="129">
        <v>30</v>
      </c>
      <c r="L36" s="129">
        <v>41</v>
      </c>
      <c r="M36" s="129">
        <v>41</v>
      </c>
      <c r="N36" s="129">
        <v>43</v>
      </c>
      <c r="O36" s="129">
        <v>36</v>
      </c>
      <c r="P36" s="129">
        <v>39</v>
      </c>
      <c r="Q36" s="129">
        <v>493</v>
      </c>
      <c r="R36" s="110"/>
      <c r="S36" s="123">
        <f t="shared" si="1"/>
        <v>1.1274816022427743</v>
      </c>
      <c r="T36" s="123">
        <f t="shared" si="2"/>
        <v>1.2024867425836629</v>
      </c>
      <c r="U36" s="123">
        <f t="shared" si="3"/>
        <v>1.0625192043166998</v>
      </c>
      <c r="V36" s="123">
        <f t="shared" si="4"/>
        <v>2.0177213584453169</v>
      </c>
      <c r="W36" s="123">
        <f t="shared" si="5"/>
        <v>1.0326874255963052</v>
      </c>
      <c r="X36" s="123">
        <f t="shared" si="6"/>
        <v>1.2262345758226467</v>
      </c>
      <c r="Y36" s="123">
        <f t="shared" si="7"/>
        <v>0.84040911115531047</v>
      </c>
      <c r="Z36" s="123">
        <f t="shared" si="8"/>
        <v>1.1048294520584858</v>
      </c>
      <c r="AA36" s="123">
        <f t="shared" si="9"/>
        <v>1.0839729004256953</v>
      </c>
      <c r="AB36" s="123">
        <f t="shared" si="10"/>
        <v>1.1513547160897804</v>
      </c>
      <c r="AC36" s="123">
        <f t="shared" si="11"/>
        <v>0.98297004398790944</v>
      </c>
      <c r="AD36" s="123">
        <f t="shared" si="12"/>
        <v>1.063863450125536</v>
      </c>
      <c r="AE36" s="123">
        <f t="shared" si="13"/>
        <v>13.896530582850124</v>
      </c>
      <c r="AF36" s="112"/>
      <c r="AG36" s="130">
        <f t="shared" si="14"/>
        <v>7.0269965861188791E-2</v>
      </c>
      <c r="AH36" s="130">
        <f t="shared" si="15"/>
        <v>6.087923970148152E-2</v>
      </c>
      <c r="AI36" s="130">
        <f t="shared" si="16"/>
        <v>5.3027858677282019E-2</v>
      </c>
      <c r="AJ36" s="130">
        <f t="shared" si="17"/>
        <v>7.195098093803505E-2</v>
      </c>
      <c r="AK36" s="130">
        <f t="shared" si="18"/>
        <v>2.5314689062026406E-2</v>
      </c>
      <c r="AL36" s="130">
        <f t="shared" si="19"/>
        <v>3.9586601750472843E-2</v>
      </c>
      <c r="AM36" s="130">
        <f t="shared" si="20"/>
        <v>2.4375935004649782E-2</v>
      </c>
      <c r="AN36" s="130">
        <f t="shared" si="21"/>
        <v>4.3194520762314718E-2</v>
      </c>
      <c r="AO36" s="130">
        <f t="shared" si="22"/>
        <v>2.7029046988472357E-2</v>
      </c>
      <c r="AP36" s="130">
        <f t="shared" si="23"/>
        <v>2.7954323356636328E-2</v>
      </c>
      <c r="AQ36" s="130">
        <f t="shared" si="24"/>
        <v>2.280143920176083E-2</v>
      </c>
      <c r="AR36" s="130">
        <f t="shared" si="25"/>
        <v>4.0678447983999388E-2</v>
      </c>
      <c r="AS36" s="130">
        <f t="shared" si="26"/>
        <v>3.7942124041244717E-2</v>
      </c>
      <c r="AU36" s="130">
        <f t="shared" si="27"/>
        <v>4.9272590599288166E-2</v>
      </c>
      <c r="AV36" s="130">
        <f t="shared" si="28"/>
        <v>3.0244026634046777E-2</v>
      </c>
      <c r="AW36" s="130">
        <f t="shared" si="29"/>
        <v>2.8955981984637627E-2</v>
      </c>
      <c r="AX36" s="130">
        <f t="shared" si="30"/>
        <v>2.9568535408471229E-2</v>
      </c>
    </row>
    <row r="37" spans="1:50">
      <c r="A37" s="115" t="s">
        <v>4</v>
      </c>
      <c r="B37" s="115" t="s">
        <v>266</v>
      </c>
      <c r="C37" s="115" t="s">
        <v>271</v>
      </c>
      <c r="D37" s="128" t="s">
        <v>289</v>
      </c>
      <c r="E37" s="129">
        <v>151</v>
      </c>
      <c r="F37" s="129">
        <v>233</v>
      </c>
      <c r="G37" s="129">
        <v>321</v>
      </c>
      <c r="H37" s="129">
        <v>235</v>
      </c>
      <c r="I37" s="129">
        <v>235</v>
      </c>
      <c r="J37" s="129">
        <v>235</v>
      </c>
      <c r="K37" s="129">
        <v>243</v>
      </c>
      <c r="L37" s="129">
        <v>235</v>
      </c>
      <c r="M37" s="129">
        <v>235</v>
      </c>
      <c r="N37" s="129">
        <v>235</v>
      </c>
      <c r="O37" s="129">
        <v>235</v>
      </c>
      <c r="P37" s="129">
        <v>-407</v>
      </c>
      <c r="Q37" s="129">
        <v>2186</v>
      </c>
      <c r="R37" s="110"/>
      <c r="S37" s="123">
        <f t="shared" si="1"/>
        <v>4.6013438361799706</v>
      </c>
      <c r="T37" s="123">
        <f t="shared" si="2"/>
        <v>7.004485275549837</v>
      </c>
      <c r="U37" s="123">
        <f t="shared" si="3"/>
        <v>9.2180720158286658</v>
      </c>
      <c r="V37" s="123">
        <f t="shared" si="4"/>
        <v>6.7737788462092787</v>
      </c>
      <c r="W37" s="123">
        <f t="shared" si="5"/>
        <v>6.7411540281981033</v>
      </c>
      <c r="X37" s="123">
        <f t="shared" si="6"/>
        <v>6.7015145422865574</v>
      </c>
      <c r="Y37" s="123">
        <f t="shared" si="7"/>
        <v>6.8073138003580143</v>
      </c>
      <c r="Z37" s="123">
        <f t="shared" si="8"/>
        <v>6.3325590544815658</v>
      </c>
      <c r="AA37" s="123">
        <f t="shared" si="9"/>
        <v>6.213015404878985</v>
      </c>
      <c r="AB37" s="123">
        <f t="shared" si="10"/>
        <v>6.2922874018860089</v>
      </c>
      <c r="AC37" s="123">
        <f t="shared" si="11"/>
        <v>6.4166100093655203</v>
      </c>
      <c r="AD37" s="123">
        <f t="shared" si="12"/>
        <v>-11.10236985131008</v>
      </c>
      <c r="AE37" s="123">
        <f t="shared" si="13"/>
        <v>61.999764363912441</v>
      </c>
      <c r="AF37" s="112"/>
      <c r="AG37" s="130">
        <f t="shared" si="14"/>
        <v>0.28677742824431107</v>
      </c>
      <c r="AH37" s="130">
        <f t="shared" si="15"/>
        <v>0.35462157126112986</v>
      </c>
      <c r="AI37" s="130">
        <f t="shared" si="16"/>
        <v>0.46005250365966294</v>
      </c>
      <c r="AJ37" s="130">
        <f t="shared" si="17"/>
        <v>0.24154972172054626</v>
      </c>
      <c r="AK37" s="130">
        <f t="shared" si="18"/>
        <v>0.16524866471045016</v>
      </c>
      <c r="AL37" s="130">
        <f t="shared" si="19"/>
        <v>0.21634538165956085</v>
      </c>
      <c r="AM37" s="130">
        <f t="shared" si="20"/>
        <v>0.19744507353766322</v>
      </c>
      <c r="AN37" s="130">
        <f t="shared" si="21"/>
        <v>0.24757835071082829</v>
      </c>
      <c r="AO37" s="130">
        <f t="shared" si="22"/>
        <v>0.15492258639734152</v>
      </c>
      <c r="AP37" s="130">
        <f t="shared" si="23"/>
        <v>0.15277362764673341</v>
      </c>
      <c r="AQ37" s="130">
        <f t="shared" si="24"/>
        <v>0.14884272812260543</v>
      </c>
      <c r="AR37" s="130">
        <f t="shared" si="25"/>
        <v>-0.42451611101250636</v>
      </c>
      <c r="AS37" s="130">
        <f t="shared" si="26"/>
        <v>0.16927985989011085</v>
      </c>
      <c r="AU37" s="130">
        <f t="shared" si="27"/>
        <v>0.26367580836284932</v>
      </c>
      <c r="AV37" s="130">
        <f t="shared" si="28"/>
        <v>0.19322166015753517</v>
      </c>
      <c r="AW37" s="130">
        <f t="shared" si="29"/>
        <v>1.4545292530026704E-2</v>
      </c>
      <c r="AX37" s="130">
        <f t="shared" si="30"/>
        <v>9.9518139394138033E-2</v>
      </c>
    </row>
    <row r="38" spans="1:50">
      <c r="A38" s="115" t="s">
        <v>4</v>
      </c>
      <c r="B38" s="115" t="s">
        <v>266</v>
      </c>
      <c r="C38" s="115" t="s">
        <v>267</v>
      </c>
      <c r="D38" s="128" t="s">
        <v>290</v>
      </c>
      <c r="E38" s="129">
        <v>324</v>
      </c>
      <c r="F38" s="129">
        <v>323</v>
      </c>
      <c r="G38" s="129">
        <v>325</v>
      </c>
      <c r="H38" s="129">
        <v>323</v>
      </c>
      <c r="I38" s="129">
        <v>324</v>
      </c>
      <c r="J38" s="129">
        <v>324</v>
      </c>
      <c r="K38" s="129">
        <v>324</v>
      </c>
      <c r="L38" s="129">
        <v>324</v>
      </c>
      <c r="M38" s="129">
        <v>324</v>
      </c>
      <c r="N38" s="129">
        <v>-285</v>
      </c>
      <c r="O38" s="129">
        <v>-285</v>
      </c>
      <c r="P38" s="129">
        <v>-764</v>
      </c>
      <c r="Q38" s="129">
        <v>1581</v>
      </c>
      <c r="R38" s="110"/>
      <c r="S38" s="123">
        <f t="shared" si="1"/>
        <v>9.8730821385583472</v>
      </c>
      <c r="T38" s="123">
        <f t="shared" si="2"/>
        <v>9.7100804463630777</v>
      </c>
      <c r="U38" s="123">
        <f t="shared" si="3"/>
        <v>9.3329389568358767</v>
      </c>
      <c r="V38" s="123">
        <f t="shared" si="4"/>
        <v>9.3103428396833916</v>
      </c>
      <c r="W38" s="123">
        <f t="shared" si="5"/>
        <v>9.2941868303667476</v>
      </c>
      <c r="X38" s="123">
        <f t="shared" si="6"/>
        <v>9.2395349434078486</v>
      </c>
      <c r="Y38" s="123">
        <f t="shared" si="7"/>
        <v>9.0764184004773529</v>
      </c>
      <c r="Z38" s="123">
        <f t="shared" si="8"/>
        <v>8.7308473772426698</v>
      </c>
      <c r="AA38" s="123">
        <f t="shared" si="9"/>
        <v>8.5660297497054945</v>
      </c>
      <c r="AB38" s="123">
        <f t="shared" si="10"/>
        <v>-7.6310719554787765</v>
      </c>
      <c r="AC38" s="123">
        <f t="shared" si="11"/>
        <v>-7.7818461815709501</v>
      </c>
      <c r="AD38" s="123">
        <f t="shared" si="12"/>
        <v>-20.840812202459215</v>
      </c>
      <c r="AE38" s="123">
        <f t="shared" si="13"/>
        <v>46.879731343131851</v>
      </c>
      <c r="AF38" s="112"/>
      <c r="AG38" s="130">
        <f t="shared" si="14"/>
        <v>0.61533699835203159</v>
      </c>
      <c r="AH38" s="130">
        <f t="shared" si="15"/>
        <v>0.4915998605894632</v>
      </c>
      <c r="AI38" s="130">
        <f t="shared" si="16"/>
        <v>0.46578524513828801</v>
      </c>
      <c r="AJ38" s="130">
        <f t="shared" si="17"/>
        <v>0.33200238347121891</v>
      </c>
      <c r="AK38" s="130">
        <f t="shared" si="18"/>
        <v>0.22783220155823766</v>
      </c>
      <c r="AL38" s="130">
        <f t="shared" si="19"/>
        <v>0.29828044109658602</v>
      </c>
      <c r="AM38" s="130">
        <f t="shared" si="20"/>
        <v>0.26326009805021761</v>
      </c>
      <c r="AN38" s="130">
        <f t="shared" si="21"/>
        <v>0.34134206651195048</v>
      </c>
      <c r="AO38" s="130">
        <f t="shared" si="22"/>
        <v>0.21359539571378153</v>
      </c>
      <c r="AP38" s="130">
        <f t="shared" si="23"/>
        <v>-0.18527865480561284</v>
      </c>
      <c r="AQ38" s="130">
        <f t="shared" si="24"/>
        <v>-0.18051139368060659</v>
      </c>
      <c r="AR38" s="130">
        <f t="shared" si="25"/>
        <v>-0.79688036563526998</v>
      </c>
      <c r="AS38" s="130">
        <f t="shared" si="26"/>
        <v>0.12799716958392998</v>
      </c>
      <c r="AU38" s="130">
        <f t="shared" si="27"/>
        <v>0.36467240714703969</v>
      </c>
      <c r="AV38" s="130">
        <f t="shared" si="28"/>
        <v>0.26331428556021441</v>
      </c>
      <c r="AW38" s="130">
        <f t="shared" si="29"/>
        <v>-0.32823658071080974</v>
      </c>
      <c r="AX38" s="130">
        <f t="shared" si="30"/>
        <v>-4.6913640025276336E-2</v>
      </c>
    </row>
    <row r="39" spans="1:50">
      <c r="A39" s="115" t="s">
        <v>4</v>
      </c>
      <c r="B39" s="115" t="s">
        <v>266</v>
      </c>
      <c r="C39" s="115" t="s">
        <v>267</v>
      </c>
      <c r="D39" s="128" t="s">
        <v>291</v>
      </c>
      <c r="E39" s="129"/>
      <c r="F39" s="129"/>
      <c r="G39" s="129"/>
      <c r="H39" s="129"/>
      <c r="I39" s="129"/>
      <c r="J39" s="129"/>
      <c r="K39" s="129"/>
      <c r="L39" s="129">
        <v>147</v>
      </c>
      <c r="M39" s="129">
        <v>0</v>
      </c>
      <c r="N39" s="129">
        <v>93</v>
      </c>
      <c r="O39" s="129">
        <v>33</v>
      </c>
      <c r="P39" s="129">
        <v>32</v>
      </c>
      <c r="Q39" s="129">
        <v>305</v>
      </c>
      <c r="R39" s="110"/>
      <c r="S39" s="123"/>
      <c r="T39" s="123"/>
      <c r="U39" s="123"/>
      <c r="V39" s="123"/>
      <c r="W39" s="123"/>
      <c r="X39" s="123"/>
      <c r="Y39" s="123"/>
      <c r="Z39" s="123">
        <f t="shared" si="8"/>
        <v>3.9612177915267663</v>
      </c>
      <c r="AA39" s="123">
        <f t="shared" si="9"/>
        <v>0</v>
      </c>
      <c r="AB39" s="123">
        <f t="shared" si="10"/>
        <v>2.490139269682548</v>
      </c>
      <c r="AC39" s="123">
        <f t="shared" si="11"/>
        <v>0.90105587365558371</v>
      </c>
      <c r="AD39" s="123">
        <f t="shared" si="12"/>
        <v>0.87291360010300389</v>
      </c>
      <c r="AE39" s="123">
        <f t="shared" si="13"/>
        <v>8.2253265349679019</v>
      </c>
      <c r="AF39" s="112"/>
      <c r="AG39" s="130"/>
      <c r="AH39" s="130"/>
      <c r="AI39" s="130"/>
      <c r="AJ39" s="130"/>
      <c r="AK39" s="130"/>
      <c r="AL39" s="130"/>
      <c r="AM39" s="130"/>
      <c r="AN39" s="130">
        <f t="shared" si="21"/>
        <v>0.15486815980634788</v>
      </c>
      <c r="AO39" s="130">
        <f t="shared" si="22"/>
        <v>0</v>
      </c>
      <c r="AP39" s="130">
        <f t="shared" si="23"/>
        <v>6.0459350515515764E-2</v>
      </c>
      <c r="AQ39" s="130">
        <f t="shared" si="24"/>
        <v>2.0901319268280764E-2</v>
      </c>
      <c r="AR39" s="130">
        <f t="shared" si="25"/>
        <v>3.3377188089435392E-2</v>
      </c>
      <c r="AS39" s="130"/>
      <c r="AU39" s="130">
        <f t="shared" si="27"/>
        <v>0</v>
      </c>
      <c r="AV39" s="130">
        <f t="shared" si="28"/>
        <v>3.9549294536953904E-2</v>
      </c>
      <c r="AW39" s="130">
        <f t="shared" si="29"/>
        <v>3.8606688487470668E-2</v>
      </c>
      <c r="AX39" s="130">
        <f t="shared" si="30"/>
        <v>3.9054962204691637E-2</v>
      </c>
    </row>
    <row r="40" spans="1:50">
      <c r="A40" s="115" t="s">
        <v>4</v>
      </c>
      <c r="B40" s="115" t="s">
        <v>266</v>
      </c>
      <c r="C40" s="115" t="s">
        <v>267</v>
      </c>
      <c r="D40" s="128" t="s">
        <v>292</v>
      </c>
      <c r="E40" s="129">
        <v>0</v>
      </c>
      <c r="F40" s="129">
        <v>-11</v>
      </c>
      <c r="G40" s="129">
        <v>1.0004441719502211E-10</v>
      </c>
      <c r="H40" s="129">
        <v>0</v>
      </c>
      <c r="I40" s="129">
        <v>0</v>
      </c>
      <c r="J40" s="129">
        <v>0</v>
      </c>
      <c r="K40" s="129">
        <v>0</v>
      </c>
      <c r="L40" s="129">
        <v>0</v>
      </c>
      <c r="M40" s="129">
        <v>0</v>
      </c>
      <c r="N40" s="129">
        <v>0</v>
      </c>
      <c r="O40" s="129">
        <v>-1.0004441719502211E-10</v>
      </c>
      <c r="P40" s="129">
        <v>1.0004441719502211E-10</v>
      </c>
      <c r="Q40" s="129">
        <v>-10.999999999899956</v>
      </c>
      <c r="R40" s="110"/>
      <c r="S40" s="123">
        <f t="shared" si="1"/>
        <v>0</v>
      </c>
      <c r="T40" s="123">
        <f t="shared" si="2"/>
        <v>-0.33068385421050733</v>
      </c>
      <c r="U40" s="123">
        <f t="shared" si="3"/>
        <v>2.8729490420103469E-12</v>
      </c>
      <c r="V40" s="123">
        <f t="shared" si="4"/>
        <v>0</v>
      </c>
      <c r="W40" s="123">
        <f t="shared" si="5"/>
        <v>0</v>
      </c>
      <c r="X40" s="123">
        <f t="shared" si="6"/>
        <v>0</v>
      </c>
      <c r="Y40" s="123">
        <f t="shared" si="7"/>
        <v>0</v>
      </c>
      <c r="Z40" s="123">
        <f t="shared" si="8"/>
        <v>0</v>
      </c>
      <c r="AA40" s="123">
        <f t="shared" si="9"/>
        <v>0</v>
      </c>
      <c r="AB40" s="123">
        <f t="shared" si="10"/>
        <v>0</v>
      </c>
      <c r="AC40" s="123">
        <f t="shared" si="11"/>
        <v>-2.7316851436371014E-12</v>
      </c>
      <c r="AD40" s="123">
        <f t="shared" si="12"/>
        <v>2.7290666369973002E-12</v>
      </c>
      <c r="AE40" s="123">
        <f t="shared" si="13"/>
        <v>-0.33068385420763707</v>
      </c>
      <c r="AF40" s="112"/>
      <c r="AG40" s="130">
        <f t="shared" si="14"/>
        <v>0</v>
      </c>
      <c r="AH40" s="130">
        <f t="shared" si="15"/>
        <v>-1.674179091790742E-2</v>
      </c>
      <c r="AI40" s="130">
        <f t="shared" si="16"/>
        <v>1.4338219503969392E-13</v>
      </c>
      <c r="AJ40" s="130">
        <f t="shared" si="17"/>
        <v>0</v>
      </c>
      <c r="AK40" s="130">
        <f t="shared" si="18"/>
        <v>0</v>
      </c>
      <c r="AL40" s="130">
        <f t="shared" si="19"/>
        <v>0</v>
      </c>
      <c r="AM40" s="130">
        <f t="shared" si="20"/>
        <v>0</v>
      </c>
      <c r="AN40" s="130">
        <f t="shared" si="21"/>
        <v>0</v>
      </c>
      <c r="AO40" s="130">
        <f t="shared" si="22"/>
        <v>0</v>
      </c>
      <c r="AP40" s="130">
        <f t="shared" si="23"/>
        <v>0</v>
      </c>
      <c r="AQ40" s="130">
        <f t="shared" si="24"/>
        <v>-6.3365463781885913E-14</v>
      </c>
      <c r="AR40" s="130">
        <f t="shared" si="25"/>
        <v>1.0435004156300617E-13</v>
      </c>
      <c r="AS40" s="130">
        <f t="shared" si="26"/>
        <v>-9.0287627836168434E-4</v>
      </c>
      <c r="AU40" s="130">
        <f t="shared" si="27"/>
        <v>-2.1245758299718877E-3</v>
      </c>
      <c r="AV40" s="130">
        <f t="shared" si="28"/>
        <v>0</v>
      </c>
      <c r="AW40" s="130">
        <f t="shared" si="29"/>
        <v>-2.3707620097792471E-17</v>
      </c>
      <c r="AX40" s="130">
        <f t="shared" si="30"/>
        <v>-1.2433023469088114E-17</v>
      </c>
    </row>
    <row r="41" spans="1:50">
      <c r="A41" s="115" t="s">
        <v>8</v>
      </c>
      <c r="B41" s="115" t="s">
        <v>9</v>
      </c>
      <c r="C41" s="115" t="s">
        <v>8</v>
      </c>
      <c r="D41" s="128" t="s">
        <v>293</v>
      </c>
      <c r="E41" s="129">
        <v>257</v>
      </c>
      <c r="F41" s="129">
        <v>257</v>
      </c>
      <c r="G41" s="129">
        <v>257</v>
      </c>
      <c r="H41" s="129">
        <v>257</v>
      </c>
      <c r="I41" s="129">
        <v>257</v>
      </c>
      <c r="J41" s="129">
        <v>866</v>
      </c>
      <c r="K41" s="129">
        <v>358</v>
      </c>
      <c r="L41" s="129">
        <v>358</v>
      </c>
      <c r="M41" s="129">
        <v>358</v>
      </c>
      <c r="N41" s="129">
        <v>358</v>
      </c>
      <c r="O41" s="129">
        <v>358</v>
      </c>
      <c r="P41" s="129">
        <v>358</v>
      </c>
      <c r="Q41" s="129">
        <v>4299</v>
      </c>
      <c r="R41" s="110"/>
      <c r="S41" s="123">
        <f t="shared" si="1"/>
        <v>7.8314262642268373</v>
      </c>
      <c r="T41" s="123">
        <f t="shared" si="2"/>
        <v>7.725977321100034</v>
      </c>
      <c r="U41" s="123">
        <f t="shared" si="3"/>
        <v>7.3802009597132932</v>
      </c>
      <c r="V41" s="123">
        <f t="shared" si="4"/>
        <v>7.4079198445778065</v>
      </c>
      <c r="W41" s="123">
        <f t="shared" si="5"/>
        <v>7.3722407882847341</v>
      </c>
      <c r="X41" s="123">
        <f t="shared" si="6"/>
        <v>24.695794015404932</v>
      </c>
      <c r="Y41" s="123">
        <f t="shared" si="7"/>
        <v>10.028882059786705</v>
      </c>
      <c r="Z41" s="123">
        <f t="shared" si="8"/>
        <v>9.6470474106570236</v>
      </c>
      <c r="AA41" s="123">
        <f t="shared" si="9"/>
        <v>9.4649341061560701</v>
      </c>
      <c r="AB41" s="123">
        <f t="shared" si="10"/>
        <v>9.5856974037242182</v>
      </c>
      <c r="AC41" s="123">
        <f t="shared" si="11"/>
        <v>9.7750909929908776</v>
      </c>
      <c r="AD41" s="123">
        <f t="shared" si="12"/>
        <v>9.7657209011523562</v>
      </c>
      <c r="AE41" s="123">
        <f t="shared" si="13"/>
        <v>120.6809320677749</v>
      </c>
      <c r="AF41" s="112"/>
      <c r="AG41" s="130">
        <f t="shared" si="14"/>
        <v>0.48809138449528439</v>
      </c>
      <c r="AH41" s="130">
        <f t="shared" si="15"/>
        <v>0.39114911508201872</v>
      </c>
      <c r="AI41" s="130">
        <f t="shared" si="16"/>
        <v>0.36832864000166154</v>
      </c>
      <c r="AJ41" s="130">
        <f t="shared" si="17"/>
        <v>0.2641628871582144</v>
      </c>
      <c r="AK41" s="130">
        <f t="shared" si="18"/>
        <v>0.18071875247057739</v>
      </c>
      <c r="AL41" s="130">
        <f t="shared" si="19"/>
        <v>0.79725574688161582</v>
      </c>
      <c r="AM41" s="130">
        <f t="shared" si="20"/>
        <v>0.29088615772215404</v>
      </c>
      <c r="AN41" s="130">
        <f t="shared" si="21"/>
        <v>0.37716191299777246</v>
      </c>
      <c r="AO41" s="130">
        <f t="shared" si="22"/>
        <v>0.23600972736275858</v>
      </c>
      <c r="AP41" s="130">
        <f t="shared" si="23"/>
        <v>0.23273599445757687</v>
      </c>
      <c r="AQ41" s="130">
        <f t="shared" si="24"/>
        <v>0.22674764539528827</v>
      </c>
      <c r="AR41" s="130">
        <f t="shared" si="25"/>
        <v>0.37340729175055848</v>
      </c>
      <c r="AS41" s="130">
        <f t="shared" si="26"/>
        <v>0.32949885344615487</v>
      </c>
      <c r="AU41" s="130">
        <f t="shared" si="27"/>
        <v>0.40099429602438613</v>
      </c>
      <c r="AV41" s="130">
        <f t="shared" si="28"/>
        <v>0.29094603157579246</v>
      </c>
      <c r="AW41" s="130">
        <f t="shared" si="29"/>
        <v>0.26370764416358033</v>
      </c>
      <c r="AX41" s="130">
        <f t="shared" si="30"/>
        <v>0.27666136240363542</v>
      </c>
    </row>
    <row r="42" spans="1:50">
      <c r="A42" s="115" t="s">
        <v>4</v>
      </c>
      <c r="B42" s="115" t="s">
        <v>266</v>
      </c>
      <c r="C42" s="115" t="s">
        <v>271</v>
      </c>
      <c r="D42" s="128" t="s">
        <v>294</v>
      </c>
      <c r="E42" s="129">
        <v>89</v>
      </c>
      <c r="F42" s="129">
        <v>180</v>
      </c>
      <c r="G42" s="129">
        <v>85</v>
      </c>
      <c r="H42" s="129">
        <v>85</v>
      </c>
      <c r="I42" s="129">
        <v>85</v>
      </c>
      <c r="J42" s="129">
        <v>85</v>
      </c>
      <c r="K42" s="129">
        <v>108</v>
      </c>
      <c r="L42" s="129">
        <v>130</v>
      </c>
      <c r="M42" s="129">
        <v>312</v>
      </c>
      <c r="N42" s="129">
        <v>91</v>
      </c>
      <c r="O42" s="129">
        <v>120</v>
      </c>
      <c r="P42" s="129">
        <v>143</v>
      </c>
      <c r="Q42" s="129">
        <v>1513</v>
      </c>
      <c r="R42" s="110"/>
      <c r="S42" s="123">
        <f t="shared" si="1"/>
        <v>2.7120503405299163</v>
      </c>
      <c r="T42" s="123">
        <f t="shared" si="2"/>
        <v>5.411190341626483</v>
      </c>
      <c r="U42" s="123">
        <f t="shared" si="3"/>
        <v>2.4409224964032292</v>
      </c>
      <c r="V42" s="123">
        <f t="shared" si="4"/>
        <v>2.4500902209693134</v>
      </c>
      <c r="W42" s="123">
        <f t="shared" si="5"/>
        <v>2.4382897548801652</v>
      </c>
      <c r="X42" s="123">
        <f t="shared" si="6"/>
        <v>2.4239520684866269</v>
      </c>
      <c r="Y42" s="123">
        <f t="shared" si="7"/>
        <v>3.0254728001591173</v>
      </c>
      <c r="Z42" s="123">
        <f t="shared" si="8"/>
        <v>3.5031177748195894</v>
      </c>
      <c r="AA42" s="123">
        <f t="shared" si="9"/>
        <v>8.2487693886052913</v>
      </c>
      <c r="AB42" s="123">
        <f t="shared" si="10"/>
        <v>2.4365878875388374</v>
      </c>
      <c r="AC42" s="123">
        <f t="shared" si="11"/>
        <v>3.2765668132930315</v>
      </c>
      <c r="AD42" s="123">
        <f t="shared" si="12"/>
        <v>3.9008326504602984</v>
      </c>
      <c r="AE42" s="123">
        <f t="shared" si="13"/>
        <v>42.267842537771898</v>
      </c>
      <c r="AF42" s="112"/>
      <c r="AG42" s="130">
        <f t="shared" si="14"/>
        <v>0.16902775572015682</v>
      </c>
      <c r="AH42" s="130">
        <f t="shared" si="15"/>
        <v>0.27395657865666684</v>
      </c>
      <c r="AI42" s="130">
        <f t="shared" si="16"/>
        <v>0.12182075642078301</v>
      </c>
      <c r="AJ42" s="130">
        <f t="shared" si="17"/>
        <v>8.7369048281899717E-2</v>
      </c>
      <c r="AK42" s="130">
        <f t="shared" si="18"/>
        <v>5.9770793618673462E-2</v>
      </c>
      <c r="AL42" s="130">
        <f t="shared" si="19"/>
        <v>7.8252584855585838E-2</v>
      </c>
      <c r="AM42" s="130">
        <f t="shared" si="20"/>
        <v>8.7753366016739207E-2</v>
      </c>
      <c r="AN42" s="130">
        <f t="shared" si="21"/>
        <v>0.13695823656343692</v>
      </c>
      <c r="AO42" s="130">
        <f t="shared" si="22"/>
        <v>0.20568445513178962</v>
      </c>
      <c r="AP42" s="130">
        <f t="shared" si="23"/>
        <v>5.9159149429160597E-2</v>
      </c>
      <c r="AQ42" s="130">
        <f t="shared" si="24"/>
        <v>7.6004797339202776E-2</v>
      </c>
      <c r="AR42" s="130">
        <f t="shared" si="25"/>
        <v>0.14915430927466442</v>
      </c>
      <c r="AS42" s="130">
        <f t="shared" si="26"/>
        <v>0.11540518800448837</v>
      </c>
      <c r="AU42" s="130">
        <f t="shared" si="27"/>
        <v>0.11485280938852489</v>
      </c>
      <c r="AV42" s="130">
        <f t="shared" si="28"/>
        <v>0.14753901260579674</v>
      </c>
      <c r="AW42" s="130">
        <f t="shared" si="29"/>
        <v>8.7043796752305724E-2</v>
      </c>
      <c r="AX42" s="130">
        <f t="shared" si="30"/>
        <v>0.11581341402730255</v>
      </c>
    </row>
    <row r="43" spans="1:50">
      <c r="A43" s="115" t="s">
        <v>4</v>
      </c>
      <c r="B43" s="115" t="s">
        <v>266</v>
      </c>
      <c r="C43" s="115" t="s">
        <v>267</v>
      </c>
      <c r="D43" s="128" t="s">
        <v>295</v>
      </c>
      <c r="E43" s="129">
        <v>0</v>
      </c>
      <c r="F43" s="129">
        <v>87</v>
      </c>
      <c r="G43" s="129">
        <v>88</v>
      </c>
      <c r="H43" s="129">
        <v>85</v>
      </c>
      <c r="I43" s="129">
        <v>87</v>
      </c>
      <c r="J43" s="129">
        <v>87</v>
      </c>
      <c r="K43" s="129">
        <v>87</v>
      </c>
      <c r="L43" s="129">
        <v>87</v>
      </c>
      <c r="M43" s="129">
        <v>87</v>
      </c>
      <c r="N43" s="129">
        <v>-52</v>
      </c>
      <c r="O43" s="129">
        <v>-52</v>
      </c>
      <c r="P43" s="129">
        <v>-571</v>
      </c>
      <c r="Q43" s="129">
        <v>20</v>
      </c>
      <c r="R43" s="110"/>
      <c r="S43" s="123">
        <f t="shared" si="1"/>
        <v>0</v>
      </c>
      <c r="T43" s="123">
        <f t="shared" si="2"/>
        <v>2.615408665119467</v>
      </c>
      <c r="U43" s="123">
        <f t="shared" si="3"/>
        <v>2.527072702158637</v>
      </c>
      <c r="V43" s="123">
        <f t="shared" si="4"/>
        <v>2.4500902209693134</v>
      </c>
      <c r="W43" s="123">
        <f t="shared" si="5"/>
        <v>2.4956612785244041</v>
      </c>
      <c r="X43" s="123">
        <f t="shared" si="6"/>
        <v>2.4809862348039595</v>
      </c>
      <c r="Y43" s="123">
        <f t="shared" si="7"/>
        <v>2.4371864223504001</v>
      </c>
      <c r="Z43" s="123">
        <f t="shared" si="8"/>
        <v>2.3443942031484943</v>
      </c>
      <c r="AA43" s="123">
        <f t="shared" si="9"/>
        <v>2.3001376179764752</v>
      </c>
      <c r="AB43" s="123">
        <f t="shared" si="10"/>
        <v>-1.3923359357364784</v>
      </c>
      <c r="AC43" s="123">
        <f t="shared" si="11"/>
        <v>-1.419845619093647</v>
      </c>
      <c r="AD43" s="123">
        <f t="shared" si="12"/>
        <v>-15.576052051837975</v>
      </c>
      <c r="AE43" s="123">
        <f t="shared" si="13"/>
        <v>1.2627037383830508</v>
      </c>
      <c r="AF43" s="112"/>
      <c r="AG43" s="130">
        <f t="shared" si="14"/>
        <v>0</v>
      </c>
      <c r="AH43" s="130">
        <f t="shared" si="15"/>
        <v>0.1324123463507223</v>
      </c>
      <c r="AI43" s="130">
        <f t="shared" si="16"/>
        <v>0.12612031252975181</v>
      </c>
      <c r="AJ43" s="130">
        <f t="shared" si="17"/>
        <v>8.7369048281899717E-2</v>
      </c>
      <c r="AK43" s="130">
        <f t="shared" si="18"/>
        <v>6.1177165233230482E-2</v>
      </c>
      <c r="AL43" s="130">
        <f t="shared" si="19"/>
        <v>8.0093822146305518E-2</v>
      </c>
      <c r="AM43" s="130">
        <f t="shared" si="20"/>
        <v>7.0690211513484355E-2</v>
      </c>
      <c r="AN43" s="130">
        <f t="shared" si="21"/>
        <v>9.1656666007838547E-2</v>
      </c>
      <c r="AO43" s="130">
        <f t="shared" si="22"/>
        <v>5.7354319219441334E-2</v>
      </c>
      <c r="AP43" s="130">
        <f t="shared" si="23"/>
        <v>-3.3805228245234624E-2</v>
      </c>
      <c r="AQ43" s="130">
        <f t="shared" si="24"/>
        <v>-3.29354121803212E-2</v>
      </c>
      <c r="AR43" s="130">
        <f t="shared" si="25"/>
        <v>-0.59557419997086281</v>
      </c>
      <c r="AS43" s="130">
        <f t="shared" si="26"/>
        <v>3.4475987789498353E-3</v>
      </c>
      <c r="AU43" s="130">
        <f t="shared" si="27"/>
        <v>8.0754650597671521E-2</v>
      </c>
      <c r="AV43" s="130">
        <f t="shared" si="28"/>
        <v>7.0704761863390905E-2</v>
      </c>
      <c r="AW43" s="130">
        <f t="shared" si="29"/>
        <v>-0.16648468634375826</v>
      </c>
      <c r="AX43" s="130">
        <f t="shared" si="30"/>
        <v>-5.3684863245125947E-2</v>
      </c>
    </row>
    <row r="44" spans="1:50">
      <c r="A44" s="115" t="s">
        <v>4</v>
      </c>
      <c r="B44" s="115" t="s">
        <v>266</v>
      </c>
      <c r="C44" s="115" t="s">
        <v>267</v>
      </c>
      <c r="D44" s="128" t="s">
        <v>296</v>
      </c>
      <c r="E44" s="129">
        <v>0</v>
      </c>
      <c r="F44" s="129">
        <v>1.01863406598568E-10</v>
      </c>
      <c r="G44" s="129">
        <v>-1.01863406598568E-10</v>
      </c>
      <c r="H44" s="129">
        <v>0</v>
      </c>
      <c r="I44" s="129">
        <v>-3.4997072080600322E-10</v>
      </c>
      <c r="J44" s="129">
        <v>0</v>
      </c>
      <c r="K44" s="129">
        <v>4</v>
      </c>
      <c r="L44" s="129">
        <v>-4</v>
      </c>
      <c r="M44" s="129">
        <v>0</v>
      </c>
      <c r="N44" s="129">
        <v>23</v>
      </c>
      <c r="O44" s="129">
        <v>-2.0008883439004421E-10</v>
      </c>
      <c r="P44" s="129">
        <v>22</v>
      </c>
      <c r="Q44" s="129">
        <v>44.99999999944994</v>
      </c>
      <c r="R44" s="110"/>
      <c r="S44" s="123">
        <f t="shared" si="1"/>
        <v>0</v>
      </c>
      <c r="T44" s="123">
        <f t="shared" si="2"/>
        <v>3.0622348997296807E-12</v>
      </c>
      <c r="U44" s="123">
        <f t="shared" si="3"/>
        <v>-2.9251844791378091E-12</v>
      </c>
      <c r="V44" s="123">
        <f t="shared" si="4"/>
        <v>0</v>
      </c>
      <c r="W44" s="123">
        <f t="shared" si="5"/>
        <v>-1.0039176741756521E-11</v>
      </c>
      <c r="X44" s="123">
        <f t="shared" si="6"/>
        <v>0</v>
      </c>
      <c r="Y44" s="123">
        <f t="shared" si="7"/>
        <v>0.11205454815404139</v>
      </c>
      <c r="Z44" s="123">
        <f t="shared" si="8"/>
        <v>-0.10778823922521813</v>
      </c>
      <c r="AA44" s="123">
        <f t="shared" si="9"/>
        <v>0</v>
      </c>
      <c r="AB44" s="123">
        <f t="shared" si="10"/>
        <v>0.61584089465267322</v>
      </c>
      <c r="AC44" s="123">
        <f t="shared" si="11"/>
        <v>-5.4633702872742029E-12</v>
      </c>
      <c r="AD44" s="123">
        <f t="shared" si="12"/>
        <v>0.60012810007081518</v>
      </c>
      <c r="AE44" s="123">
        <f t="shared" si="13"/>
        <v>1.220235303636946</v>
      </c>
      <c r="AF44" s="112"/>
      <c r="AG44" s="130">
        <f t="shared" si="14"/>
        <v>0</v>
      </c>
      <c r="AH44" s="130">
        <f t="shared" si="15"/>
        <v>1.5503416867809237E-13</v>
      </c>
      <c r="AI44" s="130">
        <f t="shared" si="16"/>
        <v>-1.4598914404041567E-13</v>
      </c>
      <c r="AJ44" s="130">
        <f t="shared" si="17"/>
        <v>0</v>
      </c>
      <c r="AK44" s="130">
        <f t="shared" si="18"/>
        <v>-2.4609444383381187E-13</v>
      </c>
      <c r="AL44" s="130">
        <f t="shared" si="19"/>
        <v>0</v>
      </c>
      <c r="AM44" s="130">
        <f t="shared" si="20"/>
        <v>3.2501246672866375E-3</v>
      </c>
      <c r="AN44" s="130">
        <f t="shared" si="21"/>
        <v>-4.2140995865672893E-3</v>
      </c>
      <c r="AO44" s="130">
        <f t="shared" si="22"/>
        <v>0</v>
      </c>
      <c r="AP44" s="130">
        <f t="shared" si="23"/>
        <v>1.4952312493084546E-2</v>
      </c>
      <c r="AQ44" s="130">
        <f t="shared" si="24"/>
        <v>-1.2673092756377183E-13</v>
      </c>
      <c r="AR44" s="130">
        <f t="shared" si="25"/>
        <v>2.2946816811486834E-2</v>
      </c>
      <c r="AS44" s="130">
        <f t="shared" si="26"/>
        <v>3.3316459078812249E-3</v>
      </c>
      <c r="AU44" s="130">
        <f t="shared" si="27"/>
        <v>-6.3619127391884512E-14</v>
      </c>
      <c r="AV44" s="130">
        <f t="shared" si="28"/>
        <v>4.2595362661600703E-5</v>
      </c>
      <c r="AW44" s="130">
        <f t="shared" si="29"/>
        <v>1.1009225846247396E-2</v>
      </c>
      <c r="AX44" s="130">
        <f t="shared" si="30"/>
        <v>5.7938421608138696E-3</v>
      </c>
    </row>
    <row r="45" spans="1:50">
      <c r="A45" s="115" t="s">
        <v>8</v>
      </c>
      <c r="B45" s="115" t="s">
        <v>9</v>
      </c>
      <c r="C45" s="115" t="s">
        <v>8</v>
      </c>
      <c r="D45" s="128" t="s">
        <v>297</v>
      </c>
      <c r="E45" s="129">
        <v>110</v>
      </c>
      <c r="F45" s="129">
        <v>258</v>
      </c>
      <c r="G45" s="129">
        <v>64</v>
      </c>
      <c r="H45" s="129">
        <v>141</v>
      </c>
      <c r="I45" s="129">
        <v>156</v>
      </c>
      <c r="J45" s="129">
        <v>163</v>
      </c>
      <c r="K45" s="129">
        <v>151</v>
      </c>
      <c r="L45" s="129">
        <v>152</v>
      </c>
      <c r="M45" s="129">
        <v>135</v>
      </c>
      <c r="N45" s="129">
        <v>150</v>
      </c>
      <c r="O45" s="129">
        <v>0</v>
      </c>
      <c r="P45" s="129">
        <v>168</v>
      </c>
      <c r="Q45" s="129">
        <v>1648</v>
      </c>
      <c r="R45" s="110"/>
      <c r="S45" s="123">
        <f t="shared" si="1"/>
        <v>3.3519723309920315</v>
      </c>
      <c r="T45" s="123">
        <f t="shared" si="2"/>
        <v>7.7560394896646256</v>
      </c>
      <c r="U45" s="123">
        <f t="shared" si="3"/>
        <v>1.8378710561153726</v>
      </c>
      <c r="V45" s="123">
        <f t="shared" si="4"/>
        <v>4.0642673077255669</v>
      </c>
      <c r="W45" s="123">
        <f t="shared" si="5"/>
        <v>4.4749788442506562</v>
      </c>
      <c r="X45" s="123">
        <f t="shared" si="6"/>
        <v>4.6482845548625908</v>
      </c>
      <c r="Y45" s="123">
        <f t="shared" si="7"/>
        <v>4.2300591928150624</v>
      </c>
      <c r="Z45" s="123">
        <f t="shared" si="8"/>
        <v>4.0959530905582895</v>
      </c>
      <c r="AA45" s="123">
        <f t="shared" si="9"/>
        <v>3.5691790623772892</v>
      </c>
      <c r="AB45" s="123">
        <f t="shared" si="10"/>
        <v>4.0163536607783037</v>
      </c>
      <c r="AC45" s="123">
        <f t="shared" si="11"/>
        <v>0</v>
      </c>
      <c r="AD45" s="123">
        <f t="shared" si="12"/>
        <v>4.5827964005407704</v>
      </c>
      <c r="AE45" s="123">
        <f t="shared" si="13"/>
        <v>46.627754990680558</v>
      </c>
      <c r="AF45" s="112"/>
      <c r="AG45" s="130">
        <f t="shared" si="14"/>
        <v>0.20891070931704778</v>
      </c>
      <c r="AH45" s="130">
        <f t="shared" si="15"/>
        <v>0.3926710960745558</v>
      </c>
      <c r="AI45" s="130">
        <f t="shared" si="16"/>
        <v>9.1723863658001323E-2</v>
      </c>
      <c r="AJ45" s="130">
        <f t="shared" si="17"/>
        <v>0.14492983303232773</v>
      </c>
      <c r="AK45" s="130">
        <f t="shared" si="18"/>
        <v>0.10969698593544776</v>
      </c>
      <c r="AL45" s="130">
        <f t="shared" si="19"/>
        <v>0.15006083919365287</v>
      </c>
      <c r="AM45" s="130">
        <f t="shared" si="20"/>
        <v>0.12269220619007055</v>
      </c>
      <c r="AN45" s="130">
        <f t="shared" si="21"/>
        <v>0.16013578428955702</v>
      </c>
      <c r="AO45" s="130">
        <f t="shared" si="22"/>
        <v>8.8998081547408958E-2</v>
      </c>
      <c r="AP45" s="130">
        <f t="shared" si="23"/>
        <v>9.7515081476638343E-2</v>
      </c>
      <c r="AQ45" s="130">
        <f t="shared" si="24"/>
        <v>0</v>
      </c>
      <c r="AR45" s="130">
        <f t="shared" si="25"/>
        <v>0.17523023746953581</v>
      </c>
      <c r="AS45" s="130">
        <f t="shared" si="26"/>
        <v>0.12730919081374928</v>
      </c>
      <c r="AU45" s="130">
        <f t="shared" si="27"/>
        <v>0.16790181361420939</v>
      </c>
      <c r="AV45" s="130">
        <f t="shared" si="28"/>
        <v>0.11876308016005192</v>
      </c>
      <c r="AW45" s="130">
        <f t="shared" si="29"/>
        <v>7.7855591320227013E-2</v>
      </c>
      <c r="AX45" s="130">
        <f t="shared" si="30"/>
        <v>9.7309903219091845E-2</v>
      </c>
    </row>
    <row r="46" spans="1:50">
      <c r="A46" s="115" t="s">
        <v>4</v>
      </c>
      <c r="B46" s="115" t="s">
        <v>266</v>
      </c>
      <c r="C46" s="115" t="s">
        <v>267</v>
      </c>
      <c r="D46" s="128" t="s">
        <v>298</v>
      </c>
      <c r="E46" s="129">
        <v>0</v>
      </c>
      <c r="F46" s="129">
        <v>27</v>
      </c>
      <c r="G46" s="129">
        <v>-18</v>
      </c>
      <c r="H46" s="129">
        <v>0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-1.0004441719502211E-9</v>
      </c>
      <c r="P46" s="129">
        <v>0</v>
      </c>
      <c r="Q46" s="129">
        <v>8.9999999989995558</v>
      </c>
      <c r="R46" s="110"/>
      <c r="S46" s="123">
        <f t="shared" si="1"/>
        <v>0</v>
      </c>
      <c r="T46" s="123">
        <f t="shared" si="2"/>
        <v>0.81167855124397248</v>
      </c>
      <c r="U46" s="123">
        <f t="shared" si="3"/>
        <v>-0.51690123453244852</v>
      </c>
      <c r="V46" s="123">
        <f t="shared" si="4"/>
        <v>0</v>
      </c>
      <c r="W46" s="123">
        <f t="shared" si="5"/>
        <v>0</v>
      </c>
      <c r="X46" s="123">
        <f t="shared" si="6"/>
        <v>0</v>
      </c>
      <c r="Y46" s="123">
        <f t="shared" si="7"/>
        <v>0</v>
      </c>
      <c r="Z46" s="123">
        <f t="shared" si="8"/>
        <v>0</v>
      </c>
      <c r="AA46" s="123">
        <f t="shared" si="9"/>
        <v>0</v>
      </c>
      <c r="AB46" s="123">
        <f t="shared" si="10"/>
        <v>0</v>
      </c>
      <c r="AC46" s="123">
        <f t="shared" si="11"/>
        <v>-2.7316851436371013E-11</v>
      </c>
      <c r="AD46" s="123">
        <f t="shared" si="12"/>
        <v>0</v>
      </c>
      <c r="AE46" s="123">
        <f t="shared" si="13"/>
        <v>0.29477731668420709</v>
      </c>
      <c r="AF46" s="112"/>
      <c r="AG46" s="130">
        <f t="shared" si="14"/>
        <v>0</v>
      </c>
      <c r="AH46" s="130">
        <f t="shared" si="15"/>
        <v>4.1093486798500022E-2</v>
      </c>
      <c r="AI46" s="130">
        <f t="shared" si="16"/>
        <v>-2.5797336653812869E-2</v>
      </c>
      <c r="AJ46" s="130">
        <f t="shared" si="17"/>
        <v>0</v>
      </c>
      <c r="AK46" s="130">
        <f t="shared" si="18"/>
        <v>0</v>
      </c>
      <c r="AL46" s="130">
        <f t="shared" si="19"/>
        <v>0</v>
      </c>
      <c r="AM46" s="130">
        <f t="shared" si="20"/>
        <v>0</v>
      </c>
      <c r="AN46" s="130">
        <f t="shared" si="21"/>
        <v>0</v>
      </c>
      <c r="AO46" s="130">
        <f t="shared" si="22"/>
        <v>0</v>
      </c>
      <c r="AP46" s="130">
        <f t="shared" si="23"/>
        <v>0</v>
      </c>
      <c r="AQ46" s="130">
        <f t="shared" si="24"/>
        <v>-6.3365463781885902E-13</v>
      </c>
      <c r="AR46" s="130">
        <f t="shared" si="25"/>
        <v>0</v>
      </c>
      <c r="AS46" s="130">
        <f t="shared" si="26"/>
        <v>8.0483955671499475E-4</v>
      </c>
      <c r="AU46" s="130">
        <f t="shared" si="27"/>
        <v>1.89388370294014E-3</v>
      </c>
      <c r="AV46" s="130">
        <f t="shared" si="28"/>
        <v>0</v>
      </c>
      <c r="AW46" s="130">
        <f t="shared" si="29"/>
        <v>-2.4732323618262577E-13</v>
      </c>
      <c r="AX46" s="130">
        <f t="shared" si="30"/>
        <v>-1.2970410303629481E-13</v>
      </c>
    </row>
    <row r="47" spans="1:50">
      <c r="A47" s="115" t="s">
        <v>4</v>
      </c>
      <c r="B47" s="115" t="s">
        <v>266</v>
      </c>
      <c r="C47" s="115" t="s">
        <v>267</v>
      </c>
      <c r="D47" s="128" t="s">
        <v>299</v>
      </c>
      <c r="E47" s="129">
        <v>0</v>
      </c>
      <c r="F47" s="129">
        <v>0</v>
      </c>
      <c r="G47" s="129">
        <v>0</v>
      </c>
      <c r="H47" s="129">
        <v>0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v>0</v>
      </c>
      <c r="Q47" s="129">
        <v>0</v>
      </c>
      <c r="R47" s="110"/>
      <c r="S47" s="123">
        <f t="shared" si="1"/>
        <v>0</v>
      </c>
      <c r="T47" s="123">
        <f t="shared" si="2"/>
        <v>0</v>
      </c>
      <c r="U47" s="123">
        <f t="shared" si="3"/>
        <v>0</v>
      </c>
      <c r="V47" s="123">
        <f t="shared" si="4"/>
        <v>0</v>
      </c>
      <c r="W47" s="123">
        <f t="shared" si="5"/>
        <v>0</v>
      </c>
      <c r="X47" s="123">
        <f t="shared" si="6"/>
        <v>0</v>
      </c>
      <c r="Y47" s="123">
        <f t="shared" si="7"/>
        <v>0</v>
      </c>
      <c r="Z47" s="123">
        <f t="shared" si="8"/>
        <v>0</v>
      </c>
      <c r="AA47" s="123">
        <f t="shared" si="9"/>
        <v>0</v>
      </c>
      <c r="AB47" s="123">
        <f t="shared" si="10"/>
        <v>0</v>
      </c>
      <c r="AC47" s="123">
        <f t="shared" si="11"/>
        <v>0</v>
      </c>
      <c r="AD47" s="123">
        <f t="shared" si="12"/>
        <v>0</v>
      </c>
      <c r="AE47" s="123">
        <f t="shared" si="13"/>
        <v>0</v>
      </c>
      <c r="AF47" s="112"/>
      <c r="AG47" s="130">
        <f t="shared" si="14"/>
        <v>0</v>
      </c>
      <c r="AH47" s="130">
        <f t="shared" si="15"/>
        <v>0</v>
      </c>
      <c r="AI47" s="130">
        <f t="shared" si="16"/>
        <v>0</v>
      </c>
      <c r="AJ47" s="130">
        <f t="shared" si="17"/>
        <v>0</v>
      </c>
      <c r="AK47" s="130">
        <f t="shared" si="18"/>
        <v>0</v>
      </c>
      <c r="AL47" s="130">
        <f t="shared" si="19"/>
        <v>0</v>
      </c>
      <c r="AM47" s="130">
        <f t="shared" si="20"/>
        <v>0</v>
      </c>
      <c r="AN47" s="130">
        <f t="shared" si="21"/>
        <v>0</v>
      </c>
      <c r="AO47" s="130">
        <f t="shared" si="22"/>
        <v>0</v>
      </c>
      <c r="AP47" s="130">
        <f t="shared" si="23"/>
        <v>0</v>
      </c>
      <c r="AQ47" s="130">
        <f t="shared" si="24"/>
        <v>0</v>
      </c>
      <c r="AR47" s="130">
        <f t="shared" si="25"/>
        <v>0</v>
      </c>
      <c r="AS47" s="130">
        <f t="shared" si="26"/>
        <v>0</v>
      </c>
      <c r="AU47" s="130">
        <f t="shared" si="27"/>
        <v>0</v>
      </c>
      <c r="AV47" s="130">
        <f t="shared" si="28"/>
        <v>0</v>
      </c>
      <c r="AW47" s="130">
        <f t="shared" si="29"/>
        <v>0</v>
      </c>
      <c r="AX47" s="130">
        <f t="shared" si="30"/>
        <v>0</v>
      </c>
    </row>
    <row r="48" spans="1:50">
      <c r="A48" s="115" t="s">
        <v>4</v>
      </c>
      <c r="B48" s="115" t="s">
        <v>266</v>
      </c>
      <c r="C48" s="115" t="s">
        <v>271</v>
      </c>
      <c r="D48" s="128" t="s">
        <v>300</v>
      </c>
      <c r="E48" s="129">
        <v>329</v>
      </c>
      <c r="F48" s="129">
        <v>277</v>
      </c>
      <c r="G48" s="129">
        <v>342</v>
      </c>
      <c r="H48" s="129">
        <v>329</v>
      </c>
      <c r="I48" s="129">
        <v>329</v>
      </c>
      <c r="J48" s="129">
        <v>294</v>
      </c>
      <c r="K48" s="129">
        <v>408</v>
      </c>
      <c r="L48" s="129">
        <v>255</v>
      </c>
      <c r="M48" s="129">
        <v>-241</v>
      </c>
      <c r="N48" s="129">
        <v>-56</v>
      </c>
      <c r="O48" s="129">
        <v>329</v>
      </c>
      <c r="P48" s="129">
        <v>-1056</v>
      </c>
      <c r="Q48" s="129">
        <v>1539</v>
      </c>
      <c r="R48" s="110"/>
      <c r="S48" s="123">
        <f t="shared" si="1"/>
        <v>10.025444517239803</v>
      </c>
      <c r="T48" s="123">
        <f t="shared" si="2"/>
        <v>8.3272206923918652</v>
      </c>
      <c r="U48" s="123">
        <f t="shared" si="3"/>
        <v>9.8211234561165224</v>
      </c>
      <c r="V48" s="123">
        <f t="shared" si="4"/>
        <v>9.4832903846929888</v>
      </c>
      <c r="W48" s="123">
        <f t="shared" si="5"/>
        <v>9.4376156394773449</v>
      </c>
      <c r="X48" s="123">
        <f t="shared" si="6"/>
        <v>8.3840224486478636</v>
      </c>
      <c r="Y48" s="123">
        <f t="shared" si="7"/>
        <v>11.429563911712222</v>
      </c>
      <c r="Z48" s="123">
        <f t="shared" si="8"/>
        <v>6.8715002506076566</v>
      </c>
      <c r="AA48" s="123">
        <f t="shared" si="9"/>
        <v>-6.3716455854290865</v>
      </c>
      <c r="AB48" s="123">
        <f t="shared" si="10"/>
        <v>-1.4994387000239</v>
      </c>
      <c r="AC48" s="123">
        <f t="shared" si="11"/>
        <v>8.9832540131117291</v>
      </c>
      <c r="AD48" s="123">
        <f t="shared" si="12"/>
        <v>-28.806148803399129</v>
      </c>
      <c r="AE48" s="123">
        <f t="shared" si="13"/>
        <v>46.085802225145883</v>
      </c>
      <c r="AF48" s="112"/>
      <c r="AG48" s="130">
        <f t="shared" si="14"/>
        <v>0.62483293968462461</v>
      </c>
      <c r="AH48" s="130">
        <f t="shared" si="15"/>
        <v>0.4215887349327595</v>
      </c>
      <c r="AI48" s="130">
        <f t="shared" si="16"/>
        <v>0.49014939642244459</v>
      </c>
      <c r="AJ48" s="130">
        <f t="shared" si="17"/>
        <v>0.33816961040876475</v>
      </c>
      <c r="AK48" s="130">
        <f t="shared" si="18"/>
        <v>0.23134813059463019</v>
      </c>
      <c r="AL48" s="130">
        <f t="shared" si="19"/>
        <v>0.27066188173579103</v>
      </c>
      <c r="AM48" s="130">
        <f t="shared" si="20"/>
        <v>0.33151271606323701</v>
      </c>
      <c r="AN48" s="130">
        <f t="shared" si="21"/>
        <v>0.26864884864366473</v>
      </c>
      <c r="AO48" s="130">
        <f t="shared" si="22"/>
        <v>-0.15887805668833749</v>
      </c>
      <c r="AP48" s="130">
        <f t="shared" si="23"/>
        <v>-3.6405630417944985E-2</v>
      </c>
      <c r="AQ48" s="130">
        <f t="shared" si="24"/>
        <v>0.20837981937164762</v>
      </c>
      <c r="AR48" s="130">
        <f t="shared" si="25"/>
        <v>-1.1014472069513681</v>
      </c>
      <c r="AS48" s="130">
        <f t="shared" si="26"/>
        <v>0.12582948054133142</v>
      </c>
      <c r="AU48" s="130">
        <f t="shared" si="27"/>
        <v>0.35643936046673813</v>
      </c>
      <c r="AV48" s="130">
        <f t="shared" si="28"/>
        <v>0.1191048091224033</v>
      </c>
      <c r="AW48" s="130">
        <f t="shared" si="29"/>
        <v>-0.19304964681132913</v>
      </c>
      <c r="AX48" s="130">
        <f t="shared" si="30"/>
        <v>-4.4598829648403004E-2</v>
      </c>
    </row>
    <row r="49" spans="1:50">
      <c r="A49" s="115" t="s">
        <v>4</v>
      </c>
      <c r="B49" s="115" t="s">
        <v>266</v>
      </c>
      <c r="C49" s="115" t="s">
        <v>271</v>
      </c>
      <c r="D49" s="128" t="s">
        <v>301</v>
      </c>
      <c r="E49" s="129">
        <v>5</v>
      </c>
      <c r="F49" s="129">
        <v>11</v>
      </c>
      <c r="G49" s="129">
        <v>11</v>
      </c>
      <c r="H49" s="129">
        <v>16</v>
      </c>
      <c r="I49" s="129">
        <v>25</v>
      </c>
      <c r="J49" s="129">
        <v>14</v>
      </c>
      <c r="K49" s="129">
        <v>12</v>
      </c>
      <c r="L49" s="129">
        <v>5</v>
      </c>
      <c r="M49" s="129">
        <v>13</v>
      </c>
      <c r="N49" s="129">
        <v>13</v>
      </c>
      <c r="O49" s="129">
        <v>10</v>
      </c>
      <c r="P49" s="129">
        <v>58</v>
      </c>
      <c r="Q49" s="129">
        <v>193</v>
      </c>
      <c r="R49" s="110"/>
      <c r="S49" s="123">
        <f t="shared" si="1"/>
        <v>0.152362378681456</v>
      </c>
      <c r="T49" s="123">
        <f t="shared" si="2"/>
        <v>0.33068385421050733</v>
      </c>
      <c r="U49" s="123">
        <f t="shared" si="3"/>
        <v>0.31588408776982962</v>
      </c>
      <c r="V49" s="123">
        <f t="shared" si="4"/>
        <v>0.46119345335892958</v>
      </c>
      <c r="W49" s="123">
        <f t="shared" si="5"/>
        <v>0.71714404555298972</v>
      </c>
      <c r="X49" s="123">
        <f t="shared" si="6"/>
        <v>0.39923916422132683</v>
      </c>
      <c r="Y49" s="123">
        <f t="shared" si="7"/>
        <v>0.33616364446212416</v>
      </c>
      <c r="Z49" s="123">
        <f t="shared" si="8"/>
        <v>0.13473529903152268</v>
      </c>
      <c r="AA49" s="123">
        <f t="shared" si="9"/>
        <v>0.34369872452522043</v>
      </c>
      <c r="AB49" s="123">
        <f t="shared" si="10"/>
        <v>0.3480839839341196</v>
      </c>
      <c r="AC49" s="123">
        <f t="shared" si="11"/>
        <v>0.27304723444108597</v>
      </c>
      <c r="AD49" s="123">
        <f t="shared" si="12"/>
        <v>1.5821559001866945</v>
      </c>
      <c r="AE49" s="123">
        <f t="shared" si="13"/>
        <v>5.3943917703758064</v>
      </c>
      <c r="AF49" s="112"/>
      <c r="AG49" s="130">
        <f t="shared" si="14"/>
        <v>9.4959413325930823E-3</v>
      </c>
      <c r="AH49" s="130">
        <f t="shared" si="15"/>
        <v>1.674179091790742E-2</v>
      </c>
      <c r="AI49" s="130">
        <f t="shared" si="16"/>
        <v>1.5765039066218976E-2</v>
      </c>
      <c r="AJ49" s="130">
        <f t="shared" si="17"/>
        <v>1.6445938500122298E-2</v>
      </c>
      <c r="AK49" s="130">
        <f t="shared" si="18"/>
        <v>1.7579645181962783E-2</v>
      </c>
      <c r="AL49" s="130">
        <f t="shared" si="19"/>
        <v>1.2888661035037668E-2</v>
      </c>
      <c r="AM49" s="130">
        <f t="shared" si="20"/>
        <v>9.7503740018599124E-3</v>
      </c>
      <c r="AN49" s="130">
        <f t="shared" si="21"/>
        <v>5.2676244832091127E-3</v>
      </c>
      <c r="AO49" s="130">
        <f t="shared" si="22"/>
        <v>8.5701856304912331E-3</v>
      </c>
      <c r="AP49" s="130">
        <f t="shared" si="23"/>
        <v>8.451307061308656E-3</v>
      </c>
      <c r="AQ49" s="130">
        <f t="shared" si="24"/>
        <v>6.333733111600231E-3</v>
      </c>
      <c r="AR49" s="130">
        <f t="shared" si="25"/>
        <v>6.0496153412101648E-2</v>
      </c>
      <c r="AS49" s="130">
        <f t="shared" si="26"/>
        <v>1.4728473445829709E-2</v>
      </c>
      <c r="AU49" s="130">
        <f t="shared" si="27"/>
        <v>1.5268569158384289E-2</v>
      </c>
      <c r="AV49" s="130">
        <f t="shared" si="28"/>
        <v>8.1330451384185858E-3</v>
      </c>
      <c r="AW49" s="130">
        <f t="shared" si="29"/>
        <v>1.9948276311108196E-2</v>
      </c>
      <c r="AX49" s="130">
        <f t="shared" si="30"/>
        <v>1.4329324893906563E-2</v>
      </c>
    </row>
    <row r="50" spans="1:50">
      <c r="A50" s="115" t="s">
        <v>1</v>
      </c>
      <c r="B50" s="115" t="s">
        <v>250</v>
      </c>
      <c r="C50" s="115" t="s">
        <v>254</v>
      </c>
      <c r="D50" s="128" t="s">
        <v>302</v>
      </c>
      <c r="E50" s="129">
        <v>142</v>
      </c>
      <c r="F50" s="129">
        <v>505</v>
      </c>
      <c r="G50" s="129">
        <v>601</v>
      </c>
      <c r="H50" s="129">
        <v>1280</v>
      </c>
      <c r="I50" s="129">
        <v>1108</v>
      </c>
      <c r="J50" s="129">
        <v>826</v>
      </c>
      <c r="K50" s="129">
        <v>915</v>
      </c>
      <c r="L50" s="129">
        <v>105</v>
      </c>
      <c r="M50" s="129">
        <v>294</v>
      </c>
      <c r="N50" s="129">
        <v>818</v>
      </c>
      <c r="O50" s="129">
        <v>1186</v>
      </c>
      <c r="P50" s="129">
        <v>957</v>
      </c>
      <c r="Q50" s="129">
        <v>8737</v>
      </c>
      <c r="R50" s="110"/>
      <c r="S50" s="123">
        <f t="shared" si="1"/>
        <v>4.3270915545533502</v>
      </c>
      <c r="T50" s="123">
        <f t="shared" si="2"/>
        <v>15.181395125118744</v>
      </c>
      <c r="U50" s="123">
        <f t="shared" si="3"/>
        <v>17.25875788633342</v>
      </c>
      <c r="V50" s="123">
        <f t="shared" si="4"/>
        <v>36.895476268714368</v>
      </c>
      <c r="W50" s="123">
        <f t="shared" si="5"/>
        <v>31.783824098908504</v>
      </c>
      <c r="X50" s="123">
        <f t="shared" si="6"/>
        <v>23.555110689058282</v>
      </c>
      <c r="Y50" s="123">
        <f t="shared" si="7"/>
        <v>25.632477890236967</v>
      </c>
      <c r="Z50" s="123">
        <f t="shared" si="8"/>
        <v>2.8294412796619759</v>
      </c>
      <c r="AA50" s="123">
        <f t="shared" si="9"/>
        <v>7.7728788469549857</v>
      </c>
      <c r="AB50" s="123">
        <f t="shared" si="10"/>
        <v>21.902515296777683</v>
      </c>
      <c r="AC50" s="123">
        <f t="shared" si="11"/>
        <v>32.383402004712792</v>
      </c>
      <c r="AD50" s="123">
        <f t="shared" si="12"/>
        <v>26.105572353080458</v>
      </c>
      <c r="AE50" s="123">
        <f t="shared" si="13"/>
        <v>245.62794329411153</v>
      </c>
      <c r="AF50" s="112"/>
      <c r="AG50" s="130">
        <f t="shared" si="14"/>
        <v>0.26968473384564351</v>
      </c>
      <c r="AH50" s="130">
        <f t="shared" si="15"/>
        <v>0.76860040123120421</v>
      </c>
      <c r="AI50" s="130">
        <f t="shared" si="16"/>
        <v>0.86134440716341865</v>
      </c>
      <c r="AJ50" s="130">
        <f t="shared" si="17"/>
        <v>1.3156750800097838</v>
      </c>
      <c r="AK50" s="130">
        <f t="shared" si="18"/>
        <v>0.77912987446459048</v>
      </c>
      <c r="AL50" s="130">
        <f t="shared" si="19"/>
        <v>0.76043100106722239</v>
      </c>
      <c r="AM50" s="130">
        <f t="shared" si="20"/>
        <v>0.74346601764181819</v>
      </c>
      <c r="AN50" s="130">
        <f t="shared" si="21"/>
        <v>0.11062011414739134</v>
      </c>
      <c r="AO50" s="130">
        <f t="shared" si="22"/>
        <v>0.19381804425880175</v>
      </c>
      <c r="AP50" s="130">
        <f t="shared" si="23"/>
        <v>0.53178224431926779</v>
      </c>
      <c r="AQ50" s="130">
        <f t="shared" si="24"/>
        <v>0.7511807470357873</v>
      </c>
      <c r="AR50" s="130">
        <f t="shared" si="25"/>
        <v>0.99818653129967716</v>
      </c>
      <c r="AS50" s="130">
        <f t="shared" si="26"/>
        <v>0.67064551377755321</v>
      </c>
      <c r="AU50" s="130">
        <f t="shared" si="27"/>
        <v>0.82880913620363161</v>
      </c>
      <c r="AV50" s="130">
        <f t="shared" si="28"/>
        <v>0.36177276147778964</v>
      </c>
      <c r="AW50" s="130">
        <f t="shared" si="29"/>
        <v>0.72785413901829732</v>
      </c>
      <c r="AX50" s="130">
        <f t="shared" si="30"/>
        <v>0.55375737822896864</v>
      </c>
    </row>
    <row r="51" spans="1:50">
      <c r="A51" s="115" t="s">
        <v>4</v>
      </c>
      <c r="B51" s="115" t="s">
        <v>266</v>
      </c>
      <c r="C51" s="115" t="s">
        <v>303</v>
      </c>
      <c r="D51" s="128" t="s">
        <v>304</v>
      </c>
      <c r="E51" s="129">
        <v>79</v>
      </c>
      <c r="F51" s="129">
        <v>79</v>
      </c>
      <c r="G51" s="129">
        <v>79</v>
      </c>
      <c r="H51" s="129">
        <v>79</v>
      </c>
      <c r="I51" s="129">
        <v>79</v>
      </c>
      <c r="J51" s="129">
        <v>79</v>
      </c>
      <c r="K51" s="129">
        <v>871</v>
      </c>
      <c r="L51" s="129">
        <v>871</v>
      </c>
      <c r="M51" s="129">
        <v>1303</v>
      </c>
      <c r="N51" s="129">
        <v>-112</v>
      </c>
      <c r="O51" s="129">
        <v>116</v>
      </c>
      <c r="P51" s="129">
        <v>-2583</v>
      </c>
      <c r="Q51" s="129">
        <v>940</v>
      </c>
      <c r="R51" s="110"/>
      <c r="S51" s="123">
        <f t="shared" si="1"/>
        <v>2.4073255831670046</v>
      </c>
      <c r="T51" s="123">
        <f t="shared" si="2"/>
        <v>2.3749113166027342</v>
      </c>
      <c r="U51" s="123">
        <f t="shared" si="3"/>
        <v>2.2686220848924128</v>
      </c>
      <c r="V51" s="123">
        <f t="shared" si="4"/>
        <v>2.2771426759597149</v>
      </c>
      <c r="W51" s="123">
        <f t="shared" si="5"/>
        <v>2.2661751839474475</v>
      </c>
      <c r="X51" s="123">
        <f t="shared" si="6"/>
        <v>2.25284956953463</v>
      </c>
      <c r="Y51" s="123">
        <f t="shared" si="7"/>
        <v>24.399877860542514</v>
      </c>
      <c r="Z51" s="123">
        <f t="shared" si="8"/>
        <v>23.470889091291248</v>
      </c>
      <c r="AA51" s="123">
        <f t="shared" si="9"/>
        <v>34.449187542797098</v>
      </c>
      <c r="AB51" s="123">
        <f t="shared" si="10"/>
        <v>-2.9988774000478</v>
      </c>
      <c r="AC51" s="123">
        <f t="shared" si="11"/>
        <v>3.1673479195165974</v>
      </c>
      <c r="AD51" s="123">
        <f t="shared" si="12"/>
        <v>-70.460494658314346</v>
      </c>
      <c r="AE51" s="123">
        <f t="shared" si="13"/>
        <v>25.874956769889266</v>
      </c>
      <c r="AF51" s="112"/>
      <c r="AG51" s="130">
        <f t="shared" si="14"/>
        <v>0.15003587305497068</v>
      </c>
      <c r="AH51" s="130">
        <f t="shared" si="15"/>
        <v>0.12023649841042598</v>
      </c>
      <c r="AI51" s="130">
        <f t="shared" si="16"/>
        <v>0.11322164420284538</v>
      </c>
      <c r="AJ51" s="130">
        <f t="shared" si="17"/>
        <v>8.1201821344353844E-2</v>
      </c>
      <c r="AK51" s="130">
        <f t="shared" si="18"/>
        <v>5.5551678775002396E-2</v>
      </c>
      <c r="AL51" s="130">
        <f t="shared" si="19"/>
        <v>7.2728872983426854E-2</v>
      </c>
      <c r="AM51" s="130">
        <f t="shared" si="20"/>
        <v>0.70771464630166525</v>
      </c>
      <c r="AN51" s="130">
        <f t="shared" si="21"/>
        <v>0.91762018497502729</v>
      </c>
      <c r="AO51" s="130">
        <f t="shared" si="22"/>
        <v>0.85899629819462142</v>
      </c>
      <c r="AP51" s="130">
        <f t="shared" si="23"/>
        <v>-7.2811260835889971E-2</v>
      </c>
      <c r="AQ51" s="130">
        <f t="shared" si="24"/>
        <v>7.3471304094562678E-2</v>
      </c>
      <c r="AR51" s="130">
        <f t="shared" si="25"/>
        <v>-2.6941649010941133</v>
      </c>
      <c r="AS51" s="130">
        <f t="shared" si="26"/>
        <v>7.0647188769301442E-2</v>
      </c>
      <c r="AU51" s="130">
        <f t="shared" si="27"/>
        <v>8.8964300077122888E-2</v>
      </c>
      <c r="AV51" s="130">
        <f t="shared" si="28"/>
        <v>0.82189273549686848</v>
      </c>
      <c r="AW51" s="130">
        <f t="shared" si="29"/>
        <v>-0.63641488582024042</v>
      </c>
      <c r="AX51" s="130">
        <f t="shared" si="30"/>
        <v>5.7110239143556549E-2</v>
      </c>
    </row>
    <row r="52" spans="1:50">
      <c r="A52" s="115" t="s">
        <v>4</v>
      </c>
      <c r="B52" s="115" t="s">
        <v>266</v>
      </c>
      <c r="C52" s="115" t="s">
        <v>254</v>
      </c>
      <c r="D52" s="128" t="s">
        <v>305</v>
      </c>
      <c r="E52" s="129">
        <v>-38</v>
      </c>
      <c r="F52" s="129">
        <v>-457</v>
      </c>
      <c r="G52" s="129">
        <v>-208</v>
      </c>
      <c r="H52" s="129">
        <v>-190</v>
      </c>
      <c r="I52" s="129">
        <v>-137</v>
      </c>
      <c r="J52" s="129">
        <v>-83</v>
      </c>
      <c r="K52" s="129">
        <v>-222</v>
      </c>
      <c r="L52" s="129">
        <v>-1690</v>
      </c>
      <c r="M52" s="129">
        <v>-2552</v>
      </c>
      <c r="N52" s="129">
        <v>572</v>
      </c>
      <c r="O52" s="129">
        <v>44</v>
      </c>
      <c r="P52" s="129">
        <v>-448</v>
      </c>
      <c r="Q52" s="129">
        <v>-5409</v>
      </c>
      <c r="R52" s="110"/>
      <c r="S52" s="123">
        <f t="shared" si="1"/>
        <v>-1.1579540779790656</v>
      </c>
      <c r="T52" s="123">
        <f t="shared" si="2"/>
        <v>-13.738411034018348</v>
      </c>
      <c r="U52" s="123">
        <f t="shared" si="3"/>
        <v>-5.9730809323749607</v>
      </c>
      <c r="V52" s="123">
        <f t="shared" si="4"/>
        <v>-5.4766722586372891</v>
      </c>
      <c r="W52" s="123">
        <f t="shared" si="5"/>
        <v>-3.9299493696303838</v>
      </c>
      <c r="X52" s="123">
        <f t="shared" si="6"/>
        <v>-2.3669179021692948</v>
      </c>
      <c r="Y52" s="123">
        <f t="shared" si="7"/>
        <v>-6.2190274225492974</v>
      </c>
      <c r="Z52" s="123">
        <f t="shared" si="8"/>
        <v>-45.540531072654666</v>
      </c>
      <c r="AA52" s="123">
        <f t="shared" si="9"/>
        <v>-67.470703460643279</v>
      </c>
      <c r="AB52" s="123">
        <f t="shared" si="10"/>
        <v>15.315695293101264</v>
      </c>
      <c r="AC52" s="123">
        <f t="shared" si="11"/>
        <v>1.2014078315407783</v>
      </c>
      <c r="AD52" s="123">
        <f t="shared" si="12"/>
        <v>-12.220790401442054</v>
      </c>
      <c r="AE52" s="123">
        <f t="shared" si="13"/>
        <v>-147.57693480745658</v>
      </c>
      <c r="AF52" s="112"/>
      <c r="AG52" s="130">
        <f t="shared" si="14"/>
        <v>-7.2169154127707427E-2</v>
      </c>
      <c r="AH52" s="130">
        <f t="shared" si="15"/>
        <v>-0.69554531358942628</v>
      </c>
      <c r="AI52" s="130">
        <f t="shared" si="16"/>
        <v>-0.29810255688850429</v>
      </c>
      <c r="AJ52" s="130">
        <f t="shared" si="17"/>
        <v>-0.19529551968895228</v>
      </c>
      <c r="AK52" s="130">
        <f t="shared" si="18"/>
        <v>-9.6336455597156048E-2</v>
      </c>
      <c r="AL52" s="130">
        <f t="shared" si="19"/>
        <v>-7.6411347564866186E-2</v>
      </c>
      <c r="AM52" s="130">
        <f t="shared" si="20"/>
        <v>-0.18038191903440837</v>
      </c>
      <c r="AN52" s="130">
        <f t="shared" si="21"/>
        <v>-1.78045707532468</v>
      </c>
      <c r="AO52" s="130">
        <f t="shared" si="22"/>
        <v>-1.682393363770279</v>
      </c>
      <c r="AP52" s="130">
        <f t="shared" si="23"/>
        <v>0.37185751069758088</v>
      </c>
      <c r="AQ52" s="130">
        <f t="shared" si="24"/>
        <v>2.7868425691041018E-2</v>
      </c>
      <c r="AR52" s="130">
        <f t="shared" si="25"/>
        <v>-0.46728063325209551</v>
      </c>
      <c r="AS52" s="130">
        <f t="shared" si="26"/>
        <v>-0.4029338353704966</v>
      </c>
      <c r="AU52" s="130">
        <f t="shared" si="27"/>
        <v>-0.20972447637801783</v>
      </c>
      <c r="AV52" s="130">
        <f t="shared" si="28"/>
        <v>-1.1904098678685615</v>
      </c>
      <c r="AW52" s="130">
        <f t="shared" si="29"/>
        <v>3.8898259150746829E-2</v>
      </c>
      <c r="AX52" s="130">
        <f t="shared" si="30"/>
        <v>-0.54572192656841478</v>
      </c>
    </row>
    <row r="53" spans="1:50">
      <c r="A53" s="115" t="s">
        <v>4</v>
      </c>
      <c r="B53" s="115" t="s">
        <v>266</v>
      </c>
      <c r="C53" s="115" t="s">
        <v>267</v>
      </c>
      <c r="D53" s="128" t="s">
        <v>306</v>
      </c>
      <c r="E53" s="129">
        <v>-131</v>
      </c>
      <c r="F53" s="129">
        <v>0</v>
      </c>
      <c r="G53" s="129">
        <v>0</v>
      </c>
      <c r="H53" s="129">
        <v>0</v>
      </c>
      <c r="I53" s="129">
        <v>0</v>
      </c>
      <c r="J53" s="129">
        <v>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-131</v>
      </c>
      <c r="R53" s="110"/>
      <c r="S53" s="123">
        <f t="shared" si="1"/>
        <v>-3.9918943214541467</v>
      </c>
      <c r="T53" s="123">
        <f t="shared" si="2"/>
        <v>0</v>
      </c>
      <c r="U53" s="123">
        <f t="shared" si="3"/>
        <v>0</v>
      </c>
      <c r="V53" s="123">
        <f t="shared" si="4"/>
        <v>0</v>
      </c>
      <c r="W53" s="123">
        <f t="shared" si="5"/>
        <v>0</v>
      </c>
      <c r="X53" s="123">
        <f t="shared" si="6"/>
        <v>0</v>
      </c>
      <c r="Y53" s="123">
        <f t="shared" si="7"/>
        <v>0</v>
      </c>
      <c r="Z53" s="123">
        <f t="shared" si="8"/>
        <v>0</v>
      </c>
      <c r="AA53" s="123">
        <f t="shared" si="9"/>
        <v>0</v>
      </c>
      <c r="AB53" s="123">
        <f t="shared" si="10"/>
        <v>0</v>
      </c>
      <c r="AC53" s="123">
        <f t="shared" si="11"/>
        <v>0</v>
      </c>
      <c r="AD53" s="123">
        <f t="shared" si="12"/>
        <v>0</v>
      </c>
      <c r="AE53" s="123">
        <f t="shared" si="13"/>
        <v>-3.9918943214541467</v>
      </c>
      <c r="AF53" s="112"/>
      <c r="AG53" s="130">
        <f t="shared" si="14"/>
        <v>-0.24879366291393873</v>
      </c>
      <c r="AH53" s="130">
        <f t="shared" si="15"/>
        <v>0</v>
      </c>
      <c r="AI53" s="130">
        <f t="shared" si="16"/>
        <v>0</v>
      </c>
      <c r="AJ53" s="130">
        <f t="shared" si="17"/>
        <v>0</v>
      </c>
      <c r="AK53" s="130">
        <f t="shared" si="18"/>
        <v>0</v>
      </c>
      <c r="AL53" s="130">
        <f t="shared" si="19"/>
        <v>0</v>
      </c>
      <c r="AM53" s="130">
        <f t="shared" si="20"/>
        <v>0</v>
      </c>
      <c r="AN53" s="130">
        <f t="shared" si="21"/>
        <v>0</v>
      </c>
      <c r="AO53" s="130">
        <f t="shared" si="22"/>
        <v>0</v>
      </c>
      <c r="AP53" s="130">
        <f t="shared" si="23"/>
        <v>0</v>
      </c>
      <c r="AQ53" s="130">
        <f t="shared" si="24"/>
        <v>0</v>
      </c>
      <c r="AR53" s="130">
        <f t="shared" si="25"/>
        <v>0</v>
      </c>
      <c r="AS53" s="130">
        <f t="shared" si="26"/>
        <v>-1.089919160765734E-2</v>
      </c>
      <c r="AU53" s="130">
        <f t="shared" si="27"/>
        <v>-2.5647100949290038E-2</v>
      </c>
      <c r="AV53" s="130">
        <f t="shared" si="28"/>
        <v>0</v>
      </c>
      <c r="AW53" s="130">
        <f t="shared" si="29"/>
        <v>0</v>
      </c>
      <c r="AX53" s="130">
        <f t="shared" si="30"/>
        <v>0</v>
      </c>
    </row>
    <row r="54" spans="1:50">
      <c r="A54" s="115" t="s">
        <v>4</v>
      </c>
      <c r="B54" s="115" t="s">
        <v>266</v>
      </c>
      <c r="C54" s="115" t="s">
        <v>267</v>
      </c>
      <c r="D54" s="128" t="s">
        <v>307</v>
      </c>
      <c r="E54" s="129">
        <v>386</v>
      </c>
      <c r="F54" s="129">
        <v>396</v>
      </c>
      <c r="G54" s="129">
        <v>427</v>
      </c>
      <c r="H54" s="129">
        <v>382</v>
      </c>
      <c r="I54" s="129">
        <v>373</v>
      </c>
      <c r="J54" s="129">
        <v>501</v>
      </c>
      <c r="K54" s="129">
        <v>502</v>
      </c>
      <c r="L54" s="129">
        <v>352</v>
      </c>
      <c r="M54" s="129">
        <v>352</v>
      </c>
      <c r="N54" s="129">
        <v>352</v>
      </c>
      <c r="O54" s="129">
        <v>352</v>
      </c>
      <c r="P54" s="129">
        <v>385</v>
      </c>
      <c r="Q54" s="129">
        <v>4760</v>
      </c>
      <c r="R54" s="110"/>
      <c r="S54" s="123">
        <f t="shared" si="1"/>
        <v>11.762375634208402</v>
      </c>
      <c r="T54" s="123">
        <f t="shared" si="2"/>
        <v>11.904618751578264</v>
      </c>
      <c r="U54" s="123">
        <f t="shared" si="3"/>
        <v>12.262045952519751</v>
      </c>
      <c r="V54" s="123">
        <f t="shared" si="4"/>
        <v>11.010993698944445</v>
      </c>
      <c r="W54" s="123">
        <f t="shared" si="5"/>
        <v>10.699789159650607</v>
      </c>
      <c r="X54" s="123">
        <f t="shared" si="6"/>
        <v>14.287058662491766</v>
      </c>
      <c r="Y54" s="123">
        <f t="shared" si="7"/>
        <v>14.062845793332194</v>
      </c>
      <c r="Z54" s="123">
        <f t="shared" si="8"/>
        <v>9.4853650518191959</v>
      </c>
      <c r="AA54" s="123">
        <f t="shared" si="9"/>
        <v>9.3063039256059685</v>
      </c>
      <c r="AB54" s="123">
        <f t="shared" si="10"/>
        <v>9.4250432572930851</v>
      </c>
      <c r="AC54" s="123">
        <f t="shared" si="11"/>
        <v>9.6112626523262268</v>
      </c>
      <c r="AD54" s="123">
        <f t="shared" si="12"/>
        <v>10.502241751239264</v>
      </c>
      <c r="AE54" s="123">
        <f t="shared" si="13"/>
        <v>134.31994429100919</v>
      </c>
      <c r="AF54" s="112"/>
      <c r="AG54" s="130">
        <f t="shared" si="14"/>
        <v>0.73308667087618584</v>
      </c>
      <c r="AH54" s="130">
        <f t="shared" si="15"/>
        <v>0.60270447304466712</v>
      </c>
      <c r="AI54" s="130">
        <f t="shared" si="16"/>
        <v>0.61197015284322753</v>
      </c>
      <c r="AJ54" s="130">
        <f t="shared" si="17"/>
        <v>0.39264678169041989</v>
      </c>
      <c r="AK54" s="130">
        <f t="shared" si="18"/>
        <v>0.26228830611488474</v>
      </c>
      <c r="AL54" s="130">
        <f t="shared" si="19"/>
        <v>0.46122994132527656</v>
      </c>
      <c r="AM54" s="130">
        <f t="shared" si="20"/>
        <v>0.40789064574447292</v>
      </c>
      <c r="AN54" s="130">
        <f t="shared" si="21"/>
        <v>0.37084076361792145</v>
      </c>
      <c r="AO54" s="130">
        <f t="shared" si="22"/>
        <v>0.23205425707176264</v>
      </c>
      <c r="AP54" s="130">
        <f t="shared" si="23"/>
        <v>0.22883539119851132</v>
      </c>
      <c r="AQ54" s="130">
        <f t="shared" si="24"/>
        <v>0.22294740552832815</v>
      </c>
      <c r="AR54" s="130">
        <f t="shared" si="25"/>
        <v>0.40156929420101956</v>
      </c>
      <c r="AS54" s="130">
        <f t="shared" si="26"/>
        <v>0.36673786720493096</v>
      </c>
      <c r="AU54" s="130">
        <f t="shared" si="27"/>
        <v>0.46211543980541375</v>
      </c>
      <c r="AV54" s="130">
        <f t="shared" si="28"/>
        <v>0.32802359019915689</v>
      </c>
      <c r="AW54" s="130">
        <f t="shared" si="29"/>
        <v>0.26743818615535153</v>
      </c>
      <c r="AX54" s="130">
        <f t="shared" si="30"/>
        <v>0.29625069409007176</v>
      </c>
    </row>
    <row r="55" spans="1:50">
      <c r="A55" s="115" t="s">
        <v>4</v>
      </c>
      <c r="B55" s="115" t="s">
        <v>266</v>
      </c>
      <c r="C55" s="115" t="s">
        <v>271</v>
      </c>
      <c r="D55" s="128" t="s">
        <v>308</v>
      </c>
      <c r="E55" s="129">
        <v>32</v>
      </c>
      <c r="F55" s="129">
        <v>34</v>
      </c>
      <c r="G55" s="129">
        <v>31</v>
      </c>
      <c r="H55" s="129">
        <v>34</v>
      </c>
      <c r="I55" s="129">
        <v>31</v>
      </c>
      <c r="J55" s="129">
        <v>32</v>
      </c>
      <c r="K55" s="129">
        <v>35</v>
      </c>
      <c r="L55" s="129">
        <v>32</v>
      </c>
      <c r="M55" s="129">
        <v>33</v>
      </c>
      <c r="N55" s="129">
        <v>-22</v>
      </c>
      <c r="O55" s="129">
        <v>36</v>
      </c>
      <c r="P55" s="129">
        <v>-104</v>
      </c>
      <c r="Q55" s="129">
        <v>204</v>
      </c>
      <c r="R55" s="110"/>
      <c r="S55" s="123">
        <f t="shared" si="1"/>
        <v>0.9751192235613183</v>
      </c>
      <c r="T55" s="123">
        <f t="shared" si="2"/>
        <v>1.0221137311961135</v>
      </c>
      <c r="U55" s="123">
        <f t="shared" si="3"/>
        <v>0.89021879280588356</v>
      </c>
      <c r="V55" s="123">
        <f t="shared" si="4"/>
        <v>0.98003608838772538</v>
      </c>
      <c r="W55" s="123">
        <f t="shared" si="5"/>
        <v>0.88925861648570725</v>
      </c>
      <c r="X55" s="123">
        <f t="shared" si="6"/>
        <v>0.91254666107731841</v>
      </c>
      <c r="Y55" s="123">
        <f t="shared" si="7"/>
        <v>0.98047729634786218</v>
      </c>
      <c r="Z55" s="123">
        <f t="shared" si="8"/>
        <v>0.86230591380174504</v>
      </c>
      <c r="AA55" s="123">
        <f t="shared" si="9"/>
        <v>0.87246599302555961</v>
      </c>
      <c r="AB55" s="123">
        <f t="shared" si="10"/>
        <v>-0.58906520358081782</v>
      </c>
      <c r="AC55" s="123">
        <f t="shared" si="11"/>
        <v>0.98297004398790944</v>
      </c>
      <c r="AD55" s="123">
        <f t="shared" si="12"/>
        <v>-2.8369692003347624</v>
      </c>
      <c r="AE55" s="123">
        <f t="shared" si="13"/>
        <v>5.9414779567615614</v>
      </c>
      <c r="AF55" s="112"/>
      <c r="AG55" s="130">
        <f t="shared" si="14"/>
        <v>6.0774024528595719E-2</v>
      </c>
      <c r="AH55" s="130">
        <f t="shared" si="15"/>
        <v>5.1747353746259286E-2</v>
      </c>
      <c r="AI55" s="130">
        <f t="shared" si="16"/>
        <v>4.4428746459344394E-2</v>
      </c>
      <c r="AJ55" s="130">
        <f t="shared" si="17"/>
        <v>3.494761931275988E-2</v>
      </c>
      <c r="AK55" s="130">
        <f t="shared" si="18"/>
        <v>2.179876002563385E-2</v>
      </c>
      <c r="AL55" s="130">
        <f t="shared" si="19"/>
        <v>2.9459796651514669E-2</v>
      </c>
      <c r="AM55" s="130">
        <f t="shared" si="20"/>
        <v>2.8438590838758077E-2</v>
      </c>
      <c r="AN55" s="130">
        <f t="shared" si="21"/>
        <v>3.3712796692538315E-2</v>
      </c>
      <c r="AO55" s="130">
        <f t="shared" si="22"/>
        <v>2.1755086600477747E-2</v>
      </c>
      <c r="AP55" s="130">
        <f t="shared" si="23"/>
        <v>-1.4302211949906957E-2</v>
      </c>
      <c r="AQ55" s="130">
        <f t="shared" si="24"/>
        <v>2.280143920176083E-2</v>
      </c>
      <c r="AR55" s="130">
        <f t="shared" si="25"/>
        <v>-0.10847586129066503</v>
      </c>
      <c r="AS55" s="130">
        <f t="shared" si="26"/>
        <v>1.622219965478125E-2</v>
      </c>
      <c r="AU55" s="130">
        <f t="shared" si="27"/>
        <v>3.6424043595533903E-2</v>
      </c>
      <c r="AV55" s="130">
        <f t="shared" si="28"/>
        <v>2.710938810466525E-2</v>
      </c>
      <c r="AW55" s="130">
        <f t="shared" si="29"/>
        <v>-2.2119188410390865E-2</v>
      </c>
      <c r="AX55" s="130">
        <f t="shared" si="30"/>
        <v>1.2923704269404274E-3</v>
      </c>
    </row>
    <row r="56" spans="1:50">
      <c r="A56" s="115" t="s">
        <v>4</v>
      </c>
      <c r="B56" s="115" t="s">
        <v>266</v>
      </c>
      <c r="C56" s="115" t="s">
        <v>267</v>
      </c>
      <c r="D56" s="128" t="s">
        <v>309</v>
      </c>
      <c r="E56" s="129">
        <v>0</v>
      </c>
      <c r="F56" s="129">
        <v>0</v>
      </c>
      <c r="G56" s="129">
        <v>0</v>
      </c>
      <c r="H56" s="129">
        <v>1</v>
      </c>
      <c r="I56" s="129">
        <v>-4.0017766878008842E-11</v>
      </c>
      <c r="J56" s="129">
        <v>0</v>
      </c>
      <c r="K56" s="129">
        <v>0</v>
      </c>
      <c r="L56" s="129">
        <v>0</v>
      </c>
      <c r="M56" s="129">
        <v>0</v>
      </c>
      <c r="N56" s="129">
        <v>1</v>
      </c>
      <c r="O56" s="129">
        <v>151</v>
      </c>
      <c r="P56" s="129">
        <v>0</v>
      </c>
      <c r="Q56" s="129">
        <v>152.99999999995998</v>
      </c>
      <c r="R56" s="110"/>
      <c r="S56" s="123">
        <f t="shared" si="1"/>
        <v>0</v>
      </c>
      <c r="T56" s="123">
        <f t="shared" si="2"/>
        <v>0</v>
      </c>
      <c r="U56" s="123">
        <f t="shared" si="3"/>
        <v>0</v>
      </c>
      <c r="V56" s="123">
        <f t="shared" si="4"/>
        <v>2.8824590834933099E-2</v>
      </c>
      <c r="W56" s="123">
        <f t="shared" si="5"/>
        <v>-1.147940129315668E-12</v>
      </c>
      <c r="X56" s="123">
        <f t="shared" si="6"/>
        <v>0</v>
      </c>
      <c r="Y56" s="123">
        <f t="shared" si="7"/>
        <v>0</v>
      </c>
      <c r="Z56" s="123">
        <f t="shared" si="8"/>
        <v>0</v>
      </c>
      <c r="AA56" s="123">
        <f t="shared" si="9"/>
        <v>0</v>
      </c>
      <c r="AB56" s="123">
        <f t="shared" si="10"/>
        <v>2.6775691071855356E-2</v>
      </c>
      <c r="AC56" s="123">
        <f t="shared" si="11"/>
        <v>4.1230132400603985</v>
      </c>
      <c r="AD56" s="123">
        <f t="shared" si="12"/>
        <v>0</v>
      </c>
      <c r="AE56" s="123">
        <f t="shared" si="13"/>
        <v>4.1786135219660387</v>
      </c>
      <c r="AF56" s="112"/>
      <c r="AG56" s="130">
        <f t="shared" si="14"/>
        <v>0</v>
      </c>
      <c r="AH56" s="130">
        <f t="shared" si="15"/>
        <v>0</v>
      </c>
      <c r="AI56" s="130">
        <f t="shared" si="16"/>
        <v>0</v>
      </c>
      <c r="AJ56" s="130">
        <f t="shared" si="17"/>
        <v>1.0278711562576436E-3</v>
      </c>
      <c r="AK56" s="130">
        <f t="shared" si="18"/>
        <v>-2.8139925707595918E-14</v>
      </c>
      <c r="AL56" s="130">
        <f t="shared" si="19"/>
        <v>0</v>
      </c>
      <c r="AM56" s="130">
        <f t="shared" si="20"/>
        <v>0</v>
      </c>
      <c r="AN56" s="130">
        <f t="shared" si="21"/>
        <v>0</v>
      </c>
      <c r="AO56" s="130">
        <f t="shared" si="22"/>
        <v>0</v>
      </c>
      <c r="AP56" s="130">
        <f t="shared" si="23"/>
        <v>6.5010054317758898E-4</v>
      </c>
      <c r="AQ56" s="130">
        <f t="shared" si="24"/>
        <v>9.5639369985163508E-2</v>
      </c>
      <c r="AR56" s="130">
        <f t="shared" si="25"/>
        <v>0</v>
      </c>
      <c r="AS56" s="130">
        <f t="shared" si="26"/>
        <v>1.1408996772656391E-2</v>
      </c>
      <c r="AU56" s="130">
        <f t="shared" si="27"/>
        <v>1.8519207459048463E-4</v>
      </c>
      <c r="AV56" s="130">
        <f t="shared" si="28"/>
        <v>0</v>
      </c>
      <c r="AW56" s="130">
        <f t="shared" si="29"/>
        <v>3.7571651707852011E-2</v>
      </c>
      <c r="AX56" s="130">
        <f t="shared" si="30"/>
        <v>1.9703758771620655E-2</v>
      </c>
    </row>
    <row r="57" spans="1:50">
      <c r="A57" s="115" t="s">
        <v>8</v>
      </c>
      <c r="B57" s="115" t="s">
        <v>9</v>
      </c>
      <c r="C57" s="115" t="s">
        <v>8</v>
      </c>
      <c r="D57" s="128" t="s">
        <v>310</v>
      </c>
      <c r="E57" s="129">
        <v>0</v>
      </c>
      <c r="F57" s="129">
        <v>0</v>
      </c>
      <c r="G57" s="129">
        <v>-110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-39</v>
      </c>
      <c r="P57" s="129">
        <v>0</v>
      </c>
      <c r="Q57" s="129">
        <v>-149</v>
      </c>
      <c r="R57" s="110"/>
      <c r="S57" s="123">
        <f t="shared" si="1"/>
        <v>0</v>
      </c>
      <c r="T57" s="123">
        <f t="shared" si="2"/>
        <v>0</v>
      </c>
      <c r="U57" s="123">
        <f t="shared" si="3"/>
        <v>-3.1588408776982964</v>
      </c>
      <c r="V57" s="123">
        <f t="shared" si="4"/>
        <v>0</v>
      </c>
      <c r="W57" s="123">
        <f t="shared" si="5"/>
        <v>0</v>
      </c>
      <c r="X57" s="123">
        <f t="shared" si="6"/>
        <v>0</v>
      </c>
      <c r="Y57" s="123">
        <f t="shared" si="7"/>
        <v>0</v>
      </c>
      <c r="Z57" s="123">
        <f t="shared" si="8"/>
        <v>0</v>
      </c>
      <c r="AA57" s="123">
        <f t="shared" si="9"/>
        <v>0</v>
      </c>
      <c r="AB57" s="123">
        <f t="shared" si="10"/>
        <v>0</v>
      </c>
      <c r="AC57" s="123">
        <f t="shared" si="11"/>
        <v>-1.0648842143202353</v>
      </c>
      <c r="AD57" s="123">
        <f t="shared" si="12"/>
        <v>0</v>
      </c>
      <c r="AE57" s="123">
        <f t="shared" si="13"/>
        <v>-4.2237250920185314</v>
      </c>
      <c r="AF57" s="112"/>
      <c r="AG57" s="130">
        <f t="shared" si="14"/>
        <v>0</v>
      </c>
      <c r="AH57" s="130">
        <f t="shared" si="15"/>
        <v>0</v>
      </c>
      <c r="AI57" s="130">
        <f t="shared" si="16"/>
        <v>-0.15765039066218978</v>
      </c>
      <c r="AJ57" s="130">
        <f t="shared" si="17"/>
        <v>0</v>
      </c>
      <c r="AK57" s="130">
        <f t="shared" si="18"/>
        <v>0</v>
      </c>
      <c r="AL57" s="130">
        <f t="shared" si="19"/>
        <v>0</v>
      </c>
      <c r="AM57" s="130">
        <f t="shared" si="20"/>
        <v>0</v>
      </c>
      <c r="AN57" s="130">
        <f t="shared" si="21"/>
        <v>0</v>
      </c>
      <c r="AO57" s="130">
        <f t="shared" si="22"/>
        <v>0</v>
      </c>
      <c r="AP57" s="130">
        <f t="shared" si="23"/>
        <v>0</v>
      </c>
      <c r="AQ57" s="130">
        <f t="shared" si="24"/>
        <v>-2.4701559135240903E-2</v>
      </c>
      <c r="AR57" s="130">
        <f t="shared" si="25"/>
        <v>0</v>
      </c>
      <c r="AS57" s="130">
        <f t="shared" si="26"/>
        <v>-1.1532166277190085E-2</v>
      </c>
      <c r="AU57" s="130">
        <f t="shared" si="27"/>
        <v>-2.0294903709665437E-2</v>
      </c>
      <c r="AV57" s="130">
        <f t="shared" si="28"/>
        <v>0</v>
      </c>
      <c r="AW57" s="130">
        <f t="shared" si="29"/>
        <v>-9.6413238055249907E-3</v>
      </c>
      <c r="AX57" s="130">
        <f t="shared" si="30"/>
        <v>-5.0562141898980346E-3</v>
      </c>
    </row>
    <row r="58" spans="1:50">
      <c r="A58" s="115" t="s">
        <v>8</v>
      </c>
      <c r="B58" s="115" t="s">
        <v>9</v>
      </c>
      <c r="C58" s="115" t="s">
        <v>8</v>
      </c>
      <c r="D58" s="128" t="s">
        <v>311</v>
      </c>
      <c r="E58" s="129">
        <v>0</v>
      </c>
      <c r="F58" s="129">
        <v>0</v>
      </c>
      <c r="G58" s="129">
        <v>0</v>
      </c>
      <c r="H58" s="129">
        <v>29</v>
      </c>
      <c r="I58" s="129">
        <v>0</v>
      </c>
      <c r="J58" s="129">
        <v>0</v>
      </c>
      <c r="K58" s="129">
        <v>0</v>
      </c>
      <c r="L58" s="129">
        <v>0</v>
      </c>
      <c r="M58" s="129">
        <v>0</v>
      </c>
      <c r="N58" s="129">
        <v>0</v>
      </c>
      <c r="O58" s="129">
        <v>34</v>
      </c>
      <c r="P58" s="129">
        <v>1.964508555829525E-10</v>
      </c>
      <c r="Q58" s="129">
        <v>63.000000000196451</v>
      </c>
      <c r="R58" s="110"/>
      <c r="S58" s="123">
        <f t="shared" si="1"/>
        <v>0</v>
      </c>
      <c r="T58" s="123">
        <f t="shared" si="2"/>
        <v>0</v>
      </c>
      <c r="U58" s="123">
        <f t="shared" si="3"/>
        <v>0</v>
      </c>
      <c r="V58" s="123">
        <f t="shared" si="4"/>
        <v>0.83591313421305991</v>
      </c>
      <c r="W58" s="123">
        <f t="shared" si="5"/>
        <v>0</v>
      </c>
      <c r="X58" s="123">
        <f t="shared" si="6"/>
        <v>0</v>
      </c>
      <c r="Y58" s="123">
        <f t="shared" si="7"/>
        <v>0</v>
      </c>
      <c r="Z58" s="123">
        <f t="shared" si="8"/>
        <v>0</v>
      </c>
      <c r="AA58" s="123">
        <f t="shared" si="9"/>
        <v>0</v>
      </c>
      <c r="AB58" s="123">
        <f t="shared" si="10"/>
        <v>0</v>
      </c>
      <c r="AC58" s="123">
        <f t="shared" si="11"/>
        <v>0.92836059709969232</v>
      </c>
      <c r="AD58" s="123">
        <f t="shared" si="12"/>
        <v>5.3588944871946986E-12</v>
      </c>
      <c r="AE58" s="123">
        <f t="shared" si="13"/>
        <v>1.7642737313181112</v>
      </c>
      <c r="AF58" s="112"/>
      <c r="AG58" s="130">
        <f t="shared" si="14"/>
        <v>0</v>
      </c>
      <c r="AH58" s="130">
        <f t="shared" si="15"/>
        <v>0</v>
      </c>
      <c r="AI58" s="130">
        <f t="shared" si="16"/>
        <v>0</v>
      </c>
      <c r="AJ58" s="130">
        <f t="shared" si="17"/>
        <v>2.9808263531471667E-2</v>
      </c>
      <c r="AK58" s="130">
        <f t="shared" si="18"/>
        <v>0</v>
      </c>
      <c r="AL58" s="130">
        <f t="shared" si="19"/>
        <v>0</v>
      </c>
      <c r="AM58" s="130">
        <f t="shared" si="20"/>
        <v>0</v>
      </c>
      <c r="AN58" s="130">
        <f t="shared" si="21"/>
        <v>0</v>
      </c>
      <c r="AO58" s="130">
        <f t="shared" si="22"/>
        <v>0</v>
      </c>
      <c r="AP58" s="130">
        <f t="shared" si="23"/>
        <v>0</v>
      </c>
      <c r="AQ58" s="130">
        <f t="shared" si="24"/>
        <v>2.1534692579440788E-2</v>
      </c>
      <c r="AR58" s="130">
        <f t="shared" si="25"/>
        <v>2.0490553616008485E-13</v>
      </c>
      <c r="AS58" s="130">
        <f t="shared" si="26"/>
        <v>4.8170507276825807E-3</v>
      </c>
      <c r="AU58" s="130">
        <f t="shared" si="27"/>
        <v>5.3705701633379377E-3</v>
      </c>
      <c r="AV58" s="130">
        <f t="shared" si="28"/>
        <v>0</v>
      </c>
      <c r="AW58" s="130">
        <f t="shared" si="29"/>
        <v>8.4052566510190233E-3</v>
      </c>
      <c r="AX58" s="130">
        <f t="shared" si="30"/>
        <v>4.4079816014750139E-3</v>
      </c>
    </row>
    <row r="59" spans="1:50">
      <c r="A59" s="115" t="s">
        <v>4</v>
      </c>
      <c r="B59" s="115" t="s">
        <v>266</v>
      </c>
      <c r="C59" s="115" t="s">
        <v>267</v>
      </c>
      <c r="D59" s="128" t="s">
        <v>312</v>
      </c>
      <c r="E59" s="129"/>
      <c r="F59" s="129"/>
      <c r="G59" s="129"/>
      <c r="H59" s="129"/>
      <c r="I59" s="129"/>
      <c r="J59" s="129"/>
      <c r="K59" s="129"/>
      <c r="L59" s="129"/>
      <c r="M59" s="129"/>
      <c r="N59" s="129">
        <v>-4</v>
      </c>
      <c r="O59" s="129">
        <v>0</v>
      </c>
      <c r="P59" s="129">
        <v>0</v>
      </c>
      <c r="Q59" s="129">
        <v>-4</v>
      </c>
      <c r="R59" s="110"/>
      <c r="S59" s="123"/>
      <c r="T59" s="123"/>
      <c r="U59" s="123"/>
      <c r="V59" s="123"/>
      <c r="W59" s="123"/>
      <c r="X59" s="123"/>
      <c r="Y59" s="123"/>
      <c r="Z59" s="123"/>
      <c r="AA59" s="123"/>
      <c r="AB59" s="123">
        <f t="shared" si="10"/>
        <v>-0.10710276428742142</v>
      </c>
      <c r="AC59" s="123">
        <f t="shared" si="11"/>
        <v>0</v>
      </c>
      <c r="AD59" s="123">
        <f t="shared" si="12"/>
        <v>0</v>
      </c>
      <c r="AE59" s="123">
        <f t="shared" si="13"/>
        <v>-0.10710276428742142</v>
      </c>
      <c r="AF59" s="112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>
        <f t="shared" si="23"/>
        <v>-2.6004021727103559E-3</v>
      </c>
      <c r="AQ59" s="130">
        <f t="shared" si="24"/>
        <v>0</v>
      </c>
      <c r="AR59" s="130">
        <f t="shared" si="25"/>
        <v>0</v>
      </c>
      <c r="AS59" s="130"/>
      <c r="AU59" s="130"/>
      <c r="AV59" s="130"/>
      <c r="AW59" s="130">
        <f t="shared" si="29"/>
        <v>-9.6969456122608796E-4</v>
      </c>
      <c r="AX59" s="130">
        <f t="shared" si="30"/>
        <v>-5.0853840190790247E-4</v>
      </c>
    </row>
    <row r="60" spans="1:50">
      <c r="A60" s="115"/>
      <c r="B60" s="115"/>
      <c r="C60" s="115"/>
      <c r="D60" s="131" t="s">
        <v>313</v>
      </c>
      <c r="E60" s="132">
        <v>6122</v>
      </c>
      <c r="F60" s="132">
        <v>6874</v>
      </c>
      <c r="G60" s="132">
        <v>7320</v>
      </c>
      <c r="H60" s="132">
        <v>8417</v>
      </c>
      <c r="I60" s="132">
        <v>8291</v>
      </c>
      <c r="J60" s="132">
        <v>8121</v>
      </c>
      <c r="K60" s="132">
        <v>9034</v>
      </c>
      <c r="L60" s="132">
        <v>3967</v>
      </c>
      <c r="M60" s="132">
        <v>4608</v>
      </c>
      <c r="N60" s="132">
        <v>9566</v>
      </c>
      <c r="O60" s="132">
        <v>7979.9999999986994</v>
      </c>
      <c r="P60" s="132">
        <v>853.0000000002965</v>
      </c>
      <c r="Q60" s="132">
        <v>81152.999999998996</v>
      </c>
      <c r="R60" s="110"/>
      <c r="S60" s="133">
        <f t="shared" si="1"/>
        <v>186.5524964575747</v>
      </c>
      <c r="T60" s="133">
        <f t="shared" si="2"/>
        <v>206.64734671300246</v>
      </c>
      <c r="U60" s="133">
        <f t="shared" si="3"/>
        <v>210.20650204319574</v>
      </c>
      <c r="V60" s="133">
        <f t="shared" si="4"/>
        <v>242.61658105763189</v>
      </c>
      <c r="W60" s="133">
        <f t="shared" si="5"/>
        <v>237.83365126719352</v>
      </c>
      <c r="X60" s="133">
        <f t="shared" si="6"/>
        <v>231.58723233152821</v>
      </c>
      <c r="Y60" s="133">
        <f t="shared" si="7"/>
        <v>253.07519700590248</v>
      </c>
      <c r="Z60" s="133">
        <f t="shared" si="8"/>
        <v>106.89898625161008</v>
      </c>
      <c r="AA60" s="133">
        <f t="shared" si="9"/>
        <v>121.82797866247813</v>
      </c>
      <c r="AB60" s="133">
        <f t="shared" si="10"/>
        <v>256.13626079336831</v>
      </c>
      <c r="AC60" s="133">
        <f t="shared" si="11"/>
        <v>217.89169308395108</v>
      </c>
      <c r="AD60" s="133">
        <f t="shared" si="12"/>
        <v>23.268603152753784</v>
      </c>
      <c r="AE60" s="133">
        <f t="shared" si="13"/>
        <v>2294.5425288201905</v>
      </c>
      <c r="AF60" s="112"/>
      <c r="AG60" s="134">
        <f t="shared" si="14"/>
        <v>11.626830567626969</v>
      </c>
      <c r="AH60" s="134">
        <f t="shared" si="15"/>
        <v>10.462097342699597</v>
      </c>
      <c r="AI60" s="134">
        <f t="shared" si="16"/>
        <v>10.490916905883902</v>
      </c>
      <c r="AJ60" s="134">
        <f t="shared" si="17"/>
        <v>8.6515915222205848</v>
      </c>
      <c r="AK60" s="134">
        <f t="shared" si="18"/>
        <v>5.8301135281461374</v>
      </c>
      <c r="AL60" s="134">
        <f t="shared" si="19"/>
        <v>7.4763440189672075</v>
      </c>
      <c r="AM60" s="134">
        <f t="shared" si="20"/>
        <v>7.3404065610668701</v>
      </c>
      <c r="AN60" s="134">
        <f t="shared" si="21"/>
        <v>4.1793332649781094</v>
      </c>
      <c r="AO60" s="134">
        <f t="shared" si="22"/>
        <v>3.0378011834848926</v>
      </c>
      <c r="AP60" s="134">
        <f t="shared" si="23"/>
        <v>6.2188617960368147</v>
      </c>
      <c r="AQ60" s="134">
        <f t="shared" si="24"/>
        <v>5.0543190230561601</v>
      </c>
      <c r="AR60" s="134">
        <f t="shared" si="25"/>
        <v>0.88971067000932147</v>
      </c>
      <c r="AS60" s="134">
        <f t="shared" si="26"/>
        <v>6.2648599035106338</v>
      </c>
      <c r="AU60" s="134">
        <f t="shared" si="27"/>
        <v>8.4514562431021911</v>
      </c>
      <c r="AV60" s="134">
        <f t="shared" si="28"/>
        <v>4.8103731259296785</v>
      </c>
      <c r="AW60" s="134">
        <f t="shared" si="29"/>
        <v>4.5024586421916988</v>
      </c>
      <c r="AX60" s="134">
        <f t="shared" si="30"/>
        <v>4.6488930622625997</v>
      </c>
    </row>
    <row r="61" spans="1:50">
      <c r="A61" s="115" t="s">
        <v>4</v>
      </c>
      <c r="B61" s="115" t="s">
        <v>10</v>
      </c>
      <c r="C61" s="115" t="s">
        <v>10</v>
      </c>
      <c r="D61" s="128" t="s">
        <v>314</v>
      </c>
      <c r="E61" s="129">
        <v>4035</v>
      </c>
      <c r="F61" s="129">
        <v>4707</v>
      </c>
      <c r="G61" s="129">
        <v>5244</v>
      </c>
      <c r="H61" s="129">
        <v>5916</v>
      </c>
      <c r="I61" s="129">
        <v>5897</v>
      </c>
      <c r="J61" s="129">
        <v>6240</v>
      </c>
      <c r="K61" s="129">
        <v>6428</v>
      </c>
      <c r="L61" s="129">
        <v>6676</v>
      </c>
      <c r="M61" s="129">
        <v>6498</v>
      </c>
      <c r="N61" s="129">
        <v>7082</v>
      </c>
      <c r="O61" s="129">
        <v>7214</v>
      </c>
      <c r="P61" s="129">
        <v>7304</v>
      </c>
      <c r="Q61" s="129">
        <v>73241</v>
      </c>
      <c r="R61" s="110"/>
      <c r="S61" s="123">
        <f t="shared" si="1"/>
        <v>122.95643959593498</v>
      </c>
      <c r="T61" s="123">
        <f t="shared" si="2"/>
        <v>141.50262743353252</v>
      </c>
      <c r="U61" s="123">
        <f t="shared" si="3"/>
        <v>150.59055966045332</v>
      </c>
      <c r="V61" s="123">
        <f t="shared" si="4"/>
        <v>170.52627937946423</v>
      </c>
      <c r="W61" s="123">
        <f t="shared" si="5"/>
        <v>169.15993746503921</v>
      </c>
      <c r="X61" s="123">
        <f t="shared" si="6"/>
        <v>177.94659891007709</v>
      </c>
      <c r="Y61" s="123">
        <f t="shared" si="7"/>
        <v>180.0716588835445</v>
      </c>
      <c r="Z61" s="123">
        <f t="shared" si="8"/>
        <v>179.89857126688906</v>
      </c>
      <c r="AA61" s="123">
        <f t="shared" si="9"/>
        <v>171.79648553576018</v>
      </c>
      <c r="AB61" s="123">
        <f t="shared" si="10"/>
        <v>189.62544417087963</v>
      </c>
      <c r="AC61" s="123">
        <f t="shared" si="11"/>
        <v>196.97627492579943</v>
      </c>
      <c r="AD61" s="123">
        <f t="shared" si="12"/>
        <v>199.24252922351064</v>
      </c>
      <c r="AE61" s="123">
        <f t="shared" si="13"/>
        <v>2050.293406450885</v>
      </c>
      <c r="AF61" s="112"/>
      <c r="AG61" s="130">
        <f t="shared" si="14"/>
        <v>7.6632246554026162</v>
      </c>
      <c r="AH61" s="130">
        <f t="shared" si="15"/>
        <v>7.1639645318718372</v>
      </c>
      <c r="AI61" s="130">
        <f t="shared" si="16"/>
        <v>7.515624078477483</v>
      </c>
      <c r="AJ61" s="130">
        <f t="shared" si="17"/>
        <v>6.0808857604202196</v>
      </c>
      <c r="AK61" s="130">
        <f t="shared" si="18"/>
        <v>4.1466867055213807</v>
      </c>
      <c r="AL61" s="130">
        <f t="shared" si="19"/>
        <v>5.744660347045361</v>
      </c>
      <c r="AM61" s="130">
        <f t="shared" si="20"/>
        <v>5.2229503403296258</v>
      </c>
      <c r="AN61" s="130">
        <f t="shared" si="21"/>
        <v>7.0333322099808067</v>
      </c>
      <c r="AO61" s="130">
        <f t="shared" si="22"/>
        <v>4.2837743251486184</v>
      </c>
      <c r="AP61" s="130">
        <f t="shared" si="23"/>
        <v>4.6040120467836854</v>
      </c>
      <c r="AQ61" s="130">
        <f t="shared" si="24"/>
        <v>4.5691550667084071</v>
      </c>
      <c r="AR61" s="130">
        <f t="shared" si="25"/>
        <v>7.6183431814136293</v>
      </c>
      <c r="AS61" s="130">
        <f t="shared" si="26"/>
        <v>5.5979790268306457</v>
      </c>
      <c r="AU61" s="130">
        <f t="shared" si="27"/>
        <v>5.992293089134396</v>
      </c>
      <c r="AV61" s="130">
        <f t="shared" si="28"/>
        <v>5.3092254883354837</v>
      </c>
      <c r="AW61" s="130">
        <f t="shared" si="29"/>
        <v>5.3041579748319574</v>
      </c>
      <c r="AX61" s="130">
        <f t="shared" si="30"/>
        <v>5.3065679244779824</v>
      </c>
    </row>
    <row r="62" spans="1:50">
      <c r="A62" s="115" t="s">
        <v>4</v>
      </c>
      <c r="B62" s="115" t="s">
        <v>10</v>
      </c>
      <c r="C62" s="115" t="s">
        <v>10</v>
      </c>
      <c r="D62" s="128" t="s">
        <v>315</v>
      </c>
      <c r="E62" s="129">
        <v>162</v>
      </c>
      <c r="F62" s="129">
        <v>344</v>
      </c>
      <c r="G62" s="129">
        <v>262</v>
      </c>
      <c r="H62" s="129">
        <v>253</v>
      </c>
      <c r="I62" s="129">
        <v>297</v>
      </c>
      <c r="J62" s="129">
        <v>297</v>
      </c>
      <c r="K62" s="129">
        <v>306</v>
      </c>
      <c r="L62" s="129">
        <v>306</v>
      </c>
      <c r="M62" s="129">
        <v>-759</v>
      </c>
      <c r="N62" s="129">
        <v>186</v>
      </c>
      <c r="O62" s="129">
        <v>197</v>
      </c>
      <c r="P62" s="129">
        <v>201</v>
      </c>
      <c r="Q62" s="129">
        <v>2052</v>
      </c>
      <c r="R62" s="110"/>
      <c r="S62" s="123">
        <f t="shared" si="1"/>
        <v>4.9365410692791736</v>
      </c>
      <c r="T62" s="123">
        <f t="shared" si="2"/>
        <v>10.341385986219501</v>
      </c>
      <c r="U62" s="123">
        <f t="shared" si="3"/>
        <v>7.523784635972306</v>
      </c>
      <c r="V62" s="123">
        <f t="shared" si="4"/>
        <v>7.2926214812380739</v>
      </c>
      <c r="W62" s="123">
        <f t="shared" si="5"/>
        <v>8.5196712611695187</v>
      </c>
      <c r="X62" s="123">
        <f t="shared" si="6"/>
        <v>8.4695736981238614</v>
      </c>
      <c r="Y62" s="123">
        <f t="shared" si="7"/>
        <v>8.5721729337841666</v>
      </c>
      <c r="Z62" s="123">
        <f t="shared" si="8"/>
        <v>8.2458003007291882</v>
      </c>
      <c r="AA62" s="123">
        <f t="shared" si="9"/>
        <v>-20.06671783958787</v>
      </c>
      <c r="AB62" s="123">
        <f t="shared" si="10"/>
        <v>4.9802785393650959</v>
      </c>
      <c r="AC62" s="123">
        <f t="shared" si="11"/>
        <v>5.3790305184893938</v>
      </c>
      <c r="AD62" s="123">
        <f t="shared" si="12"/>
        <v>5.4829885506469926</v>
      </c>
      <c r="AE62" s="123">
        <f t="shared" si="13"/>
        <v>59.677131135429406</v>
      </c>
      <c r="AF62" s="112"/>
      <c r="AG62" s="130">
        <f t="shared" si="14"/>
        <v>0.3076684991760158</v>
      </c>
      <c r="AH62" s="130">
        <f t="shared" si="15"/>
        <v>0.52356146143274107</v>
      </c>
      <c r="AI62" s="130">
        <f t="shared" si="16"/>
        <v>0.37549456684994292</v>
      </c>
      <c r="AJ62" s="130">
        <f t="shared" si="17"/>
        <v>0.26005140253318382</v>
      </c>
      <c r="AK62" s="130">
        <f t="shared" si="18"/>
        <v>0.20884618476171787</v>
      </c>
      <c r="AL62" s="130">
        <f t="shared" si="19"/>
        <v>0.2734237376718705</v>
      </c>
      <c r="AM62" s="130">
        <f t="shared" si="20"/>
        <v>0.24863453704742774</v>
      </c>
      <c r="AN62" s="130">
        <f t="shared" si="21"/>
        <v>0.32237861837239767</v>
      </c>
      <c r="AO62" s="130">
        <f t="shared" si="22"/>
        <v>-0.5003669918109882</v>
      </c>
      <c r="AP62" s="130">
        <f t="shared" si="23"/>
        <v>0.12091870103103153</v>
      </c>
      <c r="AQ62" s="130">
        <f t="shared" si="24"/>
        <v>0.12477454229852457</v>
      </c>
      <c r="AR62" s="130">
        <f t="shared" si="25"/>
        <v>0.20965046268676607</v>
      </c>
      <c r="AS62" s="130">
        <f t="shared" si="26"/>
        <v>0.16293830308699217</v>
      </c>
      <c r="AU62" s="130">
        <f t="shared" si="27"/>
        <v>0.30250231698653002</v>
      </c>
      <c r="AV62" s="130">
        <f t="shared" si="28"/>
        <v>-3.2435873012655048E-2</v>
      </c>
      <c r="AW62" s="130">
        <f t="shared" si="29"/>
        <v>0.14343411143957885</v>
      </c>
      <c r="AX62" s="130">
        <f t="shared" si="30"/>
        <v>5.9795891929722685E-2</v>
      </c>
    </row>
    <row r="63" spans="1:50">
      <c r="A63" s="115"/>
      <c r="B63" s="115"/>
      <c r="C63" s="115"/>
      <c r="D63" s="131" t="s">
        <v>316</v>
      </c>
      <c r="E63" s="132">
        <v>4198</v>
      </c>
      <c r="F63" s="132">
        <v>5050</v>
      </c>
      <c r="G63" s="132">
        <v>5506</v>
      </c>
      <c r="H63" s="132">
        <v>6169</v>
      </c>
      <c r="I63" s="132">
        <v>6194</v>
      </c>
      <c r="J63" s="132">
        <v>6538</v>
      </c>
      <c r="K63" s="132">
        <v>6734</v>
      </c>
      <c r="L63" s="132">
        <v>6982</v>
      </c>
      <c r="M63" s="132">
        <v>5739</v>
      </c>
      <c r="N63" s="132">
        <v>7269</v>
      </c>
      <c r="O63" s="132">
        <v>7411</v>
      </c>
      <c r="P63" s="132">
        <v>7505</v>
      </c>
      <c r="Q63" s="132">
        <v>75295</v>
      </c>
      <c r="R63" s="110"/>
      <c r="S63" s="133">
        <f t="shared" si="1"/>
        <v>127.92345314095044</v>
      </c>
      <c r="T63" s="133">
        <f t="shared" si="2"/>
        <v>151.81395125118743</v>
      </c>
      <c r="U63" s="133">
        <f t="shared" si="3"/>
        <v>158.11434429642563</v>
      </c>
      <c r="V63" s="133">
        <f t="shared" si="4"/>
        <v>177.81890086070229</v>
      </c>
      <c r="W63" s="133">
        <f t="shared" si="5"/>
        <v>177.67960872620873</v>
      </c>
      <c r="X63" s="133">
        <f t="shared" si="6"/>
        <v>186.44468969135963</v>
      </c>
      <c r="Y63" s="133">
        <f t="shared" si="7"/>
        <v>188.64383181732867</v>
      </c>
      <c r="Z63" s="133">
        <f t="shared" si="8"/>
        <v>188.14437156761826</v>
      </c>
      <c r="AA63" s="133">
        <f t="shared" si="9"/>
        <v>151.7297676961723</v>
      </c>
      <c r="AB63" s="133">
        <f t="shared" si="10"/>
        <v>194.63249840131658</v>
      </c>
      <c r="AC63" s="133">
        <f t="shared" si="11"/>
        <v>202.3553054442888</v>
      </c>
      <c r="AD63" s="133">
        <f t="shared" si="12"/>
        <v>204.72551777415762</v>
      </c>
      <c r="AE63" s="133">
        <f t="shared" si="13"/>
        <v>2110.0262406677161</v>
      </c>
      <c r="AF63" s="112"/>
      <c r="AG63" s="134">
        <f t="shared" si="14"/>
        <v>7.9727923428451506</v>
      </c>
      <c r="AH63" s="134">
        <f t="shared" si="15"/>
        <v>7.6860040123120399</v>
      </c>
      <c r="AI63" s="134">
        <f t="shared" si="16"/>
        <v>7.8911186453274258</v>
      </c>
      <c r="AJ63" s="134">
        <f t="shared" si="17"/>
        <v>6.3409371629534039</v>
      </c>
      <c r="AK63" s="134">
        <f t="shared" si="18"/>
        <v>4.355532890283099</v>
      </c>
      <c r="AL63" s="134">
        <f t="shared" si="19"/>
        <v>6.0190047033625911</v>
      </c>
      <c r="AM63" s="134">
        <f t="shared" si="20"/>
        <v>5.4715848773770537</v>
      </c>
      <c r="AN63" s="134">
        <f t="shared" si="21"/>
        <v>7.3557108283532049</v>
      </c>
      <c r="AO63" s="134">
        <f t="shared" si="22"/>
        <v>3.7834073333376295</v>
      </c>
      <c r="AP63" s="134">
        <f t="shared" si="23"/>
        <v>4.725580848357894</v>
      </c>
      <c r="AQ63" s="134">
        <f t="shared" si="24"/>
        <v>4.6939296090069309</v>
      </c>
      <c r="AR63" s="134">
        <f t="shared" si="25"/>
        <v>7.8279936441003954</v>
      </c>
      <c r="AS63" s="134">
        <f t="shared" si="26"/>
        <v>5.7610694177507433</v>
      </c>
      <c r="AU63" s="134">
        <f t="shared" si="27"/>
        <v>6.2949812586611635</v>
      </c>
      <c r="AV63" s="134">
        <f t="shared" si="28"/>
        <v>5.2767896153228291</v>
      </c>
      <c r="AW63" s="134">
        <f t="shared" si="29"/>
        <v>5.4478345099118428</v>
      </c>
      <c r="AX63" s="134">
        <f t="shared" si="30"/>
        <v>5.3664909510081813</v>
      </c>
    </row>
    <row r="64" spans="1:50">
      <c r="A64" s="115"/>
      <c r="B64" s="115"/>
      <c r="C64" s="115"/>
      <c r="D64" s="143" t="s">
        <v>317</v>
      </c>
      <c r="E64" s="144">
        <v>18452</v>
      </c>
      <c r="F64" s="144">
        <v>19967</v>
      </c>
      <c r="G64" s="144">
        <v>24490</v>
      </c>
      <c r="H64" s="144">
        <v>24497</v>
      </c>
      <c r="I64" s="144">
        <v>24360</v>
      </c>
      <c r="J64" s="144">
        <v>25386</v>
      </c>
      <c r="K64" s="144">
        <v>26886</v>
      </c>
      <c r="L64" s="144">
        <v>21707</v>
      </c>
      <c r="M64" s="144">
        <v>21767</v>
      </c>
      <c r="N64" s="144">
        <v>28678</v>
      </c>
      <c r="O64" s="144">
        <v>26014.999999998698</v>
      </c>
      <c r="P64" s="144">
        <v>19358.000000000298</v>
      </c>
      <c r="Q64" s="144">
        <v>281562.99999999901</v>
      </c>
      <c r="R64" s="110"/>
      <c r="S64" s="145">
        <f t="shared" si="1"/>
        <v>562.27812228604512</v>
      </c>
      <c r="T64" s="145">
        <f t="shared" si="2"/>
        <v>600.25131972919996</v>
      </c>
      <c r="U64" s="145">
        <f t="shared" si="3"/>
        <v>703.27284631664804</v>
      </c>
      <c r="V64" s="145">
        <f t="shared" si="4"/>
        <v>706.1160016833561</v>
      </c>
      <c r="W64" s="145">
        <f t="shared" si="5"/>
        <v>698.78515798683316</v>
      </c>
      <c r="X64" s="145">
        <f t="shared" si="6"/>
        <v>723.93467306590014</v>
      </c>
      <c r="Y64" s="145">
        <f t="shared" si="7"/>
        <v>753.17464541738923</v>
      </c>
      <c r="Z64" s="145">
        <f t="shared" si="8"/>
        <v>584.93982721545251</v>
      </c>
      <c r="AA64" s="145">
        <f t="shared" si="9"/>
        <v>575.48385667234413</v>
      </c>
      <c r="AB64" s="145">
        <f t="shared" si="10"/>
        <v>767.87326855866786</v>
      </c>
      <c r="AC64" s="145">
        <f t="shared" si="11"/>
        <v>710.33238039844957</v>
      </c>
      <c r="AD64" s="145">
        <f t="shared" si="12"/>
        <v>528.05817096231908</v>
      </c>
      <c r="AE64" s="145">
        <f t="shared" si="13"/>
        <v>7914.500270292604</v>
      </c>
      <c r="AF64" s="112"/>
      <c r="AG64" s="146">
        <f t="shared" si="14"/>
        <v>35.0438218938015</v>
      </c>
      <c r="AH64" s="146">
        <f t="shared" si="15"/>
        <v>30.38939447798704</v>
      </c>
      <c r="AI64" s="146">
        <f t="shared" si="16"/>
        <v>35.098709702882068</v>
      </c>
      <c r="AJ64" s="146">
        <f t="shared" si="17"/>
        <v>25.179759714843495</v>
      </c>
      <c r="AK64" s="146">
        <f t="shared" si="18"/>
        <v>17.129606265304535</v>
      </c>
      <c r="AL64" s="146">
        <f t="shared" si="19"/>
        <v>23.370824931104728</v>
      </c>
      <c r="AM64" s="146">
        <f t="shared" si="20"/>
        <v>21.845712951167133</v>
      </c>
      <c r="AN64" s="146">
        <f t="shared" si="21"/>
        <v>22.86886493140404</v>
      </c>
      <c r="AO64" s="146">
        <f t="shared" si="22"/>
        <v>14.349786970684823</v>
      </c>
      <c r="AP64" s="146">
        <f t="shared" si="23"/>
        <v>18.643583377246895</v>
      </c>
      <c r="AQ64" s="146">
        <f t="shared" si="24"/>
        <v>16.477206689827177</v>
      </c>
      <c r="AR64" s="146">
        <f t="shared" si="25"/>
        <v>20.191112719853137</v>
      </c>
      <c r="AS64" s="146">
        <f t="shared" si="26"/>
        <v>21.609203044571569</v>
      </c>
      <c r="AU64" s="146">
        <f t="shared" si="27"/>
        <v>25.664729298142475</v>
      </c>
      <c r="AV64" s="146">
        <f t="shared" si="28"/>
        <v>19.105605380496868</v>
      </c>
      <c r="AW64" s="146">
        <f t="shared" si="29"/>
        <v>18.164452873874481</v>
      </c>
      <c r="AX64" s="146">
        <f t="shared" si="30"/>
        <v>18.612035331940334</v>
      </c>
    </row>
    <row r="65" spans="1:50">
      <c r="A65" s="115" t="s">
        <v>8</v>
      </c>
      <c r="B65" s="115" t="s">
        <v>9</v>
      </c>
      <c r="C65" s="115" t="s">
        <v>8</v>
      </c>
      <c r="D65" s="128" t="s">
        <v>318</v>
      </c>
      <c r="E65" s="129">
        <v>6421</v>
      </c>
      <c r="F65" s="129">
        <v>5639</v>
      </c>
      <c r="G65" s="129">
        <v>6789</v>
      </c>
      <c r="H65" s="129">
        <v>5973</v>
      </c>
      <c r="I65" s="129">
        <v>5993</v>
      </c>
      <c r="J65" s="129">
        <v>5973</v>
      </c>
      <c r="K65" s="129">
        <v>6975</v>
      </c>
      <c r="L65" s="129">
        <v>7003</v>
      </c>
      <c r="M65" s="129">
        <v>6553</v>
      </c>
      <c r="N65" s="129">
        <v>7053</v>
      </c>
      <c r="O65" s="129">
        <v>7548</v>
      </c>
      <c r="P65" s="129">
        <v>4210</v>
      </c>
      <c r="Q65" s="129">
        <v>76130</v>
      </c>
      <c r="R65" s="110"/>
      <c r="S65" s="123">
        <f t="shared" si="1"/>
        <v>195.66376670272578</v>
      </c>
      <c r="T65" s="123">
        <f t="shared" si="2"/>
        <v>169.52056853573188</v>
      </c>
      <c r="U65" s="123">
        <f t="shared" si="3"/>
        <v>194.95791562448849</v>
      </c>
      <c r="V65" s="123">
        <f t="shared" si="4"/>
        <v>172.1692810570554</v>
      </c>
      <c r="W65" s="123">
        <f t="shared" si="5"/>
        <v>171.9137705999627</v>
      </c>
      <c r="X65" s="123">
        <f t="shared" si="6"/>
        <v>170.33253770671323</v>
      </c>
      <c r="Y65" s="123">
        <f t="shared" si="7"/>
        <v>195.39511834360968</v>
      </c>
      <c r="Z65" s="123">
        <f t="shared" si="8"/>
        <v>188.71025982355064</v>
      </c>
      <c r="AA65" s="123">
        <f t="shared" si="9"/>
        <v>173.25059552413612</v>
      </c>
      <c r="AB65" s="123">
        <f t="shared" si="10"/>
        <v>188.84894912979581</v>
      </c>
      <c r="AC65" s="123">
        <f t="shared" si="11"/>
        <v>206.0960525561317</v>
      </c>
      <c r="AD65" s="123">
        <f t="shared" si="12"/>
        <v>114.84269551355145</v>
      </c>
      <c r="AE65" s="123">
        <f t="shared" si="13"/>
        <v>2141.7015111174528</v>
      </c>
      <c r="AF65" s="112"/>
      <c r="AG65" s="130">
        <f t="shared" si="14"/>
        <v>12.194687859316035</v>
      </c>
      <c r="AH65" s="130">
        <f t="shared" si="15"/>
        <v>8.5824508169163565</v>
      </c>
      <c r="AI65" s="130">
        <f t="shared" si="16"/>
        <v>9.7298954745964217</v>
      </c>
      <c r="AJ65" s="130">
        <f t="shared" si="17"/>
        <v>6.1394744163269053</v>
      </c>
      <c r="AK65" s="130">
        <f t="shared" si="18"/>
        <v>4.2141925430201184</v>
      </c>
      <c r="AL65" s="130">
        <f t="shared" si="19"/>
        <v>5.498855168734285</v>
      </c>
      <c r="AM65" s="130">
        <f t="shared" si="20"/>
        <v>5.6674048885810739</v>
      </c>
      <c r="AN65" s="130">
        <f t="shared" si="21"/>
        <v>7.3778348511826826</v>
      </c>
      <c r="AO65" s="130">
        <f t="shared" si="22"/>
        <v>4.3200328028160815</v>
      </c>
      <c r="AP65" s="130">
        <f t="shared" si="23"/>
        <v>4.5851591310315341</v>
      </c>
      <c r="AQ65" s="130">
        <f t="shared" si="24"/>
        <v>4.7807017526358546</v>
      </c>
      <c r="AR65" s="130">
        <f t="shared" si="25"/>
        <v>4.3911863080163442</v>
      </c>
      <c r="AS65" s="130">
        <f t="shared" si="26"/>
        <v>5.8475533810161551</v>
      </c>
      <c r="AU65" s="130">
        <f t="shared" si="27"/>
        <v>6.9038133740237697</v>
      </c>
      <c r="AV65" s="130">
        <f t="shared" si="28"/>
        <v>5.5647118450792874</v>
      </c>
      <c r="AW65" s="130">
        <f t="shared" si="29"/>
        <v>4.6155518080532278</v>
      </c>
      <c r="AX65" s="130">
        <f t="shared" si="30"/>
        <v>5.0669423951055039</v>
      </c>
    </row>
    <row r="66" spans="1:50">
      <c r="A66" s="115"/>
      <c r="B66" s="115"/>
      <c r="C66" s="115"/>
      <c r="D66" s="131" t="s">
        <v>319</v>
      </c>
      <c r="E66" s="132">
        <v>6421</v>
      </c>
      <c r="F66" s="132">
        <v>5639</v>
      </c>
      <c r="G66" s="132">
        <v>6789</v>
      </c>
      <c r="H66" s="132">
        <v>5973</v>
      </c>
      <c r="I66" s="132">
        <v>5993</v>
      </c>
      <c r="J66" s="132">
        <v>5973</v>
      </c>
      <c r="K66" s="132">
        <v>6975</v>
      </c>
      <c r="L66" s="132">
        <v>7003</v>
      </c>
      <c r="M66" s="132">
        <v>6553</v>
      </c>
      <c r="N66" s="132">
        <v>7053</v>
      </c>
      <c r="O66" s="132">
        <v>7548</v>
      </c>
      <c r="P66" s="132">
        <v>4210</v>
      </c>
      <c r="Q66" s="132">
        <v>76130</v>
      </c>
      <c r="R66" s="110"/>
      <c r="S66" s="133">
        <f t="shared" si="1"/>
        <v>195.66376670272578</v>
      </c>
      <c r="T66" s="133">
        <f t="shared" si="2"/>
        <v>169.52056853573188</v>
      </c>
      <c r="U66" s="133">
        <f t="shared" si="3"/>
        <v>194.95791562448849</v>
      </c>
      <c r="V66" s="133">
        <f t="shared" si="4"/>
        <v>172.1692810570554</v>
      </c>
      <c r="W66" s="133">
        <f t="shared" si="5"/>
        <v>171.9137705999627</v>
      </c>
      <c r="X66" s="133">
        <f t="shared" si="6"/>
        <v>170.33253770671323</v>
      </c>
      <c r="Y66" s="133">
        <f t="shared" si="7"/>
        <v>195.39511834360968</v>
      </c>
      <c r="Z66" s="133">
        <f t="shared" si="8"/>
        <v>188.71025982355064</v>
      </c>
      <c r="AA66" s="133">
        <f t="shared" si="9"/>
        <v>173.25059552413612</v>
      </c>
      <c r="AB66" s="133">
        <f t="shared" si="10"/>
        <v>188.84894912979581</v>
      </c>
      <c r="AC66" s="133">
        <f t="shared" si="11"/>
        <v>206.0960525561317</v>
      </c>
      <c r="AD66" s="133">
        <f t="shared" si="12"/>
        <v>114.84269551355145</v>
      </c>
      <c r="AE66" s="133">
        <f t="shared" si="13"/>
        <v>2141.7015111174528</v>
      </c>
      <c r="AF66" s="112"/>
      <c r="AG66" s="134">
        <f t="shared" si="14"/>
        <v>12.194687859316035</v>
      </c>
      <c r="AH66" s="134">
        <f t="shared" si="15"/>
        <v>8.5824508169163565</v>
      </c>
      <c r="AI66" s="134">
        <f t="shared" si="16"/>
        <v>9.7298954745964217</v>
      </c>
      <c r="AJ66" s="134">
        <f t="shared" si="17"/>
        <v>6.1394744163269053</v>
      </c>
      <c r="AK66" s="134">
        <f t="shared" si="18"/>
        <v>4.2141925430201184</v>
      </c>
      <c r="AL66" s="134">
        <f t="shared" si="19"/>
        <v>5.498855168734285</v>
      </c>
      <c r="AM66" s="134">
        <f t="shared" si="20"/>
        <v>5.6674048885810739</v>
      </c>
      <c r="AN66" s="134">
        <f t="shared" si="21"/>
        <v>7.3778348511826826</v>
      </c>
      <c r="AO66" s="134">
        <f t="shared" si="22"/>
        <v>4.3200328028160815</v>
      </c>
      <c r="AP66" s="134">
        <f t="shared" si="23"/>
        <v>4.5851591310315341</v>
      </c>
      <c r="AQ66" s="134">
        <f t="shared" si="24"/>
        <v>4.7807017526358546</v>
      </c>
      <c r="AR66" s="134">
        <f t="shared" si="25"/>
        <v>4.3911863080163442</v>
      </c>
      <c r="AS66" s="134">
        <f t="shared" si="26"/>
        <v>5.8475533810161551</v>
      </c>
      <c r="AU66" s="134">
        <f t="shared" si="27"/>
        <v>6.9038133740237697</v>
      </c>
      <c r="AV66" s="134">
        <f t="shared" si="28"/>
        <v>5.5647118450792874</v>
      </c>
      <c r="AW66" s="134">
        <f t="shared" si="29"/>
        <v>4.6155518080532278</v>
      </c>
      <c r="AX66" s="134">
        <f t="shared" si="30"/>
        <v>5.0669423951055039</v>
      </c>
    </row>
    <row r="67" spans="1:50">
      <c r="A67" s="115"/>
      <c r="B67" s="115"/>
      <c r="C67" s="115"/>
      <c r="D67" s="131" t="s">
        <v>320</v>
      </c>
      <c r="E67" s="132">
        <v>6421</v>
      </c>
      <c r="F67" s="132">
        <v>5639</v>
      </c>
      <c r="G67" s="132">
        <v>6789</v>
      </c>
      <c r="H67" s="132">
        <v>5973</v>
      </c>
      <c r="I67" s="132">
        <v>5993</v>
      </c>
      <c r="J67" s="132">
        <v>5973</v>
      </c>
      <c r="K67" s="132">
        <v>6975</v>
      </c>
      <c r="L67" s="132">
        <v>7003</v>
      </c>
      <c r="M67" s="132">
        <v>6553</v>
      </c>
      <c r="N67" s="132">
        <v>7053</v>
      </c>
      <c r="O67" s="132">
        <v>7548</v>
      </c>
      <c r="P67" s="132">
        <v>4210</v>
      </c>
      <c r="Q67" s="132">
        <v>76130</v>
      </c>
      <c r="R67" s="110"/>
      <c r="S67" s="133">
        <f t="shared" si="1"/>
        <v>195.66376670272578</v>
      </c>
      <c r="T67" s="133">
        <f t="shared" si="2"/>
        <v>169.52056853573188</v>
      </c>
      <c r="U67" s="133">
        <f t="shared" si="3"/>
        <v>194.95791562448849</v>
      </c>
      <c r="V67" s="133">
        <f t="shared" si="4"/>
        <v>172.1692810570554</v>
      </c>
      <c r="W67" s="133">
        <f t="shared" si="5"/>
        <v>171.9137705999627</v>
      </c>
      <c r="X67" s="133">
        <f t="shared" si="6"/>
        <v>170.33253770671323</v>
      </c>
      <c r="Y67" s="133">
        <f t="shared" si="7"/>
        <v>195.39511834360968</v>
      </c>
      <c r="Z67" s="133">
        <f t="shared" si="8"/>
        <v>188.71025982355064</v>
      </c>
      <c r="AA67" s="133">
        <f t="shared" si="9"/>
        <v>173.25059552413612</v>
      </c>
      <c r="AB67" s="133">
        <f t="shared" si="10"/>
        <v>188.84894912979581</v>
      </c>
      <c r="AC67" s="133">
        <f t="shared" si="11"/>
        <v>206.0960525561317</v>
      </c>
      <c r="AD67" s="133">
        <f t="shared" si="12"/>
        <v>114.84269551355145</v>
      </c>
      <c r="AE67" s="133">
        <f t="shared" si="13"/>
        <v>2141.7015111174528</v>
      </c>
      <c r="AF67" s="112"/>
      <c r="AG67" s="134">
        <f t="shared" si="14"/>
        <v>12.194687859316035</v>
      </c>
      <c r="AH67" s="134">
        <f t="shared" si="15"/>
        <v>8.5824508169163565</v>
      </c>
      <c r="AI67" s="134">
        <f t="shared" si="16"/>
        <v>9.7298954745964217</v>
      </c>
      <c r="AJ67" s="134">
        <f t="shared" si="17"/>
        <v>6.1394744163269053</v>
      </c>
      <c r="AK67" s="134">
        <f t="shared" si="18"/>
        <v>4.2141925430201184</v>
      </c>
      <c r="AL67" s="134">
        <f t="shared" si="19"/>
        <v>5.498855168734285</v>
      </c>
      <c r="AM67" s="134">
        <f t="shared" si="20"/>
        <v>5.6674048885810739</v>
      </c>
      <c r="AN67" s="134">
        <f t="shared" si="21"/>
        <v>7.3778348511826826</v>
      </c>
      <c r="AO67" s="134">
        <f t="shared" si="22"/>
        <v>4.3200328028160815</v>
      </c>
      <c r="AP67" s="134">
        <f t="shared" si="23"/>
        <v>4.5851591310315341</v>
      </c>
      <c r="AQ67" s="134">
        <f t="shared" si="24"/>
        <v>4.7807017526358546</v>
      </c>
      <c r="AR67" s="134">
        <f t="shared" si="25"/>
        <v>4.3911863080163442</v>
      </c>
      <c r="AS67" s="134">
        <f t="shared" si="26"/>
        <v>5.8475533810161551</v>
      </c>
      <c r="AU67" s="134">
        <f t="shared" si="27"/>
        <v>6.9038133740237697</v>
      </c>
      <c r="AV67" s="134">
        <f t="shared" si="28"/>
        <v>5.5647118450792874</v>
      </c>
      <c r="AW67" s="134">
        <f t="shared" si="29"/>
        <v>4.6155518080532278</v>
      </c>
      <c r="AX67" s="134">
        <f t="shared" si="30"/>
        <v>5.0669423951055039</v>
      </c>
    </row>
    <row r="68" spans="1:50">
      <c r="A68" s="115"/>
      <c r="B68" s="115"/>
      <c r="C68" s="115"/>
      <c r="D68" s="139" t="s">
        <v>321</v>
      </c>
      <c r="E68" s="140">
        <v>24873</v>
      </c>
      <c r="F68" s="140">
        <v>25606</v>
      </c>
      <c r="G68" s="140">
        <v>31279</v>
      </c>
      <c r="H68" s="140">
        <v>30470</v>
      </c>
      <c r="I68" s="140">
        <v>30353</v>
      </c>
      <c r="J68" s="140">
        <v>31359</v>
      </c>
      <c r="K68" s="140">
        <v>33861</v>
      </c>
      <c r="L68" s="140">
        <v>28710</v>
      </c>
      <c r="M68" s="140">
        <v>28320</v>
      </c>
      <c r="N68" s="140">
        <v>35731</v>
      </c>
      <c r="O68" s="140">
        <v>33562.999999998698</v>
      </c>
      <c r="P68" s="140">
        <v>23568.000000000298</v>
      </c>
      <c r="Q68" s="140">
        <v>357692.99999999901</v>
      </c>
      <c r="R68" s="110"/>
      <c r="S68" s="141">
        <f t="shared" si="1"/>
        <v>757.94188898877098</v>
      </c>
      <c r="T68" s="141">
        <f t="shared" si="2"/>
        <v>769.77188826493182</v>
      </c>
      <c r="U68" s="141">
        <f t="shared" si="3"/>
        <v>898.23076194113651</v>
      </c>
      <c r="V68" s="141">
        <f t="shared" si="4"/>
        <v>878.2852827404115</v>
      </c>
      <c r="W68" s="141">
        <f t="shared" si="5"/>
        <v>870.69892858679589</v>
      </c>
      <c r="X68" s="141">
        <f t="shared" si="6"/>
        <v>894.26721077261345</v>
      </c>
      <c r="Y68" s="141">
        <f t="shared" si="7"/>
        <v>948.56976376099885</v>
      </c>
      <c r="Z68" s="141">
        <f t="shared" si="8"/>
        <v>773.65008703900321</v>
      </c>
      <c r="AA68" s="141">
        <f t="shared" si="9"/>
        <v>748.73445219648022</v>
      </c>
      <c r="AB68" s="141">
        <f t="shared" si="10"/>
        <v>956.72221768846373</v>
      </c>
      <c r="AC68" s="141">
        <f t="shared" si="11"/>
        <v>916.42843295458124</v>
      </c>
      <c r="AD68" s="141">
        <f t="shared" si="12"/>
        <v>642.90086647587043</v>
      </c>
      <c r="AE68" s="141">
        <f t="shared" si="13"/>
        <v>10056.201781410058</v>
      </c>
      <c r="AF68" s="112"/>
      <c r="AG68" s="142">
        <f t="shared" si="14"/>
        <v>47.238509753117548</v>
      </c>
      <c r="AH68" s="142">
        <f t="shared" si="15"/>
        <v>38.971845294903396</v>
      </c>
      <c r="AI68" s="142">
        <f t="shared" si="16"/>
        <v>44.828605177478494</v>
      </c>
      <c r="AJ68" s="142">
        <f t="shared" si="17"/>
        <v>31.319234131170397</v>
      </c>
      <c r="AK68" s="142">
        <f t="shared" si="18"/>
        <v>21.343798808324653</v>
      </c>
      <c r="AL68" s="142">
        <f t="shared" si="19"/>
        <v>28.869680099839016</v>
      </c>
      <c r="AM68" s="142">
        <f t="shared" si="20"/>
        <v>27.513117839748205</v>
      </c>
      <c r="AN68" s="142">
        <f t="shared" si="21"/>
        <v>30.246699782586724</v>
      </c>
      <c r="AO68" s="142">
        <f t="shared" si="22"/>
        <v>18.669819773500905</v>
      </c>
      <c r="AP68" s="142">
        <f t="shared" si="23"/>
        <v>23.22874250827843</v>
      </c>
      <c r="AQ68" s="142">
        <f t="shared" si="24"/>
        <v>21.25790844246303</v>
      </c>
      <c r="AR68" s="142">
        <f t="shared" si="25"/>
        <v>24.582299027869478</v>
      </c>
      <c r="AS68" s="142">
        <f t="shared" si="26"/>
        <v>27.456756425587727</v>
      </c>
      <c r="AU68" s="142">
        <f t="shared" si="27"/>
        <v>32.568542672166245</v>
      </c>
      <c r="AV68" s="142">
        <f t="shared" si="28"/>
        <v>24.670317225576156</v>
      </c>
      <c r="AW68" s="142">
        <f t="shared" si="29"/>
        <v>22.780004681927707</v>
      </c>
      <c r="AX68" s="142">
        <f t="shared" si="30"/>
        <v>23.678977727045844</v>
      </c>
    </row>
    <row r="69" spans="1:50">
      <c r="A69" s="115"/>
      <c r="B69" s="115"/>
      <c r="C69" s="115"/>
      <c r="D69" s="139" t="s">
        <v>322</v>
      </c>
      <c r="E69" s="140">
        <v>30891</v>
      </c>
      <c r="F69" s="140">
        <v>31759</v>
      </c>
      <c r="G69" s="140">
        <v>37098</v>
      </c>
      <c r="H69" s="140">
        <v>44359</v>
      </c>
      <c r="I69" s="140">
        <v>43388</v>
      </c>
      <c r="J69" s="140">
        <v>46604</v>
      </c>
      <c r="K69" s="140">
        <v>46314</v>
      </c>
      <c r="L69" s="140">
        <v>41841</v>
      </c>
      <c r="M69" s="140">
        <v>43707</v>
      </c>
      <c r="N69" s="140">
        <v>51686</v>
      </c>
      <c r="O69" s="140">
        <v>48732.999999998698</v>
      </c>
      <c r="P69" s="140">
        <v>37302.000000000298</v>
      </c>
      <c r="Q69" s="140">
        <v>503681.99999999901</v>
      </c>
      <c r="R69" s="110"/>
      <c r="S69" s="141">
        <f t="shared" si="1"/>
        <v>941.32524796977134</v>
      </c>
      <c r="T69" s="141">
        <f t="shared" si="2"/>
        <v>954.74441144286379</v>
      </c>
      <c r="U69" s="141">
        <f t="shared" si="3"/>
        <v>1065.3334443713763</v>
      </c>
      <c r="V69" s="141">
        <f t="shared" si="4"/>
        <v>1278.6300248467974</v>
      </c>
      <c r="W69" s="141">
        <f t="shared" si="5"/>
        <v>1244.6178339381247</v>
      </c>
      <c r="X69" s="141">
        <f t="shared" si="6"/>
        <v>1329.0101435264796</v>
      </c>
      <c r="Y69" s="141">
        <f t="shared" si="7"/>
        <v>1297.4235858015682</v>
      </c>
      <c r="Z69" s="141">
        <f t="shared" si="8"/>
        <v>1127.4919293555881</v>
      </c>
      <c r="AA69" s="141">
        <f>+M69/$M$2</f>
        <v>1155.5415502172161</v>
      </c>
      <c r="AB69" s="141">
        <f t="shared" si="10"/>
        <v>1383.9283687399159</v>
      </c>
      <c r="AC69" s="141">
        <f t="shared" si="11"/>
        <v>1330.6410876017087</v>
      </c>
      <c r="AD69" s="141">
        <f t="shared" si="12"/>
        <v>1017.5444722200784</v>
      </c>
      <c r="AE69" s="141">
        <f t="shared" si="13"/>
        <v>14126.23210003149</v>
      </c>
      <c r="AF69" s="112"/>
      <c r="AG69" s="142">
        <f t="shared" si="14"/>
        <v>58.667824741026571</v>
      </c>
      <c r="AH69" s="142">
        <f t="shared" si="15"/>
        <v>48.336594341983783</v>
      </c>
      <c r="AI69" s="142">
        <f t="shared" si="16"/>
        <v>53.16831084350833</v>
      </c>
      <c r="AJ69" s="142">
        <f t="shared" si="17"/>
        <v>45.595336620432811</v>
      </c>
      <c r="AK69" s="142">
        <f t="shared" si="18"/>
        <v>30.509825806200045</v>
      </c>
      <c r="AL69" s="142">
        <f t="shared" si="19"/>
        <v>42.904511348349679</v>
      </c>
      <c r="AM69" s="142">
        <f t="shared" si="20"/>
        <v>37.631568460178322</v>
      </c>
      <c r="AN69" s="142">
        <f t="shared" si="21"/>
        <v>44.080535200390493</v>
      </c>
      <c r="AO69" s="142">
        <f t="shared" si="22"/>
        <v>28.813623334760027</v>
      </c>
      <c r="AP69" s="142">
        <f t="shared" si="23"/>
        <v>33.60109667467686</v>
      </c>
      <c r="AQ69" s="142">
        <f t="shared" si="24"/>
        <v>30.866181572760581</v>
      </c>
      <c r="AR69" s="142">
        <f t="shared" si="25"/>
        <v>38.907370941004032</v>
      </c>
      <c r="AS69" s="142">
        <f t="shared" si="26"/>
        <v>38.569285144902715</v>
      </c>
      <c r="AU69" s="142">
        <f t="shared" si="27"/>
        <v>43.77637285714092</v>
      </c>
      <c r="AV69" s="142">
        <f t="shared" si="28"/>
        <v>35.747731760244932</v>
      </c>
      <c r="AW69" s="142">
        <f t="shared" si="29"/>
        <v>33.790076311106404</v>
      </c>
      <c r="AX69" s="142">
        <f t="shared" si="30"/>
        <v>34.72107551878635</v>
      </c>
    </row>
    <row r="70" spans="1:50">
      <c r="R70" s="110"/>
      <c r="AE70" s="147"/>
      <c r="AF70" s="112"/>
    </row>
    <row r="71" spans="1:50">
      <c r="R71" s="110"/>
      <c r="AF71" s="112"/>
    </row>
    <row r="72" spans="1:50">
      <c r="R72" s="110"/>
      <c r="AF72" s="112"/>
    </row>
    <row r="73" spans="1:50">
      <c r="D73" s="148" t="s">
        <v>1</v>
      </c>
      <c r="E73" s="149">
        <f t="shared" ref="E73:Q73" si="31">SUMIF($A$2:$A$69,$D$73,E2:E69)</f>
        <v>6159</v>
      </c>
      <c r="F73" s="149">
        <f t="shared" si="31"/>
        <v>6658</v>
      </c>
      <c r="G73" s="149">
        <f t="shared" si="31"/>
        <v>6420</v>
      </c>
      <c r="H73" s="149">
        <f t="shared" si="31"/>
        <v>15170</v>
      </c>
      <c r="I73" s="149">
        <f t="shared" si="31"/>
        <v>14142</v>
      </c>
      <c r="J73" s="149">
        <f t="shared" si="31"/>
        <v>16072</v>
      </c>
      <c r="K73" s="149">
        <f t="shared" si="31"/>
        <v>13368</v>
      </c>
      <c r="L73" s="149">
        <f t="shared" si="31"/>
        <v>13237</v>
      </c>
      <c r="M73" s="149">
        <f t="shared" si="31"/>
        <v>15681</v>
      </c>
      <c r="N73" s="149">
        <f t="shared" si="31"/>
        <v>16772</v>
      </c>
      <c r="O73" s="149">
        <f t="shared" si="31"/>
        <v>16356</v>
      </c>
      <c r="P73" s="149">
        <f>SUMIF($A$2:$A$69,$D$73,P2:P69)</f>
        <v>14691</v>
      </c>
      <c r="Q73" s="149">
        <f t="shared" si="31"/>
        <v>154726</v>
      </c>
      <c r="R73" s="110"/>
      <c r="S73" s="150">
        <f t="shared" ref="S73:Z73" si="32">SUMIF($A$2:$A$69,$D$73,S2:S69)</f>
        <v>187.6799780598175</v>
      </c>
      <c r="T73" s="150">
        <f t="shared" si="32"/>
        <v>200.15391830305072</v>
      </c>
      <c r="U73" s="150">
        <f t="shared" si="32"/>
        <v>184.36144031657332</v>
      </c>
      <c r="V73" s="150">
        <f t="shared" si="32"/>
        <v>437.26904296593511</v>
      </c>
      <c r="W73" s="150">
        <f t="shared" si="32"/>
        <v>405.67404368841522</v>
      </c>
      <c r="X73" s="150">
        <f t="shared" si="32"/>
        <v>458.32656052608314</v>
      </c>
      <c r="Y73" s="150">
        <f t="shared" si="32"/>
        <v>374.4862999308063</v>
      </c>
      <c r="Z73" s="150">
        <f t="shared" si="32"/>
        <v>356.69823065605311</v>
      </c>
      <c r="AA73" s="150">
        <f>SUMIF($A$2:$A$69,$D$73,AA2:AA69)</f>
        <v>414.5799768676909</v>
      </c>
      <c r="AB73" s="150">
        <f>SUMIF($A$2:$A$69,$D$73,AB2:AB69)</f>
        <v>449.08189065715794</v>
      </c>
      <c r="AC73" s="150">
        <f>SUMIF($A$2:$A$69,$D$73,AC2:AC69)</f>
        <v>446.59605665184017</v>
      </c>
      <c r="AD73" s="150">
        <f>SUMIF($A$2:$A$69,$D$73,AD2:AD69)</f>
        <v>400.74917809728839</v>
      </c>
      <c r="AE73" s="150">
        <f>SUMIF($A$2:$A$69,$D$73,AE2:AE69)</f>
        <v>4315.6566167207129</v>
      </c>
      <c r="AF73" s="112"/>
      <c r="AG73" s="151">
        <f>+S73*1000/$E$3</f>
        <v>11.697100533488159</v>
      </c>
      <c r="AH73" s="151">
        <f>+T73*1000/$F$3</f>
        <v>10.1333494483116</v>
      </c>
      <c r="AI73" s="151">
        <f>+U73*1000/$G$3</f>
        <v>9.2010500731932581</v>
      </c>
      <c r="AJ73" s="151">
        <f>+V73*1000/$H$3</f>
        <v>15.592805440428455</v>
      </c>
      <c r="AK73" s="151">
        <f>+W73*1000/$I$3</f>
        <v>9.9444536865327056</v>
      </c>
      <c r="AL73" s="151">
        <f>+X73*1000/$J$3</f>
        <v>14.796182868223243</v>
      </c>
      <c r="AM73" s="151">
        <f>+Y73*1000/$K$3</f>
        <v>10.861916638071939</v>
      </c>
      <c r="AN73" s="151">
        <f>+Z73*1000/$L$3</f>
        <v>13.945509056847804</v>
      </c>
      <c r="AO73" s="151">
        <f>+AA73*1000/$M$3</f>
        <v>10.337621605517926</v>
      </c>
      <c r="AP73" s="151">
        <f>+AB73*1000/$N$3</f>
        <v>10.90348631017452</v>
      </c>
      <c r="AQ73" s="151">
        <f>+AC73*1000/$O$3</f>
        <v>10.359453877333337</v>
      </c>
      <c r="AR73" s="151">
        <f>+AD73*1000/$P$3</f>
        <v>15.323258444434231</v>
      </c>
      <c r="AS73" s="151">
        <f>+AE73*1000/$Q$3</f>
        <v>11.783169741166596</v>
      </c>
      <c r="AU73" s="151">
        <f>SUM(S73:X73)/SUM($E$3:$J$3)*1000</f>
        <v>12.036627650130583</v>
      </c>
      <c r="AV73" s="151">
        <f>SUM(Y73:AA73)/SUM($K$3:$M$3)*1000</f>
        <v>11.439456338966547</v>
      </c>
      <c r="AW73" s="151">
        <f>SUM(AB73:AD73)/SUM($N$3:$P$3)*1000</f>
        <v>11.737683344556691</v>
      </c>
      <c r="AX73" s="151">
        <f>SUM(Y73:AD73)/SUM($K$3:$P$3)*1000</f>
        <v>11.595855983651395</v>
      </c>
    </row>
    <row r="74" spans="1:50">
      <c r="D74" s="152" t="s">
        <v>4</v>
      </c>
      <c r="E74" s="153">
        <f t="shared" ref="E74:Q74" si="33">SUMIF($A$2:$A$69,$D$74,E2:E69)</f>
        <v>17944</v>
      </c>
      <c r="F74" s="153">
        <f t="shared" si="33"/>
        <v>18951.000000000102</v>
      </c>
      <c r="G74" s="153">
        <f t="shared" si="33"/>
        <v>23677</v>
      </c>
      <c r="H74" s="153">
        <f t="shared" si="33"/>
        <v>22788</v>
      </c>
      <c r="I74" s="153">
        <f t="shared" si="33"/>
        <v>22840.999999999611</v>
      </c>
      <c r="J74" s="153">
        <f t="shared" si="33"/>
        <v>23531</v>
      </c>
      <c r="K74" s="153">
        <f t="shared" si="33"/>
        <v>25463</v>
      </c>
      <c r="L74" s="153">
        <f t="shared" si="33"/>
        <v>21092</v>
      </c>
      <c r="M74" s="153">
        <f t="shared" si="33"/>
        <v>20982</v>
      </c>
      <c r="N74" s="153">
        <f t="shared" si="33"/>
        <v>27352</v>
      </c>
      <c r="O74" s="153">
        <f t="shared" si="33"/>
        <v>24475.999999998698</v>
      </c>
      <c r="P74" s="153">
        <f t="shared" si="33"/>
        <v>17875.000000000102</v>
      </c>
      <c r="Q74" s="153">
        <f t="shared" si="33"/>
        <v>266971.99999999849</v>
      </c>
      <c r="R74" s="110"/>
      <c r="S74" s="154">
        <f t="shared" ref="S74:AE74" si="34">SUMIF($A$2:$A$69,$D$74,S2:S69)</f>
        <v>546.7981046120093</v>
      </c>
      <c r="T74" s="154">
        <f t="shared" si="34"/>
        <v>569.70815646757796</v>
      </c>
      <c r="U74" s="154">
        <f t="shared" si="34"/>
        <v>679.92614055693252</v>
      </c>
      <c r="V74" s="154">
        <f t="shared" si="34"/>
        <v>656.85477594645533</v>
      </c>
      <c r="W74" s="154">
        <f t="shared" si="34"/>
        <v>655.21148577902227</v>
      </c>
      <c r="X74" s="154">
        <f t="shared" si="34"/>
        <v>671.03548380657435</v>
      </c>
      <c r="Y74" s="154">
        <f t="shared" si="34"/>
        <v>713.31123991158904</v>
      </c>
      <c r="Z74" s="154">
        <f t="shared" si="34"/>
        <v>568.36738543457534</v>
      </c>
      <c r="AA74" s="154">
        <f t="shared" si="34"/>
        <v>554.7297413837058</v>
      </c>
      <c r="AB74" s="154">
        <f t="shared" si="34"/>
        <v>732.36870219738773</v>
      </c>
      <c r="AC74" s="154">
        <f t="shared" si="34"/>
        <v>668.31041101796654</v>
      </c>
      <c r="AD74" s="154">
        <f t="shared" si="34"/>
        <v>487.60408130754013</v>
      </c>
      <c r="AE74" s="154">
        <f t="shared" si="34"/>
        <v>7504.2257084213379</v>
      </c>
      <c r="AF74" s="112"/>
      <c r="AG74" s="155">
        <f t="shared" ref="AG74:AG75" si="35">+S74*1000/$E$3</f>
        <v>34.079034254410047</v>
      </c>
      <c r="AH74" s="155">
        <f t="shared" ref="AH74:AH75" si="36">+T74*1000/$F$3</f>
        <v>28.843061789569557</v>
      </c>
      <c r="AI74" s="155">
        <f t="shared" ref="AI74:AI75" si="37">+U74*1000/$G$3</f>
        <v>33.933529997351528</v>
      </c>
      <c r="AJ74" s="155">
        <f t="shared" ref="AJ74:AJ75" si="38">+V74*1000/$H$3</f>
        <v>23.423127908799177</v>
      </c>
      <c r="AK74" s="155">
        <f t="shared" ref="AK74:AK75" si="39">+W74*1000/$I$3</f>
        <v>16.061467024048198</v>
      </c>
      <c r="AL74" s="155">
        <f t="shared" ref="AL74:AL75" si="40">+X74*1000/$J$3</f>
        <v>21.663077343962239</v>
      </c>
      <c r="AM74" s="155">
        <f t="shared" ref="AM74:AM75" si="41">+Y74*1000/$K$3</f>
        <v>20.689481100779915</v>
      </c>
      <c r="AN74" s="155">
        <f>+Z74*1000/$L$3</f>
        <v>22.220947119969324</v>
      </c>
      <c r="AO74" s="155">
        <f>+AA74*1000/$M$3</f>
        <v>13.83227960761285</v>
      </c>
      <c r="AP74" s="155">
        <f t="shared" ref="AP74:AP76" si="42">+AB74*1000/$N$3</f>
        <v>17.781550056993414</v>
      </c>
      <c r="AQ74" s="155">
        <f t="shared" ref="AQ74:AQ76" si="43">+AC74*1000/$O$3</f>
        <v>15.502445163951904</v>
      </c>
      <c r="AR74" s="155">
        <f t="shared" ref="AR74:AR76" si="44">+AD74*1000/$P$3</f>
        <v>18.64428865933316</v>
      </c>
      <c r="AS74" s="155">
        <f t="shared" ref="AS74:AS75" si="45">+AE74*1000/$Q$3</f>
        <v>20.489017813827864</v>
      </c>
      <c r="AU74" s="155">
        <f t="shared" ref="AU74:AU75" si="46">SUM(S74:X74)/SUM($E$3:$J$3)*1000</f>
        <v>24.282730455251766</v>
      </c>
      <c r="AV74" s="155">
        <f t="shared" ref="AV74:AV75" si="47">SUM(Y74:AA74)/SUM($K$3:$M$3)*1000</f>
        <v>18.334931126807078</v>
      </c>
      <c r="AW74" s="155">
        <f t="shared" ref="AW74:AW76" si="48">SUM(AB74:AD74)/SUM($N$3:$P$3)*1000</f>
        <v>17.096271566526884</v>
      </c>
      <c r="AX74" s="155">
        <f t="shared" ref="AX74:AX76" si="49">SUM(Y74:AD74)/SUM($K$3:$P$3)*1000</f>
        <v>17.68533899905875</v>
      </c>
    </row>
    <row r="75" spans="1:50">
      <c r="D75" s="156" t="s">
        <v>8</v>
      </c>
      <c r="E75" s="157">
        <f t="shared" ref="E75:Q75" si="50">SUMIF($A$2:$A$69,$D$75,E2:E69)</f>
        <v>6788</v>
      </c>
      <c r="F75" s="157">
        <f t="shared" si="50"/>
        <v>6154</v>
      </c>
      <c r="G75" s="157">
        <f t="shared" si="50"/>
        <v>7000</v>
      </c>
      <c r="H75" s="157">
        <f t="shared" si="50"/>
        <v>6400</v>
      </c>
      <c r="I75" s="157">
        <f t="shared" si="50"/>
        <v>6406</v>
      </c>
      <c r="J75" s="157">
        <f t="shared" si="50"/>
        <v>7002</v>
      </c>
      <c r="K75" s="157">
        <f t="shared" si="50"/>
        <v>7484</v>
      </c>
      <c r="L75" s="157">
        <f t="shared" si="50"/>
        <v>7513</v>
      </c>
      <c r="M75" s="157">
        <f t="shared" si="50"/>
        <v>7046</v>
      </c>
      <c r="N75" s="157">
        <f t="shared" si="50"/>
        <v>7561</v>
      </c>
      <c r="O75" s="157">
        <f t="shared" si="50"/>
        <v>7901</v>
      </c>
      <c r="P75" s="157">
        <f t="shared" si="50"/>
        <v>4736.0000000001965</v>
      </c>
      <c r="Q75" s="157">
        <f t="shared" si="50"/>
        <v>81991.000000000204</v>
      </c>
      <c r="R75" s="110"/>
      <c r="S75" s="158">
        <f t="shared" ref="S75:AE75" si="51">SUMIF($A$2:$A$69,$D$75,S2:S69)</f>
        <v>206.84716529794466</v>
      </c>
      <c r="T75" s="158">
        <f t="shared" si="51"/>
        <v>185.00258534649655</v>
      </c>
      <c r="U75" s="158">
        <f t="shared" si="51"/>
        <v>201.01714676261886</v>
      </c>
      <c r="V75" s="158">
        <f t="shared" si="51"/>
        <v>184.47738134357184</v>
      </c>
      <c r="W75" s="158">
        <f t="shared" si="51"/>
        <v>183.7609902324981</v>
      </c>
      <c r="X75" s="158">
        <f t="shared" si="51"/>
        <v>199.67661627698075</v>
      </c>
      <c r="Y75" s="158">
        <f t="shared" si="51"/>
        <v>209.65405959621145</v>
      </c>
      <c r="Z75" s="158">
        <f t="shared" si="51"/>
        <v>202.45326032476595</v>
      </c>
      <c r="AA75" s="158">
        <f t="shared" si="51"/>
        <v>186.28470869266948</v>
      </c>
      <c r="AB75" s="158">
        <f t="shared" si="51"/>
        <v>202.45100019429833</v>
      </c>
      <c r="AC75" s="158">
        <f t="shared" si="51"/>
        <v>215.73461993190202</v>
      </c>
      <c r="AD75" s="158">
        <f t="shared" si="51"/>
        <v>129.19121281524994</v>
      </c>
      <c r="AE75" s="158">
        <f t="shared" si="51"/>
        <v>2306.5507468152077</v>
      </c>
      <c r="AF75" s="112"/>
      <c r="AG75" s="159">
        <f t="shared" si="35"/>
        <v>12.891689953128367</v>
      </c>
      <c r="AH75" s="159">
        <f t="shared" si="36"/>
        <v>9.3662710280729318</v>
      </c>
      <c r="AI75" s="159">
        <f t="shared" si="37"/>
        <v>10.032297587593893</v>
      </c>
      <c r="AJ75" s="159">
        <f t="shared" si="38"/>
        <v>6.5783754000489196</v>
      </c>
      <c r="AK75" s="159">
        <f t="shared" si="39"/>
        <v>4.504608281426143</v>
      </c>
      <c r="AL75" s="159">
        <f t="shared" si="40"/>
        <v>6.4461717548095541</v>
      </c>
      <c r="AM75" s="159">
        <f t="shared" si="41"/>
        <v>6.0809832524932981</v>
      </c>
      <c r="AN75" s="159">
        <f>+Z75*1000/$L$3</f>
        <v>7.9151325484700115</v>
      </c>
      <c r="AO75" s="159">
        <f>+AA75*1000/$M$3</f>
        <v>4.645040611726249</v>
      </c>
      <c r="AP75" s="159">
        <f t="shared" si="42"/>
        <v>4.9154102069657499</v>
      </c>
      <c r="AQ75" s="159">
        <f t="shared" si="43"/>
        <v>5.0042825314753427</v>
      </c>
      <c r="AR75" s="159">
        <f t="shared" si="44"/>
        <v>4.9398238372366432</v>
      </c>
      <c r="AS75" s="159">
        <f t="shared" si="45"/>
        <v>6.2976463097265514</v>
      </c>
      <c r="AU75" s="159">
        <f t="shared" si="46"/>
        <v>7.4577851501160373</v>
      </c>
      <c r="AV75" s="159">
        <f t="shared" si="47"/>
        <v>5.9744209568151323</v>
      </c>
      <c r="AW75" s="159">
        <f t="shared" si="48"/>
        <v>4.9558789763825288</v>
      </c>
      <c r="AX75" s="159">
        <f t="shared" si="49"/>
        <v>5.44026542813981</v>
      </c>
    </row>
    <row r="76" spans="1:50">
      <c r="E76" s="160">
        <f>SUM(E73:E75)</f>
        <v>30891</v>
      </c>
      <c r="F76" s="160">
        <f t="shared" ref="F76:Q76" si="52">SUM(F73:F75)</f>
        <v>31763.000000000102</v>
      </c>
      <c r="G76" s="160">
        <f t="shared" si="52"/>
        <v>37097</v>
      </c>
      <c r="H76" s="160">
        <f t="shared" si="52"/>
        <v>44358</v>
      </c>
      <c r="I76" s="160">
        <f t="shared" si="52"/>
        <v>43388.999999999607</v>
      </c>
      <c r="J76" s="160">
        <f t="shared" si="52"/>
        <v>46605</v>
      </c>
      <c r="K76" s="160">
        <f t="shared" si="52"/>
        <v>46315</v>
      </c>
      <c r="L76" s="160">
        <f t="shared" si="52"/>
        <v>41842</v>
      </c>
      <c r="M76" s="160">
        <f t="shared" si="52"/>
        <v>43709</v>
      </c>
      <c r="N76" s="160">
        <f t="shared" si="52"/>
        <v>51685</v>
      </c>
      <c r="O76" s="160">
        <f t="shared" si="52"/>
        <v>48732.999999998698</v>
      </c>
      <c r="P76" s="160">
        <f t="shared" si="52"/>
        <v>37302.000000000298</v>
      </c>
      <c r="Q76" s="160">
        <f t="shared" si="52"/>
        <v>503688.99999999872</v>
      </c>
      <c r="R76" s="110"/>
      <c r="S76" s="113">
        <f t="shared" ref="S76:AE76" si="53">SUM(S73:S75)</f>
        <v>941.32524796977145</v>
      </c>
      <c r="T76" s="113">
        <f t="shared" si="53"/>
        <v>954.86466011712514</v>
      </c>
      <c r="U76" s="113">
        <f t="shared" si="53"/>
        <v>1065.3047276361247</v>
      </c>
      <c r="V76" s="113">
        <f t="shared" si="53"/>
        <v>1278.6012002559623</v>
      </c>
      <c r="W76" s="113">
        <f t="shared" si="53"/>
        <v>1244.6465196999357</v>
      </c>
      <c r="X76" s="113">
        <f t="shared" si="53"/>
        <v>1329.0386606096381</v>
      </c>
      <c r="Y76" s="113">
        <f t="shared" si="53"/>
        <v>1297.4515994386068</v>
      </c>
      <c r="Z76" s="113">
        <f t="shared" si="53"/>
        <v>1127.5188764153945</v>
      </c>
      <c r="AA76" s="113">
        <f t="shared" si="53"/>
        <v>1155.5944269440661</v>
      </c>
      <c r="AB76" s="113">
        <f t="shared" si="53"/>
        <v>1383.901593048844</v>
      </c>
      <c r="AC76" s="113">
        <f t="shared" si="53"/>
        <v>1330.6410876017087</v>
      </c>
      <c r="AD76" s="113">
        <f t="shared" si="53"/>
        <v>1017.5444722200785</v>
      </c>
      <c r="AE76" s="113">
        <f t="shared" si="53"/>
        <v>14126.433071957259</v>
      </c>
      <c r="AF76" s="112"/>
      <c r="AG76" s="161">
        <f t="shared" ref="AG76:AS76" si="54">SUM(AG73:AG75)</f>
        <v>58.667824741026578</v>
      </c>
      <c r="AH76" s="161">
        <f t="shared" si="54"/>
        <v>48.342682265954089</v>
      </c>
      <c r="AI76" s="161">
        <f t="shared" si="54"/>
        <v>53.166877658138681</v>
      </c>
      <c r="AJ76" s="161">
        <f t="shared" si="54"/>
        <v>45.59430874927655</v>
      </c>
      <c r="AK76" s="161">
        <f t="shared" si="54"/>
        <v>30.510528992007046</v>
      </c>
      <c r="AL76" s="161">
        <f t="shared" si="54"/>
        <v>42.905431966995039</v>
      </c>
      <c r="AM76" s="161">
        <f t="shared" si="54"/>
        <v>37.632380991345151</v>
      </c>
      <c r="AN76" s="161">
        <f t="shared" si="54"/>
        <v>44.081588725287141</v>
      </c>
      <c r="AO76" s="161">
        <f>SUM(AO73:AO75)</f>
        <v>28.814941824857026</v>
      </c>
      <c r="AP76" s="161">
        <f t="shared" si="42"/>
        <v>33.600446574133684</v>
      </c>
      <c r="AQ76" s="161">
        <f t="shared" si="43"/>
        <v>30.866181572760581</v>
      </c>
      <c r="AR76" s="161">
        <f t="shared" si="44"/>
        <v>38.907370941004039</v>
      </c>
      <c r="AS76" s="147">
        <f t="shared" si="54"/>
        <v>38.569833864721012</v>
      </c>
      <c r="AU76" s="147">
        <f>SUM(AU73:AU75)</f>
        <v>43.777143255498387</v>
      </c>
      <c r="AV76" s="147">
        <f>SUM(AV73:AV75)</f>
        <v>35.748808422588759</v>
      </c>
      <c r="AW76" s="147">
        <f t="shared" si="48"/>
        <v>33.789833887466109</v>
      </c>
      <c r="AX76" s="147">
        <f t="shared" si="49"/>
        <v>34.721460410849957</v>
      </c>
    </row>
    <row r="77" spans="1:50">
      <c r="R77" s="110"/>
      <c r="AF77" s="112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U77" s="161"/>
      <c r="AV77" s="161"/>
      <c r="AW77" s="161"/>
      <c r="AX77" s="161"/>
    </row>
    <row r="78" spans="1:50">
      <c r="D78" s="162" t="s">
        <v>2</v>
      </c>
      <c r="E78" s="163">
        <f>+SUMIF($B$5:$B$69,$D$78,E5:E69)</f>
        <v>5783</v>
      </c>
      <c r="F78" s="163">
        <f t="shared" ref="F78:Q78" si="55">+SUMIF($B$5:$B$69,$D$78,F5:F69)</f>
        <v>6235</v>
      </c>
      <c r="G78" s="163">
        <f t="shared" si="55"/>
        <v>5637</v>
      </c>
      <c r="H78" s="163">
        <f t="shared" si="55"/>
        <v>13247</v>
      </c>
      <c r="I78" s="163">
        <f t="shared" si="55"/>
        <v>13229</v>
      </c>
      <c r="J78" s="163">
        <f t="shared" si="55"/>
        <v>14828</v>
      </c>
      <c r="K78" s="163">
        <f t="shared" si="55"/>
        <v>12074</v>
      </c>
      <c r="L78" s="163">
        <f t="shared" si="55"/>
        <v>12946</v>
      </c>
      <c r="M78" s="163">
        <f t="shared" si="55"/>
        <v>15872</v>
      </c>
      <c r="N78" s="163">
        <f t="shared" si="55"/>
        <v>16293</v>
      </c>
      <c r="O78" s="163">
        <f t="shared" si="55"/>
        <v>15305</v>
      </c>
      <c r="P78" s="163">
        <f t="shared" si="55"/>
        <v>13304</v>
      </c>
      <c r="Q78" s="163">
        <f t="shared" si="55"/>
        <v>144753</v>
      </c>
      <c r="R78" s="110"/>
      <c r="S78" s="163">
        <f t="shared" ref="S78:AE78" si="56">+SUMIF($B$5:$B$69,$D$78,S5:S69)</f>
        <v>176.22232718297198</v>
      </c>
      <c r="T78" s="163">
        <f t="shared" si="56"/>
        <v>187.43762100022846</v>
      </c>
      <c r="U78" s="163">
        <f t="shared" si="56"/>
        <v>161.87623661441179</v>
      </c>
      <c r="V78" s="163">
        <f t="shared" si="56"/>
        <v>381.83935479035875</v>
      </c>
      <c r="W78" s="163">
        <f t="shared" si="56"/>
        <v>379.48394314482005</v>
      </c>
      <c r="X78" s="163">
        <f t="shared" si="56"/>
        <v>422.85130907670242</v>
      </c>
      <c r="Y78" s="163">
        <f t="shared" si="56"/>
        <v>338.23665360297394</v>
      </c>
      <c r="Z78" s="163">
        <f t="shared" si="56"/>
        <v>348.85663625241853</v>
      </c>
      <c r="AA78" s="163">
        <f t="shared" si="56"/>
        <v>419.62970428186912</v>
      </c>
      <c r="AB78" s="163">
        <f t="shared" si="56"/>
        <v>436.2563346337393</v>
      </c>
      <c r="AC78" s="163">
        <f t="shared" si="56"/>
        <v>417.89879231208209</v>
      </c>
      <c r="AD78" s="163">
        <f t="shared" si="56"/>
        <v>362.91382924282385</v>
      </c>
      <c r="AE78" s="163">
        <f t="shared" si="56"/>
        <v>4033.5027421354002</v>
      </c>
      <c r="AF78" s="112"/>
      <c r="AG78" s="164">
        <f t="shared" ref="AG78:AS78" si="57">+SUMIF($B$5:$B$69,$D$78,AG5:AG69)</f>
        <v>10.983005745277158</v>
      </c>
      <c r="AH78" s="164">
        <f t="shared" si="57"/>
        <v>9.4895514884684307</v>
      </c>
      <c r="AI78" s="164">
        <f t="shared" si="57"/>
        <v>8.0788659287523981</v>
      </c>
      <c r="AJ78" s="164">
        <f t="shared" si="57"/>
        <v>13.616209206945005</v>
      </c>
      <c r="AK78" s="164">
        <f t="shared" si="57"/>
        <v>9.3024450444874258</v>
      </c>
      <c r="AL78" s="164">
        <f t="shared" si="57"/>
        <v>13.650933273395609</v>
      </c>
      <c r="AM78" s="164">
        <f t="shared" si="57"/>
        <v>9.8105013082047154</v>
      </c>
      <c r="AN78" s="164">
        <f t="shared" si="57"/>
        <v>13.638933311925033</v>
      </c>
      <c r="AO78" s="164">
        <f t="shared" si="57"/>
        <v>10.463537409781296</v>
      </c>
      <c r="AP78" s="164">
        <f t="shared" si="57"/>
        <v>10.592088149992456</v>
      </c>
      <c r="AQ78" s="164">
        <f>+SUMIF($B$5:$B$69,$D$78,AQ5:AQ69)</f>
        <v>9.6937785273041541</v>
      </c>
      <c r="AR78" s="164">
        <f t="shared" ref="AR78:AR84" si="58">+AD78*1000/$P$3</f>
        <v>13.876565948182765</v>
      </c>
      <c r="AS78" s="164">
        <f t="shared" si="57"/>
        <v>11.012796355924273</v>
      </c>
      <c r="AU78" s="164">
        <f t="shared" ref="AU78:AU83" si="59">SUM(S78:X78)/SUM($E$3:$J$3)*1000</f>
        <v>10.984540606690096</v>
      </c>
      <c r="AV78" s="164">
        <f t="shared" ref="AV78:AV83" si="60">SUM(Y78:AA78)/SUM($K$3:$M$3)*1000</f>
        <v>11.049660980413758</v>
      </c>
      <c r="AW78" s="164">
        <f t="shared" ref="AW78:AW84" si="61">SUM(AB78:AD78)/SUM($N$3:$P$3)*1000</f>
        <v>11.019184754989997</v>
      </c>
      <c r="AX78" s="164">
        <f t="shared" ref="AX78:AX84" si="62">SUM(Y78:AD78)/SUM($K$3:$P$3)*1000</f>
        <v>11.033678286900876</v>
      </c>
    </row>
    <row r="79" spans="1:50">
      <c r="D79" s="162" t="s">
        <v>250</v>
      </c>
      <c r="E79" s="163">
        <f>+SUMIF($B$5:$B$69,$D$79,E5:E69)</f>
        <v>376</v>
      </c>
      <c r="F79" s="163">
        <f t="shared" ref="F79:Q79" si="63">+SUMIF($B$5:$B$69,$D$79,F5:F69)</f>
        <v>423</v>
      </c>
      <c r="G79" s="163">
        <f t="shared" si="63"/>
        <v>783</v>
      </c>
      <c r="H79" s="163">
        <f t="shared" si="63"/>
        <v>1923</v>
      </c>
      <c r="I79" s="163">
        <f t="shared" si="63"/>
        <v>913</v>
      </c>
      <c r="J79" s="163">
        <f t="shared" si="63"/>
        <v>1244</v>
      </c>
      <c r="K79" s="163">
        <f t="shared" si="63"/>
        <v>1294</v>
      </c>
      <c r="L79" s="163">
        <f t="shared" si="63"/>
        <v>291</v>
      </c>
      <c r="M79" s="163">
        <f t="shared" si="63"/>
        <v>-191</v>
      </c>
      <c r="N79" s="163">
        <f t="shared" si="63"/>
        <v>479</v>
      </c>
      <c r="O79" s="163">
        <f t="shared" si="63"/>
        <v>1051</v>
      </c>
      <c r="P79" s="163">
        <f t="shared" si="63"/>
        <v>1387</v>
      </c>
      <c r="Q79" s="163">
        <f t="shared" si="63"/>
        <v>9973</v>
      </c>
      <c r="R79" s="110"/>
      <c r="S79" s="163">
        <f t="shared" ref="S79:AE79" si="64">+SUMIF($B$5:$B$69,$D$79,S5:S69)</f>
        <v>11.45765087684549</v>
      </c>
      <c r="T79" s="163">
        <f t="shared" si="64"/>
        <v>12.716297302822234</v>
      </c>
      <c r="U79" s="163">
        <f t="shared" si="64"/>
        <v>22.485203702161513</v>
      </c>
      <c r="V79" s="163">
        <f t="shared" si="64"/>
        <v>55.429688175576345</v>
      </c>
      <c r="W79" s="163">
        <f t="shared" si="64"/>
        <v>26.190100543595186</v>
      </c>
      <c r="X79" s="163">
        <f t="shared" si="64"/>
        <v>35.475251449380757</v>
      </c>
      <c r="Y79" s="163">
        <f t="shared" si="64"/>
        <v>36.24964632783238</v>
      </c>
      <c r="Z79" s="163">
        <f t="shared" si="64"/>
        <v>7.8415944036346179</v>
      </c>
      <c r="AA79" s="163">
        <f t="shared" si="64"/>
        <v>-5.0497274141782382</v>
      </c>
      <c r="AB79" s="163">
        <f t="shared" si="64"/>
        <v>12.825556023418716</v>
      </c>
      <c r="AC79" s="163">
        <f t="shared" si="64"/>
        <v>28.697264339758128</v>
      </c>
      <c r="AD79" s="163">
        <f t="shared" si="64"/>
        <v>37.83534885446457</v>
      </c>
      <c r="AE79" s="163">
        <f t="shared" si="64"/>
        <v>282.15387458531166</v>
      </c>
      <c r="AF79" s="112"/>
      <c r="AG79" s="164">
        <f t="shared" ref="AG79:AS79" si="65">+SUMIF($B$5:$B$69,$D$79,AG5:AG69)</f>
        <v>0.7140947882109997</v>
      </c>
      <c r="AH79" s="164">
        <f t="shared" si="65"/>
        <v>0.64379795984316712</v>
      </c>
      <c r="AI79" s="164">
        <f t="shared" si="65"/>
        <v>1.12218414444086</v>
      </c>
      <c r="AJ79" s="164">
        <f t="shared" si="65"/>
        <v>1.9765962334834486</v>
      </c>
      <c r="AK79" s="164">
        <f t="shared" si="65"/>
        <v>0.64200864204528085</v>
      </c>
      <c r="AL79" s="164">
        <f t="shared" si="65"/>
        <v>1.1452495948276329</v>
      </c>
      <c r="AM79" s="164">
        <f t="shared" si="65"/>
        <v>1.0514153298672271</v>
      </c>
      <c r="AN79" s="164">
        <f t="shared" si="65"/>
        <v>0.30657574492277007</v>
      </c>
      <c r="AO79" s="164">
        <f t="shared" si="65"/>
        <v>-0.12591580426337115</v>
      </c>
      <c r="AP79" s="164">
        <f t="shared" si="65"/>
        <v>0.31139816018206512</v>
      </c>
      <c r="AQ79" s="164">
        <f t="shared" si="65"/>
        <v>0.66567535002918421</v>
      </c>
      <c r="AR79" s="164">
        <f t="shared" si="58"/>
        <v>1.4466924962514653</v>
      </c>
      <c r="AS79" s="164">
        <f t="shared" si="65"/>
        <v>0.77037338524232146</v>
      </c>
      <c r="AU79" s="164">
        <f t="shared" si="59"/>
        <v>1.0520870434404872</v>
      </c>
      <c r="AV79" s="164">
        <f t="shared" si="60"/>
        <v>0.38979535855278868</v>
      </c>
      <c r="AW79" s="164">
        <f t="shared" si="61"/>
        <v>0.71849858956669455</v>
      </c>
      <c r="AX79" s="164">
        <f t="shared" si="62"/>
        <v>0.56217769675051954</v>
      </c>
    </row>
    <row r="80" spans="1:50">
      <c r="D80" s="165" t="s">
        <v>6</v>
      </c>
      <c r="E80" s="153">
        <f>+SUMIF($B$5:$B$69,$D$80,E5:E70)</f>
        <v>8133</v>
      </c>
      <c r="F80" s="153">
        <f t="shared" ref="F80:Q80" si="66">+SUMIF($B$5:$B$69,$D$80,F5:F70)</f>
        <v>8043</v>
      </c>
      <c r="G80" s="153">
        <f t="shared" si="66"/>
        <v>11665</v>
      </c>
      <c r="H80" s="153">
        <f t="shared" si="66"/>
        <v>9911</v>
      </c>
      <c r="I80" s="153">
        <f t="shared" si="66"/>
        <v>9875</v>
      </c>
      <c r="J80" s="153">
        <f t="shared" si="66"/>
        <v>10728</v>
      </c>
      <c r="K80" s="153">
        <f t="shared" si="66"/>
        <v>11119</v>
      </c>
      <c r="L80" s="153">
        <f t="shared" si="66"/>
        <v>10758</v>
      </c>
      <c r="M80" s="153">
        <f t="shared" si="66"/>
        <v>11419</v>
      </c>
      <c r="N80" s="153">
        <f t="shared" si="66"/>
        <v>11843</v>
      </c>
      <c r="O80" s="153">
        <f t="shared" si="66"/>
        <v>10624</v>
      </c>
      <c r="P80" s="153">
        <f t="shared" si="66"/>
        <v>11000</v>
      </c>
      <c r="Q80" s="153">
        <f t="shared" si="66"/>
        <v>125118</v>
      </c>
      <c r="R80" s="110"/>
      <c r="S80" s="153">
        <f t="shared" ref="S80:AE80" si="67">+SUMIF($B$5:$B$69,$D$80,S5:S70)</f>
        <v>247.8326451632563</v>
      </c>
      <c r="T80" s="153">
        <f t="shared" si="67"/>
        <v>241.79002176501001</v>
      </c>
      <c r="U80" s="153">
        <f t="shared" si="67"/>
        <v>334.98071671227842</v>
      </c>
      <c r="V80" s="153">
        <f t="shared" si="67"/>
        <v>285.68051976502193</v>
      </c>
      <c r="W80" s="153">
        <f t="shared" si="67"/>
        <v>283.27189799343091</v>
      </c>
      <c r="X80" s="153">
        <f t="shared" si="67"/>
        <v>305.93126812617101</v>
      </c>
      <c r="Y80" s="153">
        <f t="shared" si="67"/>
        <v>311.48363023119657</v>
      </c>
      <c r="Z80" s="153">
        <f t="shared" si="67"/>
        <v>289.89646939622418</v>
      </c>
      <c r="AA80" s="153">
        <f t="shared" si="67"/>
        <v>301.89967195026861</v>
      </c>
      <c r="AB80" s="153">
        <f t="shared" si="67"/>
        <v>317.10450936398297</v>
      </c>
      <c r="AC80" s="153">
        <f t="shared" si="67"/>
        <v>290.08538187020974</v>
      </c>
      <c r="AD80" s="153">
        <f t="shared" si="67"/>
        <v>300.0640500354076</v>
      </c>
      <c r="AE80" s="153">
        <f t="shared" si="67"/>
        <v>3510.0207823724581</v>
      </c>
      <c r="AF80" s="112"/>
      <c r="AG80" s="155">
        <f t="shared" ref="AG80:AS80" si="68">+SUMIF($B$5:$B$69,$D$80,AG5:AG70)</f>
        <v>15.446098171595906</v>
      </c>
      <c r="AH80" s="155">
        <f t="shared" si="68"/>
        <v>12.241293122975396</v>
      </c>
      <c r="AI80" s="155">
        <f t="shared" si="68"/>
        <v>16.718107337040397</v>
      </c>
      <c r="AJ80" s="155">
        <f t="shared" si="68"/>
        <v>10.187231029669507</v>
      </c>
      <c r="AK80" s="155">
        <f t="shared" si="68"/>
        <v>6.9439598468752983</v>
      </c>
      <c r="AL80" s="155">
        <f t="shared" si="68"/>
        <v>9.8763968274202938</v>
      </c>
      <c r="AM80" s="155">
        <f t="shared" si="68"/>
        <v>9.0345340438900301</v>
      </c>
      <c r="AN80" s="155">
        <f t="shared" si="68"/>
        <v>11.333820838072725</v>
      </c>
      <c r="AO80" s="155">
        <f t="shared" si="68"/>
        <v>7.5279192088137998</v>
      </c>
      <c r="AP80" s="155">
        <f t="shared" si="68"/>
        <v>7.6991407328521859</v>
      </c>
      <c r="AQ80" s="155">
        <f t="shared" si="68"/>
        <v>6.7289580577640855</v>
      </c>
      <c r="AR80" s="155">
        <f t="shared" si="58"/>
        <v>11.473408405743417</v>
      </c>
      <c r="AS80" s="155">
        <f t="shared" si="68"/>
        <v>9.5835174915153836</v>
      </c>
      <c r="AU80" s="155">
        <f t="shared" si="59"/>
        <v>10.91885529130127</v>
      </c>
      <c r="AV80" s="155">
        <f t="shared" si="60"/>
        <v>9.0184583669734071</v>
      </c>
      <c r="AW80" s="155">
        <f t="shared" si="61"/>
        <v>8.2141597217709403</v>
      </c>
      <c r="AX80" s="155">
        <f t="shared" si="62"/>
        <v>8.5966587982816005</v>
      </c>
    </row>
    <row r="81" spans="4:50">
      <c r="D81" s="165" t="s">
        <v>266</v>
      </c>
      <c r="E81" s="153">
        <f>+SUMIF($B$5:$B$69,$D$81,E5:E69)</f>
        <v>5614</v>
      </c>
      <c r="F81" s="153">
        <f t="shared" ref="F81:Q81" si="69">+SUMIF($B$5:$B$69,$D$81,F5:F69)</f>
        <v>5857.0000000001019</v>
      </c>
      <c r="G81" s="153">
        <f t="shared" si="69"/>
        <v>6505.9999999999982</v>
      </c>
      <c r="H81" s="153">
        <f t="shared" si="69"/>
        <v>6708</v>
      </c>
      <c r="I81" s="153">
        <f t="shared" si="69"/>
        <v>6771.9999999996098</v>
      </c>
      <c r="J81" s="153">
        <f t="shared" si="69"/>
        <v>6266</v>
      </c>
      <c r="K81" s="153">
        <f t="shared" si="69"/>
        <v>7610</v>
      </c>
      <c r="L81" s="153">
        <f t="shared" si="69"/>
        <v>3352</v>
      </c>
      <c r="M81" s="153">
        <f t="shared" si="69"/>
        <v>3824</v>
      </c>
      <c r="N81" s="153">
        <f t="shared" si="69"/>
        <v>8241</v>
      </c>
      <c r="O81" s="153">
        <f t="shared" si="69"/>
        <v>6440.9999999986994</v>
      </c>
      <c r="P81" s="153">
        <f t="shared" si="69"/>
        <v>-629.99999999989996</v>
      </c>
      <c r="Q81" s="153">
        <f t="shared" si="69"/>
        <v>66560.999999998501</v>
      </c>
      <c r="R81" s="110"/>
      <c r="S81" s="153">
        <f t="shared" ref="S81:AE81" si="70">+SUMIF($B$5:$B$69,$D$81,S5:S69)</f>
        <v>171.07247878353877</v>
      </c>
      <c r="T81" s="153">
        <f t="shared" si="70"/>
        <v>176.07412128281587</v>
      </c>
      <c r="U81" s="153">
        <f t="shared" si="70"/>
        <v>186.83107954822822</v>
      </c>
      <c r="V81" s="153">
        <f t="shared" si="70"/>
        <v>193.35535532073126</v>
      </c>
      <c r="W81" s="153">
        <f t="shared" si="70"/>
        <v>194.25997905938269</v>
      </c>
      <c r="X81" s="153">
        <f t="shared" si="70"/>
        <v>178.68804307220239</v>
      </c>
      <c r="Y81" s="153">
        <f t="shared" si="70"/>
        <v>213.18377786306377</v>
      </c>
      <c r="Z81" s="153">
        <f t="shared" si="70"/>
        <v>90.326544470732784</v>
      </c>
      <c r="AA81" s="153">
        <f t="shared" si="70"/>
        <v>101.10030173726483</v>
      </c>
      <c r="AB81" s="153">
        <f t="shared" si="70"/>
        <v>220.65847012315999</v>
      </c>
      <c r="AC81" s="153">
        <f t="shared" si="70"/>
        <v>175.869723703468</v>
      </c>
      <c r="AD81" s="153">
        <f t="shared" si="70"/>
        <v>-17.185486502025139</v>
      </c>
      <c r="AE81" s="153">
        <f t="shared" si="70"/>
        <v>1884.2343884625636</v>
      </c>
      <c r="AF81" s="112"/>
      <c r="AG81" s="155">
        <f t="shared" ref="AG81:AS81" si="71">+SUMIF($B$5:$B$69,$D$81,AG5:AG69)</f>
        <v>10.662042928235513</v>
      </c>
      <c r="AH81" s="155">
        <f t="shared" si="71"/>
        <v>8.9142426732895892</v>
      </c>
      <c r="AI81" s="155">
        <f t="shared" si="71"/>
        <v>9.324304014983694</v>
      </c>
      <c r="AJ81" s="155">
        <f t="shared" si="71"/>
        <v>6.8949597161762748</v>
      </c>
      <c r="AK81" s="155">
        <f t="shared" si="71"/>
        <v>4.761974286889803</v>
      </c>
      <c r="AL81" s="155">
        <f t="shared" si="71"/>
        <v>5.7685964318247134</v>
      </c>
      <c r="AM81" s="155">
        <f t="shared" si="71"/>
        <v>6.1833621795128275</v>
      </c>
      <c r="AN81" s="155">
        <f t="shared" si="71"/>
        <v>3.531415453543389</v>
      </c>
      <c r="AO81" s="155">
        <f t="shared" si="71"/>
        <v>2.5209530654614212</v>
      </c>
      <c r="AP81" s="155">
        <f t="shared" si="71"/>
        <v>5.3574785763265105</v>
      </c>
      <c r="AQ81" s="155">
        <f t="shared" si="71"/>
        <v>4.0795574971808861</v>
      </c>
      <c r="AR81" s="155">
        <f t="shared" si="58"/>
        <v>-0.65711339051065421</v>
      </c>
      <c r="AS81" s="155">
        <f t="shared" si="71"/>
        <v>5.1224175568233239</v>
      </c>
      <c r="AU81" s="155">
        <f t="shared" si="59"/>
        <v>7.069079757829571</v>
      </c>
      <c r="AV81" s="155">
        <f t="shared" si="60"/>
        <v>4.0396831445108425</v>
      </c>
      <c r="AW81" s="155">
        <f t="shared" si="61"/>
        <v>3.434519758484408</v>
      </c>
      <c r="AX81" s="155">
        <f t="shared" si="62"/>
        <v>3.7223163843694445</v>
      </c>
    </row>
    <row r="82" spans="4:50">
      <c r="D82" s="165" t="s">
        <v>10</v>
      </c>
      <c r="E82" s="153">
        <f>+SUMIF($B$5:$B$69,$D$82,E5:E69)</f>
        <v>4197</v>
      </c>
      <c r="F82" s="153">
        <f t="shared" ref="F82:Q82" si="72">+SUMIF($B$5:$B$69,$D$82,F5:F69)</f>
        <v>5051</v>
      </c>
      <c r="G82" s="153">
        <f t="shared" si="72"/>
        <v>5506</v>
      </c>
      <c r="H82" s="153">
        <f t="shared" si="72"/>
        <v>6169</v>
      </c>
      <c r="I82" s="153">
        <f t="shared" si="72"/>
        <v>6194</v>
      </c>
      <c r="J82" s="153">
        <f t="shared" si="72"/>
        <v>6537</v>
      </c>
      <c r="K82" s="153">
        <f t="shared" si="72"/>
        <v>6734</v>
      </c>
      <c r="L82" s="153">
        <f t="shared" si="72"/>
        <v>6982</v>
      </c>
      <c r="M82" s="153">
        <f t="shared" si="72"/>
        <v>5739</v>
      </c>
      <c r="N82" s="153">
        <f t="shared" si="72"/>
        <v>7268</v>
      </c>
      <c r="O82" s="153">
        <f t="shared" si="72"/>
        <v>7411</v>
      </c>
      <c r="P82" s="153">
        <f t="shared" si="72"/>
        <v>7505</v>
      </c>
      <c r="Q82" s="153">
        <f t="shared" si="72"/>
        <v>75293</v>
      </c>
      <c r="R82" s="110"/>
      <c r="S82" s="153">
        <f t="shared" ref="S82:AE82" si="73">+SUMIF($B$5:$B$69,$D$82,S5:S69)</f>
        <v>127.89298066521415</v>
      </c>
      <c r="T82" s="153">
        <f t="shared" si="73"/>
        <v>151.84401341975203</v>
      </c>
      <c r="U82" s="153">
        <f t="shared" si="73"/>
        <v>158.11434429642563</v>
      </c>
      <c r="V82" s="153">
        <f t="shared" si="73"/>
        <v>177.81890086070231</v>
      </c>
      <c r="W82" s="153">
        <f t="shared" si="73"/>
        <v>177.67960872620873</v>
      </c>
      <c r="X82" s="153">
        <f t="shared" si="73"/>
        <v>186.41617260820095</v>
      </c>
      <c r="Y82" s="153">
        <f t="shared" si="73"/>
        <v>188.64383181732867</v>
      </c>
      <c r="Z82" s="153">
        <f t="shared" si="73"/>
        <v>188.14437156761826</v>
      </c>
      <c r="AA82" s="153">
        <f t="shared" si="73"/>
        <v>151.7297676961723</v>
      </c>
      <c r="AB82" s="153">
        <f t="shared" si="73"/>
        <v>194.60572271024472</v>
      </c>
      <c r="AC82" s="153">
        <f t="shared" si="73"/>
        <v>202.35530544428883</v>
      </c>
      <c r="AD82" s="153">
        <f t="shared" si="73"/>
        <v>204.72551777415762</v>
      </c>
      <c r="AE82" s="153">
        <f t="shared" si="73"/>
        <v>2109.9705375863145</v>
      </c>
      <c r="AF82" s="112"/>
      <c r="AG82" s="155">
        <f t="shared" ref="AG82:AS82" si="74">+SUMIF($B$5:$B$69,$D$82,AG5:AG69)</f>
        <v>7.9708931545786319</v>
      </c>
      <c r="AH82" s="155">
        <f t="shared" si="74"/>
        <v>7.6875259933045781</v>
      </c>
      <c r="AI82" s="155">
        <f t="shared" si="74"/>
        <v>7.8911186453274258</v>
      </c>
      <c r="AJ82" s="155">
        <f t="shared" si="74"/>
        <v>6.340937162953403</v>
      </c>
      <c r="AK82" s="155">
        <f t="shared" si="74"/>
        <v>4.355532890283099</v>
      </c>
      <c r="AL82" s="155">
        <f t="shared" si="74"/>
        <v>6.0180840847172314</v>
      </c>
      <c r="AM82" s="155">
        <f t="shared" si="74"/>
        <v>5.4715848773770537</v>
      </c>
      <c r="AN82" s="155">
        <f t="shared" si="74"/>
        <v>7.355710828353204</v>
      </c>
      <c r="AO82" s="155">
        <f t="shared" si="74"/>
        <v>3.7834073333376304</v>
      </c>
      <c r="AP82" s="155">
        <f t="shared" si="74"/>
        <v>4.7249307478147173</v>
      </c>
      <c r="AQ82" s="155">
        <f t="shared" si="74"/>
        <v>4.6939296090069318</v>
      </c>
      <c r="AR82" s="155">
        <f t="shared" si="58"/>
        <v>7.8279936441003954</v>
      </c>
      <c r="AS82" s="155">
        <f t="shared" si="74"/>
        <v>5.7609173299176382</v>
      </c>
      <c r="AU82" s="155">
        <f t="shared" si="59"/>
        <v>6.2947954061209259</v>
      </c>
      <c r="AV82" s="155">
        <f t="shared" si="60"/>
        <v>5.2767896153228291</v>
      </c>
      <c r="AW82" s="155">
        <f t="shared" si="61"/>
        <v>5.4475920862715359</v>
      </c>
      <c r="AX82" s="155">
        <f t="shared" si="62"/>
        <v>5.3663638164077048</v>
      </c>
    </row>
    <row r="83" spans="4:50">
      <c r="D83" s="166" t="s">
        <v>9</v>
      </c>
      <c r="E83" s="157">
        <f>+SUMIF($B$5:$B$69,$D$83,E5:E69)</f>
        <v>6788</v>
      </c>
      <c r="F83" s="157">
        <f t="shared" ref="F83:Q83" si="75">+SUMIF($B$5:$B$69,$D$83,F5:F69)</f>
        <v>6154</v>
      </c>
      <c r="G83" s="157">
        <f t="shared" si="75"/>
        <v>7000</v>
      </c>
      <c r="H83" s="157">
        <f t="shared" si="75"/>
        <v>6400</v>
      </c>
      <c r="I83" s="157">
        <f t="shared" si="75"/>
        <v>6406</v>
      </c>
      <c r="J83" s="157">
        <f t="shared" si="75"/>
        <v>7002</v>
      </c>
      <c r="K83" s="157">
        <f t="shared" si="75"/>
        <v>7484</v>
      </c>
      <c r="L83" s="157">
        <f t="shared" si="75"/>
        <v>7513</v>
      </c>
      <c r="M83" s="157">
        <f t="shared" si="75"/>
        <v>7046</v>
      </c>
      <c r="N83" s="157">
        <f t="shared" si="75"/>
        <v>7561</v>
      </c>
      <c r="O83" s="157">
        <f t="shared" si="75"/>
        <v>7901</v>
      </c>
      <c r="P83" s="157">
        <f t="shared" si="75"/>
        <v>4736.0000000001965</v>
      </c>
      <c r="Q83" s="157">
        <f t="shared" si="75"/>
        <v>81991.000000000204</v>
      </c>
      <c r="R83" s="110"/>
      <c r="S83" s="157">
        <f t="shared" ref="S83:AE83" si="76">+SUMIF($B$5:$B$69,$D$83,S5:S69)</f>
        <v>206.84716529794466</v>
      </c>
      <c r="T83" s="157">
        <f t="shared" si="76"/>
        <v>185.00258534649655</v>
      </c>
      <c r="U83" s="157">
        <f t="shared" si="76"/>
        <v>201.01714676261886</v>
      </c>
      <c r="V83" s="157">
        <f t="shared" si="76"/>
        <v>184.47738134357184</v>
      </c>
      <c r="W83" s="157">
        <f t="shared" si="76"/>
        <v>183.7609902324981</v>
      </c>
      <c r="X83" s="157">
        <f t="shared" si="76"/>
        <v>199.67661627698075</v>
      </c>
      <c r="Y83" s="157">
        <f t="shared" si="76"/>
        <v>209.65405959621145</v>
      </c>
      <c r="Z83" s="157">
        <f t="shared" si="76"/>
        <v>202.45326032476595</v>
      </c>
      <c r="AA83" s="157">
        <f t="shared" si="76"/>
        <v>186.28470869266948</v>
      </c>
      <c r="AB83" s="157">
        <f t="shared" si="76"/>
        <v>202.45100019429833</v>
      </c>
      <c r="AC83" s="157">
        <f t="shared" si="76"/>
        <v>215.73461993190202</v>
      </c>
      <c r="AD83" s="157">
        <f t="shared" si="76"/>
        <v>129.19121281524994</v>
      </c>
      <c r="AE83" s="157">
        <f t="shared" si="76"/>
        <v>2306.5507468152077</v>
      </c>
      <c r="AF83" s="112"/>
      <c r="AG83" s="159">
        <f t="shared" ref="AG83:AS83" si="77">+SUMIF($B$5:$B$69,$D$83,AG5:AG69)</f>
        <v>12.891689953128367</v>
      </c>
      <c r="AH83" s="159">
        <f t="shared" si="77"/>
        <v>9.3662710280729318</v>
      </c>
      <c r="AI83" s="159">
        <f t="shared" si="77"/>
        <v>10.032297587593895</v>
      </c>
      <c r="AJ83" s="159">
        <f t="shared" si="77"/>
        <v>6.5783754000489187</v>
      </c>
      <c r="AK83" s="159">
        <f t="shared" si="77"/>
        <v>4.5046082814261439</v>
      </c>
      <c r="AL83" s="159">
        <f t="shared" si="77"/>
        <v>6.4461717548095541</v>
      </c>
      <c r="AM83" s="159">
        <f t="shared" si="77"/>
        <v>6.080983252493299</v>
      </c>
      <c r="AN83" s="159">
        <f t="shared" si="77"/>
        <v>7.9151325484700124</v>
      </c>
      <c r="AO83" s="159">
        <f t="shared" si="77"/>
        <v>4.645040611726249</v>
      </c>
      <c r="AP83" s="159">
        <f t="shared" si="77"/>
        <v>4.915410206965749</v>
      </c>
      <c r="AQ83" s="159">
        <f t="shared" si="77"/>
        <v>5.0042825314753427</v>
      </c>
      <c r="AR83" s="159">
        <f t="shared" si="58"/>
        <v>4.9398238372366432</v>
      </c>
      <c r="AS83" s="159">
        <f t="shared" si="77"/>
        <v>6.2976463097265514</v>
      </c>
      <c r="AU83" s="159">
        <f t="shared" si="59"/>
        <v>7.4577851501160373</v>
      </c>
      <c r="AV83" s="159">
        <f t="shared" si="60"/>
        <v>5.9744209568151323</v>
      </c>
      <c r="AW83" s="159">
        <f t="shared" si="61"/>
        <v>4.9558789763825288</v>
      </c>
      <c r="AX83" s="159">
        <f t="shared" si="62"/>
        <v>5.44026542813981</v>
      </c>
    </row>
    <row r="84" spans="4:50">
      <c r="E84" s="160">
        <f>SUM(E78:E83)</f>
        <v>30891</v>
      </c>
      <c r="F84" s="160">
        <f t="shared" ref="F84:Q84" si="78">SUM(F78:F83)</f>
        <v>31763.000000000102</v>
      </c>
      <c r="G84" s="160">
        <f t="shared" si="78"/>
        <v>37097</v>
      </c>
      <c r="H84" s="160">
        <f t="shared" si="78"/>
        <v>44358</v>
      </c>
      <c r="I84" s="160">
        <f t="shared" si="78"/>
        <v>43388.999999999607</v>
      </c>
      <c r="J84" s="160">
        <f t="shared" si="78"/>
        <v>46605</v>
      </c>
      <c r="K84" s="160">
        <f t="shared" si="78"/>
        <v>46315</v>
      </c>
      <c r="L84" s="160">
        <f t="shared" si="78"/>
        <v>41842</v>
      </c>
      <c r="M84" s="160">
        <f t="shared" si="78"/>
        <v>43709</v>
      </c>
      <c r="N84" s="160">
        <f t="shared" si="78"/>
        <v>51685</v>
      </c>
      <c r="O84" s="160">
        <f t="shared" si="78"/>
        <v>48732.999999998698</v>
      </c>
      <c r="P84" s="160">
        <f t="shared" si="78"/>
        <v>37302.000000000298</v>
      </c>
      <c r="Q84" s="160">
        <f t="shared" si="78"/>
        <v>503688.99999999872</v>
      </c>
      <c r="R84" s="110"/>
      <c r="S84" s="160">
        <f t="shared" ref="S84:Z84" si="79">SUM(S78:S83)</f>
        <v>941.32524796977134</v>
      </c>
      <c r="T84" s="160">
        <f t="shared" si="79"/>
        <v>954.86466011712514</v>
      </c>
      <c r="U84" s="160">
        <f t="shared" si="79"/>
        <v>1065.3047276361244</v>
      </c>
      <c r="V84" s="160">
        <f t="shared" si="79"/>
        <v>1278.6012002559623</v>
      </c>
      <c r="W84" s="160">
        <f t="shared" si="79"/>
        <v>1244.6465196999357</v>
      </c>
      <c r="X84" s="160">
        <f t="shared" si="79"/>
        <v>1329.0386606096381</v>
      </c>
      <c r="Y84" s="160">
        <f t="shared" si="79"/>
        <v>1297.4515994386068</v>
      </c>
      <c r="Z84" s="160">
        <f t="shared" si="79"/>
        <v>1127.5188764153943</v>
      </c>
      <c r="AA84" s="160">
        <f>SUM(AA78:AA83)</f>
        <v>1155.5944269440661</v>
      </c>
      <c r="AB84" s="160">
        <f>SUM(AB78:AB83)</f>
        <v>1383.901593048844</v>
      </c>
      <c r="AC84" s="160">
        <f>SUM(AC78:AC83)</f>
        <v>1330.6410876017089</v>
      </c>
      <c r="AD84" s="160">
        <f>SUM(AD78:AD83)</f>
        <v>1017.5444722200785</v>
      </c>
      <c r="AE84" s="160">
        <f t="shared" ref="AE84" si="80">SUM(AE78:AE83)</f>
        <v>14126.433071957257</v>
      </c>
      <c r="AF84" s="112"/>
      <c r="AG84" s="161">
        <f t="shared" ref="AG84:AN84" si="81">SUM(AG78:AG83)</f>
        <v>58.667824741026578</v>
      </c>
      <c r="AH84" s="161">
        <f t="shared" si="81"/>
        <v>48.342682265954089</v>
      </c>
      <c r="AI84" s="161">
        <f t="shared" si="81"/>
        <v>53.166877658138667</v>
      </c>
      <c r="AJ84" s="161">
        <f t="shared" si="81"/>
        <v>45.594308749276557</v>
      </c>
      <c r="AK84" s="161">
        <f t="shared" si="81"/>
        <v>30.510528992007053</v>
      </c>
      <c r="AL84" s="161">
        <f t="shared" si="81"/>
        <v>42.905431966995032</v>
      </c>
      <c r="AM84" s="161">
        <f t="shared" si="81"/>
        <v>37.632380991345151</v>
      </c>
      <c r="AN84" s="161">
        <f t="shared" si="81"/>
        <v>44.081588725287133</v>
      </c>
      <c r="AO84" s="161">
        <f>SUM(AO78:AO83)</f>
        <v>28.814941824857023</v>
      </c>
      <c r="AP84" s="161">
        <f>SUM(AP78:AP83)</f>
        <v>33.600446574133684</v>
      </c>
      <c r="AQ84" s="161">
        <f>SUM(AQ78:AQ83)</f>
        <v>30.866181572760588</v>
      </c>
      <c r="AR84" s="161">
        <f t="shared" si="58"/>
        <v>38.907370941004039</v>
      </c>
      <c r="AS84" s="147">
        <f t="shared" ref="AS84" si="82">SUM(AS78:AS83)</f>
        <v>38.547668429149489</v>
      </c>
      <c r="AU84" s="147">
        <f>SUM(AU78:AU83)</f>
        <v>43.777143255498387</v>
      </c>
      <c r="AV84" s="147">
        <f>SUM(AV78:AV83)</f>
        <v>35.748808422588759</v>
      </c>
      <c r="AW84" s="147">
        <f t="shared" si="61"/>
        <v>33.789833887466109</v>
      </c>
      <c r="AX84" s="147">
        <f t="shared" si="62"/>
        <v>34.721460410849957</v>
      </c>
    </row>
  </sheetData>
  <autoFilter ref="A1:AS90" xr:uid="{00000000-0001-0000-0000-000000000000}"/>
  <pageMargins left="0.7" right="0.7" top="0.75" bottom="0.75" header="0.3" footer="0.3"/>
  <pageSetup orientation="portrait" r:id="rId1"/>
  <headerFooter>
    <oddFooter>&amp;C_x000D_&amp;1#&amp;"Aptos"&amp;10&amp;K0000FF Haier Europe - Internal and trusted parties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B208-EF74-40B4-A342-B37DDD817BC8}">
  <dimension ref="A1:H58"/>
  <sheetViews>
    <sheetView workbookViewId="0">
      <selection activeCell="C248" sqref="C248"/>
    </sheetView>
  </sheetViews>
  <sheetFormatPr defaultRowHeight="10.199999999999999"/>
  <cols>
    <col min="1" max="1" width="10.109375" style="371" bestFit="1" customWidth="1"/>
    <col min="2" max="2" width="27.88671875" style="371" bestFit="1" customWidth="1"/>
    <col min="3" max="3" width="15.109375" style="371" bestFit="1" customWidth="1"/>
    <col min="4" max="4" width="11.5546875" style="373" bestFit="1" customWidth="1"/>
    <col min="5" max="5" width="9" style="374" bestFit="1" customWidth="1"/>
    <col min="6" max="6" width="8.88671875" style="371"/>
    <col min="7" max="7" width="11" style="371" bestFit="1" customWidth="1"/>
    <col min="8" max="8" width="9.6640625" style="371" bestFit="1" customWidth="1"/>
    <col min="9" max="16384" width="8.88671875" style="371"/>
  </cols>
  <sheetData>
    <row r="1" spans="1:5">
      <c r="A1" s="378" t="s">
        <v>473</v>
      </c>
      <c r="B1" s="367" t="s">
        <v>474</v>
      </c>
      <c r="C1" s="368" t="s">
        <v>475</v>
      </c>
      <c r="D1" s="369" t="s">
        <v>556</v>
      </c>
      <c r="E1" s="370" t="s">
        <v>567</v>
      </c>
    </row>
    <row r="2" spans="1:5">
      <c r="A2" s="371">
        <v>5001010206</v>
      </c>
      <c r="B2" s="371" t="s">
        <v>553</v>
      </c>
      <c r="C2" s="372">
        <v>3.2000000000000003E-4</v>
      </c>
      <c r="D2" s="373">
        <v>5.1000000000000004E-4</v>
      </c>
      <c r="E2" s="374">
        <v>4.4000000000000002E-4</v>
      </c>
    </row>
    <row r="3" spans="1:5">
      <c r="A3" s="371">
        <v>5102040000</v>
      </c>
      <c r="B3" s="371" t="s">
        <v>488</v>
      </c>
      <c r="C3" s="372">
        <v>-1.32E-3</v>
      </c>
      <c r="D3" s="373">
        <v>0</v>
      </c>
    </row>
    <row r="4" spans="1:5">
      <c r="A4" s="371">
        <v>5102040406</v>
      </c>
      <c r="B4" s="371" t="s">
        <v>489</v>
      </c>
      <c r="C4" s="372">
        <v>-3.26972</v>
      </c>
      <c r="D4" s="373">
        <v>-1.7057800000000003</v>
      </c>
      <c r="E4" s="374">
        <v>-1.7057800000000003</v>
      </c>
    </row>
    <row r="5" spans="1:5">
      <c r="A5" s="371">
        <v>5102040898</v>
      </c>
      <c r="B5" s="371" t="s">
        <v>491</v>
      </c>
      <c r="C5" s="372">
        <v>-6.8365900000000002</v>
      </c>
      <c r="D5" s="373">
        <v>-4.9063599999999994</v>
      </c>
      <c r="E5" s="374">
        <v>-4.8451499999999994</v>
      </c>
    </row>
    <row r="6" spans="1:5">
      <c r="A6" s="371">
        <v>5301060000</v>
      </c>
      <c r="B6" s="375" t="s">
        <v>492</v>
      </c>
      <c r="C6" s="372"/>
      <c r="E6" s="374">
        <v>-0.25900000000000001</v>
      </c>
    </row>
    <row r="7" spans="1:5">
      <c r="A7" s="371">
        <v>5301999999</v>
      </c>
      <c r="B7" s="375" t="s">
        <v>568</v>
      </c>
      <c r="C7" s="372"/>
      <c r="E7" s="374">
        <v>-29.499119999999998</v>
      </c>
    </row>
    <row r="8" spans="1:5">
      <c r="A8" s="371">
        <v>5405030000</v>
      </c>
      <c r="B8" s="371" t="s">
        <v>557</v>
      </c>
      <c r="C8" s="372">
        <v>0</v>
      </c>
      <c r="D8" s="373">
        <v>0</v>
      </c>
      <c r="E8" s="374">
        <v>0</v>
      </c>
    </row>
    <row r="9" spans="1:5">
      <c r="A9" s="371">
        <v>5601050100</v>
      </c>
      <c r="B9" s="371" t="s">
        <v>495</v>
      </c>
      <c r="C9" s="372">
        <v>8.115E-2</v>
      </c>
      <c r="D9" s="373">
        <v>3.1960000000000002E-2</v>
      </c>
      <c r="E9" s="374">
        <v>8.1999999999999998E-4</v>
      </c>
    </row>
    <row r="10" spans="1:5">
      <c r="A10" s="371">
        <v>5601080000</v>
      </c>
      <c r="B10" s="371" t="s">
        <v>496</v>
      </c>
      <c r="C10" s="372">
        <v>1.9199999999999998E-3</v>
      </c>
      <c r="D10" s="373">
        <v>0</v>
      </c>
    </row>
    <row r="11" spans="1:5">
      <c r="A11" s="371">
        <v>5801000041</v>
      </c>
      <c r="B11" s="371" t="s">
        <v>497</v>
      </c>
      <c r="C11" s="372">
        <v>2.9999999999999997E-4</v>
      </c>
      <c r="D11" s="373">
        <v>0</v>
      </c>
    </row>
    <row r="12" spans="1:5">
      <c r="A12" s="371">
        <v>6666010012</v>
      </c>
      <c r="B12" s="371" t="s">
        <v>498</v>
      </c>
      <c r="C12" s="372">
        <v>1.2289999999999999E-2</v>
      </c>
      <c r="D12" s="373">
        <v>2.0210000000000002E-2</v>
      </c>
      <c r="E12" s="374">
        <v>1.464E-2</v>
      </c>
    </row>
    <row r="13" spans="1:5">
      <c r="A13" s="371">
        <v>6666010101</v>
      </c>
      <c r="B13" s="371" t="s">
        <v>499</v>
      </c>
      <c r="C13" s="372">
        <v>17.66985</v>
      </c>
      <c r="D13" s="373">
        <v>20.609540000000003</v>
      </c>
      <c r="E13" s="374">
        <v>17.644739999999999</v>
      </c>
    </row>
    <row r="14" spans="1:5">
      <c r="A14" s="371">
        <v>6666010102</v>
      </c>
      <c r="B14" s="371" t="s">
        <v>500</v>
      </c>
      <c r="C14" s="372">
        <v>0.10948000000000001</v>
      </c>
      <c r="D14" s="373">
        <v>0.13945999999999997</v>
      </c>
      <c r="E14" s="374">
        <v>0.11056000000000001</v>
      </c>
    </row>
    <row r="15" spans="1:5">
      <c r="A15" s="371">
        <v>6666010196</v>
      </c>
      <c r="B15" s="371" t="s">
        <v>502</v>
      </c>
      <c r="C15" s="372">
        <v>3.26206</v>
      </c>
      <c r="D15" s="373">
        <v>2.8481400000000003</v>
      </c>
      <c r="E15" s="374">
        <v>3.30722</v>
      </c>
    </row>
    <row r="16" spans="1:5">
      <c r="A16" s="371">
        <v>6666010199</v>
      </c>
      <c r="B16" s="371" t="s">
        <v>503</v>
      </c>
      <c r="C16" s="372">
        <v>14.37947</v>
      </c>
      <c r="D16" s="373">
        <v>3.4471299999999996</v>
      </c>
      <c r="E16" s="374">
        <v>2.4965600000000001</v>
      </c>
    </row>
    <row r="17" spans="1:7">
      <c r="A17" s="371">
        <v>6666010207</v>
      </c>
      <c r="B17" s="371" t="s">
        <v>504</v>
      </c>
      <c r="C17" s="372">
        <v>0.27156000000000002</v>
      </c>
      <c r="D17" s="373">
        <v>0.22877</v>
      </c>
      <c r="E17" s="374">
        <v>0.26933999999999997</v>
      </c>
      <c r="G17" s="376"/>
    </row>
    <row r="18" spans="1:7">
      <c r="A18" s="371">
        <v>6666010227</v>
      </c>
      <c r="B18" s="371" t="s">
        <v>505</v>
      </c>
      <c r="C18" s="372">
        <v>0.28814000000000001</v>
      </c>
      <c r="D18" s="373">
        <v>0.22493000000000002</v>
      </c>
      <c r="E18" s="374">
        <v>0.23419000000000004</v>
      </c>
      <c r="G18" s="376"/>
    </row>
    <row r="19" spans="1:7">
      <c r="A19" s="371">
        <v>6666010314</v>
      </c>
      <c r="B19" s="371" t="s">
        <v>507</v>
      </c>
      <c r="C19" s="372">
        <v>2.4480000000000002E-2</v>
      </c>
      <c r="D19" s="373">
        <v>1.47906</v>
      </c>
      <c r="E19" s="374">
        <v>-5.6599999999999992E-3</v>
      </c>
    </row>
    <row r="20" spans="1:7">
      <c r="A20" s="371">
        <v>6666010315</v>
      </c>
      <c r="B20" s="375" t="s">
        <v>569</v>
      </c>
      <c r="C20" s="372"/>
      <c r="E20" s="374">
        <v>5.8180000000000003E-2</v>
      </c>
    </row>
    <row r="21" spans="1:7">
      <c r="A21" s="371">
        <v>6666010322</v>
      </c>
      <c r="B21" s="371" t="s">
        <v>509</v>
      </c>
      <c r="C21" s="372">
        <v>0.40044999999999997</v>
      </c>
      <c r="D21" s="373">
        <v>0.49397000000000002</v>
      </c>
      <c r="E21" s="374">
        <v>0.44880999999999993</v>
      </c>
    </row>
    <row r="22" spans="1:7">
      <c r="A22" s="371">
        <v>6666020101</v>
      </c>
      <c r="B22" s="371" t="s">
        <v>510</v>
      </c>
      <c r="C22" s="372"/>
      <c r="D22" s="377">
        <v>0.72689999999999999</v>
      </c>
      <c r="E22" s="374">
        <v>0.17451</v>
      </c>
    </row>
    <row r="23" spans="1:7">
      <c r="A23" s="371">
        <v>6666020201</v>
      </c>
      <c r="B23" s="371" t="s">
        <v>511</v>
      </c>
      <c r="C23" s="372">
        <v>1.5789999999999998E-2</v>
      </c>
      <c r="D23" s="373">
        <v>0.10604000000000001</v>
      </c>
      <c r="E23" s="374">
        <v>7.9140000000000002E-2</v>
      </c>
    </row>
    <row r="24" spans="1:7">
      <c r="A24" s="371">
        <v>6666020202</v>
      </c>
      <c r="B24" s="375" t="s">
        <v>512</v>
      </c>
      <c r="C24" s="372"/>
      <c r="E24" s="374">
        <v>0.20982000000000001</v>
      </c>
    </row>
    <row r="25" spans="1:7">
      <c r="A25" s="371">
        <v>6666020204</v>
      </c>
      <c r="B25" s="371" t="s">
        <v>513</v>
      </c>
      <c r="C25" s="372">
        <v>0.36923</v>
      </c>
      <c r="D25" s="373">
        <v>0.55758000000000008</v>
      </c>
      <c r="E25" s="374">
        <v>3.99017</v>
      </c>
    </row>
    <row r="26" spans="1:7">
      <c r="A26" s="371">
        <v>6666020301</v>
      </c>
      <c r="B26" s="371" t="s">
        <v>514</v>
      </c>
      <c r="C26" s="372">
        <v>0.13952999999999999</v>
      </c>
      <c r="D26" s="373">
        <v>1.277E-2</v>
      </c>
      <c r="E26" s="374">
        <v>0.29497000000000001</v>
      </c>
    </row>
    <row r="27" spans="1:7">
      <c r="A27" s="371">
        <v>6666020401</v>
      </c>
      <c r="B27" s="371" t="s">
        <v>515</v>
      </c>
      <c r="C27" s="372">
        <v>1.0423099999999998</v>
      </c>
      <c r="D27" s="373">
        <v>1.7551199999999998</v>
      </c>
      <c r="E27" s="374">
        <v>1.26173</v>
      </c>
    </row>
    <row r="28" spans="1:7">
      <c r="A28" s="371">
        <v>6666020495</v>
      </c>
      <c r="B28" s="371" t="s">
        <v>494</v>
      </c>
      <c r="C28" s="372">
        <v>4.9449999999999994E-2</v>
      </c>
      <c r="D28" s="373">
        <v>0.16685</v>
      </c>
      <c r="E28" s="374">
        <v>0.46395999999999998</v>
      </c>
    </row>
    <row r="29" spans="1:7">
      <c r="A29" s="371">
        <v>6666020502</v>
      </c>
      <c r="B29" s="371" t="s">
        <v>518</v>
      </c>
      <c r="C29" s="372">
        <v>0.72683000000000009</v>
      </c>
      <c r="D29" s="373">
        <v>2.1329400000000001</v>
      </c>
      <c r="E29" s="374">
        <v>-0.78859000000000001</v>
      </c>
    </row>
    <row r="30" spans="1:7">
      <c r="A30" s="371">
        <v>6666020503</v>
      </c>
      <c r="B30" s="371" t="s">
        <v>519</v>
      </c>
      <c r="C30" s="372">
        <v>-6.5030000000000004E-2</v>
      </c>
      <c r="D30" s="373">
        <v>3.458E-2</v>
      </c>
      <c r="E30" s="374">
        <v>0.19721</v>
      </c>
    </row>
    <row r="31" spans="1:7">
      <c r="A31" s="371">
        <v>6666020508</v>
      </c>
      <c r="B31" s="371" t="s">
        <v>521</v>
      </c>
      <c r="C31" s="372">
        <v>8.1799999999999998E-2</v>
      </c>
      <c r="D31" s="373">
        <v>8.047E-2</v>
      </c>
      <c r="E31" s="374">
        <v>-2.1099999999999999E-3</v>
      </c>
    </row>
    <row r="32" spans="1:7">
      <c r="A32" s="371">
        <v>6666020701</v>
      </c>
      <c r="B32" s="371" t="s">
        <v>523</v>
      </c>
      <c r="C32" s="372">
        <v>7.7694899999999993</v>
      </c>
      <c r="D32" s="373">
        <v>0</v>
      </c>
    </row>
    <row r="33" spans="1:5">
      <c r="A33" s="371">
        <v>6666020704</v>
      </c>
      <c r="B33" s="371" t="s">
        <v>558</v>
      </c>
      <c r="C33" s="372">
        <v>0</v>
      </c>
      <c r="D33" s="373">
        <v>0</v>
      </c>
    </row>
    <row r="34" spans="1:5">
      <c r="A34" s="371">
        <v>6666020801</v>
      </c>
      <c r="B34" s="371" t="s">
        <v>524</v>
      </c>
      <c r="C34" s="372">
        <v>1.4136399999999998</v>
      </c>
      <c r="D34" s="373">
        <v>0</v>
      </c>
    </row>
    <row r="35" spans="1:5">
      <c r="A35" s="371">
        <v>6666020803</v>
      </c>
      <c r="B35" s="371" t="s">
        <v>525</v>
      </c>
      <c r="C35" s="372">
        <v>8.0375499999999995</v>
      </c>
      <c r="D35" s="373">
        <v>6.1692</v>
      </c>
      <c r="E35" s="374">
        <v>5.9358399999999989</v>
      </c>
    </row>
    <row r="36" spans="1:5">
      <c r="A36" s="371">
        <v>6666020806</v>
      </c>
      <c r="B36" s="371" t="s">
        <v>559</v>
      </c>
      <c r="C36" s="372"/>
      <c r="D36" s="377">
        <v>-23.55274</v>
      </c>
      <c r="E36" s="374">
        <v>-2.810620000000001</v>
      </c>
    </row>
    <row r="37" spans="1:5">
      <c r="A37" s="371">
        <v>6666021100</v>
      </c>
      <c r="B37" s="371" t="s">
        <v>527</v>
      </c>
      <c r="C37" s="372">
        <v>1.50925</v>
      </c>
      <c r="D37" s="373">
        <v>0</v>
      </c>
    </row>
    <row r="38" spans="1:5">
      <c r="A38" s="371">
        <v>6666021102</v>
      </c>
      <c r="B38" s="371" t="s">
        <v>528</v>
      </c>
      <c r="C38" s="372">
        <v>0.54822000000000004</v>
      </c>
      <c r="D38" s="373">
        <v>0</v>
      </c>
    </row>
    <row r="39" spans="1:5">
      <c r="A39" s="371">
        <v>6666021300</v>
      </c>
      <c r="B39" s="371" t="s">
        <v>531</v>
      </c>
      <c r="C39" s="372">
        <v>3.2590000000000001E-2</v>
      </c>
      <c r="D39" s="373">
        <v>1.0000000000000001E-5</v>
      </c>
      <c r="E39" s="374">
        <v>4.6710000000000002E-2</v>
      </c>
    </row>
    <row r="40" spans="1:5">
      <c r="A40" s="371">
        <v>6666021400</v>
      </c>
      <c r="B40" s="375" t="s">
        <v>532</v>
      </c>
      <c r="C40" s="372"/>
      <c r="E40" s="374">
        <v>2.1384499999999997</v>
      </c>
    </row>
    <row r="41" spans="1:5">
      <c r="A41" s="371">
        <v>6666021502</v>
      </c>
      <c r="B41" s="371" t="s">
        <v>533</v>
      </c>
      <c r="C41" s="372">
        <v>-8.0000000000000007E-5</v>
      </c>
      <c r="D41" s="373">
        <v>0</v>
      </c>
    </row>
    <row r="42" spans="1:5">
      <c r="A42" s="371">
        <v>6666021503</v>
      </c>
      <c r="B42" s="371" t="s">
        <v>560</v>
      </c>
      <c r="C42" s="372"/>
      <c r="D42" s="377">
        <v>6.2899999999999998E-2</v>
      </c>
      <c r="E42" s="374">
        <v>0</v>
      </c>
    </row>
    <row r="43" spans="1:5">
      <c r="A43" s="371">
        <v>6666021505</v>
      </c>
      <c r="B43" s="375" t="s">
        <v>534</v>
      </c>
      <c r="C43" s="372"/>
      <c r="D43" s="377"/>
      <c r="E43" s="374">
        <v>2.0400000000000001E-3</v>
      </c>
    </row>
    <row r="44" spans="1:5">
      <c r="A44" s="371">
        <v>6666021602</v>
      </c>
      <c r="B44" s="371" t="s">
        <v>561</v>
      </c>
      <c r="C44" s="372"/>
      <c r="D44" s="377">
        <v>0.19158</v>
      </c>
      <c r="E44" s="374">
        <v>0.12247</v>
      </c>
    </row>
    <row r="45" spans="1:5">
      <c r="A45" s="371">
        <v>6666021902</v>
      </c>
      <c r="B45" s="371" t="s">
        <v>537</v>
      </c>
      <c r="C45" s="372">
        <v>3.1381899999999998</v>
      </c>
      <c r="D45" s="373">
        <v>5.1697299999999995</v>
      </c>
      <c r="E45" s="374">
        <v>5.2615499999999988</v>
      </c>
    </row>
    <row r="46" spans="1:5">
      <c r="A46" s="371">
        <v>6666022100</v>
      </c>
      <c r="B46" s="371" t="s">
        <v>538</v>
      </c>
      <c r="C46" s="372">
        <v>0.19174000000000002</v>
      </c>
      <c r="D46" s="373">
        <v>0.34555000000000002</v>
      </c>
      <c r="E46" s="374">
        <v>0.28331000000000001</v>
      </c>
    </row>
    <row r="47" spans="1:5">
      <c r="A47" s="371">
        <v>6666022300</v>
      </c>
      <c r="B47" s="371" t="s">
        <v>539</v>
      </c>
      <c r="C47" s="372">
        <v>-3.1E-4</v>
      </c>
      <c r="D47" s="373">
        <v>0.63451000000000002</v>
      </c>
      <c r="E47" s="374">
        <v>0.69686000000000003</v>
      </c>
    </row>
    <row r="48" spans="1:5">
      <c r="A48" s="371">
        <v>6666029700</v>
      </c>
      <c r="B48" s="371" t="s">
        <v>540</v>
      </c>
      <c r="C48" s="372">
        <v>2.6215700000000002</v>
      </c>
      <c r="D48" s="373">
        <v>-4.7303300000000004</v>
      </c>
      <c r="E48" s="374">
        <v>3.6748499999999997</v>
      </c>
    </row>
    <row r="49" spans="1:8">
      <c r="A49" s="371">
        <v>6666029996</v>
      </c>
      <c r="B49" s="371" t="s">
        <v>494</v>
      </c>
      <c r="C49" s="372">
        <v>1.3120000000000001E-2</v>
      </c>
      <c r="D49" s="373">
        <v>5.0180000000000002E-2</v>
      </c>
      <c r="E49" s="374">
        <v>2.3089999999999999E-2</v>
      </c>
    </row>
    <row r="50" spans="1:8">
      <c r="A50" s="371">
        <v>6666079999</v>
      </c>
      <c r="B50" s="371" t="s">
        <v>544</v>
      </c>
      <c r="C50" s="372">
        <v>17.243770000000001</v>
      </c>
      <c r="D50" s="377">
        <v>-17.243775132</v>
      </c>
    </row>
    <row r="51" spans="1:8">
      <c r="A51" s="371">
        <v>6666093800</v>
      </c>
      <c r="B51" s="371" t="s">
        <v>546</v>
      </c>
      <c r="C51" s="372">
        <v>0.15148999999999999</v>
      </c>
      <c r="D51" s="373">
        <v>5.1029999999999999E-2</v>
      </c>
      <c r="E51" s="374">
        <v>2.845E-2</v>
      </c>
    </row>
    <row r="52" spans="1:8">
      <c r="A52" s="371">
        <v>6666110101</v>
      </c>
      <c r="B52" s="371" t="s">
        <v>562</v>
      </c>
      <c r="C52" s="372">
        <v>5.4640000000000001E-2</v>
      </c>
      <c r="D52" s="373">
        <v>0</v>
      </c>
    </row>
    <row r="53" spans="1:8">
      <c r="A53" s="371">
        <v>6666110110</v>
      </c>
      <c r="B53" s="371" t="s">
        <v>547</v>
      </c>
      <c r="C53" s="372">
        <v>1.259E-2</v>
      </c>
      <c r="D53" s="373">
        <v>0</v>
      </c>
    </row>
    <row r="54" spans="1:8">
      <c r="A54" s="371">
        <v>6666110112</v>
      </c>
      <c r="B54" s="371" t="s">
        <v>548</v>
      </c>
      <c r="C54" s="372">
        <v>0.14903</v>
      </c>
      <c r="D54" s="373">
        <v>0</v>
      </c>
    </row>
    <row r="55" spans="1:8">
      <c r="A55" s="371">
        <v>6666110207</v>
      </c>
      <c r="B55" s="371" t="s">
        <v>552</v>
      </c>
      <c r="C55" s="372">
        <v>1.0200000000000001E-3</v>
      </c>
      <c r="D55" s="373">
        <v>0</v>
      </c>
    </row>
    <row r="56" spans="1:8">
      <c r="A56" s="371">
        <v>6666110404</v>
      </c>
      <c r="B56" s="371" t="s">
        <v>563</v>
      </c>
      <c r="C56" s="372"/>
      <c r="D56" s="377">
        <v>18.68627</v>
      </c>
      <c r="E56" s="374">
        <v>9.3431299999999986</v>
      </c>
      <c r="H56" s="376"/>
    </row>
    <row r="57" spans="1:8" s="378" customFormat="1">
      <c r="A57" s="371">
        <v>6666110506</v>
      </c>
      <c r="B57" s="371" t="s">
        <v>555</v>
      </c>
      <c r="C57" s="372">
        <v>5.9470000000000002E-2</v>
      </c>
      <c r="D57" s="373"/>
      <c r="E57" s="374"/>
    </row>
    <row r="58" spans="1:8">
      <c r="B58" s="378" t="s">
        <v>564</v>
      </c>
      <c r="C58" s="379">
        <f>SUM(C2:C57)</f>
        <v>71.700730000000007</v>
      </c>
      <c r="D58" s="369">
        <f>SUM(D2:D57)</f>
        <v>14.318904868000004</v>
      </c>
      <c r="E58" s="370">
        <f>SUM(E2:E57)</f>
        <v>18.897729999999989</v>
      </c>
    </row>
  </sheetData>
  <autoFilter ref="A1:D58" xr:uid="{95A89EE2-F880-4C20-A2F6-48DB98F4C0A5}"/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E79A-2C0A-49ED-8BDC-97B5004E25B6}">
  <dimension ref="A1:N73"/>
  <sheetViews>
    <sheetView workbookViewId="0">
      <pane ySplit="1" topLeftCell="A2" activePane="bottomLeft" state="frozen"/>
      <selection activeCell="C248" sqref="C248"/>
      <selection pane="bottomLeft" activeCell="C248" sqref="C248"/>
    </sheetView>
  </sheetViews>
  <sheetFormatPr defaultRowHeight="12"/>
  <cols>
    <col min="1" max="1" width="8.5546875" style="361" bestFit="1" customWidth="1"/>
    <col min="2" max="2" width="27.5546875" style="361" customWidth="1"/>
    <col min="3" max="3" width="12.21875" style="361" bestFit="1" customWidth="1"/>
    <col min="4" max="4" width="13.21875" style="361" bestFit="1" customWidth="1"/>
    <col min="5" max="5" width="11.33203125" style="361" bestFit="1" customWidth="1"/>
    <col min="6" max="6" width="10.33203125" style="361" bestFit="1" customWidth="1"/>
    <col min="7" max="7" width="10" style="361" bestFit="1" customWidth="1"/>
    <col min="8" max="8" width="10.21875" style="361" bestFit="1" customWidth="1"/>
    <col min="9" max="10" width="9.6640625" style="361" bestFit="1" customWidth="1"/>
    <col min="11" max="11" width="10.109375" style="361" bestFit="1" customWidth="1"/>
    <col min="12" max="12" width="9" style="361" bestFit="1" customWidth="1"/>
    <col min="13" max="13" width="9.44140625" style="361" bestFit="1" customWidth="1"/>
    <col min="14" max="14" width="9.21875" style="361" bestFit="1" customWidth="1"/>
    <col min="15" max="16384" width="8.88671875" style="361"/>
  </cols>
  <sheetData>
    <row r="1" spans="1:14">
      <c r="A1" s="359" t="s">
        <v>473</v>
      </c>
      <c r="B1" s="359" t="s">
        <v>474</v>
      </c>
      <c r="C1" s="360" t="s">
        <v>475</v>
      </c>
      <c r="D1" s="360" t="s">
        <v>476</v>
      </c>
      <c r="E1" s="360" t="s">
        <v>477</v>
      </c>
      <c r="F1" s="360" t="s">
        <v>478</v>
      </c>
      <c r="G1" s="360" t="s">
        <v>479</v>
      </c>
      <c r="H1" s="360" t="s">
        <v>480</v>
      </c>
      <c r="I1" s="360" t="s">
        <v>481</v>
      </c>
      <c r="J1" s="360" t="s">
        <v>482</v>
      </c>
      <c r="K1" s="360" t="s">
        <v>483</v>
      </c>
      <c r="L1" s="360" t="s">
        <v>484</v>
      </c>
      <c r="M1" s="360" t="s">
        <v>485</v>
      </c>
      <c r="N1" s="360" t="s">
        <v>486</v>
      </c>
    </row>
    <row r="2" spans="1:14">
      <c r="A2" s="361">
        <v>5102020000</v>
      </c>
      <c r="B2" s="361" t="s">
        <v>487</v>
      </c>
      <c r="C2" s="362">
        <v>0</v>
      </c>
      <c r="D2" s="362">
        <v>0</v>
      </c>
      <c r="E2" s="362">
        <v>-0.41327112493519952</v>
      </c>
      <c r="F2" s="362">
        <v>0</v>
      </c>
      <c r="G2" s="362">
        <v>-0.19248485450840963</v>
      </c>
      <c r="H2" s="362">
        <v>-0.11197441174069762</v>
      </c>
      <c r="I2" s="362">
        <v>0</v>
      </c>
      <c r="J2" s="362">
        <v>-2.2000000000000001E-3</v>
      </c>
      <c r="K2" s="362">
        <v>-2.36463</v>
      </c>
      <c r="L2" s="362">
        <v>2.1585700000000001</v>
      </c>
      <c r="M2" s="362">
        <v>-9.647E-2</v>
      </c>
      <c r="N2" s="362">
        <v>-9.1150000000000009E-2</v>
      </c>
    </row>
    <row r="3" spans="1:14">
      <c r="A3" s="361">
        <v>5102040000</v>
      </c>
      <c r="B3" s="361" t="s">
        <v>488</v>
      </c>
      <c r="C3" s="362">
        <v>-0.14466442916922154</v>
      </c>
      <c r="D3" s="362">
        <v>0</v>
      </c>
      <c r="E3" s="362">
        <v>-4.2926750348263827</v>
      </c>
      <c r="F3" s="362">
        <v>-4.9733684629788169</v>
      </c>
      <c r="G3" s="362">
        <v>-4.0579978586240077E-3</v>
      </c>
      <c r="H3" s="362">
        <v>-4.6245769301822017</v>
      </c>
      <c r="I3" s="362">
        <v>-1.806</v>
      </c>
      <c r="J3" s="362">
        <v>-3.1818599999999999</v>
      </c>
      <c r="K3" s="362">
        <v>-7.8530000000000003E-2</v>
      </c>
      <c r="L3" s="362">
        <v>-2.1840000000000002</v>
      </c>
      <c r="M3" s="362">
        <v>-5.4999999999999997E-3</v>
      </c>
      <c r="N3" s="362">
        <v>-5.1875900000000001</v>
      </c>
    </row>
    <row r="4" spans="1:14">
      <c r="A4" s="361">
        <v>5102040406</v>
      </c>
      <c r="B4" s="361" t="s">
        <v>489</v>
      </c>
      <c r="C4" s="362">
        <v>-4.5367613838061125</v>
      </c>
      <c r="D4" s="362">
        <v>-4.5367612324165441</v>
      </c>
      <c r="E4" s="362">
        <v>-4.5367614288276465</v>
      </c>
      <c r="F4" s="362">
        <v>-32.745671362319108</v>
      </c>
      <c r="G4" s="362">
        <v>-5.6142168843431079</v>
      </c>
      <c r="H4" s="362">
        <v>-4.5367616416698526</v>
      </c>
      <c r="I4" s="362">
        <v>-7.5195200000000009</v>
      </c>
      <c r="J4" s="362">
        <v>-4.5367600000000001</v>
      </c>
      <c r="K4" s="362">
        <v>-4.5367600000000001</v>
      </c>
      <c r="L4" s="362">
        <v>-2.5394399999999999</v>
      </c>
      <c r="M4" s="362">
        <v>-4.5367600000000001</v>
      </c>
      <c r="N4" s="362">
        <v>-2.3053499999999998</v>
      </c>
    </row>
    <row r="5" spans="1:14">
      <c r="A5" s="361">
        <v>5102040897</v>
      </c>
      <c r="B5" s="361" t="s">
        <v>490</v>
      </c>
      <c r="C5" s="362">
        <v>-8.1384508019492046</v>
      </c>
      <c r="D5" s="362">
        <v>0</v>
      </c>
      <c r="E5" s="362">
        <v>-4.60732791343893E-2</v>
      </c>
      <c r="F5" s="362">
        <v>-7.1765351670336814</v>
      </c>
      <c r="G5" s="362">
        <v>-7.2815988488974615</v>
      </c>
      <c r="H5" s="362">
        <v>-0.15389580818257198</v>
      </c>
      <c r="I5" s="362">
        <v>0.28998000000000002</v>
      </c>
      <c r="J5" s="362">
        <v>0</v>
      </c>
      <c r="K5" s="362">
        <v>0</v>
      </c>
      <c r="L5" s="362">
        <v>0</v>
      </c>
      <c r="M5" s="362">
        <v>0</v>
      </c>
      <c r="N5" s="362">
        <v>-4.0802500000000004</v>
      </c>
    </row>
    <row r="6" spans="1:14">
      <c r="A6" s="361">
        <v>5102040898</v>
      </c>
      <c r="B6" s="361" t="s">
        <v>491</v>
      </c>
      <c r="C6" s="362">
        <v>0</v>
      </c>
      <c r="D6" s="362">
        <v>0</v>
      </c>
      <c r="E6" s="362">
        <v>0</v>
      </c>
      <c r="F6" s="362">
        <v>-8.8396227149325401</v>
      </c>
      <c r="G6" s="362">
        <v>0</v>
      </c>
      <c r="H6" s="362">
        <v>-12.934899232266297</v>
      </c>
      <c r="I6" s="362">
        <v>-7.7632299999999992</v>
      </c>
      <c r="J6" s="362">
        <v>-3.9309600000000002</v>
      </c>
      <c r="K6" s="362">
        <v>-19.599869999999999</v>
      </c>
      <c r="L6" s="362">
        <v>-1.63988</v>
      </c>
      <c r="M6" s="362">
        <v>-2.1514899999999999</v>
      </c>
      <c r="N6" s="362">
        <v>-14.300280000000001</v>
      </c>
    </row>
    <row r="7" spans="1:14">
      <c r="A7" s="361">
        <v>5301060000</v>
      </c>
      <c r="B7" s="363" t="s">
        <v>492</v>
      </c>
      <c r="C7" s="362">
        <v>0</v>
      </c>
      <c r="D7" s="362">
        <v>0</v>
      </c>
      <c r="E7" s="362">
        <v>-4.9404573250880178E-2</v>
      </c>
      <c r="F7" s="362">
        <v>-2.0901091430167238</v>
      </c>
      <c r="G7" s="362">
        <v>0</v>
      </c>
      <c r="H7" s="362">
        <v>-2.1780007990960768</v>
      </c>
      <c r="I7" s="362">
        <v>0</v>
      </c>
      <c r="J7" s="362">
        <v>0</v>
      </c>
      <c r="K7" s="362">
        <v>0</v>
      </c>
      <c r="L7" s="362">
        <v>0</v>
      </c>
      <c r="M7" s="362">
        <v>-2.0337200000000002</v>
      </c>
      <c r="N7" s="362">
        <v>0</v>
      </c>
    </row>
    <row r="8" spans="1:14">
      <c r="A8" s="361">
        <v>5601050000</v>
      </c>
      <c r="B8" s="361" t="s">
        <v>493</v>
      </c>
      <c r="C8" s="362">
        <v>0</v>
      </c>
      <c r="D8" s="362">
        <v>0</v>
      </c>
      <c r="E8" s="362">
        <v>0</v>
      </c>
      <c r="F8" s="362">
        <v>0</v>
      </c>
      <c r="G8" s="362">
        <v>0</v>
      </c>
      <c r="H8" s="362">
        <v>0</v>
      </c>
      <c r="I8" s="362">
        <v>0</v>
      </c>
      <c r="J8" s="362">
        <v>0</v>
      </c>
      <c r="K8" s="362">
        <v>0</v>
      </c>
      <c r="L8" s="362">
        <v>0</v>
      </c>
      <c r="M8" s="362">
        <v>0</v>
      </c>
      <c r="N8" s="362">
        <v>0</v>
      </c>
    </row>
    <row r="9" spans="1:14">
      <c r="A9" s="361">
        <v>5601050099</v>
      </c>
      <c r="B9" s="361" t="s">
        <v>494</v>
      </c>
      <c r="C9" s="362">
        <v>0</v>
      </c>
      <c r="D9" s="362">
        <v>4.027589754356498</v>
      </c>
      <c r="E9" s="362">
        <v>0</v>
      </c>
      <c r="F9" s="362">
        <v>0</v>
      </c>
      <c r="G9" s="362">
        <v>0</v>
      </c>
      <c r="H9" s="362">
        <v>0</v>
      </c>
      <c r="I9" s="362">
        <v>0</v>
      </c>
      <c r="J9" s="362">
        <v>0</v>
      </c>
      <c r="K9" s="362">
        <v>8.6E-3</v>
      </c>
      <c r="L9" s="362">
        <v>0</v>
      </c>
      <c r="M9" s="362">
        <v>0</v>
      </c>
      <c r="N9" s="362">
        <v>0</v>
      </c>
    </row>
    <row r="10" spans="1:14">
      <c r="A10" s="361">
        <v>5601050100</v>
      </c>
      <c r="B10" s="361" t="s">
        <v>495</v>
      </c>
      <c r="C10" s="362">
        <v>0</v>
      </c>
      <c r="D10" s="362">
        <v>0</v>
      </c>
      <c r="E10" s="362">
        <v>2.8966706713941904E-4</v>
      </c>
      <c r="F10" s="362">
        <v>4.77134446433395E-3</v>
      </c>
      <c r="G10" s="362">
        <v>2.5540652261320175E-3</v>
      </c>
      <c r="H10" s="362">
        <v>0</v>
      </c>
      <c r="I10" s="362">
        <v>4.5260000000000022E-2</v>
      </c>
      <c r="J10" s="362">
        <v>6.8420000000000009E-2</v>
      </c>
      <c r="K10" s="362">
        <v>0.10895999999999995</v>
      </c>
      <c r="L10" s="362">
        <v>1.9629999999999995E-2</v>
      </c>
      <c r="M10" s="362">
        <v>4.752E-2</v>
      </c>
      <c r="N10" s="362">
        <v>0.17723</v>
      </c>
    </row>
    <row r="11" spans="1:14">
      <c r="A11" s="361">
        <v>5601080000</v>
      </c>
      <c r="B11" s="361" t="s">
        <v>496</v>
      </c>
      <c r="C11" s="362">
        <v>0</v>
      </c>
      <c r="D11" s="362">
        <v>8.8801661242914118</v>
      </c>
      <c r="E11" s="362">
        <v>-8.3133674349354703</v>
      </c>
      <c r="F11" s="362">
        <v>0.11840849887148684</v>
      </c>
      <c r="G11" s="362">
        <v>0</v>
      </c>
      <c r="H11" s="362">
        <v>5.0171204186232346E-2</v>
      </c>
      <c r="I11" s="362">
        <v>-3.9700000000000013E-3</v>
      </c>
      <c r="J11" s="362">
        <v>0.26688000000000001</v>
      </c>
      <c r="K11" s="362">
        <v>0</v>
      </c>
      <c r="L11" s="362">
        <v>9.9540000000000017E-2</v>
      </c>
      <c r="M11" s="362">
        <v>0.20324</v>
      </c>
      <c r="N11" s="362">
        <v>0</v>
      </c>
    </row>
    <row r="12" spans="1:14">
      <c r="A12" s="361">
        <v>5801000041</v>
      </c>
      <c r="B12" s="361" t="s">
        <v>497</v>
      </c>
      <c r="C12" s="362">
        <v>7.2727003797291342E-2</v>
      </c>
      <c r="D12" s="362">
        <v>0</v>
      </c>
      <c r="E12" s="362">
        <v>0.18059574614452886</v>
      </c>
      <c r="F12" s="362">
        <v>0</v>
      </c>
      <c r="G12" s="362">
        <v>0</v>
      </c>
      <c r="H12" s="362">
        <v>0</v>
      </c>
      <c r="I12" s="362">
        <v>0</v>
      </c>
      <c r="J12" s="362">
        <v>0</v>
      </c>
      <c r="K12" s="362">
        <v>0</v>
      </c>
      <c r="L12" s="362">
        <v>0</v>
      </c>
      <c r="M12" s="362">
        <v>0</v>
      </c>
      <c r="N12" s="362">
        <v>0.16994999999999999</v>
      </c>
    </row>
    <row r="13" spans="1:14">
      <c r="A13" s="361">
        <v>6666010012</v>
      </c>
      <c r="B13" s="361" t="s">
        <v>498</v>
      </c>
      <c r="C13" s="362">
        <v>0</v>
      </c>
      <c r="D13" s="362">
        <v>0</v>
      </c>
      <c r="E13" s="362">
        <v>0</v>
      </c>
      <c r="F13" s="362">
        <v>0</v>
      </c>
      <c r="G13" s="362">
        <v>0</v>
      </c>
      <c r="H13" s="362">
        <v>0</v>
      </c>
      <c r="I13" s="362">
        <v>9.7100000000000016E-3</v>
      </c>
      <c r="J13" s="362">
        <v>9.4199999999999996E-3</v>
      </c>
      <c r="K13" s="362">
        <v>9.2399999999999999E-3</v>
      </c>
      <c r="L13" s="362">
        <v>1.4319999999999999E-2</v>
      </c>
      <c r="M13" s="362">
        <v>1.1869999999999999E-2</v>
      </c>
      <c r="N13" s="362">
        <v>1.1560000000000001E-2</v>
      </c>
    </row>
    <row r="14" spans="1:14">
      <c r="A14" s="361">
        <v>6666010101</v>
      </c>
      <c r="B14" s="361" t="s">
        <v>499</v>
      </c>
      <c r="C14" s="362">
        <v>25.776461096588896</v>
      </c>
      <c r="D14" s="362">
        <v>26.486676201973552</v>
      </c>
      <c r="E14" s="362">
        <v>26.751615526547901</v>
      </c>
      <c r="F14" s="362">
        <v>64.900980410110378</v>
      </c>
      <c r="G14" s="362">
        <v>20.284519297231121</v>
      </c>
      <c r="H14" s="362">
        <v>18.233099117986967</v>
      </c>
      <c r="I14" s="362">
        <v>17.45008</v>
      </c>
      <c r="J14" s="362">
        <v>16.853110000000001</v>
      </c>
      <c r="K14" s="362">
        <v>16.840559999999996</v>
      </c>
      <c r="L14" s="362">
        <v>18.011749999999999</v>
      </c>
      <c r="M14" s="362">
        <v>15.37965</v>
      </c>
      <c r="N14" s="362">
        <v>15.075660000000003</v>
      </c>
    </row>
    <row r="15" spans="1:14">
      <c r="A15" s="361">
        <v>6666010102</v>
      </c>
      <c r="B15" s="361" t="s">
        <v>500</v>
      </c>
      <c r="C15" s="362">
        <v>0</v>
      </c>
      <c r="D15" s="362">
        <v>0</v>
      </c>
      <c r="E15" s="362">
        <v>0</v>
      </c>
      <c r="F15" s="362">
        <v>0</v>
      </c>
      <c r="G15" s="362">
        <v>0</v>
      </c>
      <c r="H15" s="362">
        <v>0</v>
      </c>
      <c r="I15" s="362">
        <v>3.9240000000000004E-2</v>
      </c>
      <c r="J15" s="362">
        <v>3.8020000000000005E-2</v>
      </c>
      <c r="K15" s="362">
        <v>0.12268</v>
      </c>
      <c r="L15" s="362">
        <v>0.20314000000000004</v>
      </c>
      <c r="M15" s="362">
        <v>0.16952</v>
      </c>
      <c r="N15" s="362">
        <v>0.13500000000000001</v>
      </c>
    </row>
    <row r="16" spans="1:14">
      <c r="A16" s="361">
        <v>6666010185</v>
      </c>
      <c r="B16" s="363" t="s">
        <v>501</v>
      </c>
      <c r="C16" s="362">
        <v>0</v>
      </c>
      <c r="D16" s="362">
        <v>0</v>
      </c>
      <c r="E16" s="362">
        <v>0</v>
      </c>
      <c r="F16" s="362">
        <v>0</v>
      </c>
      <c r="G16" s="362">
        <v>4.5176708696064658E-7</v>
      </c>
      <c r="H16" s="362">
        <v>5.2594269707814389E-3</v>
      </c>
      <c r="I16" s="362">
        <v>0</v>
      </c>
      <c r="J16" s="362">
        <v>0</v>
      </c>
      <c r="K16" s="362">
        <v>0</v>
      </c>
      <c r="L16" s="362">
        <v>0</v>
      </c>
      <c r="M16" s="362">
        <v>0</v>
      </c>
      <c r="N16" s="362">
        <v>0</v>
      </c>
    </row>
    <row r="17" spans="1:14">
      <c r="A17" s="361">
        <v>6666010196</v>
      </c>
      <c r="B17" s="361" t="s">
        <v>502</v>
      </c>
      <c r="C17" s="362">
        <v>3.9563265778122014</v>
      </c>
      <c r="D17" s="362">
        <v>4.1696748372874248</v>
      </c>
      <c r="E17" s="362">
        <v>4.1445372329055878</v>
      </c>
      <c r="F17" s="362">
        <v>3.4382389701001239</v>
      </c>
      <c r="G17" s="362">
        <v>3.3327946763766474</v>
      </c>
      <c r="H17" s="362">
        <v>2.9964369337050996</v>
      </c>
      <c r="I17" s="362">
        <v>2.877359999999999</v>
      </c>
      <c r="J17" s="362">
        <v>2.7787899999999999</v>
      </c>
      <c r="K17" s="362">
        <v>2.7707199999999998</v>
      </c>
      <c r="L17" s="362">
        <v>2.7270700000000012</v>
      </c>
      <c r="M17" s="362">
        <v>2.5554299999999999</v>
      </c>
      <c r="N17" s="362">
        <v>2.5031099999999995</v>
      </c>
    </row>
    <row r="18" spans="1:14">
      <c r="A18" s="361">
        <v>6666010199</v>
      </c>
      <c r="B18" s="361" t="s">
        <v>503</v>
      </c>
      <c r="C18" s="362">
        <v>8.0612724690999453</v>
      </c>
      <c r="D18" s="362">
        <v>2.0445005773672063</v>
      </c>
      <c r="E18" s="362">
        <v>2.2379264850043854</v>
      </c>
      <c r="F18" s="362">
        <v>-17.089984159612502</v>
      </c>
      <c r="G18" s="362">
        <v>1.5628288299684214</v>
      </c>
      <c r="H18" s="362">
        <v>0.79504775243487991</v>
      </c>
      <c r="I18" s="362">
        <v>2.3075399999999999</v>
      </c>
      <c r="J18" s="362">
        <v>0.84379999999999988</v>
      </c>
      <c r="K18" s="362">
        <v>1.47994</v>
      </c>
      <c r="L18" s="362">
        <v>1.869</v>
      </c>
      <c r="M18" s="362">
        <v>0.99827999999999961</v>
      </c>
      <c r="N18" s="362">
        <v>1.35222</v>
      </c>
    </row>
    <row r="19" spans="1:14">
      <c r="A19" s="361">
        <v>6666010207</v>
      </c>
      <c r="B19" s="361" t="s">
        <v>504</v>
      </c>
      <c r="C19" s="362">
        <v>0.31226213143146042</v>
      </c>
      <c r="D19" s="362">
        <v>0.32422711526348941</v>
      </c>
      <c r="E19" s="362">
        <v>0.32775963775646849</v>
      </c>
      <c r="F19" s="362">
        <v>0.28697334145191339</v>
      </c>
      <c r="G19" s="362">
        <v>0.29874566868305374</v>
      </c>
      <c r="H19" s="362">
        <v>0.26755498081739792</v>
      </c>
      <c r="I19" s="362">
        <v>0.25678000000000006</v>
      </c>
      <c r="J19" s="362">
        <v>0.24858000000000002</v>
      </c>
      <c r="K19" s="362">
        <v>0.24724999999999997</v>
      </c>
      <c r="L19" s="362">
        <v>0.24327999999999997</v>
      </c>
      <c r="M19" s="362">
        <v>0.22397</v>
      </c>
      <c r="N19" s="362">
        <v>0.21981999999999996</v>
      </c>
    </row>
    <row r="20" spans="1:14">
      <c r="A20" s="361">
        <v>6666010227</v>
      </c>
      <c r="B20" s="361" t="s">
        <v>505</v>
      </c>
      <c r="C20" s="362">
        <v>0.36374716278869629</v>
      </c>
      <c r="D20" s="362">
        <v>0.2670866575687591</v>
      </c>
      <c r="E20" s="362">
        <v>1.9786103351440598</v>
      </c>
      <c r="F20" s="362">
        <v>0.26170586323244627</v>
      </c>
      <c r="G20" s="362">
        <v>0.2662509656521484</v>
      </c>
      <c r="H20" s="362">
        <v>0.25708660740753475</v>
      </c>
      <c r="I20" s="362">
        <v>9.0437599999999989</v>
      </c>
      <c r="J20" s="362">
        <v>0.29949000000000003</v>
      </c>
      <c r="K20" s="362">
        <v>0.29971999999999999</v>
      </c>
      <c r="L20" s="362">
        <v>0.30947999999999998</v>
      </c>
      <c r="M20" s="362">
        <v>0.28935999999999995</v>
      </c>
      <c r="N20" s="362">
        <v>0.28932999999999998</v>
      </c>
    </row>
    <row r="21" spans="1:14">
      <c r="A21" s="361">
        <v>6666010302</v>
      </c>
      <c r="B21" s="363" t="s">
        <v>506</v>
      </c>
      <c r="C21" s="362">
        <v>-1.2908639106722174E-5</v>
      </c>
      <c r="D21" s="362">
        <v>-6.0361116943103088E-6</v>
      </c>
      <c r="E21" s="362">
        <v>-4.1791660831558237E-4</v>
      </c>
      <c r="F21" s="362">
        <v>-1.3619986357122911E-4</v>
      </c>
      <c r="G21" s="362">
        <v>-3.5463716326410761E-5</v>
      </c>
      <c r="H21" s="362">
        <v>2.3414374277698779E-5</v>
      </c>
      <c r="I21" s="362">
        <v>0</v>
      </c>
      <c r="J21" s="362">
        <v>0</v>
      </c>
      <c r="K21" s="362">
        <v>0</v>
      </c>
      <c r="L21" s="362">
        <v>0</v>
      </c>
      <c r="M21" s="362">
        <v>0</v>
      </c>
      <c r="N21" s="362">
        <v>0</v>
      </c>
    </row>
    <row r="22" spans="1:14">
      <c r="A22" s="361">
        <v>6666010314</v>
      </c>
      <c r="B22" s="361" t="s">
        <v>507</v>
      </c>
      <c r="C22" s="362">
        <v>0.2053885500371124</v>
      </c>
      <c r="D22" s="362">
        <v>2.7185056686961997</v>
      </c>
      <c r="E22" s="362">
        <v>-1.9382731518676031</v>
      </c>
      <c r="F22" s="362">
        <v>0</v>
      </c>
      <c r="G22" s="362">
        <v>0</v>
      </c>
      <c r="H22" s="362">
        <v>0</v>
      </c>
      <c r="I22" s="362">
        <v>-2.5000000000000001E-3</v>
      </c>
      <c r="J22" s="362">
        <v>0</v>
      </c>
      <c r="K22" s="362">
        <v>0.78184999999999993</v>
      </c>
      <c r="L22" s="362">
        <v>0</v>
      </c>
      <c r="M22" s="362">
        <v>-9.9999999999999395E-5</v>
      </c>
      <c r="N22" s="362">
        <v>0</v>
      </c>
    </row>
    <row r="23" spans="1:14">
      <c r="A23" s="361">
        <v>6666010321</v>
      </c>
      <c r="B23" s="361" t="s">
        <v>508</v>
      </c>
      <c r="C23" s="362">
        <v>0</v>
      </c>
      <c r="D23" s="362">
        <v>0</v>
      </c>
      <c r="E23" s="362">
        <v>0</v>
      </c>
      <c r="F23" s="362">
        <v>0</v>
      </c>
      <c r="G23" s="362">
        <v>0</v>
      </c>
      <c r="H23" s="362">
        <v>0.1767246082925551</v>
      </c>
      <c r="I23" s="362">
        <v>0</v>
      </c>
      <c r="J23" s="362">
        <v>0</v>
      </c>
      <c r="K23" s="362">
        <v>0</v>
      </c>
      <c r="L23" s="362">
        <v>0</v>
      </c>
      <c r="M23" s="362">
        <v>0</v>
      </c>
      <c r="N23" s="362">
        <v>0</v>
      </c>
    </row>
    <row r="24" spans="1:14">
      <c r="A24" s="361">
        <v>6666010322</v>
      </c>
      <c r="B24" s="361" t="s">
        <v>509</v>
      </c>
      <c r="C24" s="362">
        <v>5.6475296091909504E-3</v>
      </c>
      <c r="D24" s="362">
        <v>2.152739869829939E-2</v>
      </c>
      <c r="E24" s="362">
        <v>0.12885123298912338</v>
      </c>
      <c r="F24" s="362">
        <v>7.1340801816608609E-2</v>
      </c>
      <c r="G24" s="362">
        <v>0.46110353146331878</v>
      </c>
      <c r="H24" s="362">
        <v>0.70139390710722938</v>
      </c>
      <c r="I24" s="362">
        <v>0.40838999999999981</v>
      </c>
      <c r="J24" s="362">
        <v>0.43485000000000001</v>
      </c>
      <c r="K24" s="362">
        <v>0.38077000000000005</v>
      </c>
      <c r="L24" s="362">
        <v>0.29867999999999995</v>
      </c>
      <c r="M24" s="362">
        <v>0.47263000000000005</v>
      </c>
      <c r="N24" s="362">
        <v>0.67638000000000009</v>
      </c>
    </row>
    <row r="25" spans="1:14">
      <c r="A25" s="361">
        <v>6666020101</v>
      </c>
      <c r="B25" s="361" t="s">
        <v>510</v>
      </c>
      <c r="C25" s="362">
        <v>0</v>
      </c>
      <c r="D25" s="362">
        <v>0</v>
      </c>
      <c r="E25" s="362">
        <v>1.0395841471774045</v>
      </c>
      <c r="F25" s="362">
        <v>0.10339194887125794</v>
      </c>
      <c r="G25" s="362">
        <v>2.2056172719592686E-2</v>
      </c>
      <c r="H25" s="362">
        <v>2.0716350966433653E-2</v>
      </c>
      <c r="I25" s="362">
        <v>0.12423999999999999</v>
      </c>
      <c r="J25" s="362">
        <v>0</v>
      </c>
      <c r="K25" s="362">
        <v>0</v>
      </c>
      <c r="L25" s="362">
        <v>0</v>
      </c>
      <c r="M25" s="362">
        <v>6.8710000000000049E-2</v>
      </c>
      <c r="N25" s="362">
        <v>4.499999999999782E-4</v>
      </c>
    </row>
    <row r="26" spans="1:14">
      <c r="A26" s="361">
        <v>6666020201</v>
      </c>
      <c r="B26" s="361" t="s">
        <v>511</v>
      </c>
      <c r="C26" s="362">
        <v>4.0968793364959521E-3</v>
      </c>
      <c r="D26" s="362">
        <v>0.14265772622296871</v>
      </c>
      <c r="E26" s="362">
        <v>0.1711151076485373</v>
      </c>
      <c r="F26" s="362">
        <v>0.11839613787546528</v>
      </c>
      <c r="G26" s="362">
        <v>0.14612677487994288</v>
      </c>
      <c r="H26" s="362">
        <v>1.7128366621842816E-2</v>
      </c>
      <c r="I26" s="362">
        <v>4.5600000000000085E-3</v>
      </c>
      <c r="J26" s="362">
        <v>0.20415999999999995</v>
      </c>
      <c r="K26" s="362">
        <v>0.20909999999999995</v>
      </c>
      <c r="L26" s="362">
        <v>0.2343599999999999</v>
      </c>
      <c r="M26" s="362">
        <v>3.2009999999999997E-2</v>
      </c>
      <c r="N26" s="362">
        <v>0.16649000000000003</v>
      </c>
    </row>
    <row r="27" spans="1:14">
      <c r="A27" s="361">
        <v>6666020202</v>
      </c>
      <c r="B27" s="361" t="s">
        <v>512</v>
      </c>
      <c r="C27" s="362">
        <v>0</v>
      </c>
      <c r="D27" s="362">
        <v>0.11327708377073274</v>
      </c>
      <c r="E27" s="362">
        <v>0</v>
      </c>
      <c r="F27" s="362">
        <v>0</v>
      </c>
      <c r="G27" s="362">
        <v>0</v>
      </c>
      <c r="H27" s="362">
        <v>0</v>
      </c>
      <c r="I27" s="362">
        <v>0</v>
      </c>
      <c r="J27" s="362">
        <v>0.14355000000000001</v>
      </c>
      <c r="K27" s="362">
        <v>0</v>
      </c>
      <c r="L27" s="362">
        <v>0</v>
      </c>
      <c r="M27" s="362">
        <v>0</v>
      </c>
      <c r="N27" s="362">
        <v>5.6000000000000017E-4</v>
      </c>
    </row>
    <row r="28" spans="1:14">
      <c r="A28" s="361">
        <v>6666020204</v>
      </c>
      <c r="B28" s="361" t="s">
        <v>513</v>
      </c>
      <c r="C28" s="362">
        <v>0.30454975742515689</v>
      </c>
      <c r="D28" s="362">
        <v>5.3606899538106232</v>
      </c>
      <c r="E28" s="362">
        <v>4.13598087558566</v>
      </c>
      <c r="F28" s="362">
        <v>4.3995408118885306</v>
      </c>
      <c r="G28" s="362">
        <v>-0.25774690200720118</v>
      </c>
      <c r="H28" s="362">
        <v>5.0649540519756151</v>
      </c>
      <c r="I28" s="362">
        <v>9.7859999999999975E-2</v>
      </c>
      <c r="J28" s="362">
        <v>1.1638400000000002</v>
      </c>
      <c r="K28" s="362">
        <v>6.4355199999999995</v>
      </c>
      <c r="L28" s="362">
        <v>0.57277999999999996</v>
      </c>
      <c r="M28" s="362">
        <v>4.2183699999999993</v>
      </c>
      <c r="N28" s="362">
        <v>6.5227500000000012</v>
      </c>
    </row>
    <row r="29" spans="1:14">
      <c r="A29" s="361">
        <v>6666020301</v>
      </c>
      <c r="B29" s="361" t="s">
        <v>514</v>
      </c>
      <c r="C29" s="362">
        <v>0</v>
      </c>
      <c r="D29" s="362">
        <v>8.0988872559311178E-4</v>
      </c>
      <c r="E29" s="362">
        <v>0.66329041150413126</v>
      </c>
      <c r="F29" s="362">
        <v>0.59628025582683608</v>
      </c>
      <c r="G29" s="362">
        <v>0.33550437536423716</v>
      </c>
      <c r="H29" s="362">
        <v>0.3164742678174795</v>
      </c>
      <c r="I29" s="362">
        <v>0.25074000000000007</v>
      </c>
      <c r="J29" s="362">
        <v>-7.8300000000000002E-3</v>
      </c>
      <c r="K29" s="362">
        <v>2.1585700000000001</v>
      </c>
      <c r="L29" s="362">
        <v>0.20720000000000005</v>
      </c>
      <c r="M29" s="362">
        <v>-0.18355999999999997</v>
      </c>
      <c r="N29" s="362">
        <v>-0.10594999999999999</v>
      </c>
    </row>
    <row r="30" spans="1:14">
      <c r="A30" s="361">
        <v>6666020401</v>
      </c>
      <c r="B30" s="361" t="s">
        <v>515</v>
      </c>
      <c r="C30" s="362">
        <v>1.5458872537946022</v>
      </c>
      <c r="D30" s="362">
        <v>0</v>
      </c>
      <c r="E30" s="362">
        <v>2.7402450499853814</v>
      </c>
      <c r="F30" s="362">
        <v>1.2276572707836415</v>
      </c>
      <c r="G30" s="362">
        <v>0.83216129892072832</v>
      </c>
      <c r="H30" s="362">
        <v>0.97351232799027332</v>
      </c>
      <c r="I30" s="362">
        <v>1.0169499999999987</v>
      </c>
      <c r="J30" s="362">
        <v>1.2266900000000001</v>
      </c>
      <c r="K30" s="362">
        <v>1.3141599999999998</v>
      </c>
      <c r="L30" s="362">
        <v>-3.9233899999999999</v>
      </c>
      <c r="M30" s="362">
        <v>1.212129999999999</v>
      </c>
      <c r="N30" s="362">
        <v>1.3904999999999992</v>
      </c>
    </row>
    <row r="31" spans="1:14">
      <c r="A31" s="361">
        <v>6666020403</v>
      </c>
      <c r="B31" s="361" t="s">
        <v>516</v>
      </c>
      <c r="C31" s="362">
        <v>0.32010520540871984</v>
      </c>
      <c r="D31" s="362">
        <v>0.61471210371614526</v>
      </c>
      <c r="E31" s="362">
        <v>0.4600517420562677</v>
      </c>
      <c r="F31" s="362">
        <v>0.56175347595786274</v>
      </c>
      <c r="G31" s="362">
        <v>0</v>
      </c>
      <c r="H31" s="362">
        <v>0</v>
      </c>
      <c r="I31" s="362">
        <v>0</v>
      </c>
      <c r="J31" s="362">
        <v>0</v>
      </c>
      <c r="K31" s="362">
        <v>0</v>
      </c>
      <c r="L31" s="362">
        <v>0</v>
      </c>
      <c r="M31" s="362">
        <v>0</v>
      </c>
      <c r="N31" s="362">
        <v>0</v>
      </c>
    </row>
    <row r="32" spans="1:14">
      <c r="A32" s="361">
        <v>6666020405</v>
      </c>
      <c r="B32" s="361" t="s">
        <v>517</v>
      </c>
      <c r="C32" s="362">
        <v>0</v>
      </c>
      <c r="D32" s="362">
        <v>0</v>
      </c>
      <c r="E32" s="362">
        <v>0</v>
      </c>
      <c r="F32" s="362">
        <v>0</v>
      </c>
      <c r="G32" s="362">
        <v>0</v>
      </c>
      <c r="H32" s="362">
        <v>0</v>
      </c>
      <c r="I32" s="362">
        <v>3.2869999999999996E-2</v>
      </c>
      <c r="J32" s="362">
        <v>0</v>
      </c>
      <c r="K32" s="362">
        <v>0</v>
      </c>
      <c r="L32" s="362">
        <v>0</v>
      </c>
      <c r="M32" s="362">
        <v>0</v>
      </c>
      <c r="N32" s="362">
        <v>0</v>
      </c>
    </row>
    <row r="33" spans="1:14">
      <c r="A33" s="361">
        <v>6666020495</v>
      </c>
      <c r="B33" s="361" t="s">
        <v>494</v>
      </c>
      <c r="C33" s="362">
        <v>3.038720538720539E-2</v>
      </c>
      <c r="D33" s="362">
        <v>-3.930319389040521</v>
      </c>
      <c r="E33" s="362">
        <v>2.8102619288043057E-2</v>
      </c>
      <c r="F33" s="362">
        <v>0.11929757495570642</v>
      </c>
      <c r="G33" s="362">
        <v>3.0511897286235112E-2</v>
      </c>
      <c r="H33" s="362">
        <v>7.9050364533882108E-5</v>
      </c>
      <c r="I33" s="362">
        <v>3.0340000000000006E-2</v>
      </c>
      <c r="J33" s="362">
        <v>1.1900000000000003E-2</v>
      </c>
      <c r="K33" s="362">
        <v>-3.1799999999999997E-3</v>
      </c>
      <c r="L33" s="362">
        <v>0.42548999999999998</v>
      </c>
      <c r="M33" s="362">
        <v>-5.7630000000000001E-2</v>
      </c>
      <c r="N33" s="362">
        <v>0.17655999999999991</v>
      </c>
    </row>
    <row r="34" spans="1:14">
      <c r="A34" s="361">
        <v>6666020502</v>
      </c>
      <c r="B34" s="361" t="s">
        <v>518</v>
      </c>
      <c r="C34" s="362">
        <v>3.0372349695033405</v>
      </c>
      <c r="D34" s="362">
        <v>-1.0119215830359019</v>
      </c>
      <c r="E34" s="362">
        <v>3.8278522624250955</v>
      </c>
      <c r="F34" s="362">
        <v>1.3227813156677912</v>
      </c>
      <c r="G34" s="362">
        <v>1.7816309243606365</v>
      </c>
      <c r="H34" s="362">
        <v>1.0631556561824687</v>
      </c>
      <c r="I34" s="362">
        <v>1.5043200000000001</v>
      </c>
      <c r="J34" s="362">
        <v>1.2813400000000001</v>
      </c>
      <c r="K34" s="362">
        <v>1.609500000000001</v>
      </c>
      <c r="L34" s="362">
        <v>1.0606</v>
      </c>
      <c r="M34" s="362">
        <v>1.9859699999999985</v>
      </c>
      <c r="N34" s="362">
        <v>1.8321499999999997</v>
      </c>
    </row>
    <row r="35" spans="1:14">
      <c r="A35" s="361">
        <v>6666020503</v>
      </c>
      <c r="B35" s="361" t="s">
        <v>519</v>
      </c>
      <c r="C35" s="362">
        <v>5.5369724938415035E-2</v>
      </c>
      <c r="D35" s="362">
        <v>-2.6465462943522991E-2</v>
      </c>
      <c r="E35" s="362">
        <v>8.8486041192180204E-2</v>
      </c>
      <c r="F35" s="362">
        <v>2.3918298394443958E-2</v>
      </c>
      <c r="G35" s="362">
        <v>0</v>
      </c>
      <c r="H35" s="362">
        <v>9.1587795311110443E-2</v>
      </c>
      <c r="I35" s="362">
        <v>0.13064999999999999</v>
      </c>
      <c r="J35" s="362">
        <v>9.6300000000000011E-2</v>
      </c>
      <c r="K35" s="362">
        <v>-4.8000000000000045E-4</v>
      </c>
      <c r="L35" s="362">
        <v>5.6659999999999995E-2</v>
      </c>
      <c r="M35" s="362">
        <v>1.1430000000000003E-2</v>
      </c>
      <c r="N35" s="362">
        <v>1.37076</v>
      </c>
    </row>
    <row r="36" spans="1:14">
      <c r="A36" s="361">
        <v>6666020504</v>
      </c>
      <c r="B36" s="361" t="s">
        <v>520</v>
      </c>
      <c r="C36" s="362">
        <v>0.18952463936489497</v>
      </c>
      <c r="D36" s="362">
        <v>-0.18495066134788998</v>
      </c>
      <c r="E36" s="362">
        <v>0</v>
      </c>
      <c r="F36" s="362">
        <v>0</v>
      </c>
      <c r="G36" s="362">
        <v>0</v>
      </c>
      <c r="H36" s="362">
        <v>0</v>
      </c>
      <c r="I36" s="362">
        <v>4.9479999999999996E-2</v>
      </c>
      <c r="J36" s="362">
        <v>0</v>
      </c>
      <c r="K36" s="362">
        <v>0</v>
      </c>
      <c r="L36" s="362">
        <v>0</v>
      </c>
      <c r="M36" s="362">
        <v>0</v>
      </c>
      <c r="N36" s="362">
        <v>-1.7400000000000054E-3</v>
      </c>
    </row>
    <row r="37" spans="1:14">
      <c r="A37" s="361">
        <v>6666020508</v>
      </c>
      <c r="B37" s="361" t="s">
        <v>521</v>
      </c>
      <c r="C37" s="362">
        <v>0</v>
      </c>
      <c r="D37" s="362">
        <v>6.9360172160403124E-3</v>
      </c>
      <c r="E37" s="362">
        <v>0</v>
      </c>
      <c r="F37" s="362">
        <v>0</v>
      </c>
      <c r="G37" s="362">
        <v>2.0681897241058389E-3</v>
      </c>
      <c r="H37" s="362">
        <v>0</v>
      </c>
      <c r="I37" s="362">
        <v>0</v>
      </c>
      <c r="J37" s="362">
        <v>0</v>
      </c>
      <c r="K37" s="362">
        <v>0</v>
      </c>
      <c r="L37" s="362">
        <v>0</v>
      </c>
      <c r="M37" s="362">
        <v>0.22280999999999998</v>
      </c>
      <c r="N37" s="362">
        <v>6.656999999999999E-2</v>
      </c>
    </row>
    <row r="38" spans="1:14">
      <c r="A38" s="361">
        <v>6666020602</v>
      </c>
      <c r="B38" s="361" t="s">
        <v>522</v>
      </c>
      <c r="C38" s="362">
        <v>0</v>
      </c>
      <c r="D38" s="362">
        <v>0</v>
      </c>
      <c r="E38" s="362">
        <v>0</v>
      </c>
      <c r="F38" s="362">
        <v>0</v>
      </c>
      <c r="G38" s="362">
        <v>0</v>
      </c>
      <c r="H38" s="362">
        <v>0</v>
      </c>
      <c r="I38" s="362">
        <v>0</v>
      </c>
      <c r="J38" s="362">
        <v>0</v>
      </c>
      <c r="K38" s="362">
        <v>0</v>
      </c>
      <c r="L38" s="362">
        <v>0</v>
      </c>
      <c r="M38" s="362">
        <v>0</v>
      </c>
      <c r="N38" s="362">
        <v>-3.8999999999999799E-4</v>
      </c>
    </row>
    <row r="39" spans="1:14">
      <c r="A39" s="361">
        <v>6666020701</v>
      </c>
      <c r="B39" s="361" t="s">
        <v>523</v>
      </c>
      <c r="C39" s="362">
        <v>0</v>
      </c>
      <c r="D39" s="362">
        <v>0</v>
      </c>
      <c r="E39" s="362">
        <v>0</v>
      </c>
      <c r="F39" s="362">
        <v>0</v>
      </c>
      <c r="G39" s="362">
        <v>0</v>
      </c>
      <c r="H39" s="362">
        <v>0</v>
      </c>
      <c r="I39" s="362">
        <v>0</v>
      </c>
      <c r="J39" s="362">
        <v>0</v>
      </c>
      <c r="K39" s="362">
        <v>0</v>
      </c>
      <c r="L39" s="362">
        <v>0</v>
      </c>
      <c r="M39" s="362">
        <v>0</v>
      </c>
      <c r="N39" s="362">
        <v>0</v>
      </c>
    </row>
    <row r="40" spans="1:14">
      <c r="A40" s="361">
        <v>6666020801</v>
      </c>
      <c r="B40" s="361" t="s">
        <v>524</v>
      </c>
      <c r="C40" s="362">
        <v>0.69749868224309131</v>
      </c>
      <c r="D40" s="362">
        <v>0.17342824900272935</v>
      </c>
      <c r="E40" s="362">
        <v>1.0537468766814324</v>
      </c>
      <c r="F40" s="362">
        <v>1.1314820834229886</v>
      </c>
      <c r="G40" s="362">
        <v>1.4440055025231193</v>
      </c>
      <c r="H40" s="362">
        <v>0.69887589522389726</v>
      </c>
      <c r="I40" s="362">
        <v>1.3912</v>
      </c>
      <c r="J40" s="362">
        <v>0.33704000000000001</v>
      </c>
      <c r="K40" s="362">
        <v>0.39047000000000004</v>
      </c>
      <c r="L40" s="362">
        <v>0.55546999999999991</v>
      </c>
      <c r="M40" s="362">
        <v>0.70323999999999998</v>
      </c>
      <c r="N40" s="362">
        <v>1.01993</v>
      </c>
    </row>
    <row r="41" spans="1:14">
      <c r="A41" s="361">
        <v>6666020803</v>
      </c>
      <c r="B41" s="361" t="s">
        <v>525</v>
      </c>
      <c r="C41" s="362">
        <v>2.4061649508933858</v>
      </c>
      <c r="D41" s="362">
        <v>13.547887360906991</v>
      </c>
      <c r="E41" s="362">
        <v>16.127979529211164</v>
      </c>
      <c r="F41" s="362">
        <v>4.2726297790128598</v>
      </c>
      <c r="G41" s="362">
        <v>9.7126858456853995</v>
      </c>
      <c r="H41" s="362">
        <v>14.21475019655186</v>
      </c>
      <c r="I41" s="362">
        <v>9.1270900000000008</v>
      </c>
      <c r="J41" s="362">
        <v>5.0184799999999994</v>
      </c>
      <c r="K41" s="362">
        <v>20.977220000000006</v>
      </c>
      <c r="L41" s="362">
        <v>5.1536400000000002</v>
      </c>
      <c r="M41" s="362">
        <v>7.5845199999999986</v>
      </c>
      <c r="N41" s="362">
        <v>6.1543800000000006</v>
      </c>
    </row>
    <row r="42" spans="1:14">
      <c r="A42" s="361">
        <v>6666020809</v>
      </c>
      <c r="B42" s="361" t="s">
        <v>526</v>
      </c>
      <c r="C42" s="362">
        <v>0</v>
      </c>
      <c r="D42" s="362">
        <v>0</v>
      </c>
      <c r="E42" s="362">
        <v>0</v>
      </c>
      <c r="F42" s="362">
        <v>0</v>
      </c>
      <c r="G42" s="362">
        <v>0</v>
      </c>
      <c r="H42" s="362">
        <v>0</v>
      </c>
      <c r="I42" s="362">
        <v>0</v>
      </c>
      <c r="J42" s="362">
        <v>0.88941999999999999</v>
      </c>
      <c r="K42" s="362">
        <v>0.23372999999999999</v>
      </c>
      <c r="L42" s="362">
        <v>5.5289999999999999E-2</v>
      </c>
      <c r="M42" s="362">
        <v>1.7989999999999999E-2</v>
      </c>
      <c r="N42" s="362">
        <v>0</v>
      </c>
    </row>
    <row r="43" spans="1:14">
      <c r="A43" s="361">
        <v>6666021100</v>
      </c>
      <c r="B43" s="361" t="s">
        <v>527</v>
      </c>
      <c r="C43" s="362">
        <v>1.6411702219210209</v>
      </c>
      <c r="D43" s="362">
        <v>3.2310321750997271</v>
      </c>
      <c r="E43" s="362">
        <v>2.6068141782078964</v>
      </c>
      <c r="F43" s="362">
        <v>2.3139976834577825</v>
      </c>
      <c r="G43" s="362">
        <v>13.249509380943564</v>
      </c>
      <c r="H43" s="362">
        <v>9.9211612240777125</v>
      </c>
      <c r="I43" s="362">
        <v>3.003299999999999</v>
      </c>
      <c r="J43" s="362">
        <v>4.7011299999999991</v>
      </c>
      <c r="K43" s="362">
        <v>3.09158</v>
      </c>
      <c r="L43" s="362">
        <v>22.988440000000001</v>
      </c>
      <c r="M43" s="362">
        <v>6.9600299999999997</v>
      </c>
      <c r="N43" s="362">
        <v>8.1008999999999993</v>
      </c>
    </row>
    <row r="44" spans="1:14">
      <c r="A44" s="361">
        <v>6666021102</v>
      </c>
      <c r="B44" s="361" t="s">
        <v>528</v>
      </c>
      <c r="C44" s="362">
        <v>0</v>
      </c>
      <c r="D44" s="362">
        <v>12.395348519840436</v>
      </c>
      <c r="E44" s="362">
        <v>3.6458042499244496</v>
      </c>
      <c r="F44" s="362">
        <v>3.3578192456129918</v>
      </c>
      <c r="G44" s="362">
        <v>5.6996047037989097</v>
      </c>
      <c r="H44" s="362">
        <v>4.5042309129887474</v>
      </c>
      <c r="I44" s="362">
        <v>2.3893200000000006</v>
      </c>
      <c r="J44" s="362">
        <v>1.2323000000000002</v>
      </c>
      <c r="K44" s="362">
        <v>2.3351999999999995</v>
      </c>
      <c r="L44" s="362">
        <v>1.3065199999999997</v>
      </c>
      <c r="M44" s="362">
        <v>4.1451899999999995</v>
      </c>
      <c r="N44" s="362">
        <v>4.1818200000000019</v>
      </c>
    </row>
    <row r="45" spans="1:14">
      <c r="A45" s="361">
        <v>6666021104</v>
      </c>
      <c r="B45" s="361" t="s">
        <v>529</v>
      </c>
      <c r="C45" s="362">
        <v>0</v>
      </c>
      <c r="D45" s="362">
        <v>0</v>
      </c>
      <c r="E45" s="362">
        <v>0</v>
      </c>
      <c r="F45" s="362">
        <v>0.1717729788626968</v>
      </c>
      <c r="G45" s="362">
        <v>1.2750518402732287</v>
      </c>
      <c r="H45" s="362">
        <v>0.32401369633489863</v>
      </c>
      <c r="I45" s="362">
        <v>0</v>
      </c>
      <c r="J45" s="362">
        <v>1.358E-2</v>
      </c>
      <c r="K45" s="362">
        <v>-2.9999999999999715E-4</v>
      </c>
      <c r="L45" s="362">
        <v>0</v>
      </c>
      <c r="M45" s="362">
        <v>1.0000000000003062E-5</v>
      </c>
      <c r="N45" s="362">
        <v>0</v>
      </c>
    </row>
    <row r="46" spans="1:14">
      <c r="A46" s="361">
        <v>6666021200</v>
      </c>
      <c r="B46" s="361" t="s">
        <v>530</v>
      </c>
      <c r="C46" s="362">
        <v>0</v>
      </c>
      <c r="D46" s="362">
        <v>0</v>
      </c>
      <c r="E46" s="362">
        <v>0</v>
      </c>
      <c r="F46" s="362">
        <v>0</v>
      </c>
      <c r="G46" s="362">
        <v>0</v>
      </c>
      <c r="H46" s="362">
        <v>0</v>
      </c>
      <c r="I46" s="362">
        <v>0.56677999999999995</v>
      </c>
      <c r="J46" s="362">
        <v>0.75752999999999993</v>
      </c>
      <c r="K46" s="362">
        <v>0.66603000000000001</v>
      </c>
      <c r="L46" s="362">
        <v>-0.66603000000000001</v>
      </c>
      <c r="M46" s="362">
        <v>0</v>
      </c>
      <c r="N46" s="362">
        <v>0</v>
      </c>
    </row>
    <row r="47" spans="1:14">
      <c r="A47" s="361">
        <v>6666021300</v>
      </c>
      <c r="B47" s="361" t="s">
        <v>531</v>
      </c>
      <c r="C47" s="362">
        <v>2.2633997052527408</v>
      </c>
      <c r="D47" s="362">
        <v>2.480159563300441</v>
      </c>
      <c r="E47" s="362">
        <v>2.5525004975197718</v>
      </c>
      <c r="F47" s="362">
        <v>2.0325826698835776</v>
      </c>
      <c r="G47" s="362">
        <v>1.8863460174472448</v>
      </c>
      <c r="H47" s="362">
        <v>7.5442187976611425E-2</v>
      </c>
      <c r="I47" s="362">
        <v>3.6248800000000001</v>
      </c>
      <c r="J47" s="362">
        <v>1.17045</v>
      </c>
      <c r="K47" s="362">
        <v>0.83771000000000007</v>
      </c>
      <c r="L47" s="362">
        <v>3.4353699999999998</v>
      </c>
      <c r="M47" s="362">
        <v>5.9460000000000068E-2</v>
      </c>
      <c r="N47" s="362">
        <v>0</v>
      </c>
    </row>
    <row r="48" spans="1:14">
      <c r="A48" s="361">
        <v>6666021400</v>
      </c>
      <c r="B48" s="361" t="s">
        <v>532</v>
      </c>
      <c r="C48" s="362">
        <v>0</v>
      </c>
      <c r="D48" s="362">
        <v>0</v>
      </c>
      <c r="E48" s="362">
        <v>0</v>
      </c>
      <c r="F48" s="362">
        <v>0</v>
      </c>
      <c r="G48" s="362">
        <v>0.69904225377564344</v>
      </c>
      <c r="H48" s="362">
        <v>0</v>
      </c>
      <c r="I48" s="362">
        <v>0.17938999999999999</v>
      </c>
      <c r="J48" s="362">
        <v>5.9999999999999995E-5</v>
      </c>
      <c r="K48" s="362">
        <v>0</v>
      </c>
      <c r="L48" s="362">
        <v>0</v>
      </c>
      <c r="M48" s="362">
        <v>1.0880000000000001</v>
      </c>
      <c r="N48" s="362">
        <v>1.24E-3</v>
      </c>
    </row>
    <row r="49" spans="1:14">
      <c r="A49" s="361">
        <v>6666021502</v>
      </c>
      <c r="B49" s="361" t="s">
        <v>533</v>
      </c>
      <c r="C49" s="362">
        <v>0.22106125149256145</v>
      </c>
      <c r="D49" s="362">
        <v>7.3891454965358094E-2</v>
      </c>
      <c r="E49" s="362">
        <v>1.993764418859996E-3</v>
      </c>
      <c r="F49" s="362">
        <v>1.1631926163650434E-2</v>
      </c>
      <c r="G49" s="362">
        <v>1.0794647011786602</v>
      </c>
      <c r="H49" s="362">
        <v>4.2432001649746739E-2</v>
      </c>
      <c r="I49" s="362">
        <v>2.9730000000000034E-2</v>
      </c>
      <c r="J49" s="362">
        <v>0.11184999999999998</v>
      </c>
      <c r="K49" s="362">
        <v>0</v>
      </c>
      <c r="L49" s="362">
        <v>0</v>
      </c>
      <c r="M49" s="362">
        <v>5.0000000000000002E-5</v>
      </c>
      <c r="N49" s="362">
        <v>0.21637999999999999</v>
      </c>
    </row>
    <row r="50" spans="1:14">
      <c r="A50" s="361">
        <v>6666021505</v>
      </c>
      <c r="B50" s="363" t="s">
        <v>534</v>
      </c>
      <c r="C50" s="362">
        <v>0</v>
      </c>
      <c r="D50" s="362">
        <v>0</v>
      </c>
      <c r="E50" s="362">
        <v>0</v>
      </c>
      <c r="F50" s="362">
        <v>0</v>
      </c>
      <c r="G50" s="362">
        <v>0</v>
      </c>
      <c r="H50" s="362">
        <v>0</v>
      </c>
      <c r="I50" s="362">
        <v>0</v>
      </c>
      <c r="J50" s="362">
        <v>0</v>
      </c>
      <c r="K50" s="362">
        <v>0</v>
      </c>
      <c r="L50" s="362">
        <v>0</v>
      </c>
      <c r="M50" s="362">
        <v>0</v>
      </c>
      <c r="N50" s="362">
        <v>0</v>
      </c>
    </row>
    <row r="51" spans="1:14">
      <c r="A51" s="361">
        <v>6666021600</v>
      </c>
      <c r="B51" s="361" t="s">
        <v>535</v>
      </c>
      <c r="C51" s="362">
        <v>0</v>
      </c>
      <c r="D51" s="362">
        <v>0</v>
      </c>
      <c r="E51" s="362">
        <v>0</v>
      </c>
      <c r="F51" s="362">
        <v>0</v>
      </c>
      <c r="G51" s="362">
        <v>0</v>
      </c>
      <c r="H51" s="362">
        <v>0</v>
      </c>
      <c r="I51" s="362">
        <v>0</v>
      </c>
      <c r="J51" s="362">
        <v>0</v>
      </c>
      <c r="K51" s="362">
        <v>0</v>
      </c>
      <c r="L51" s="362">
        <v>0</v>
      </c>
      <c r="M51" s="362">
        <v>0</v>
      </c>
      <c r="N51" s="362">
        <v>8.3099999999993734E-3</v>
      </c>
    </row>
    <row r="52" spans="1:14">
      <c r="A52" s="361">
        <v>6666021604</v>
      </c>
      <c r="B52" s="361" t="s">
        <v>536</v>
      </c>
      <c r="C52" s="362">
        <v>0</v>
      </c>
      <c r="D52" s="362">
        <v>0</v>
      </c>
      <c r="E52" s="362">
        <v>0</v>
      </c>
      <c r="F52" s="362">
        <v>0</v>
      </c>
      <c r="G52" s="362">
        <v>0</v>
      </c>
      <c r="H52" s="362">
        <v>0</v>
      </c>
      <c r="I52" s="362">
        <v>0</v>
      </c>
      <c r="J52" s="362">
        <v>0</v>
      </c>
      <c r="K52" s="362">
        <v>0</v>
      </c>
      <c r="L52" s="362">
        <v>0</v>
      </c>
      <c r="M52" s="362">
        <v>0</v>
      </c>
      <c r="N52" s="362">
        <v>2.1999999999999797E-4</v>
      </c>
    </row>
    <row r="53" spans="1:14">
      <c r="A53" s="361">
        <v>6666021902</v>
      </c>
      <c r="B53" s="361" t="s">
        <v>537</v>
      </c>
      <c r="C53" s="362">
        <v>3.3591506115467781E-2</v>
      </c>
      <c r="D53" s="362">
        <v>2.438771520050389</v>
      </c>
      <c r="E53" s="362">
        <v>2.6138976313145088</v>
      </c>
      <c r="F53" s="362">
        <v>4.3782398399479918</v>
      </c>
      <c r="G53" s="362">
        <v>-5.4404683921157604</v>
      </c>
      <c r="H53" s="362">
        <v>3.6916582532447171</v>
      </c>
      <c r="I53" s="362">
        <v>1.9761999999999997</v>
      </c>
      <c r="J53" s="362">
        <v>2.3075399999999999</v>
      </c>
      <c r="K53" s="362">
        <v>5.8927399999999999</v>
      </c>
      <c r="L53" s="362">
        <v>2.0649199999999999</v>
      </c>
      <c r="M53" s="362">
        <v>1.4006400000000001</v>
      </c>
      <c r="N53" s="362">
        <v>0.50722000000000023</v>
      </c>
    </row>
    <row r="54" spans="1:14">
      <c r="A54" s="361">
        <v>6666022100</v>
      </c>
      <c r="B54" s="361" t="s">
        <v>538</v>
      </c>
      <c r="C54" s="362">
        <v>0</v>
      </c>
      <c r="D54" s="362">
        <v>0.28600986773042203</v>
      </c>
      <c r="E54" s="362">
        <v>0.26775457656767865</v>
      </c>
      <c r="F54" s="362">
        <v>0.49226636572982524</v>
      </c>
      <c r="G54" s="362">
        <v>0.24617104805446502</v>
      </c>
      <c r="H54" s="362">
        <v>0.21958343894863017</v>
      </c>
      <c r="I54" s="362">
        <v>0.20407999999999898</v>
      </c>
      <c r="J54" s="362">
        <v>0.22864000000000001</v>
      </c>
      <c r="K54" s="362">
        <v>0.22359000000000001</v>
      </c>
      <c r="L54" s="362">
        <v>0.21699999999999997</v>
      </c>
      <c r="M54" s="362">
        <v>0.36404999999999998</v>
      </c>
      <c r="N54" s="362">
        <v>-0.16526000000000002</v>
      </c>
    </row>
    <row r="55" spans="1:14">
      <c r="A55" s="361">
        <v>6666022300</v>
      </c>
      <c r="B55" s="361" t="s">
        <v>539</v>
      </c>
      <c r="C55" s="362">
        <v>2.4015447338130796E-2</v>
      </c>
      <c r="D55" s="362">
        <v>0.37895785219399569</v>
      </c>
      <c r="E55" s="362">
        <v>0.71327210769030447</v>
      </c>
      <c r="F55" s="362">
        <v>1.0760427873588223</v>
      </c>
      <c r="G55" s="362">
        <v>8.688813795159786E-2</v>
      </c>
      <c r="H55" s="362">
        <v>0.10181149925031059</v>
      </c>
      <c r="I55" s="362">
        <v>0.65442</v>
      </c>
      <c r="J55" s="362">
        <v>0.21184000000000047</v>
      </c>
      <c r="K55" s="362">
        <v>7.0050000000000182E-2</v>
      </c>
      <c r="L55" s="362">
        <v>6.8430000000001101E-2</v>
      </c>
      <c r="M55" s="362">
        <v>-12.855840000000001</v>
      </c>
      <c r="N55" s="362">
        <v>0.33684999999999921</v>
      </c>
    </row>
    <row r="56" spans="1:14">
      <c r="A56" s="361">
        <v>6666029700</v>
      </c>
      <c r="B56" s="361" t="s">
        <v>540</v>
      </c>
      <c r="C56" s="362">
        <v>0.40043943158959139</v>
      </c>
      <c r="D56" s="362">
        <v>22.96943076842328</v>
      </c>
      <c r="E56" s="362">
        <v>0.10389809812318344</v>
      </c>
      <c r="F56" s="362">
        <v>3.9050675505541844E-2</v>
      </c>
      <c r="G56" s="362">
        <v>0</v>
      </c>
      <c r="H56" s="362">
        <v>0.5321341879937963</v>
      </c>
      <c r="I56" s="362">
        <v>3.0503899999999997</v>
      </c>
      <c r="J56" s="362">
        <v>3.3975900000000001</v>
      </c>
      <c r="K56" s="362">
        <v>3.3281399999999999</v>
      </c>
      <c r="L56" s="362">
        <v>3.3326599999999997</v>
      </c>
      <c r="M56" s="362">
        <v>2.4635199999999999</v>
      </c>
      <c r="N56" s="362">
        <v>3.4811799999999997</v>
      </c>
    </row>
    <row r="57" spans="1:14">
      <c r="A57" s="361">
        <v>6666029900</v>
      </c>
      <c r="B57" s="361" t="s">
        <v>541</v>
      </c>
      <c r="C57" s="362">
        <v>-7.2727003797291329E-2</v>
      </c>
      <c r="D57" s="362">
        <v>5.5649538106235553E-2</v>
      </c>
      <c r="E57" s="362">
        <v>0</v>
      </c>
      <c r="F57" s="362">
        <v>6.1862206941385974E-3</v>
      </c>
      <c r="G57" s="362">
        <v>0</v>
      </c>
      <c r="H57" s="362">
        <v>5.8329072919665055E-2</v>
      </c>
      <c r="I57" s="362">
        <v>2.8999999999999859E-4</v>
      </c>
      <c r="J57" s="362">
        <v>0</v>
      </c>
      <c r="K57" s="362">
        <v>0</v>
      </c>
      <c r="L57" s="362">
        <v>6.0700000000000059E-3</v>
      </c>
      <c r="M57" s="362">
        <v>0</v>
      </c>
      <c r="N57" s="362">
        <v>5.3409999999999985E-2</v>
      </c>
    </row>
    <row r="58" spans="1:14">
      <c r="A58" s="361">
        <v>6666029996</v>
      </c>
      <c r="B58" s="361" t="s">
        <v>494</v>
      </c>
      <c r="C58" s="362">
        <v>3.0362463828917514E-2</v>
      </c>
      <c r="D58" s="362">
        <v>3.0849254671425574E-2</v>
      </c>
      <c r="E58" s="362">
        <v>1.2394998759271676E-3</v>
      </c>
      <c r="F58" s="362">
        <v>0.22051673541516925</v>
      </c>
      <c r="G58" s="362">
        <v>1.6690535027761078E-3</v>
      </c>
      <c r="H58" s="362">
        <v>6.8524636647576464E-5</v>
      </c>
      <c r="I58" s="362">
        <v>1.0499999999999997E-3</v>
      </c>
      <c r="J58" s="362">
        <v>0</v>
      </c>
      <c r="K58" s="362">
        <v>1.6000000000000015E-4</v>
      </c>
      <c r="L58" s="362">
        <v>0.13734000000000002</v>
      </c>
      <c r="M58" s="362">
        <v>0.15250999999999998</v>
      </c>
      <c r="N58" s="362">
        <v>1.6219999999999998E-2</v>
      </c>
    </row>
    <row r="59" spans="1:14">
      <c r="A59" s="361">
        <v>6666029997</v>
      </c>
      <c r="B59" s="363" t="s">
        <v>542</v>
      </c>
      <c r="C59" s="362">
        <v>0</v>
      </c>
      <c r="D59" s="362">
        <v>0</v>
      </c>
      <c r="E59" s="362">
        <v>0</v>
      </c>
      <c r="F59" s="362">
        <v>0</v>
      </c>
      <c r="G59" s="362">
        <v>0</v>
      </c>
      <c r="H59" s="362">
        <v>0</v>
      </c>
      <c r="I59" s="362">
        <v>0</v>
      </c>
      <c r="J59" s="362">
        <v>0</v>
      </c>
      <c r="K59" s="362">
        <v>0</v>
      </c>
      <c r="L59" s="362">
        <v>0</v>
      </c>
      <c r="M59" s="362">
        <v>0</v>
      </c>
      <c r="N59" s="362">
        <v>0</v>
      </c>
    </row>
    <row r="60" spans="1:14">
      <c r="A60" s="361">
        <v>6666050107</v>
      </c>
      <c r="B60" s="363" t="s">
        <v>543</v>
      </c>
      <c r="C60" s="362">
        <v>0</v>
      </c>
      <c r="D60" s="362">
        <v>0</v>
      </c>
      <c r="E60" s="362">
        <v>0</v>
      </c>
      <c r="F60" s="362">
        <v>0</v>
      </c>
      <c r="G60" s="362">
        <v>0</v>
      </c>
      <c r="H60" s="362">
        <v>0</v>
      </c>
      <c r="I60" s="362">
        <v>0</v>
      </c>
      <c r="J60" s="362">
        <v>0</v>
      </c>
      <c r="K60" s="362">
        <v>0</v>
      </c>
      <c r="L60" s="362">
        <v>0</v>
      </c>
      <c r="M60" s="362">
        <v>0</v>
      </c>
      <c r="N60" s="362">
        <v>0</v>
      </c>
    </row>
    <row r="61" spans="1:14">
      <c r="A61" s="361">
        <v>6666079999</v>
      </c>
      <c r="B61" s="361" t="s">
        <v>544</v>
      </c>
      <c r="C61" s="362">
        <v>0</v>
      </c>
      <c r="D61" s="362">
        <v>-19.109269777777779</v>
      </c>
      <c r="E61" s="362">
        <v>1.4551915228366852E-14</v>
      </c>
      <c r="F61" s="362">
        <v>0</v>
      </c>
      <c r="G61" s="362">
        <v>0</v>
      </c>
      <c r="H61" s="362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</row>
    <row r="62" spans="1:14">
      <c r="A62" s="361">
        <v>6666091600</v>
      </c>
      <c r="B62" s="361" t="s">
        <v>545</v>
      </c>
      <c r="C62" s="362">
        <v>0</v>
      </c>
      <c r="D62" s="362">
        <v>0</v>
      </c>
      <c r="E62" s="362">
        <v>0</v>
      </c>
      <c r="F62" s="362">
        <v>0</v>
      </c>
      <c r="G62" s="362">
        <v>0</v>
      </c>
      <c r="H62" s="362">
        <v>0</v>
      </c>
      <c r="I62" s="362">
        <v>0</v>
      </c>
      <c r="J62" s="362">
        <v>0</v>
      </c>
      <c r="K62" s="362">
        <v>0</v>
      </c>
      <c r="L62" s="362">
        <v>0</v>
      </c>
      <c r="M62" s="362">
        <v>0</v>
      </c>
      <c r="N62" s="362">
        <v>0</v>
      </c>
    </row>
    <row r="63" spans="1:14">
      <c r="A63" s="361">
        <v>6666093800</v>
      </c>
      <c r="B63" s="361" t="s">
        <v>546</v>
      </c>
      <c r="C63" s="362">
        <v>3.4198212153483724E-2</v>
      </c>
      <c r="D63" s="362">
        <v>0.12296530547973966</v>
      </c>
      <c r="E63" s="362">
        <v>9.2783629265464282E-2</v>
      </c>
      <c r="F63" s="362">
        <v>5.1845222017222983E-2</v>
      </c>
      <c r="G63" s="362">
        <v>3.7454427995102853E-2</v>
      </c>
      <c r="H63" s="362">
        <v>4.3265037828177158E-2</v>
      </c>
      <c r="I63" s="362">
        <v>3.0719999999999997E-2</v>
      </c>
      <c r="J63" s="362">
        <v>3.6749999999999998E-2</v>
      </c>
      <c r="K63" s="362">
        <v>1.8609999999999998E-2</v>
      </c>
      <c r="L63" s="362">
        <v>4.1810000000000014E-2</v>
      </c>
      <c r="M63" s="362">
        <v>6.523000000000001E-2</v>
      </c>
      <c r="N63" s="362">
        <v>0</v>
      </c>
    </row>
    <row r="64" spans="1:14">
      <c r="A64" s="361">
        <v>6666110110</v>
      </c>
      <c r="B64" s="361" t="s">
        <v>547</v>
      </c>
      <c r="C64" s="362">
        <v>0</v>
      </c>
      <c r="D64" s="362">
        <v>0</v>
      </c>
      <c r="E64" s="362">
        <v>0</v>
      </c>
      <c r="F64" s="362">
        <v>0</v>
      </c>
      <c r="G64" s="362">
        <v>0</v>
      </c>
      <c r="H64" s="362">
        <v>0</v>
      </c>
      <c r="I64" s="362">
        <v>0</v>
      </c>
      <c r="J64" s="362">
        <v>0</v>
      </c>
      <c r="K64" s="362">
        <v>0</v>
      </c>
      <c r="L64" s="362">
        <v>0</v>
      </c>
      <c r="M64" s="362">
        <v>0</v>
      </c>
      <c r="N64" s="362">
        <v>-4.6850000000000003E-2</v>
      </c>
    </row>
    <row r="65" spans="1:14">
      <c r="A65" s="361">
        <v>6666110112</v>
      </c>
      <c r="B65" s="361" t="s">
        <v>548</v>
      </c>
      <c r="C65" s="362">
        <v>0</v>
      </c>
      <c r="D65" s="362">
        <v>0</v>
      </c>
      <c r="E65" s="362">
        <v>0</v>
      </c>
      <c r="F65" s="362">
        <v>0</v>
      </c>
      <c r="G65" s="362">
        <v>0</v>
      </c>
      <c r="H65" s="362">
        <v>0</v>
      </c>
      <c r="I65" s="362">
        <v>0</v>
      </c>
      <c r="J65" s="362">
        <v>0</v>
      </c>
      <c r="K65" s="362">
        <v>0</v>
      </c>
      <c r="L65" s="362">
        <v>-0.27543000000000001</v>
      </c>
      <c r="M65" s="362">
        <v>0</v>
      </c>
      <c r="N65" s="362">
        <v>-2.6450000000000001E-2</v>
      </c>
    </row>
    <row r="66" spans="1:14">
      <c r="A66" s="361">
        <v>6666010380</v>
      </c>
      <c r="B66" s="307" t="s">
        <v>549</v>
      </c>
      <c r="C66" s="362">
        <v>0</v>
      </c>
      <c r="D66" s="362">
        <v>0</v>
      </c>
      <c r="E66" s="362">
        <v>0</v>
      </c>
      <c r="F66" s="362">
        <v>0</v>
      </c>
      <c r="G66" s="362">
        <v>0</v>
      </c>
      <c r="H66" s="362">
        <v>0</v>
      </c>
      <c r="I66" s="362">
        <v>0</v>
      </c>
      <c r="J66" s="362">
        <v>0</v>
      </c>
      <c r="K66" s="362">
        <v>0</v>
      </c>
      <c r="L66" s="362">
        <v>0</v>
      </c>
      <c r="M66" s="362">
        <v>0</v>
      </c>
      <c r="N66" s="362">
        <v>-1.5399999999999997E-3</v>
      </c>
    </row>
    <row r="67" spans="1:14">
      <c r="A67" s="361">
        <v>6666031100</v>
      </c>
      <c r="B67" s="307" t="s">
        <v>550</v>
      </c>
      <c r="C67" s="362">
        <v>0</v>
      </c>
      <c r="D67" s="362">
        <v>0</v>
      </c>
      <c r="E67" s="362">
        <v>0</v>
      </c>
      <c r="F67" s="362">
        <v>0</v>
      </c>
      <c r="G67" s="362">
        <v>0</v>
      </c>
      <c r="H67" s="362">
        <v>0</v>
      </c>
      <c r="I67" s="362">
        <v>0</v>
      </c>
      <c r="J67" s="362">
        <v>0</v>
      </c>
      <c r="K67" s="362">
        <v>0</v>
      </c>
      <c r="L67" s="362">
        <v>0</v>
      </c>
      <c r="M67" s="362">
        <v>0</v>
      </c>
      <c r="N67" s="362">
        <v>0</v>
      </c>
    </row>
    <row r="68" spans="1:14">
      <c r="A68" s="361">
        <v>6666090100</v>
      </c>
      <c r="B68" s="361" t="s">
        <v>551</v>
      </c>
      <c r="C68" s="362">
        <v>0</v>
      </c>
      <c r="D68" s="362">
        <v>0</v>
      </c>
      <c r="E68" s="362">
        <v>0</v>
      </c>
      <c r="F68" s="362">
        <v>0</v>
      </c>
      <c r="G68" s="362">
        <v>0</v>
      </c>
      <c r="H68" s="362">
        <v>0</v>
      </c>
      <c r="I68" s="362">
        <v>0</v>
      </c>
      <c r="J68" s="362">
        <v>0</v>
      </c>
      <c r="K68" s="362">
        <v>0</v>
      </c>
      <c r="L68" s="362">
        <v>0</v>
      </c>
      <c r="M68" s="362">
        <v>0</v>
      </c>
      <c r="N68" s="362">
        <v>0</v>
      </c>
    </row>
    <row r="69" spans="1:14">
      <c r="A69" s="361">
        <v>6666110207</v>
      </c>
      <c r="B69" s="361" t="s">
        <v>552</v>
      </c>
      <c r="C69" s="362">
        <v>0</v>
      </c>
      <c r="D69" s="362">
        <v>0</v>
      </c>
      <c r="E69" s="362">
        <v>0</v>
      </c>
      <c r="F69" s="362">
        <v>0</v>
      </c>
      <c r="G69" s="362">
        <v>0</v>
      </c>
      <c r="H69" s="362">
        <v>0</v>
      </c>
      <c r="I69" s="362">
        <v>0</v>
      </c>
      <c r="J69" s="362">
        <v>0</v>
      </c>
      <c r="K69" s="362">
        <v>0</v>
      </c>
      <c r="L69" s="362">
        <v>0</v>
      </c>
      <c r="M69" s="362">
        <v>0</v>
      </c>
      <c r="N69" s="362">
        <v>-1.0499999999999999E-3</v>
      </c>
    </row>
    <row r="70" spans="1:14">
      <c r="A70" s="361">
        <v>5001010206</v>
      </c>
      <c r="B70" s="361" t="s">
        <v>553</v>
      </c>
      <c r="C70" s="362">
        <v>0</v>
      </c>
      <c r="D70" s="362">
        <v>0</v>
      </c>
      <c r="E70" s="362">
        <v>0</v>
      </c>
      <c r="F70" s="362">
        <v>0</v>
      </c>
      <c r="G70" s="362">
        <v>0</v>
      </c>
      <c r="H70" s="362">
        <v>0</v>
      </c>
      <c r="I70" s="362">
        <v>0</v>
      </c>
      <c r="J70" s="362">
        <v>0</v>
      </c>
      <c r="K70" s="362">
        <v>0</v>
      </c>
      <c r="L70" s="362">
        <v>0</v>
      </c>
      <c r="M70" s="362">
        <v>0</v>
      </c>
      <c r="N70" s="362">
        <v>3.1E-4</v>
      </c>
    </row>
    <row r="71" spans="1:14">
      <c r="A71" s="361">
        <v>6666070400</v>
      </c>
      <c r="B71" s="363" t="s">
        <v>554</v>
      </c>
      <c r="C71" s="362">
        <v>0</v>
      </c>
      <c r="D71" s="362">
        <v>0</v>
      </c>
      <c r="E71" s="362">
        <v>0</v>
      </c>
      <c r="F71" s="362">
        <v>0</v>
      </c>
      <c r="G71" s="362">
        <v>0</v>
      </c>
      <c r="H71" s="362">
        <v>0</v>
      </c>
      <c r="I71" s="362">
        <v>0</v>
      </c>
      <c r="J71" s="362">
        <v>0</v>
      </c>
      <c r="K71" s="362">
        <v>0</v>
      </c>
      <c r="L71" s="362">
        <v>0</v>
      </c>
      <c r="M71" s="362">
        <v>0</v>
      </c>
      <c r="N71" s="362">
        <v>0</v>
      </c>
    </row>
    <row r="72" spans="1:14">
      <c r="A72" s="361">
        <v>6666110506</v>
      </c>
      <c r="B72" s="361" t="s">
        <v>555</v>
      </c>
      <c r="C72" s="362">
        <v>0</v>
      </c>
      <c r="D72" s="362">
        <v>0</v>
      </c>
      <c r="E72" s="362">
        <v>0</v>
      </c>
      <c r="F72" s="362">
        <v>0</v>
      </c>
      <c r="G72" s="362">
        <v>0</v>
      </c>
      <c r="H72" s="362">
        <v>0</v>
      </c>
      <c r="I72" s="362">
        <v>0</v>
      </c>
      <c r="J72" s="362">
        <v>0</v>
      </c>
      <c r="K72" s="362">
        <v>0</v>
      </c>
      <c r="L72" s="362">
        <v>0</v>
      </c>
      <c r="M72" s="362">
        <v>0</v>
      </c>
      <c r="N72" s="362">
        <v>-5.491E-2</v>
      </c>
    </row>
    <row r="73" spans="1:14">
      <c r="B73" s="364" t="s">
        <v>0</v>
      </c>
      <c r="C73" s="365">
        <f>SUM(C2:C72)</f>
        <v>39.100273501791079</v>
      </c>
      <c r="D73" s="365">
        <f t="shared" ref="D73:N73" si="0">SUM(D2:D72)</f>
        <v>84.563724396062284</v>
      </c>
      <c r="E73" s="365">
        <f t="shared" si="0"/>
        <v>59.096334814836659</v>
      </c>
      <c r="F73" s="365">
        <f t="shared" si="0"/>
        <v>24.196073323597144</v>
      </c>
      <c r="G73" s="365">
        <f t="shared" si="0"/>
        <v>45.986140689306225</v>
      </c>
      <c r="H73" s="365">
        <f t="shared" si="0"/>
        <v>40.918053127000434</v>
      </c>
      <c r="I73" s="365">
        <f t="shared" si="0"/>
        <v>45.103729999999977</v>
      </c>
      <c r="J73" s="365">
        <f t="shared" si="0"/>
        <v>34.723729999999996</v>
      </c>
      <c r="K73" s="365">
        <f t="shared" si="0"/>
        <v>46.258620000000008</v>
      </c>
      <c r="L73" s="365">
        <f t="shared" si="0"/>
        <v>56.646339999999995</v>
      </c>
      <c r="M73" s="365">
        <f t="shared" si="0"/>
        <v>31.186270000000004</v>
      </c>
      <c r="N73" s="365">
        <f t="shared" si="0"/>
        <v>29.84666</v>
      </c>
    </row>
  </sheetData>
  <autoFilter ref="A1:N73" xr:uid="{B620AA5F-11D9-4E2C-B502-11A74234948F}"/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25AA-5446-4B35-8BD6-1CE5CFA31677}">
  <sheetPr>
    <tabColor rgb="FFFFFF00"/>
  </sheetPr>
  <dimension ref="A1:AZ80"/>
  <sheetViews>
    <sheetView workbookViewId="0">
      <selection activeCell="X24" sqref="X24:AM38"/>
    </sheetView>
  </sheetViews>
  <sheetFormatPr defaultRowHeight="10.199999999999999"/>
  <cols>
    <col min="1" max="1" width="9.77734375" style="329" customWidth="1"/>
    <col min="2" max="2" width="5.33203125" style="329" customWidth="1"/>
    <col min="3" max="3" width="2.21875" style="329" customWidth="1"/>
    <col min="4" max="4" width="14.6640625" style="329" bestFit="1" customWidth="1"/>
    <col min="5" max="5" width="12.33203125" style="330" hidden="1" customWidth="1"/>
    <col min="6" max="6" width="11.88671875" style="329" hidden="1" customWidth="1"/>
    <col min="7" max="7" width="13.77734375" style="329" hidden="1" customWidth="1"/>
    <col min="8" max="8" width="14.109375" style="329" hidden="1" customWidth="1"/>
    <col min="9" max="9" width="21" style="329" customWidth="1"/>
    <col min="10" max="10" width="12.6640625" style="329" hidden="1" customWidth="1"/>
    <col min="11" max="13" width="13.109375" style="329" hidden="1" customWidth="1"/>
    <col min="14" max="14" width="21" style="329" customWidth="1"/>
    <col min="15" max="15" width="13.44140625" style="329" hidden="1" customWidth="1"/>
    <col min="16" max="18" width="13.109375" style="329" hidden="1" customWidth="1"/>
    <col min="19" max="19" width="21" style="329" customWidth="1"/>
    <col min="20" max="20" width="12.33203125" style="329" hidden="1" customWidth="1"/>
    <col min="21" max="21" width="10.77734375" style="329" hidden="1" customWidth="1"/>
    <col min="22" max="22" width="11.6640625" style="329" hidden="1" customWidth="1"/>
    <col min="23" max="23" width="10.77734375" style="329" hidden="1" customWidth="1"/>
    <col min="24" max="24" width="21" style="329" customWidth="1"/>
    <col min="25" max="25" width="12.33203125" style="329" hidden="1" customWidth="1"/>
    <col min="26" max="26" width="10.77734375" style="329" hidden="1" customWidth="1"/>
    <col min="27" max="27" width="11.6640625" style="329" hidden="1" customWidth="1"/>
    <col min="28" max="28" width="10.77734375" style="329" hidden="1" customWidth="1"/>
    <col min="29" max="29" width="21" style="329" customWidth="1"/>
    <col min="30" max="30" width="12.33203125" style="329" hidden="1" customWidth="1"/>
    <col min="31" max="31" width="10.77734375" style="329" hidden="1" customWidth="1"/>
    <col min="32" max="32" width="11.6640625" style="329" hidden="1" customWidth="1"/>
    <col min="33" max="33" width="10.77734375" style="329" hidden="1" customWidth="1"/>
    <col min="34" max="34" width="21" style="329" customWidth="1"/>
    <col min="35" max="35" width="10.77734375" style="329" hidden="1" customWidth="1"/>
    <col min="36" max="36" width="8.44140625" style="329" hidden="1" customWidth="1"/>
    <col min="37" max="37" width="18.77734375" style="329" customWidth="1"/>
    <col min="38" max="38" width="8.88671875" style="329" hidden="1" customWidth="1"/>
    <col min="39" max="39" width="10.109375" style="329" hidden="1" customWidth="1"/>
    <col min="40" max="40" width="18.77734375" style="329" customWidth="1"/>
    <col min="41" max="42" width="10.109375" style="329" hidden="1" customWidth="1"/>
    <col min="43" max="43" width="18.77734375" style="329" customWidth="1"/>
    <col min="44" max="45" width="8.33203125" style="329" hidden="1" customWidth="1"/>
    <col min="46" max="46" width="18.77734375" style="329" customWidth="1"/>
    <col min="47" max="48" width="8.88671875" style="329" hidden="1" customWidth="1"/>
    <col min="49" max="49" width="18.77734375" style="329" customWidth="1"/>
    <col min="50" max="50" width="8.44140625" style="329" hidden="1" customWidth="1"/>
    <col min="51" max="51" width="8.88671875" style="329" hidden="1" customWidth="1"/>
    <col min="52" max="52" width="18.44140625" style="329" bestFit="1" customWidth="1"/>
    <col min="53" max="16384" width="8.88671875" style="329"/>
  </cols>
  <sheetData>
    <row r="1" spans="1:52" s="350" customFormat="1" ht="10.8">
      <c r="A1" s="350">
        <v>6666020701</v>
      </c>
      <c r="E1" s="351"/>
      <c r="I1" s="352" t="s">
        <v>418</v>
      </c>
      <c r="J1" s="353"/>
      <c r="K1" s="353"/>
      <c r="L1" s="353"/>
      <c r="M1" s="353"/>
      <c r="N1" s="352" t="s">
        <v>421</v>
      </c>
      <c r="O1" s="353"/>
      <c r="P1" s="353"/>
      <c r="Q1" s="353"/>
      <c r="R1" s="353"/>
      <c r="S1" s="352" t="s">
        <v>423</v>
      </c>
      <c r="T1" s="353"/>
      <c r="U1" s="353"/>
      <c r="V1" s="353"/>
      <c r="W1" s="353"/>
      <c r="X1" s="352" t="s">
        <v>425</v>
      </c>
      <c r="Y1" s="353"/>
      <c r="Z1" s="353"/>
      <c r="AA1" s="353"/>
      <c r="AB1" s="353"/>
      <c r="AC1" s="352" t="s">
        <v>427</v>
      </c>
      <c r="AD1" s="353"/>
      <c r="AE1" s="353"/>
      <c r="AF1" s="353"/>
      <c r="AG1" s="353"/>
      <c r="AH1" s="352" t="s">
        <v>429</v>
      </c>
      <c r="AI1" s="354"/>
      <c r="AJ1" s="354"/>
      <c r="AK1" s="352" t="s">
        <v>442</v>
      </c>
      <c r="AL1" s="354"/>
      <c r="AM1" s="354"/>
      <c r="AN1" s="352" t="s">
        <v>443</v>
      </c>
      <c r="AQ1" s="352" t="s">
        <v>457</v>
      </c>
      <c r="AT1" s="352" t="s">
        <v>460</v>
      </c>
      <c r="AW1" s="352" t="s">
        <v>462</v>
      </c>
      <c r="AZ1" s="352" t="s">
        <v>466</v>
      </c>
    </row>
    <row r="2" spans="1:52">
      <c r="A2" s="329">
        <v>6666079999</v>
      </c>
      <c r="E2" s="388" t="s">
        <v>411</v>
      </c>
      <c r="F2" s="388"/>
      <c r="G2" s="387" t="s">
        <v>412</v>
      </c>
      <c r="H2" s="387"/>
      <c r="I2" s="333" t="s">
        <v>413</v>
      </c>
      <c r="J2" s="388" t="s">
        <v>411</v>
      </c>
      <c r="K2" s="388"/>
      <c r="L2" s="387" t="s">
        <v>412</v>
      </c>
      <c r="M2" s="387"/>
      <c r="N2" s="333" t="s">
        <v>413</v>
      </c>
      <c r="O2" s="388" t="s">
        <v>411</v>
      </c>
      <c r="P2" s="388"/>
      <c r="Q2" s="387" t="s">
        <v>412</v>
      </c>
      <c r="R2" s="387"/>
      <c r="S2" s="333" t="s">
        <v>413</v>
      </c>
      <c r="T2" s="388" t="s">
        <v>411</v>
      </c>
      <c r="U2" s="388"/>
      <c r="V2" s="387" t="s">
        <v>412</v>
      </c>
      <c r="W2" s="387"/>
      <c r="X2" s="333" t="s">
        <v>413</v>
      </c>
      <c r="Y2" s="388" t="s">
        <v>411</v>
      </c>
      <c r="Z2" s="388"/>
      <c r="AA2" s="387" t="s">
        <v>412</v>
      </c>
      <c r="AB2" s="387"/>
      <c r="AC2" s="333" t="s">
        <v>413</v>
      </c>
      <c r="AD2" s="388" t="s">
        <v>411</v>
      </c>
      <c r="AE2" s="388"/>
      <c r="AF2" s="387" t="s">
        <v>412</v>
      </c>
      <c r="AG2" s="387"/>
      <c r="AH2" s="333" t="s">
        <v>413</v>
      </c>
      <c r="AI2" s="331" t="s">
        <v>411</v>
      </c>
      <c r="AJ2" s="332" t="s">
        <v>414</v>
      </c>
      <c r="AK2" s="333" t="s">
        <v>413</v>
      </c>
      <c r="AL2" s="331" t="s">
        <v>411</v>
      </c>
      <c r="AM2" s="332" t="s">
        <v>414</v>
      </c>
      <c r="AN2" s="333" t="s">
        <v>413</v>
      </c>
      <c r="AO2" s="331" t="s">
        <v>411</v>
      </c>
      <c r="AP2" s="332" t="s">
        <v>414</v>
      </c>
      <c r="AQ2" s="333" t="s">
        <v>413</v>
      </c>
      <c r="AR2" s="331" t="s">
        <v>411</v>
      </c>
      <c r="AS2" s="332" t="s">
        <v>414</v>
      </c>
      <c r="AT2" s="333" t="s">
        <v>413</v>
      </c>
      <c r="AU2" s="331" t="s">
        <v>411</v>
      </c>
      <c r="AV2" s="332" t="s">
        <v>414</v>
      </c>
      <c r="AW2" s="333" t="s">
        <v>413</v>
      </c>
      <c r="AX2" s="331" t="s">
        <v>411</v>
      </c>
      <c r="AY2" s="332" t="s">
        <v>414</v>
      </c>
      <c r="AZ2" s="333" t="s">
        <v>413</v>
      </c>
    </row>
    <row r="3" spans="1:52">
      <c r="A3" s="329" t="s">
        <v>415</v>
      </c>
      <c r="B3" s="330">
        <v>37.184399999999997</v>
      </c>
      <c r="D3" s="334" t="s">
        <v>416</v>
      </c>
      <c r="E3" s="334" t="s">
        <v>417</v>
      </c>
      <c r="F3" s="334" t="s">
        <v>418</v>
      </c>
      <c r="G3" s="334" t="s">
        <v>417</v>
      </c>
      <c r="H3" s="334" t="s">
        <v>418</v>
      </c>
      <c r="I3" s="334" t="s">
        <v>419</v>
      </c>
      <c r="J3" s="334" t="s">
        <v>420</v>
      </c>
      <c r="K3" s="334" t="s">
        <v>421</v>
      </c>
      <c r="L3" s="334" t="s">
        <v>420</v>
      </c>
      <c r="M3" s="334" t="s">
        <v>421</v>
      </c>
      <c r="N3" s="334" t="s">
        <v>419</v>
      </c>
      <c r="O3" s="334" t="s">
        <v>422</v>
      </c>
      <c r="P3" s="334" t="s">
        <v>423</v>
      </c>
      <c r="Q3" s="334" t="s">
        <v>422</v>
      </c>
      <c r="R3" s="334" t="s">
        <v>423</v>
      </c>
      <c r="S3" s="334" t="s">
        <v>419</v>
      </c>
      <c r="T3" s="334" t="s">
        <v>424</v>
      </c>
      <c r="U3" s="334" t="s">
        <v>425</v>
      </c>
      <c r="V3" s="334" t="s">
        <v>424</v>
      </c>
      <c r="W3" s="334" t="s">
        <v>425</v>
      </c>
      <c r="X3" s="334" t="s">
        <v>419</v>
      </c>
      <c r="Y3" s="334" t="s">
        <v>426</v>
      </c>
      <c r="Z3" s="334" t="s">
        <v>427</v>
      </c>
      <c r="AA3" s="334" t="s">
        <v>426</v>
      </c>
      <c r="AB3" s="334" t="s">
        <v>427</v>
      </c>
      <c r="AC3" s="334" t="s">
        <v>419</v>
      </c>
      <c r="AD3" s="334" t="s">
        <v>428</v>
      </c>
      <c r="AE3" s="334" t="s">
        <v>429</v>
      </c>
      <c r="AF3" s="334" t="s">
        <v>428</v>
      </c>
      <c r="AG3" s="334" t="s">
        <v>429</v>
      </c>
      <c r="AH3" s="334" t="s">
        <v>419</v>
      </c>
      <c r="AI3" s="334" t="s">
        <v>430</v>
      </c>
      <c r="AJ3" s="334" t="s">
        <v>430</v>
      </c>
      <c r="AK3" s="334" t="s">
        <v>419</v>
      </c>
      <c r="AL3" s="334" t="s">
        <v>440</v>
      </c>
      <c r="AM3" s="334" t="s">
        <v>440</v>
      </c>
      <c r="AN3" s="334" t="s">
        <v>419</v>
      </c>
      <c r="AO3" s="334" t="s">
        <v>456</v>
      </c>
      <c r="AP3" s="334" t="s">
        <v>456</v>
      </c>
      <c r="AQ3" s="334" t="s">
        <v>419</v>
      </c>
      <c r="AR3" s="334" t="s">
        <v>460</v>
      </c>
      <c r="AS3" s="334" t="s">
        <v>460</v>
      </c>
      <c r="AT3" s="334" t="s">
        <v>419</v>
      </c>
      <c r="AU3" s="334" t="s">
        <v>462</v>
      </c>
      <c r="AV3" s="334" t="s">
        <v>462</v>
      </c>
      <c r="AW3" s="334" t="s">
        <v>419</v>
      </c>
      <c r="AX3" s="334" t="s">
        <v>466</v>
      </c>
      <c r="AY3" s="334" t="s">
        <v>467</v>
      </c>
      <c r="AZ3" s="334" t="s">
        <v>419</v>
      </c>
    </row>
    <row r="4" spans="1:52">
      <c r="A4" s="329" t="s">
        <v>431</v>
      </c>
      <c r="B4" s="330">
        <v>38.103999999999999</v>
      </c>
      <c r="D4" s="335">
        <v>5102020000</v>
      </c>
      <c r="E4" s="330">
        <v>0</v>
      </c>
      <c r="F4" s="330">
        <v>0</v>
      </c>
      <c r="G4" s="330">
        <v>0</v>
      </c>
      <c r="H4" s="330">
        <f>G4/$B$3</f>
        <v>0</v>
      </c>
      <c r="I4" s="330">
        <f>(F4*-1-H4)/1000</f>
        <v>0</v>
      </c>
      <c r="J4" s="330">
        <v>0</v>
      </c>
      <c r="K4" s="330">
        <f>J4/$B$4</f>
        <v>0</v>
      </c>
      <c r="L4" s="330">
        <v>0</v>
      </c>
      <c r="M4" s="330">
        <f>L4/$B$4</f>
        <v>0</v>
      </c>
      <c r="N4" s="330">
        <f>(K4*-1-M4)/1000</f>
        <v>0</v>
      </c>
      <c r="O4" s="330">
        <v>16820.919999999998</v>
      </c>
      <c r="P4" s="330">
        <f>O4/$B$5</f>
        <v>413.27112493519951</v>
      </c>
      <c r="Q4" s="330">
        <v>0</v>
      </c>
      <c r="R4" s="330">
        <f>Q4/$B$5</f>
        <v>0</v>
      </c>
      <c r="S4" s="330">
        <f>(P4*-1-R4)/1000</f>
        <v>-0.41327112493519952</v>
      </c>
      <c r="T4" s="330">
        <v>0</v>
      </c>
      <c r="U4" s="330">
        <f>T4/$B$6</f>
        <v>0</v>
      </c>
      <c r="V4" s="330">
        <v>0</v>
      </c>
      <c r="W4" s="330">
        <f>V4/$B$6</f>
        <v>0</v>
      </c>
      <c r="X4" s="330">
        <f>(U4*-1-W4)/1000</f>
        <v>0</v>
      </c>
      <c r="Y4" s="330">
        <v>8521.42</v>
      </c>
      <c r="Z4" s="330">
        <f>Y4/$B$7</f>
        <v>192.48485450840963</v>
      </c>
      <c r="AA4" s="330">
        <v>0</v>
      </c>
      <c r="AB4" s="330">
        <f>AA4/$B$7</f>
        <v>0</v>
      </c>
      <c r="AC4" s="330">
        <f>(Z4*-1-AB4)/1000</f>
        <v>-0.19248485450840963</v>
      </c>
      <c r="AD4" s="330">
        <v>5212.7</v>
      </c>
      <c r="AE4" s="330">
        <f>AD4/$B$8</f>
        <v>111.97441174069762</v>
      </c>
      <c r="AF4" s="330">
        <v>0</v>
      </c>
      <c r="AG4" s="330">
        <f>AF4/$B$8</f>
        <v>0</v>
      </c>
      <c r="AH4" s="330">
        <f>(AE4*-1-AG4)/1000</f>
        <v>-0.11197441174069762</v>
      </c>
      <c r="AI4" s="330">
        <v>0</v>
      </c>
      <c r="AJ4" s="330">
        <v>0</v>
      </c>
      <c r="AK4" s="330">
        <f>AI4*-1/1000-AJ4</f>
        <v>0</v>
      </c>
      <c r="AL4" s="330">
        <v>-2.2000000000000001E-3</v>
      </c>
      <c r="AM4" s="330">
        <v>0</v>
      </c>
      <c r="AN4" s="330">
        <f>AL4-AM4/1000</f>
        <v>-2.2000000000000001E-3</v>
      </c>
      <c r="AO4" s="330">
        <v>-2364.63</v>
      </c>
      <c r="AP4" s="330">
        <v>0</v>
      </c>
      <c r="AQ4" s="330">
        <f>(AO4-AP4)/1000</f>
        <v>-2.36463</v>
      </c>
      <c r="AR4" s="336">
        <v>2.1585700000000001</v>
      </c>
      <c r="AS4" s="330">
        <v>0</v>
      </c>
      <c r="AT4" s="336">
        <f>AR4-AS4</f>
        <v>2.1585700000000001</v>
      </c>
      <c r="AU4" s="336">
        <v>-9.647E-2</v>
      </c>
      <c r="AV4" s="330">
        <v>0</v>
      </c>
      <c r="AW4" s="336">
        <f>AU4-AV4</f>
        <v>-9.647E-2</v>
      </c>
      <c r="AX4" s="336">
        <v>-9.1150000000000009E-2</v>
      </c>
      <c r="AY4" s="330">
        <v>0</v>
      </c>
      <c r="AZ4" s="336">
        <f>AX4-AY4</f>
        <v>-9.1150000000000009E-2</v>
      </c>
    </row>
    <row r="5" spans="1:52">
      <c r="A5" s="329" t="s">
        <v>432</v>
      </c>
      <c r="B5" s="330">
        <v>40.701900000000002</v>
      </c>
      <c r="D5" s="335">
        <v>5102040000</v>
      </c>
      <c r="E5" s="330">
        <v>6223.06</v>
      </c>
      <c r="F5" s="330">
        <v>167.35674099891355</v>
      </c>
      <c r="G5" s="330">
        <v>-843.8</v>
      </c>
      <c r="H5" s="330">
        <f t="shared" ref="H5:H74" si="0">G5/$B$3</f>
        <v>-22.692311829692024</v>
      </c>
      <c r="I5" s="330">
        <f t="shared" ref="I5:I74" si="1">(F5*-1-H5)/1000</f>
        <v>-0.14466442916922154</v>
      </c>
      <c r="J5" s="330">
        <v>0</v>
      </c>
      <c r="K5" s="330">
        <f t="shared" ref="K5:K74" si="2">J5/$B$4</f>
        <v>0</v>
      </c>
      <c r="L5" s="330">
        <v>0</v>
      </c>
      <c r="M5" s="330">
        <f t="shared" ref="M5:M74" si="3">L5/$B$4</f>
        <v>0</v>
      </c>
      <c r="N5" s="330">
        <f t="shared" ref="N5:N74" si="4">(K5*-1-M5)/1000</f>
        <v>0</v>
      </c>
      <c r="O5" s="330">
        <v>181989.08</v>
      </c>
      <c r="P5" s="330">
        <f t="shared" ref="P5:P74" si="5">O5/$B$5</f>
        <v>4471.2674346897802</v>
      </c>
      <c r="Q5" s="330">
        <v>-7269.05</v>
      </c>
      <c r="R5" s="330">
        <f t="shared" ref="R5:R74" si="6">Q5/$B$5</f>
        <v>-178.59239986339705</v>
      </c>
      <c r="S5" s="330">
        <f t="shared" ref="S5:S74" si="7">(P5*-1-R5)/1000</f>
        <v>-4.2926750348263827</v>
      </c>
      <c r="T5" s="330">
        <v>217265.58</v>
      </c>
      <c r="U5" s="330">
        <f t="shared" ref="U5:U74" si="8">T5/$B$6</f>
        <v>4973.3684629788168</v>
      </c>
      <c r="V5" s="330">
        <v>0</v>
      </c>
      <c r="W5" s="330">
        <f t="shared" ref="W5:W74" si="9">V5/$B$6</f>
        <v>0</v>
      </c>
      <c r="X5" s="330">
        <f t="shared" ref="X5:X74" si="10">(U5*-1-W5)/1000</f>
        <v>-4.9733684629788169</v>
      </c>
      <c r="Y5" s="330">
        <v>179.65</v>
      </c>
      <c r="Z5" s="330">
        <f t="shared" ref="Z5:Z74" si="11">Y5/$B$7</f>
        <v>4.0579978586240077</v>
      </c>
      <c r="AA5" s="330">
        <v>0</v>
      </c>
      <c r="AB5" s="330">
        <f t="shared" ref="AB5:AB74" si="12">AA5/$B$7</f>
        <v>0</v>
      </c>
      <c r="AC5" s="330">
        <f t="shared" ref="AC5:AC74" si="13">(Z5*-1-AB5)/1000</f>
        <v>-4.0579978586240077E-3</v>
      </c>
      <c r="AD5" s="330">
        <v>215286.08</v>
      </c>
      <c r="AE5" s="330">
        <f t="shared" ref="AE5:AE74" si="14">AD5/$B$8</f>
        <v>4624.576930182202</v>
      </c>
      <c r="AF5" s="330">
        <v>0</v>
      </c>
      <c r="AG5" s="330">
        <f t="shared" ref="AG5:AG74" si="15">AF5/$B$8</f>
        <v>0</v>
      </c>
      <c r="AH5" s="330">
        <f t="shared" ref="AH5:AH74" si="16">(AE5*-1-AG5)/1000</f>
        <v>-4.6245769301822017</v>
      </c>
      <c r="AI5" s="330">
        <v>1806</v>
      </c>
      <c r="AJ5" s="330">
        <v>0</v>
      </c>
      <c r="AK5" s="330">
        <f t="shared" ref="AK5:AK74" si="17">AI5*-1/1000-AJ5</f>
        <v>-1.806</v>
      </c>
      <c r="AL5" s="330">
        <v>-3.1818599999999999</v>
      </c>
      <c r="AM5" s="330">
        <v>0</v>
      </c>
      <c r="AN5" s="330">
        <f t="shared" ref="AN5:AN71" si="18">AL5-AM5/1000</f>
        <v>-3.1818599999999999</v>
      </c>
      <c r="AO5" s="330">
        <v>-78.53</v>
      </c>
      <c r="AP5" s="330">
        <v>0</v>
      </c>
      <c r="AQ5" s="330">
        <f t="shared" ref="AQ5:AQ68" si="19">(AO5-AP5)/1000</f>
        <v>-7.8530000000000003E-2</v>
      </c>
      <c r="AR5" s="336">
        <v>-2.1840000000000002</v>
      </c>
      <c r="AS5" s="330">
        <v>0</v>
      </c>
      <c r="AT5" s="336">
        <f t="shared" ref="AT5:AT68" si="20">AR5-AS5</f>
        <v>-2.1840000000000002</v>
      </c>
      <c r="AU5" s="336">
        <v>-5.4999999999999997E-3</v>
      </c>
      <c r="AV5" s="330">
        <v>0</v>
      </c>
      <c r="AW5" s="336">
        <f t="shared" ref="AW5:AW57" si="21">AU5-AV5</f>
        <v>-5.4999999999999997E-3</v>
      </c>
      <c r="AX5" s="336">
        <v>-5.52827</v>
      </c>
      <c r="AY5" s="330">
        <v>-0.34067999999999998</v>
      </c>
      <c r="AZ5" s="336">
        <f t="shared" ref="AZ5:AZ68" si="22">AX5-AY5</f>
        <v>-5.1875900000000001</v>
      </c>
    </row>
    <row r="6" spans="1:52">
      <c r="A6" s="329" t="s">
        <v>433</v>
      </c>
      <c r="B6" s="330">
        <v>43.6858</v>
      </c>
      <c r="D6" s="335">
        <v>5102040406</v>
      </c>
      <c r="E6" s="330">
        <v>168696.75</v>
      </c>
      <c r="F6" s="330">
        <v>4536.7613838061125</v>
      </c>
      <c r="G6" s="330">
        <v>0</v>
      </c>
      <c r="H6" s="330">
        <f t="shared" si="0"/>
        <v>0</v>
      </c>
      <c r="I6" s="330">
        <f t="shared" si="1"/>
        <v>-4.5367613838061125</v>
      </c>
      <c r="J6" s="330">
        <v>172868.75</v>
      </c>
      <c r="K6" s="330">
        <f t="shared" si="2"/>
        <v>4536.7612324165439</v>
      </c>
      <c r="L6" s="330">
        <v>0</v>
      </c>
      <c r="M6" s="330">
        <f t="shared" si="3"/>
        <v>0</v>
      </c>
      <c r="N6" s="330">
        <f t="shared" si="4"/>
        <v>-4.5367612324165441</v>
      </c>
      <c r="O6" s="330">
        <v>184654.81</v>
      </c>
      <c r="P6" s="330">
        <f t="shared" si="5"/>
        <v>4536.7614288276463</v>
      </c>
      <c r="Q6" s="330">
        <v>0</v>
      </c>
      <c r="R6" s="330">
        <f t="shared" si="6"/>
        <v>0</v>
      </c>
      <c r="S6" s="330">
        <f t="shared" si="7"/>
        <v>-4.5367614288276465</v>
      </c>
      <c r="T6" s="330">
        <v>1430520.85</v>
      </c>
      <c r="U6" s="330">
        <f t="shared" si="8"/>
        <v>32745.671362319106</v>
      </c>
      <c r="V6" s="330">
        <v>0</v>
      </c>
      <c r="W6" s="330">
        <f t="shared" si="9"/>
        <v>0</v>
      </c>
      <c r="X6" s="330">
        <f t="shared" si="10"/>
        <v>-32.745671362319108</v>
      </c>
      <c r="Y6" s="330">
        <v>248544.75</v>
      </c>
      <c r="Z6" s="330">
        <f t="shared" si="11"/>
        <v>5614.2168843431082</v>
      </c>
      <c r="AA6" s="330">
        <v>0</v>
      </c>
      <c r="AB6" s="330">
        <f t="shared" si="12"/>
        <v>0</v>
      </c>
      <c r="AC6" s="330">
        <f t="shared" si="13"/>
        <v>-5.6142168843431079</v>
      </c>
      <c r="AD6" s="330">
        <v>211198.05</v>
      </c>
      <c r="AE6" s="330">
        <f t="shared" si="14"/>
        <v>4536.7616416698529</v>
      </c>
      <c r="AF6" s="330">
        <v>0</v>
      </c>
      <c r="AG6" s="330">
        <f t="shared" si="15"/>
        <v>0</v>
      </c>
      <c r="AH6" s="330">
        <f t="shared" si="16"/>
        <v>-4.5367616416698526</v>
      </c>
      <c r="AI6" s="330">
        <v>7519.52</v>
      </c>
      <c r="AJ6" s="330">
        <v>0</v>
      </c>
      <c r="AK6" s="330">
        <f t="shared" si="17"/>
        <v>-7.5195200000000009</v>
      </c>
      <c r="AL6" s="330">
        <v>-4.5367600000000001</v>
      </c>
      <c r="AM6" s="330">
        <v>0</v>
      </c>
      <c r="AN6" s="330">
        <f t="shared" si="18"/>
        <v>-4.5367600000000001</v>
      </c>
      <c r="AO6" s="330">
        <v>-4536.76</v>
      </c>
      <c r="AP6" s="330">
        <v>0</v>
      </c>
      <c r="AQ6" s="330">
        <f t="shared" si="19"/>
        <v>-4.5367600000000001</v>
      </c>
      <c r="AR6" s="336">
        <v>-2.5394399999999999</v>
      </c>
      <c r="AS6" s="330">
        <v>0</v>
      </c>
      <c r="AT6" s="336">
        <f t="shared" si="20"/>
        <v>-2.5394399999999999</v>
      </c>
      <c r="AU6" s="336">
        <v>-4.5367600000000001</v>
      </c>
      <c r="AV6" s="330">
        <v>0</v>
      </c>
      <c r="AW6" s="336">
        <f t="shared" si="21"/>
        <v>-4.5367600000000001</v>
      </c>
      <c r="AX6" s="336">
        <v>-2.3053499999999998</v>
      </c>
      <c r="AY6" s="330">
        <v>0</v>
      </c>
      <c r="AZ6" s="336">
        <f t="shared" si="22"/>
        <v>-2.3053499999999998</v>
      </c>
    </row>
    <row r="7" spans="1:52">
      <c r="A7" s="329" t="s">
        <v>434</v>
      </c>
      <c r="B7" s="330">
        <v>44.270600000000002</v>
      </c>
      <c r="D7" s="335">
        <v>5102040897</v>
      </c>
      <c r="E7" s="330">
        <v>302623.40999999997</v>
      </c>
      <c r="F7" s="330">
        <v>8138.450801949205</v>
      </c>
      <c r="G7" s="330">
        <v>0</v>
      </c>
      <c r="H7" s="330">
        <f t="shared" si="0"/>
        <v>0</v>
      </c>
      <c r="I7" s="330">
        <f t="shared" si="1"/>
        <v>-8.1384508019492046</v>
      </c>
      <c r="J7" s="330">
        <v>0</v>
      </c>
      <c r="K7" s="330">
        <f t="shared" si="2"/>
        <v>0</v>
      </c>
      <c r="L7" s="330">
        <v>0</v>
      </c>
      <c r="M7" s="330">
        <f t="shared" si="3"/>
        <v>0</v>
      </c>
      <c r="N7" s="330">
        <f t="shared" si="4"/>
        <v>0</v>
      </c>
      <c r="O7" s="330">
        <v>1875.27</v>
      </c>
      <c r="P7" s="330">
        <f t="shared" si="5"/>
        <v>46.073279134389303</v>
      </c>
      <c r="Q7" s="330">
        <v>0</v>
      </c>
      <c r="R7" s="330">
        <f t="shared" si="6"/>
        <v>0</v>
      </c>
      <c r="S7" s="330">
        <f t="shared" si="7"/>
        <v>-4.60732791343893E-2</v>
      </c>
      <c r="T7" s="330">
        <v>313512.68</v>
      </c>
      <c r="U7" s="330">
        <f t="shared" si="8"/>
        <v>7176.5351670336813</v>
      </c>
      <c r="V7" s="330">
        <v>0</v>
      </c>
      <c r="W7" s="330">
        <f t="shared" si="9"/>
        <v>0</v>
      </c>
      <c r="X7" s="330">
        <f t="shared" si="10"/>
        <v>-7.1765351670336814</v>
      </c>
      <c r="Y7" s="330">
        <v>322360.75</v>
      </c>
      <c r="Z7" s="330">
        <f t="shared" si="11"/>
        <v>7281.5988488974617</v>
      </c>
      <c r="AA7" s="330">
        <v>0</v>
      </c>
      <c r="AB7" s="330">
        <f t="shared" si="12"/>
        <v>0</v>
      </c>
      <c r="AC7" s="330">
        <f t="shared" si="13"/>
        <v>-7.2815988488974615</v>
      </c>
      <c r="AD7" s="330">
        <v>7164.25</v>
      </c>
      <c r="AE7" s="330">
        <f t="shared" si="14"/>
        <v>153.89580818257198</v>
      </c>
      <c r="AF7" s="330">
        <v>0</v>
      </c>
      <c r="AG7" s="330">
        <f t="shared" si="15"/>
        <v>0</v>
      </c>
      <c r="AH7" s="330">
        <f t="shared" si="16"/>
        <v>-0.15389580818257198</v>
      </c>
      <c r="AI7" s="330">
        <v>-289.98</v>
      </c>
      <c r="AJ7" s="330">
        <v>0</v>
      </c>
      <c r="AK7" s="330">
        <f t="shared" si="17"/>
        <v>0.28998000000000002</v>
      </c>
      <c r="AL7" s="330">
        <v>0</v>
      </c>
      <c r="AM7" s="330">
        <v>0</v>
      </c>
      <c r="AN7" s="330">
        <f t="shared" si="18"/>
        <v>0</v>
      </c>
      <c r="AO7" s="330">
        <v>0</v>
      </c>
      <c r="AP7" s="330">
        <v>0</v>
      </c>
      <c r="AQ7" s="330">
        <f t="shared" si="19"/>
        <v>0</v>
      </c>
      <c r="AR7" s="336">
        <v>0</v>
      </c>
      <c r="AS7" s="330">
        <v>0</v>
      </c>
      <c r="AT7" s="336">
        <f t="shared" si="20"/>
        <v>0</v>
      </c>
      <c r="AU7" s="336">
        <v>0</v>
      </c>
      <c r="AV7" s="330">
        <v>0</v>
      </c>
      <c r="AW7" s="336">
        <f t="shared" si="21"/>
        <v>0</v>
      </c>
      <c r="AX7" s="336">
        <v>-4.0802500000000004</v>
      </c>
      <c r="AY7" s="330">
        <v>0</v>
      </c>
      <c r="AZ7" s="336">
        <f t="shared" si="22"/>
        <v>-4.0802500000000004</v>
      </c>
    </row>
    <row r="8" spans="1:52">
      <c r="A8" s="329" t="s">
        <v>435</v>
      </c>
      <c r="B8" s="330">
        <v>46.552599999999998</v>
      </c>
      <c r="D8" s="335">
        <v>5102040898</v>
      </c>
      <c r="E8" s="330">
        <v>0</v>
      </c>
      <c r="F8" s="330">
        <v>0</v>
      </c>
      <c r="G8" s="330">
        <v>0</v>
      </c>
      <c r="H8" s="330">
        <f t="shared" si="0"/>
        <v>0</v>
      </c>
      <c r="I8" s="330">
        <f t="shared" si="1"/>
        <v>0</v>
      </c>
      <c r="J8" s="330">
        <v>0</v>
      </c>
      <c r="K8" s="330">
        <f t="shared" si="2"/>
        <v>0</v>
      </c>
      <c r="L8" s="330">
        <v>0</v>
      </c>
      <c r="M8" s="330">
        <f t="shared" si="3"/>
        <v>0</v>
      </c>
      <c r="N8" s="330">
        <f t="shared" si="4"/>
        <v>0</v>
      </c>
      <c r="O8" s="330">
        <v>0</v>
      </c>
      <c r="P8" s="330">
        <f t="shared" si="5"/>
        <v>0</v>
      </c>
      <c r="Q8" s="330">
        <v>0</v>
      </c>
      <c r="R8" s="330">
        <f t="shared" si="6"/>
        <v>0</v>
      </c>
      <c r="S8" s="330">
        <f t="shared" si="7"/>
        <v>0</v>
      </c>
      <c r="T8" s="330">
        <v>386165.99</v>
      </c>
      <c r="U8" s="330">
        <f t="shared" si="8"/>
        <v>8839.6227149325405</v>
      </c>
      <c r="V8" s="330">
        <v>0</v>
      </c>
      <c r="W8" s="330">
        <f t="shared" si="9"/>
        <v>0</v>
      </c>
      <c r="X8" s="330">
        <f t="shared" si="10"/>
        <v>-8.8396227149325401</v>
      </c>
      <c r="Y8" s="330">
        <v>0</v>
      </c>
      <c r="Z8" s="330">
        <f t="shared" si="11"/>
        <v>0</v>
      </c>
      <c r="AA8" s="330">
        <v>0</v>
      </c>
      <c r="AB8" s="330">
        <f t="shared" si="12"/>
        <v>0</v>
      </c>
      <c r="AC8" s="330">
        <f t="shared" si="13"/>
        <v>0</v>
      </c>
      <c r="AD8" s="330">
        <v>602153.18999999994</v>
      </c>
      <c r="AE8" s="330">
        <f t="shared" si="14"/>
        <v>12934.899232266296</v>
      </c>
      <c r="AF8" s="330">
        <v>0</v>
      </c>
      <c r="AG8" s="330">
        <f t="shared" si="15"/>
        <v>0</v>
      </c>
      <c r="AH8" s="330">
        <f t="shared" si="16"/>
        <v>-12.934899232266297</v>
      </c>
      <c r="AI8" s="330">
        <v>7763.23</v>
      </c>
      <c r="AJ8" s="330">
        <v>0</v>
      </c>
      <c r="AK8" s="330">
        <f t="shared" si="17"/>
        <v>-7.7632299999999992</v>
      </c>
      <c r="AL8" s="330">
        <v>-3.9309600000000002</v>
      </c>
      <c r="AM8" s="330">
        <v>0</v>
      </c>
      <c r="AN8" s="330">
        <f t="shared" si="18"/>
        <v>-3.9309600000000002</v>
      </c>
      <c r="AO8" s="330">
        <v>-19599.87</v>
      </c>
      <c r="AP8" s="330">
        <v>0</v>
      </c>
      <c r="AQ8" s="330">
        <f t="shared" si="19"/>
        <v>-19.599869999999999</v>
      </c>
      <c r="AR8" s="336">
        <v>-1.63988</v>
      </c>
      <c r="AS8" s="330">
        <v>0</v>
      </c>
      <c r="AT8" s="336">
        <f t="shared" si="20"/>
        <v>-1.63988</v>
      </c>
      <c r="AU8" s="336">
        <v>-2.1514899999999999</v>
      </c>
      <c r="AV8" s="330">
        <v>0</v>
      </c>
      <c r="AW8" s="336">
        <f t="shared" si="21"/>
        <v>-2.1514899999999999</v>
      </c>
      <c r="AX8" s="336">
        <v>-14.300280000000001</v>
      </c>
      <c r="AY8" s="330">
        <v>0</v>
      </c>
      <c r="AZ8" s="336">
        <f t="shared" si="22"/>
        <v>-14.300280000000001</v>
      </c>
    </row>
    <row r="9" spans="1:52">
      <c r="D9" s="335">
        <v>5301060000</v>
      </c>
      <c r="E9" s="330">
        <v>1247.02</v>
      </c>
      <c r="F9" s="330">
        <v>33.536106539301429</v>
      </c>
      <c r="G9" s="330">
        <v>-1247.02</v>
      </c>
      <c r="H9" s="330">
        <f t="shared" si="0"/>
        <v>-33.536106539301429</v>
      </c>
      <c r="I9" s="330">
        <f t="shared" si="1"/>
        <v>0</v>
      </c>
      <c r="J9" s="330">
        <v>0</v>
      </c>
      <c r="K9" s="330">
        <f t="shared" si="2"/>
        <v>0</v>
      </c>
      <c r="L9" s="330">
        <v>0</v>
      </c>
      <c r="M9" s="330">
        <f t="shared" si="3"/>
        <v>0</v>
      </c>
      <c r="N9" s="330">
        <f t="shared" si="4"/>
        <v>0</v>
      </c>
      <c r="O9" s="330">
        <v>2010.86</v>
      </c>
      <c r="P9" s="330">
        <f t="shared" si="5"/>
        <v>49.404573250880176</v>
      </c>
      <c r="Q9" s="330">
        <v>0</v>
      </c>
      <c r="R9" s="330">
        <f t="shared" si="6"/>
        <v>0</v>
      </c>
      <c r="S9" s="330">
        <f t="shared" si="7"/>
        <v>-4.9404573250880178E-2</v>
      </c>
      <c r="T9" s="330">
        <v>91308.09</v>
      </c>
      <c r="U9" s="330">
        <f t="shared" si="8"/>
        <v>2090.1091430167239</v>
      </c>
      <c r="V9" s="330">
        <v>0</v>
      </c>
      <c r="W9" s="330">
        <f t="shared" si="9"/>
        <v>0</v>
      </c>
      <c r="X9" s="330">
        <f t="shared" si="10"/>
        <v>-2.0901091430167238</v>
      </c>
      <c r="Y9" s="330">
        <v>0</v>
      </c>
      <c r="Z9" s="330">
        <f t="shared" si="11"/>
        <v>0</v>
      </c>
      <c r="AA9" s="330">
        <v>0</v>
      </c>
      <c r="AB9" s="330">
        <f t="shared" si="12"/>
        <v>0</v>
      </c>
      <c r="AC9" s="330">
        <f t="shared" si="13"/>
        <v>0</v>
      </c>
      <c r="AD9" s="330">
        <v>101391.6</v>
      </c>
      <c r="AE9" s="330">
        <f t="shared" si="14"/>
        <v>2178.0007990960767</v>
      </c>
      <c r="AF9" s="330">
        <v>0</v>
      </c>
      <c r="AG9" s="330">
        <f t="shared" si="15"/>
        <v>0</v>
      </c>
      <c r="AH9" s="330">
        <f t="shared" si="16"/>
        <v>-2.1780007990960768</v>
      </c>
      <c r="AI9" s="330">
        <v>0</v>
      </c>
      <c r="AJ9" s="330">
        <v>0</v>
      </c>
      <c r="AK9" s="330">
        <f t="shared" si="17"/>
        <v>0</v>
      </c>
      <c r="AL9" s="330">
        <v>0</v>
      </c>
      <c r="AM9" s="330">
        <v>0</v>
      </c>
      <c r="AN9" s="330">
        <f t="shared" si="18"/>
        <v>0</v>
      </c>
      <c r="AO9" s="330">
        <v>0</v>
      </c>
      <c r="AP9" s="330">
        <v>0</v>
      </c>
      <c r="AQ9" s="330">
        <f t="shared" si="19"/>
        <v>0</v>
      </c>
      <c r="AR9" s="336">
        <v>0</v>
      </c>
      <c r="AS9" s="330">
        <v>0</v>
      </c>
      <c r="AT9" s="336">
        <f t="shared" si="20"/>
        <v>0</v>
      </c>
      <c r="AU9" s="336">
        <v>-2.0337200000000002</v>
      </c>
      <c r="AV9" s="330">
        <v>0</v>
      </c>
      <c r="AW9" s="336">
        <f t="shared" si="21"/>
        <v>-2.0337200000000002</v>
      </c>
      <c r="AX9" s="336">
        <v>0</v>
      </c>
      <c r="AY9" s="330">
        <v>0</v>
      </c>
      <c r="AZ9" s="336">
        <f t="shared" si="22"/>
        <v>0</v>
      </c>
    </row>
    <row r="10" spans="1:52">
      <c r="D10" s="335">
        <v>5601050000</v>
      </c>
      <c r="E10" s="330">
        <v>0</v>
      </c>
      <c r="F10" s="330">
        <v>0</v>
      </c>
      <c r="G10" s="330">
        <v>0</v>
      </c>
      <c r="H10" s="330">
        <f t="shared" si="0"/>
        <v>0</v>
      </c>
      <c r="I10" s="330">
        <f t="shared" si="1"/>
        <v>0</v>
      </c>
      <c r="J10" s="330">
        <v>-292.55</v>
      </c>
      <c r="K10" s="330">
        <f t="shared" si="2"/>
        <v>-7.6776716355238301</v>
      </c>
      <c r="L10" s="330">
        <v>292.55</v>
      </c>
      <c r="M10" s="330">
        <f t="shared" si="3"/>
        <v>7.6776716355238301</v>
      </c>
      <c r="N10" s="330">
        <f t="shared" si="4"/>
        <v>0</v>
      </c>
      <c r="O10" s="330">
        <v>0</v>
      </c>
      <c r="P10" s="330">
        <f t="shared" si="5"/>
        <v>0</v>
      </c>
      <c r="Q10" s="330">
        <v>0</v>
      </c>
      <c r="R10" s="330">
        <f t="shared" si="6"/>
        <v>0</v>
      </c>
      <c r="S10" s="330">
        <f t="shared" si="7"/>
        <v>0</v>
      </c>
      <c r="T10" s="330">
        <v>0</v>
      </c>
      <c r="U10" s="330">
        <f t="shared" si="8"/>
        <v>0</v>
      </c>
      <c r="V10" s="330">
        <v>0</v>
      </c>
      <c r="W10" s="330">
        <f t="shared" si="9"/>
        <v>0</v>
      </c>
      <c r="X10" s="330">
        <f t="shared" si="10"/>
        <v>0</v>
      </c>
      <c r="Y10" s="330">
        <v>-292.55</v>
      </c>
      <c r="Z10" s="330">
        <f t="shared" si="11"/>
        <v>-6.6082230645168574</v>
      </c>
      <c r="AA10" s="330">
        <v>292.55</v>
      </c>
      <c r="AB10" s="330">
        <f t="shared" si="12"/>
        <v>6.6082230645168574</v>
      </c>
      <c r="AC10" s="330">
        <f t="shared" si="13"/>
        <v>0</v>
      </c>
      <c r="AD10" s="330">
        <v>0</v>
      </c>
      <c r="AE10" s="330">
        <f t="shared" si="14"/>
        <v>0</v>
      </c>
      <c r="AF10" s="330">
        <v>0</v>
      </c>
      <c r="AG10" s="330">
        <f t="shared" si="15"/>
        <v>0</v>
      </c>
      <c r="AH10" s="330">
        <f t="shared" si="16"/>
        <v>0</v>
      </c>
      <c r="AI10" s="330">
        <v>0</v>
      </c>
      <c r="AJ10" s="330">
        <v>0</v>
      </c>
      <c r="AK10" s="330">
        <f t="shared" si="17"/>
        <v>0</v>
      </c>
      <c r="AL10" s="330">
        <v>0</v>
      </c>
      <c r="AM10" s="330">
        <v>0</v>
      </c>
      <c r="AN10" s="330">
        <f t="shared" si="18"/>
        <v>0</v>
      </c>
      <c r="AO10" s="330">
        <v>0</v>
      </c>
      <c r="AP10" s="330">
        <v>0</v>
      </c>
      <c r="AQ10" s="330">
        <f t="shared" si="19"/>
        <v>0</v>
      </c>
      <c r="AR10" s="336">
        <v>0</v>
      </c>
      <c r="AS10" s="330">
        <v>0</v>
      </c>
      <c r="AT10" s="336">
        <f t="shared" si="20"/>
        <v>0</v>
      </c>
      <c r="AU10" s="336">
        <v>0</v>
      </c>
      <c r="AV10" s="330">
        <v>0</v>
      </c>
      <c r="AW10" s="336">
        <f t="shared" si="21"/>
        <v>0</v>
      </c>
      <c r="AX10" s="336">
        <v>0</v>
      </c>
      <c r="AY10" s="330">
        <v>0</v>
      </c>
      <c r="AZ10" s="336">
        <f t="shared" si="22"/>
        <v>0</v>
      </c>
    </row>
    <row r="11" spans="1:52">
      <c r="D11" s="335">
        <v>5601050099</v>
      </c>
      <c r="E11" s="330">
        <v>0</v>
      </c>
      <c r="F11" s="330">
        <v>0</v>
      </c>
      <c r="G11" s="330">
        <v>0</v>
      </c>
      <c r="H11" s="330">
        <f t="shared" si="0"/>
        <v>0</v>
      </c>
      <c r="I11" s="330">
        <f t="shared" si="1"/>
        <v>0</v>
      </c>
      <c r="J11" s="330">
        <v>-153467.28</v>
      </c>
      <c r="K11" s="330">
        <f t="shared" si="2"/>
        <v>-4027.5897543564979</v>
      </c>
      <c r="L11" s="330">
        <v>0</v>
      </c>
      <c r="M11" s="330">
        <f t="shared" si="3"/>
        <v>0</v>
      </c>
      <c r="N11" s="330">
        <f t="shared" si="4"/>
        <v>4.027589754356498</v>
      </c>
      <c r="O11" s="330">
        <v>0</v>
      </c>
      <c r="P11" s="330">
        <f t="shared" si="5"/>
        <v>0</v>
      </c>
      <c r="Q11" s="330">
        <v>0</v>
      </c>
      <c r="R11" s="330">
        <f t="shared" si="6"/>
        <v>0</v>
      </c>
      <c r="S11" s="330">
        <f t="shared" si="7"/>
        <v>0</v>
      </c>
      <c r="T11" s="330">
        <v>0</v>
      </c>
      <c r="U11" s="330">
        <f t="shared" si="8"/>
        <v>0</v>
      </c>
      <c r="V11" s="330">
        <v>0</v>
      </c>
      <c r="W11" s="330">
        <f t="shared" si="9"/>
        <v>0</v>
      </c>
      <c r="X11" s="330">
        <f t="shared" si="10"/>
        <v>0</v>
      </c>
      <c r="Y11" s="330">
        <v>0</v>
      </c>
      <c r="Z11" s="330">
        <f t="shared" si="11"/>
        <v>0</v>
      </c>
      <c r="AA11" s="330">
        <v>0</v>
      </c>
      <c r="AB11" s="330">
        <f t="shared" si="12"/>
        <v>0</v>
      </c>
      <c r="AC11" s="330">
        <f t="shared" si="13"/>
        <v>0</v>
      </c>
      <c r="AD11" s="330">
        <v>0</v>
      </c>
      <c r="AE11" s="330">
        <f t="shared" si="14"/>
        <v>0</v>
      </c>
      <c r="AF11" s="330">
        <v>0</v>
      </c>
      <c r="AG11" s="330">
        <f t="shared" si="15"/>
        <v>0</v>
      </c>
      <c r="AH11" s="330">
        <f t="shared" si="16"/>
        <v>0</v>
      </c>
      <c r="AI11" s="330">
        <v>0</v>
      </c>
      <c r="AJ11" s="330">
        <v>0</v>
      </c>
      <c r="AK11" s="330">
        <f t="shared" si="17"/>
        <v>0</v>
      </c>
      <c r="AL11" s="330">
        <v>0</v>
      </c>
      <c r="AM11" s="330">
        <v>0</v>
      </c>
      <c r="AN11" s="330">
        <f t="shared" si="18"/>
        <v>0</v>
      </c>
      <c r="AO11" s="330">
        <v>8.6</v>
      </c>
      <c r="AP11" s="330">
        <v>0</v>
      </c>
      <c r="AQ11" s="330">
        <f t="shared" si="19"/>
        <v>8.6E-3</v>
      </c>
      <c r="AR11" s="336">
        <v>0</v>
      </c>
      <c r="AS11" s="330">
        <v>0</v>
      </c>
      <c r="AT11" s="336">
        <f t="shared" si="20"/>
        <v>0</v>
      </c>
      <c r="AU11" s="336">
        <v>0</v>
      </c>
      <c r="AV11" s="330">
        <v>0</v>
      </c>
      <c r="AW11" s="336">
        <f t="shared" si="21"/>
        <v>0</v>
      </c>
      <c r="AX11" s="336">
        <v>0</v>
      </c>
      <c r="AY11" s="330">
        <v>0</v>
      </c>
      <c r="AZ11" s="336">
        <f t="shared" si="22"/>
        <v>0</v>
      </c>
    </row>
    <row r="12" spans="1:52">
      <c r="D12" s="335">
        <v>5601050100</v>
      </c>
      <c r="E12" s="330">
        <v>-1542.92</v>
      </c>
      <c r="F12" s="330">
        <v>-41.493744688632873</v>
      </c>
      <c r="G12" s="330">
        <v>1542.92</v>
      </c>
      <c r="H12" s="330">
        <f t="shared" si="0"/>
        <v>41.493744688632873</v>
      </c>
      <c r="I12" s="330">
        <f t="shared" si="1"/>
        <v>0</v>
      </c>
      <c r="J12" s="330">
        <v>-15529.439999999999</v>
      </c>
      <c r="K12" s="330">
        <f t="shared" si="2"/>
        <v>-407.55406256560991</v>
      </c>
      <c r="L12" s="330">
        <v>15529.439999999999</v>
      </c>
      <c r="M12" s="330">
        <f t="shared" si="3"/>
        <v>407.55406256560991</v>
      </c>
      <c r="N12" s="330">
        <f t="shared" si="4"/>
        <v>0</v>
      </c>
      <c r="O12" s="330">
        <v>-15811.6</v>
      </c>
      <c r="P12" s="330">
        <f t="shared" si="5"/>
        <v>-388.47326537581785</v>
      </c>
      <c r="Q12" s="330">
        <v>15799.81</v>
      </c>
      <c r="R12" s="330">
        <f t="shared" si="6"/>
        <v>388.18359830867843</v>
      </c>
      <c r="S12" s="330">
        <f t="shared" si="7"/>
        <v>2.8966706713941904E-4</v>
      </c>
      <c r="T12" s="330">
        <v>-1336.5900000000001</v>
      </c>
      <c r="U12" s="330">
        <f t="shared" si="8"/>
        <v>-30.595525319440188</v>
      </c>
      <c r="V12" s="330">
        <v>1128.1500000000001</v>
      </c>
      <c r="W12" s="330">
        <f t="shared" si="9"/>
        <v>25.824180855106238</v>
      </c>
      <c r="X12" s="330">
        <f t="shared" si="10"/>
        <v>4.77134446433395E-3</v>
      </c>
      <c r="Y12" s="330">
        <v>-886.94</v>
      </c>
      <c r="Z12" s="330">
        <f t="shared" si="11"/>
        <v>-20.034515005443794</v>
      </c>
      <c r="AA12" s="330">
        <v>773.87</v>
      </c>
      <c r="AB12" s="330">
        <f t="shared" si="12"/>
        <v>17.480449779311776</v>
      </c>
      <c r="AC12" s="330">
        <f t="shared" si="13"/>
        <v>2.5540652261320175E-3</v>
      </c>
      <c r="AD12" s="330">
        <v>-2829.74</v>
      </c>
      <c r="AE12" s="330">
        <f t="shared" si="14"/>
        <v>-60.785863732637914</v>
      </c>
      <c r="AF12" s="330">
        <v>2829.74</v>
      </c>
      <c r="AG12" s="330">
        <f t="shared" si="15"/>
        <v>60.785863732637914</v>
      </c>
      <c r="AH12" s="330">
        <f t="shared" si="16"/>
        <v>0</v>
      </c>
      <c r="AI12" s="330">
        <v>-257.53000000000003</v>
      </c>
      <c r="AJ12" s="330">
        <v>0.21227000000000001</v>
      </c>
      <c r="AK12" s="330">
        <f t="shared" si="17"/>
        <v>4.5260000000000022E-2</v>
      </c>
      <c r="AL12" s="330">
        <v>0.13777</v>
      </c>
      <c r="AM12" s="330">
        <v>69.349999999999994</v>
      </c>
      <c r="AN12" s="330">
        <f t="shared" si="18"/>
        <v>6.8420000000000009E-2</v>
      </c>
      <c r="AO12" s="330">
        <v>323.67999999999995</v>
      </c>
      <c r="AP12" s="330">
        <v>214.72</v>
      </c>
      <c r="AQ12" s="330">
        <f t="shared" si="19"/>
        <v>0.10895999999999995</v>
      </c>
      <c r="AR12" s="336">
        <v>9.4189999999999996E-2</v>
      </c>
      <c r="AS12" s="330">
        <v>7.4560000000000001E-2</v>
      </c>
      <c r="AT12" s="336">
        <f t="shared" si="20"/>
        <v>1.9629999999999995E-2</v>
      </c>
      <c r="AU12" s="336">
        <v>7.1660000000000001E-2</v>
      </c>
      <c r="AV12" s="330">
        <v>2.4140000000000002E-2</v>
      </c>
      <c r="AW12" s="336">
        <f t="shared" si="21"/>
        <v>4.752E-2</v>
      </c>
      <c r="AX12" s="336">
        <v>0.22712000000000002</v>
      </c>
      <c r="AY12" s="330">
        <v>4.9890000000000004E-2</v>
      </c>
      <c r="AZ12" s="336">
        <f t="shared" si="22"/>
        <v>0.17723</v>
      </c>
    </row>
    <row r="13" spans="1:52">
      <c r="D13" s="335">
        <v>5601080000</v>
      </c>
      <c r="E13" s="330">
        <v>-107629.88</v>
      </c>
      <c r="F13" s="330">
        <v>-2894.4901625412813</v>
      </c>
      <c r="G13" s="330">
        <v>107629.88</v>
      </c>
      <c r="H13" s="330">
        <f t="shared" si="0"/>
        <v>2894.4901625412813</v>
      </c>
      <c r="I13" s="330">
        <f t="shared" si="1"/>
        <v>0</v>
      </c>
      <c r="J13" s="330">
        <v>-338370.94999999995</v>
      </c>
      <c r="K13" s="330">
        <f t="shared" si="2"/>
        <v>-8880.19499265169</v>
      </c>
      <c r="L13" s="330">
        <v>1.1000000000000001</v>
      </c>
      <c r="M13" s="330">
        <f t="shared" si="3"/>
        <v>2.8868360277136261E-2</v>
      </c>
      <c r="N13" s="330">
        <f t="shared" si="4"/>
        <v>8.8801661242914118</v>
      </c>
      <c r="O13" s="330">
        <v>338369.85</v>
      </c>
      <c r="P13" s="330">
        <f t="shared" si="5"/>
        <v>8313.3674349354696</v>
      </c>
      <c r="Q13" s="330">
        <v>0</v>
      </c>
      <c r="R13" s="330">
        <f t="shared" si="6"/>
        <v>0</v>
      </c>
      <c r="S13" s="330">
        <f t="shared" si="7"/>
        <v>-8.3133674349354703</v>
      </c>
      <c r="T13" s="330">
        <v>-16057.27</v>
      </c>
      <c r="U13" s="330">
        <f t="shared" si="8"/>
        <v>-367.56268627334282</v>
      </c>
      <c r="V13" s="330">
        <v>10884.5</v>
      </c>
      <c r="W13" s="330">
        <f t="shared" si="9"/>
        <v>249.15418740185598</v>
      </c>
      <c r="X13" s="330">
        <f t="shared" si="10"/>
        <v>0.11840849887148684</v>
      </c>
      <c r="Y13" s="330">
        <v>-68.03</v>
      </c>
      <c r="Z13" s="330">
        <f t="shared" si="11"/>
        <v>-1.5366857462966392</v>
      </c>
      <c r="AA13" s="330">
        <v>68.03</v>
      </c>
      <c r="AB13" s="330">
        <f t="shared" si="12"/>
        <v>1.5366857462966392</v>
      </c>
      <c r="AC13" s="330">
        <f t="shared" si="13"/>
        <v>0</v>
      </c>
      <c r="AD13" s="330">
        <v>-2335.6</v>
      </c>
      <c r="AE13" s="330">
        <f t="shared" si="14"/>
        <v>-50.171204186232345</v>
      </c>
      <c r="AF13" s="330">
        <v>0</v>
      </c>
      <c r="AG13" s="330">
        <f t="shared" si="15"/>
        <v>0</v>
      </c>
      <c r="AH13" s="330">
        <f t="shared" si="16"/>
        <v>5.0171204186232346E-2</v>
      </c>
      <c r="AI13" s="330">
        <v>-102.61</v>
      </c>
      <c r="AJ13" s="330">
        <v>0.10657999999999999</v>
      </c>
      <c r="AK13" s="330">
        <f t="shared" si="17"/>
        <v>-3.9700000000000013E-3</v>
      </c>
      <c r="AL13" s="330">
        <v>0.27682000000000001</v>
      </c>
      <c r="AM13" s="330">
        <v>9.94</v>
      </c>
      <c r="AN13" s="330">
        <f t="shared" si="18"/>
        <v>0.26688000000000001</v>
      </c>
      <c r="AO13" s="330">
        <v>0</v>
      </c>
      <c r="AP13" s="330">
        <v>0</v>
      </c>
      <c r="AQ13" s="330">
        <f t="shared" si="19"/>
        <v>0</v>
      </c>
      <c r="AR13" s="336">
        <v>0.49920000000000003</v>
      </c>
      <c r="AS13" s="330">
        <v>0.39966000000000002</v>
      </c>
      <c r="AT13" s="336">
        <f t="shared" si="20"/>
        <v>9.9540000000000017E-2</v>
      </c>
      <c r="AU13" s="336">
        <v>0.20324</v>
      </c>
      <c r="AV13" s="330">
        <v>0</v>
      </c>
      <c r="AW13" s="336">
        <f t="shared" si="21"/>
        <v>0.20324</v>
      </c>
      <c r="AX13" s="336">
        <v>0.40014</v>
      </c>
      <c r="AY13" s="330">
        <v>0.40014</v>
      </c>
      <c r="AZ13" s="336">
        <f t="shared" si="22"/>
        <v>0</v>
      </c>
    </row>
    <row r="14" spans="1:52">
      <c r="D14" s="335">
        <v>5801000041</v>
      </c>
      <c r="E14" s="330">
        <v>-2704.31</v>
      </c>
      <c r="F14" s="330">
        <v>-72.727003797291346</v>
      </c>
      <c r="G14" s="330">
        <v>0</v>
      </c>
      <c r="H14" s="330">
        <f t="shared" si="0"/>
        <v>0</v>
      </c>
      <c r="I14" s="330">
        <f t="shared" si="1"/>
        <v>7.2727003797291342E-2</v>
      </c>
      <c r="J14" s="330">
        <v>0</v>
      </c>
      <c r="K14" s="330">
        <f t="shared" si="2"/>
        <v>0</v>
      </c>
      <c r="L14" s="330">
        <v>0</v>
      </c>
      <c r="M14" s="330">
        <f t="shared" si="3"/>
        <v>0</v>
      </c>
      <c r="N14" s="330">
        <f t="shared" si="4"/>
        <v>0</v>
      </c>
      <c r="O14" s="330">
        <v>-7350.59</v>
      </c>
      <c r="P14" s="330">
        <f t="shared" si="5"/>
        <v>-180.59574614452887</v>
      </c>
      <c r="Q14" s="330">
        <v>0</v>
      </c>
      <c r="R14" s="330">
        <f t="shared" si="6"/>
        <v>0</v>
      </c>
      <c r="S14" s="330">
        <f t="shared" si="7"/>
        <v>0.18059574614452886</v>
      </c>
      <c r="T14" s="330">
        <v>0</v>
      </c>
      <c r="U14" s="330">
        <f t="shared" si="8"/>
        <v>0</v>
      </c>
      <c r="V14" s="330">
        <v>0</v>
      </c>
      <c r="W14" s="330">
        <f t="shared" si="9"/>
        <v>0</v>
      </c>
      <c r="X14" s="330">
        <f t="shared" si="10"/>
        <v>0</v>
      </c>
      <c r="Y14" s="330">
        <v>0</v>
      </c>
      <c r="Z14" s="330">
        <f t="shared" si="11"/>
        <v>0</v>
      </c>
      <c r="AA14" s="330">
        <v>0</v>
      </c>
      <c r="AB14" s="330">
        <f t="shared" si="12"/>
        <v>0</v>
      </c>
      <c r="AC14" s="330">
        <f t="shared" si="13"/>
        <v>0</v>
      </c>
      <c r="AD14" s="330">
        <v>0</v>
      </c>
      <c r="AE14" s="330">
        <f t="shared" si="14"/>
        <v>0</v>
      </c>
      <c r="AF14" s="330">
        <v>0</v>
      </c>
      <c r="AG14" s="330">
        <f t="shared" si="15"/>
        <v>0</v>
      </c>
      <c r="AH14" s="330">
        <f t="shared" si="16"/>
        <v>0</v>
      </c>
      <c r="AI14" s="330">
        <v>0</v>
      </c>
      <c r="AJ14" s="330">
        <v>0</v>
      </c>
      <c r="AK14" s="330">
        <f t="shared" si="17"/>
        <v>0</v>
      </c>
      <c r="AL14" s="330">
        <v>0</v>
      </c>
      <c r="AM14" s="330">
        <v>0</v>
      </c>
      <c r="AN14" s="330">
        <f t="shared" si="18"/>
        <v>0</v>
      </c>
      <c r="AO14" s="330">
        <v>0</v>
      </c>
      <c r="AP14" s="330">
        <v>0</v>
      </c>
      <c r="AQ14" s="330">
        <f t="shared" si="19"/>
        <v>0</v>
      </c>
      <c r="AR14" s="336">
        <v>0</v>
      </c>
      <c r="AS14" s="330">
        <v>0</v>
      </c>
      <c r="AT14" s="336">
        <f t="shared" si="20"/>
        <v>0</v>
      </c>
      <c r="AU14" s="336">
        <v>3.0499999999999998E-3</v>
      </c>
      <c r="AV14" s="330">
        <v>3.0499999999999998E-3</v>
      </c>
      <c r="AW14" s="336">
        <f t="shared" si="21"/>
        <v>0</v>
      </c>
      <c r="AX14" s="336">
        <v>0.17016999999999999</v>
      </c>
      <c r="AY14" s="330">
        <v>2.2000000000000001E-4</v>
      </c>
      <c r="AZ14" s="336">
        <f t="shared" si="22"/>
        <v>0.16994999999999999</v>
      </c>
    </row>
    <row r="15" spans="1:52">
      <c r="D15" s="335">
        <v>6666010012</v>
      </c>
      <c r="E15" s="330">
        <v>-717.77</v>
      </c>
      <c r="F15" s="330">
        <v>-19.302987274233281</v>
      </c>
      <c r="G15" s="330">
        <v>717.77</v>
      </c>
      <c r="H15" s="330">
        <f t="shared" si="0"/>
        <v>19.302987274233281</v>
      </c>
      <c r="I15" s="330">
        <f t="shared" si="1"/>
        <v>0</v>
      </c>
      <c r="J15" s="330">
        <v>-881.27</v>
      </c>
      <c r="K15" s="330">
        <f t="shared" si="2"/>
        <v>-23.128018055847154</v>
      </c>
      <c r="L15" s="330">
        <v>881.27</v>
      </c>
      <c r="M15" s="330">
        <f t="shared" si="3"/>
        <v>23.128018055847154</v>
      </c>
      <c r="N15" s="330">
        <f t="shared" si="4"/>
        <v>0</v>
      </c>
      <c r="O15" s="330">
        <v>-799.52</v>
      </c>
      <c r="P15" s="330">
        <f t="shared" si="5"/>
        <v>-19.643309034713365</v>
      </c>
      <c r="Q15" s="330">
        <v>799.52</v>
      </c>
      <c r="R15" s="330">
        <f t="shared" si="6"/>
        <v>19.643309034713365</v>
      </c>
      <c r="S15" s="330">
        <f t="shared" si="7"/>
        <v>0</v>
      </c>
      <c r="T15" s="330">
        <v>-471.05</v>
      </c>
      <c r="U15" s="330">
        <f t="shared" si="8"/>
        <v>-10.782679955500415</v>
      </c>
      <c r="V15" s="330">
        <v>471.05</v>
      </c>
      <c r="W15" s="330">
        <f t="shared" si="9"/>
        <v>10.782679955500415</v>
      </c>
      <c r="X15" s="330">
        <f t="shared" si="10"/>
        <v>0</v>
      </c>
      <c r="Y15" s="330">
        <v>0</v>
      </c>
      <c r="Z15" s="330">
        <f t="shared" si="11"/>
        <v>0</v>
      </c>
      <c r="AA15" s="330">
        <v>0</v>
      </c>
      <c r="AB15" s="330">
        <f t="shared" si="12"/>
        <v>0</v>
      </c>
      <c r="AC15" s="330">
        <f t="shared" si="13"/>
        <v>0</v>
      </c>
      <c r="AD15" s="330">
        <v>0</v>
      </c>
      <c r="AE15" s="330">
        <f t="shared" si="14"/>
        <v>0</v>
      </c>
      <c r="AF15" s="330">
        <v>0</v>
      </c>
      <c r="AG15" s="330">
        <f t="shared" si="15"/>
        <v>0</v>
      </c>
      <c r="AH15" s="330">
        <f t="shared" si="16"/>
        <v>0</v>
      </c>
      <c r="AI15" s="330">
        <v>-9.7100000000000009</v>
      </c>
      <c r="AJ15" s="330">
        <v>0</v>
      </c>
      <c r="AK15" s="330">
        <f t="shared" si="17"/>
        <v>9.7100000000000016E-3</v>
      </c>
      <c r="AL15" s="330">
        <v>9.4199999999999996E-3</v>
      </c>
      <c r="AM15" s="330">
        <v>0</v>
      </c>
      <c r="AN15" s="330">
        <f t="shared" si="18"/>
        <v>9.4199999999999996E-3</v>
      </c>
      <c r="AO15" s="330">
        <v>9.24</v>
      </c>
      <c r="AP15" s="330">
        <v>0</v>
      </c>
      <c r="AQ15" s="330">
        <f t="shared" si="19"/>
        <v>9.2399999999999999E-3</v>
      </c>
      <c r="AR15" s="336">
        <v>1.7229999999999999E-2</v>
      </c>
      <c r="AS15" s="330">
        <v>2.9100000000000003E-3</v>
      </c>
      <c r="AT15" s="336">
        <f t="shared" si="20"/>
        <v>1.4319999999999999E-2</v>
      </c>
      <c r="AU15" s="336">
        <v>1.1869999999999999E-2</v>
      </c>
      <c r="AV15" s="330">
        <v>0</v>
      </c>
      <c r="AW15" s="336">
        <f t="shared" si="21"/>
        <v>1.1869999999999999E-2</v>
      </c>
      <c r="AX15" s="336">
        <v>1.1560000000000001E-2</v>
      </c>
      <c r="AY15" s="330">
        <v>0</v>
      </c>
      <c r="AZ15" s="336">
        <f t="shared" si="22"/>
        <v>1.1560000000000001E-2</v>
      </c>
    </row>
    <row r="16" spans="1:52">
      <c r="D16" s="335">
        <v>6666010101</v>
      </c>
      <c r="E16" s="330">
        <v>-1293658.28</v>
      </c>
      <c r="F16" s="330">
        <v>-34790.349716547804</v>
      </c>
      <c r="G16" s="330">
        <v>335176.03999999998</v>
      </c>
      <c r="H16" s="330">
        <f t="shared" si="0"/>
        <v>9013.8886199589069</v>
      </c>
      <c r="I16" s="330">
        <f t="shared" si="1"/>
        <v>25.776461096588896</v>
      </c>
      <c r="J16" s="330">
        <v>-1606910.54</v>
      </c>
      <c r="K16" s="330">
        <f t="shared" si="2"/>
        <v>-42171.7021834978</v>
      </c>
      <c r="L16" s="330">
        <v>597662.23</v>
      </c>
      <c r="M16" s="330">
        <f t="shared" si="3"/>
        <v>15685.02598152425</v>
      </c>
      <c r="N16" s="330">
        <f t="shared" si="4"/>
        <v>26.486676201973552</v>
      </c>
      <c r="O16" s="330">
        <v>-1484981.61</v>
      </c>
      <c r="P16" s="330">
        <f t="shared" si="5"/>
        <v>-36484.331443986644</v>
      </c>
      <c r="Q16" s="330">
        <v>396140.03</v>
      </c>
      <c r="R16" s="330">
        <f t="shared" si="6"/>
        <v>9732.7159174387434</v>
      </c>
      <c r="S16" s="330">
        <f t="shared" si="7"/>
        <v>26.751615526547901</v>
      </c>
      <c r="T16" s="330">
        <v>-3359011.63</v>
      </c>
      <c r="U16" s="330">
        <f t="shared" si="8"/>
        <v>-76890.239620196953</v>
      </c>
      <c r="V16" s="330">
        <v>523760.38</v>
      </c>
      <c r="W16" s="330">
        <f t="shared" si="9"/>
        <v>11989.259210086573</v>
      </c>
      <c r="X16" s="330">
        <f t="shared" si="10"/>
        <v>64.900980410110378</v>
      </c>
      <c r="Y16" s="330">
        <v>-1454745.5999999999</v>
      </c>
      <c r="Z16" s="330">
        <f t="shared" si="11"/>
        <v>-32860.309099040896</v>
      </c>
      <c r="AA16" s="330">
        <v>556737.76</v>
      </c>
      <c r="AB16" s="330">
        <f t="shared" si="12"/>
        <v>12575.789801809779</v>
      </c>
      <c r="AC16" s="330">
        <f t="shared" si="13"/>
        <v>20.284519297231121</v>
      </c>
      <c r="AD16" s="330">
        <v>-1355385.56</v>
      </c>
      <c r="AE16" s="330">
        <f t="shared" si="14"/>
        <v>-29115.142011402157</v>
      </c>
      <c r="AF16" s="330">
        <v>506587.38999999996</v>
      </c>
      <c r="AG16" s="330">
        <f t="shared" si="15"/>
        <v>10882.04289341519</v>
      </c>
      <c r="AH16" s="330">
        <f t="shared" si="16"/>
        <v>18.233099117986967</v>
      </c>
      <c r="AI16" s="330">
        <v>-27840.02</v>
      </c>
      <c r="AJ16" s="330">
        <v>10.389940000000001</v>
      </c>
      <c r="AK16" s="330">
        <f t="shared" si="17"/>
        <v>17.45008</v>
      </c>
      <c r="AL16" s="330">
        <v>26.89217</v>
      </c>
      <c r="AM16" s="330">
        <v>10039.06</v>
      </c>
      <c r="AN16" s="330">
        <f t="shared" si="18"/>
        <v>16.853110000000001</v>
      </c>
      <c r="AO16" s="330">
        <v>26820.409999999996</v>
      </c>
      <c r="AP16" s="330">
        <v>9979.85</v>
      </c>
      <c r="AQ16" s="330">
        <f t="shared" si="19"/>
        <v>16.840559999999996</v>
      </c>
      <c r="AR16" s="336">
        <v>28.485899999999997</v>
      </c>
      <c r="AS16" s="330">
        <v>10.47415</v>
      </c>
      <c r="AT16" s="336">
        <f t="shared" si="20"/>
        <v>18.011749999999999</v>
      </c>
      <c r="AU16" s="336">
        <v>25.25873</v>
      </c>
      <c r="AV16" s="330">
        <v>9.8790800000000001</v>
      </c>
      <c r="AW16" s="336">
        <f t="shared" si="21"/>
        <v>15.37965</v>
      </c>
      <c r="AX16" s="336">
        <v>25.261190000000003</v>
      </c>
      <c r="AY16" s="330">
        <v>10.18553</v>
      </c>
      <c r="AZ16" s="336">
        <f t="shared" si="22"/>
        <v>15.075660000000003</v>
      </c>
    </row>
    <row r="17" spans="4:52">
      <c r="D17" s="335">
        <v>6666010102</v>
      </c>
      <c r="E17" s="330">
        <v>-4111.5</v>
      </c>
      <c r="F17" s="330">
        <v>-110.57056184851713</v>
      </c>
      <c r="G17" s="330">
        <v>4111.5</v>
      </c>
      <c r="H17" s="330">
        <f t="shared" si="0"/>
        <v>110.57056184851713</v>
      </c>
      <c r="I17" s="330">
        <f t="shared" si="1"/>
        <v>0</v>
      </c>
      <c r="J17" s="330">
        <v>-4615.79</v>
      </c>
      <c r="K17" s="330">
        <f t="shared" si="2"/>
        <v>-121.13662607600251</v>
      </c>
      <c r="L17" s="330">
        <v>4615.79</v>
      </c>
      <c r="M17" s="330">
        <f t="shared" si="3"/>
        <v>121.13662607600251</v>
      </c>
      <c r="N17" s="330">
        <f t="shared" si="4"/>
        <v>0</v>
      </c>
      <c r="O17" s="330">
        <v>-4348</v>
      </c>
      <c r="P17" s="330">
        <f t="shared" si="5"/>
        <v>-106.8254798916021</v>
      </c>
      <c r="Q17" s="330">
        <v>4348</v>
      </c>
      <c r="R17" s="330">
        <f t="shared" si="6"/>
        <v>106.8254798916021</v>
      </c>
      <c r="S17" s="330">
        <f t="shared" si="7"/>
        <v>0</v>
      </c>
      <c r="T17" s="330">
        <v>-3065.12</v>
      </c>
      <c r="U17" s="330">
        <f t="shared" si="8"/>
        <v>-70.162844677217763</v>
      </c>
      <c r="V17" s="330">
        <v>3065.12</v>
      </c>
      <c r="W17" s="330">
        <f t="shared" si="9"/>
        <v>70.162844677217763</v>
      </c>
      <c r="X17" s="330">
        <f t="shared" si="10"/>
        <v>0</v>
      </c>
      <c r="Y17" s="330">
        <v>-1133.24</v>
      </c>
      <c r="Z17" s="330">
        <f t="shared" si="11"/>
        <v>-25.598026681364153</v>
      </c>
      <c r="AA17" s="330">
        <v>1133.24</v>
      </c>
      <c r="AB17" s="330">
        <f t="shared" si="12"/>
        <v>25.598026681364153</v>
      </c>
      <c r="AC17" s="330">
        <f t="shared" si="13"/>
        <v>0</v>
      </c>
      <c r="AD17" s="330">
        <v>-781.54</v>
      </c>
      <c r="AE17" s="330">
        <f t="shared" si="14"/>
        <v>-16.788321167883211</v>
      </c>
      <c r="AF17" s="330">
        <v>781.54</v>
      </c>
      <c r="AG17" s="330">
        <f t="shared" si="15"/>
        <v>16.788321167883211</v>
      </c>
      <c r="AH17" s="330">
        <f t="shared" si="16"/>
        <v>0</v>
      </c>
      <c r="AI17" s="330">
        <v>-39.24</v>
      </c>
      <c r="AJ17" s="330">
        <v>0</v>
      </c>
      <c r="AK17" s="330">
        <f t="shared" si="17"/>
        <v>3.9240000000000004E-2</v>
      </c>
      <c r="AL17" s="330">
        <v>3.8020000000000005E-2</v>
      </c>
      <c r="AM17" s="330">
        <v>0</v>
      </c>
      <c r="AN17" s="330">
        <f t="shared" si="18"/>
        <v>3.8020000000000005E-2</v>
      </c>
      <c r="AO17" s="330">
        <v>148.07</v>
      </c>
      <c r="AP17" s="330">
        <v>25.39</v>
      </c>
      <c r="AQ17" s="330">
        <f t="shared" si="19"/>
        <v>0.12268</v>
      </c>
      <c r="AR17" s="336">
        <v>0.26135000000000003</v>
      </c>
      <c r="AS17" s="330">
        <v>5.8209999999999998E-2</v>
      </c>
      <c r="AT17" s="336">
        <f t="shared" si="20"/>
        <v>0.20314000000000004</v>
      </c>
      <c r="AU17" s="336">
        <v>0.21230000000000002</v>
      </c>
      <c r="AV17" s="330">
        <v>4.2779999999999999E-2</v>
      </c>
      <c r="AW17" s="336">
        <f t="shared" si="21"/>
        <v>0.16952</v>
      </c>
      <c r="AX17" s="336">
        <v>0.16804000000000002</v>
      </c>
      <c r="AY17" s="330">
        <v>3.304E-2</v>
      </c>
      <c r="AZ17" s="336">
        <f t="shared" si="22"/>
        <v>0.13500000000000001</v>
      </c>
    </row>
    <row r="18" spans="4:52">
      <c r="D18" s="335">
        <v>6666010185</v>
      </c>
      <c r="E18" s="330">
        <v>0</v>
      </c>
      <c r="F18" s="330">
        <v>0</v>
      </c>
      <c r="G18" s="330">
        <v>0</v>
      </c>
      <c r="H18" s="330">
        <f t="shared" si="0"/>
        <v>0</v>
      </c>
      <c r="I18" s="330">
        <f t="shared" si="1"/>
        <v>0</v>
      </c>
      <c r="J18" s="330">
        <v>0</v>
      </c>
      <c r="K18" s="330">
        <f t="shared" si="2"/>
        <v>0</v>
      </c>
      <c r="L18" s="330">
        <v>0</v>
      </c>
      <c r="M18" s="330">
        <f t="shared" si="3"/>
        <v>0</v>
      </c>
      <c r="N18" s="330">
        <f t="shared" si="4"/>
        <v>0</v>
      </c>
      <c r="O18" s="330">
        <v>0</v>
      </c>
      <c r="P18" s="330">
        <f t="shared" si="5"/>
        <v>0</v>
      </c>
      <c r="Q18" s="330">
        <v>0</v>
      </c>
      <c r="R18" s="330">
        <f t="shared" si="6"/>
        <v>0</v>
      </c>
      <c r="S18" s="330">
        <f t="shared" si="7"/>
        <v>0</v>
      </c>
      <c r="T18" s="330">
        <v>0</v>
      </c>
      <c r="U18" s="330">
        <f t="shared" si="8"/>
        <v>0</v>
      </c>
      <c r="V18" s="330">
        <v>0</v>
      </c>
      <c r="W18" s="330">
        <f t="shared" si="9"/>
        <v>0</v>
      </c>
      <c r="X18" s="330">
        <f t="shared" si="10"/>
        <v>0</v>
      </c>
      <c r="Y18" s="330">
        <v>-0.02</v>
      </c>
      <c r="Z18" s="330">
        <f t="shared" si="11"/>
        <v>-4.5176708696064658E-4</v>
      </c>
      <c r="AA18" s="330">
        <v>0</v>
      </c>
      <c r="AB18" s="330">
        <f t="shared" si="12"/>
        <v>0</v>
      </c>
      <c r="AC18" s="330">
        <f t="shared" si="13"/>
        <v>4.5176708696064658E-7</v>
      </c>
      <c r="AD18" s="330">
        <v>-244.84</v>
      </c>
      <c r="AE18" s="330">
        <f t="shared" si="14"/>
        <v>-5.2594269707814387</v>
      </c>
      <c r="AF18" s="330">
        <v>0</v>
      </c>
      <c r="AG18" s="330">
        <f t="shared" si="15"/>
        <v>0</v>
      </c>
      <c r="AH18" s="330">
        <f t="shared" si="16"/>
        <v>5.2594269707814389E-3</v>
      </c>
      <c r="AI18" s="330">
        <v>0</v>
      </c>
      <c r="AJ18" s="330">
        <v>0</v>
      </c>
      <c r="AK18" s="330">
        <f t="shared" si="17"/>
        <v>0</v>
      </c>
      <c r="AL18" s="330">
        <v>0</v>
      </c>
      <c r="AM18" s="330">
        <v>0</v>
      </c>
      <c r="AN18" s="330">
        <f t="shared" si="18"/>
        <v>0</v>
      </c>
      <c r="AO18" s="330">
        <v>0</v>
      </c>
      <c r="AP18" s="330">
        <v>0</v>
      </c>
      <c r="AQ18" s="330">
        <f t="shared" si="19"/>
        <v>0</v>
      </c>
      <c r="AR18" s="336">
        <v>0</v>
      </c>
      <c r="AS18" s="330">
        <v>0</v>
      </c>
      <c r="AT18" s="336">
        <f t="shared" si="20"/>
        <v>0</v>
      </c>
      <c r="AU18" s="336">
        <v>0</v>
      </c>
      <c r="AV18" s="330">
        <v>0</v>
      </c>
      <c r="AW18" s="336">
        <f t="shared" si="21"/>
        <v>0</v>
      </c>
      <c r="AX18" s="336">
        <v>0</v>
      </c>
      <c r="AY18" s="330">
        <v>0</v>
      </c>
      <c r="AZ18" s="336">
        <f t="shared" si="22"/>
        <v>0</v>
      </c>
    </row>
    <row r="19" spans="4:52">
      <c r="D19" s="335">
        <v>6666010196</v>
      </c>
      <c r="E19" s="330">
        <v>-196364.41</v>
      </c>
      <c r="F19" s="330">
        <v>-5280.8277126967232</v>
      </c>
      <c r="G19" s="330">
        <v>49250.78</v>
      </c>
      <c r="H19" s="330">
        <f t="shared" si="0"/>
        <v>1324.5011348845217</v>
      </c>
      <c r="I19" s="330">
        <f t="shared" si="1"/>
        <v>3.9563265778122014</v>
      </c>
      <c r="J19" s="330">
        <v>-208794.1</v>
      </c>
      <c r="K19" s="330">
        <f t="shared" si="2"/>
        <v>-5479.5848204912872</v>
      </c>
      <c r="L19" s="330">
        <v>49912.81</v>
      </c>
      <c r="M19" s="330">
        <f t="shared" si="3"/>
        <v>1309.909983203863</v>
      </c>
      <c r="N19" s="330">
        <f t="shared" si="4"/>
        <v>4.1696748372874248</v>
      </c>
      <c r="O19" s="330">
        <v>-228203.22999999998</v>
      </c>
      <c r="P19" s="330">
        <f t="shared" si="5"/>
        <v>-5606.6972303504253</v>
      </c>
      <c r="Q19" s="330">
        <v>59512.69</v>
      </c>
      <c r="R19" s="330">
        <f t="shared" si="6"/>
        <v>1462.1599974448368</v>
      </c>
      <c r="S19" s="330">
        <f t="shared" si="7"/>
        <v>4.1445372329055878</v>
      </c>
      <c r="T19" s="330">
        <v>-208045.25</v>
      </c>
      <c r="U19" s="330">
        <f t="shared" si="8"/>
        <v>-4762.3083473348315</v>
      </c>
      <c r="V19" s="330">
        <v>57843.03</v>
      </c>
      <c r="W19" s="330">
        <f t="shared" si="9"/>
        <v>1324.0693772347079</v>
      </c>
      <c r="X19" s="330">
        <f t="shared" si="10"/>
        <v>3.4382389701001239</v>
      </c>
      <c r="Y19" s="330">
        <v>-220706.02000000002</v>
      </c>
      <c r="Z19" s="330">
        <f t="shared" si="11"/>
        <v>-4985.3857865039099</v>
      </c>
      <c r="AA19" s="330">
        <v>73161.2</v>
      </c>
      <c r="AB19" s="330">
        <f t="shared" si="12"/>
        <v>1652.5911101272627</v>
      </c>
      <c r="AC19" s="330">
        <f t="shared" si="13"/>
        <v>3.3327946763766474</v>
      </c>
      <c r="AD19" s="330">
        <v>-213353.47000000003</v>
      </c>
      <c r="AE19" s="330">
        <f t="shared" si="14"/>
        <v>-4583.0623853447505</v>
      </c>
      <c r="AF19" s="330">
        <v>73861.540000000008</v>
      </c>
      <c r="AG19" s="330">
        <f t="shared" si="15"/>
        <v>1586.6254516396509</v>
      </c>
      <c r="AH19" s="330">
        <f t="shared" si="16"/>
        <v>2.9964369337050996</v>
      </c>
      <c r="AI19" s="330">
        <v>-4393.2999999999993</v>
      </c>
      <c r="AJ19" s="330">
        <v>1.5159400000000001</v>
      </c>
      <c r="AK19" s="330">
        <f t="shared" si="17"/>
        <v>2.877359999999999</v>
      </c>
      <c r="AL19" s="330">
        <v>4.2393999999999998</v>
      </c>
      <c r="AM19" s="330">
        <v>1460.6100000000001</v>
      </c>
      <c r="AN19" s="330">
        <f t="shared" si="18"/>
        <v>2.7787899999999999</v>
      </c>
      <c r="AO19" s="330">
        <v>4213.9399999999996</v>
      </c>
      <c r="AP19" s="330">
        <v>1443.2199999999998</v>
      </c>
      <c r="AQ19" s="330">
        <f t="shared" si="19"/>
        <v>2.7707199999999998</v>
      </c>
      <c r="AR19" s="336">
        <v>4.1817000000000011</v>
      </c>
      <c r="AS19" s="330">
        <v>1.4546299999999999</v>
      </c>
      <c r="AT19" s="336">
        <f t="shared" si="20"/>
        <v>2.7270700000000012</v>
      </c>
      <c r="AU19" s="336">
        <v>3.98888</v>
      </c>
      <c r="AV19" s="330">
        <v>1.4334500000000001</v>
      </c>
      <c r="AW19" s="336">
        <f t="shared" si="21"/>
        <v>2.5554299999999999</v>
      </c>
      <c r="AX19" s="336">
        <v>3.8809699999999996</v>
      </c>
      <c r="AY19" s="330">
        <v>1.3778600000000001</v>
      </c>
      <c r="AZ19" s="336">
        <f t="shared" si="22"/>
        <v>2.5031099999999995</v>
      </c>
    </row>
    <row r="20" spans="4:52">
      <c r="D20" s="335">
        <v>6666010199</v>
      </c>
      <c r="E20" s="330">
        <v>-349126.19999999995</v>
      </c>
      <c r="F20" s="330">
        <v>-9389.0502468777231</v>
      </c>
      <c r="G20" s="330">
        <v>49372.62</v>
      </c>
      <c r="H20" s="330">
        <f t="shared" si="0"/>
        <v>1327.7777777777781</v>
      </c>
      <c r="I20" s="330">
        <f t="shared" si="1"/>
        <v>8.0612724690999453</v>
      </c>
      <c r="J20" s="330">
        <v>-86704.200000000026</v>
      </c>
      <c r="K20" s="330">
        <f t="shared" si="2"/>
        <v>-2275.461893764435</v>
      </c>
      <c r="L20" s="330">
        <v>8800.5500000000011</v>
      </c>
      <c r="M20" s="330">
        <f t="shared" si="3"/>
        <v>230.96131639722867</v>
      </c>
      <c r="N20" s="330">
        <f t="shared" si="4"/>
        <v>2.0445005773672063</v>
      </c>
      <c r="O20" s="330">
        <v>-130107.94</v>
      </c>
      <c r="P20" s="330">
        <f t="shared" si="5"/>
        <v>-3196.6060552455783</v>
      </c>
      <c r="Q20" s="330">
        <v>39020.080000000002</v>
      </c>
      <c r="R20" s="330">
        <f t="shared" si="6"/>
        <v>958.67957024119266</v>
      </c>
      <c r="S20" s="330">
        <f t="shared" si="7"/>
        <v>2.2379264850043854</v>
      </c>
      <c r="T20" s="330">
        <v>742726.07999999984</v>
      </c>
      <c r="U20" s="330">
        <f t="shared" si="8"/>
        <v>17001.544666688027</v>
      </c>
      <c r="V20" s="330">
        <v>3863.5499999999997</v>
      </c>
      <c r="W20" s="330">
        <f t="shared" si="9"/>
        <v>88.439492924474308</v>
      </c>
      <c r="X20" s="330">
        <f t="shared" si="10"/>
        <v>-17.089984159612502</v>
      </c>
      <c r="Y20" s="330">
        <v>-139510.35</v>
      </c>
      <c r="Z20" s="330">
        <f t="shared" si="11"/>
        <v>-3151.3092210180121</v>
      </c>
      <c r="AA20" s="330">
        <v>70322.98000000001</v>
      </c>
      <c r="AB20" s="330">
        <f t="shared" si="12"/>
        <v>1588.4803910495907</v>
      </c>
      <c r="AC20" s="330">
        <f t="shared" si="13"/>
        <v>1.5628288299684214</v>
      </c>
      <c r="AD20" s="330">
        <v>-84652.68</v>
      </c>
      <c r="AE20" s="330">
        <f t="shared" si="14"/>
        <v>-1818.430764339693</v>
      </c>
      <c r="AF20" s="330">
        <v>47641.14</v>
      </c>
      <c r="AG20" s="330">
        <f t="shared" si="15"/>
        <v>1023.3830119048131</v>
      </c>
      <c r="AH20" s="330">
        <f t="shared" si="16"/>
        <v>0.79504775243487991</v>
      </c>
      <c r="AI20" s="330">
        <v>-2512.6</v>
      </c>
      <c r="AJ20" s="330">
        <v>0.20505999999999999</v>
      </c>
      <c r="AK20" s="330">
        <f t="shared" si="17"/>
        <v>2.3075399999999999</v>
      </c>
      <c r="AL20" s="330">
        <v>0.99430999999999992</v>
      </c>
      <c r="AM20" s="330">
        <v>150.51</v>
      </c>
      <c r="AN20" s="330">
        <f t="shared" si="18"/>
        <v>0.84379999999999988</v>
      </c>
      <c r="AO20" s="330">
        <v>1575.49</v>
      </c>
      <c r="AP20" s="330">
        <v>95.550000000000026</v>
      </c>
      <c r="AQ20" s="330">
        <f t="shared" si="19"/>
        <v>1.47994</v>
      </c>
      <c r="AR20" s="336">
        <v>1.97621</v>
      </c>
      <c r="AS20" s="330">
        <v>0.10720999999999999</v>
      </c>
      <c r="AT20" s="336">
        <f t="shared" si="20"/>
        <v>1.869</v>
      </c>
      <c r="AU20" s="336">
        <v>2.4792199999999998</v>
      </c>
      <c r="AV20" s="330">
        <v>1.4809400000000001</v>
      </c>
      <c r="AW20" s="336">
        <f t="shared" si="21"/>
        <v>0.99827999999999961</v>
      </c>
      <c r="AX20" s="336">
        <v>0.78777999999999981</v>
      </c>
      <c r="AY20" s="330">
        <v>-0.56444000000000005</v>
      </c>
      <c r="AZ20" s="336">
        <f t="shared" si="22"/>
        <v>1.35222</v>
      </c>
    </row>
    <row r="21" spans="4:52">
      <c r="D21" s="335">
        <v>6666010207</v>
      </c>
      <c r="E21" s="330">
        <v>-17865.339999999997</v>
      </c>
      <c r="F21" s="330">
        <v>-480.45255537268309</v>
      </c>
      <c r="G21" s="330">
        <v>6254.0599999999995</v>
      </c>
      <c r="H21" s="330">
        <f t="shared" si="0"/>
        <v>168.19042394122266</v>
      </c>
      <c r="I21" s="330">
        <f t="shared" si="1"/>
        <v>0.31226213143146042</v>
      </c>
      <c r="J21" s="330">
        <v>-18631.89</v>
      </c>
      <c r="K21" s="330">
        <f t="shared" si="2"/>
        <v>-488.97464833088389</v>
      </c>
      <c r="L21" s="330">
        <v>6277.5399999999991</v>
      </c>
      <c r="M21" s="330">
        <f t="shared" si="3"/>
        <v>164.74753306739447</v>
      </c>
      <c r="N21" s="330">
        <f t="shared" si="4"/>
        <v>0.32422711526348941</v>
      </c>
      <c r="O21" s="330">
        <v>-20252.190000000002</v>
      </c>
      <c r="P21" s="330">
        <f t="shared" si="5"/>
        <v>-497.57357764625243</v>
      </c>
      <c r="Q21" s="330">
        <v>6911.75</v>
      </c>
      <c r="R21" s="330">
        <f t="shared" si="6"/>
        <v>169.813939889784</v>
      </c>
      <c r="S21" s="330">
        <f t="shared" si="7"/>
        <v>0.32775963775646849</v>
      </c>
      <c r="T21" s="330">
        <v>-19275.919999999998</v>
      </c>
      <c r="U21" s="330">
        <f t="shared" si="8"/>
        <v>-441.23994524536573</v>
      </c>
      <c r="V21" s="330">
        <v>6739.26</v>
      </c>
      <c r="W21" s="330">
        <f t="shared" si="9"/>
        <v>154.26660379345233</v>
      </c>
      <c r="X21" s="330">
        <f t="shared" si="10"/>
        <v>0.28697334145191339</v>
      </c>
      <c r="Y21" s="330">
        <v>-20357.37</v>
      </c>
      <c r="Z21" s="330">
        <f t="shared" si="11"/>
        <v>-459.83948715400282</v>
      </c>
      <c r="AA21" s="330">
        <v>7131.72</v>
      </c>
      <c r="AB21" s="330">
        <f t="shared" si="12"/>
        <v>161.09381847094912</v>
      </c>
      <c r="AC21" s="330">
        <f t="shared" si="13"/>
        <v>0.29874566868305374</v>
      </c>
      <c r="AD21" s="330">
        <v>-19728.419999999998</v>
      </c>
      <c r="AE21" s="330">
        <f t="shared" si="14"/>
        <v>-423.78771540150279</v>
      </c>
      <c r="AF21" s="330">
        <v>7273.04</v>
      </c>
      <c r="AG21" s="330">
        <f t="shared" si="15"/>
        <v>156.23273458410486</v>
      </c>
      <c r="AH21" s="330">
        <f t="shared" si="16"/>
        <v>0.26755498081739792</v>
      </c>
      <c r="AI21" s="330">
        <v>-403.91</v>
      </c>
      <c r="AJ21" s="330">
        <v>0.14712999999999998</v>
      </c>
      <c r="AK21" s="330">
        <f t="shared" si="17"/>
        <v>0.25678000000000006</v>
      </c>
      <c r="AL21" s="330">
        <v>0.3901</v>
      </c>
      <c r="AM21" s="330">
        <v>141.51999999999998</v>
      </c>
      <c r="AN21" s="330">
        <f t="shared" si="18"/>
        <v>0.24858000000000002</v>
      </c>
      <c r="AO21" s="330">
        <v>387.34</v>
      </c>
      <c r="AP21" s="330">
        <v>140.09</v>
      </c>
      <c r="AQ21" s="330">
        <f t="shared" si="19"/>
        <v>0.24724999999999997</v>
      </c>
      <c r="AR21" s="336">
        <v>0.38460999999999995</v>
      </c>
      <c r="AS21" s="330">
        <v>0.14132999999999998</v>
      </c>
      <c r="AT21" s="336">
        <f t="shared" si="20"/>
        <v>0.24327999999999997</v>
      </c>
      <c r="AU21" s="336">
        <v>0.36314999999999997</v>
      </c>
      <c r="AV21" s="330">
        <v>0.13917999999999997</v>
      </c>
      <c r="AW21" s="336">
        <f t="shared" si="21"/>
        <v>0.22397</v>
      </c>
      <c r="AX21" s="336">
        <v>0.35303999999999996</v>
      </c>
      <c r="AY21" s="330">
        <v>0.13322000000000001</v>
      </c>
      <c r="AZ21" s="336">
        <f t="shared" si="22"/>
        <v>0.21981999999999996</v>
      </c>
    </row>
    <row r="22" spans="4:52">
      <c r="D22" s="335">
        <v>6666010227</v>
      </c>
      <c r="E22" s="330">
        <v>-19910.34</v>
      </c>
      <c r="F22" s="330">
        <v>-535.44873656694745</v>
      </c>
      <c r="G22" s="330">
        <v>6384.6200000000008</v>
      </c>
      <c r="H22" s="330">
        <f t="shared" si="0"/>
        <v>171.70157377825115</v>
      </c>
      <c r="I22" s="330">
        <f t="shared" si="1"/>
        <v>0.36374716278869629</v>
      </c>
      <c r="J22" s="330">
        <v>-15867.579999999998</v>
      </c>
      <c r="K22" s="330">
        <f t="shared" si="2"/>
        <v>-416.42819651480153</v>
      </c>
      <c r="L22" s="330">
        <v>5690.51</v>
      </c>
      <c r="M22" s="330">
        <f t="shared" si="3"/>
        <v>149.34153894604242</v>
      </c>
      <c r="N22" s="330">
        <f t="shared" si="4"/>
        <v>0.2670866575687591</v>
      </c>
      <c r="O22" s="330">
        <v>-86887.72</v>
      </c>
      <c r="P22" s="330">
        <f t="shared" si="5"/>
        <v>-2134.7337593576713</v>
      </c>
      <c r="Q22" s="330">
        <v>6354.52</v>
      </c>
      <c r="R22" s="330">
        <f t="shared" si="6"/>
        <v>156.12342421361166</v>
      </c>
      <c r="S22" s="330">
        <f t="shared" si="7"/>
        <v>1.9786103351440598</v>
      </c>
      <c r="T22" s="330">
        <v>-17833.060000000001</v>
      </c>
      <c r="U22" s="330">
        <f t="shared" si="8"/>
        <v>-408.21182169034336</v>
      </c>
      <c r="V22" s="330">
        <v>6400.23</v>
      </c>
      <c r="W22" s="330">
        <f t="shared" si="9"/>
        <v>146.50595845789707</v>
      </c>
      <c r="X22" s="330">
        <f t="shared" si="10"/>
        <v>0.26170586323244627</v>
      </c>
      <c r="Y22" s="330">
        <v>-18468.510000000002</v>
      </c>
      <c r="Z22" s="330">
        <f t="shared" si="11"/>
        <v>-417.17324816017856</v>
      </c>
      <c r="AA22" s="330">
        <v>6681.42</v>
      </c>
      <c r="AB22" s="330">
        <f t="shared" si="12"/>
        <v>150.92228250803015</v>
      </c>
      <c r="AC22" s="330">
        <f t="shared" si="13"/>
        <v>0.2662509656521484</v>
      </c>
      <c r="AD22" s="330">
        <v>-18895.760000000002</v>
      </c>
      <c r="AE22" s="330">
        <f t="shared" si="14"/>
        <v>-405.90128156107289</v>
      </c>
      <c r="AF22" s="330">
        <v>6927.7100000000009</v>
      </c>
      <c r="AG22" s="330">
        <f t="shared" si="15"/>
        <v>148.81467415353816</v>
      </c>
      <c r="AH22" s="330">
        <f t="shared" si="16"/>
        <v>0.25708660740753475</v>
      </c>
      <c r="AI22" s="330">
        <v>-9174.7899999999991</v>
      </c>
      <c r="AJ22" s="330">
        <v>0.13103000000000001</v>
      </c>
      <c r="AK22" s="330">
        <f t="shared" si="17"/>
        <v>9.0437599999999989</v>
      </c>
      <c r="AL22" s="330">
        <v>0.45344000000000001</v>
      </c>
      <c r="AM22" s="330">
        <v>153.95000000000002</v>
      </c>
      <c r="AN22" s="330">
        <f t="shared" si="18"/>
        <v>0.29949000000000003</v>
      </c>
      <c r="AO22" s="330">
        <v>455.39</v>
      </c>
      <c r="AP22" s="330">
        <v>155.67000000000002</v>
      </c>
      <c r="AQ22" s="330">
        <f t="shared" si="19"/>
        <v>0.29971999999999999</v>
      </c>
      <c r="AR22" s="336">
        <v>0.46836</v>
      </c>
      <c r="AS22" s="330">
        <v>0.15887999999999999</v>
      </c>
      <c r="AT22" s="336">
        <f t="shared" si="20"/>
        <v>0.30947999999999998</v>
      </c>
      <c r="AU22" s="336">
        <v>0.45789999999999997</v>
      </c>
      <c r="AV22" s="330">
        <v>0.16854</v>
      </c>
      <c r="AW22" s="336">
        <f t="shared" si="21"/>
        <v>0.28935999999999995</v>
      </c>
      <c r="AX22" s="336">
        <v>0.45725999999999994</v>
      </c>
      <c r="AY22" s="330">
        <v>0.16793</v>
      </c>
      <c r="AZ22" s="336">
        <f t="shared" si="22"/>
        <v>0.28932999999999998</v>
      </c>
    </row>
    <row r="23" spans="4:52">
      <c r="D23" s="335">
        <v>6666010302</v>
      </c>
      <c r="E23" s="330">
        <v>0.48</v>
      </c>
      <c r="F23" s="330">
        <v>1.2908639106722174E-2</v>
      </c>
      <c r="G23" s="330">
        <v>0</v>
      </c>
      <c r="H23" s="330">
        <f t="shared" si="0"/>
        <v>0</v>
      </c>
      <c r="I23" s="330">
        <f t="shared" si="1"/>
        <v>-1.2908639106722174E-5</v>
      </c>
      <c r="J23" s="330">
        <v>0.23</v>
      </c>
      <c r="K23" s="330">
        <f t="shared" si="2"/>
        <v>6.0361116943103092E-3</v>
      </c>
      <c r="L23" s="330">
        <v>0</v>
      </c>
      <c r="M23" s="330">
        <f t="shared" si="3"/>
        <v>0</v>
      </c>
      <c r="N23" s="330">
        <f t="shared" si="4"/>
        <v>-6.0361116943103088E-6</v>
      </c>
      <c r="O23" s="330">
        <v>17.010000000000002</v>
      </c>
      <c r="P23" s="330">
        <f t="shared" si="5"/>
        <v>0.41791660831558236</v>
      </c>
      <c r="Q23" s="330">
        <v>0</v>
      </c>
      <c r="R23" s="330">
        <f t="shared" si="6"/>
        <v>0</v>
      </c>
      <c r="S23" s="330">
        <f t="shared" si="7"/>
        <v>-4.1791660831558237E-4</v>
      </c>
      <c r="T23" s="330">
        <v>5.95</v>
      </c>
      <c r="U23" s="330">
        <f t="shared" si="8"/>
        <v>0.1361998635712291</v>
      </c>
      <c r="V23" s="330">
        <v>0</v>
      </c>
      <c r="W23" s="330">
        <f t="shared" si="9"/>
        <v>0</v>
      </c>
      <c r="X23" s="330">
        <f t="shared" si="10"/>
        <v>-1.3619986357122911E-4</v>
      </c>
      <c r="Y23" s="330">
        <v>1.57</v>
      </c>
      <c r="Z23" s="330">
        <f t="shared" si="11"/>
        <v>3.5463716326410759E-2</v>
      </c>
      <c r="AA23" s="330">
        <v>0</v>
      </c>
      <c r="AB23" s="330">
        <f t="shared" si="12"/>
        <v>0</v>
      </c>
      <c r="AC23" s="330">
        <f t="shared" si="13"/>
        <v>-3.5463716326410761E-5</v>
      </c>
      <c r="AD23" s="330">
        <v>-1.0900000000000001</v>
      </c>
      <c r="AE23" s="330">
        <f t="shared" si="14"/>
        <v>-2.3414374277698779E-2</v>
      </c>
      <c r="AF23" s="330">
        <v>0</v>
      </c>
      <c r="AG23" s="330">
        <f t="shared" si="15"/>
        <v>0</v>
      </c>
      <c r="AH23" s="330">
        <f t="shared" si="16"/>
        <v>2.3414374277698779E-5</v>
      </c>
      <c r="AI23" s="330">
        <v>0</v>
      </c>
      <c r="AJ23" s="330">
        <v>0</v>
      </c>
      <c r="AK23" s="330">
        <f t="shared" si="17"/>
        <v>0</v>
      </c>
      <c r="AL23" s="330">
        <v>0</v>
      </c>
      <c r="AM23" s="330">
        <v>0</v>
      </c>
      <c r="AN23" s="330">
        <f t="shared" si="18"/>
        <v>0</v>
      </c>
      <c r="AO23" s="330">
        <v>0</v>
      </c>
      <c r="AP23" s="330">
        <v>0</v>
      </c>
      <c r="AQ23" s="330">
        <f t="shared" si="19"/>
        <v>0</v>
      </c>
      <c r="AR23" s="336">
        <v>0</v>
      </c>
      <c r="AS23" s="330">
        <v>0</v>
      </c>
      <c r="AT23" s="336">
        <f t="shared" si="20"/>
        <v>0</v>
      </c>
      <c r="AU23" s="336">
        <v>0</v>
      </c>
      <c r="AV23" s="330">
        <v>0</v>
      </c>
      <c r="AW23" s="336">
        <f t="shared" si="21"/>
        <v>0</v>
      </c>
      <c r="AX23" s="336">
        <v>0</v>
      </c>
      <c r="AY23" s="330">
        <v>0</v>
      </c>
      <c r="AZ23" s="336">
        <f t="shared" si="22"/>
        <v>0</v>
      </c>
    </row>
    <row r="24" spans="4:52">
      <c r="D24" s="335">
        <v>6666010314</v>
      </c>
      <c r="E24" s="330">
        <v>-11230.2</v>
      </c>
      <c r="F24" s="330">
        <v>-302.01374770064871</v>
      </c>
      <c r="G24" s="330">
        <v>3592.95</v>
      </c>
      <c r="H24" s="330">
        <f t="shared" si="0"/>
        <v>96.625197663536326</v>
      </c>
      <c r="I24" s="330">
        <f t="shared" si="1"/>
        <v>0.2053885500371124</v>
      </c>
      <c r="J24" s="330">
        <v>-103585.94</v>
      </c>
      <c r="K24" s="330">
        <f t="shared" si="2"/>
        <v>-2718.5056686961998</v>
      </c>
      <c r="L24" s="330">
        <v>0</v>
      </c>
      <c r="M24" s="330">
        <f t="shared" si="3"/>
        <v>0</v>
      </c>
      <c r="N24" s="330">
        <f t="shared" si="4"/>
        <v>2.7185056686961997</v>
      </c>
      <c r="O24" s="330">
        <v>78891.399999999994</v>
      </c>
      <c r="P24" s="330">
        <f t="shared" si="5"/>
        <v>1938.273151867603</v>
      </c>
      <c r="Q24" s="330">
        <v>0</v>
      </c>
      <c r="R24" s="330">
        <f t="shared" si="6"/>
        <v>0</v>
      </c>
      <c r="S24" s="330">
        <f t="shared" si="7"/>
        <v>-1.9382731518676031</v>
      </c>
      <c r="T24" s="330">
        <v>0</v>
      </c>
      <c r="U24" s="330">
        <f t="shared" si="8"/>
        <v>0</v>
      </c>
      <c r="V24" s="330">
        <v>0</v>
      </c>
      <c r="W24" s="330">
        <f t="shared" si="9"/>
        <v>0</v>
      </c>
      <c r="X24" s="330">
        <f t="shared" si="10"/>
        <v>0</v>
      </c>
      <c r="Y24" s="330">
        <v>0</v>
      </c>
      <c r="Z24" s="330">
        <f t="shared" si="11"/>
        <v>0</v>
      </c>
      <c r="AA24" s="330">
        <v>0</v>
      </c>
      <c r="AB24" s="330">
        <f t="shared" si="12"/>
        <v>0</v>
      </c>
      <c r="AC24" s="330">
        <f t="shared" si="13"/>
        <v>0</v>
      </c>
      <c r="AD24" s="330">
        <v>0</v>
      </c>
      <c r="AE24" s="330">
        <f t="shared" si="14"/>
        <v>0</v>
      </c>
      <c r="AF24" s="330">
        <v>0</v>
      </c>
      <c r="AG24" s="330">
        <f t="shared" si="15"/>
        <v>0</v>
      </c>
      <c r="AH24" s="330">
        <f t="shared" si="16"/>
        <v>0</v>
      </c>
      <c r="AI24" s="330">
        <v>2.5</v>
      </c>
      <c r="AJ24" s="330">
        <v>0</v>
      </c>
      <c r="AK24" s="330">
        <f t="shared" si="17"/>
        <v>-2.5000000000000001E-3</v>
      </c>
      <c r="AL24" s="330">
        <v>0</v>
      </c>
      <c r="AM24" s="330">
        <v>0</v>
      </c>
      <c r="AN24" s="330">
        <f t="shared" si="18"/>
        <v>0</v>
      </c>
      <c r="AO24" s="330">
        <v>1888.44</v>
      </c>
      <c r="AP24" s="330">
        <v>1106.5900000000001</v>
      </c>
      <c r="AQ24" s="330">
        <f t="shared" si="19"/>
        <v>0.78184999999999993</v>
      </c>
      <c r="AR24" s="336">
        <v>-1.0000000000000001E-5</v>
      </c>
      <c r="AS24" s="330">
        <v>-1.0000000000000001E-5</v>
      </c>
      <c r="AT24" s="336">
        <f t="shared" si="20"/>
        <v>0</v>
      </c>
      <c r="AU24" s="336">
        <v>1.873E-2</v>
      </c>
      <c r="AV24" s="330">
        <v>1.883E-2</v>
      </c>
      <c r="AW24" s="336">
        <f t="shared" si="21"/>
        <v>-9.9999999999999395E-5</v>
      </c>
      <c r="AX24" s="336">
        <v>0</v>
      </c>
      <c r="AY24" s="330">
        <v>0</v>
      </c>
      <c r="AZ24" s="336">
        <f t="shared" si="22"/>
        <v>0</v>
      </c>
    </row>
    <row r="25" spans="4:52">
      <c r="D25" s="335">
        <v>6666010321</v>
      </c>
      <c r="E25" s="330">
        <v>0</v>
      </c>
      <c r="F25" s="330">
        <v>0</v>
      </c>
      <c r="G25" s="330">
        <v>0</v>
      </c>
      <c r="H25" s="330">
        <f t="shared" si="0"/>
        <v>0</v>
      </c>
      <c r="I25" s="330">
        <f t="shared" si="1"/>
        <v>0</v>
      </c>
      <c r="J25" s="330">
        <v>0</v>
      </c>
      <c r="K25" s="330">
        <f t="shared" si="2"/>
        <v>0</v>
      </c>
      <c r="L25" s="330">
        <v>0</v>
      </c>
      <c r="M25" s="330">
        <f t="shared" si="3"/>
        <v>0</v>
      </c>
      <c r="N25" s="330">
        <f t="shared" si="4"/>
        <v>0</v>
      </c>
      <c r="O25" s="330">
        <v>0</v>
      </c>
      <c r="P25" s="330">
        <f t="shared" si="5"/>
        <v>0</v>
      </c>
      <c r="Q25" s="330">
        <v>0</v>
      </c>
      <c r="R25" s="330">
        <f t="shared" si="6"/>
        <v>0</v>
      </c>
      <c r="S25" s="330">
        <f t="shared" si="7"/>
        <v>0</v>
      </c>
      <c r="T25" s="330">
        <v>0</v>
      </c>
      <c r="U25" s="330">
        <f t="shared" si="8"/>
        <v>0</v>
      </c>
      <c r="V25" s="330">
        <v>0</v>
      </c>
      <c r="W25" s="330">
        <f t="shared" si="9"/>
        <v>0</v>
      </c>
      <c r="X25" s="330">
        <f t="shared" si="10"/>
        <v>0</v>
      </c>
      <c r="Y25" s="330">
        <v>0</v>
      </c>
      <c r="Z25" s="330">
        <f t="shared" si="11"/>
        <v>0</v>
      </c>
      <c r="AA25" s="330">
        <v>0</v>
      </c>
      <c r="AB25" s="330">
        <f t="shared" si="12"/>
        <v>0</v>
      </c>
      <c r="AC25" s="330">
        <f t="shared" si="13"/>
        <v>0</v>
      </c>
      <c r="AD25" s="330">
        <v>-8226.99</v>
      </c>
      <c r="AE25" s="330">
        <f t="shared" si="14"/>
        <v>-176.7246082925551</v>
      </c>
      <c r="AF25" s="330">
        <v>0</v>
      </c>
      <c r="AG25" s="330">
        <f t="shared" si="15"/>
        <v>0</v>
      </c>
      <c r="AH25" s="330">
        <f t="shared" si="16"/>
        <v>0.1767246082925551</v>
      </c>
      <c r="AI25" s="330">
        <v>0</v>
      </c>
      <c r="AJ25" s="330">
        <v>0</v>
      </c>
      <c r="AK25" s="330">
        <f t="shared" si="17"/>
        <v>0</v>
      </c>
      <c r="AL25" s="330">
        <v>0</v>
      </c>
      <c r="AM25" s="330">
        <v>0</v>
      </c>
      <c r="AN25" s="330">
        <f t="shared" si="18"/>
        <v>0</v>
      </c>
      <c r="AO25" s="330">
        <v>0</v>
      </c>
      <c r="AP25" s="330">
        <v>0</v>
      </c>
      <c r="AQ25" s="330">
        <f t="shared" si="19"/>
        <v>0</v>
      </c>
      <c r="AR25" s="336">
        <v>0</v>
      </c>
      <c r="AS25" s="330">
        <v>0</v>
      </c>
      <c r="AT25" s="336">
        <f t="shared" si="20"/>
        <v>0</v>
      </c>
      <c r="AU25" s="336">
        <v>0</v>
      </c>
      <c r="AV25" s="330">
        <v>0</v>
      </c>
      <c r="AW25" s="336">
        <f t="shared" si="21"/>
        <v>0</v>
      </c>
      <c r="AX25" s="336">
        <v>0</v>
      </c>
      <c r="AY25" s="330">
        <v>0</v>
      </c>
      <c r="AZ25" s="336">
        <f t="shared" si="22"/>
        <v>0</v>
      </c>
    </row>
    <row r="26" spans="4:52">
      <c r="D26" s="335">
        <v>6666010322</v>
      </c>
      <c r="E26" s="330">
        <v>-968.4</v>
      </c>
      <c r="F26" s="330">
        <v>-26.043179397811986</v>
      </c>
      <c r="G26" s="330">
        <v>758.4</v>
      </c>
      <c r="H26" s="330">
        <f t="shared" si="0"/>
        <v>20.395649788621036</v>
      </c>
      <c r="I26" s="330">
        <f t="shared" si="1"/>
        <v>5.6475296091909504E-3</v>
      </c>
      <c r="J26" s="330">
        <v>-867.08999999999992</v>
      </c>
      <c r="K26" s="330">
        <f t="shared" si="2"/>
        <v>-22.755878647910979</v>
      </c>
      <c r="L26" s="330">
        <v>46.81</v>
      </c>
      <c r="M26" s="330">
        <f t="shared" si="3"/>
        <v>1.2284799496115895</v>
      </c>
      <c r="N26" s="330">
        <f t="shared" si="4"/>
        <v>2.152739869829939E-2</v>
      </c>
      <c r="O26" s="330">
        <v>-12725.830000000002</v>
      </c>
      <c r="P26" s="330">
        <f t="shared" si="5"/>
        <v>-312.65935988246252</v>
      </c>
      <c r="Q26" s="330">
        <v>7481.34</v>
      </c>
      <c r="R26" s="330">
        <f t="shared" si="6"/>
        <v>183.80812689333914</v>
      </c>
      <c r="S26" s="330">
        <f t="shared" si="7"/>
        <v>0.12885123298912338</v>
      </c>
      <c r="T26" s="330">
        <v>-6736.6</v>
      </c>
      <c r="U26" s="330">
        <f t="shared" si="8"/>
        <v>-154.20571444267932</v>
      </c>
      <c r="V26" s="330">
        <v>3620.0200000000004</v>
      </c>
      <c r="W26" s="330">
        <f t="shared" si="9"/>
        <v>82.864912626070719</v>
      </c>
      <c r="X26" s="330">
        <f t="shared" si="10"/>
        <v>7.1340801816608609E-2</v>
      </c>
      <c r="Y26" s="330">
        <v>-21953.910000000003</v>
      </c>
      <c r="Z26" s="330">
        <f t="shared" si="11"/>
        <v>-495.90269840481045</v>
      </c>
      <c r="AA26" s="330">
        <v>1540.58</v>
      </c>
      <c r="AB26" s="330">
        <f t="shared" si="12"/>
        <v>34.799166941491642</v>
      </c>
      <c r="AC26" s="330">
        <f t="shared" si="13"/>
        <v>0.46110353146331878</v>
      </c>
      <c r="AD26" s="330">
        <v>-47021</v>
      </c>
      <c r="AE26" s="330">
        <f t="shared" si="14"/>
        <v>-1010.0617366162148</v>
      </c>
      <c r="AF26" s="330">
        <v>14369.29</v>
      </c>
      <c r="AG26" s="330">
        <f t="shared" si="15"/>
        <v>308.66782950898556</v>
      </c>
      <c r="AH26" s="330">
        <f t="shared" si="16"/>
        <v>0.70139390710722938</v>
      </c>
      <c r="AI26" s="330">
        <v>-583.63999999999987</v>
      </c>
      <c r="AJ26" s="330">
        <v>0.17524999999999999</v>
      </c>
      <c r="AK26" s="330">
        <f t="shared" si="17"/>
        <v>0.40838999999999981</v>
      </c>
      <c r="AL26" s="330">
        <v>0.49679000000000001</v>
      </c>
      <c r="AM26" s="330">
        <v>61.94</v>
      </c>
      <c r="AN26" s="330">
        <f t="shared" si="18"/>
        <v>0.43485000000000001</v>
      </c>
      <c r="AO26" s="330">
        <v>536.58000000000004</v>
      </c>
      <c r="AP26" s="330">
        <v>155.81</v>
      </c>
      <c r="AQ26" s="330">
        <f t="shared" si="19"/>
        <v>0.38077000000000005</v>
      </c>
      <c r="AR26" s="336">
        <v>0.29870999999999992</v>
      </c>
      <c r="AS26" s="330">
        <v>2.9999999999999997E-5</v>
      </c>
      <c r="AT26" s="336">
        <f t="shared" si="20"/>
        <v>0.29867999999999995</v>
      </c>
      <c r="AU26" s="336">
        <v>0.47352000000000005</v>
      </c>
      <c r="AV26" s="330">
        <v>8.9000000000000006E-4</v>
      </c>
      <c r="AW26" s="336">
        <f t="shared" si="21"/>
        <v>0.47263000000000005</v>
      </c>
      <c r="AX26" s="336">
        <v>1.3443100000000001</v>
      </c>
      <c r="AY26" s="330">
        <v>0.66793000000000002</v>
      </c>
      <c r="AZ26" s="336">
        <f t="shared" si="22"/>
        <v>0.67638000000000009</v>
      </c>
    </row>
    <row r="27" spans="4:52">
      <c r="D27" s="335">
        <v>6666020101</v>
      </c>
      <c r="E27" s="330">
        <v>0</v>
      </c>
      <c r="F27" s="330">
        <v>0</v>
      </c>
      <c r="G27" s="330">
        <v>0</v>
      </c>
      <c r="H27" s="330">
        <f t="shared" si="0"/>
        <v>0</v>
      </c>
      <c r="I27" s="330">
        <f t="shared" si="1"/>
        <v>0</v>
      </c>
      <c r="J27" s="330">
        <v>0</v>
      </c>
      <c r="K27" s="330">
        <f t="shared" si="2"/>
        <v>0</v>
      </c>
      <c r="L27" s="330">
        <v>0</v>
      </c>
      <c r="M27" s="330">
        <f t="shared" si="3"/>
        <v>0</v>
      </c>
      <c r="N27" s="330">
        <f t="shared" si="4"/>
        <v>0</v>
      </c>
      <c r="O27" s="330">
        <v>-39813.740000000005</v>
      </c>
      <c r="P27" s="330">
        <f t="shared" si="5"/>
        <v>-978.17890565305311</v>
      </c>
      <c r="Q27" s="330">
        <v>-2499.3100000000004</v>
      </c>
      <c r="R27" s="330">
        <f t="shared" si="6"/>
        <v>-61.405241524351453</v>
      </c>
      <c r="S27" s="330">
        <f t="shared" si="7"/>
        <v>1.0395841471774045</v>
      </c>
      <c r="T27" s="330">
        <v>-4516.76</v>
      </c>
      <c r="U27" s="330">
        <f t="shared" si="8"/>
        <v>-103.39194887125794</v>
      </c>
      <c r="V27" s="330">
        <v>0</v>
      </c>
      <c r="W27" s="330">
        <f t="shared" si="9"/>
        <v>0</v>
      </c>
      <c r="X27" s="330">
        <f t="shared" si="10"/>
        <v>0.10339194887125794</v>
      </c>
      <c r="Y27" s="330">
        <v>-976.44</v>
      </c>
      <c r="Z27" s="330">
        <f t="shared" si="11"/>
        <v>-22.056172719592688</v>
      </c>
      <c r="AA27" s="330">
        <v>0</v>
      </c>
      <c r="AB27" s="330">
        <f t="shared" si="12"/>
        <v>0</v>
      </c>
      <c r="AC27" s="330">
        <f t="shared" si="13"/>
        <v>2.2056172719592686E-2</v>
      </c>
      <c r="AD27" s="330">
        <v>-12043.4</v>
      </c>
      <c r="AE27" s="330">
        <f t="shared" si="14"/>
        <v>-258.70520658352058</v>
      </c>
      <c r="AF27" s="330">
        <v>11079</v>
      </c>
      <c r="AG27" s="330">
        <f t="shared" si="15"/>
        <v>237.98885561708693</v>
      </c>
      <c r="AH27" s="330">
        <f t="shared" si="16"/>
        <v>2.0716350966433653E-2</v>
      </c>
      <c r="AI27" s="330">
        <v>-159.64999999999998</v>
      </c>
      <c r="AJ27" s="330">
        <v>3.5409999999999997E-2</v>
      </c>
      <c r="AK27" s="330">
        <f t="shared" si="17"/>
        <v>0.12423999999999999</v>
      </c>
      <c r="AL27" s="330">
        <v>0</v>
      </c>
      <c r="AM27" s="330">
        <v>0</v>
      </c>
      <c r="AN27" s="330">
        <f t="shared" si="18"/>
        <v>0</v>
      </c>
      <c r="AO27" s="330">
        <v>198.19</v>
      </c>
      <c r="AP27" s="330">
        <v>198.19</v>
      </c>
      <c r="AQ27" s="330">
        <f t="shared" si="19"/>
        <v>0</v>
      </c>
      <c r="AR27" s="336">
        <v>-7.9299999999999995E-3</v>
      </c>
      <c r="AS27" s="330">
        <v>-7.9299999999999995E-3</v>
      </c>
      <c r="AT27" s="336">
        <f t="shared" si="20"/>
        <v>0</v>
      </c>
      <c r="AU27" s="336">
        <v>0.61441000000000012</v>
      </c>
      <c r="AV27" s="330">
        <v>0.54570000000000007</v>
      </c>
      <c r="AW27" s="336">
        <f t="shared" si="21"/>
        <v>6.8710000000000049E-2</v>
      </c>
      <c r="AX27" s="336">
        <v>0.19460999999999998</v>
      </c>
      <c r="AY27" s="330">
        <v>0.19416</v>
      </c>
      <c r="AZ27" s="336">
        <f t="shared" si="22"/>
        <v>4.499999999999782E-4</v>
      </c>
    </row>
    <row r="28" spans="4:52">
      <c r="D28" s="335">
        <v>6666020201</v>
      </c>
      <c r="E28" s="330">
        <v>-1425.06</v>
      </c>
      <c r="F28" s="330">
        <v>-38.324135927969799</v>
      </c>
      <c r="G28" s="330">
        <v>1272.72</v>
      </c>
      <c r="H28" s="330">
        <f t="shared" si="0"/>
        <v>34.227256591473846</v>
      </c>
      <c r="I28" s="330">
        <f t="shared" si="1"/>
        <v>4.0968793364959521E-3</v>
      </c>
      <c r="J28" s="330">
        <v>-7571.33</v>
      </c>
      <c r="K28" s="330">
        <f t="shared" si="2"/>
        <v>-198.70171110644552</v>
      </c>
      <c r="L28" s="330">
        <v>2135.5</v>
      </c>
      <c r="M28" s="330">
        <f t="shared" si="3"/>
        <v>56.043984883476803</v>
      </c>
      <c r="N28" s="330">
        <f t="shared" si="4"/>
        <v>0.14265772622296871</v>
      </c>
      <c r="O28" s="330">
        <v>-10799.36</v>
      </c>
      <c r="P28" s="330">
        <f t="shared" si="5"/>
        <v>-265.32815421393104</v>
      </c>
      <c r="Q28" s="330">
        <v>3834.6499999999996</v>
      </c>
      <c r="R28" s="330">
        <f t="shared" si="6"/>
        <v>94.213046565393739</v>
      </c>
      <c r="S28" s="330">
        <f t="shared" si="7"/>
        <v>0.1711151076485373</v>
      </c>
      <c r="T28" s="330">
        <v>-16749.760000000002</v>
      </c>
      <c r="U28" s="330">
        <f t="shared" si="8"/>
        <v>-383.41429022703034</v>
      </c>
      <c r="V28" s="330">
        <v>11577.53</v>
      </c>
      <c r="W28" s="330">
        <f t="shared" si="9"/>
        <v>265.01815235156505</v>
      </c>
      <c r="X28" s="330">
        <f t="shared" si="10"/>
        <v>0.11839613787546528</v>
      </c>
      <c r="Y28" s="330">
        <v>-7986.1399999999994</v>
      </c>
      <c r="Z28" s="330">
        <f t="shared" si="11"/>
        <v>-180.39376019299488</v>
      </c>
      <c r="AA28" s="330">
        <v>1517.02</v>
      </c>
      <c r="AB28" s="330">
        <f t="shared" si="12"/>
        <v>34.266985313052004</v>
      </c>
      <c r="AC28" s="330">
        <f t="shared" si="13"/>
        <v>0.14612677487994288</v>
      </c>
      <c r="AD28" s="330">
        <v>-12066.66</v>
      </c>
      <c r="AE28" s="330">
        <f t="shared" si="14"/>
        <v>-259.20485644196026</v>
      </c>
      <c r="AF28" s="330">
        <v>11269.289999999999</v>
      </c>
      <c r="AG28" s="330">
        <f t="shared" si="15"/>
        <v>242.07648982011744</v>
      </c>
      <c r="AH28" s="330">
        <f t="shared" si="16"/>
        <v>1.7128366621842816E-2</v>
      </c>
      <c r="AI28" s="330">
        <v>-249.69</v>
      </c>
      <c r="AJ28" s="330">
        <v>0.24512999999999999</v>
      </c>
      <c r="AK28" s="330">
        <f t="shared" si="17"/>
        <v>4.5600000000000085E-3</v>
      </c>
      <c r="AL28" s="330">
        <v>0.28961999999999993</v>
      </c>
      <c r="AM28" s="330">
        <v>85.46</v>
      </c>
      <c r="AN28" s="330">
        <f t="shared" si="18"/>
        <v>0.20415999999999995</v>
      </c>
      <c r="AO28" s="330">
        <v>274.52</v>
      </c>
      <c r="AP28" s="330">
        <v>65.42</v>
      </c>
      <c r="AQ28" s="330">
        <f t="shared" si="19"/>
        <v>0.20909999999999995</v>
      </c>
      <c r="AR28" s="336">
        <v>0.57159999999999989</v>
      </c>
      <c r="AS28" s="330">
        <v>0.33723999999999998</v>
      </c>
      <c r="AT28" s="336">
        <f t="shared" si="20"/>
        <v>0.2343599999999999</v>
      </c>
      <c r="AU28" s="336">
        <v>0.10749</v>
      </c>
      <c r="AV28" s="330">
        <v>7.5480000000000005E-2</v>
      </c>
      <c r="AW28" s="336">
        <f t="shared" si="21"/>
        <v>3.2009999999999997E-2</v>
      </c>
      <c r="AX28" s="336">
        <v>0.31330000000000002</v>
      </c>
      <c r="AY28" s="330">
        <v>0.14681</v>
      </c>
      <c r="AZ28" s="336">
        <f t="shared" si="22"/>
        <v>0.16649000000000003</v>
      </c>
    </row>
    <row r="29" spans="4:52">
      <c r="D29" s="335">
        <v>6666020202</v>
      </c>
      <c r="E29" s="330">
        <v>0</v>
      </c>
      <c r="F29" s="330">
        <v>0</v>
      </c>
      <c r="G29" s="330">
        <v>0</v>
      </c>
      <c r="H29" s="330">
        <f t="shared" si="0"/>
        <v>0</v>
      </c>
      <c r="I29" s="330">
        <f t="shared" si="1"/>
        <v>0</v>
      </c>
      <c r="J29" s="330">
        <v>-4316.3100000000004</v>
      </c>
      <c r="K29" s="330">
        <f t="shared" si="2"/>
        <v>-113.27708377073274</v>
      </c>
      <c r="L29" s="330">
        <v>0</v>
      </c>
      <c r="M29" s="330">
        <f t="shared" si="3"/>
        <v>0</v>
      </c>
      <c r="N29" s="330">
        <f t="shared" si="4"/>
        <v>0.11327708377073274</v>
      </c>
      <c r="O29" s="330">
        <v>0</v>
      </c>
      <c r="P29" s="330">
        <f t="shared" si="5"/>
        <v>0</v>
      </c>
      <c r="Q29" s="330">
        <v>0</v>
      </c>
      <c r="R29" s="330">
        <f t="shared" si="6"/>
        <v>0</v>
      </c>
      <c r="S29" s="330">
        <f t="shared" si="7"/>
        <v>0</v>
      </c>
      <c r="T29" s="330">
        <v>0</v>
      </c>
      <c r="U29" s="330">
        <f t="shared" si="8"/>
        <v>0</v>
      </c>
      <c r="V29" s="330">
        <v>0</v>
      </c>
      <c r="W29" s="330">
        <f t="shared" si="9"/>
        <v>0</v>
      </c>
      <c r="X29" s="330">
        <f t="shared" si="10"/>
        <v>0</v>
      </c>
      <c r="Y29" s="330">
        <v>0</v>
      </c>
      <c r="Z29" s="330">
        <f t="shared" si="11"/>
        <v>0</v>
      </c>
      <c r="AA29" s="330">
        <v>0</v>
      </c>
      <c r="AB29" s="330">
        <f t="shared" si="12"/>
        <v>0</v>
      </c>
      <c r="AC29" s="330">
        <f t="shared" si="13"/>
        <v>0</v>
      </c>
      <c r="AD29" s="330">
        <v>0</v>
      </c>
      <c r="AE29" s="330">
        <f t="shared" si="14"/>
        <v>0</v>
      </c>
      <c r="AF29" s="330">
        <v>0</v>
      </c>
      <c r="AG29" s="330">
        <f t="shared" si="15"/>
        <v>0</v>
      </c>
      <c r="AH29" s="330">
        <f t="shared" si="16"/>
        <v>0</v>
      </c>
      <c r="AI29" s="330">
        <v>0</v>
      </c>
      <c r="AJ29" s="330">
        <v>0</v>
      </c>
      <c r="AK29" s="330">
        <f t="shared" si="17"/>
        <v>0</v>
      </c>
      <c r="AL29" s="330">
        <v>0.14355000000000001</v>
      </c>
      <c r="AM29" s="330">
        <v>0</v>
      </c>
      <c r="AN29" s="330">
        <f t="shared" si="18"/>
        <v>0.14355000000000001</v>
      </c>
      <c r="AO29" s="330">
        <v>164.55</v>
      </c>
      <c r="AP29" s="330">
        <v>164.55</v>
      </c>
      <c r="AQ29" s="330">
        <f t="shared" si="19"/>
        <v>0</v>
      </c>
      <c r="AR29" s="336">
        <v>1.57E-3</v>
      </c>
      <c r="AS29" s="330">
        <v>1.57E-3</v>
      </c>
      <c r="AT29" s="336">
        <f t="shared" si="20"/>
        <v>0</v>
      </c>
      <c r="AU29" s="336">
        <v>-1.5499999999999999E-3</v>
      </c>
      <c r="AV29" s="330">
        <v>-1.5499999999999999E-3</v>
      </c>
      <c r="AW29" s="336">
        <f t="shared" si="21"/>
        <v>0</v>
      </c>
      <c r="AX29" s="336">
        <v>3.4300000000000003E-3</v>
      </c>
      <c r="AY29" s="330">
        <v>2.8700000000000002E-3</v>
      </c>
      <c r="AZ29" s="336">
        <f t="shared" si="22"/>
        <v>5.6000000000000017E-4</v>
      </c>
    </row>
    <row r="30" spans="4:52">
      <c r="D30" s="335">
        <v>6666020204</v>
      </c>
      <c r="E30" s="330">
        <v>-11324.500000000002</v>
      </c>
      <c r="F30" s="330">
        <v>-304.54975742515688</v>
      </c>
      <c r="G30" s="330">
        <v>0</v>
      </c>
      <c r="H30" s="330">
        <f t="shared" si="0"/>
        <v>0</v>
      </c>
      <c r="I30" s="330">
        <f t="shared" si="1"/>
        <v>0.30454975742515689</v>
      </c>
      <c r="J30" s="330">
        <v>-204263.73</v>
      </c>
      <c r="K30" s="330">
        <f t="shared" si="2"/>
        <v>-5360.6899538106236</v>
      </c>
      <c r="L30" s="330">
        <v>0</v>
      </c>
      <c r="M30" s="330">
        <f t="shared" si="3"/>
        <v>0</v>
      </c>
      <c r="N30" s="330">
        <f t="shared" si="4"/>
        <v>5.3606899538106232</v>
      </c>
      <c r="O30" s="330">
        <v>-168342.28</v>
      </c>
      <c r="P30" s="330">
        <f t="shared" si="5"/>
        <v>-4135.9808755856602</v>
      </c>
      <c r="Q30" s="330">
        <v>0</v>
      </c>
      <c r="R30" s="330">
        <f t="shared" si="6"/>
        <v>0</v>
      </c>
      <c r="S30" s="330">
        <f t="shared" si="7"/>
        <v>4.13598087558566</v>
      </c>
      <c r="T30" s="330">
        <v>-192355.61</v>
      </c>
      <c r="U30" s="330">
        <f t="shared" si="8"/>
        <v>-4403.1609813715204</v>
      </c>
      <c r="V30" s="330">
        <v>158.15</v>
      </c>
      <c r="W30" s="330">
        <f t="shared" si="9"/>
        <v>3.6201694829898963</v>
      </c>
      <c r="X30" s="330">
        <f t="shared" si="10"/>
        <v>4.3995408118885306</v>
      </c>
      <c r="Y30" s="330">
        <v>11410.61</v>
      </c>
      <c r="Z30" s="330">
        <f t="shared" si="11"/>
        <v>257.74690200720119</v>
      </c>
      <c r="AA30" s="330">
        <v>0</v>
      </c>
      <c r="AB30" s="330">
        <f t="shared" si="12"/>
        <v>0</v>
      </c>
      <c r="AC30" s="330">
        <f t="shared" si="13"/>
        <v>-0.25774690200720118</v>
      </c>
      <c r="AD30" s="330">
        <v>-235786.78</v>
      </c>
      <c r="AE30" s="330">
        <f t="shared" si="14"/>
        <v>-5064.9540519756147</v>
      </c>
      <c r="AF30" s="330">
        <v>0</v>
      </c>
      <c r="AG30" s="330">
        <f t="shared" si="15"/>
        <v>0</v>
      </c>
      <c r="AH30" s="330">
        <f t="shared" si="16"/>
        <v>5.0649540519756151</v>
      </c>
      <c r="AI30" s="330">
        <v>-247.44</v>
      </c>
      <c r="AJ30" s="330">
        <v>0.14958000000000002</v>
      </c>
      <c r="AK30" s="330">
        <f t="shared" si="17"/>
        <v>9.7859999999999975E-2</v>
      </c>
      <c r="AL30" s="330">
        <v>1.1638400000000002</v>
      </c>
      <c r="AM30" s="330">
        <v>0</v>
      </c>
      <c r="AN30" s="330">
        <f t="shared" si="18"/>
        <v>1.1638400000000002</v>
      </c>
      <c r="AO30" s="330">
        <v>6581.12</v>
      </c>
      <c r="AP30" s="330">
        <v>145.6</v>
      </c>
      <c r="AQ30" s="330">
        <f t="shared" si="19"/>
        <v>6.4355199999999995</v>
      </c>
      <c r="AR30" s="336">
        <v>0.61778999999999995</v>
      </c>
      <c r="AS30" s="330">
        <v>4.5010000000000001E-2</v>
      </c>
      <c r="AT30" s="336">
        <f t="shared" si="20"/>
        <v>0.57277999999999996</v>
      </c>
      <c r="AU30" s="336">
        <v>4.6298199999999996</v>
      </c>
      <c r="AV30" s="330">
        <v>0.41145000000000004</v>
      </c>
      <c r="AW30" s="336">
        <f t="shared" si="21"/>
        <v>4.2183699999999993</v>
      </c>
      <c r="AX30" s="336">
        <v>6.7781100000000007</v>
      </c>
      <c r="AY30" s="330">
        <v>0.25535999999999998</v>
      </c>
      <c r="AZ30" s="336">
        <f t="shared" si="22"/>
        <v>6.5227500000000012</v>
      </c>
    </row>
    <row r="31" spans="4:52">
      <c r="D31" s="335">
        <v>6666020301</v>
      </c>
      <c r="E31" s="330">
        <v>-147.22</v>
      </c>
      <c r="F31" s="330">
        <v>-3.9591871860242471</v>
      </c>
      <c r="G31" s="330">
        <v>147.22</v>
      </c>
      <c r="H31" s="330">
        <f t="shared" si="0"/>
        <v>3.9591871860242471</v>
      </c>
      <c r="I31" s="330">
        <f t="shared" si="1"/>
        <v>0</v>
      </c>
      <c r="J31" s="330">
        <v>-2932.6600000000003</v>
      </c>
      <c r="K31" s="330">
        <f t="shared" si="2"/>
        <v>-76.964623136678568</v>
      </c>
      <c r="L31" s="330">
        <v>2901.8</v>
      </c>
      <c r="M31" s="330">
        <f t="shared" si="3"/>
        <v>76.154734411085457</v>
      </c>
      <c r="N31" s="330">
        <f t="shared" si="4"/>
        <v>8.0988872559311178E-4</v>
      </c>
      <c r="O31" s="330">
        <v>-35379.520000000004</v>
      </c>
      <c r="P31" s="330">
        <f t="shared" si="5"/>
        <v>-869.23509713305771</v>
      </c>
      <c r="Q31" s="330">
        <v>8382.34</v>
      </c>
      <c r="R31" s="330">
        <f t="shared" si="6"/>
        <v>205.94468562892641</v>
      </c>
      <c r="S31" s="330">
        <f t="shared" si="7"/>
        <v>0.66329041150413126</v>
      </c>
      <c r="T31" s="330">
        <v>-31849.03</v>
      </c>
      <c r="U31" s="330">
        <f t="shared" si="8"/>
        <v>-729.04765392873651</v>
      </c>
      <c r="V31" s="330">
        <v>5800.05</v>
      </c>
      <c r="W31" s="330">
        <f t="shared" si="9"/>
        <v>132.7673981019004</v>
      </c>
      <c r="X31" s="330">
        <f t="shared" si="10"/>
        <v>0.59628025582683608</v>
      </c>
      <c r="Y31" s="330">
        <v>-19138.62</v>
      </c>
      <c r="Z31" s="330">
        <f t="shared" si="11"/>
        <v>-432.30993029233844</v>
      </c>
      <c r="AA31" s="330">
        <v>4285.6400000000003</v>
      </c>
      <c r="AB31" s="330">
        <f t="shared" si="12"/>
        <v>96.805554928101273</v>
      </c>
      <c r="AC31" s="330">
        <f t="shared" si="13"/>
        <v>0.33550437536423716</v>
      </c>
      <c r="AD31" s="330">
        <v>-19124.229999999996</v>
      </c>
      <c r="AE31" s="330">
        <f t="shared" si="14"/>
        <v>-410.80906329614237</v>
      </c>
      <c r="AF31" s="330">
        <v>4391.53</v>
      </c>
      <c r="AG31" s="330">
        <f t="shared" si="15"/>
        <v>94.334795478662841</v>
      </c>
      <c r="AH31" s="330">
        <f t="shared" si="16"/>
        <v>0.3164742678174795</v>
      </c>
      <c r="AI31" s="330">
        <v>-357.62000000000006</v>
      </c>
      <c r="AJ31" s="330">
        <v>0.10687999999999999</v>
      </c>
      <c r="AK31" s="330">
        <f t="shared" si="17"/>
        <v>0.25074000000000007</v>
      </c>
      <c r="AL31" s="330">
        <v>2.137E-2</v>
      </c>
      <c r="AM31" s="330">
        <v>29.2</v>
      </c>
      <c r="AN31" s="330">
        <f t="shared" si="18"/>
        <v>-7.8300000000000002E-3</v>
      </c>
      <c r="AO31" s="330">
        <v>2259.1600000000003</v>
      </c>
      <c r="AP31" s="330">
        <v>100.58999999999999</v>
      </c>
      <c r="AQ31" s="330">
        <f t="shared" si="19"/>
        <v>2.1585700000000001</v>
      </c>
      <c r="AR31" s="336">
        <v>0.55880000000000007</v>
      </c>
      <c r="AS31" s="330">
        <v>0.35160000000000002</v>
      </c>
      <c r="AT31" s="336">
        <f t="shared" si="20"/>
        <v>0.20720000000000005</v>
      </c>
      <c r="AU31" s="336">
        <v>-0.26928999999999997</v>
      </c>
      <c r="AV31" s="330">
        <v>-8.5730000000000001E-2</v>
      </c>
      <c r="AW31" s="336">
        <f t="shared" si="21"/>
        <v>-0.18355999999999997</v>
      </c>
      <c r="AX31" s="336">
        <v>5.5909999999999994E-2</v>
      </c>
      <c r="AY31" s="330">
        <v>0.16185999999999998</v>
      </c>
      <c r="AZ31" s="336">
        <f t="shared" si="22"/>
        <v>-0.10594999999999999</v>
      </c>
    </row>
    <row r="32" spans="4:52">
      <c r="D32" s="335">
        <v>6666020401</v>
      </c>
      <c r="E32" s="330">
        <v>-57482.89</v>
      </c>
      <c r="F32" s="330">
        <v>-1545.8872537946022</v>
      </c>
      <c r="G32" s="330">
        <v>0</v>
      </c>
      <c r="H32" s="330">
        <f t="shared" si="0"/>
        <v>0</v>
      </c>
      <c r="I32" s="330">
        <f t="shared" si="1"/>
        <v>1.5458872537946022</v>
      </c>
      <c r="J32" s="330">
        <v>0</v>
      </c>
      <c r="K32" s="330">
        <f t="shared" si="2"/>
        <v>0</v>
      </c>
      <c r="L32" s="330">
        <v>0</v>
      </c>
      <c r="M32" s="330">
        <f t="shared" si="3"/>
        <v>0</v>
      </c>
      <c r="N32" s="330">
        <f t="shared" si="4"/>
        <v>0</v>
      </c>
      <c r="O32" s="330">
        <v>-111535.72</v>
      </c>
      <c r="P32" s="330">
        <f t="shared" si="5"/>
        <v>-2740.3074549345361</v>
      </c>
      <c r="Q32" s="330">
        <v>2.54</v>
      </c>
      <c r="R32" s="330">
        <f t="shared" si="6"/>
        <v>6.2404949154707762E-2</v>
      </c>
      <c r="S32" s="330">
        <f t="shared" si="7"/>
        <v>2.7402450499853814</v>
      </c>
      <c r="T32" s="330">
        <v>-53631.19</v>
      </c>
      <c r="U32" s="330">
        <f t="shared" si="8"/>
        <v>-1227.6572707836415</v>
      </c>
      <c r="V32" s="330">
        <v>0</v>
      </c>
      <c r="W32" s="330">
        <f t="shared" si="9"/>
        <v>0</v>
      </c>
      <c r="X32" s="330">
        <f t="shared" si="10"/>
        <v>1.2276572707836415</v>
      </c>
      <c r="Y32" s="330">
        <v>-36853.769999999997</v>
      </c>
      <c r="Z32" s="330">
        <f t="shared" si="11"/>
        <v>-832.46601582088329</v>
      </c>
      <c r="AA32" s="330">
        <v>13.49</v>
      </c>
      <c r="AB32" s="330">
        <f t="shared" si="12"/>
        <v>0.30471690015495612</v>
      </c>
      <c r="AC32" s="330">
        <f t="shared" si="13"/>
        <v>0.83216129892072832</v>
      </c>
      <c r="AD32" s="330">
        <v>-45319.799999999996</v>
      </c>
      <c r="AE32" s="330">
        <f t="shared" si="14"/>
        <v>-973.51812788114944</v>
      </c>
      <c r="AF32" s="330">
        <v>0.27</v>
      </c>
      <c r="AG32" s="330">
        <f t="shared" si="15"/>
        <v>5.7998908761272205E-3</v>
      </c>
      <c r="AH32" s="330">
        <f t="shared" si="16"/>
        <v>0.97351232799027332</v>
      </c>
      <c r="AI32" s="330">
        <v>-312.84999999999854</v>
      </c>
      <c r="AJ32" s="330">
        <v>-0.70410000000000006</v>
      </c>
      <c r="AK32" s="330">
        <f t="shared" si="17"/>
        <v>1.0169499999999987</v>
      </c>
      <c r="AL32" s="330">
        <v>1.2266900000000001</v>
      </c>
      <c r="AM32" s="330">
        <v>0</v>
      </c>
      <c r="AN32" s="330">
        <f t="shared" si="18"/>
        <v>1.2266900000000001</v>
      </c>
      <c r="AO32" s="330">
        <v>1314.1599999999999</v>
      </c>
      <c r="AP32" s="330">
        <v>0</v>
      </c>
      <c r="AQ32" s="330">
        <f t="shared" si="19"/>
        <v>1.3141599999999998</v>
      </c>
      <c r="AR32" s="336">
        <v>-3.8375699999999999</v>
      </c>
      <c r="AS32" s="330">
        <v>8.5819999999999994E-2</v>
      </c>
      <c r="AT32" s="336">
        <f t="shared" si="20"/>
        <v>-3.9233899999999999</v>
      </c>
      <c r="AU32" s="336">
        <v>1.0342499999999981</v>
      </c>
      <c r="AV32" s="330">
        <v>-0.17788000000000101</v>
      </c>
      <c r="AW32" s="336">
        <f t="shared" si="21"/>
        <v>1.212129999999999</v>
      </c>
      <c r="AX32" s="336">
        <v>1.4778999999999989</v>
      </c>
      <c r="AY32" s="330">
        <v>8.7399999999999631E-2</v>
      </c>
      <c r="AZ32" s="336">
        <f t="shared" si="22"/>
        <v>1.3904999999999992</v>
      </c>
    </row>
    <row r="33" spans="4:52">
      <c r="D33" s="335">
        <v>6666020403</v>
      </c>
      <c r="E33" s="330">
        <v>-11902.92</v>
      </c>
      <c r="F33" s="330">
        <v>-320.10520540871983</v>
      </c>
      <c r="G33" s="330">
        <v>0</v>
      </c>
      <c r="H33" s="330">
        <f t="shared" si="0"/>
        <v>0</v>
      </c>
      <c r="I33" s="330">
        <f t="shared" si="1"/>
        <v>0.32010520540871984</v>
      </c>
      <c r="J33" s="330">
        <v>-23422.989999999998</v>
      </c>
      <c r="K33" s="330">
        <f t="shared" si="2"/>
        <v>-614.71210371614529</v>
      </c>
      <c r="L33" s="330">
        <v>0</v>
      </c>
      <c r="M33" s="330">
        <f t="shared" si="3"/>
        <v>0</v>
      </c>
      <c r="N33" s="330">
        <f t="shared" si="4"/>
        <v>0.61471210371614526</v>
      </c>
      <c r="O33" s="330">
        <v>-18724.980000000003</v>
      </c>
      <c r="P33" s="330">
        <f t="shared" si="5"/>
        <v>-460.0517420562677</v>
      </c>
      <c r="Q33" s="330">
        <v>0</v>
      </c>
      <c r="R33" s="330">
        <f t="shared" si="6"/>
        <v>0</v>
      </c>
      <c r="S33" s="330">
        <f t="shared" si="7"/>
        <v>0.4600517420562677</v>
      </c>
      <c r="T33" s="330">
        <v>-24540.65</v>
      </c>
      <c r="U33" s="330">
        <f t="shared" si="8"/>
        <v>-561.75347595786275</v>
      </c>
      <c r="V33" s="330">
        <v>0</v>
      </c>
      <c r="W33" s="330">
        <f t="shared" si="9"/>
        <v>0</v>
      </c>
      <c r="X33" s="330">
        <f t="shared" si="10"/>
        <v>0.56175347595786274</v>
      </c>
      <c r="Y33" s="330">
        <v>0</v>
      </c>
      <c r="Z33" s="330">
        <f t="shared" si="11"/>
        <v>0</v>
      </c>
      <c r="AA33" s="330">
        <v>0</v>
      </c>
      <c r="AB33" s="330">
        <f t="shared" si="12"/>
        <v>0</v>
      </c>
      <c r="AC33" s="330">
        <f t="shared" si="13"/>
        <v>0</v>
      </c>
      <c r="AD33" s="330">
        <v>0</v>
      </c>
      <c r="AE33" s="330">
        <f t="shared" si="14"/>
        <v>0</v>
      </c>
      <c r="AF33" s="330">
        <v>0</v>
      </c>
      <c r="AG33" s="330">
        <f t="shared" si="15"/>
        <v>0</v>
      </c>
      <c r="AH33" s="330">
        <f t="shared" si="16"/>
        <v>0</v>
      </c>
      <c r="AI33" s="330">
        <v>0</v>
      </c>
      <c r="AJ33" s="330">
        <v>0</v>
      </c>
      <c r="AK33" s="330">
        <f t="shared" si="17"/>
        <v>0</v>
      </c>
      <c r="AL33" s="330">
        <v>0</v>
      </c>
      <c r="AM33" s="330">
        <v>0</v>
      </c>
      <c r="AN33" s="330">
        <f t="shared" si="18"/>
        <v>0</v>
      </c>
      <c r="AO33" s="330">
        <v>0</v>
      </c>
      <c r="AP33" s="330">
        <v>0</v>
      </c>
      <c r="AQ33" s="330">
        <f t="shared" si="19"/>
        <v>0</v>
      </c>
      <c r="AR33" s="336">
        <v>0</v>
      </c>
      <c r="AS33" s="330">
        <v>0</v>
      </c>
      <c r="AT33" s="336">
        <f t="shared" si="20"/>
        <v>0</v>
      </c>
      <c r="AU33" s="336">
        <v>0</v>
      </c>
      <c r="AV33" s="330">
        <v>0</v>
      </c>
      <c r="AW33" s="336">
        <f t="shared" si="21"/>
        <v>0</v>
      </c>
      <c r="AX33" s="336">
        <v>0</v>
      </c>
      <c r="AY33" s="330">
        <v>0</v>
      </c>
      <c r="AZ33" s="336">
        <f t="shared" si="22"/>
        <v>0</v>
      </c>
    </row>
    <row r="34" spans="4:52">
      <c r="D34" s="335">
        <v>6666020405</v>
      </c>
      <c r="E34" s="330">
        <v>0</v>
      </c>
      <c r="F34" s="330">
        <v>0</v>
      </c>
      <c r="G34" s="330">
        <v>0</v>
      </c>
      <c r="H34" s="330">
        <f t="shared" si="0"/>
        <v>0</v>
      </c>
      <c r="I34" s="330">
        <f t="shared" si="1"/>
        <v>0</v>
      </c>
      <c r="J34" s="330">
        <v>0</v>
      </c>
      <c r="K34" s="330">
        <f t="shared" si="2"/>
        <v>0</v>
      </c>
      <c r="L34" s="330">
        <v>0</v>
      </c>
      <c r="M34" s="330">
        <f t="shared" si="3"/>
        <v>0</v>
      </c>
      <c r="N34" s="330">
        <f t="shared" si="4"/>
        <v>0</v>
      </c>
      <c r="O34" s="330">
        <v>0</v>
      </c>
      <c r="P34" s="330">
        <f t="shared" si="5"/>
        <v>0</v>
      </c>
      <c r="Q34" s="330">
        <v>0</v>
      </c>
      <c r="R34" s="330">
        <f t="shared" si="6"/>
        <v>0</v>
      </c>
      <c r="S34" s="330">
        <f t="shared" si="7"/>
        <v>0</v>
      </c>
      <c r="T34" s="330">
        <v>0</v>
      </c>
      <c r="U34" s="330">
        <f t="shared" si="8"/>
        <v>0</v>
      </c>
      <c r="V34" s="330">
        <v>0</v>
      </c>
      <c r="W34" s="330">
        <f t="shared" si="9"/>
        <v>0</v>
      </c>
      <c r="X34" s="330">
        <f t="shared" si="10"/>
        <v>0</v>
      </c>
      <c r="Y34" s="330">
        <v>0</v>
      </c>
      <c r="Z34" s="330">
        <f t="shared" si="11"/>
        <v>0</v>
      </c>
      <c r="AA34" s="330">
        <v>0</v>
      </c>
      <c r="AB34" s="330">
        <f t="shared" si="12"/>
        <v>0</v>
      </c>
      <c r="AC34" s="330">
        <f t="shared" si="13"/>
        <v>0</v>
      </c>
      <c r="AD34" s="330">
        <v>0</v>
      </c>
      <c r="AE34" s="330">
        <f t="shared" si="14"/>
        <v>0</v>
      </c>
      <c r="AF34" s="330">
        <v>0</v>
      </c>
      <c r="AG34" s="330">
        <f t="shared" si="15"/>
        <v>0</v>
      </c>
      <c r="AH34" s="330">
        <f t="shared" si="16"/>
        <v>0</v>
      </c>
      <c r="AI34" s="330">
        <v>-32.869999999999997</v>
      </c>
      <c r="AJ34" s="330">
        <v>0</v>
      </c>
      <c r="AK34" s="330">
        <f t="shared" si="17"/>
        <v>3.2869999999999996E-2</v>
      </c>
      <c r="AL34" s="330">
        <v>0</v>
      </c>
      <c r="AM34" s="330">
        <v>0</v>
      </c>
      <c r="AN34" s="330">
        <f t="shared" si="18"/>
        <v>0</v>
      </c>
      <c r="AO34" s="330">
        <v>0</v>
      </c>
      <c r="AP34" s="330">
        <v>0</v>
      </c>
      <c r="AQ34" s="330">
        <f t="shared" si="19"/>
        <v>0</v>
      </c>
      <c r="AR34" s="336">
        <v>0</v>
      </c>
      <c r="AS34" s="330">
        <v>0</v>
      </c>
      <c r="AT34" s="336">
        <f t="shared" si="20"/>
        <v>0</v>
      </c>
      <c r="AU34" s="336">
        <v>0</v>
      </c>
      <c r="AV34" s="330">
        <v>0</v>
      </c>
      <c r="AW34" s="336">
        <f t="shared" si="21"/>
        <v>0</v>
      </c>
      <c r="AX34" s="336">
        <v>0</v>
      </c>
      <c r="AY34" s="330">
        <v>0</v>
      </c>
      <c r="AZ34" s="336">
        <f t="shared" si="22"/>
        <v>0</v>
      </c>
    </row>
    <row r="35" spans="4:52">
      <c r="D35" s="335">
        <v>6666020495</v>
      </c>
      <c r="E35" s="330">
        <v>-1179.2</v>
      </c>
      <c r="F35" s="330">
        <v>-31.712223405514145</v>
      </c>
      <c r="G35" s="330">
        <v>49.27</v>
      </c>
      <c r="H35" s="330">
        <f t="shared" si="0"/>
        <v>1.3250180183087534</v>
      </c>
      <c r="I35" s="330">
        <f t="shared" si="1"/>
        <v>3.038720538720539E-2</v>
      </c>
      <c r="J35" s="330">
        <v>-3709.4299999999994</v>
      </c>
      <c r="K35" s="330">
        <f t="shared" si="2"/>
        <v>-97.350146966197755</v>
      </c>
      <c r="L35" s="330">
        <v>153470.32</v>
      </c>
      <c r="M35" s="330">
        <f t="shared" si="3"/>
        <v>4027.6695360067188</v>
      </c>
      <c r="N35" s="330">
        <f t="shared" si="4"/>
        <v>-3.930319389040521</v>
      </c>
      <c r="O35" s="330">
        <v>-1629.87</v>
      </c>
      <c r="P35" s="330">
        <f t="shared" si="5"/>
        <v>-40.044076566450208</v>
      </c>
      <c r="Q35" s="330">
        <v>486.04</v>
      </c>
      <c r="R35" s="330">
        <f t="shared" si="6"/>
        <v>11.941457278407151</v>
      </c>
      <c r="S35" s="330">
        <f t="shared" si="7"/>
        <v>2.8102619288043057E-2</v>
      </c>
      <c r="T35" s="330">
        <v>-5445.44</v>
      </c>
      <c r="U35" s="330">
        <f t="shared" si="8"/>
        <v>-124.65011514038886</v>
      </c>
      <c r="V35" s="330">
        <v>233.83</v>
      </c>
      <c r="W35" s="330">
        <f t="shared" si="9"/>
        <v>5.3525401846824368</v>
      </c>
      <c r="X35" s="330">
        <f t="shared" si="10"/>
        <v>0.11929757495570642</v>
      </c>
      <c r="Y35" s="330">
        <v>-1395.4800000000002</v>
      </c>
      <c r="Z35" s="330">
        <f t="shared" si="11"/>
        <v>-31.521596725592158</v>
      </c>
      <c r="AA35" s="330">
        <v>44.7</v>
      </c>
      <c r="AB35" s="330">
        <f t="shared" si="12"/>
        <v>1.0096994393570451</v>
      </c>
      <c r="AC35" s="330">
        <f t="shared" si="13"/>
        <v>3.0511897286235112E-2</v>
      </c>
      <c r="AD35" s="330">
        <v>-3.68</v>
      </c>
      <c r="AE35" s="330">
        <f t="shared" si="14"/>
        <v>-7.9050364533882103E-2</v>
      </c>
      <c r="AF35" s="330">
        <v>0</v>
      </c>
      <c r="AG35" s="330">
        <f t="shared" si="15"/>
        <v>0</v>
      </c>
      <c r="AH35" s="330">
        <f t="shared" si="16"/>
        <v>7.9050364533882108E-5</v>
      </c>
      <c r="AI35" s="330">
        <v>-99.63000000000001</v>
      </c>
      <c r="AJ35" s="330">
        <v>6.9290000000000004E-2</v>
      </c>
      <c r="AK35" s="330">
        <f t="shared" si="17"/>
        <v>3.0340000000000006E-2</v>
      </c>
      <c r="AL35" s="330">
        <v>1.3100000000000002E-2</v>
      </c>
      <c r="AM35" s="330">
        <v>1.2</v>
      </c>
      <c r="AN35" s="330">
        <f t="shared" si="18"/>
        <v>1.1900000000000003E-2</v>
      </c>
      <c r="AO35" s="330">
        <v>56.620000000000005</v>
      </c>
      <c r="AP35" s="330">
        <v>59.800000000000004</v>
      </c>
      <c r="AQ35" s="330">
        <f t="shared" si="19"/>
        <v>-3.1799999999999997E-3</v>
      </c>
      <c r="AR35" s="336">
        <v>0.43099999999999999</v>
      </c>
      <c r="AS35" s="330">
        <v>5.5100000000000001E-3</v>
      </c>
      <c r="AT35" s="336">
        <f t="shared" si="20"/>
        <v>0.42548999999999998</v>
      </c>
      <c r="AU35" s="336">
        <v>-2.6970000000000001E-2</v>
      </c>
      <c r="AV35" s="330">
        <v>3.066E-2</v>
      </c>
      <c r="AW35" s="336">
        <f t="shared" si="21"/>
        <v>-5.7630000000000001E-2</v>
      </c>
      <c r="AX35" s="336">
        <v>0.34208999999999995</v>
      </c>
      <c r="AY35" s="330">
        <v>0.16553000000000004</v>
      </c>
      <c r="AZ35" s="336">
        <f t="shared" si="22"/>
        <v>0.17655999999999991</v>
      </c>
    </row>
    <row r="36" spans="4:52">
      <c r="D36" s="335">
        <v>6666020502</v>
      </c>
      <c r="E36" s="330">
        <v>-123212.6</v>
      </c>
      <c r="F36" s="330">
        <v>-3313.5562225019098</v>
      </c>
      <c r="G36" s="330">
        <v>10274.84</v>
      </c>
      <c r="H36" s="330">
        <f t="shared" si="0"/>
        <v>276.32125299856932</v>
      </c>
      <c r="I36" s="330">
        <f t="shared" si="1"/>
        <v>3.0372349695033405</v>
      </c>
      <c r="J36" s="330">
        <v>60656.21</v>
      </c>
      <c r="K36" s="330">
        <f t="shared" si="2"/>
        <v>1591.8593848414864</v>
      </c>
      <c r="L36" s="330">
        <v>-22097.949999999997</v>
      </c>
      <c r="M36" s="330">
        <f t="shared" si="3"/>
        <v>-579.93780180558463</v>
      </c>
      <c r="N36" s="330">
        <f t="shared" si="4"/>
        <v>-1.0119215830359019</v>
      </c>
      <c r="O36" s="330">
        <v>-134533.07</v>
      </c>
      <c r="P36" s="330">
        <f t="shared" si="5"/>
        <v>-3305.326532668008</v>
      </c>
      <c r="Q36" s="330">
        <v>-21267.79</v>
      </c>
      <c r="R36" s="330">
        <f t="shared" si="6"/>
        <v>-522.52572975708745</v>
      </c>
      <c r="S36" s="330">
        <f t="shared" si="7"/>
        <v>3.8278522624250955</v>
      </c>
      <c r="T36" s="330">
        <v>-56093.759999999995</v>
      </c>
      <c r="U36" s="330">
        <f t="shared" si="8"/>
        <v>-1284.0273040667676</v>
      </c>
      <c r="V36" s="330">
        <v>-1693</v>
      </c>
      <c r="W36" s="330">
        <f t="shared" si="9"/>
        <v>-38.75401160102367</v>
      </c>
      <c r="X36" s="330">
        <f t="shared" si="10"/>
        <v>1.3227813156677912</v>
      </c>
      <c r="Y36" s="330">
        <v>-69591.81</v>
      </c>
      <c r="Z36" s="330">
        <f t="shared" si="11"/>
        <v>-1571.9644640009396</v>
      </c>
      <c r="AA36" s="330">
        <v>-9282.0600000000013</v>
      </c>
      <c r="AB36" s="330">
        <f t="shared" si="12"/>
        <v>-209.66646035969697</v>
      </c>
      <c r="AC36" s="330">
        <f t="shared" si="13"/>
        <v>1.7816309243606365</v>
      </c>
      <c r="AD36" s="330">
        <v>-79780.86</v>
      </c>
      <c r="AE36" s="330">
        <f t="shared" si="14"/>
        <v>-1713.7788222354927</v>
      </c>
      <c r="AF36" s="330">
        <v>30288.2</v>
      </c>
      <c r="AG36" s="330">
        <f t="shared" si="15"/>
        <v>650.62316605302397</v>
      </c>
      <c r="AH36" s="330">
        <f t="shared" si="16"/>
        <v>1.0631556561824687</v>
      </c>
      <c r="AI36" s="330">
        <v>-1475.67</v>
      </c>
      <c r="AJ36" s="330">
        <v>-2.8649999999999998E-2</v>
      </c>
      <c r="AK36" s="330">
        <f t="shared" si="17"/>
        <v>1.5043200000000001</v>
      </c>
      <c r="AL36" s="330">
        <v>0.90454000000000001</v>
      </c>
      <c r="AM36" s="330">
        <v>-376.8</v>
      </c>
      <c r="AN36" s="330">
        <f t="shared" si="18"/>
        <v>1.2813400000000001</v>
      </c>
      <c r="AO36" s="330">
        <v>1366.8800000000022</v>
      </c>
      <c r="AP36" s="330">
        <v>-242.61999999999898</v>
      </c>
      <c r="AQ36" s="330">
        <f t="shared" si="19"/>
        <v>1.609500000000001</v>
      </c>
      <c r="AR36" s="336">
        <v>1.1328100000000001</v>
      </c>
      <c r="AS36" s="330">
        <v>7.2210000000000038E-2</v>
      </c>
      <c r="AT36" s="336">
        <f t="shared" si="20"/>
        <v>1.0606</v>
      </c>
      <c r="AU36" s="336">
        <v>3.0873799999999982</v>
      </c>
      <c r="AV36" s="330">
        <v>1.1014099999999998</v>
      </c>
      <c r="AW36" s="336">
        <f t="shared" si="21"/>
        <v>1.9859699999999985</v>
      </c>
      <c r="AX36" s="336">
        <v>2.2771399999999997</v>
      </c>
      <c r="AY36" s="330">
        <v>0.44499000000000005</v>
      </c>
      <c r="AZ36" s="336">
        <f t="shared" si="22"/>
        <v>1.8321499999999997</v>
      </c>
    </row>
    <row r="37" spans="4:52">
      <c r="D37" s="335">
        <v>6666020503</v>
      </c>
      <c r="E37" s="330">
        <v>-2058.89</v>
      </c>
      <c r="F37" s="330">
        <v>-55.369724938415033</v>
      </c>
      <c r="G37" s="330">
        <v>0</v>
      </c>
      <c r="H37" s="330">
        <f t="shared" si="0"/>
        <v>0</v>
      </c>
      <c r="I37" s="330">
        <f t="shared" si="1"/>
        <v>5.5369724938415035E-2</v>
      </c>
      <c r="J37" s="330">
        <v>892.94</v>
      </c>
      <c r="K37" s="330">
        <f t="shared" si="2"/>
        <v>23.434285114423684</v>
      </c>
      <c r="L37" s="330">
        <v>115.5</v>
      </c>
      <c r="M37" s="330">
        <f t="shared" si="3"/>
        <v>3.0311778290993074</v>
      </c>
      <c r="N37" s="330">
        <f t="shared" si="4"/>
        <v>-2.6465462943522991E-2</v>
      </c>
      <c r="O37" s="330">
        <v>-3618.09</v>
      </c>
      <c r="P37" s="330">
        <f t="shared" si="5"/>
        <v>-88.892410428014415</v>
      </c>
      <c r="Q37" s="330">
        <v>16.54</v>
      </c>
      <c r="R37" s="330">
        <f t="shared" si="6"/>
        <v>0.40636923583419937</v>
      </c>
      <c r="S37" s="330">
        <f t="shared" si="7"/>
        <v>8.8486041192180204E-2</v>
      </c>
      <c r="T37" s="330">
        <v>-1044.8899999999999</v>
      </c>
      <c r="U37" s="330">
        <f t="shared" si="8"/>
        <v>-23.918298394443958</v>
      </c>
      <c r="V37" s="330">
        <v>0</v>
      </c>
      <c r="W37" s="330">
        <f t="shared" si="9"/>
        <v>0</v>
      </c>
      <c r="X37" s="330">
        <f t="shared" si="10"/>
        <v>2.3918298394443958E-2</v>
      </c>
      <c r="Y37" s="330">
        <v>-148.5</v>
      </c>
      <c r="Z37" s="330">
        <f t="shared" si="11"/>
        <v>-3.3543706206828006</v>
      </c>
      <c r="AA37" s="330">
        <v>148.5</v>
      </c>
      <c r="AB37" s="330">
        <f t="shared" si="12"/>
        <v>3.3543706206828006</v>
      </c>
      <c r="AC37" s="330">
        <f t="shared" si="13"/>
        <v>0</v>
      </c>
      <c r="AD37" s="330">
        <v>-4263.6499999999996</v>
      </c>
      <c r="AE37" s="330">
        <f t="shared" si="14"/>
        <v>-91.58779531111044</v>
      </c>
      <c r="AF37" s="330">
        <v>0</v>
      </c>
      <c r="AG37" s="330">
        <f t="shared" si="15"/>
        <v>0</v>
      </c>
      <c r="AH37" s="330">
        <f t="shared" si="16"/>
        <v>9.1587795311110443E-2</v>
      </c>
      <c r="AI37" s="330">
        <v>-130.64999999999998</v>
      </c>
      <c r="AJ37" s="330">
        <v>0</v>
      </c>
      <c r="AK37" s="330">
        <f t="shared" si="17"/>
        <v>0.13064999999999999</v>
      </c>
      <c r="AL37" s="330">
        <v>0.17832000000000001</v>
      </c>
      <c r="AM37" s="330">
        <v>82.02</v>
      </c>
      <c r="AN37" s="330">
        <f t="shared" si="18"/>
        <v>9.6300000000000011E-2</v>
      </c>
      <c r="AO37" s="330">
        <v>29.89</v>
      </c>
      <c r="AP37" s="330">
        <v>30.37</v>
      </c>
      <c r="AQ37" s="330">
        <f t="shared" si="19"/>
        <v>-4.8000000000000045E-4</v>
      </c>
      <c r="AR37" s="336">
        <v>5.6659999999999995E-2</v>
      </c>
      <c r="AS37" s="330">
        <v>0</v>
      </c>
      <c r="AT37" s="336">
        <f t="shared" si="20"/>
        <v>5.6659999999999995E-2</v>
      </c>
      <c r="AU37" s="336">
        <v>6.4180000000000001E-2</v>
      </c>
      <c r="AV37" s="330">
        <v>5.2749999999999998E-2</v>
      </c>
      <c r="AW37" s="336">
        <f t="shared" si="21"/>
        <v>1.1430000000000003E-2</v>
      </c>
      <c r="AX37" s="336">
        <v>1.38683</v>
      </c>
      <c r="AY37" s="330">
        <v>1.6070000000000001E-2</v>
      </c>
      <c r="AZ37" s="336">
        <f t="shared" si="22"/>
        <v>1.37076</v>
      </c>
    </row>
    <row r="38" spans="4:52">
      <c r="D38" s="335">
        <v>6666020504</v>
      </c>
      <c r="E38" s="330">
        <v>-7047.36</v>
      </c>
      <c r="F38" s="330">
        <v>-189.52463936489497</v>
      </c>
      <c r="G38" s="330">
        <v>0</v>
      </c>
      <c r="H38" s="330">
        <f t="shared" si="0"/>
        <v>0</v>
      </c>
      <c r="I38" s="330">
        <f t="shared" si="1"/>
        <v>0.18952463936489497</v>
      </c>
      <c r="J38" s="330">
        <v>7047.36</v>
      </c>
      <c r="K38" s="330">
        <f t="shared" si="2"/>
        <v>184.95066134788999</v>
      </c>
      <c r="L38" s="330">
        <v>0</v>
      </c>
      <c r="M38" s="330">
        <f t="shared" si="3"/>
        <v>0</v>
      </c>
      <c r="N38" s="330">
        <f t="shared" si="4"/>
        <v>-0.18495066134788998</v>
      </c>
      <c r="O38" s="330">
        <v>0</v>
      </c>
      <c r="P38" s="330">
        <f t="shared" si="5"/>
        <v>0</v>
      </c>
      <c r="Q38" s="330">
        <v>0</v>
      </c>
      <c r="R38" s="330">
        <f t="shared" si="6"/>
        <v>0</v>
      </c>
      <c r="S38" s="330">
        <f t="shared" si="7"/>
        <v>0</v>
      </c>
      <c r="T38" s="330">
        <v>0</v>
      </c>
      <c r="U38" s="330">
        <f t="shared" si="8"/>
        <v>0</v>
      </c>
      <c r="V38" s="330">
        <v>0</v>
      </c>
      <c r="W38" s="330">
        <f t="shared" si="9"/>
        <v>0</v>
      </c>
      <c r="X38" s="330">
        <f t="shared" si="10"/>
        <v>0</v>
      </c>
      <c r="Y38" s="330">
        <v>0</v>
      </c>
      <c r="Z38" s="330">
        <f t="shared" si="11"/>
        <v>0</v>
      </c>
      <c r="AA38" s="330">
        <v>0</v>
      </c>
      <c r="AB38" s="330">
        <f t="shared" si="12"/>
        <v>0</v>
      </c>
      <c r="AC38" s="330">
        <f t="shared" si="13"/>
        <v>0</v>
      </c>
      <c r="AD38" s="330">
        <v>0</v>
      </c>
      <c r="AE38" s="330">
        <f t="shared" si="14"/>
        <v>0</v>
      </c>
      <c r="AF38" s="330">
        <v>0</v>
      </c>
      <c r="AG38" s="330">
        <f t="shared" si="15"/>
        <v>0</v>
      </c>
      <c r="AH38" s="330">
        <f t="shared" si="16"/>
        <v>0</v>
      </c>
      <c r="AI38" s="330">
        <v>-49.48</v>
      </c>
      <c r="AJ38" s="330">
        <v>0</v>
      </c>
      <c r="AK38" s="330">
        <f t="shared" si="17"/>
        <v>4.9479999999999996E-2</v>
      </c>
      <c r="AL38" s="330">
        <v>0</v>
      </c>
      <c r="AM38" s="330">
        <v>0</v>
      </c>
      <c r="AN38" s="330">
        <f t="shared" si="18"/>
        <v>0</v>
      </c>
      <c r="AO38" s="330">
        <v>47.18</v>
      </c>
      <c r="AP38" s="330">
        <v>47.18</v>
      </c>
      <c r="AQ38" s="330">
        <f t="shared" si="19"/>
        <v>0</v>
      </c>
      <c r="AR38" s="336">
        <v>0</v>
      </c>
      <c r="AS38" s="330">
        <v>0</v>
      </c>
      <c r="AT38" s="336">
        <f t="shared" si="20"/>
        <v>0</v>
      </c>
      <c r="AU38" s="336">
        <v>9.3549999999999994E-2</v>
      </c>
      <c r="AV38" s="330">
        <v>9.3549999999999994E-2</v>
      </c>
      <c r="AW38" s="336">
        <f t="shared" si="21"/>
        <v>0</v>
      </c>
      <c r="AX38" s="336">
        <v>-4.8030000000000003E-2</v>
      </c>
      <c r="AY38" s="330">
        <v>-4.6289999999999998E-2</v>
      </c>
      <c r="AZ38" s="336">
        <f t="shared" si="22"/>
        <v>-1.7400000000000054E-3</v>
      </c>
    </row>
    <row r="39" spans="4:52">
      <c r="D39" s="335">
        <v>6666020508</v>
      </c>
      <c r="E39" s="330">
        <v>-669.74</v>
      </c>
      <c r="F39" s="330">
        <v>-18.011316573616895</v>
      </c>
      <c r="G39" s="330">
        <v>669.74</v>
      </c>
      <c r="H39" s="330">
        <f t="shared" si="0"/>
        <v>18.011316573616895</v>
      </c>
      <c r="I39" s="330">
        <f t="shared" si="1"/>
        <v>0</v>
      </c>
      <c r="J39" s="330">
        <v>-378.03000000000003</v>
      </c>
      <c r="K39" s="330">
        <f t="shared" si="2"/>
        <v>-9.9210056686962016</v>
      </c>
      <c r="L39" s="330">
        <v>113.74</v>
      </c>
      <c r="M39" s="330">
        <f t="shared" si="3"/>
        <v>2.9849884526558892</v>
      </c>
      <c r="N39" s="330">
        <f t="shared" si="4"/>
        <v>6.9360172160403124E-3</v>
      </c>
      <c r="O39" s="330">
        <v>-302.5</v>
      </c>
      <c r="P39" s="330">
        <f t="shared" si="5"/>
        <v>-7.4320854800390146</v>
      </c>
      <c r="Q39" s="330">
        <v>302.5</v>
      </c>
      <c r="R39" s="330">
        <f t="shared" si="6"/>
        <v>7.4320854800390146</v>
      </c>
      <c r="S39" s="330">
        <f t="shared" si="7"/>
        <v>0</v>
      </c>
      <c r="T39" s="330">
        <v>-613.07000000000005</v>
      </c>
      <c r="U39" s="330">
        <f t="shared" si="8"/>
        <v>-14.033621909178727</v>
      </c>
      <c r="V39" s="330">
        <v>613.07000000000005</v>
      </c>
      <c r="W39" s="330">
        <f t="shared" si="9"/>
        <v>14.033621909178727</v>
      </c>
      <c r="X39" s="330">
        <f t="shared" si="10"/>
        <v>0</v>
      </c>
      <c r="Y39" s="330">
        <v>-642.29999999999995</v>
      </c>
      <c r="Z39" s="330">
        <f t="shared" si="11"/>
        <v>-14.508499997741163</v>
      </c>
      <c r="AA39" s="330">
        <v>550.74</v>
      </c>
      <c r="AB39" s="330">
        <f t="shared" si="12"/>
        <v>12.440310273635324</v>
      </c>
      <c r="AC39" s="330">
        <f t="shared" si="13"/>
        <v>2.0681897241058389E-3</v>
      </c>
      <c r="AD39" s="330">
        <v>-121</v>
      </c>
      <c r="AE39" s="330">
        <f t="shared" si="14"/>
        <v>-2.5992103555977542</v>
      </c>
      <c r="AF39" s="330">
        <v>121</v>
      </c>
      <c r="AG39" s="330">
        <f t="shared" si="15"/>
        <v>2.5992103555977542</v>
      </c>
      <c r="AH39" s="330">
        <f t="shared" si="16"/>
        <v>0</v>
      </c>
      <c r="AI39" s="330">
        <v>-7.0500000000000007</v>
      </c>
      <c r="AJ39" s="330">
        <v>7.0499999999999998E-3</v>
      </c>
      <c r="AK39" s="330">
        <f t="shared" si="17"/>
        <v>0</v>
      </c>
      <c r="AL39" s="330">
        <v>5.0999999999999995E-3</v>
      </c>
      <c r="AM39" s="330">
        <v>5.0999999999999996</v>
      </c>
      <c r="AN39" s="330">
        <f t="shared" si="18"/>
        <v>0</v>
      </c>
      <c r="AO39" s="330">
        <v>447.49</v>
      </c>
      <c r="AP39" s="330">
        <v>447.49</v>
      </c>
      <c r="AQ39" s="330">
        <f t="shared" si="19"/>
        <v>0</v>
      </c>
      <c r="AR39" s="336">
        <v>1.1039999999999999E-2</v>
      </c>
      <c r="AS39" s="330">
        <v>1.1039999999999999E-2</v>
      </c>
      <c r="AT39" s="336">
        <f t="shared" si="20"/>
        <v>0</v>
      </c>
      <c r="AU39" s="336">
        <v>0.22607999999999998</v>
      </c>
      <c r="AV39" s="330">
        <v>3.2699999999999999E-3</v>
      </c>
      <c r="AW39" s="336">
        <f t="shared" si="21"/>
        <v>0.22280999999999998</v>
      </c>
      <c r="AX39" s="336">
        <v>9.0389999999999998E-2</v>
      </c>
      <c r="AY39" s="330">
        <v>2.3820000000000001E-2</v>
      </c>
      <c r="AZ39" s="336">
        <f t="shared" si="22"/>
        <v>6.656999999999999E-2</v>
      </c>
    </row>
    <row r="40" spans="4:52">
      <c r="D40" s="335">
        <v>6666020602</v>
      </c>
      <c r="E40" s="330">
        <v>0</v>
      </c>
      <c r="F40" s="330">
        <v>0</v>
      </c>
      <c r="G40" s="330">
        <v>0</v>
      </c>
      <c r="H40" s="330">
        <f t="shared" si="0"/>
        <v>0</v>
      </c>
      <c r="I40" s="330">
        <f t="shared" si="1"/>
        <v>0</v>
      </c>
      <c r="J40" s="330">
        <v>0</v>
      </c>
      <c r="K40" s="330">
        <f t="shared" si="2"/>
        <v>0</v>
      </c>
      <c r="L40" s="330">
        <v>0</v>
      </c>
      <c r="M40" s="330">
        <f t="shared" si="3"/>
        <v>0</v>
      </c>
      <c r="N40" s="330">
        <f t="shared" si="4"/>
        <v>0</v>
      </c>
      <c r="O40" s="330">
        <v>-302.5</v>
      </c>
      <c r="P40" s="330">
        <f t="shared" si="5"/>
        <v>-7.4320854800390146</v>
      </c>
      <c r="Q40" s="330">
        <v>302.5</v>
      </c>
      <c r="R40" s="330">
        <f t="shared" si="6"/>
        <v>7.4320854800390146</v>
      </c>
      <c r="S40" s="330">
        <f t="shared" si="7"/>
        <v>0</v>
      </c>
      <c r="T40" s="330">
        <v>0</v>
      </c>
      <c r="U40" s="330">
        <f t="shared" si="8"/>
        <v>0</v>
      </c>
      <c r="V40" s="330">
        <v>0</v>
      </c>
      <c r="W40" s="330">
        <f t="shared" si="9"/>
        <v>0</v>
      </c>
      <c r="X40" s="330">
        <f t="shared" si="10"/>
        <v>0</v>
      </c>
      <c r="Y40" s="330">
        <v>0</v>
      </c>
      <c r="Z40" s="330">
        <f t="shared" si="11"/>
        <v>0</v>
      </c>
      <c r="AA40" s="330">
        <v>0</v>
      </c>
      <c r="AB40" s="330">
        <f t="shared" si="12"/>
        <v>0</v>
      </c>
      <c r="AC40" s="330">
        <f t="shared" si="13"/>
        <v>0</v>
      </c>
      <c r="AD40" s="330">
        <v>0</v>
      </c>
      <c r="AE40" s="330">
        <f t="shared" si="14"/>
        <v>0</v>
      </c>
      <c r="AF40" s="330">
        <v>0</v>
      </c>
      <c r="AG40" s="330">
        <f t="shared" si="15"/>
        <v>0</v>
      </c>
      <c r="AH40" s="330">
        <f t="shared" si="16"/>
        <v>0</v>
      </c>
      <c r="AI40" s="330">
        <v>0</v>
      </c>
      <c r="AJ40" s="330">
        <v>0</v>
      </c>
      <c r="AK40" s="330">
        <f t="shared" si="17"/>
        <v>0</v>
      </c>
      <c r="AL40" s="330">
        <v>0</v>
      </c>
      <c r="AM40" s="330">
        <v>0</v>
      </c>
      <c r="AN40" s="330">
        <f t="shared" si="18"/>
        <v>0</v>
      </c>
      <c r="AO40" s="330">
        <v>0</v>
      </c>
      <c r="AP40" s="330">
        <v>0</v>
      </c>
      <c r="AQ40" s="330">
        <f t="shared" si="19"/>
        <v>0</v>
      </c>
      <c r="AR40" s="336">
        <v>0</v>
      </c>
      <c r="AS40" s="330">
        <v>0</v>
      </c>
      <c r="AT40" s="336">
        <f t="shared" si="20"/>
        <v>0</v>
      </c>
      <c r="AU40" s="336">
        <v>0</v>
      </c>
      <c r="AV40" s="330">
        <v>0</v>
      </c>
      <c r="AW40" s="336">
        <f t="shared" si="21"/>
        <v>0</v>
      </c>
      <c r="AX40" s="336">
        <v>2.1090000000000001E-2</v>
      </c>
      <c r="AY40" s="330">
        <v>2.1479999999999999E-2</v>
      </c>
      <c r="AZ40" s="336">
        <f t="shared" si="22"/>
        <v>-3.8999999999999799E-4</v>
      </c>
    </row>
    <row r="41" spans="4:52">
      <c r="D41" s="337">
        <v>6666020701</v>
      </c>
      <c r="E41" s="338">
        <v>-520216.38</v>
      </c>
      <c r="F41" s="338">
        <f>E41/45</f>
        <v>-11560.364</v>
      </c>
      <c r="G41" s="338">
        <v>520216.38</v>
      </c>
      <c r="H41" s="338">
        <f>G41/45</f>
        <v>11560.364</v>
      </c>
      <c r="I41" s="338">
        <f t="shared" si="1"/>
        <v>0</v>
      </c>
      <c r="J41" s="338">
        <v>-415571.37</v>
      </c>
      <c r="K41" s="338">
        <f>J41/45</f>
        <v>-9234.9193333333333</v>
      </c>
      <c r="L41" s="338">
        <v>415571.37</v>
      </c>
      <c r="M41" s="338">
        <f>L41/45</f>
        <v>9234.9193333333333</v>
      </c>
      <c r="N41" s="338">
        <f t="shared" si="4"/>
        <v>0</v>
      </c>
      <c r="O41" s="338">
        <v>-1446659.1</v>
      </c>
      <c r="P41" s="338">
        <f>O41/45</f>
        <v>-32147.980000000003</v>
      </c>
      <c r="Q41" s="338">
        <v>1446659.1</v>
      </c>
      <c r="R41" s="338">
        <f>Q41/45</f>
        <v>32147.980000000003</v>
      </c>
      <c r="S41" s="338">
        <f t="shared" si="7"/>
        <v>0</v>
      </c>
      <c r="T41" s="338">
        <v>-794148.95</v>
      </c>
      <c r="U41" s="338">
        <f>T41/45</f>
        <v>-17647.754444444443</v>
      </c>
      <c r="V41" s="338">
        <v>794148.95</v>
      </c>
      <c r="W41" s="338">
        <f>V41/45</f>
        <v>17647.754444444443</v>
      </c>
      <c r="X41" s="338">
        <f t="shared" si="10"/>
        <v>0</v>
      </c>
      <c r="Y41" s="338">
        <v>-794148.95</v>
      </c>
      <c r="Z41" s="338">
        <f>Y41/45</f>
        <v>-17647.754444444443</v>
      </c>
      <c r="AA41" s="338">
        <v>794148.95</v>
      </c>
      <c r="AB41" s="338">
        <f>AA41/45</f>
        <v>17647.754444444443</v>
      </c>
      <c r="AC41" s="338">
        <f t="shared" si="13"/>
        <v>0</v>
      </c>
      <c r="AD41" s="338">
        <v>-794148.95</v>
      </c>
      <c r="AE41" s="338">
        <f>AD41/45</f>
        <v>-17647.754444444443</v>
      </c>
      <c r="AF41" s="338">
        <v>794148.95</v>
      </c>
      <c r="AG41" s="338">
        <f>AF41/45</f>
        <v>17647.754444444443</v>
      </c>
      <c r="AH41" s="338">
        <f t="shared" si="16"/>
        <v>0</v>
      </c>
      <c r="AI41" s="338">
        <v>-19350.61</v>
      </c>
      <c r="AJ41" s="338">
        <v>19.35061</v>
      </c>
      <c r="AK41" s="338">
        <f t="shared" si="17"/>
        <v>0</v>
      </c>
      <c r="AL41" s="338">
        <v>19.35061</v>
      </c>
      <c r="AM41" s="338">
        <v>19350.61</v>
      </c>
      <c r="AN41" s="338">
        <f t="shared" si="18"/>
        <v>0</v>
      </c>
      <c r="AO41" s="338">
        <v>19350.61</v>
      </c>
      <c r="AP41" s="338">
        <v>19350.61</v>
      </c>
      <c r="AQ41" s="338">
        <f t="shared" si="19"/>
        <v>0</v>
      </c>
      <c r="AR41" s="336">
        <v>19.35061</v>
      </c>
      <c r="AS41" s="330">
        <v>19.35061</v>
      </c>
      <c r="AT41" s="336">
        <f t="shared" si="20"/>
        <v>0</v>
      </c>
      <c r="AU41" s="336">
        <v>19.35061</v>
      </c>
      <c r="AV41" s="330">
        <v>19.35061</v>
      </c>
      <c r="AW41" s="336">
        <f t="shared" si="21"/>
        <v>0</v>
      </c>
      <c r="AX41" s="336">
        <v>19.35061</v>
      </c>
      <c r="AY41" s="330">
        <v>19.35061</v>
      </c>
      <c r="AZ41" s="336">
        <f t="shared" si="22"/>
        <v>0</v>
      </c>
    </row>
    <row r="42" spans="4:52">
      <c r="D42" s="335">
        <v>6666020801</v>
      </c>
      <c r="E42" s="330">
        <v>-25936.07</v>
      </c>
      <c r="F42" s="330">
        <v>-697.49868224309125</v>
      </c>
      <c r="G42" s="330">
        <v>0</v>
      </c>
      <c r="H42" s="330">
        <f t="shared" si="0"/>
        <v>0</v>
      </c>
      <c r="I42" s="330">
        <f t="shared" si="1"/>
        <v>0.69749868224309131</v>
      </c>
      <c r="J42" s="330">
        <v>-6608.3099999999995</v>
      </c>
      <c r="K42" s="330">
        <f t="shared" si="2"/>
        <v>-173.42824900272936</v>
      </c>
      <c r="L42" s="330">
        <v>0</v>
      </c>
      <c r="M42" s="330">
        <f t="shared" si="3"/>
        <v>0</v>
      </c>
      <c r="N42" s="330">
        <f t="shared" si="4"/>
        <v>0.17342824900272935</v>
      </c>
      <c r="O42" s="330">
        <v>-45452</v>
      </c>
      <c r="P42" s="330">
        <f t="shared" si="5"/>
        <v>-1116.7046255825894</v>
      </c>
      <c r="Q42" s="330">
        <v>2562.5</v>
      </c>
      <c r="R42" s="330">
        <f t="shared" si="6"/>
        <v>62.957748901156947</v>
      </c>
      <c r="S42" s="330">
        <f t="shared" si="7"/>
        <v>1.0537468766814324</v>
      </c>
      <c r="T42" s="330">
        <v>-49429.7</v>
      </c>
      <c r="U42" s="330">
        <f t="shared" si="8"/>
        <v>-1131.4820834229886</v>
      </c>
      <c r="V42" s="330">
        <v>0</v>
      </c>
      <c r="W42" s="330">
        <f t="shared" si="9"/>
        <v>0</v>
      </c>
      <c r="X42" s="330">
        <f t="shared" si="10"/>
        <v>1.1314820834229886</v>
      </c>
      <c r="Y42" s="330">
        <v>-72468.66</v>
      </c>
      <c r="Z42" s="330">
        <f t="shared" si="11"/>
        <v>-1636.9477712070766</v>
      </c>
      <c r="AA42" s="330">
        <v>8541.67</v>
      </c>
      <c r="AB42" s="330">
        <f t="shared" si="12"/>
        <v>192.94226868395728</v>
      </c>
      <c r="AC42" s="330">
        <f t="shared" si="13"/>
        <v>1.4440055025231193</v>
      </c>
      <c r="AD42" s="330">
        <v>-32534.489999999998</v>
      </c>
      <c r="AE42" s="330">
        <f t="shared" si="14"/>
        <v>-698.87589522389726</v>
      </c>
      <c r="AF42" s="330">
        <v>0</v>
      </c>
      <c r="AG42" s="330">
        <f t="shared" si="15"/>
        <v>0</v>
      </c>
      <c r="AH42" s="330">
        <f t="shared" si="16"/>
        <v>0.69887589522389726</v>
      </c>
      <c r="AI42" s="330">
        <v>-1572.3400000000001</v>
      </c>
      <c r="AJ42" s="330">
        <v>0.18114</v>
      </c>
      <c r="AK42" s="330">
        <f t="shared" si="17"/>
        <v>1.3912</v>
      </c>
      <c r="AL42" s="330">
        <v>0.33753</v>
      </c>
      <c r="AM42" s="330">
        <v>0.49</v>
      </c>
      <c r="AN42" s="330">
        <f t="shared" si="18"/>
        <v>0.33704000000000001</v>
      </c>
      <c r="AO42" s="330">
        <v>655.61</v>
      </c>
      <c r="AP42" s="330">
        <v>265.14</v>
      </c>
      <c r="AQ42" s="330">
        <f t="shared" si="19"/>
        <v>0.39047000000000004</v>
      </c>
      <c r="AR42" s="336">
        <v>0.64410999999999996</v>
      </c>
      <c r="AS42" s="330">
        <v>8.8639999999999997E-2</v>
      </c>
      <c r="AT42" s="336">
        <f t="shared" si="20"/>
        <v>0.55546999999999991</v>
      </c>
      <c r="AU42" s="336">
        <v>0.79330999999999996</v>
      </c>
      <c r="AV42" s="330">
        <v>9.0069999999999997E-2</v>
      </c>
      <c r="AW42" s="336">
        <f t="shared" si="21"/>
        <v>0.70323999999999998</v>
      </c>
      <c r="AX42" s="336">
        <v>1.3032999999999999</v>
      </c>
      <c r="AY42" s="330">
        <v>0.28337000000000001</v>
      </c>
      <c r="AZ42" s="336">
        <f t="shared" si="22"/>
        <v>1.01993</v>
      </c>
    </row>
    <row r="43" spans="4:52">
      <c r="D43" s="335">
        <v>6666020803</v>
      </c>
      <c r="E43" s="330">
        <v>-89173.89</v>
      </c>
      <c r="F43" s="330">
        <v>-2398.1532578177948</v>
      </c>
      <c r="G43" s="330">
        <v>-297.91000000000003</v>
      </c>
      <c r="H43" s="330">
        <f t="shared" si="0"/>
        <v>-8.0116930755908413</v>
      </c>
      <c r="I43" s="330">
        <f t="shared" si="1"/>
        <v>2.4061649508933858</v>
      </c>
      <c r="J43" s="330">
        <v>-516228.69999999995</v>
      </c>
      <c r="K43" s="330">
        <f t="shared" si="2"/>
        <v>-13547.887360906991</v>
      </c>
      <c r="L43" s="330">
        <v>0</v>
      </c>
      <c r="M43" s="330">
        <f t="shared" si="3"/>
        <v>0</v>
      </c>
      <c r="N43" s="330">
        <f t="shared" si="4"/>
        <v>13.547887360906991</v>
      </c>
      <c r="O43" s="330">
        <v>-656439.40999999992</v>
      </c>
      <c r="P43" s="330">
        <f t="shared" si="5"/>
        <v>-16127.979529211165</v>
      </c>
      <c r="Q43" s="330">
        <v>0</v>
      </c>
      <c r="R43" s="330">
        <f t="shared" si="6"/>
        <v>0</v>
      </c>
      <c r="S43" s="330">
        <f t="shared" si="7"/>
        <v>16.127979529211164</v>
      </c>
      <c r="T43" s="330">
        <v>-196928.03999999998</v>
      </c>
      <c r="U43" s="330">
        <f t="shared" si="8"/>
        <v>-4507.8272573696713</v>
      </c>
      <c r="V43" s="330">
        <v>10274.789999999999</v>
      </c>
      <c r="W43" s="330">
        <f t="shared" si="9"/>
        <v>235.19747835681156</v>
      </c>
      <c r="X43" s="330">
        <f t="shared" si="10"/>
        <v>4.2726297790128598</v>
      </c>
      <c r="Y43" s="330">
        <v>-429497.47000000003</v>
      </c>
      <c r="Z43" s="330">
        <f t="shared" si="11"/>
        <v>-9701.6410439433857</v>
      </c>
      <c r="AA43" s="330">
        <v>-488.96000000000004</v>
      </c>
      <c r="AB43" s="330">
        <f t="shared" si="12"/>
        <v>-11.044801742013888</v>
      </c>
      <c r="AC43" s="330">
        <f t="shared" si="13"/>
        <v>9.7126858456853995</v>
      </c>
      <c r="AD43" s="330">
        <v>-660341.18000000017</v>
      </c>
      <c r="AE43" s="330">
        <f t="shared" si="14"/>
        <v>-14184.8399444929</v>
      </c>
      <c r="AF43" s="330">
        <v>-1392.4</v>
      </c>
      <c r="AG43" s="330">
        <f t="shared" si="15"/>
        <v>-29.910252058961262</v>
      </c>
      <c r="AH43" s="330">
        <f t="shared" si="16"/>
        <v>14.21475019655186</v>
      </c>
      <c r="AI43" s="330">
        <v>-9125.380000000001</v>
      </c>
      <c r="AJ43" s="330">
        <v>-1.7099999999999999E-3</v>
      </c>
      <c r="AK43" s="330">
        <f t="shared" si="17"/>
        <v>9.1270900000000008</v>
      </c>
      <c r="AL43" s="330">
        <v>5.3444599999999998</v>
      </c>
      <c r="AM43" s="330">
        <v>325.98</v>
      </c>
      <c r="AN43" s="330">
        <f t="shared" si="18"/>
        <v>5.0184799999999994</v>
      </c>
      <c r="AO43" s="330">
        <v>21376.880000000005</v>
      </c>
      <c r="AP43" s="330">
        <v>399.66</v>
      </c>
      <c r="AQ43" s="330">
        <f t="shared" si="19"/>
        <v>20.977220000000006</v>
      </c>
      <c r="AR43" s="336">
        <v>5.47403</v>
      </c>
      <c r="AS43" s="330">
        <v>0.32039000000000001</v>
      </c>
      <c r="AT43" s="336">
        <f t="shared" si="20"/>
        <v>5.1536400000000002</v>
      </c>
      <c r="AU43" s="336">
        <v>8.1254999999999988</v>
      </c>
      <c r="AV43" s="330">
        <v>0.54098000000000002</v>
      </c>
      <c r="AW43" s="336">
        <f t="shared" si="21"/>
        <v>7.5845199999999986</v>
      </c>
      <c r="AX43" s="336">
        <v>7.3487600000000004</v>
      </c>
      <c r="AY43" s="330">
        <v>1.1943799999999998</v>
      </c>
      <c r="AZ43" s="336">
        <f t="shared" si="22"/>
        <v>6.1543800000000006</v>
      </c>
    </row>
    <row r="44" spans="4:52">
      <c r="D44" s="335">
        <v>6666020809</v>
      </c>
      <c r="E44" s="330">
        <v>0</v>
      </c>
      <c r="F44" s="330">
        <v>0</v>
      </c>
      <c r="G44" s="330">
        <v>0</v>
      </c>
      <c r="H44" s="330">
        <v>0</v>
      </c>
      <c r="I44" s="330">
        <v>0</v>
      </c>
      <c r="J44" s="330">
        <v>0</v>
      </c>
      <c r="K44" s="330">
        <v>0</v>
      </c>
      <c r="L44" s="330">
        <v>0</v>
      </c>
      <c r="M44" s="330">
        <v>0</v>
      </c>
      <c r="N44" s="330">
        <v>0</v>
      </c>
      <c r="O44" s="330">
        <v>0</v>
      </c>
      <c r="P44" s="330">
        <v>0</v>
      </c>
      <c r="Q44" s="330">
        <v>0</v>
      </c>
      <c r="R44" s="330">
        <v>0</v>
      </c>
      <c r="S44" s="330">
        <v>0</v>
      </c>
      <c r="T44" s="330">
        <v>0</v>
      </c>
      <c r="U44" s="330">
        <v>0</v>
      </c>
      <c r="V44" s="330">
        <v>0</v>
      </c>
      <c r="W44" s="330">
        <v>0</v>
      </c>
      <c r="X44" s="330">
        <v>0</v>
      </c>
      <c r="Y44" s="330">
        <v>0</v>
      </c>
      <c r="Z44" s="330">
        <v>0</v>
      </c>
      <c r="AA44" s="330">
        <v>0</v>
      </c>
      <c r="AB44" s="330">
        <v>0</v>
      </c>
      <c r="AC44" s="330">
        <v>0</v>
      </c>
      <c r="AD44" s="330">
        <v>0</v>
      </c>
      <c r="AE44" s="330">
        <v>0</v>
      </c>
      <c r="AF44" s="330">
        <v>0</v>
      </c>
      <c r="AG44" s="330">
        <v>0</v>
      </c>
      <c r="AH44" s="330">
        <v>0</v>
      </c>
      <c r="AI44" s="330">
        <v>0</v>
      </c>
      <c r="AJ44" s="330">
        <v>0</v>
      </c>
      <c r="AK44" s="330">
        <v>0</v>
      </c>
      <c r="AL44" s="330">
        <v>0.88941999999999999</v>
      </c>
      <c r="AM44" s="330">
        <v>0</v>
      </c>
      <c r="AN44" s="330">
        <f t="shared" si="18"/>
        <v>0.88941999999999999</v>
      </c>
      <c r="AO44" s="330">
        <v>233.73</v>
      </c>
      <c r="AP44" s="330">
        <v>0</v>
      </c>
      <c r="AQ44" s="330">
        <f t="shared" si="19"/>
        <v>0.23372999999999999</v>
      </c>
      <c r="AR44" s="336">
        <v>5.5289999999999999E-2</v>
      </c>
      <c r="AS44" s="330">
        <v>0</v>
      </c>
      <c r="AT44" s="336">
        <f t="shared" si="20"/>
        <v>5.5289999999999999E-2</v>
      </c>
      <c r="AU44" s="336">
        <v>1.7989999999999999E-2</v>
      </c>
      <c r="AV44" s="330">
        <v>0</v>
      </c>
      <c r="AW44" s="336">
        <f t="shared" si="21"/>
        <v>1.7989999999999999E-2</v>
      </c>
      <c r="AX44" s="336">
        <v>0</v>
      </c>
      <c r="AY44" s="330">
        <v>0</v>
      </c>
      <c r="AZ44" s="336">
        <f t="shared" si="22"/>
        <v>0</v>
      </c>
    </row>
    <row r="45" spans="4:52">
      <c r="D45" s="335">
        <v>6666021100</v>
      </c>
      <c r="E45" s="330">
        <v>-61025.93</v>
      </c>
      <c r="F45" s="330">
        <v>-1641.1702219210208</v>
      </c>
      <c r="G45" s="330">
        <v>0</v>
      </c>
      <c r="H45" s="330">
        <f t="shared" si="0"/>
        <v>0</v>
      </c>
      <c r="I45" s="330">
        <f t="shared" si="1"/>
        <v>1.6411702219210209</v>
      </c>
      <c r="J45" s="330">
        <v>-128967.25</v>
      </c>
      <c r="K45" s="330">
        <f t="shared" si="2"/>
        <v>-3384.611851774092</v>
      </c>
      <c r="L45" s="330">
        <v>5852</v>
      </c>
      <c r="M45" s="330">
        <f t="shared" si="3"/>
        <v>153.57967667436489</v>
      </c>
      <c r="N45" s="330">
        <f t="shared" si="4"/>
        <v>3.2310321750997271</v>
      </c>
      <c r="O45" s="330">
        <v>-128614.23</v>
      </c>
      <c r="P45" s="330">
        <f t="shared" si="5"/>
        <v>-3159.9072770558619</v>
      </c>
      <c r="Q45" s="330">
        <v>22511.94</v>
      </c>
      <c r="R45" s="330">
        <f t="shared" si="6"/>
        <v>553.09309884796528</v>
      </c>
      <c r="S45" s="330">
        <f t="shared" si="7"/>
        <v>2.6068141782078964</v>
      </c>
      <c r="T45" s="330">
        <v>-113741.75</v>
      </c>
      <c r="U45" s="330">
        <f t="shared" si="8"/>
        <v>-2603.6320726643439</v>
      </c>
      <c r="V45" s="330">
        <v>12652.91</v>
      </c>
      <c r="W45" s="330">
        <f t="shared" si="9"/>
        <v>289.63438920656137</v>
      </c>
      <c r="X45" s="330">
        <f t="shared" si="10"/>
        <v>2.3139976834577825</v>
      </c>
      <c r="Y45" s="330">
        <v>-573550.51000000013</v>
      </c>
      <c r="Z45" s="330">
        <f t="shared" si="11"/>
        <v>-12955.562156374663</v>
      </c>
      <c r="AA45" s="330">
        <v>-13013.22</v>
      </c>
      <c r="AB45" s="330">
        <f t="shared" si="12"/>
        <v>-293.94722456890122</v>
      </c>
      <c r="AC45" s="330">
        <f t="shared" si="13"/>
        <v>13.249509380943564</v>
      </c>
      <c r="AD45" s="330">
        <v>-463979.09</v>
      </c>
      <c r="AE45" s="330">
        <f t="shared" si="14"/>
        <v>-9966.7707066844832</v>
      </c>
      <c r="AF45" s="330">
        <v>2123.2399999999998</v>
      </c>
      <c r="AG45" s="330">
        <f t="shared" si="15"/>
        <v>45.609482606771692</v>
      </c>
      <c r="AH45" s="330">
        <f t="shared" si="16"/>
        <v>9.9211612240777125</v>
      </c>
      <c r="AI45" s="330">
        <v>-5139.7699999999986</v>
      </c>
      <c r="AJ45" s="330">
        <v>2.1364699999999996</v>
      </c>
      <c r="AK45" s="330">
        <f t="shared" si="17"/>
        <v>3.003299999999999</v>
      </c>
      <c r="AL45" s="330">
        <v>7.0430399999999995</v>
      </c>
      <c r="AM45" s="330">
        <v>2341.91</v>
      </c>
      <c r="AN45" s="330">
        <f t="shared" si="18"/>
        <v>4.7011299999999991</v>
      </c>
      <c r="AO45" s="330">
        <v>3915.62</v>
      </c>
      <c r="AP45" s="330">
        <v>824.04</v>
      </c>
      <c r="AQ45" s="330">
        <f t="shared" si="19"/>
        <v>3.09158</v>
      </c>
      <c r="AR45" s="336">
        <v>23.49297</v>
      </c>
      <c r="AS45" s="330">
        <v>0.50453000000000003</v>
      </c>
      <c r="AT45" s="336">
        <f t="shared" si="20"/>
        <v>22.988440000000001</v>
      </c>
      <c r="AU45" s="336">
        <v>6.78444</v>
      </c>
      <c r="AV45" s="330">
        <v>-0.17559</v>
      </c>
      <c r="AW45" s="336">
        <f t="shared" si="21"/>
        <v>6.9600299999999997</v>
      </c>
      <c r="AX45" s="336">
        <v>15.449579999999999</v>
      </c>
      <c r="AY45" s="330">
        <v>7.348679999999999</v>
      </c>
      <c r="AZ45" s="336">
        <f t="shared" si="22"/>
        <v>8.1008999999999993</v>
      </c>
    </row>
    <row r="46" spans="4:52">
      <c r="D46" s="335">
        <v>6666021102</v>
      </c>
      <c r="E46" s="330">
        <v>-15006.7</v>
      </c>
      <c r="F46" s="330">
        <v>-403.5751551725993</v>
      </c>
      <c r="G46" s="330">
        <v>15006.7</v>
      </c>
      <c r="H46" s="330">
        <f t="shared" si="0"/>
        <v>403.5751551725993</v>
      </c>
      <c r="I46" s="330">
        <f t="shared" si="1"/>
        <v>0</v>
      </c>
      <c r="J46" s="330">
        <v>-711608.24</v>
      </c>
      <c r="K46" s="330">
        <f t="shared" si="2"/>
        <v>-18675.420953180768</v>
      </c>
      <c r="L46" s="330">
        <v>239295.88</v>
      </c>
      <c r="M46" s="330">
        <f t="shared" si="3"/>
        <v>6280.0724333403323</v>
      </c>
      <c r="N46" s="330">
        <f t="shared" si="4"/>
        <v>12.395348519840436</v>
      </c>
      <c r="O46" s="330">
        <v>-305161.23</v>
      </c>
      <c r="P46" s="330">
        <f t="shared" si="5"/>
        <v>-7497.4689142275902</v>
      </c>
      <c r="Q46" s="330">
        <v>156770.07</v>
      </c>
      <c r="R46" s="330">
        <f t="shared" si="6"/>
        <v>3851.6646643031404</v>
      </c>
      <c r="S46" s="330">
        <f t="shared" si="7"/>
        <v>3.6458042499244496</v>
      </c>
      <c r="T46" s="330">
        <v>-308182.88</v>
      </c>
      <c r="U46" s="330">
        <f t="shared" si="8"/>
        <v>-7054.5321363005833</v>
      </c>
      <c r="V46" s="330">
        <v>161493.85999999999</v>
      </c>
      <c r="W46" s="330">
        <f t="shared" si="9"/>
        <v>3696.7128906875914</v>
      </c>
      <c r="X46" s="330">
        <f t="shared" si="10"/>
        <v>3.3578192456129918</v>
      </c>
      <c r="Y46" s="330">
        <v>-139769.47000000003</v>
      </c>
      <c r="Z46" s="330">
        <f t="shared" si="11"/>
        <v>-3157.1623153966748</v>
      </c>
      <c r="AA46" s="330">
        <v>-112555.45</v>
      </c>
      <c r="AB46" s="330">
        <f t="shared" si="12"/>
        <v>-2542.4423884022353</v>
      </c>
      <c r="AC46" s="330">
        <f t="shared" si="13"/>
        <v>5.6996047037989097</v>
      </c>
      <c r="AD46" s="330">
        <v>-345529.47</v>
      </c>
      <c r="AE46" s="330">
        <f t="shared" si="14"/>
        <v>-7422.3452610595323</v>
      </c>
      <c r="AF46" s="330">
        <v>135845.81</v>
      </c>
      <c r="AG46" s="330">
        <f t="shared" si="15"/>
        <v>2918.1143480707847</v>
      </c>
      <c r="AH46" s="330">
        <f t="shared" si="16"/>
        <v>4.5042309129887474</v>
      </c>
      <c r="AI46" s="330">
        <v>-3155.7700000000004</v>
      </c>
      <c r="AJ46" s="330">
        <v>0.76645000000000008</v>
      </c>
      <c r="AK46" s="330">
        <f t="shared" si="17"/>
        <v>2.3893200000000006</v>
      </c>
      <c r="AL46" s="330">
        <v>2.7980100000000001</v>
      </c>
      <c r="AM46" s="330">
        <v>1565.71</v>
      </c>
      <c r="AN46" s="330">
        <f t="shared" si="18"/>
        <v>1.2323000000000002</v>
      </c>
      <c r="AO46" s="330">
        <v>3947.3699999999994</v>
      </c>
      <c r="AP46" s="330">
        <v>1612.17</v>
      </c>
      <c r="AQ46" s="330">
        <f t="shared" si="19"/>
        <v>2.3351999999999995</v>
      </c>
      <c r="AR46" s="336">
        <v>2.6446199999999997</v>
      </c>
      <c r="AS46" s="330">
        <v>1.3381000000000001</v>
      </c>
      <c r="AT46" s="336">
        <f t="shared" si="20"/>
        <v>1.3065199999999997</v>
      </c>
      <c r="AU46" s="336">
        <v>5.7979899999999995</v>
      </c>
      <c r="AV46" s="330">
        <v>1.6528000000000003</v>
      </c>
      <c r="AW46" s="336">
        <f t="shared" si="21"/>
        <v>4.1451899999999995</v>
      </c>
      <c r="AX46" s="336">
        <v>12.085090000000001</v>
      </c>
      <c r="AY46" s="330">
        <v>7.9032699999999991</v>
      </c>
      <c r="AZ46" s="336">
        <f t="shared" si="22"/>
        <v>4.1818200000000019</v>
      </c>
    </row>
    <row r="47" spans="4:52">
      <c r="D47" s="335">
        <v>6666021104</v>
      </c>
      <c r="E47" s="330">
        <v>0</v>
      </c>
      <c r="F47" s="330">
        <v>0</v>
      </c>
      <c r="G47" s="330">
        <v>0</v>
      </c>
      <c r="H47" s="330">
        <f t="shared" si="0"/>
        <v>0</v>
      </c>
      <c r="I47" s="330">
        <f t="shared" si="1"/>
        <v>0</v>
      </c>
      <c r="J47" s="330">
        <v>0</v>
      </c>
      <c r="K47" s="330">
        <f t="shared" si="2"/>
        <v>0</v>
      </c>
      <c r="L47" s="330">
        <v>0</v>
      </c>
      <c r="M47" s="330">
        <f t="shared" si="3"/>
        <v>0</v>
      </c>
      <c r="N47" s="330">
        <f t="shared" si="4"/>
        <v>0</v>
      </c>
      <c r="O47" s="330">
        <v>0</v>
      </c>
      <c r="P47" s="330">
        <f t="shared" si="5"/>
        <v>0</v>
      </c>
      <c r="Q47" s="330">
        <v>0</v>
      </c>
      <c r="R47" s="330">
        <f t="shared" si="6"/>
        <v>0</v>
      </c>
      <c r="S47" s="330">
        <f t="shared" si="7"/>
        <v>0</v>
      </c>
      <c r="T47" s="330">
        <v>-7504.04</v>
      </c>
      <c r="U47" s="330">
        <f t="shared" si="8"/>
        <v>-171.77297886269679</v>
      </c>
      <c r="V47" s="330">
        <v>0</v>
      </c>
      <c r="W47" s="330">
        <f t="shared" si="9"/>
        <v>0</v>
      </c>
      <c r="X47" s="330">
        <f t="shared" si="10"/>
        <v>0.1717729788626968</v>
      </c>
      <c r="Y47" s="330">
        <v>-56600.27</v>
      </c>
      <c r="Z47" s="330">
        <f t="shared" si="11"/>
        <v>-1278.5069549543036</v>
      </c>
      <c r="AA47" s="330">
        <v>152.96</v>
      </c>
      <c r="AB47" s="330">
        <f t="shared" si="12"/>
        <v>3.4551146810750248</v>
      </c>
      <c r="AC47" s="330">
        <f t="shared" si="13"/>
        <v>1.2750518402732287</v>
      </c>
      <c r="AD47" s="330">
        <v>-15083.68</v>
      </c>
      <c r="AE47" s="330">
        <f t="shared" si="14"/>
        <v>-324.01369633489861</v>
      </c>
      <c r="AF47" s="330">
        <v>0</v>
      </c>
      <c r="AG47" s="330">
        <f t="shared" si="15"/>
        <v>0</v>
      </c>
      <c r="AH47" s="330">
        <f t="shared" si="16"/>
        <v>0.32401369633489863</v>
      </c>
      <c r="AI47" s="330">
        <v>0</v>
      </c>
      <c r="AJ47" s="330">
        <v>0</v>
      </c>
      <c r="AK47" s="330">
        <f t="shared" si="17"/>
        <v>0</v>
      </c>
      <c r="AL47" s="330">
        <v>1.358E-2</v>
      </c>
      <c r="AM47" s="330">
        <v>0</v>
      </c>
      <c r="AN47" s="330">
        <f t="shared" si="18"/>
        <v>1.358E-2</v>
      </c>
      <c r="AO47" s="330">
        <v>76.100000000000009</v>
      </c>
      <c r="AP47" s="330">
        <v>76.400000000000006</v>
      </c>
      <c r="AQ47" s="330">
        <f t="shared" si="19"/>
        <v>-2.9999999999999715E-4</v>
      </c>
      <c r="AR47" s="336">
        <v>5.0000000000000002E-5</v>
      </c>
      <c r="AS47" s="330">
        <v>5.0000000000000002E-5</v>
      </c>
      <c r="AT47" s="336">
        <f t="shared" si="20"/>
        <v>0</v>
      </c>
      <c r="AU47" s="336">
        <v>4.2430000000000002E-2</v>
      </c>
      <c r="AV47" s="330">
        <v>4.2419999999999999E-2</v>
      </c>
      <c r="AW47" s="336">
        <f t="shared" si="21"/>
        <v>1.0000000000003062E-5</v>
      </c>
      <c r="AX47" s="336">
        <v>0.23013999999999998</v>
      </c>
      <c r="AY47" s="330">
        <v>0.23013999999999998</v>
      </c>
      <c r="AZ47" s="336">
        <f t="shared" si="22"/>
        <v>0</v>
      </c>
    </row>
    <row r="48" spans="4:52">
      <c r="D48" s="335">
        <v>6666021200</v>
      </c>
      <c r="E48" s="330">
        <v>0</v>
      </c>
      <c r="F48" s="330">
        <v>0</v>
      </c>
      <c r="G48" s="330">
        <v>0</v>
      </c>
      <c r="H48" s="330">
        <f t="shared" si="0"/>
        <v>0</v>
      </c>
      <c r="I48" s="330">
        <f t="shared" si="1"/>
        <v>0</v>
      </c>
      <c r="J48" s="330">
        <v>0</v>
      </c>
      <c r="K48" s="330">
        <f t="shared" si="2"/>
        <v>0</v>
      </c>
      <c r="L48" s="330">
        <v>0</v>
      </c>
      <c r="M48" s="330">
        <f t="shared" si="3"/>
        <v>0</v>
      </c>
      <c r="N48" s="330">
        <f t="shared" si="4"/>
        <v>0</v>
      </c>
      <c r="O48" s="330">
        <v>0</v>
      </c>
      <c r="P48" s="330">
        <f t="shared" si="5"/>
        <v>0</v>
      </c>
      <c r="Q48" s="330">
        <v>0</v>
      </c>
      <c r="R48" s="330">
        <f t="shared" si="6"/>
        <v>0</v>
      </c>
      <c r="S48" s="330">
        <f t="shared" si="7"/>
        <v>0</v>
      </c>
      <c r="T48" s="330">
        <v>0</v>
      </c>
      <c r="U48" s="330">
        <f t="shared" si="8"/>
        <v>0</v>
      </c>
      <c r="V48" s="330">
        <v>0</v>
      </c>
      <c r="W48" s="330">
        <f t="shared" si="9"/>
        <v>0</v>
      </c>
      <c r="X48" s="330">
        <f t="shared" si="10"/>
        <v>0</v>
      </c>
      <c r="Y48" s="330">
        <v>0</v>
      </c>
      <c r="Z48" s="330">
        <f t="shared" si="11"/>
        <v>0</v>
      </c>
      <c r="AA48" s="330">
        <v>0</v>
      </c>
      <c r="AB48" s="330">
        <f t="shared" si="12"/>
        <v>0</v>
      </c>
      <c r="AC48" s="330">
        <f t="shared" si="13"/>
        <v>0</v>
      </c>
      <c r="AD48" s="330">
        <v>0</v>
      </c>
      <c r="AE48" s="330">
        <f t="shared" si="14"/>
        <v>0</v>
      </c>
      <c r="AF48" s="330">
        <v>0</v>
      </c>
      <c r="AG48" s="330">
        <f t="shared" si="15"/>
        <v>0</v>
      </c>
      <c r="AH48" s="330">
        <f t="shared" si="16"/>
        <v>0</v>
      </c>
      <c r="AI48" s="330">
        <v>-566.78</v>
      </c>
      <c r="AJ48" s="330">
        <v>0</v>
      </c>
      <c r="AK48" s="330">
        <f t="shared" si="17"/>
        <v>0.56677999999999995</v>
      </c>
      <c r="AL48" s="330">
        <v>0.75752999999999993</v>
      </c>
      <c r="AM48" s="330">
        <v>0</v>
      </c>
      <c r="AN48" s="330">
        <f t="shared" si="18"/>
        <v>0.75752999999999993</v>
      </c>
      <c r="AO48" s="330">
        <v>666.03</v>
      </c>
      <c r="AP48" s="330">
        <v>0</v>
      </c>
      <c r="AQ48" s="330">
        <f t="shared" si="19"/>
        <v>0.66603000000000001</v>
      </c>
      <c r="AR48" s="336">
        <v>-0.66603000000000001</v>
      </c>
      <c r="AS48" s="330">
        <v>0</v>
      </c>
      <c r="AT48" s="336">
        <f t="shared" si="20"/>
        <v>-0.66603000000000001</v>
      </c>
      <c r="AU48" s="336">
        <v>0</v>
      </c>
      <c r="AV48" s="330">
        <v>0</v>
      </c>
      <c r="AW48" s="336">
        <f t="shared" si="21"/>
        <v>0</v>
      </c>
      <c r="AX48" s="336">
        <v>0</v>
      </c>
      <c r="AY48" s="330">
        <v>0</v>
      </c>
      <c r="AZ48" s="336">
        <f t="shared" si="22"/>
        <v>0</v>
      </c>
    </row>
    <row r="49" spans="4:52">
      <c r="D49" s="335">
        <v>6666021300</v>
      </c>
      <c r="E49" s="330">
        <v>-94443.680000000008</v>
      </c>
      <c r="F49" s="330">
        <v>-2539.8737104807396</v>
      </c>
      <c r="G49" s="330">
        <v>10280.52</v>
      </c>
      <c r="H49" s="330">
        <f t="shared" si="0"/>
        <v>276.47400522799887</v>
      </c>
      <c r="I49" s="330">
        <f t="shared" si="1"/>
        <v>2.2633997052527408</v>
      </c>
      <c r="J49" s="330">
        <v>-94504</v>
      </c>
      <c r="K49" s="330">
        <f t="shared" si="2"/>
        <v>-2480.1595633004408</v>
      </c>
      <c r="L49" s="330">
        <v>0</v>
      </c>
      <c r="M49" s="330">
        <f t="shared" si="3"/>
        <v>0</v>
      </c>
      <c r="N49" s="330">
        <f t="shared" si="4"/>
        <v>2.480159563300441</v>
      </c>
      <c r="O49" s="330">
        <v>-208458.64</v>
      </c>
      <c r="P49" s="330">
        <f t="shared" si="5"/>
        <v>-5121.5948149840669</v>
      </c>
      <c r="Q49" s="330">
        <v>104567.02</v>
      </c>
      <c r="R49" s="330">
        <f t="shared" si="6"/>
        <v>2569.0943174642953</v>
      </c>
      <c r="S49" s="330">
        <f t="shared" si="7"/>
        <v>2.5525004975197718</v>
      </c>
      <c r="T49" s="330">
        <v>-109368.54</v>
      </c>
      <c r="U49" s="330">
        <f t="shared" si="8"/>
        <v>-2503.5260885688253</v>
      </c>
      <c r="V49" s="330">
        <v>20573.54</v>
      </c>
      <c r="W49" s="330">
        <f t="shared" si="9"/>
        <v>470.94341868524788</v>
      </c>
      <c r="X49" s="330">
        <f t="shared" si="10"/>
        <v>2.0325826698835776</v>
      </c>
      <c r="Y49" s="330">
        <v>-91442.94</v>
      </c>
      <c r="Z49" s="330">
        <f t="shared" si="11"/>
        <v>-2065.5455313458592</v>
      </c>
      <c r="AA49" s="330">
        <v>7933.27</v>
      </c>
      <c r="AB49" s="330">
        <f t="shared" si="12"/>
        <v>179.19951389861444</v>
      </c>
      <c r="AC49" s="330">
        <f t="shared" si="13"/>
        <v>1.8863460174472448</v>
      </c>
      <c r="AD49" s="330">
        <v>-38651</v>
      </c>
      <c r="AE49" s="330">
        <f t="shared" si="14"/>
        <v>-830.26511945627101</v>
      </c>
      <c r="AF49" s="330">
        <v>35138.97</v>
      </c>
      <c r="AG49" s="330">
        <f t="shared" si="15"/>
        <v>754.82293147965959</v>
      </c>
      <c r="AH49" s="330">
        <f t="shared" si="16"/>
        <v>7.5442187976611425E-2</v>
      </c>
      <c r="AI49" s="330">
        <v>-3652.46</v>
      </c>
      <c r="AJ49" s="330">
        <v>2.7579999999999997E-2</v>
      </c>
      <c r="AK49" s="330">
        <f t="shared" si="17"/>
        <v>3.6248800000000001</v>
      </c>
      <c r="AL49" s="330">
        <v>1.17045</v>
      </c>
      <c r="AM49" s="330">
        <v>0</v>
      </c>
      <c r="AN49" s="330">
        <f t="shared" si="18"/>
        <v>1.17045</v>
      </c>
      <c r="AO49" s="330">
        <v>937.97</v>
      </c>
      <c r="AP49" s="330">
        <v>100.26</v>
      </c>
      <c r="AQ49" s="330">
        <f t="shared" si="19"/>
        <v>0.83771000000000007</v>
      </c>
      <c r="AR49" s="336">
        <v>3.3429699999999998</v>
      </c>
      <c r="AS49" s="330">
        <v>-9.240000000000001E-2</v>
      </c>
      <c r="AT49" s="336">
        <f t="shared" si="20"/>
        <v>3.4353699999999998</v>
      </c>
      <c r="AU49" s="336">
        <v>0.61794000000000004</v>
      </c>
      <c r="AV49" s="330">
        <v>0.55847999999999998</v>
      </c>
      <c r="AW49" s="336">
        <f t="shared" si="21"/>
        <v>5.9460000000000068E-2</v>
      </c>
      <c r="AX49" s="336">
        <v>0.16782</v>
      </c>
      <c r="AY49" s="330">
        <v>0.16782</v>
      </c>
      <c r="AZ49" s="336">
        <f t="shared" si="22"/>
        <v>0</v>
      </c>
    </row>
    <row r="50" spans="4:52">
      <c r="D50" s="335">
        <v>6666021400</v>
      </c>
      <c r="E50" s="330">
        <v>0</v>
      </c>
      <c r="F50" s="330">
        <v>0</v>
      </c>
      <c r="G50" s="330">
        <v>0</v>
      </c>
      <c r="H50" s="330">
        <f t="shared" si="0"/>
        <v>0</v>
      </c>
      <c r="I50" s="330">
        <f t="shared" si="1"/>
        <v>0</v>
      </c>
      <c r="J50" s="330">
        <v>0</v>
      </c>
      <c r="K50" s="330">
        <f t="shared" si="2"/>
        <v>0</v>
      </c>
      <c r="L50" s="330">
        <v>0</v>
      </c>
      <c r="M50" s="330">
        <f t="shared" si="3"/>
        <v>0</v>
      </c>
      <c r="N50" s="330">
        <f t="shared" si="4"/>
        <v>0</v>
      </c>
      <c r="O50" s="330">
        <v>0</v>
      </c>
      <c r="P50" s="330">
        <f t="shared" si="5"/>
        <v>0</v>
      </c>
      <c r="Q50" s="330">
        <v>0</v>
      </c>
      <c r="R50" s="330">
        <f t="shared" si="6"/>
        <v>0</v>
      </c>
      <c r="S50" s="330">
        <f t="shared" si="7"/>
        <v>0</v>
      </c>
      <c r="T50" s="330">
        <v>0</v>
      </c>
      <c r="U50" s="330">
        <f t="shared" si="8"/>
        <v>0</v>
      </c>
      <c r="V50" s="330">
        <v>0</v>
      </c>
      <c r="W50" s="330">
        <f t="shared" si="9"/>
        <v>0</v>
      </c>
      <c r="X50" s="330">
        <f t="shared" si="10"/>
        <v>0</v>
      </c>
      <c r="Y50" s="330">
        <v>-30947.02</v>
      </c>
      <c r="Z50" s="330">
        <f t="shared" si="11"/>
        <v>-699.04225377564342</v>
      </c>
      <c r="AA50" s="330">
        <v>0</v>
      </c>
      <c r="AB50" s="330">
        <f t="shared" si="12"/>
        <v>0</v>
      </c>
      <c r="AC50" s="330">
        <f t="shared" si="13"/>
        <v>0.69904225377564344</v>
      </c>
      <c r="AD50" s="330">
        <v>0</v>
      </c>
      <c r="AE50" s="330">
        <f t="shared" si="14"/>
        <v>0</v>
      </c>
      <c r="AF50" s="330">
        <v>0</v>
      </c>
      <c r="AG50" s="330">
        <f t="shared" si="15"/>
        <v>0</v>
      </c>
      <c r="AH50" s="330">
        <f t="shared" si="16"/>
        <v>0</v>
      </c>
      <c r="AI50" s="330">
        <v>-179.39</v>
      </c>
      <c r="AJ50" s="330">
        <v>0</v>
      </c>
      <c r="AK50" s="330">
        <f t="shared" si="17"/>
        <v>0.17938999999999999</v>
      </c>
      <c r="AL50" s="330">
        <v>5.9999999999999995E-5</v>
      </c>
      <c r="AM50" s="330">
        <v>0</v>
      </c>
      <c r="AN50" s="330">
        <f t="shared" si="18"/>
        <v>5.9999999999999995E-5</v>
      </c>
      <c r="AO50" s="330">
        <v>0</v>
      </c>
      <c r="AP50" s="330">
        <v>0</v>
      </c>
      <c r="AQ50" s="330">
        <f t="shared" si="19"/>
        <v>0</v>
      </c>
      <c r="AR50" s="336">
        <v>0</v>
      </c>
      <c r="AS50" s="330">
        <v>0</v>
      </c>
      <c r="AT50" s="336">
        <f t="shared" si="20"/>
        <v>0</v>
      </c>
      <c r="AU50" s="336">
        <v>1.0880000000000001</v>
      </c>
      <c r="AV50" s="330">
        <v>0</v>
      </c>
      <c r="AW50" s="336">
        <f t="shared" si="21"/>
        <v>1.0880000000000001</v>
      </c>
      <c r="AX50" s="336">
        <v>1.24E-3</v>
      </c>
      <c r="AY50" s="330">
        <v>0</v>
      </c>
      <c r="AZ50" s="336">
        <f t="shared" si="22"/>
        <v>1.24E-3</v>
      </c>
    </row>
    <row r="51" spans="4:52">
      <c r="D51" s="335">
        <v>6666021502</v>
      </c>
      <c r="E51" s="330">
        <v>-8220.0300000000007</v>
      </c>
      <c r="F51" s="330">
        <v>-221.06125149256144</v>
      </c>
      <c r="G51" s="330">
        <v>0</v>
      </c>
      <c r="H51" s="330">
        <f t="shared" si="0"/>
        <v>0</v>
      </c>
      <c r="I51" s="330">
        <f t="shared" si="1"/>
        <v>0.22106125149256145</v>
      </c>
      <c r="J51" s="330">
        <v>-22756.07</v>
      </c>
      <c r="K51" s="330">
        <f t="shared" si="2"/>
        <v>-597.2094793197565</v>
      </c>
      <c r="L51" s="330">
        <v>19940.509999999998</v>
      </c>
      <c r="M51" s="330">
        <f t="shared" si="3"/>
        <v>523.3180243543984</v>
      </c>
      <c r="N51" s="330">
        <f t="shared" si="4"/>
        <v>7.3891454965358094E-2</v>
      </c>
      <c r="O51" s="330">
        <v>-38063.200000000004</v>
      </c>
      <c r="P51" s="330">
        <f t="shared" si="5"/>
        <v>-935.17010262420183</v>
      </c>
      <c r="Q51" s="330">
        <v>37982.050000000003</v>
      </c>
      <c r="R51" s="330">
        <f t="shared" si="6"/>
        <v>933.17633820534184</v>
      </c>
      <c r="S51" s="330">
        <f t="shared" si="7"/>
        <v>1.993764418859996E-3</v>
      </c>
      <c r="T51" s="330">
        <v>-2182.1799999999998</v>
      </c>
      <c r="U51" s="330">
        <f t="shared" si="8"/>
        <v>-49.951700552582302</v>
      </c>
      <c r="V51" s="330">
        <v>1674.03</v>
      </c>
      <c r="W51" s="330">
        <f t="shared" si="9"/>
        <v>38.319774388931869</v>
      </c>
      <c r="X51" s="330">
        <f t="shared" si="10"/>
        <v>1.1631926163650434E-2</v>
      </c>
      <c r="Y51" s="330">
        <v>-47788.59</v>
      </c>
      <c r="Z51" s="330">
        <f t="shared" si="11"/>
        <v>-1079.4656047128342</v>
      </c>
      <c r="AA51" s="330">
        <v>0.04</v>
      </c>
      <c r="AB51" s="330">
        <f t="shared" si="12"/>
        <v>9.0353417392129317E-4</v>
      </c>
      <c r="AC51" s="330">
        <f t="shared" si="13"/>
        <v>1.0794647011786602</v>
      </c>
      <c r="AD51" s="330">
        <v>-1991.4399999999998</v>
      </c>
      <c r="AE51" s="330">
        <f t="shared" si="14"/>
        <v>-42.778276616128849</v>
      </c>
      <c r="AF51" s="330">
        <v>16.12</v>
      </c>
      <c r="AG51" s="330">
        <f t="shared" si="15"/>
        <v>0.34627496638211402</v>
      </c>
      <c r="AH51" s="330">
        <f t="shared" si="16"/>
        <v>4.2432001649746739E-2</v>
      </c>
      <c r="AI51" s="330">
        <v>-339.38</v>
      </c>
      <c r="AJ51" s="330">
        <v>0.30964999999999998</v>
      </c>
      <c r="AK51" s="330">
        <f t="shared" si="17"/>
        <v>2.9730000000000034E-2</v>
      </c>
      <c r="AL51" s="330">
        <v>0.20589999999999997</v>
      </c>
      <c r="AM51" s="330">
        <v>94.05</v>
      </c>
      <c r="AN51" s="330">
        <f t="shared" si="18"/>
        <v>0.11184999999999998</v>
      </c>
      <c r="AO51" s="330">
        <v>260.27999999999997</v>
      </c>
      <c r="AP51" s="330">
        <v>260.27999999999997</v>
      </c>
      <c r="AQ51" s="330">
        <f t="shared" si="19"/>
        <v>0</v>
      </c>
      <c r="AR51" s="336">
        <v>-1.1700000000000018E-2</v>
      </c>
      <c r="AS51" s="330">
        <v>-1.1700000000000018E-2</v>
      </c>
      <c r="AT51" s="336">
        <f t="shared" si="20"/>
        <v>0</v>
      </c>
      <c r="AU51" s="336">
        <v>5.0000000000000002E-5</v>
      </c>
      <c r="AV51" s="330">
        <v>0</v>
      </c>
      <c r="AW51" s="336">
        <f t="shared" si="21"/>
        <v>5.0000000000000002E-5</v>
      </c>
      <c r="AX51" s="336">
        <v>0.34656999999999999</v>
      </c>
      <c r="AY51" s="330">
        <v>0.13019</v>
      </c>
      <c r="AZ51" s="336">
        <f t="shared" si="22"/>
        <v>0.21637999999999999</v>
      </c>
    </row>
    <row r="52" spans="4:52">
      <c r="D52" s="335">
        <v>6666021505</v>
      </c>
      <c r="E52" s="330">
        <v>0</v>
      </c>
      <c r="F52" s="330">
        <v>0</v>
      </c>
      <c r="G52" s="330">
        <v>0</v>
      </c>
      <c r="H52" s="330">
        <f t="shared" si="0"/>
        <v>0</v>
      </c>
      <c r="I52" s="330">
        <f t="shared" si="1"/>
        <v>0</v>
      </c>
      <c r="J52" s="330">
        <v>0</v>
      </c>
      <c r="K52" s="330">
        <f t="shared" si="2"/>
        <v>0</v>
      </c>
      <c r="L52" s="330">
        <v>0</v>
      </c>
      <c r="M52" s="330">
        <f t="shared" si="3"/>
        <v>0</v>
      </c>
      <c r="N52" s="330">
        <f t="shared" si="4"/>
        <v>0</v>
      </c>
      <c r="O52" s="330">
        <v>0</v>
      </c>
      <c r="P52" s="330">
        <f t="shared" si="5"/>
        <v>0</v>
      </c>
      <c r="Q52" s="330">
        <v>0</v>
      </c>
      <c r="R52" s="330">
        <f t="shared" si="6"/>
        <v>0</v>
      </c>
      <c r="S52" s="330">
        <f t="shared" si="7"/>
        <v>0</v>
      </c>
      <c r="T52" s="330">
        <v>0</v>
      </c>
      <c r="U52" s="330">
        <f t="shared" si="8"/>
        <v>0</v>
      </c>
      <c r="V52" s="330">
        <v>0</v>
      </c>
      <c r="W52" s="330">
        <f t="shared" si="9"/>
        <v>0</v>
      </c>
      <c r="X52" s="330">
        <f t="shared" si="10"/>
        <v>0</v>
      </c>
      <c r="Y52" s="330">
        <v>-1082.9100000000001</v>
      </c>
      <c r="Z52" s="330">
        <f t="shared" si="11"/>
        <v>-24.46115480702769</v>
      </c>
      <c r="AA52" s="330">
        <v>1082.9100000000001</v>
      </c>
      <c r="AB52" s="330">
        <f t="shared" si="12"/>
        <v>24.46115480702769</v>
      </c>
      <c r="AC52" s="330">
        <f t="shared" si="13"/>
        <v>0</v>
      </c>
      <c r="AD52" s="330">
        <v>0</v>
      </c>
      <c r="AE52" s="330">
        <f t="shared" si="14"/>
        <v>0</v>
      </c>
      <c r="AF52" s="330">
        <v>0</v>
      </c>
      <c r="AG52" s="330">
        <f t="shared" si="15"/>
        <v>0</v>
      </c>
      <c r="AH52" s="330">
        <f t="shared" si="16"/>
        <v>0</v>
      </c>
      <c r="AI52" s="330">
        <v>0</v>
      </c>
      <c r="AJ52" s="330">
        <v>0</v>
      </c>
      <c r="AK52" s="330">
        <f t="shared" si="17"/>
        <v>0</v>
      </c>
      <c r="AL52" s="330">
        <v>0</v>
      </c>
      <c r="AM52" s="330">
        <v>0</v>
      </c>
      <c r="AN52" s="330">
        <f t="shared" si="18"/>
        <v>0</v>
      </c>
      <c r="AO52" s="330">
        <v>0</v>
      </c>
      <c r="AP52" s="330">
        <v>0</v>
      </c>
      <c r="AQ52" s="330">
        <f t="shared" si="19"/>
        <v>0</v>
      </c>
      <c r="AR52" s="336">
        <v>0</v>
      </c>
      <c r="AS52" s="330">
        <v>0</v>
      </c>
      <c r="AT52" s="336">
        <f t="shared" si="20"/>
        <v>0</v>
      </c>
      <c r="AU52" s="336">
        <v>0</v>
      </c>
      <c r="AV52" s="330">
        <v>0</v>
      </c>
      <c r="AW52" s="336">
        <f t="shared" si="21"/>
        <v>0</v>
      </c>
      <c r="AX52" s="336">
        <v>1.3820000000000001E-2</v>
      </c>
      <c r="AY52" s="330">
        <v>1.3820000000000001E-2</v>
      </c>
      <c r="AZ52" s="336">
        <f t="shared" si="22"/>
        <v>0</v>
      </c>
    </row>
    <row r="53" spans="4:52">
      <c r="D53" s="335">
        <v>6666021600</v>
      </c>
      <c r="E53" s="330">
        <v>-13310.11</v>
      </c>
      <c r="F53" s="330">
        <v>-357.94876345994561</v>
      </c>
      <c r="G53" s="330">
        <v>13310.11</v>
      </c>
      <c r="H53" s="330">
        <f t="shared" si="0"/>
        <v>357.94876345994561</v>
      </c>
      <c r="I53" s="330">
        <f t="shared" si="1"/>
        <v>0</v>
      </c>
      <c r="J53" s="330">
        <v>-103131.65</v>
      </c>
      <c r="K53" s="330">
        <f t="shared" si="2"/>
        <v>-2706.5832983413816</v>
      </c>
      <c r="L53" s="330">
        <v>103131.65</v>
      </c>
      <c r="M53" s="330">
        <f t="shared" si="3"/>
        <v>2706.5832983413816</v>
      </c>
      <c r="N53" s="330">
        <f t="shared" si="4"/>
        <v>0</v>
      </c>
      <c r="O53" s="330">
        <v>-86261.87</v>
      </c>
      <c r="P53" s="330">
        <f t="shared" si="5"/>
        <v>-2119.3573272992166</v>
      </c>
      <c r="Q53" s="330">
        <v>86261.87</v>
      </c>
      <c r="R53" s="330">
        <f t="shared" si="6"/>
        <v>2119.3573272992166</v>
      </c>
      <c r="S53" s="330">
        <f t="shared" si="7"/>
        <v>0</v>
      </c>
      <c r="T53" s="330">
        <v>-84486.97</v>
      </c>
      <c r="U53" s="330">
        <f t="shared" si="8"/>
        <v>-1933.968703789332</v>
      </c>
      <c r="V53" s="330">
        <v>84486.97</v>
      </c>
      <c r="W53" s="330">
        <f t="shared" si="9"/>
        <v>1933.968703789332</v>
      </c>
      <c r="X53" s="330">
        <f t="shared" si="10"/>
        <v>0</v>
      </c>
      <c r="Y53" s="330">
        <v>-42201.16</v>
      </c>
      <c r="Z53" s="330">
        <f t="shared" si="11"/>
        <v>-953.25475597800801</v>
      </c>
      <c r="AA53" s="330">
        <v>42201.16</v>
      </c>
      <c r="AB53" s="330">
        <f t="shared" si="12"/>
        <v>953.25475597800801</v>
      </c>
      <c r="AC53" s="330">
        <f t="shared" si="13"/>
        <v>0</v>
      </c>
      <c r="AD53" s="330">
        <v>-43068.44</v>
      </c>
      <c r="AE53" s="330">
        <f t="shared" si="14"/>
        <v>-925.15648964826892</v>
      </c>
      <c r="AF53" s="330">
        <v>43068.44</v>
      </c>
      <c r="AG53" s="330">
        <f t="shared" si="15"/>
        <v>925.15648964826892</v>
      </c>
      <c r="AH53" s="330">
        <f t="shared" si="16"/>
        <v>0</v>
      </c>
      <c r="AI53" s="330">
        <v>-1131.58</v>
      </c>
      <c r="AJ53" s="330">
        <v>1.13158</v>
      </c>
      <c r="AK53" s="330">
        <f t="shared" si="17"/>
        <v>0</v>
      </c>
      <c r="AL53" s="330">
        <v>1.18693</v>
      </c>
      <c r="AM53" s="330">
        <v>1186.93</v>
      </c>
      <c r="AN53" s="330">
        <f t="shared" si="18"/>
        <v>0</v>
      </c>
      <c r="AO53" s="330">
        <v>1133.57</v>
      </c>
      <c r="AP53" s="330">
        <v>1133.57</v>
      </c>
      <c r="AQ53" s="330">
        <f t="shared" si="19"/>
        <v>0</v>
      </c>
      <c r="AR53" s="336">
        <v>1.0625</v>
      </c>
      <c r="AS53" s="330">
        <v>1.0625</v>
      </c>
      <c r="AT53" s="336">
        <f t="shared" si="20"/>
        <v>0</v>
      </c>
      <c r="AU53" s="336">
        <v>0.77616999999999992</v>
      </c>
      <c r="AV53" s="330">
        <v>0.77616999999999992</v>
      </c>
      <c r="AW53" s="336">
        <f t="shared" si="21"/>
        <v>0</v>
      </c>
      <c r="AX53" s="336">
        <v>1.7985499999999999</v>
      </c>
      <c r="AY53" s="330">
        <v>1.7902400000000005</v>
      </c>
      <c r="AZ53" s="336">
        <f t="shared" si="22"/>
        <v>8.3099999999993734E-3</v>
      </c>
    </row>
    <row r="54" spans="4:52">
      <c r="D54" s="335">
        <v>6666021604</v>
      </c>
      <c r="E54" s="330">
        <v>0</v>
      </c>
      <c r="F54" s="330">
        <v>0</v>
      </c>
      <c r="G54" s="330">
        <v>0</v>
      </c>
      <c r="H54" s="330">
        <f t="shared" si="0"/>
        <v>0</v>
      </c>
      <c r="I54" s="330">
        <f t="shared" si="1"/>
        <v>0</v>
      </c>
      <c r="J54" s="330">
        <v>0</v>
      </c>
      <c r="K54" s="330">
        <f t="shared" si="2"/>
        <v>0</v>
      </c>
      <c r="L54" s="330">
        <v>0</v>
      </c>
      <c r="M54" s="330">
        <f t="shared" si="3"/>
        <v>0</v>
      </c>
      <c r="N54" s="330">
        <f t="shared" si="4"/>
        <v>0</v>
      </c>
      <c r="O54" s="330">
        <v>0</v>
      </c>
      <c r="P54" s="330">
        <f t="shared" si="5"/>
        <v>0</v>
      </c>
      <c r="Q54" s="330">
        <v>0</v>
      </c>
      <c r="R54" s="330">
        <f t="shared" si="6"/>
        <v>0</v>
      </c>
      <c r="S54" s="330">
        <f t="shared" si="7"/>
        <v>0</v>
      </c>
      <c r="T54" s="330">
        <v>0</v>
      </c>
      <c r="U54" s="330">
        <f t="shared" si="8"/>
        <v>0</v>
      </c>
      <c r="V54" s="330">
        <v>0</v>
      </c>
      <c r="W54" s="330">
        <f t="shared" si="9"/>
        <v>0</v>
      </c>
      <c r="X54" s="330">
        <f t="shared" si="10"/>
        <v>0</v>
      </c>
      <c r="Y54" s="330">
        <v>0</v>
      </c>
      <c r="Z54" s="330">
        <f t="shared" si="11"/>
        <v>0</v>
      </c>
      <c r="AA54" s="330">
        <v>0</v>
      </c>
      <c r="AB54" s="330">
        <f t="shared" si="12"/>
        <v>0</v>
      </c>
      <c r="AC54" s="330">
        <f t="shared" si="13"/>
        <v>0</v>
      </c>
      <c r="AD54" s="330">
        <v>0</v>
      </c>
      <c r="AE54" s="330">
        <f t="shared" si="14"/>
        <v>0</v>
      </c>
      <c r="AF54" s="330">
        <v>0</v>
      </c>
      <c r="AG54" s="330">
        <f t="shared" si="15"/>
        <v>0</v>
      </c>
      <c r="AH54" s="330">
        <f t="shared" si="16"/>
        <v>0</v>
      </c>
      <c r="AI54" s="330">
        <v>-46.15</v>
      </c>
      <c r="AJ54" s="330">
        <v>4.6149999999999997E-2</v>
      </c>
      <c r="AK54" s="330">
        <f t="shared" si="17"/>
        <v>0</v>
      </c>
      <c r="AL54" s="330">
        <v>-7.6000000000000004E-4</v>
      </c>
      <c r="AM54" s="330">
        <v>-0.76</v>
      </c>
      <c r="AN54" s="330">
        <f t="shared" si="18"/>
        <v>0</v>
      </c>
      <c r="AO54" s="330">
        <v>-0.89</v>
      </c>
      <c r="AP54" s="330">
        <v>-0.89</v>
      </c>
      <c r="AQ54" s="330">
        <f t="shared" si="19"/>
        <v>0</v>
      </c>
      <c r="AR54" s="336">
        <v>2.026E-2</v>
      </c>
      <c r="AS54" s="330">
        <v>2.026E-2</v>
      </c>
      <c r="AT54" s="336">
        <f t="shared" si="20"/>
        <v>0</v>
      </c>
      <c r="AU54" s="336">
        <v>2.7550000000000002E-2</v>
      </c>
      <c r="AV54" s="330">
        <v>2.7550000000000002E-2</v>
      </c>
      <c r="AW54" s="336">
        <f t="shared" si="21"/>
        <v>0</v>
      </c>
      <c r="AX54" s="336">
        <v>3.8649999999999997E-2</v>
      </c>
      <c r="AY54" s="330">
        <v>3.8429999999999999E-2</v>
      </c>
      <c r="AZ54" s="336">
        <f t="shared" si="22"/>
        <v>2.1999999999999797E-4</v>
      </c>
    </row>
    <row r="55" spans="4:52">
      <c r="D55" s="335">
        <v>6666021902</v>
      </c>
      <c r="E55" s="330">
        <v>-1249.08</v>
      </c>
      <c r="F55" s="330">
        <v>-33.59150611546778</v>
      </c>
      <c r="G55" s="330">
        <v>0</v>
      </c>
      <c r="H55" s="330">
        <f t="shared" si="0"/>
        <v>0</v>
      </c>
      <c r="I55" s="330">
        <f t="shared" si="1"/>
        <v>3.3591506115467781E-2</v>
      </c>
      <c r="J55" s="330">
        <v>-92926.950000000012</v>
      </c>
      <c r="K55" s="330">
        <f t="shared" si="2"/>
        <v>-2438.771520050389</v>
      </c>
      <c r="L55" s="330">
        <v>0</v>
      </c>
      <c r="M55" s="330">
        <f t="shared" si="3"/>
        <v>0</v>
      </c>
      <c r="N55" s="330">
        <f t="shared" si="4"/>
        <v>2.438771520050389</v>
      </c>
      <c r="O55" s="330">
        <v>-107797.31000000001</v>
      </c>
      <c r="P55" s="330">
        <f t="shared" si="5"/>
        <v>-2648.458917151288</v>
      </c>
      <c r="Q55" s="330">
        <v>1406.71</v>
      </c>
      <c r="R55" s="330">
        <f t="shared" si="6"/>
        <v>34.56128583677912</v>
      </c>
      <c r="S55" s="330">
        <f t="shared" si="7"/>
        <v>2.6138976313145088</v>
      </c>
      <c r="T55" s="330">
        <v>-191267.13</v>
      </c>
      <c r="U55" s="330">
        <f t="shared" si="8"/>
        <v>-4378.244875909334</v>
      </c>
      <c r="V55" s="330">
        <v>0.22</v>
      </c>
      <c r="W55" s="330">
        <f t="shared" si="9"/>
        <v>5.0359613421294795E-3</v>
      </c>
      <c r="X55" s="330">
        <f t="shared" si="10"/>
        <v>4.3782398399479918</v>
      </c>
      <c r="Y55" s="330">
        <v>240852.63999999998</v>
      </c>
      <c r="Z55" s="330">
        <f t="shared" si="11"/>
        <v>5440.4647779790648</v>
      </c>
      <c r="AA55" s="330">
        <v>0.16</v>
      </c>
      <c r="AB55" s="330">
        <f t="shared" si="12"/>
        <v>3.6141366956851727E-3</v>
      </c>
      <c r="AC55" s="330">
        <f t="shared" si="13"/>
        <v>-5.4404683921157604</v>
      </c>
      <c r="AD55" s="330">
        <v>-173321.78</v>
      </c>
      <c r="AE55" s="330">
        <f t="shared" si="14"/>
        <v>-3723.138557244923</v>
      </c>
      <c r="AF55" s="330">
        <v>1465.49</v>
      </c>
      <c r="AG55" s="330">
        <f t="shared" si="15"/>
        <v>31.480304000206221</v>
      </c>
      <c r="AH55" s="330">
        <f t="shared" si="16"/>
        <v>3.6916582532447171</v>
      </c>
      <c r="AI55" s="330">
        <v>-2310.8999999999996</v>
      </c>
      <c r="AJ55" s="330">
        <v>0.3347</v>
      </c>
      <c r="AK55" s="330">
        <f t="shared" si="17"/>
        <v>1.9761999999999997</v>
      </c>
      <c r="AL55" s="330">
        <v>2.8634000000000004</v>
      </c>
      <c r="AM55" s="330">
        <v>555.86000000000058</v>
      </c>
      <c r="AN55" s="330">
        <f t="shared" si="18"/>
        <v>2.3075399999999999</v>
      </c>
      <c r="AO55" s="330">
        <v>5894.2599999999993</v>
      </c>
      <c r="AP55" s="330">
        <v>1.5199999999999818</v>
      </c>
      <c r="AQ55" s="330">
        <f t="shared" si="19"/>
        <v>5.8927399999999999</v>
      </c>
      <c r="AR55" s="336">
        <v>1.9342699999999999</v>
      </c>
      <c r="AS55" s="330">
        <v>-0.1306500000000001</v>
      </c>
      <c r="AT55" s="336">
        <f t="shared" si="20"/>
        <v>2.0649199999999999</v>
      </c>
      <c r="AU55" s="336">
        <v>1.4572799999999999</v>
      </c>
      <c r="AV55" s="330">
        <v>5.6639999999999871E-2</v>
      </c>
      <c r="AW55" s="336">
        <f t="shared" si="21"/>
        <v>1.4006400000000001</v>
      </c>
      <c r="AX55" s="336">
        <v>0.42610999999999921</v>
      </c>
      <c r="AY55" s="330">
        <v>-8.1110000000001028E-2</v>
      </c>
      <c r="AZ55" s="336">
        <f t="shared" si="22"/>
        <v>0.50722000000000023</v>
      </c>
    </row>
    <row r="56" spans="4:52">
      <c r="D56" s="335">
        <v>6666022100</v>
      </c>
      <c r="E56" s="330">
        <v>0</v>
      </c>
      <c r="F56" s="330">
        <v>0</v>
      </c>
      <c r="G56" s="330">
        <v>0</v>
      </c>
      <c r="H56" s="330">
        <f t="shared" si="0"/>
        <v>0</v>
      </c>
      <c r="I56" s="330">
        <f t="shared" si="1"/>
        <v>0</v>
      </c>
      <c r="J56" s="330">
        <v>-10900.54</v>
      </c>
      <c r="K56" s="330">
        <f t="shared" si="2"/>
        <v>-286.07337812303172</v>
      </c>
      <c r="L56" s="330">
        <v>2.42</v>
      </c>
      <c r="M56" s="330">
        <f>L56/$B$4</f>
        <v>6.3510392609699762E-2</v>
      </c>
      <c r="N56" s="330">
        <f t="shared" si="4"/>
        <v>0.28600986773042203</v>
      </c>
      <c r="O56" s="330">
        <v>-17433.650000000001</v>
      </c>
      <c r="P56" s="330">
        <f t="shared" si="5"/>
        <v>-428.32521331927995</v>
      </c>
      <c r="Q56" s="330">
        <v>6535.53</v>
      </c>
      <c r="R56" s="330">
        <f t="shared" si="6"/>
        <v>160.57063675160126</v>
      </c>
      <c r="S56" s="330">
        <f t="shared" si="7"/>
        <v>0.26775457656767865</v>
      </c>
      <c r="T56" s="330">
        <v>-21505.32</v>
      </c>
      <c r="U56" s="330">
        <f t="shared" si="8"/>
        <v>-492.27254622783602</v>
      </c>
      <c r="V56" s="330">
        <v>0.27</v>
      </c>
      <c r="W56" s="330">
        <f t="shared" si="9"/>
        <v>6.1804980107952705E-3</v>
      </c>
      <c r="X56" s="330">
        <f t="shared" si="10"/>
        <v>0.49226636572982524</v>
      </c>
      <c r="Y56" s="330">
        <v>-10898.22</v>
      </c>
      <c r="Z56" s="330">
        <f t="shared" si="11"/>
        <v>-246.17285512281285</v>
      </c>
      <c r="AA56" s="330">
        <v>0.08</v>
      </c>
      <c r="AB56" s="330">
        <f t="shared" si="12"/>
        <v>1.8070683478425863E-3</v>
      </c>
      <c r="AC56" s="330">
        <f t="shared" si="13"/>
        <v>0.24617104805446502</v>
      </c>
      <c r="AD56" s="330">
        <v>-10238.050000000001</v>
      </c>
      <c r="AE56" s="330">
        <f t="shared" si="14"/>
        <v>-219.92434364568254</v>
      </c>
      <c r="AF56" s="330">
        <v>15.87</v>
      </c>
      <c r="AG56" s="330">
        <f t="shared" si="15"/>
        <v>0.34090469705236659</v>
      </c>
      <c r="AH56" s="330">
        <f t="shared" si="16"/>
        <v>0.21958343894863017</v>
      </c>
      <c r="AI56" s="330">
        <v>-660.61999999999898</v>
      </c>
      <c r="AJ56" s="330">
        <v>0.45654</v>
      </c>
      <c r="AK56" s="330">
        <f t="shared" si="17"/>
        <v>0.20407999999999898</v>
      </c>
      <c r="AL56" s="330">
        <v>0.67712000000000006</v>
      </c>
      <c r="AM56" s="330">
        <v>448.48</v>
      </c>
      <c r="AN56" s="330">
        <f t="shared" si="18"/>
        <v>0.22864000000000001</v>
      </c>
      <c r="AO56" s="330">
        <v>227.49</v>
      </c>
      <c r="AP56" s="330">
        <v>3.9</v>
      </c>
      <c r="AQ56" s="330">
        <f t="shared" si="19"/>
        <v>0.22359000000000001</v>
      </c>
      <c r="AR56" s="336">
        <v>-3.8060000000001308E-2</v>
      </c>
      <c r="AS56" s="330">
        <v>-0.25506000000000129</v>
      </c>
      <c r="AT56" s="336">
        <f t="shared" si="20"/>
        <v>0.21699999999999997</v>
      </c>
      <c r="AU56" s="336">
        <v>0.52202999999999999</v>
      </c>
      <c r="AV56" s="330">
        <v>0.15797999999999998</v>
      </c>
      <c r="AW56" s="336">
        <f t="shared" si="21"/>
        <v>0.36404999999999998</v>
      </c>
      <c r="AX56" s="336">
        <v>-0.36502000000000023</v>
      </c>
      <c r="AY56" s="330">
        <v>-0.19976000000000022</v>
      </c>
      <c r="AZ56" s="336">
        <f t="shared" si="22"/>
        <v>-0.16526000000000002</v>
      </c>
    </row>
    <row r="57" spans="4:52">
      <c r="D57" s="335">
        <v>6666022300</v>
      </c>
      <c r="E57" s="330">
        <v>-186974.89999999997</v>
      </c>
      <c r="F57" s="330">
        <v>-5028.3156377405576</v>
      </c>
      <c r="G57" s="330">
        <v>186081.9</v>
      </c>
      <c r="H57" s="330">
        <f t="shared" si="0"/>
        <v>5004.3001904024268</v>
      </c>
      <c r="I57" s="330">
        <f t="shared" si="1"/>
        <v>2.4015447338130796E-2</v>
      </c>
      <c r="J57" s="330">
        <v>-200126.42</v>
      </c>
      <c r="K57" s="330">
        <f t="shared" si="2"/>
        <v>-5252.1105395758977</v>
      </c>
      <c r="L57" s="330">
        <v>185686.61</v>
      </c>
      <c r="M57" s="330">
        <f t="shared" si="3"/>
        <v>4873.1526873819021</v>
      </c>
      <c r="N57" s="330">
        <f t="shared" si="4"/>
        <v>0.37895785219399569</v>
      </c>
      <c r="O57" s="330">
        <v>-251923.75</v>
      </c>
      <c r="P57" s="330">
        <f t="shared" si="5"/>
        <v>-6189.4837833123265</v>
      </c>
      <c r="Q57" s="330">
        <v>222892.22</v>
      </c>
      <c r="R57" s="330">
        <f t="shared" si="6"/>
        <v>5476.2116756220221</v>
      </c>
      <c r="S57" s="330">
        <f t="shared" si="7"/>
        <v>0.71327210769030447</v>
      </c>
      <c r="T57" s="330">
        <v>-271608.63</v>
      </c>
      <c r="U57" s="330">
        <f t="shared" si="8"/>
        <v>-6217.3207312215873</v>
      </c>
      <c r="V57" s="330">
        <v>224600.84</v>
      </c>
      <c r="W57" s="330">
        <f t="shared" si="9"/>
        <v>5141.2779438627649</v>
      </c>
      <c r="X57" s="330">
        <f t="shared" si="10"/>
        <v>1.0760427873588223</v>
      </c>
      <c r="Y57" s="330">
        <v>-228447.43</v>
      </c>
      <c r="Z57" s="330">
        <f t="shared" si="11"/>
        <v>-5160.2514987373106</v>
      </c>
      <c r="AA57" s="330">
        <v>224600.84</v>
      </c>
      <c r="AB57" s="330">
        <f t="shared" si="12"/>
        <v>5073.3633607857128</v>
      </c>
      <c r="AC57" s="330">
        <f t="shared" si="13"/>
        <v>8.688813795159786E-2</v>
      </c>
      <c r="AD57" s="330">
        <v>-215073.33</v>
      </c>
      <c r="AE57" s="330">
        <f t="shared" si="14"/>
        <v>-4620.0068309825874</v>
      </c>
      <c r="AF57" s="330">
        <v>210333.74</v>
      </c>
      <c r="AG57" s="330">
        <f t="shared" si="15"/>
        <v>4518.1953317322768</v>
      </c>
      <c r="AH57" s="330">
        <f t="shared" si="16"/>
        <v>0.10181149925031059</v>
      </c>
      <c r="AI57" s="330">
        <v>-5759.9800000000005</v>
      </c>
      <c r="AJ57" s="330">
        <v>5.1055600000000005</v>
      </c>
      <c r="AK57" s="330">
        <f t="shared" si="17"/>
        <v>0.65442</v>
      </c>
      <c r="AL57" s="330">
        <v>4.3600500000000002</v>
      </c>
      <c r="AM57" s="330">
        <v>4148.21</v>
      </c>
      <c r="AN57" s="330">
        <f t="shared" si="18"/>
        <v>0.21184000000000047</v>
      </c>
      <c r="AO57" s="330">
        <v>4088.29</v>
      </c>
      <c r="AP57" s="330">
        <v>4018.24</v>
      </c>
      <c r="AQ57" s="330">
        <f t="shared" si="19"/>
        <v>7.0050000000000182E-2</v>
      </c>
      <c r="AR57" s="336">
        <v>4.706030000000001</v>
      </c>
      <c r="AS57" s="330">
        <v>4.6375999999999999</v>
      </c>
      <c r="AT57" s="336">
        <f t="shared" si="20"/>
        <v>6.8430000000001101E-2</v>
      </c>
      <c r="AU57" s="336">
        <v>-8.5072299999999998</v>
      </c>
      <c r="AV57" s="330">
        <v>4.3486099999999999</v>
      </c>
      <c r="AW57" s="336">
        <f t="shared" si="21"/>
        <v>-12.855840000000001</v>
      </c>
      <c r="AX57" s="336">
        <v>3.9871899999999982</v>
      </c>
      <c r="AY57" s="330">
        <v>3.650339999999999</v>
      </c>
      <c r="AZ57" s="336">
        <f t="shared" si="22"/>
        <v>0.33684999999999921</v>
      </c>
    </row>
    <row r="58" spans="4:52">
      <c r="D58" s="339">
        <v>6666029700</v>
      </c>
      <c r="E58" s="340">
        <v>-14890.1</v>
      </c>
      <c r="F58" s="340">
        <v>-400.43943158959138</v>
      </c>
      <c r="G58" s="340">
        <v>1453920.21</v>
      </c>
      <c r="H58" s="340">
        <f t="shared" si="0"/>
        <v>39100.273501791075</v>
      </c>
      <c r="I58" s="340">
        <f>F58*-1/1000</f>
        <v>0.40043943158959139</v>
      </c>
      <c r="J58" s="340">
        <v>-875227.19000000064</v>
      </c>
      <c r="K58" s="340">
        <f t="shared" si="2"/>
        <v>-22969.430768423281</v>
      </c>
      <c r="L58" s="340">
        <v>3090438.63</v>
      </c>
      <c r="M58" s="340">
        <f t="shared" si="3"/>
        <v>81105.359804744905</v>
      </c>
      <c r="N58" s="340">
        <f>K58*-1/1000</f>
        <v>22.96943076842328</v>
      </c>
      <c r="O58" s="340">
        <v>-4228.8500000000004</v>
      </c>
      <c r="P58" s="340">
        <f t="shared" si="5"/>
        <v>-103.89809812318344</v>
      </c>
      <c r="Q58" s="340">
        <v>2405344.17</v>
      </c>
      <c r="R58" s="340">
        <f t="shared" si="6"/>
        <v>59096.606546623123</v>
      </c>
      <c r="S58" s="340">
        <f>P58*-1/1000</f>
        <v>0.10389809812318344</v>
      </c>
      <c r="T58" s="340">
        <v>-1705.96</v>
      </c>
      <c r="U58" s="340">
        <f t="shared" si="8"/>
        <v>-39.050675505541847</v>
      </c>
      <c r="V58" s="340">
        <v>1057024.82</v>
      </c>
      <c r="W58" s="340">
        <f t="shared" si="9"/>
        <v>24196.073323597142</v>
      </c>
      <c r="X58" s="340">
        <f>U58*-1/1000</f>
        <v>3.9050675505541844E-2</v>
      </c>
      <c r="Y58" s="340">
        <v>0</v>
      </c>
      <c r="Z58" s="340">
        <f t="shared" si="11"/>
        <v>0</v>
      </c>
      <c r="AA58" s="340">
        <v>2035834.04</v>
      </c>
      <c r="AB58" s="340">
        <f t="shared" si="12"/>
        <v>45986.140689306223</v>
      </c>
      <c r="AC58" s="340">
        <f>Z58*-1/1000</f>
        <v>0</v>
      </c>
      <c r="AD58" s="340">
        <v>-24772.23</v>
      </c>
      <c r="AE58" s="340">
        <f t="shared" si="14"/>
        <v>-532.13418799379633</v>
      </c>
      <c r="AF58" s="340">
        <v>1904841.76</v>
      </c>
      <c r="AG58" s="340">
        <f t="shared" si="15"/>
        <v>40918.053127000429</v>
      </c>
      <c r="AH58" s="340">
        <f>AE58*-1/1000</f>
        <v>0.5321341879937963</v>
      </c>
      <c r="AI58" s="340">
        <v>-3050.39</v>
      </c>
      <c r="AJ58" s="340">
        <v>45.389060000000001</v>
      </c>
      <c r="AK58" s="340">
        <f>AI58*-1/1000</f>
        <v>3.0503899999999997</v>
      </c>
      <c r="AL58" s="340">
        <v>3.3975900000000001</v>
      </c>
      <c r="AM58" s="340">
        <v>34723.730000000003</v>
      </c>
      <c r="AN58" s="340">
        <v>3.3975900000000001</v>
      </c>
      <c r="AO58" s="340">
        <v>3328.14</v>
      </c>
      <c r="AP58" s="340">
        <v>46258.62</v>
      </c>
      <c r="AQ58" s="340">
        <f>3328.14/1000</f>
        <v>3.3281399999999999</v>
      </c>
      <c r="AR58" s="340">
        <v>3.3326599999999997</v>
      </c>
      <c r="AS58" s="340">
        <v>56.921769999999995</v>
      </c>
      <c r="AT58" s="340">
        <v>3.3326599999999997</v>
      </c>
      <c r="AU58" s="340">
        <v>2.4635199999999999</v>
      </c>
      <c r="AV58" s="340">
        <v>44.441129999999994</v>
      </c>
      <c r="AW58" s="340">
        <v>2.4635199999999999</v>
      </c>
      <c r="AX58" s="341">
        <v>3.4811799999999997</v>
      </c>
      <c r="AY58" s="340">
        <v>30.192999999999994</v>
      </c>
      <c r="AZ58" s="341">
        <v>3.4811799999999997</v>
      </c>
    </row>
    <row r="59" spans="4:52">
      <c r="D59" s="335">
        <v>6666029900</v>
      </c>
      <c r="E59" s="330">
        <v>-276.54000000000002</v>
      </c>
      <c r="F59" s="330">
        <v>-7.4369897053603138</v>
      </c>
      <c r="G59" s="330">
        <v>2980.85</v>
      </c>
      <c r="H59" s="330">
        <f t="shared" si="0"/>
        <v>80.16399350265165</v>
      </c>
      <c r="I59" s="330">
        <f t="shared" si="1"/>
        <v>-7.2727003797291329E-2</v>
      </c>
      <c r="J59" s="330">
        <v>-5177.6499999999996</v>
      </c>
      <c r="K59" s="330">
        <f>J59/$B$4</f>
        <v>-135.88205962628595</v>
      </c>
      <c r="L59" s="330">
        <v>3057.1800000000003</v>
      </c>
      <c r="M59" s="330">
        <f t="shared" si="3"/>
        <v>80.232521520050398</v>
      </c>
      <c r="N59" s="330">
        <f t="shared" si="4"/>
        <v>5.5649538106235553E-2</v>
      </c>
      <c r="O59" s="330">
        <v>-4600.7699999999995</v>
      </c>
      <c r="P59" s="330">
        <f t="shared" si="5"/>
        <v>-113.03575508760032</v>
      </c>
      <c r="Q59" s="330">
        <v>4600.7699999999995</v>
      </c>
      <c r="R59" s="330">
        <f t="shared" si="6"/>
        <v>113.03575508760032</v>
      </c>
      <c r="S59" s="330">
        <f t="shared" si="7"/>
        <v>0</v>
      </c>
      <c r="T59" s="330">
        <v>-1933.52</v>
      </c>
      <c r="U59" s="330">
        <f t="shared" si="8"/>
        <v>-44.25969079197359</v>
      </c>
      <c r="V59" s="330">
        <v>1663.27</v>
      </c>
      <c r="W59" s="330">
        <f t="shared" si="9"/>
        <v>38.073470097834992</v>
      </c>
      <c r="X59" s="330">
        <f t="shared" si="10"/>
        <v>6.1862206941385974E-3</v>
      </c>
      <c r="Y59" s="330">
        <v>-14272.84</v>
      </c>
      <c r="Z59" s="330">
        <f t="shared" si="11"/>
        <v>-322.39996747276973</v>
      </c>
      <c r="AA59" s="330">
        <v>14272.84</v>
      </c>
      <c r="AB59" s="330">
        <f t="shared" si="12"/>
        <v>322.39996747276973</v>
      </c>
      <c r="AC59" s="330">
        <f t="shared" si="13"/>
        <v>0</v>
      </c>
      <c r="AD59" s="330">
        <v>-6432.53</v>
      </c>
      <c r="AE59" s="330">
        <f t="shared" si="14"/>
        <v>-138.17767428672082</v>
      </c>
      <c r="AF59" s="330">
        <v>3717.16</v>
      </c>
      <c r="AG59" s="330">
        <f t="shared" si="15"/>
        <v>79.848601367055764</v>
      </c>
      <c r="AH59" s="330">
        <f t="shared" si="16"/>
        <v>5.8329072919665055E-2</v>
      </c>
      <c r="AI59" s="330">
        <v>-12.11</v>
      </c>
      <c r="AJ59" s="330">
        <v>1.1820000000000001E-2</v>
      </c>
      <c r="AK59" s="330">
        <f t="shared" si="17"/>
        <v>2.8999999999999859E-4</v>
      </c>
      <c r="AL59" s="330">
        <v>5.6600000000000004E-2</v>
      </c>
      <c r="AM59" s="330">
        <v>56.6</v>
      </c>
      <c r="AN59" s="330">
        <f t="shared" si="18"/>
        <v>0</v>
      </c>
      <c r="AO59" s="330">
        <v>56.38</v>
      </c>
      <c r="AP59" s="330">
        <v>56.38</v>
      </c>
      <c r="AQ59" s="330">
        <f t="shared" si="19"/>
        <v>0</v>
      </c>
      <c r="AR59" s="336">
        <v>4.5660000000000006E-2</v>
      </c>
      <c r="AS59" s="330">
        <v>3.959E-2</v>
      </c>
      <c r="AT59" s="336">
        <f t="shared" si="20"/>
        <v>6.0700000000000059E-3</v>
      </c>
      <c r="AU59" s="336">
        <v>1.8460000000000001E-2</v>
      </c>
      <c r="AV59" s="330">
        <v>1.8460000000000001E-2</v>
      </c>
      <c r="AW59" s="336">
        <f t="shared" ref="AW59:AW74" si="23">AU59-AV59</f>
        <v>0</v>
      </c>
      <c r="AX59" s="336">
        <v>6.053999999999999E-2</v>
      </c>
      <c r="AY59" s="330">
        <v>7.1300000000000009E-3</v>
      </c>
      <c r="AZ59" s="336">
        <f t="shared" si="22"/>
        <v>5.3409999999999985E-2</v>
      </c>
    </row>
    <row r="60" spans="4:52">
      <c r="D60" s="335">
        <v>6666029996</v>
      </c>
      <c r="E60" s="330">
        <v>-1439.6100000000001</v>
      </c>
      <c r="F60" s="330">
        <v>-38.715429050892318</v>
      </c>
      <c r="G60" s="330">
        <v>310.60000000000002</v>
      </c>
      <c r="H60" s="330">
        <f t="shared" si="0"/>
        <v>8.3529652219748076</v>
      </c>
      <c r="I60" s="330">
        <f t="shared" si="1"/>
        <v>3.0362463828917514E-2</v>
      </c>
      <c r="J60" s="330">
        <v>-1466.8</v>
      </c>
      <c r="K60" s="330">
        <f t="shared" si="2"/>
        <v>-38.494646231366787</v>
      </c>
      <c r="L60" s="330">
        <v>291.32</v>
      </c>
      <c r="M60" s="330">
        <f t="shared" si="3"/>
        <v>7.6453915599412134</v>
      </c>
      <c r="N60" s="330">
        <f t="shared" si="4"/>
        <v>3.0849254671425574E-2</v>
      </c>
      <c r="O60" s="330">
        <v>-341.76</v>
      </c>
      <c r="P60" s="330">
        <f t="shared" si="5"/>
        <v>-8.3966596153987894</v>
      </c>
      <c r="Q60" s="330">
        <v>291.31</v>
      </c>
      <c r="R60" s="330">
        <f t="shared" si="6"/>
        <v>7.1571597394716218</v>
      </c>
      <c r="S60" s="330">
        <f t="shared" si="7"/>
        <v>1.2394998759271676E-3</v>
      </c>
      <c r="T60" s="330">
        <v>-7077.3200000000006</v>
      </c>
      <c r="U60" s="330">
        <f t="shared" si="8"/>
        <v>-162.00504511763549</v>
      </c>
      <c r="V60" s="330">
        <v>-2556.13</v>
      </c>
      <c r="W60" s="330">
        <f t="shared" si="9"/>
        <v>-58.511690297533754</v>
      </c>
      <c r="X60" s="330">
        <f t="shared" si="10"/>
        <v>0.22051673541516925</v>
      </c>
      <c r="Y60" s="330">
        <v>-355.56</v>
      </c>
      <c r="Z60" s="330">
        <f t="shared" si="11"/>
        <v>-8.0315152719863736</v>
      </c>
      <c r="AA60" s="330">
        <v>281.67</v>
      </c>
      <c r="AB60" s="330">
        <f t="shared" si="12"/>
        <v>6.3624617692102658</v>
      </c>
      <c r="AC60" s="330">
        <f t="shared" si="13"/>
        <v>1.6690535027761078E-3</v>
      </c>
      <c r="AD60" s="330">
        <v>-295.88</v>
      </c>
      <c r="AE60" s="330">
        <f t="shared" si="14"/>
        <v>-6.3558211571426728</v>
      </c>
      <c r="AF60" s="330">
        <v>292.69</v>
      </c>
      <c r="AG60" s="330">
        <f t="shared" si="15"/>
        <v>6.2872965204950964</v>
      </c>
      <c r="AH60" s="330">
        <f t="shared" si="16"/>
        <v>6.8524636647576464E-5</v>
      </c>
      <c r="AI60" s="330">
        <v>-7.63</v>
      </c>
      <c r="AJ60" s="330">
        <v>6.5799999999999999E-3</v>
      </c>
      <c r="AK60" s="330">
        <f t="shared" si="17"/>
        <v>1.0499999999999997E-3</v>
      </c>
      <c r="AL60" s="330">
        <v>3.1700000000000001E-3</v>
      </c>
      <c r="AM60" s="330">
        <v>3.17</v>
      </c>
      <c r="AN60" s="330">
        <f t="shared" si="18"/>
        <v>0</v>
      </c>
      <c r="AO60" s="330">
        <v>10.130000000000001</v>
      </c>
      <c r="AP60" s="330">
        <v>9.9700000000000006</v>
      </c>
      <c r="AQ60" s="330">
        <f t="shared" si="19"/>
        <v>1.6000000000000015E-4</v>
      </c>
      <c r="AR60" s="336">
        <v>0.20115000000000002</v>
      </c>
      <c r="AS60" s="330">
        <v>6.3810000000000006E-2</v>
      </c>
      <c r="AT60" s="336">
        <f t="shared" si="20"/>
        <v>0.13734000000000002</v>
      </c>
      <c r="AU60" s="336">
        <v>0.16648999999999997</v>
      </c>
      <c r="AV60" s="330">
        <v>1.3980000000000001E-2</v>
      </c>
      <c r="AW60" s="336">
        <f t="shared" si="23"/>
        <v>0.15250999999999998</v>
      </c>
      <c r="AX60" s="336">
        <v>4.1029999999999997E-2</v>
      </c>
      <c r="AY60" s="330">
        <v>2.4809999999999999E-2</v>
      </c>
      <c r="AZ60" s="336">
        <f t="shared" si="22"/>
        <v>1.6219999999999998E-2</v>
      </c>
    </row>
    <row r="61" spans="4:52">
      <c r="D61" s="335">
        <v>6666029997</v>
      </c>
      <c r="E61" s="330">
        <v>0</v>
      </c>
      <c r="F61" s="330">
        <v>0</v>
      </c>
      <c r="G61" s="330">
        <v>0</v>
      </c>
      <c r="H61" s="330">
        <f t="shared" si="0"/>
        <v>0</v>
      </c>
      <c r="I61" s="330">
        <f t="shared" si="1"/>
        <v>0</v>
      </c>
      <c r="J61" s="330">
        <v>-145500</v>
      </c>
      <c r="K61" s="330">
        <f t="shared" si="2"/>
        <v>-3818.4967457484781</v>
      </c>
      <c r="L61" s="330">
        <v>145500</v>
      </c>
      <c r="M61" s="330">
        <f t="shared" si="3"/>
        <v>3818.4967457484781</v>
      </c>
      <c r="N61" s="330">
        <f t="shared" si="4"/>
        <v>0</v>
      </c>
      <c r="O61" s="330">
        <v>0</v>
      </c>
      <c r="P61" s="330">
        <f t="shared" si="5"/>
        <v>0</v>
      </c>
      <c r="Q61" s="330">
        <v>0</v>
      </c>
      <c r="R61" s="330">
        <f t="shared" si="6"/>
        <v>0</v>
      </c>
      <c r="S61" s="330">
        <f t="shared" si="7"/>
        <v>0</v>
      </c>
      <c r="T61" s="330">
        <v>0</v>
      </c>
      <c r="U61" s="330">
        <f t="shared" si="8"/>
        <v>0</v>
      </c>
      <c r="V61" s="330">
        <v>0</v>
      </c>
      <c r="W61" s="330">
        <f t="shared" si="9"/>
        <v>0</v>
      </c>
      <c r="X61" s="330">
        <f t="shared" si="10"/>
        <v>0</v>
      </c>
      <c r="Y61" s="330">
        <v>0</v>
      </c>
      <c r="Z61" s="330">
        <f t="shared" si="11"/>
        <v>0</v>
      </c>
      <c r="AA61" s="330">
        <v>0</v>
      </c>
      <c r="AB61" s="330">
        <f t="shared" si="12"/>
        <v>0</v>
      </c>
      <c r="AC61" s="330">
        <f t="shared" si="13"/>
        <v>0</v>
      </c>
      <c r="AD61" s="330">
        <v>0</v>
      </c>
      <c r="AE61" s="330">
        <f t="shared" si="14"/>
        <v>0</v>
      </c>
      <c r="AF61" s="330">
        <v>0</v>
      </c>
      <c r="AG61" s="330">
        <f t="shared" si="15"/>
        <v>0</v>
      </c>
      <c r="AH61" s="330">
        <f t="shared" si="16"/>
        <v>0</v>
      </c>
      <c r="AI61" s="330">
        <v>0</v>
      </c>
      <c r="AJ61" s="330">
        <v>0</v>
      </c>
      <c r="AK61" s="330">
        <f t="shared" si="17"/>
        <v>0</v>
      </c>
      <c r="AL61" s="330">
        <v>0</v>
      </c>
      <c r="AM61" s="330">
        <v>0</v>
      </c>
      <c r="AN61" s="330">
        <f t="shared" si="18"/>
        <v>0</v>
      </c>
      <c r="AO61" s="330">
        <v>0</v>
      </c>
      <c r="AP61" s="330">
        <v>0</v>
      </c>
      <c r="AQ61" s="330">
        <f t="shared" si="19"/>
        <v>0</v>
      </c>
      <c r="AR61" s="336">
        <v>0</v>
      </c>
      <c r="AS61" s="330">
        <v>0</v>
      </c>
      <c r="AT61" s="336">
        <f t="shared" si="20"/>
        <v>0</v>
      </c>
      <c r="AU61" s="336">
        <v>0</v>
      </c>
      <c r="AV61" s="330">
        <v>0</v>
      </c>
      <c r="AW61" s="336">
        <f t="shared" si="23"/>
        <v>0</v>
      </c>
      <c r="AX61" s="336">
        <v>0</v>
      </c>
      <c r="AY61" s="330">
        <v>0</v>
      </c>
      <c r="AZ61" s="336">
        <f t="shared" si="22"/>
        <v>0</v>
      </c>
    </row>
    <row r="62" spans="4:52">
      <c r="D62" s="335">
        <v>6666050107</v>
      </c>
      <c r="E62" s="330">
        <v>0</v>
      </c>
      <c r="F62" s="330">
        <v>0</v>
      </c>
      <c r="G62" s="330">
        <v>0</v>
      </c>
      <c r="H62" s="330">
        <f t="shared" si="0"/>
        <v>0</v>
      </c>
      <c r="I62" s="330">
        <f t="shared" si="1"/>
        <v>0</v>
      </c>
      <c r="J62" s="330">
        <v>-223.64</v>
      </c>
      <c r="K62" s="330">
        <f t="shared" si="2"/>
        <v>-5.8692000839806839</v>
      </c>
      <c r="L62" s="330">
        <v>223.64</v>
      </c>
      <c r="M62" s="330">
        <f t="shared" si="3"/>
        <v>5.8692000839806839</v>
      </c>
      <c r="N62" s="330">
        <f t="shared" si="4"/>
        <v>0</v>
      </c>
      <c r="O62" s="330">
        <v>-245.52</v>
      </c>
      <c r="P62" s="330">
        <f t="shared" si="5"/>
        <v>-6.0321508332534846</v>
      </c>
      <c r="Q62" s="330">
        <v>245.52</v>
      </c>
      <c r="R62" s="330">
        <f t="shared" si="6"/>
        <v>6.0321508332534846</v>
      </c>
      <c r="S62" s="330">
        <f t="shared" si="7"/>
        <v>0</v>
      </c>
      <c r="T62" s="330">
        <v>-223.1</v>
      </c>
      <c r="U62" s="330">
        <f t="shared" si="8"/>
        <v>-5.1069226155867584</v>
      </c>
      <c r="V62" s="330">
        <v>223.1</v>
      </c>
      <c r="W62" s="330">
        <f t="shared" si="9"/>
        <v>5.1069226155867584</v>
      </c>
      <c r="X62" s="330">
        <f t="shared" si="10"/>
        <v>0</v>
      </c>
      <c r="Y62" s="330">
        <v>0</v>
      </c>
      <c r="Z62" s="330">
        <f t="shared" si="11"/>
        <v>0</v>
      </c>
      <c r="AA62" s="330">
        <v>0</v>
      </c>
      <c r="AB62" s="330">
        <f t="shared" si="12"/>
        <v>0</v>
      </c>
      <c r="AC62" s="330">
        <f t="shared" si="13"/>
        <v>0</v>
      </c>
      <c r="AD62" s="330">
        <v>0</v>
      </c>
      <c r="AE62" s="330">
        <f t="shared" si="14"/>
        <v>0</v>
      </c>
      <c r="AF62" s="330">
        <v>0</v>
      </c>
      <c r="AG62" s="330">
        <f t="shared" si="15"/>
        <v>0</v>
      </c>
      <c r="AH62" s="330">
        <f t="shared" si="16"/>
        <v>0</v>
      </c>
      <c r="AI62" s="330">
        <v>0</v>
      </c>
      <c r="AJ62" s="330">
        <v>0</v>
      </c>
      <c r="AK62" s="330">
        <f t="shared" si="17"/>
        <v>0</v>
      </c>
      <c r="AL62" s="330">
        <v>0</v>
      </c>
      <c r="AM62" s="330">
        <v>0</v>
      </c>
      <c r="AN62" s="330">
        <f t="shared" si="18"/>
        <v>0</v>
      </c>
      <c r="AO62" s="330">
        <v>0</v>
      </c>
      <c r="AP62" s="330">
        <v>0</v>
      </c>
      <c r="AQ62" s="330">
        <f t="shared" si="19"/>
        <v>0</v>
      </c>
      <c r="AR62" s="336">
        <v>0</v>
      </c>
      <c r="AS62" s="330">
        <v>0</v>
      </c>
      <c r="AT62" s="336">
        <f t="shared" si="20"/>
        <v>0</v>
      </c>
      <c r="AU62" s="336">
        <v>0</v>
      </c>
      <c r="AV62" s="330">
        <v>0</v>
      </c>
      <c r="AW62" s="336">
        <f t="shared" si="23"/>
        <v>0</v>
      </c>
      <c r="AX62" s="336">
        <v>0</v>
      </c>
      <c r="AY62" s="330">
        <v>0</v>
      </c>
      <c r="AZ62" s="336">
        <f t="shared" si="22"/>
        <v>0</v>
      </c>
    </row>
    <row r="63" spans="4:52">
      <c r="D63" s="337">
        <v>6666079999</v>
      </c>
      <c r="E63" s="338">
        <v>-3720336.4</v>
      </c>
      <c r="F63" s="338">
        <f>E63/45</f>
        <v>-82674.142222222217</v>
      </c>
      <c r="G63" s="338">
        <v>3720336.4</v>
      </c>
      <c r="H63" s="338">
        <f>G63/45</f>
        <v>82674.142222222217</v>
      </c>
      <c r="I63" s="338">
        <f t="shared" si="1"/>
        <v>0</v>
      </c>
      <c r="J63" s="338">
        <v>-3812343.3</v>
      </c>
      <c r="K63" s="338">
        <f>J63/45</f>
        <v>-84718.739999999991</v>
      </c>
      <c r="L63" s="338">
        <v>4672260.4399999995</v>
      </c>
      <c r="M63" s="338">
        <f>L63/45</f>
        <v>103828.00977777777</v>
      </c>
      <c r="N63" s="338">
        <f t="shared" si="4"/>
        <v>-19.109269777777779</v>
      </c>
      <c r="O63" s="338">
        <v>-4683120.3600000013</v>
      </c>
      <c r="P63" s="338">
        <f>O63/45</f>
        <v>-104069.34133333336</v>
      </c>
      <c r="Q63" s="338">
        <v>4683120.3600000003</v>
      </c>
      <c r="R63" s="338">
        <f>Q63/45</f>
        <v>104069.34133333334</v>
      </c>
      <c r="S63" s="338">
        <f t="shared" si="7"/>
        <v>1.4551915228366852E-14</v>
      </c>
      <c r="T63" s="338">
        <v>-4370451.16</v>
      </c>
      <c r="U63" s="338">
        <f>T63/45</f>
        <v>-97121.136888888897</v>
      </c>
      <c r="V63" s="338">
        <v>4370451.16</v>
      </c>
      <c r="W63" s="338">
        <f>V63/45</f>
        <v>97121.136888888897</v>
      </c>
      <c r="X63" s="338">
        <f t="shared" si="10"/>
        <v>0</v>
      </c>
      <c r="Y63" s="338">
        <v>-5746641.8799999999</v>
      </c>
      <c r="Z63" s="338">
        <f>Y63/45</f>
        <v>-127703.15288888889</v>
      </c>
      <c r="AA63" s="338">
        <v>5746641.8799999999</v>
      </c>
      <c r="AB63" s="338">
        <f>AA63/45</f>
        <v>127703.15288888889</v>
      </c>
      <c r="AC63" s="338">
        <f t="shared" si="13"/>
        <v>0</v>
      </c>
      <c r="AD63" s="338">
        <v>-4657253.95</v>
      </c>
      <c r="AE63" s="338">
        <f>AD63/45</f>
        <v>-103494.53222222223</v>
      </c>
      <c r="AF63" s="338">
        <v>4657253.95</v>
      </c>
      <c r="AG63" s="338">
        <f>AF63/45</f>
        <v>103494.53222222223</v>
      </c>
      <c r="AH63" s="338">
        <f t="shared" si="16"/>
        <v>0</v>
      </c>
      <c r="AI63" s="338">
        <v>-100042.83</v>
      </c>
      <c r="AJ63" s="338">
        <v>100.04283</v>
      </c>
      <c r="AK63" s="338">
        <f t="shared" si="17"/>
        <v>0</v>
      </c>
      <c r="AL63" s="338">
        <v>100.04283</v>
      </c>
      <c r="AM63" s="338">
        <v>100042.83</v>
      </c>
      <c r="AN63" s="338">
        <f t="shared" si="18"/>
        <v>0</v>
      </c>
      <c r="AO63" s="338">
        <v>110015.24</v>
      </c>
      <c r="AP63" s="338">
        <v>110015.24</v>
      </c>
      <c r="AQ63" s="338">
        <f t="shared" si="19"/>
        <v>0</v>
      </c>
      <c r="AR63" s="336">
        <v>110.01524000000001</v>
      </c>
      <c r="AS63" s="330">
        <v>110.01524000000001</v>
      </c>
      <c r="AT63" s="336">
        <f t="shared" si="20"/>
        <v>0</v>
      </c>
      <c r="AU63" s="336">
        <v>100.04283</v>
      </c>
      <c r="AV63" s="330">
        <v>100.04283</v>
      </c>
      <c r="AW63" s="336">
        <f t="shared" si="23"/>
        <v>0</v>
      </c>
      <c r="AX63" s="336">
        <v>-118.98588000000001</v>
      </c>
      <c r="AY63" s="330">
        <v>-118.98588000000001</v>
      </c>
      <c r="AZ63" s="336">
        <f t="shared" si="22"/>
        <v>0</v>
      </c>
    </row>
    <row r="64" spans="4:52">
      <c r="D64" s="335">
        <v>6666091600</v>
      </c>
      <c r="E64" s="330">
        <v>0</v>
      </c>
      <c r="F64" s="330">
        <v>0</v>
      </c>
      <c r="G64" s="330">
        <v>0</v>
      </c>
      <c r="H64" s="330">
        <f t="shared" si="0"/>
        <v>0</v>
      </c>
      <c r="I64" s="330">
        <f t="shared" si="1"/>
        <v>0</v>
      </c>
      <c r="J64" s="330">
        <v>-27.66</v>
      </c>
      <c r="K64" s="330">
        <f t="shared" si="2"/>
        <v>-0.72590804115053542</v>
      </c>
      <c r="L64" s="330">
        <v>27.66</v>
      </c>
      <c r="M64" s="330">
        <f t="shared" si="3"/>
        <v>0.72590804115053542</v>
      </c>
      <c r="N64" s="330">
        <f t="shared" si="4"/>
        <v>0</v>
      </c>
      <c r="O64" s="330">
        <v>-52.71</v>
      </c>
      <c r="P64" s="330">
        <f t="shared" si="5"/>
        <v>-1.2950255393482859</v>
      </c>
      <c r="Q64" s="330">
        <v>52.71</v>
      </c>
      <c r="R64" s="330">
        <f t="shared" si="6"/>
        <v>1.2950255393482859</v>
      </c>
      <c r="S64" s="330">
        <f t="shared" si="7"/>
        <v>0</v>
      </c>
      <c r="T64" s="330">
        <v>-611.16999999999996</v>
      </c>
      <c r="U64" s="330">
        <f t="shared" si="8"/>
        <v>-13.990129515769425</v>
      </c>
      <c r="V64" s="330">
        <v>611.16999999999996</v>
      </c>
      <c r="W64" s="330">
        <f t="shared" si="9"/>
        <v>13.990129515769425</v>
      </c>
      <c r="X64" s="330">
        <f t="shared" si="10"/>
        <v>0</v>
      </c>
      <c r="Y64" s="330">
        <v>0</v>
      </c>
      <c r="Z64" s="330">
        <f t="shared" si="11"/>
        <v>0</v>
      </c>
      <c r="AA64" s="330">
        <v>0</v>
      </c>
      <c r="AB64" s="330">
        <f t="shared" si="12"/>
        <v>0</v>
      </c>
      <c r="AC64" s="330">
        <f t="shared" si="13"/>
        <v>0</v>
      </c>
      <c r="AD64" s="330">
        <v>-34.54</v>
      </c>
      <c r="AE64" s="330">
        <f t="shared" si="14"/>
        <v>-0.74195641059790429</v>
      </c>
      <c r="AF64" s="330">
        <v>34.54</v>
      </c>
      <c r="AG64" s="330">
        <f t="shared" si="15"/>
        <v>0.74195641059790429</v>
      </c>
      <c r="AH64" s="330">
        <f t="shared" si="16"/>
        <v>0</v>
      </c>
      <c r="AI64" s="330">
        <v>0</v>
      </c>
      <c r="AJ64" s="330">
        <v>0</v>
      </c>
      <c r="AK64" s="330">
        <f t="shared" si="17"/>
        <v>0</v>
      </c>
      <c r="AL64" s="330">
        <v>1.9199999999999998E-3</v>
      </c>
      <c r="AM64" s="330">
        <v>1.92</v>
      </c>
      <c r="AN64" s="330">
        <f t="shared" si="18"/>
        <v>0</v>
      </c>
      <c r="AO64" s="330">
        <v>0</v>
      </c>
      <c r="AP64" s="330">
        <v>0</v>
      </c>
      <c r="AQ64" s="330">
        <f t="shared" si="19"/>
        <v>0</v>
      </c>
      <c r="AR64" s="336">
        <v>2.0200000000000001E-3</v>
      </c>
      <c r="AS64" s="330">
        <v>2.0200000000000001E-3</v>
      </c>
      <c r="AT64" s="336">
        <f t="shared" si="20"/>
        <v>0</v>
      </c>
      <c r="AU64" s="336">
        <v>1.74E-3</v>
      </c>
      <c r="AV64" s="330">
        <v>1.74E-3</v>
      </c>
      <c r="AW64" s="336">
        <f t="shared" si="23"/>
        <v>0</v>
      </c>
      <c r="AX64" s="336">
        <v>2.66E-3</v>
      </c>
      <c r="AY64" s="330">
        <v>2.66E-3</v>
      </c>
      <c r="AZ64" s="336">
        <f t="shared" si="22"/>
        <v>0</v>
      </c>
    </row>
    <row r="65" spans="4:52">
      <c r="D65" s="335">
        <v>6666093800</v>
      </c>
      <c r="E65" s="330">
        <v>-3623.75</v>
      </c>
      <c r="F65" s="330">
        <v>-97.453502006217676</v>
      </c>
      <c r="G65" s="330">
        <v>2352.11</v>
      </c>
      <c r="H65" s="330">
        <f t="shared" si="0"/>
        <v>63.255289852733952</v>
      </c>
      <c r="I65" s="330">
        <f t="shared" si="1"/>
        <v>3.4198212153483724E-2</v>
      </c>
      <c r="J65" s="330">
        <v>-7652.91</v>
      </c>
      <c r="K65" s="330">
        <f t="shared" si="2"/>
        <v>-200.84269368045349</v>
      </c>
      <c r="L65" s="330">
        <v>2967.44</v>
      </c>
      <c r="M65" s="330">
        <f t="shared" si="3"/>
        <v>77.877388200713838</v>
      </c>
      <c r="N65" s="330">
        <f t="shared" si="4"/>
        <v>0.12296530547973966</v>
      </c>
      <c r="O65" s="330">
        <v>-6415.84</v>
      </c>
      <c r="P65" s="330">
        <f t="shared" si="5"/>
        <v>-157.62998778926783</v>
      </c>
      <c r="Q65" s="330">
        <v>2639.37</v>
      </c>
      <c r="R65" s="330">
        <f t="shared" si="6"/>
        <v>64.846358523803545</v>
      </c>
      <c r="S65" s="330">
        <f t="shared" si="7"/>
        <v>9.2783629265464282E-2</v>
      </c>
      <c r="T65" s="330">
        <v>-5529.59</v>
      </c>
      <c r="U65" s="330">
        <f t="shared" si="8"/>
        <v>-126.57637035375339</v>
      </c>
      <c r="V65" s="330">
        <v>3264.69</v>
      </c>
      <c r="W65" s="330">
        <f t="shared" si="9"/>
        <v>74.73114833653041</v>
      </c>
      <c r="X65" s="330">
        <f t="shared" si="10"/>
        <v>5.1845222017222983E-2</v>
      </c>
      <c r="Y65" s="330">
        <v>-3262.4300000000003</v>
      </c>
      <c r="Z65" s="330">
        <f t="shared" si="11"/>
        <v>-73.692924875651116</v>
      </c>
      <c r="AA65" s="330">
        <v>1604.3</v>
      </c>
      <c r="AB65" s="330">
        <f t="shared" si="12"/>
        <v>36.238496880548261</v>
      </c>
      <c r="AC65" s="330">
        <f t="shared" si="13"/>
        <v>3.7454427995102853E-2</v>
      </c>
      <c r="AD65" s="330">
        <v>-3197.92</v>
      </c>
      <c r="AE65" s="330">
        <f t="shared" si="14"/>
        <v>-68.694766779943549</v>
      </c>
      <c r="AF65" s="330">
        <v>1183.82</v>
      </c>
      <c r="AG65" s="330">
        <f t="shared" si="15"/>
        <v>25.429728951766389</v>
      </c>
      <c r="AH65" s="330">
        <f t="shared" si="16"/>
        <v>4.3265037828177158E-2</v>
      </c>
      <c r="AI65" s="330">
        <v>-53.66</v>
      </c>
      <c r="AJ65" s="330">
        <v>2.2940000000000002E-2</v>
      </c>
      <c r="AK65" s="330">
        <f t="shared" si="17"/>
        <v>3.0719999999999997E-2</v>
      </c>
      <c r="AL65" s="330">
        <v>6.0909999999999999E-2</v>
      </c>
      <c r="AM65" s="330">
        <v>24.16</v>
      </c>
      <c r="AN65" s="330">
        <f t="shared" si="18"/>
        <v>3.6749999999999998E-2</v>
      </c>
      <c r="AO65" s="330">
        <v>50.769999999999996</v>
      </c>
      <c r="AP65" s="330">
        <v>32.159999999999997</v>
      </c>
      <c r="AQ65" s="330">
        <f t="shared" si="19"/>
        <v>1.8609999999999998E-2</v>
      </c>
      <c r="AR65" s="336">
        <v>6.7920000000000008E-2</v>
      </c>
      <c r="AS65" s="330">
        <v>2.6109999999999998E-2</v>
      </c>
      <c r="AT65" s="336">
        <f t="shared" si="20"/>
        <v>4.1810000000000014E-2</v>
      </c>
      <c r="AU65" s="336">
        <v>9.3040000000000012E-2</v>
      </c>
      <c r="AV65" s="330">
        <v>2.7809999999999998E-2</v>
      </c>
      <c r="AW65" s="336">
        <f t="shared" si="23"/>
        <v>6.523000000000001E-2</v>
      </c>
      <c r="AX65" s="336">
        <v>0</v>
      </c>
      <c r="AY65" s="330">
        <v>0</v>
      </c>
      <c r="AZ65" s="336">
        <f t="shared" si="22"/>
        <v>0</v>
      </c>
    </row>
    <row r="66" spans="4:52">
      <c r="D66" s="335">
        <v>6666110110</v>
      </c>
      <c r="E66" s="330">
        <v>-661.74</v>
      </c>
      <c r="F66" s="330">
        <v>-17.796172588504859</v>
      </c>
      <c r="G66" s="330">
        <v>661.74</v>
      </c>
      <c r="H66" s="330">
        <f t="shared" si="0"/>
        <v>17.796172588504859</v>
      </c>
      <c r="I66" s="330">
        <f t="shared" si="1"/>
        <v>0</v>
      </c>
      <c r="J66" s="330">
        <v>-597.70000000000005</v>
      </c>
      <c r="K66" s="330">
        <f t="shared" si="2"/>
        <v>-15.686017216040312</v>
      </c>
      <c r="L66" s="330">
        <v>597.70000000000005</v>
      </c>
      <c r="M66" s="330">
        <f t="shared" si="3"/>
        <v>15.686017216040312</v>
      </c>
      <c r="N66" s="330">
        <f t="shared" si="4"/>
        <v>0</v>
      </c>
      <c r="O66" s="330">
        <v>-661.74</v>
      </c>
      <c r="P66" s="330">
        <f t="shared" si="5"/>
        <v>-16.25820907623477</v>
      </c>
      <c r="Q66" s="330">
        <v>661.74</v>
      </c>
      <c r="R66" s="330">
        <f t="shared" si="6"/>
        <v>16.25820907623477</v>
      </c>
      <c r="S66" s="330">
        <f t="shared" si="7"/>
        <v>0</v>
      </c>
      <c r="T66" s="330">
        <v>-640.4</v>
      </c>
      <c r="U66" s="330">
        <f t="shared" si="8"/>
        <v>-14.659225652271447</v>
      </c>
      <c r="V66" s="330">
        <v>640.4</v>
      </c>
      <c r="W66" s="330">
        <f t="shared" si="9"/>
        <v>14.659225652271447</v>
      </c>
      <c r="X66" s="330">
        <f t="shared" si="10"/>
        <v>0</v>
      </c>
      <c r="Y66" s="330">
        <v>-661.74</v>
      </c>
      <c r="Z66" s="330">
        <f t="shared" si="11"/>
        <v>-14.947617606266913</v>
      </c>
      <c r="AA66" s="330">
        <v>661.74</v>
      </c>
      <c r="AB66" s="330">
        <f t="shared" si="12"/>
        <v>14.947617606266913</v>
      </c>
      <c r="AC66" s="330">
        <f t="shared" si="13"/>
        <v>0</v>
      </c>
      <c r="AD66" s="330">
        <v>-640.4</v>
      </c>
      <c r="AE66" s="330">
        <f t="shared" si="14"/>
        <v>-13.756481915081006</v>
      </c>
      <c r="AF66" s="330">
        <v>640.4</v>
      </c>
      <c r="AG66" s="330">
        <f t="shared" si="15"/>
        <v>13.756481915081006</v>
      </c>
      <c r="AH66" s="330">
        <f t="shared" si="16"/>
        <v>0</v>
      </c>
      <c r="AI66" s="330">
        <v>-59.96</v>
      </c>
      <c r="AJ66" s="330">
        <v>5.9959999999999999E-2</v>
      </c>
      <c r="AK66" s="330">
        <f t="shared" si="17"/>
        <v>0</v>
      </c>
      <c r="AL66" s="330">
        <v>5.9950000000000003E-2</v>
      </c>
      <c r="AM66" s="330">
        <v>59.95</v>
      </c>
      <c r="AN66" s="330">
        <f t="shared" si="18"/>
        <v>0</v>
      </c>
      <c r="AO66" s="330">
        <v>58.02</v>
      </c>
      <c r="AP66" s="330">
        <v>58.02</v>
      </c>
      <c r="AQ66" s="330">
        <f t="shared" si="19"/>
        <v>0</v>
      </c>
      <c r="AR66" s="336">
        <v>5.9959999999999999E-2</v>
      </c>
      <c r="AS66" s="330">
        <v>5.9959999999999999E-2</v>
      </c>
      <c r="AT66" s="336">
        <f t="shared" si="20"/>
        <v>0</v>
      </c>
      <c r="AU66" s="336">
        <v>5.8020000000000002E-2</v>
      </c>
      <c r="AV66" s="330">
        <v>5.8020000000000002E-2</v>
      </c>
      <c r="AW66" s="336">
        <f t="shared" si="23"/>
        <v>0</v>
      </c>
      <c r="AX66" s="336">
        <v>1.311E-2</v>
      </c>
      <c r="AY66" s="330">
        <v>5.9959999999999999E-2</v>
      </c>
      <c r="AZ66" s="336">
        <f t="shared" si="22"/>
        <v>-4.6850000000000003E-2</v>
      </c>
    </row>
    <row r="67" spans="4:52">
      <c r="D67" s="335">
        <v>6666110112</v>
      </c>
      <c r="E67" s="330">
        <v>-687.87</v>
      </c>
      <c r="F67" s="330">
        <v>-18.498886629877045</v>
      </c>
      <c r="G67" s="330">
        <v>687.87</v>
      </c>
      <c r="H67" s="330">
        <f t="shared" si="0"/>
        <v>18.498886629877045</v>
      </c>
      <c r="I67" s="330">
        <f t="shared" si="1"/>
        <v>0</v>
      </c>
      <c r="J67" s="330">
        <v>-621.29999999999995</v>
      </c>
      <c r="K67" s="330">
        <f t="shared" si="2"/>
        <v>-16.305374763804323</v>
      </c>
      <c r="L67" s="330">
        <v>621.29999999999995</v>
      </c>
      <c r="M67" s="330">
        <f t="shared" si="3"/>
        <v>16.305374763804323</v>
      </c>
      <c r="N67" s="330">
        <f t="shared" si="4"/>
        <v>0</v>
      </c>
      <c r="O67" s="330">
        <v>-687.87</v>
      </c>
      <c r="P67" s="330">
        <f t="shared" si="5"/>
        <v>-16.90019384844442</v>
      </c>
      <c r="Q67" s="330">
        <v>687.87</v>
      </c>
      <c r="R67" s="330">
        <f t="shared" si="6"/>
        <v>16.90019384844442</v>
      </c>
      <c r="S67" s="330">
        <f t="shared" si="7"/>
        <v>0</v>
      </c>
      <c r="T67" s="330">
        <v>-665.69</v>
      </c>
      <c r="U67" s="330">
        <f t="shared" si="8"/>
        <v>-15.238132299282606</v>
      </c>
      <c r="V67" s="330">
        <v>665.69</v>
      </c>
      <c r="W67" s="330">
        <f t="shared" si="9"/>
        <v>15.238132299282606</v>
      </c>
      <c r="X67" s="330">
        <f t="shared" si="10"/>
        <v>0</v>
      </c>
      <c r="Y67" s="330">
        <v>-861.32</v>
      </c>
      <c r="Z67" s="330">
        <f t="shared" si="11"/>
        <v>-19.455801367047204</v>
      </c>
      <c r="AA67" s="330">
        <v>861.32</v>
      </c>
      <c r="AB67" s="330">
        <f t="shared" si="12"/>
        <v>19.455801367047204</v>
      </c>
      <c r="AC67" s="330">
        <f t="shared" si="13"/>
        <v>0</v>
      </c>
      <c r="AD67" s="330">
        <v>-999.23</v>
      </c>
      <c r="AE67" s="330">
        <f t="shared" si="14"/>
        <v>-21.464536889454081</v>
      </c>
      <c r="AF67" s="330">
        <v>999.23</v>
      </c>
      <c r="AG67" s="330">
        <f t="shared" si="15"/>
        <v>21.464536889454081</v>
      </c>
      <c r="AH67" s="330">
        <f t="shared" si="16"/>
        <v>0</v>
      </c>
      <c r="AI67" s="330">
        <v>-75.47</v>
      </c>
      <c r="AJ67" s="330">
        <v>7.5469999999999995E-2</v>
      </c>
      <c r="AK67" s="330">
        <f t="shared" si="17"/>
        <v>0</v>
      </c>
      <c r="AL67" s="330">
        <v>7.5459999999999999E-2</v>
      </c>
      <c r="AM67" s="330">
        <v>75.459999999999994</v>
      </c>
      <c r="AN67" s="330">
        <f t="shared" si="18"/>
        <v>0</v>
      </c>
      <c r="AO67" s="330">
        <v>73.19</v>
      </c>
      <c r="AP67" s="330">
        <v>73.19</v>
      </c>
      <c r="AQ67" s="330">
        <f t="shared" si="19"/>
        <v>0</v>
      </c>
      <c r="AR67" s="336">
        <v>-0.27543000000000001</v>
      </c>
      <c r="AS67" s="330">
        <v>0</v>
      </c>
      <c r="AT67" s="336">
        <f t="shared" si="20"/>
        <v>-0.27543000000000001</v>
      </c>
      <c r="AU67" s="336">
        <v>3.8539999999999998E-2</v>
      </c>
      <c r="AV67" s="330">
        <v>3.8539999999999998E-2</v>
      </c>
      <c r="AW67" s="336">
        <f t="shared" si="23"/>
        <v>0</v>
      </c>
      <c r="AX67" s="336">
        <v>1.154E-2</v>
      </c>
      <c r="AY67" s="330">
        <v>3.7990000000000003E-2</v>
      </c>
      <c r="AZ67" s="336">
        <f t="shared" si="22"/>
        <v>-2.6450000000000001E-2</v>
      </c>
    </row>
    <row r="68" spans="4:52">
      <c r="D68" s="335">
        <v>6666010380</v>
      </c>
      <c r="E68" s="330">
        <v>0</v>
      </c>
      <c r="F68" s="330">
        <v>0</v>
      </c>
      <c r="G68" s="330">
        <v>0</v>
      </c>
      <c r="H68" s="330">
        <v>0</v>
      </c>
      <c r="I68" s="330">
        <v>0</v>
      </c>
      <c r="J68" s="330">
        <v>0</v>
      </c>
      <c r="K68" s="330">
        <v>0</v>
      </c>
      <c r="L68" s="330">
        <v>0</v>
      </c>
      <c r="M68" s="330">
        <v>0</v>
      </c>
      <c r="N68" s="330">
        <v>0</v>
      </c>
      <c r="O68" s="330">
        <v>0</v>
      </c>
      <c r="P68" s="330">
        <v>0</v>
      </c>
      <c r="Q68" s="330">
        <v>0</v>
      </c>
      <c r="R68" s="330">
        <v>0</v>
      </c>
      <c r="S68" s="330">
        <v>0</v>
      </c>
      <c r="T68" s="330">
        <v>0</v>
      </c>
      <c r="U68" s="330">
        <v>0</v>
      </c>
      <c r="V68" s="330">
        <v>0</v>
      </c>
      <c r="W68" s="330">
        <v>0</v>
      </c>
      <c r="X68" s="330">
        <v>0</v>
      </c>
      <c r="Y68" s="330">
        <v>0</v>
      </c>
      <c r="Z68" s="330">
        <v>0</v>
      </c>
      <c r="AA68" s="330">
        <v>0</v>
      </c>
      <c r="AB68" s="330">
        <v>0</v>
      </c>
      <c r="AC68" s="330">
        <v>0</v>
      </c>
      <c r="AD68" s="330">
        <v>0</v>
      </c>
      <c r="AE68" s="330">
        <v>0</v>
      </c>
      <c r="AF68" s="330">
        <v>0</v>
      </c>
      <c r="AG68" s="330">
        <v>0</v>
      </c>
      <c r="AH68" s="330">
        <v>0</v>
      </c>
      <c r="AI68" s="330">
        <v>0</v>
      </c>
      <c r="AJ68" s="330">
        <v>0</v>
      </c>
      <c r="AK68" s="330">
        <v>0</v>
      </c>
      <c r="AL68" s="330">
        <v>0</v>
      </c>
      <c r="AM68" s="330">
        <v>0</v>
      </c>
      <c r="AN68" s="330">
        <v>0</v>
      </c>
      <c r="AO68" s="330">
        <v>56.91</v>
      </c>
      <c r="AP68" s="330">
        <v>56.91</v>
      </c>
      <c r="AQ68" s="330">
        <f t="shared" si="19"/>
        <v>0</v>
      </c>
      <c r="AR68" s="336">
        <v>5.6909999999999995E-2</v>
      </c>
      <c r="AS68" s="330">
        <v>5.6909999999999995E-2</v>
      </c>
      <c r="AT68" s="336">
        <f t="shared" si="20"/>
        <v>0</v>
      </c>
      <c r="AU68" s="336">
        <v>5.6909999999999995E-2</v>
      </c>
      <c r="AV68" s="330">
        <v>5.6909999999999995E-2</v>
      </c>
      <c r="AW68" s="336">
        <f t="shared" si="23"/>
        <v>0</v>
      </c>
      <c r="AX68" s="336">
        <v>5.5359999999999999E-2</v>
      </c>
      <c r="AY68" s="330">
        <v>5.6899999999999999E-2</v>
      </c>
      <c r="AZ68" s="336">
        <f t="shared" si="22"/>
        <v>-1.5399999999999997E-3</v>
      </c>
    </row>
    <row r="69" spans="4:52">
      <c r="D69" s="335">
        <v>6666031100</v>
      </c>
      <c r="E69" s="330">
        <v>0</v>
      </c>
      <c r="F69" s="330">
        <v>0</v>
      </c>
      <c r="G69" s="330">
        <v>0</v>
      </c>
      <c r="H69" s="330">
        <v>0</v>
      </c>
      <c r="I69" s="330">
        <v>0</v>
      </c>
      <c r="J69" s="330">
        <v>0</v>
      </c>
      <c r="K69" s="330">
        <v>0</v>
      </c>
      <c r="L69" s="330">
        <v>0</v>
      </c>
      <c r="M69" s="330">
        <v>0</v>
      </c>
      <c r="N69" s="330">
        <v>0</v>
      </c>
      <c r="O69" s="330">
        <v>0</v>
      </c>
      <c r="P69" s="330">
        <v>0</v>
      </c>
      <c r="Q69" s="330">
        <v>0</v>
      </c>
      <c r="R69" s="330">
        <v>0</v>
      </c>
      <c r="S69" s="330">
        <v>0</v>
      </c>
      <c r="T69" s="330">
        <v>0</v>
      </c>
      <c r="U69" s="330">
        <v>0</v>
      </c>
      <c r="V69" s="330">
        <v>0</v>
      </c>
      <c r="W69" s="330">
        <v>0</v>
      </c>
      <c r="X69" s="330">
        <v>0</v>
      </c>
      <c r="Y69" s="330">
        <v>0</v>
      </c>
      <c r="Z69" s="330">
        <v>0</v>
      </c>
      <c r="AA69" s="330">
        <v>0</v>
      </c>
      <c r="AB69" s="330">
        <v>0</v>
      </c>
      <c r="AC69" s="330">
        <v>0</v>
      </c>
      <c r="AD69" s="330">
        <v>0</v>
      </c>
      <c r="AE69" s="330">
        <v>0</v>
      </c>
      <c r="AF69" s="330">
        <v>0</v>
      </c>
      <c r="AG69" s="330">
        <v>0</v>
      </c>
      <c r="AH69" s="330">
        <v>0</v>
      </c>
      <c r="AI69" s="330">
        <v>0</v>
      </c>
      <c r="AJ69" s="330">
        <v>0</v>
      </c>
      <c r="AK69" s="330">
        <v>0</v>
      </c>
      <c r="AL69" s="330">
        <v>0</v>
      </c>
      <c r="AM69" s="330">
        <v>0</v>
      </c>
      <c r="AN69" s="330">
        <v>0</v>
      </c>
      <c r="AO69" s="330">
        <v>3.49</v>
      </c>
      <c r="AP69" s="330">
        <v>3.49</v>
      </c>
      <c r="AQ69" s="330">
        <f t="shared" ref="AQ69:AQ74" si="24">(AO69-AP69)/1000</f>
        <v>0</v>
      </c>
      <c r="AR69" s="336">
        <v>0</v>
      </c>
      <c r="AS69" s="330">
        <v>0</v>
      </c>
      <c r="AT69" s="336">
        <f t="shared" ref="AT69:AT74" si="25">AR69-AS69</f>
        <v>0</v>
      </c>
      <c r="AU69" s="336">
        <v>-4.0000000000000003E-5</v>
      </c>
      <c r="AV69" s="330">
        <v>-4.0000000000000003E-5</v>
      </c>
      <c r="AW69" s="336">
        <f t="shared" si="23"/>
        <v>0</v>
      </c>
      <c r="AX69" s="336">
        <v>8.9999999999999992E-5</v>
      </c>
      <c r="AY69" s="330">
        <v>8.9999999999999992E-5</v>
      </c>
      <c r="AZ69" s="336">
        <f t="shared" ref="AZ69:AZ74" si="26">AX69-AY69</f>
        <v>0</v>
      </c>
    </row>
    <row r="70" spans="4:52">
      <c r="D70" s="335">
        <v>6666090100</v>
      </c>
      <c r="E70" s="330">
        <v>0</v>
      </c>
      <c r="F70" s="330">
        <v>0</v>
      </c>
      <c r="G70" s="330">
        <v>0</v>
      </c>
      <c r="H70" s="330">
        <v>0</v>
      </c>
      <c r="I70" s="330">
        <v>0</v>
      </c>
      <c r="J70" s="330">
        <v>0</v>
      </c>
      <c r="K70" s="330">
        <v>0</v>
      </c>
      <c r="L70" s="330">
        <v>0</v>
      </c>
      <c r="M70" s="330">
        <v>0</v>
      </c>
      <c r="N70" s="330">
        <v>0</v>
      </c>
      <c r="O70" s="330">
        <v>0</v>
      </c>
      <c r="P70" s="330">
        <v>0</v>
      </c>
      <c r="Q70" s="330">
        <v>0</v>
      </c>
      <c r="R70" s="330">
        <v>0</v>
      </c>
      <c r="S70" s="330">
        <v>0</v>
      </c>
      <c r="T70" s="330">
        <v>0</v>
      </c>
      <c r="U70" s="330">
        <v>0</v>
      </c>
      <c r="V70" s="330">
        <v>0</v>
      </c>
      <c r="W70" s="330">
        <v>0</v>
      </c>
      <c r="X70" s="330">
        <v>0</v>
      </c>
      <c r="Y70" s="330">
        <v>0</v>
      </c>
      <c r="Z70" s="330">
        <v>0</v>
      </c>
      <c r="AA70" s="330">
        <v>0</v>
      </c>
      <c r="AB70" s="330">
        <v>0</v>
      </c>
      <c r="AC70" s="330">
        <v>0</v>
      </c>
      <c r="AD70" s="330">
        <v>0</v>
      </c>
      <c r="AE70" s="330">
        <v>0</v>
      </c>
      <c r="AF70" s="330">
        <v>0</v>
      </c>
      <c r="AG70" s="330">
        <v>0</v>
      </c>
      <c r="AH70" s="330">
        <v>0</v>
      </c>
      <c r="AI70" s="330">
        <v>0</v>
      </c>
      <c r="AJ70" s="330">
        <v>0</v>
      </c>
      <c r="AK70" s="330">
        <v>0</v>
      </c>
      <c r="AL70" s="330">
        <v>0</v>
      </c>
      <c r="AM70" s="330">
        <v>0</v>
      </c>
      <c r="AN70" s="330">
        <v>0</v>
      </c>
      <c r="AO70" s="330">
        <v>4392.0200000000004</v>
      </c>
      <c r="AP70" s="330">
        <v>4392.0200000000004</v>
      </c>
      <c r="AQ70" s="330">
        <f t="shared" si="24"/>
        <v>0</v>
      </c>
      <c r="AR70" s="336">
        <v>0</v>
      </c>
      <c r="AS70" s="330">
        <v>0</v>
      </c>
      <c r="AT70" s="336">
        <f t="shared" si="25"/>
        <v>0</v>
      </c>
      <c r="AU70" s="336">
        <v>0</v>
      </c>
      <c r="AV70" s="330">
        <v>0</v>
      </c>
      <c r="AW70" s="336">
        <f t="shared" si="23"/>
        <v>0</v>
      </c>
      <c r="AX70" s="336">
        <v>0</v>
      </c>
      <c r="AY70" s="330">
        <v>0</v>
      </c>
      <c r="AZ70" s="336">
        <f t="shared" si="26"/>
        <v>0</v>
      </c>
    </row>
    <row r="71" spans="4:52">
      <c r="D71" s="335">
        <v>6666110207</v>
      </c>
      <c r="E71" s="330">
        <v>-844.22</v>
      </c>
      <c r="F71" s="330">
        <v>-22.703606888910407</v>
      </c>
      <c r="G71" s="330">
        <v>844.22</v>
      </c>
      <c r="H71" s="330">
        <f t="shared" si="0"/>
        <v>22.703606888910407</v>
      </c>
      <c r="I71" s="330">
        <f>(F71*-1-H71)/1000</f>
        <v>0</v>
      </c>
      <c r="J71" s="330">
        <v>-762.52</v>
      </c>
      <c r="K71" s="330">
        <f t="shared" si="2"/>
        <v>-20.011547344110856</v>
      </c>
      <c r="L71" s="330">
        <v>762.52</v>
      </c>
      <c r="M71" s="330">
        <f t="shared" si="3"/>
        <v>20.011547344110856</v>
      </c>
      <c r="N71" s="330">
        <f t="shared" si="4"/>
        <v>0</v>
      </c>
      <c r="O71" s="330">
        <v>-59.82</v>
      </c>
      <c r="P71" s="330">
        <f t="shared" si="5"/>
        <v>-1.4697102592262277</v>
      </c>
      <c r="Q71" s="330">
        <v>59.82</v>
      </c>
      <c r="R71" s="330">
        <f t="shared" si="6"/>
        <v>1.4697102592262277</v>
      </c>
      <c r="S71" s="330">
        <f t="shared" si="7"/>
        <v>0</v>
      </c>
      <c r="T71" s="330">
        <v>-5.53</v>
      </c>
      <c r="U71" s="330">
        <f t="shared" si="8"/>
        <v>-0.12658575555443646</v>
      </c>
      <c r="V71" s="330">
        <v>5.53</v>
      </c>
      <c r="W71" s="330">
        <f t="shared" si="9"/>
        <v>0.12658575555443646</v>
      </c>
      <c r="X71" s="330">
        <f t="shared" si="10"/>
        <v>0</v>
      </c>
      <c r="Y71" s="330">
        <v>-5.72</v>
      </c>
      <c r="Z71" s="330">
        <f t="shared" si="11"/>
        <v>-0.1292053868707449</v>
      </c>
      <c r="AA71" s="330">
        <v>5.72</v>
      </c>
      <c r="AB71" s="330">
        <f t="shared" si="12"/>
        <v>0.1292053868707449</v>
      </c>
      <c r="AC71" s="330">
        <f t="shared" si="13"/>
        <v>0</v>
      </c>
      <c r="AD71" s="330">
        <v>-5.53</v>
      </c>
      <c r="AE71" s="330">
        <f t="shared" si="14"/>
        <v>-0.11879035757401306</v>
      </c>
      <c r="AF71" s="330">
        <v>5.53</v>
      </c>
      <c r="AG71" s="330">
        <f t="shared" si="15"/>
        <v>0.11879035757401306</v>
      </c>
      <c r="AH71" s="330">
        <f t="shared" si="16"/>
        <v>0</v>
      </c>
      <c r="AI71" s="330">
        <v>-1.1599999999999999</v>
      </c>
      <c r="AJ71" s="330">
        <v>1.16E-3</v>
      </c>
      <c r="AK71" s="330">
        <f t="shared" si="17"/>
        <v>0</v>
      </c>
      <c r="AL71" s="330">
        <v>1.16E-3</v>
      </c>
      <c r="AM71" s="330">
        <v>1.1599999999999999</v>
      </c>
      <c r="AN71" s="330">
        <f t="shared" si="18"/>
        <v>0</v>
      </c>
      <c r="AO71" s="330">
        <v>1.1200000000000001</v>
      </c>
      <c r="AP71" s="330">
        <v>1.1200000000000001</v>
      </c>
      <c r="AQ71" s="330">
        <f t="shared" si="24"/>
        <v>0</v>
      </c>
      <c r="AR71" s="336">
        <v>1.16E-3</v>
      </c>
      <c r="AS71" s="330">
        <v>1.16E-3</v>
      </c>
      <c r="AT71" s="336">
        <f t="shared" si="25"/>
        <v>0</v>
      </c>
      <c r="AU71" s="336">
        <v>1.1200000000000001E-3</v>
      </c>
      <c r="AV71" s="330">
        <v>1.1200000000000001E-3</v>
      </c>
      <c r="AW71" s="336">
        <f t="shared" si="23"/>
        <v>0</v>
      </c>
      <c r="AX71" s="336">
        <v>1.1E-4</v>
      </c>
      <c r="AY71" s="330">
        <v>1.16E-3</v>
      </c>
      <c r="AZ71" s="336">
        <f t="shared" si="26"/>
        <v>-1.0499999999999999E-3</v>
      </c>
    </row>
    <row r="72" spans="4:52">
      <c r="D72" s="335">
        <v>5001010206</v>
      </c>
      <c r="E72" s="330">
        <v>0</v>
      </c>
      <c r="F72" s="330">
        <v>0</v>
      </c>
      <c r="G72" s="330">
        <v>0</v>
      </c>
      <c r="H72" s="330">
        <v>0</v>
      </c>
      <c r="I72" s="330">
        <v>0</v>
      </c>
      <c r="J72" s="330">
        <v>0</v>
      </c>
      <c r="K72" s="330">
        <v>0</v>
      </c>
      <c r="L72" s="330">
        <v>0</v>
      </c>
      <c r="M72" s="330">
        <v>0</v>
      </c>
      <c r="N72" s="330">
        <v>0</v>
      </c>
      <c r="O72" s="330">
        <v>0</v>
      </c>
      <c r="P72" s="330">
        <v>0</v>
      </c>
      <c r="Q72" s="330">
        <v>0</v>
      </c>
      <c r="R72" s="330">
        <v>0</v>
      </c>
      <c r="S72" s="330">
        <v>0</v>
      </c>
      <c r="T72" s="330">
        <v>0</v>
      </c>
      <c r="U72" s="330">
        <v>0</v>
      </c>
      <c r="V72" s="330">
        <v>0</v>
      </c>
      <c r="W72" s="330">
        <v>0</v>
      </c>
      <c r="X72" s="330">
        <v>0</v>
      </c>
      <c r="Y72" s="330">
        <v>0</v>
      </c>
      <c r="Z72" s="330">
        <v>0</v>
      </c>
      <c r="AA72" s="330">
        <v>0</v>
      </c>
      <c r="AB72" s="330">
        <v>0</v>
      </c>
      <c r="AC72" s="330">
        <v>0</v>
      </c>
      <c r="AD72" s="330">
        <v>0</v>
      </c>
      <c r="AE72" s="330">
        <v>0</v>
      </c>
      <c r="AF72" s="330">
        <v>0</v>
      </c>
      <c r="AG72" s="330">
        <v>0</v>
      </c>
      <c r="AH72" s="330">
        <v>0</v>
      </c>
      <c r="AI72" s="330">
        <v>0</v>
      </c>
      <c r="AJ72" s="330">
        <v>0</v>
      </c>
      <c r="AK72" s="330">
        <v>0</v>
      </c>
      <c r="AL72" s="330">
        <v>0</v>
      </c>
      <c r="AM72" s="330">
        <v>0</v>
      </c>
      <c r="AN72" s="330">
        <v>0</v>
      </c>
      <c r="AO72" s="330">
        <v>0</v>
      </c>
      <c r="AP72" s="330">
        <v>0</v>
      </c>
      <c r="AQ72" s="330">
        <v>0</v>
      </c>
      <c r="AR72" s="330">
        <v>0</v>
      </c>
      <c r="AS72" s="330">
        <v>0</v>
      </c>
      <c r="AT72" s="330">
        <v>0</v>
      </c>
      <c r="AU72" s="330">
        <v>0</v>
      </c>
      <c r="AV72" s="330">
        <v>0</v>
      </c>
      <c r="AW72" s="330">
        <v>0</v>
      </c>
      <c r="AX72" s="336">
        <v>3.1E-4</v>
      </c>
      <c r="AY72" s="330">
        <v>0</v>
      </c>
      <c r="AZ72" s="336">
        <f t="shared" si="26"/>
        <v>3.1E-4</v>
      </c>
    </row>
    <row r="73" spans="4:52">
      <c r="D73" s="335">
        <v>6666070400</v>
      </c>
      <c r="E73" s="330">
        <v>0</v>
      </c>
      <c r="F73" s="330">
        <v>0</v>
      </c>
      <c r="G73" s="330">
        <v>0</v>
      </c>
      <c r="H73" s="330">
        <v>0</v>
      </c>
      <c r="I73" s="330">
        <v>0</v>
      </c>
      <c r="J73" s="330">
        <v>0</v>
      </c>
      <c r="K73" s="330">
        <v>0</v>
      </c>
      <c r="L73" s="330">
        <v>0</v>
      </c>
      <c r="M73" s="330">
        <v>0</v>
      </c>
      <c r="N73" s="330">
        <v>0</v>
      </c>
      <c r="O73" s="330">
        <v>0</v>
      </c>
      <c r="P73" s="330">
        <v>0</v>
      </c>
      <c r="Q73" s="330">
        <v>0</v>
      </c>
      <c r="R73" s="330">
        <v>0</v>
      </c>
      <c r="S73" s="330">
        <v>0</v>
      </c>
      <c r="T73" s="330">
        <v>0</v>
      </c>
      <c r="U73" s="330">
        <v>0</v>
      </c>
      <c r="V73" s="330">
        <v>0</v>
      </c>
      <c r="W73" s="330">
        <v>0</v>
      </c>
      <c r="X73" s="330">
        <v>0</v>
      </c>
      <c r="Y73" s="330">
        <v>0</v>
      </c>
      <c r="Z73" s="330">
        <v>0</v>
      </c>
      <c r="AA73" s="330">
        <v>0</v>
      </c>
      <c r="AB73" s="330">
        <v>0</v>
      </c>
      <c r="AC73" s="330">
        <v>0</v>
      </c>
      <c r="AD73" s="330">
        <v>0</v>
      </c>
      <c r="AE73" s="330">
        <v>0</v>
      </c>
      <c r="AF73" s="330">
        <v>0</v>
      </c>
      <c r="AG73" s="330">
        <v>0</v>
      </c>
      <c r="AH73" s="330">
        <v>0</v>
      </c>
      <c r="AI73" s="330">
        <v>0</v>
      </c>
      <c r="AJ73" s="330">
        <v>0</v>
      </c>
      <c r="AK73" s="330">
        <v>0</v>
      </c>
      <c r="AL73" s="330">
        <v>0</v>
      </c>
      <c r="AM73" s="330">
        <v>0</v>
      </c>
      <c r="AN73" s="330">
        <v>0</v>
      </c>
      <c r="AO73" s="330">
        <v>0</v>
      </c>
      <c r="AP73" s="330">
        <v>0</v>
      </c>
      <c r="AQ73" s="330">
        <v>0</v>
      </c>
      <c r="AR73" s="330">
        <v>0</v>
      </c>
      <c r="AS73" s="330">
        <v>0</v>
      </c>
      <c r="AT73" s="330">
        <v>0</v>
      </c>
      <c r="AU73" s="330">
        <v>0</v>
      </c>
      <c r="AV73" s="330">
        <v>0</v>
      </c>
      <c r="AW73" s="330">
        <v>0</v>
      </c>
      <c r="AX73" s="336">
        <v>0.15550999999999998</v>
      </c>
      <c r="AY73" s="330">
        <v>0.15550999999999998</v>
      </c>
      <c r="AZ73" s="336">
        <f t="shared" si="26"/>
        <v>0</v>
      </c>
    </row>
    <row r="74" spans="4:52">
      <c r="D74" s="335">
        <v>6666110506</v>
      </c>
      <c r="E74" s="330">
        <v>-346.9</v>
      </c>
      <c r="F74" s="330">
        <v>-9.3291810544206708</v>
      </c>
      <c r="G74" s="330">
        <v>346.9</v>
      </c>
      <c r="H74" s="330">
        <f t="shared" si="0"/>
        <v>9.3291810544206708</v>
      </c>
      <c r="I74" s="330">
        <f t="shared" si="1"/>
        <v>0</v>
      </c>
      <c r="J74" s="330">
        <v>-313.32</v>
      </c>
      <c r="K74" s="330">
        <f t="shared" si="2"/>
        <v>-8.2227587654839382</v>
      </c>
      <c r="L74" s="330">
        <v>313.32</v>
      </c>
      <c r="M74" s="330">
        <f t="shared" si="3"/>
        <v>8.2227587654839382</v>
      </c>
      <c r="N74" s="330">
        <f t="shared" si="4"/>
        <v>0</v>
      </c>
      <c r="O74" s="330">
        <v>-346.89</v>
      </c>
      <c r="P74" s="330">
        <f t="shared" si="5"/>
        <v>-8.5226979575892035</v>
      </c>
      <c r="Q74" s="330">
        <v>346.89</v>
      </c>
      <c r="R74" s="330">
        <f t="shared" si="6"/>
        <v>8.5226979575892035</v>
      </c>
      <c r="S74" s="330">
        <f t="shared" si="7"/>
        <v>0</v>
      </c>
      <c r="T74" s="330">
        <v>-335.71</v>
      </c>
      <c r="U74" s="330">
        <f t="shared" si="8"/>
        <v>-7.6846481007558518</v>
      </c>
      <c r="V74" s="330">
        <v>335.71</v>
      </c>
      <c r="W74" s="330">
        <f t="shared" si="9"/>
        <v>7.6846481007558518</v>
      </c>
      <c r="X74" s="330">
        <f t="shared" si="10"/>
        <v>0</v>
      </c>
      <c r="Y74" s="330">
        <v>-346.89</v>
      </c>
      <c r="Z74" s="330">
        <f t="shared" si="11"/>
        <v>-7.8356742397889336</v>
      </c>
      <c r="AA74" s="330">
        <v>346.89</v>
      </c>
      <c r="AB74" s="330">
        <f t="shared" si="12"/>
        <v>7.8356742397889336</v>
      </c>
      <c r="AC74" s="330">
        <f t="shared" si="13"/>
        <v>0</v>
      </c>
      <c r="AD74" s="330">
        <v>-335.71</v>
      </c>
      <c r="AE74" s="330">
        <f t="shared" si="14"/>
        <v>-7.2114124667580324</v>
      </c>
      <c r="AF74" s="330">
        <v>335.71</v>
      </c>
      <c r="AG74" s="330">
        <f t="shared" si="15"/>
        <v>7.2114124667580324</v>
      </c>
      <c r="AH74" s="330">
        <f t="shared" si="16"/>
        <v>0</v>
      </c>
      <c r="AI74" s="330">
        <v>-63.96</v>
      </c>
      <c r="AJ74" s="330">
        <v>6.3960000000000003E-2</v>
      </c>
      <c r="AK74" s="330">
        <f t="shared" si="17"/>
        <v>0</v>
      </c>
      <c r="AL74" s="330">
        <v>6.3950000000000007E-2</v>
      </c>
      <c r="AM74" s="330">
        <v>63.95</v>
      </c>
      <c r="AN74" s="330">
        <f t="shared" ref="AN74" si="27">AL74-AM74/1000</f>
        <v>0</v>
      </c>
      <c r="AO74" s="330">
        <v>61.9</v>
      </c>
      <c r="AP74" s="330">
        <v>61.9</v>
      </c>
      <c r="AQ74" s="330">
        <f t="shared" si="24"/>
        <v>0</v>
      </c>
      <c r="AR74" s="336">
        <v>6.3890000000000002E-2</v>
      </c>
      <c r="AS74" s="330">
        <v>6.3890000000000002E-2</v>
      </c>
      <c r="AT74" s="336">
        <f t="shared" si="25"/>
        <v>0</v>
      </c>
      <c r="AU74" s="336">
        <v>5.9569999999999998E-2</v>
      </c>
      <c r="AV74" s="330">
        <v>5.9569999999999998E-2</v>
      </c>
      <c r="AW74" s="336">
        <f t="shared" si="23"/>
        <v>0</v>
      </c>
      <c r="AX74" s="336">
        <v>6.6400000000000001E-3</v>
      </c>
      <c r="AY74" s="330">
        <v>6.1550000000000001E-2</v>
      </c>
      <c r="AZ74" s="336">
        <f t="shared" si="26"/>
        <v>-5.491E-2</v>
      </c>
    </row>
    <row r="75" spans="4:52">
      <c r="E75" s="342">
        <f>SUM(E4:E74)</f>
        <v>-6502153.1100000003</v>
      </c>
      <c r="F75" s="343">
        <f t="shared" ref="F75:H75" si="28">SUM(F4:F74)</f>
        <v>-155055.71968808427</v>
      </c>
      <c r="G75" s="342">
        <f t="shared" si="28"/>
        <v>6502153.1100000003</v>
      </c>
      <c r="H75" s="343">
        <f t="shared" si="28"/>
        <v>155055.71968808427</v>
      </c>
      <c r="I75" s="344">
        <f>SUM(I4:I74)</f>
        <v>39.100273501791079</v>
      </c>
      <c r="J75" s="342">
        <f t="shared" ref="J75:M75" si="29">SUM(J4:J74)</f>
        <v>-9712891.1000000015</v>
      </c>
      <c r="K75" s="343">
        <f t="shared" si="29"/>
        <v>-237901.18269046122</v>
      </c>
      <c r="L75" s="342">
        <f t="shared" si="29"/>
        <v>9712891.0999999996</v>
      </c>
      <c r="M75" s="343">
        <f t="shared" si="29"/>
        <v>234442.81809914386</v>
      </c>
      <c r="N75" s="344">
        <f>SUM(N4:N74)</f>
        <v>84.563724396062284</v>
      </c>
      <c r="O75" s="342">
        <f t="shared" ref="O75:R75" si="30">SUM(O4:O74)</f>
        <v>-9704847.1800000016</v>
      </c>
      <c r="P75" s="343">
        <f t="shared" si="30"/>
        <v>-224052.72262909598</v>
      </c>
      <c r="Q75" s="342">
        <f t="shared" si="30"/>
        <v>9704858.2400000002</v>
      </c>
      <c r="R75" s="343">
        <f t="shared" si="30"/>
        <v>224052.99436088244</v>
      </c>
      <c r="S75" s="344">
        <f>SUM(S4:S74)</f>
        <v>59.096334814836659</v>
      </c>
      <c r="T75" s="342">
        <f t="shared" ref="T75:V75" si="31">SUM(T4:T74)</f>
        <v>-7376700.7100000009</v>
      </c>
      <c r="U75" s="343">
        <f t="shared" si="31"/>
        <v>-165405.49636288529</v>
      </c>
      <c r="V75" s="342">
        <f t="shared" si="31"/>
        <v>7376700.7100000018</v>
      </c>
      <c r="W75" s="343">
        <f t="shared" ref="W75" si="32">V75/$B$6</f>
        <v>168858.0891273595</v>
      </c>
      <c r="X75" s="344">
        <f>SUM(X4:X74)</f>
        <v>24.196073323597144</v>
      </c>
      <c r="Y75" s="342">
        <f t="shared" ref="Y75:AB75" si="33">SUM(Y4:Y74)</f>
        <v>-9468236.1900000013</v>
      </c>
      <c r="Z75" s="343">
        <f t="shared" si="33"/>
        <v>-211477.08045951641</v>
      </c>
      <c r="AA75" s="342">
        <f t="shared" si="33"/>
        <v>9468236.1900000013</v>
      </c>
      <c r="AB75" s="343">
        <f t="shared" si="33"/>
        <v>211477.08045951641</v>
      </c>
      <c r="AC75" s="344">
        <f>SUM(AC4:AC74)</f>
        <v>45.986140689306225</v>
      </c>
      <c r="AD75" s="342">
        <f t="shared" ref="AD75:AG75" si="34">SUM(AD4:AD74)</f>
        <v>-8507489.7000000011</v>
      </c>
      <c r="AE75" s="343">
        <f t="shared" si="34"/>
        <v>-186790.32351101053</v>
      </c>
      <c r="AF75" s="342">
        <f t="shared" si="34"/>
        <v>8507489.7000000011</v>
      </c>
      <c r="AG75" s="343">
        <f t="shared" si="34"/>
        <v>186790.3235110105</v>
      </c>
      <c r="AH75" s="344">
        <f>SUM(AH4:AH74)</f>
        <v>40.918053127000434</v>
      </c>
      <c r="AI75" s="343">
        <f t="shared" ref="AI75:AZ75" si="35">SUM(AI4:AI74)</f>
        <v>-187996.96</v>
      </c>
      <c r="AJ75" s="343">
        <f t="shared" si="35"/>
        <v>188.28228999999999</v>
      </c>
      <c r="AK75" s="344">
        <f>SUM(AK4:AK74)</f>
        <v>45.103729999999977</v>
      </c>
      <c r="AL75" s="343">
        <f t="shared" si="35"/>
        <v>176.98345999999998</v>
      </c>
      <c r="AM75" s="343">
        <f t="shared" si="35"/>
        <v>176983.46000000005</v>
      </c>
      <c r="AN75" s="343">
        <f t="shared" si="35"/>
        <v>34.723729999999996</v>
      </c>
      <c r="AO75" s="343">
        <f t="shared" si="35"/>
        <v>203397.37999999998</v>
      </c>
      <c r="AP75" s="343">
        <f t="shared" si="35"/>
        <v>203397.37999999998</v>
      </c>
      <c r="AQ75" s="343">
        <f t="shared" si="35"/>
        <v>46.258620000000008</v>
      </c>
      <c r="AR75" s="343">
        <f t="shared" si="35"/>
        <v>207.58152999999993</v>
      </c>
      <c r="AS75" s="343">
        <f t="shared" si="35"/>
        <v>207.85695999999993</v>
      </c>
      <c r="AT75" s="343">
        <f t="shared" si="35"/>
        <v>56.646339999999995</v>
      </c>
      <c r="AU75" s="343">
        <f t="shared" si="35"/>
        <v>174.17191999999994</v>
      </c>
      <c r="AV75" s="343">
        <f t="shared" si="35"/>
        <v>187.42677999999998</v>
      </c>
      <c r="AW75" s="343">
        <f t="shared" si="35"/>
        <v>31.186270000000004</v>
      </c>
      <c r="AX75" s="343">
        <f t="shared" si="35"/>
        <v>-33.326340000000023</v>
      </c>
      <c r="AY75" s="343">
        <f t="shared" si="35"/>
        <v>-32.980000000000018</v>
      </c>
      <c r="AZ75" s="343">
        <f t="shared" si="35"/>
        <v>29.84666</v>
      </c>
    </row>
    <row r="76" spans="4:52" hidden="1">
      <c r="D76" s="334" t="s">
        <v>412</v>
      </c>
      <c r="E76" s="345"/>
      <c r="F76" s="346">
        <v>-174996.36</v>
      </c>
      <c r="G76" s="346"/>
      <c r="H76" s="346"/>
      <c r="I76" s="346"/>
      <c r="J76" s="347"/>
      <c r="K76" s="346">
        <v>-243798.14</v>
      </c>
      <c r="L76" s="346"/>
      <c r="M76" s="346"/>
      <c r="N76" s="346"/>
      <c r="O76" s="347"/>
      <c r="P76" s="346">
        <v>-219313.79</v>
      </c>
      <c r="Q76" s="346"/>
      <c r="R76" s="346"/>
      <c r="S76" s="346"/>
      <c r="T76" s="347"/>
      <c r="U76" s="346">
        <v>-161263.10999999999</v>
      </c>
      <c r="V76" s="346"/>
      <c r="W76" s="346"/>
      <c r="X76" s="346"/>
      <c r="Y76" s="346"/>
      <c r="Z76" s="346">
        <v>-196884.85</v>
      </c>
      <c r="AA76" s="346"/>
      <c r="AB76" s="346"/>
      <c r="AC76" s="346"/>
      <c r="AD76" s="346"/>
      <c r="AE76" s="346">
        <v>-184029.68</v>
      </c>
      <c r="AF76" s="346"/>
      <c r="AG76" s="346"/>
      <c r="AH76" s="346"/>
      <c r="AI76" s="346">
        <v>-188282.29</v>
      </c>
      <c r="AJ76" s="348"/>
      <c r="AK76" s="348"/>
      <c r="AV76" s="349"/>
      <c r="AX76" s="349"/>
    </row>
    <row r="77" spans="4:52" s="330" customFormat="1" hidden="1">
      <c r="D77" s="342" t="s">
        <v>441</v>
      </c>
      <c r="F77" s="330">
        <f>F76-F75</f>
        <v>-19940.640311915718</v>
      </c>
      <c r="G77" s="330">
        <f>F77/B3</f>
        <v>-536.26360279890821</v>
      </c>
      <c r="H77" s="330">
        <f>G77/1000</f>
        <v>-0.53626360279890817</v>
      </c>
      <c r="K77" s="330">
        <f>K76-K75</f>
        <v>-5896.9573095387896</v>
      </c>
      <c r="P77" s="330">
        <f>P76-P75</f>
        <v>4738.9326290959725</v>
      </c>
      <c r="U77" s="330">
        <f>U76-U75</f>
        <v>4142.3863628852996</v>
      </c>
      <c r="Z77" s="330">
        <f>Z76-Z75</f>
        <v>14592.230459516402</v>
      </c>
      <c r="AE77" s="330">
        <f>AE76-AE75</f>
        <v>2760.6435110105376</v>
      </c>
      <c r="AI77" s="330">
        <f>AI76-AI75</f>
        <v>-285.3300000000163</v>
      </c>
    </row>
    <row r="78" spans="4:52" s="355" customFormat="1" ht="10.8">
      <c r="D78" s="356" t="s">
        <v>436</v>
      </c>
      <c r="I78" s="355">
        <f>+'Renta DW _2025 '!E139</f>
        <v>39.015180000000001</v>
      </c>
      <c r="N78" s="355">
        <f>+'Renta DW _2025 '!H139</f>
        <v>91.643249999999995</v>
      </c>
      <c r="S78" s="355">
        <f>+'Renta DW _2025 '!K139</f>
        <v>57.274529999999999</v>
      </c>
      <c r="X78" s="355">
        <f>+'Renta DW _2025 '!N139</f>
        <v>15.610749999999999</v>
      </c>
      <c r="AC78" s="355">
        <f>+'Renta DW _2025 '!Q139</f>
        <v>47.885349999999995</v>
      </c>
      <c r="AH78" s="355">
        <f>+'Renta DW _2025 '!T139</f>
        <v>40.671279999999996</v>
      </c>
      <c r="AK78" s="355">
        <f>+'Renta DW _2025 '!W139</f>
        <v>45.389060000000001</v>
      </c>
      <c r="AN78" s="355">
        <f>+'Renta DW _2025 '!Z139</f>
        <v>34.723730000000003</v>
      </c>
      <c r="AQ78" s="355">
        <f>+'Renta DW _2025 '!AC139</f>
        <v>46.258620000000001</v>
      </c>
      <c r="AT78" s="355">
        <f>+'Renta DW _2025 '!AF139</f>
        <v>56.921769999999995</v>
      </c>
      <c r="AW78" s="355">
        <f>+'Renta DW _2025 '!AI139</f>
        <v>44.441129999999994</v>
      </c>
      <c r="AX78" s="355">
        <f>+'Renta DW _2025 '!AJ139</f>
        <v>1.3061700564307546</v>
      </c>
      <c r="AY78" s="355">
        <f>+'Renta DW _2025 '!AK139</f>
        <v>0</v>
      </c>
      <c r="AZ78" s="355">
        <f>+'Renta DW _2025 '!AL139</f>
        <v>30.193000000000001</v>
      </c>
    </row>
    <row r="79" spans="4:52">
      <c r="K79" s="349"/>
      <c r="L79" s="349"/>
      <c r="M79" s="334"/>
      <c r="N79" s="334"/>
    </row>
    <row r="80" spans="4:52" s="307" customFormat="1" ht="12">
      <c r="D80" s="297" t="s">
        <v>437</v>
      </c>
      <c r="E80" s="308"/>
      <c r="I80" s="309">
        <f>+I78-I75</f>
        <v>-8.5093501791078552E-2</v>
      </c>
      <c r="J80" s="309">
        <f t="shared" ref="J80:AS80" si="36">+J78-J73</f>
        <v>0</v>
      </c>
      <c r="K80" s="309">
        <f t="shared" si="36"/>
        <v>0</v>
      </c>
      <c r="L80" s="309">
        <f t="shared" si="36"/>
        <v>0</v>
      </c>
      <c r="M80" s="309">
        <f t="shared" si="36"/>
        <v>0</v>
      </c>
      <c r="N80" s="309">
        <f>+N78-N75</f>
        <v>7.0795256039377108</v>
      </c>
      <c r="O80" s="309">
        <f t="shared" si="36"/>
        <v>0</v>
      </c>
      <c r="P80" s="309">
        <f t="shared" si="36"/>
        <v>0</v>
      </c>
      <c r="Q80" s="309">
        <f t="shared" si="36"/>
        <v>0</v>
      </c>
      <c r="R80" s="309">
        <f t="shared" si="36"/>
        <v>0</v>
      </c>
      <c r="S80" s="309">
        <f>+S78-S75</f>
        <v>-1.8218048148366606</v>
      </c>
      <c r="T80" s="309">
        <f t="shared" si="36"/>
        <v>0</v>
      </c>
      <c r="U80" s="309">
        <f t="shared" si="36"/>
        <v>0</v>
      </c>
      <c r="V80" s="309">
        <f t="shared" si="36"/>
        <v>0</v>
      </c>
      <c r="W80" s="309">
        <f t="shared" si="36"/>
        <v>0</v>
      </c>
      <c r="X80" s="309">
        <f>+X78-X75</f>
        <v>-8.5853233235971445</v>
      </c>
      <c r="Y80" s="309">
        <f t="shared" si="36"/>
        <v>0</v>
      </c>
      <c r="Z80" s="309">
        <f t="shared" si="36"/>
        <v>0</v>
      </c>
      <c r="AA80" s="309">
        <f t="shared" si="36"/>
        <v>0</v>
      </c>
      <c r="AB80" s="309">
        <f t="shared" si="36"/>
        <v>0</v>
      </c>
      <c r="AC80" s="309">
        <f>+AC78-AC75</f>
        <v>1.8992093106937702</v>
      </c>
      <c r="AD80" s="309">
        <f t="shared" si="36"/>
        <v>0</v>
      </c>
      <c r="AE80" s="309">
        <f t="shared" si="36"/>
        <v>0</v>
      </c>
      <c r="AF80" s="309">
        <f t="shared" si="36"/>
        <v>0</v>
      </c>
      <c r="AG80" s="309">
        <f t="shared" si="36"/>
        <v>0</v>
      </c>
      <c r="AH80" s="309">
        <f>+AH78-AH75</f>
        <v>-0.24677312700043785</v>
      </c>
      <c r="AI80" s="309">
        <f t="shared" si="36"/>
        <v>0</v>
      </c>
      <c r="AJ80" s="309">
        <f t="shared" si="36"/>
        <v>0</v>
      </c>
      <c r="AK80" s="309">
        <f>+AK78-AK75</f>
        <v>0.28533000000002318</v>
      </c>
      <c r="AL80" s="309">
        <f t="shared" si="36"/>
        <v>0</v>
      </c>
      <c r="AM80" s="309">
        <f t="shared" si="36"/>
        <v>0</v>
      </c>
      <c r="AN80" s="309">
        <f>+AN78-AN75</f>
        <v>0</v>
      </c>
      <c r="AO80" s="309">
        <f t="shared" si="36"/>
        <v>0</v>
      </c>
      <c r="AP80" s="309">
        <f t="shared" si="36"/>
        <v>0</v>
      </c>
      <c r="AQ80" s="309">
        <f>+AQ78-AQ75</f>
        <v>0</v>
      </c>
      <c r="AR80" s="309">
        <f t="shared" si="36"/>
        <v>0</v>
      </c>
      <c r="AS80" s="309">
        <f t="shared" si="36"/>
        <v>0</v>
      </c>
      <c r="AT80" s="309">
        <f>+AT78-AT75</f>
        <v>0.27543000000000006</v>
      </c>
      <c r="AW80" s="309">
        <f>+AW78-AW75</f>
        <v>13.25485999999999</v>
      </c>
      <c r="AZ80" s="309">
        <f>+AZ78-AZ75</f>
        <v>0.34634000000000142</v>
      </c>
    </row>
  </sheetData>
  <autoFilter ref="D3:AI77" xr:uid="{36643724-AE20-4F6E-AA6D-E236420FB309}"/>
  <mergeCells count="12">
    <mergeCell ref="AF2:AG2"/>
    <mergeCell ref="E2:F2"/>
    <mergeCell ref="G2:H2"/>
    <mergeCell ref="J2:K2"/>
    <mergeCell ref="L2:M2"/>
    <mergeCell ref="O2:P2"/>
    <mergeCell ref="Q2:R2"/>
    <mergeCell ref="T2:U2"/>
    <mergeCell ref="V2:W2"/>
    <mergeCell ref="Y2:Z2"/>
    <mergeCell ref="AA2:AB2"/>
    <mergeCell ref="AD2:AE2"/>
  </mergeCells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A8A8-5F36-448B-9A65-1EB229E07C07}">
  <sheetPr>
    <tabColor theme="9" tint="0.39997558519241921"/>
  </sheetPr>
  <dimension ref="A1:D230"/>
  <sheetViews>
    <sheetView topLeftCell="A124" workbookViewId="0">
      <selection activeCell="C175" sqref="C175"/>
    </sheetView>
  </sheetViews>
  <sheetFormatPr defaultRowHeight="14.4"/>
  <cols>
    <col min="1" max="1" width="10.77734375" bestFit="1" customWidth="1"/>
    <col min="2" max="2" width="51" bestFit="1" customWidth="1"/>
    <col min="3" max="3" width="10.77734375" bestFit="1" customWidth="1"/>
  </cols>
  <sheetData>
    <row r="1" spans="1:3">
      <c r="B1" t="s">
        <v>14</v>
      </c>
      <c r="C1" t="s">
        <v>149</v>
      </c>
    </row>
    <row r="2" spans="1:3">
      <c r="A2" t="str">
        <f>MID(B2,5,10)</f>
        <v>6666110101</v>
      </c>
      <c r="B2" t="s">
        <v>15</v>
      </c>
      <c r="C2">
        <v>58015.76</v>
      </c>
    </row>
    <row r="3" spans="1:3">
      <c r="A3" t="str">
        <f t="shared" ref="A3:A66" si="0">MID(B3,5,10)</f>
        <v>6666110107</v>
      </c>
      <c r="B3" t="s">
        <v>17</v>
      </c>
      <c r="C3">
        <v>259065.27</v>
      </c>
    </row>
    <row r="4" spans="1:3">
      <c r="A4" t="str">
        <f t="shared" si="0"/>
        <v>6666110110</v>
      </c>
      <c r="B4" t="s">
        <v>18</v>
      </c>
      <c r="C4">
        <v>329188.08</v>
      </c>
    </row>
    <row r="5" spans="1:3">
      <c r="A5" t="str">
        <f t="shared" si="0"/>
        <v>6666110112</v>
      </c>
      <c r="B5" t="s">
        <v>19</v>
      </c>
      <c r="C5">
        <v>13303.99</v>
      </c>
    </row>
    <row r="6" spans="1:3">
      <c r="A6" t="str">
        <f t="shared" si="0"/>
        <v>6666110204</v>
      </c>
      <c r="B6" t="s">
        <v>20</v>
      </c>
      <c r="C6">
        <v>505.04</v>
      </c>
    </row>
    <row r="7" spans="1:3">
      <c r="A7" t="str">
        <f t="shared" si="0"/>
        <v>6666110207</v>
      </c>
      <c r="B7" t="s">
        <v>21</v>
      </c>
      <c r="C7">
        <v>17317.91</v>
      </c>
    </row>
    <row r="8" spans="1:3">
      <c r="A8" t="str">
        <f t="shared" si="0"/>
        <v>6666110506</v>
      </c>
      <c r="B8" t="s">
        <v>22</v>
      </c>
      <c r="C8">
        <v>1828.14</v>
      </c>
    </row>
    <row r="9" spans="1:3">
      <c r="A9" t="str">
        <f t="shared" si="0"/>
        <v>CS_Depreci</v>
      </c>
      <c r="B9" t="s">
        <v>23</v>
      </c>
      <c r="C9">
        <v>679224.19</v>
      </c>
    </row>
    <row r="10" spans="1:3">
      <c r="A10" t="str">
        <f t="shared" si="0"/>
        <v>5001010205</v>
      </c>
      <c r="B10" t="s">
        <v>150</v>
      </c>
      <c r="C10">
        <v>7248.66</v>
      </c>
    </row>
    <row r="11" spans="1:3">
      <c r="A11" t="str">
        <f t="shared" si="0"/>
        <v>6666010380</v>
      </c>
      <c r="B11" t="s">
        <v>25</v>
      </c>
      <c r="C11">
        <v>-1669.16</v>
      </c>
    </row>
    <row r="12" spans="1:3">
      <c r="A12" t="str">
        <f t="shared" si="0"/>
        <v>6666010019</v>
      </c>
      <c r="B12" t="s">
        <v>26</v>
      </c>
      <c r="C12">
        <v>57925.85</v>
      </c>
    </row>
    <row r="13" spans="1:3">
      <c r="A13" t="str">
        <f t="shared" si="0"/>
        <v>6666010183</v>
      </c>
      <c r="B13" t="s">
        <v>27</v>
      </c>
      <c r="C13">
        <v>13554.08</v>
      </c>
    </row>
    <row r="14" spans="1:3">
      <c r="A14" t="str">
        <f t="shared" si="0"/>
        <v>6666010229</v>
      </c>
      <c r="B14" t="s">
        <v>151</v>
      </c>
      <c r="C14">
        <v>31744.54</v>
      </c>
    </row>
    <row r="15" spans="1:3">
      <c r="A15" t="str">
        <f t="shared" si="0"/>
        <v>6666010188</v>
      </c>
      <c r="B15" t="s">
        <v>29</v>
      </c>
      <c r="C15">
        <v>362365.37</v>
      </c>
    </row>
    <row r="16" spans="1:3">
      <c r="A16" t="str">
        <f t="shared" si="0"/>
        <v>6666010115</v>
      </c>
      <c r="B16" t="s">
        <v>152</v>
      </c>
      <c r="C16">
        <v>789.63</v>
      </c>
    </row>
    <row r="17" spans="1:3">
      <c r="A17" t="str">
        <f t="shared" si="0"/>
        <v xml:space="preserve">CS_Direct </v>
      </c>
      <c r="B17" t="s">
        <v>32</v>
      </c>
      <c r="C17">
        <v>471958.97</v>
      </c>
    </row>
    <row r="18" spans="1:3">
      <c r="A18" t="str">
        <f t="shared" si="0"/>
        <v>8701530201</v>
      </c>
      <c r="B18" t="s">
        <v>153</v>
      </c>
    </row>
    <row r="19" spans="1:3">
      <c r="A19" t="str">
        <f t="shared" si="0"/>
        <v>6666050309</v>
      </c>
      <c r="B19" t="s">
        <v>34</v>
      </c>
      <c r="C19">
        <v>22145.32</v>
      </c>
    </row>
    <row r="20" spans="1:3">
      <c r="A20" t="str">
        <f t="shared" si="0"/>
        <v>6666050308</v>
      </c>
      <c r="B20" t="s">
        <v>35</v>
      </c>
      <c r="C20">
        <v>24288.13</v>
      </c>
    </row>
    <row r="21" spans="1:3">
      <c r="A21" t="str">
        <f t="shared" si="0"/>
        <v>6666050306</v>
      </c>
      <c r="B21" t="s">
        <v>36</v>
      </c>
      <c r="C21">
        <v>-12.68</v>
      </c>
    </row>
    <row r="22" spans="1:3">
      <c r="A22" t="str">
        <f t="shared" si="0"/>
        <v>CS_SCRAP_V</v>
      </c>
      <c r="B22" t="s">
        <v>37</v>
      </c>
      <c r="C22">
        <v>46420.77</v>
      </c>
    </row>
    <row r="23" spans="1:3">
      <c r="A23" t="str">
        <f t="shared" si="0"/>
        <v>6666010322</v>
      </c>
      <c r="B23" t="s">
        <v>39</v>
      </c>
      <c r="C23">
        <v>4344.59</v>
      </c>
    </row>
    <row r="24" spans="1:3">
      <c r="A24" t="str">
        <f t="shared" si="0"/>
        <v>6666020495</v>
      </c>
      <c r="B24" t="s">
        <v>40</v>
      </c>
      <c r="C24">
        <v>53.31</v>
      </c>
    </row>
    <row r="25" spans="1:3">
      <c r="A25" t="str">
        <f t="shared" si="0"/>
        <v>5102010151</v>
      </c>
      <c r="B25" t="s">
        <v>154</v>
      </c>
    </row>
    <row r="26" spans="1:3">
      <c r="A26" t="str">
        <f t="shared" si="0"/>
        <v>5001010200</v>
      </c>
      <c r="B26" t="s">
        <v>42</v>
      </c>
      <c r="C26">
        <v>171.97</v>
      </c>
    </row>
    <row r="27" spans="1:3">
      <c r="A27" t="str">
        <f t="shared" si="0"/>
        <v>5001010201</v>
      </c>
      <c r="B27" t="s">
        <v>155</v>
      </c>
      <c r="C27">
        <v>0.56000000000000005</v>
      </c>
    </row>
    <row r="28" spans="1:3">
      <c r="A28" t="str">
        <f t="shared" si="0"/>
        <v>5405030000</v>
      </c>
      <c r="B28" t="s">
        <v>48</v>
      </c>
      <c r="C28">
        <v>18.8</v>
      </c>
    </row>
    <row r="29" spans="1:3">
      <c r="A29" t="str">
        <f t="shared" si="0"/>
        <v>5601050100</v>
      </c>
      <c r="B29" t="s">
        <v>50</v>
      </c>
      <c r="C29">
        <v>16.82</v>
      </c>
    </row>
    <row r="30" spans="1:3">
      <c r="A30" t="str">
        <f t="shared" si="0"/>
        <v>6666020101</v>
      </c>
      <c r="B30" t="s">
        <v>52</v>
      </c>
    </row>
    <row r="31" spans="1:3">
      <c r="A31" t="str">
        <f t="shared" si="0"/>
        <v>6666020201</v>
      </c>
      <c r="B31" t="s">
        <v>53</v>
      </c>
      <c r="C31">
        <v>2.6</v>
      </c>
    </row>
    <row r="32" spans="1:3">
      <c r="A32" t="str">
        <f t="shared" si="0"/>
        <v>6666020204</v>
      </c>
      <c r="B32" t="s">
        <v>55</v>
      </c>
      <c r="C32">
        <v>21.59</v>
      </c>
    </row>
    <row r="33" spans="1:3">
      <c r="A33" t="str">
        <f t="shared" si="0"/>
        <v>6666020205</v>
      </c>
      <c r="B33" t="s">
        <v>56</v>
      </c>
    </row>
    <row r="34" spans="1:3">
      <c r="A34" t="str">
        <f t="shared" si="0"/>
        <v>6666020302</v>
      </c>
      <c r="B34" t="s">
        <v>58</v>
      </c>
    </row>
    <row r="35" spans="1:3">
      <c r="A35" t="str">
        <f t="shared" si="0"/>
        <v>6666020504</v>
      </c>
      <c r="B35" t="s">
        <v>60</v>
      </c>
    </row>
    <row r="36" spans="1:3">
      <c r="A36" t="str">
        <f t="shared" si="0"/>
        <v>6666020508</v>
      </c>
      <c r="B36" t="s">
        <v>61</v>
      </c>
    </row>
    <row r="37" spans="1:3">
      <c r="A37" t="str">
        <f t="shared" si="0"/>
        <v>6666020602</v>
      </c>
      <c r="B37" t="s">
        <v>62</v>
      </c>
    </row>
    <row r="38" spans="1:3">
      <c r="A38" t="str">
        <f t="shared" si="0"/>
        <v>6666020801</v>
      </c>
      <c r="B38" t="s">
        <v>144</v>
      </c>
    </row>
    <row r="39" spans="1:3">
      <c r="A39" t="str">
        <f t="shared" si="0"/>
        <v>6666020802</v>
      </c>
      <c r="B39" t="s">
        <v>64</v>
      </c>
      <c r="C39">
        <v>31065</v>
      </c>
    </row>
    <row r="40" spans="1:3">
      <c r="A40" t="str">
        <f t="shared" si="0"/>
        <v>6666020803</v>
      </c>
      <c r="B40" t="s">
        <v>65</v>
      </c>
      <c r="C40">
        <v>7421.96</v>
      </c>
    </row>
    <row r="41" spans="1:3">
      <c r="A41" t="str">
        <f t="shared" si="0"/>
        <v>6666021100</v>
      </c>
      <c r="B41" t="s">
        <v>66</v>
      </c>
      <c r="C41">
        <v>21151.54</v>
      </c>
    </row>
    <row r="42" spans="1:3">
      <c r="A42" t="str">
        <f t="shared" si="0"/>
        <v>6666021902</v>
      </c>
      <c r="B42" t="s">
        <v>67</v>
      </c>
      <c r="C42">
        <v>14265.26</v>
      </c>
    </row>
    <row r="43" spans="1:3">
      <c r="A43" t="str">
        <f t="shared" si="0"/>
        <v>6666022100</v>
      </c>
      <c r="B43" t="s">
        <v>68</v>
      </c>
      <c r="C43">
        <v>2958.22</v>
      </c>
    </row>
    <row r="44" spans="1:3">
      <c r="A44" t="str">
        <f t="shared" si="0"/>
        <v>6666029997</v>
      </c>
      <c r="B44" t="s">
        <v>71</v>
      </c>
      <c r="C44">
        <v>1324.76</v>
      </c>
    </row>
    <row r="45" spans="1:3">
      <c r="A45" t="str">
        <f t="shared" si="0"/>
        <v>6666030300</v>
      </c>
      <c r="B45" t="s">
        <v>72</v>
      </c>
      <c r="C45">
        <v>4670.4399999999996</v>
      </c>
    </row>
    <row r="46" spans="1:3">
      <c r="A46" t="str">
        <f t="shared" si="0"/>
        <v>6666031200</v>
      </c>
      <c r="B46" t="s">
        <v>74</v>
      </c>
    </row>
    <row r="47" spans="1:3">
      <c r="A47" t="str">
        <f t="shared" si="0"/>
        <v>6666050202</v>
      </c>
      <c r="B47" t="s">
        <v>145</v>
      </c>
    </row>
    <row r="48" spans="1:3">
      <c r="A48" t="str">
        <f t="shared" si="0"/>
        <v>6666070400</v>
      </c>
      <c r="B48" t="s">
        <v>79</v>
      </c>
      <c r="C48">
        <v>9769.24</v>
      </c>
    </row>
    <row r="49" spans="1:3">
      <c r="A49" t="str">
        <f t="shared" si="0"/>
        <v>CS_Fix Cos</v>
      </c>
      <c r="B49" t="s">
        <v>80</v>
      </c>
      <c r="C49">
        <v>97256.66</v>
      </c>
    </row>
    <row r="50" spans="1:3">
      <c r="A50" t="str">
        <f t="shared" si="0"/>
        <v>6666110203</v>
      </c>
      <c r="B50" t="s">
        <v>81</v>
      </c>
      <c r="C50">
        <v>19059.57</v>
      </c>
    </row>
    <row r="51" spans="1:3">
      <c r="A51" t="str">
        <f t="shared" si="0"/>
        <v>5102040000</v>
      </c>
      <c r="B51" t="s">
        <v>82</v>
      </c>
    </row>
    <row r="52" spans="1:3">
      <c r="A52" t="str">
        <f t="shared" si="0"/>
        <v>6666050307</v>
      </c>
      <c r="B52" t="s">
        <v>83</v>
      </c>
      <c r="C52">
        <v>1084.5999999999999</v>
      </c>
    </row>
    <row r="53" spans="1:3">
      <c r="A53" t="str">
        <f t="shared" si="0"/>
        <v>CS_Variabl</v>
      </c>
      <c r="B53" t="s">
        <v>84</v>
      </c>
      <c r="C53">
        <v>20144.169999999998</v>
      </c>
    </row>
    <row r="54" spans="1:3">
      <c r="A54" t="str">
        <f t="shared" si="0"/>
        <v>6666100203</v>
      </c>
      <c r="B54" t="s">
        <v>156</v>
      </c>
      <c r="C54">
        <v>5031.46</v>
      </c>
    </row>
    <row r="55" spans="1:3">
      <c r="A55" t="str">
        <f t="shared" si="0"/>
        <v>CS_Obsoles</v>
      </c>
      <c r="B55" t="s">
        <v>86</v>
      </c>
      <c r="C55">
        <v>5031.46</v>
      </c>
    </row>
    <row r="56" spans="1:3">
      <c r="A56" t="str">
        <f t="shared" si="0"/>
        <v>5301070000</v>
      </c>
      <c r="B56" t="s">
        <v>87</v>
      </c>
      <c r="C56">
        <v>-116472.8</v>
      </c>
    </row>
    <row r="57" spans="1:3">
      <c r="A57" t="str">
        <f t="shared" si="0"/>
        <v>CS_Reselli</v>
      </c>
      <c r="B57" t="s">
        <v>88</v>
      </c>
      <c r="C57">
        <v>-116472.8</v>
      </c>
    </row>
    <row r="58" spans="1:3">
      <c r="A58" t="str">
        <f t="shared" si="0"/>
        <v>6666021602</v>
      </c>
      <c r="B58" t="s">
        <v>89</v>
      </c>
      <c r="C58">
        <v>15356.4</v>
      </c>
    </row>
    <row r="59" spans="1:3">
      <c r="A59" t="str">
        <f t="shared" si="0"/>
        <v>CS_Fix Uti</v>
      </c>
      <c r="B59" t="s">
        <v>90</v>
      </c>
      <c r="C59">
        <v>15356.4</v>
      </c>
    </row>
    <row r="60" spans="1:3">
      <c r="A60" t="str">
        <f t="shared" si="0"/>
        <v>6666021600</v>
      </c>
      <c r="B60" t="s">
        <v>91</v>
      </c>
      <c r="C60">
        <v>23979.33</v>
      </c>
    </row>
    <row r="61" spans="1:3">
      <c r="A61" t="str">
        <f t="shared" si="0"/>
        <v>6666021603</v>
      </c>
      <c r="B61" t="s">
        <v>92</v>
      </c>
      <c r="C61">
        <v>1009.94</v>
      </c>
    </row>
    <row r="62" spans="1:3">
      <c r="A62" t="str">
        <f t="shared" si="0"/>
        <v>6666021604</v>
      </c>
      <c r="B62" t="s">
        <v>93</v>
      </c>
      <c r="C62">
        <v>879.44</v>
      </c>
    </row>
    <row r="63" spans="1:3">
      <c r="A63" t="str">
        <f t="shared" si="0"/>
        <v>CS_Variabl</v>
      </c>
      <c r="B63" t="s">
        <v>94</v>
      </c>
      <c r="C63">
        <v>25868.71</v>
      </c>
    </row>
    <row r="64" spans="1:3">
      <c r="A64" t="str">
        <f t="shared" si="0"/>
        <v>5001010206</v>
      </c>
      <c r="B64" t="s">
        <v>157</v>
      </c>
      <c r="C64">
        <v>4617.8</v>
      </c>
    </row>
    <row r="65" spans="1:3">
      <c r="A65" t="str">
        <f t="shared" si="0"/>
        <v>6666010184</v>
      </c>
      <c r="B65" t="s">
        <v>158</v>
      </c>
      <c r="C65">
        <v>-297.77</v>
      </c>
    </row>
    <row r="66" spans="1:3">
      <c r="A66" t="str">
        <f t="shared" si="0"/>
        <v>6666010186</v>
      </c>
      <c r="B66" t="s">
        <v>97</v>
      </c>
      <c r="C66">
        <v>12151.1</v>
      </c>
    </row>
    <row r="67" spans="1:3">
      <c r="A67" t="str">
        <f t="shared" ref="A67:A130" si="1">MID(B67,5,10)</f>
        <v>6666010189</v>
      </c>
      <c r="B67" t="s">
        <v>98</v>
      </c>
    </row>
    <row r="68" spans="1:3">
      <c r="A68" t="str">
        <f t="shared" si="1"/>
        <v>6666010012</v>
      </c>
      <c r="B68" t="s">
        <v>99</v>
      </c>
      <c r="C68">
        <v>41611.480000000003</v>
      </c>
    </row>
    <row r="69" spans="1:3">
      <c r="A69" t="str">
        <f t="shared" si="1"/>
        <v>6666010226</v>
      </c>
      <c r="B69" t="s">
        <v>159</v>
      </c>
      <c r="C69">
        <v>13023.05</v>
      </c>
    </row>
    <row r="70" spans="1:3">
      <c r="A70" t="str">
        <f t="shared" si="1"/>
        <v>6666010102</v>
      </c>
      <c r="B70" t="s">
        <v>160</v>
      </c>
      <c r="C70">
        <v>253665.99</v>
      </c>
    </row>
    <row r="71" spans="1:3">
      <c r="A71" t="str">
        <f t="shared" si="1"/>
        <v>CS_Indirec</v>
      </c>
      <c r="B71" t="s">
        <v>102</v>
      </c>
      <c r="C71">
        <v>324771.65000000002</v>
      </c>
    </row>
    <row r="72" spans="1:3">
      <c r="A72" t="str">
        <f t="shared" si="1"/>
        <v>6666010196</v>
      </c>
      <c r="B72" t="s">
        <v>103</v>
      </c>
      <c r="C72">
        <v>22471.37</v>
      </c>
    </row>
    <row r="73" spans="1:3">
      <c r="A73" t="str">
        <f t="shared" si="1"/>
        <v>6666010101</v>
      </c>
      <c r="B73" t="s">
        <v>104</v>
      </c>
      <c r="C73">
        <v>169317.16</v>
      </c>
    </row>
    <row r="74" spans="1:3">
      <c r="A74" t="str">
        <f t="shared" si="1"/>
        <v>6666010199</v>
      </c>
      <c r="B74" t="s">
        <v>105</v>
      </c>
      <c r="C74">
        <v>25551.71</v>
      </c>
    </row>
    <row r="75" spans="1:3">
      <c r="A75" t="str">
        <f t="shared" si="1"/>
        <v>6666010185</v>
      </c>
      <c r="B75" t="s">
        <v>161</v>
      </c>
      <c r="C75">
        <v>-643.99</v>
      </c>
    </row>
    <row r="76" spans="1:3">
      <c r="A76" t="str">
        <f t="shared" si="1"/>
        <v>6666010207</v>
      </c>
      <c r="B76" t="s">
        <v>107</v>
      </c>
      <c r="C76">
        <v>2051.5700000000002</v>
      </c>
    </row>
    <row r="77" spans="1:3">
      <c r="A77" t="str">
        <f t="shared" si="1"/>
        <v>6666010227</v>
      </c>
      <c r="B77" t="s">
        <v>162</v>
      </c>
      <c r="C77">
        <v>28999.599999999999</v>
      </c>
    </row>
    <row r="78" spans="1:3">
      <c r="A78" t="str">
        <f t="shared" si="1"/>
        <v>CS_Fixed L</v>
      </c>
      <c r="B78" t="s">
        <v>109</v>
      </c>
      <c r="C78">
        <v>247747.42</v>
      </c>
    </row>
    <row r="79" spans="1:3">
      <c r="A79" t="str">
        <f t="shared" si="1"/>
        <v>6666020903</v>
      </c>
      <c r="B79" t="s">
        <v>110</v>
      </c>
      <c r="C79">
        <v>241.14</v>
      </c>
    </row>
    <row r="80" spans="1:3">
      <c r="A80" t="str">
        <f t="shared" si="1"/>
        <v>6666010302</v>
      </c>
      <c r="B80" t="s">
        <v>111</v>
      </c>
      <c r="C80">
        <v>2415.08</v>
      </c>
    </row>
    <row r="81" spans="1:3">
      <c r="A81" t="str">
        <f t="shared" si="1"/>
        <v>6666010314</v>
      </c>
      <c r="B81" t="s">
        <v>112</v>
      </c>
      <c r="C81">
        <v>44694.7</v>
      </c>
    </row>
    <row r="82" spans="1:3">
      <c r="A82" t="str">
        <f t="shared" si="1"/>
        <v>6666020401</v>
      </c>
      <c r="B82" t="s">
        <v>113</v>
      </c>
      <c r="C82">
        <v>68252.149999999994</v>
      </c>
    </row>
    <row r="83" spans="1:3">
      <c r="A83" t="str">
        <f t="shared" si="1"/>
        <v>6666020502</v>
      </c>
      <c r="B83" t="s">
        <v>115</v>
      </c>
      <c r="C83">
        <v>66482.850000000006</v>
      </c>
    </row>
    <row r="84" spans="1:3">
      <c r="A84" t="str">
        <f t="shared" si="1"/>
        <v>6666020503</v>
      </c>
      <c r="B84" t="s">
        <v>116</v>
      </c>
      <c r="C84">
        <v>78.48</v>
      </c>
    </row>
    <row r="85" spans="1:3">
      <c r="A85" t="str">
        <f t="shared" si="1"/>
        <v>6666021500</v>
      </c>
      <c r="B85" t="s">
        <v>117</v>
      </c>
      <c r="C85">
        <v>686.32</v>
      </c>
    </row>
    <row r="86" spans="1:3">
      <c r="A86" t="str">
        <f t="shared" si="1"/>
        <v>6666021502</v>
      </c>
      <c r="B86" t="s">
        <v>118</v>
      </c>
    </row>
    <row r="87" spans="1:3">
      <c r="A87" t="str">
        <f t="shared" si="1"/>
        <v>6666021503</v>
      </c>
      <c r="B87" t="s">
        <v>163</v>
      </c>
      <c r="C87">
        <v>144.44999999999999</v>
      </c>
    </row>
    <row r="88" spans="1:3">
      <c r="A88" t="str">
        <f t="shared" si="1"/>
        <v>6666021505</v>
      </c>
      <c r="B88" t="s">
        <v>120</v>
      </c>
    </row>
    <row r="89" spans="1:3">
      <c r="A89" t="str">
        <f t="shared" si="1"/>
        <v>6666021506</v>
      </c>
      <c r="B89" t="s">
        <v>164</v>
      </c>
      <c r="C89">
        <v>19914.62</v>
      </c>
    </row>
    <row r="90" spans="1:3">
      <c r="A90" t="str">
        <f t="shared" si="1"/>
        <v>6666091600</v>
      </c>
      <c r="B90" t="s">
        <v>122</v>
      </c>
    </row>
    <row r="91" spans="1:3">
      <c r="A91" t="str">
        <f t="shared" si="1"/>
        <v>CS_Semifix</v>
      </c>
      <c r="B91" t="s">
        <v>123</v>
      </c>
      <c r="C91">
        <v>202909.79</v>
      </c>
    </row>
    <row r="92" spans="1:3">
      <c r="A92" t="str">
        <f t="shared" si="1"/>
        <v xml:space="preserve">600006    </v>
      </c>
      <c r="B92" t="s">
        <v>165</v>
      </c>
      <c r="C92">
        <v>174996.36</v>
      </c>
    </row>
    <row r="93" spans="1:3">
      <c r="A93" t="str">
        <f t="shared" si="1"/>
        <v>CS_OVH_ADM</v>
      </c>
      <c r="B93" t="s">
        <v>127</v>
      </c>
      <c r="C93">
        <v>174996.36</v>
      </c>
    </row>
    <row r="94" spans="1:3">
      <c r="A94" t="str">
        <f t="shared" si="1"/>
        <v>Debit</v>
      </c>
      <c r="B94" t="s">
        <v>124</v>
      </c>
      <c r="C94">
        <v>2195213.75</v>
      </c>
    </row>
    <row r="96" spans="1:3">
      <c r="A96" t="str">
        <f t="shared" si="1"/>
        <v>6666110101</v>
      </c>
      <c r="B96" t="s">
        <v>15</v>
      </c>
      <c r="C96">
        <v>-28134.97</v>
      </c>
    </row>
    <row r="97" spans="1:3">
      <c r="A97" t="str">
        <f t="shared" si="1"/>
        <v>6666110107</v>
      </c>
      <c r="B97" t="s">
        <v>17</v>
      </c>
      <c r="C97">
        <v>-48623.39</v>
      </c>
    </row>
    <row r="98" spans="1:3">
      <c r="A98" t="str">
        <f t="shared" si="1"/>
        <v>6666110110</v>
      </c>
      <c r="B98" t="s">
        <v>18</v>
      </c>
      <c r="C98">
        <v>-40963.67</v>
      </c>
    </row>
    <row r="99" spans="1:3">
      <c r="A99" t="str">
        <f t="shared" si="1"/>
        <v>6666110112</v>
      </c>
      <c r="B99" t="s">
        <v>19</v>
      </c>
      <c r="C99">
        <v>-5906.58</v>
      </c>
    </row>
    <row r="100" spans="1:3">
      <c r="A100" t="str">
        <f t="shared" si="1"/>
        <v>6666110204</v>
      </c>
      <c r="B100" t="s">
        <v>20</v>
      </c>
      <c r="C100">
        <v>-252.52</v>
      </c>
    </row>
    <row r="101" spans="1:3">
      <c r="A101" t="str">
        <f t="shared" si="1"/>
        <v>6666110207</v>
      </c>
      <c r="B101" t="s">
        <v>21</v>
      </c>
      <c r="C101">
        <v>-8399.94</v>
      </c>
    </row>
    <row r="102" spans="1:3">
      <c r="A102" t="str">
        <f t="shared" si="1"/>
        <v>6666110506</v>
      </c>
      <c r="B102" t="s">
        <v>22</v>
      </c>
      <c r="C102">
        <v>-914.07</v>
      </c>
    </row>
    <row r="103" spans="1:3">
      <c r="A103" t="str">
        <f t="shared" si="1"/>
        <v>CS_Depreci</v>
      </c>
      <c r="B103" t="s">
        <v>23</v>
      </c>
      <c r="C103">
        <v>-133195.14000000001</v>
      </c>
    </row>
    <row r="104" spans="1:3">
      <c r="A104" t="str">
        <f t="shared" si="1"/>
        <v>8701530201</v>
      </c>
      <c r="B104" t="s">
        <v>153</v>
      </c>
    </row>
    <row r="105" spans="1:3">
      <c r="A105" t="str">
        <f t="shared" si="1"/>
        <v>6666050309</v>
      </c>
      <c r="B105" t="s">
        <v>34</v>
      </c>
      <c r="C105">
        <v>-11074.1</v>
      </c>
    </row>
    <row r="106" spans="1:3">
      <c r="A106" t="str">
        <f t="shared" si="1"/>
        <v>6666050308</v>
      </c>
      <c r="B106" t="s">
        <v>35</v>
      </c>
      <c r="C106">
        <v>-12148.3</v>
      </c>
    </row>
    <row r="107" spans="1:3">
      <c r="A107" t="str">
        <f t="shared" si="1"/>
        <v>6666050306</v>
      </c>
      <c r="B107" t="s">
        <v>36</v>
      </c>
    </row>
    <row r="108" spans="1:3">
      <c r="A108" t="str">
        <f t="shared" si="1"/>
        <v>CS_SCRAP_V</v>
      </c>
      <c r="B108" t="s">
        <v>37</v>
      </c>
      <c r="C108">
        <v>-23222.400000000001</v>
      </c>
    </row>
    <row r="109" spans="1:3">
      <c r="A109" t="str">
        <f t="shared" si="1"/>
        <v>6666010322</v>
      </c>
      <c r="B109" t="s">
        <v>39</v>
      </c>
      <c r="C109">
        <v>-2151.5</v>
      </c>
    </row>
    <row r="110" spans="1:3">
      <c r="A110" t="str">
        <f t="shared" si="1"/>
        <v>6666020495</v>
      </c>
      <c r="B110" t="s">
        <v>40</v>
      </c>
      <c r="C110">
        <v>-21.75</v>
      </c>
    </row>
    <row r="111" spans="1:3">
      <c r="A111" t="str">
        <f t="shared" si="1"/>
        <v>5102010151</v>
      </c>
      <c r="B111" t="s">
        <v>154</v>
      </c>
    </row>
    <row r="112" spans="1:3">
      <c r="A112" t="str">
        <f t="shared" si="1"/>
        <v>5405030000</v>
      </c>
      <c r="B112" t="s">
        <v>48</v>
      </c>
      <c r="C112">
        <v>-9.4</v>
      </c>
    </row>
    <row r="113" spans="1:3">
      <c r="A113" t="str">
        <f t="shared" si="1"/>
        <v>6666020101</v>
      </c>
      <c r="B113" t="s">
        <v>52</v>
      </c>
    </row>
    <row r="114" spans="1:3">
      <c r="A114" t="str">
        <f t="shared" si="1"/>
        <v>6666020201</v>
      </c>
      <c r="B114" t="s">
        <v>53</v>
      </c>
    </row>
    <row r="115" spans="1:3">
      <c r="A115" t="str">
        <f t="shared" si="1"/>
        <v>6666020205</v>
      </c>
      <c r="B115" t="s">
        <v>56</v>
      </c>
    </row>
    <row r="116" spans="1:3">
      <c r="A116" t="str">
        <f t="shared" si="1"/>
        <v>6666020302</v>
      </c>
      <c r="B116" t="s">
        <v>58</v>
      </c>
    </row>
    <row r="117" spans="1:3">
      <c r="A117" t="str">
        <f t="shared" si="1"/>
        <v>6666020504</v>
      </c>
      <c r="B117" t="s">
        <v>60</v>
      </c>
    </row>
    <row r="118" spans="1:3">
      <c r="A118" t="str">
        <f t="shared" si="1"/>
        <v>6666020508</v>
      </c>
      <c r="B118" t="s">
        <v>61</v>
      </c>
    </row>
    <row r="119" spans="1:3">
      <c r="A119" t="str">
        <f t="shared" si="1"/>
        <v>6666020602</v>
      </c>
      <c r="B119" t="s">
        <v>62</v>
      </c>
    </row>
    <row r="120" spans="1:3">
      <c r="A120" t="str">
        <f t="shared" si="1"/>
        <v>6666020801</v>
      </c>
      <c r="B120" t="s">
        <v>144</v>
      </c>
    </row>
    <row r="121" spans="1:3">
      <c r="A121" t="str">
        <f t="shared" si="1"/>
        <v>6666020802</v>
      </c>
      <c r="B121" t="s">
        <v>64</v>
      </c>
      <c r="C121">
        <v>-15532.5</v>
      </c>
    </row>
    <row r="122" spans="1:3">
      <c r="A122" t="str">
        <f t="shared" si="1"/>
        <v>6666020803</v>
      </c>
      <c r="B122" t="s">
        <v>65</v>
      </c>
      <c r="C122">
        <v>-2602.25</v>
      </c>
    </row>
    <row r="123" spans="1:3">
      <c r="A123" t="str">
        <f t="shared" si="1"/>
        <v>6666021100</v>
      </c>
      <c r="B123" t="s">
        <v>66</v>
      </c>
      <c r="C123">
        <v>-10575.77</v>
      </c>
    </row>
    <row r="124" spans="1:3">
      <c r="A124" t="str">
        <f t="shared" si="1"/>
        <v>6666021902</v>
      </c>
      <c r="B124" t="s">
        <v>67</v>
      </c>
      <c r="C124">
        <v>-7132.63</v>
      </c>
    </row>
    <row r="125" spans="1:3">
      <c r="A125" t="str">
        <f t="shared" si="1"/>
        <v>6666022100</v>
      </c>
      <c r="B125" t="s">
        <v>68</v>
      </c>
      <c r="C125">
        <v>-1479.11</v>
      </c>
    </row>
    <row r="126" spans="1:3">
      <c r="A126" t="str">
        <f t="shared" si="1"/>
        <v>6666029997</v>
      </c>
      <c r="B126" t="s">
        <v>71</v>
      </c>
      <c r="C126">
        <v>-662.38</v>
      </c>
    </row>
    <row r="127" spans="1:3">
      <c r="A127" t="str">
        <f t="shared" si="1"/>
        <v>6666030300</v>
      </c>
      <c r="B127" t="s">
        <v>72</v>
      </c>
      <c r="C127">
        <v>-1439.13</v>
      </c>
    </row>
    <row r="128" spans="1:3">
      <c r="A128" t="str">
        <f t="shared" si="1"/>
        <v>6666031200</v>
      </c>
      <c r="B128" t="s">
        <v>74</v>
      </c>
    </row>
    <row r="129" spans="1:3">
      <c r="A129" t="str">
        <f t="shared" si="1"/>
        <v>6666050202</v>
      </c>
      <c r="B129" t="s">
        <v>145</v>
      </c>
    </row>
    <row r="130" spans="1:3">
      <c r="A130" t="str">
        <f t="shared" si="1"/>
        <v>6666070400</v>
      </c>
      <c r="B130" t="s">
        <v>79</v>
      </c>
      <c r="C130">
        <v>-4884.62</v>
      </c>
    </row>
    <row r="131" spans="1:3">
      <c r="A131" t="str">
        <f t="shared" ref="A131:A173" si="2">MID(B131,5,10)</f>
        <v>CS_Fix Cos</v>
      </c>
      <c r="B131" t="s">
        <v>80</v>
      </c>
      <c r="C131">
        <v>-46491.040000000001</v>
      </c>
    </row>
    <row r="132" spans="1:3">
      <c r="A132" t="str">
        <f t="shared" si="2"/>
        <v>6666110203</v>
      </c>
      <c r="B132" t="s">
        <v>81</v>
      </c>
      <c r="C132">
        <v>-7276.95</v>
      </c>
    </row>
    <row r="133" spans="1:3">
      <c r="A133" t="str">
        <f t="shared" si="2"/>
        <v>5102040000</v>
      </c>
      <c r="B133" t="s">
        <v>82</v>
      </c>
    </row>
    <row r="134" spans="1:3">
      <c r="A134" t="str">
        <f t="shared" si="2"/>
        <v>6666050307</v>
      </c>
      <c r="B134" t="s">
        <v>83</v>
      </c>
      <c r="C134">
        <v>-655.86</v>
      </c>
    </row>
    <row r="135" spans="1:3">
      <c r="A135" t="str">
        <f t="shared" si="2"/>
        <v>CS_Variabl</v>
      </c>
      <c r="B135" t="s">
        <v>84</v>
      </c>
      <c r="C135">
        <v>-7932.81</v>
      </c>
    </row>
    <row r="136" spans="1:3">
      <c r="A136" t="str">
        <f t="shared" si="2"/>
        <v>6666100203</v>
      </c>
      <c r="B136" t="s">
        <v>156</v>
      </c>
      <c r="C136">
        <v>-2515.73</v>
      </c>
    </row>
    <row r="137" spans="1:3">
      <c r="A137" t="str">
        <f t="shared" si="2"/>
        <v>CS_Obsoles</v>
      </c>
      <c r="B137" t="s">
        <v>86</v>
      </c>
      <c r="C137">
        <v>-2515.73</v>
      </c>
    </row>
    <row r="138" spans="1:3">
      <c r="A138" t="str">
        <f t="shared" si="2"/>
        <v>5301070000</v>
      </c>
      <c r="B138" t="s">
        <v>87</v>
      </c>
      <c r="C138">
        <v>58236.4</v>
      </c>
    </row>
    <row r="139" spans="1:3">
      <c r="A139" t="str">
        <f t="shared" si="2"/>
        <v>CS_Reselli</v>
      </c>
      <c r="B139" t="s">
        <v>88</v>
      </c>
      <c r="C139">
        <v>58236.4</v>
      </c>
    </row>
    <row r="140" spans="1:3">
      <c r="A140" t="str">
        <f t="shared" si="2"/>
        <v>6666021602</v>
      </c>
      <c r="B140" t="s">
        <v>89</v>
      </c>
      <c r="C140">
        <v>-7678.2</v>
      </c>
    </row>
    <row r="141" spans="1:3">
      <c r="A141" t="str">
        <f t="shared" si="2"/>
        <v>CS_Fix Uti</v>
      </c>
      <c r="B141" t="s">
        <v>90</v>
      </c>
      <c r="C141">
        <v>-7678.2</v>
      </c>
    </row>
    <row r="142" spans="1:3">
      <c r="A142" t="str">
        <f t="shared" si="2"/>
        <v>6666021603</v>
      </c>
      <c r="B142" t="s">
        <v>92</v>
      </c>
      <c r="C142">
        <v>-504.97</v>
      </c>
    </row>
    <row r="143" spans="1:3">
      <c r="A143" t="str">
        <f t="shared" si="2"/>
        <v>6666021604</v>
      </c>
      <c r="B143" t="s">
        <v>93</v>
      </c>
      <c r="C143">
        <v>623.42999999999995</v>
      </c>
    </row>
    <row r="144" spans="1:3">
      <c r="A144" t="str">
        <f t="shared" si="2"/>
        <v>CS_Variabl</v>
      </c>
      <c r="B144" t="s">
        <v>94</v>
      </c>
      <c r="C144">
        <v>118.46</v>
      </c>
    </row>
    <row r="145" spans="1:3">
      <c r="A145" t="str">
        <f t="shared" si="2"/>
        <v>5001010206</v>
      </c>
      <c r="B145" t="s">
        <v>157</v>
      </c>
      <c r="C145">
        <v>-1650.17</v>
      </c>
    </row>
    <row r="146" spans="1:3">
      <c r="A146" t="str">
        <f t="shared" si="2"/>
        <v>6666010184</v>
      </c>
      <c r="B146" t="s">
        <v>158</v>
      </c>
      <c r="C146">
        <v>109.91</v>
      </c>
    </row>
    <row r="147" spans="1:3">
      <c r="A147" t="str">
        <f t="shared" si="2"/>
        <v>6666010186</v>
      </c>
      <c r="B147" t="s">
        <v>97</v>
      </c>
      <c r="C147">
        <v>-3537.08</v>
      </c>
    </row>
    <row r="148" spans="1:3">
      <c r="A148" t="str">
        <f t="shared" si="2"/>
        <v>6666010189</v>
      </c>
      <c r="B148" t="s">
        <v>98</v>
      </c>
    </row>
    <row r="149" spans="1:3">
      <c r="A149" t="str">
        <f t="shared" si="2"/>
        <v>6666010012</v>
      </c>
      <c r="B149" t="s">
        <v>99</v>
      </c>
      <c r="C149">
        <v>-15112.19</v>
      </c>
    </row>
    <row r="150" spans="1:3">
      <c r="A150" t="str">
        <f t="shared" si="2"/>
        <v>6666010226</v>
      </c>
      <c r="B150" t="s">
        <v>159</v>
      </c>
      <c r="C150">
        <v>-3544.83</v>
      </c>
    </row>
    <row r="151" spans="1:3">
      <c r="A151" t="str">
        <f t="shared" si="2"/>
        <v>6666010102</v>
      </c>
      <c r="B151" t="s">
        <v>160</v>
      </c>
      <c r="C151">
        <v>-92996.82</v>
      </c>
    </row>
    <row r="152" spans="1:3">
      <c r="A152" t="str">
        <f t="shared" si="2"/>
        <v>CS_Indirec</v>
      </c>
      <c r="B152" t="s">
        <v>102</v>
      </c>
      <c r="C152">
        <v>-116731.18</v>
      </c>
    </row>
    <row r="153" spans="1:3">
      <c r="A153" t="str">
        <f t="shared" si="2"/>
        <v>6666010196</v>
      </c>
      <c r="B153" t="s">
        <v>103</v>
      </c>
      <c r="C153">
        <v>-9796.2199999999993</v>
      </c>
    </row>
    <row r="154" spans="1:3">
      <c r="A154" t="str">
        <f t="shared" si="2"/>
        <v>6666010101</v>
      </c>
      <c r="B154" t="s">
        <v>104</v>
      </c>
      <c r="C154">
        <v>-73947.08</v>
      </c>
    </row>
    <row r="155" spans="1:3">
      <c r="A155" t="str">
        <f t="shared" si="2"/>
        <v>6666010199</v>
      </c>
      <c r="B155" t="s">
        <v>105</v>
      </c>
      <c r="C155">
        <v>-14702.25</v>
      </c>
    </row>
    <row r="156" spans="1:3">
      <c r="A156" t="str">
        <f t="shared" si="2"/>
        <v>6666010185</v>
      </c>
      <c r="B156" t="s">
        <v>161</v>
      </c>
      <c r="C156">
        <v>283.32</v>
      </c>
    </row>
    <row r="157" spans="1:3">
      <c r="A157" t="str">
        <f t="shared" si="2"/>
        <v>6666010207</v>
      </c>
      <c r="B157" t="s">
        <v>107</v>
      </c>
      <c r="C157">
        <v>-917.23</v>
      </c>
    </row>
    <row r="158" spans="1:3">
      <c r="A158" t="str">
        <f t="shared" si="2"/>
        <v>6666010227</v>
      </c>
      <c r="B158" t="s">
        <v>162</v>
      </c>
      <c r="C158">
        <v>-14351</v>
      </c>
    </row>
    <row r="159" spans="1:3">
      <c r="A159" t="str">
        <f t="shared" si="2"/>
        <v>CS_Fixed L</v>
      </c>
      <c r="B159" t="s">
        <v>109</v>
      </c>
      <c r="C159">
        <v>-113430.46</v>
      </c>
    </row>
    <row r="160" spans="1:3">
      <c r="A160" t="str">
        <f t="shared" si="2"/>
        <v>6666020903</v>
      </c>
      <c r="B160" t="s">
        <v>110</v>
      </c>
      <c r="C160">
        <v>-11.15</v>
      </c>
    </row>
    <row r="161" spans="1:4">
      <c r="A161" t="str">
        <f t="shared" si="2"/>
        <v>6666010302</v>
      </c>
      <c r="B161" t="s">
        <v>111</v>
      </c>
      <c r="C161">
        <v>-1207.54</v>
      </c>
    </row>
    <row r="162" spans="1:4">
      <c r="A162" t="str">
        <f t="shared" si="2"/>
        <v>6666010314</v>
      </c>
      <c r="B162" t="s">
        <v>112</v>
      </c>
      <c r="C162">
        <v>-21994.23</v>
      </c>
    </row>
    <row r="163" spans="1:4">
      <c r="A163" t="str">
        <f t="shared" si="2"/>
        <v>6666020401</v>
      </c>
      <c r="B163" t="s">
        <v>113</v>
      </c>
      <c r="C163">
        <v>-33505.68</v>
      </c>
    </row>
    <row r="164" spans="1:4">
      <c r="A164" t="str">
        <f t="shared" si="2"/>
        <v>6666020502</v>
      </c>
      <c r="B164" t="s">
        <v>115</v>
      </c>
      <c r="C164">
        <v>-32522.34</v>
      </c>
    </row>
    <row r="165" spans="1:4">
      <c r="A165" t="str">
        <f t="shared" si="2"/>
        <v>6666020503</v>
      </c>
      <c r="B165" t="s">
        <v>116</v>
      </c>
      <c r="C165">
        <v>-39.24</v>
      </c>
    </row>
    <row r="166" spans="1:4">
      <c r="A166" t="str">
        <f t="shared" si="2"/>
        <v>6666021500</v>
      </c>
      <c r="B166" t="s">
        <v>117</v>
      </c>
      <c r="C166">
        <v>-343.16</v>
      </c>
    </row>
    <row r="167" spans="1:4">
      <c r="A167" t="str">
        <f t="shared" si="2"/>
        <v>6666021502</v>
      </c>
      <c r="B167" t="s">
        <v>118</v>
      </c>
    </row>
    <row r="168" spans="1:4">
      <c r="A168" t="str">
        <f t="shared" si="2"/>
        <v>6666021503</v>
      </c>
      <c r="B168" t="s">
        <v>163</v>
      </c>
    </row>
    <row r="169" spans="1:4">
      <c r="A169" t="str">
        <f t="shared" si="2"/>
        <v>6666021505</v>
      </c>
      <c r="B169" t="s">
        <v>120</v>
      </c>
    </row>
    <row r="170" spans="1:4">
      <c r="A170" t="str">
        <f t="shared" si="2"/>
        <v>6666021506</v>
      </c>
      <c r="B170" t="s">
        <v>164</v>
      </c>
      <c r="C170">
        <v>-9957.31</v>
      </c>
    </row>
    <row r="171" spans="1:4">
      <c r="A171" t="str">
        <f t="shared" si="2"/>
        <v>6666091600</v>
      </c>
      <c r="B171" t="s">
        <v>122</v>
      </c>
    </row>
    <row r="172" spans="1:4">
      <c r="A172" t="str">
        <f t="shared" si="2"/>
        <v>CS_Semifix</v>
      </c>
      <c r="B172" t="s">
        <v>123</v>
      </c>
      <c r="C172">
        <v>-99580.65</v>
      </c>
    </row>
    <row r="173" spans="1:4">
      <c r="A173" t="str">
        <f t="shared" si="2"/>
        <v>Credit</v>
      </c>
      <c r="B173" t="s">
        <v>126</v>
      </c>
      <c r="C173">
        <v>-492422.75</v>
      </c>
    </row>
    <row r="175" spans="1:4">
      <c r="B175" t="s">
        <v>166</v>
      </c>
      <c r="C175">
        <v>1702791</v>
      </c>
      <c r="D175" s="53">
        <f>C175-C93</f>
        <v>1527794.6400000001</v>
      </c>
    </row>
    <row r="178" spans="1:3">
      <c r="B178" s="52" t="s">
        <v>14</v>
      </c>
      <c r="C178" s="1" t="s">
        <v>149</v>
      </c>
    </row>
    <row r="179" spans="1:3">
      <c r="B179" s="1"/>
      <c r="C179" s="1"/>
    </row>
    <row r="180" spans="1:3">
      <c r="A180" t="str">
        <f t="shared" ref="A180:A224" si="3">MID(B180,5,10)</f>
        <v>6666110110</v>
      </c>
      <c r="B180" s="1" t="s">
        <v>18</v>
      </c>
      <c r="C180" s="1">
        <v>59.96</v>
      </c>
    </row>
    <row r="181" spans="1:3">
      <c r="A181" t="str">
        <f t="shared" si="3"/>
        <v>6666110112</v>
      </c>
      <c r="B181" s="1" t="s">
        <v>19</v>
      </c>
      <c r="C181" s="1">
        <v>65.430000000000007</v>
      </c>
    </row>
    <row r="182" spans="1:3">
      <c r="A182" t="str">
        <f t="shared" si="3"/>
        <v>6666110207</v>
      </c>
      <c r="B182" s="1" t="s">
        <v>21</v>
      </c>
      <c r="C182" s="1">
        <v>57.34</v>
      </c>
    </row>
    <row r="183" spans="1:3">
      <c r="A183" t="str">
        <f t="shared" si="3"/>
        <v>6666110506</v>
      </c>
      <c r="B183" s="1" t="s">
        <v>22</v>
      </c>
      <c r="C183" s="1">
        <v>63.97</v>
      </c>
    </row>
    <row r="184" spans="1:3">
      <c r="A184" t="str">
        <f t="shared" si="3"/>
        <v>CS_Depreci</v>
      </c>
      <c r="B184" s="1" t="s">
        <v>23</v>
      </c>
      <c r="C184" s="1">
        <v>246.7</v>
      </c>
    </row>
    <row r="185" spans="1:3">
      <c r="A185" t="str">
        <f t="shared" si="3"/>
        <v>5102040406</v>
      </c>
      <c r="B185" s="1" t="s">
        <v>168</v>
      </c>
      <c r="C185" s="1">
        <v>3.78</v>
      </c>
    </row>
    <row r="186" spans="1:3">
      <c r="A186" t="str">
        <f t="shared" si="3"/>
        <v xml:space="preserve">CS_Direct </v>
      </c>
      <c r="B186" s="1" t="s">
        <v>32</v>
      </c>
      <c r="C186" s="1">
        <v>3.78</v>
      </c>
    </row>
    <row r="187" spans="1:3">
      <c r="A187" t="str">
        <f t="shared" si="3"/>
        <v>6666029996</v>
      </c>
      <c r="B187" s="1" t="s">
        <v>169</v>
      </c>
      <c r="C187" s="1">
        <v>8.4600000000000009</v>
      </c>
    </row>
    <row r="188" spans="1:3">
      <c r="A188" t="str">
        <f t="shared" si="3"/>
        <v>6666029700</v>
      </c>
      <c r="B188" s="1" t="s">
        <v>38</v>
      </c>
      <c r="C188" s="51">
        <v>39015.18</v>
      </c>
    </row>
    <row r="189" spans="1:3">
      <c r="A189" t="str">
        <f t="shared" si="3"/>
        <v>6666010322</v>
      </c>
      <c r="B189" s="1" t="s">
        <v>39</v>
      </c>
      <c r="C189" s="1">
        <v>20.65</v>
      </c>
    </row>
    <row r="190" spans="1:3">
      <c r="A190" t="str">
        <f t="shared" si="3"/>
        <v>6666020495</v>
      </c>
      <c r="B190" s="1" t="s">
        <v>40</v>
      </c>
      <c r="C190" s="1">
        <v>1.34</v>
      </c>
    </row>
    <row r="191" spans="1:3">
      <c r="A191" t="str">
        <f t="shared" si="3"/>
        <v>5301060000</v>
      </c>
      <c r="B191" s="1" t="s">
        <v>46</v>
      </c>
      <c r="C191" s="1">
        <v>-33.49</v>
      </c>
    </row>
    <row r="192" spans="1:3">
      <c r="A192" t="str">
        <f t="shared" si="3"/>
        <v>5601050100</v>
      </c>
      <c r="B192" s="1" t="s">
        <v>50</v>
      </c>
      <c r="C192" s="1">
        <v>42</v>
      </c>
    </row>
    <row r="193" spans="1:3">
      <c r="A193" t="str">
        <f t="shared" si="3"/>
        <v>5601080000</v>
      </c>
      <c r="B193" s="1" t="s">
        <v>170</v>
      </c>
      <c r="C193" s="51">
        <v>2885.41</v>
      </c>
    </row>
    <row r="194" spans="1:3">
      <c r="A194" t="str">
        <f t="shared" si="3"/>
        <v>6666020201</v>
      </c>
      <c r="B194" s="1" t="s">
        <v>53</v>
      </c>
      <c r="C194" s="1">
        <v>34.520000000000003</v>
      </c>
    </row>
    <row r="195" spans="1:3">
      <c r="A195" t="str">
        <f t="shared" si="3"/>
        <v>6666020204</v>
      </c>
      <c r="B195" s="1" t="s">
        <v>55</v>
      </c>
      <c r="C195" s="1"/>
    </row>
    <row r="196" spans="1:3">
      <c r="A196" t="str">
        <f t="shared" si="3"/>
        <v>6666020301</v>
      </c>
      <c r="B196" s="1" t="s">
        <v>143</v>
      </c>
      <c r="C196" s="1">
        <v>4.01</v>
      </c>
    </row>
    <row r="197" spans="1:3">
      <c r="A197" t="str">
        <f t="shared" si="3"/>
        <v>6666020508</v>
      </c>
      <c r="B197" s="1" t="s">
        <v>61</v>
      </c>
      <c r="C197" s="1">
        <v>18.12</v>
      </c>
    </row>
    <row r="198" spans="1:3">
      <c r="A198" t="str">
        <f t="shared" si="3"/>
        <v>6666020701</v>
      </c>
      <c r="B198" s="1" t="s">
        <v>63</v>
      </c>
      <c r="C198" s="51">
        <v>13990.18</v>
      </c>
    </row>
    <row r="199" spans="1:3">
      <c r="A199" t="str">
        <f t="shared" si="3"/>
        <v>6666020803</v>
      </c>
      <c r="B199" s="1" t="s">
        <v>65</v>
      </c>
      <c r="C199" s="1">
        <v>-8.01</v>
      </c>
    </row>
    <row r="200" spans="1:3">
      <c r="A200" t="str">
        <f t="shared" si="3"/>
        <v>6666021102</v>
      </c>
      <c r="B200" s="1" t="s">
        <v>171</v>
      </c>
      <c r="C200" s="1">
        <v>402.28</v>
      </c>
    </row>
    <row r="201" spans="1:3">
      <c r="A201" t="str">
        <f t="shared" si="3"/>
        <v>6666021300</v>
      </c>
      <c r="B201" s="1" t="s">
        <v>167</v>
      </c>
      <c r="C201" s="1">
        <v>279.81</v>
      </c>
    </row>
    <row r="202" spans="1:3">
      <c r="A202" t="str">
        <f t="shared" si="3"/>
        <v>6666022300</v>
      </c>
      <c r="B202" s="1" t="s">
        <v>69</v>
      </c>
      <c r="C202" s="51">
        <v>5034.29</v>
      </c>
    </row>
    <row r="203" spans="1:3">
      <c r="A203" t="str">
        <f t="shared" si="3"/>
        <v>6666029900</v>
      </c>
      <c r="B203" s="1" t="s">
        <v>70</v>
      </c>
      <c r="C203" s="1">
        <v>81.02</v>
      </c>
    </row>
    <row r="204" spans="1:3">
      <c r="A204" t="str">
        <f t="shared" si="3"/>
        <v>6666079999</v>
      </c>
      <c r="B204" s="1" t="s">
        <v>172</v>
      </c>
      <c r="C204" s="51">
        <v>100051</v>
      </c>
    </row>
    <row r="205" spans="1:3">
      <c r="A205" t="str">
        <f t="shared" si="3"/>
        <v>6666093800</v>
      </c>
      <c r="B205" s="1" t="s">
        <v>173</v>
      </c>
      <c r="C205" s="1">
        <v>62.98</v>
      </c>
    </row>
    <row r="206" spans="1:3">
      <c r="A206" t="str">
        <f t="shared" si="3"/>
        <v>CS_Fix Cos</v>
      </c>
      <c r="B206" s="1" t="s">
        <v>80</v>
      </c>
      <c r="C206" s="51">
        <v>161889.75</v>
      </c>
    </row>
    <row r="207" spans="1:3">
      <c r="A207" t="str">
        <f t="shared" si="3"/>
        <v>5102040000</v>
      </c>
      <c r="B207" s="1" t="s">
        <v>82</v>
      </c>
      <c r="C207" s="1">
        <v>-22.69</v>
      </c>
    </row>
    <row r="208" spans="1:3">
      <c r="A208" t="str">
        <f t="shared" si="3"/>
        <v>CS_Variabl</v>
      </c>
      <c r="B208" s="1" t="s">
        <v>84</v>
      </c>
      <c r="C208" s="1">
        <v>-22.69</v>
      </c>
    </row>
    <row r="209" spans="1:3">
      <c r="A209" t="str">
        <f t="shared" si="3"/>
        <v>6666021600</v>
      </c>
      <c r="B209" s="1" t="s">
        <v>91</v>
      </c>
      <c r="C209" s="1">
        <v>364.04</v>
      </c>
    </row>
    <row r="210" spans="1:3">
      <c r="A210" t="str">
        <f t="shared" si="3"/>
        <v>CS_Variabl</v>
      </c>
      <c r="B210" s="1" t="s">
        <v>94</v>
      </c>
      <c r="C210" s="1">
        <v>364.04</v>
      </c>
    </row>
    <row r="211" spans="1:3">
      <c r="A211" t="str">
        <f t="shared" si="3"/>
        <v>6666010012</v>
      </c>
      <c r="B211" s="1" t="s">
        <v>99</v>
      </c>
      <c r="C211" s="1">
        <v>19.27</v>
      </c>
    </row>
    <row r="212" spans="1:3">
      <c r="A212" t="str">
        <f t="shared" si="3"/>
        <v>6666010102</v>
      </c>
      <c r="B212" s="1" t="s">
        <v>160</v>
      </c>
      <c r="C212" s="1">
        <v>110.33</v>
      </c>
    </row>
    <row r="213" spans="1:3">
      <c r="A213" t="str">
        <f t="shared" si="3"/>
        <v>CS_Indirec</v>
      </c>
      <c r="B213" s="1" t="s">
        <v>102</v>
      </c>
      <c r="C213" s="1">
        <v>129.6</v>
      </c>
    </row>
    <row r="214" spans="1:3">
      <c r="A214" t="str">
        <f t="shared" si="3"/>
        <v>6666010196</v>
      </c>
      <c r="B214" s="1" t="s">
        <v>103</v>
      </c>
      <c r="C214" s="51">
        <v>1321.62</v>
      </c>
    </row>
    <row r="215" spans="1:3">
      <c r="A215" t="str">
        <f t="shared" si="3"/>
        <v>6666010101</v>
      </c>
      <c r="B215" s="1" t="s">
        <v>104</v>
      </c>
      <c r="C215" s="51">
        <v>8994.27</v>
      </c>
    </row>
    <row r="216" spans="1:3">
      <c r="A216" t="str">
        <f t="shared" si="3"/>
        <v>6666010199</v>
      </c>
      <c r="B216" s="1" t="s">
        <v>105</v>
      </c>
      <c r="C216" s="51">
        <v>1253.3900000000001</v>
      </c>
    </row>
    <row r="217" spans="1:3">
      <c r="A217" t="str">
        <f t="shared" si="3"/>
        <v>6666010207</v>
      </c>
      <c r="B217" s="1" t="s">
        <v>107</v>
      </c>
      <c r="C217" s="1">
        <v>167.83</v>
      </c>
    </row>
    <row r="218" spans="1:3">
      <c r="A218" t="str">
        <f t="shared" si="3"/>
        <v>6666010227</v>
      </c>
      <c r="B218" s="1" t="s">
        <v>162</v>
      </c>
      <c r="C218" s="1">
        <v>171.33</v>
      </c>
    </row>
    <row r="219" spans="1:3">
      <c r="A219" t="str">
        <f t="shared" si="3"/>
        <v>CS_Fixed L</v>
      </c>
      <c r="B219" s="1" t="s">
        <v>109</v>
      </c>
      <c r="C219" s="51">
        <v>11908.44</v>
      </c>
    </row>
    <row r="220" spans="1:3">
      <c r="A220" t="str">
        <f t="shared" si="3"/>
        <v>6666010314</v>
      </c>
      <c r="B220" s="1" t="s">
        <v>112</v>
      </c>
      <c r="C220" s="1">
        <v>98.31</v>
      </c>
    </row>
    <row r="221" spans="1:3">
      <c r="A221" t="str">
        <f t="shared" si="3"/>
        <v>6666020401</v>
      </c>
      <c r="B221" s="1" t="s">
        <v>113</v>
      </c>
      <c r="C221" s="1"/>
    </row>
    <row r="222" spans="1:3">
      <c r="A222" t="str">
        <f t="shared" si="3"/>
        <v>6666020502</v>
      </c>
      <c r="B222" s="1" t="s">
        <v>115</v>
      </c>
      <c r="C222" s="1">
        <v>278.14</v>
      </c>
    </row>
    <row r="223" spans="1:3">
      <c r="A223" t="str">
        <f t="shared" si="3"/>
        <v>CS_Semifix</v>
      </c>
      <c r="B223" s="1" t="s">
        <v>123</v>
      </c>
      <c r="C223" s="1">
        <v>376.45</v>
      </c>
    </row>
    <row r="224" spans="1:3">
      <c r="A224" t="str">
        <f t="shared" si="3"/>
        <v>Debit</v>
      </c>
      <c r="B224" s="1" t="s">
        <v>124</v>
      </c>
      <c r="C224" s="51">
        <v>174896.07</v>
      </c>
    </row>
    <row r="225" spans="2:3">
      <c r="B225" s="1"/>
      <c r="C225" s="1"/>
    </row>
    <row r="226" spans="2:3">
      <c r="B226" s="1" t="s">
        <v>165</v>
      </c>
      <c r="C226" s="51">
        <v>-174996.36</v>
      </c>
    </row>
    <row r="227" spans="2:3">
      <c r="B227" s="1" t="s">
        <v>127</v>
      </c>
      <c r="C227" s="51">
        <v>-174996.36</v>
      </c>
    </row>
    <row r="228" spans="2:3">
      <c r="B228" s="1" t="s">
        <v>126</v>
      </c>
      <c r="C228" s="51">
        <v>-174996.36</v>
      </c>
    </row>
    <row r="229" spans="2:3">
      <c r="B229" s="1"/>
      <c r="C229" s="1"/>
    </row>
    <row r="230" spans="2:3">
      <c r="B230" s="1" t="s">
        <v>166</v>
      </c>
      <c r="C230" s="1">
        <v>-100.29</v>
      </c>
    </row>
  </sheetData>
  <autoFilter ref="A1:U230" xr:uid="{403BA8A8-5F36-448B-9A65-1EB229E07C07}"/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docMetadata/LabelInfo.xml><?xml version="1.0" encoding="utf-8"?>
<clbl:labelList xmlns:clbl="http://schemas.microsoft.com/office/2020/mipLabelMetadata">
  <clbl:label id="{dc31490c-19d9-4676-a99d-07ae2489f322}" enabled="1" method="Standard" siteId="{41b89379-e28c-4971-b9ce-0b428bf8da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CC</vt:lpstr>
      <vt:lpstr>DW 2026</vt:lpstr>
      <vt:lpstr>1+11 Renta DW _2026</vt:lpstr>
      <vt:lpstr>Renta DW _2025 </vt:lpstr>
      <vt:lpstr>Renta DW _2024 new format </vt:lpstr>
      <vt:lpstr>2024 by account </vt:lpstr>
      <vt:lpstr>2024_ACT@ACT FX old format </vt:lpstr>
      <vt:lpstr>2026_service fee</vt:lpstr>
      <vt:lpstr>2025_service fee</vt:lpstr>
      <vt:lpstr>Service fee recharge kırınım</vt:lpstr>
      <vt:lpstr>S_ALR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Baoe 闫保娥 (690)</dc:creator>
  <cp:lastModifiedBy>Bengisu  Sarıtürk Ceran</cp:lastModifiedBy>
  <dcterms:created xsi:type="dcterms:W3CDTF">2023-05-12T11:15:00Z</dcterms:created>
  <dcterms:modified xsi:type="dcterms:W3CDTF">2026-08-14T10:46:10Z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EA96275FF677478985A9E46D65FC2A49_13</vt:lpwstr>
  </property>
  <property fmtid="{D5CDD505-2E9C-101B-9397-08002B2CF9AE}" pid="3" name="KSOProductBuildVer">
    <vt:lpwstr>2052-12.1.0.16929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